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tables/table6.xml" ContentType="application/vnd.openxmlformats-officedocument.spreadsheetml.table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8326"/>
  <workbookPr filterPrivacy="1" codeName="ThisWorkbook"/>
  <xr:revisionPtr revIDLastSave="540" documentId="B75B6F1C0114B6FB052F3690DEF3008285E0AA21" xr6:coauthVersionLast="21" xr6:coauthVersionMax="21" xr10:uidLastSave="{22F21019-EC75-49C7-B837-0088D8E3CBE2}"/>
  <bookViews>
    <workbookView xWindow="930" yWindow="0" windowWidth="20490" windowHeight="8115" activeTab="2" xr2:uid="{00000000-000D-0000-FFFF-FFFF00000000}"/>
  </bookViews>
  <sheets>
    <sheet name="RiskManagementMatrix" sheetId="1" r:id="rId1"/>
    <sheet name="ImpactCriticalityTable" sheetId="2" r:id="rId2"/>
    <sheet name="CriticalityToLocationPriority" sheetId="3" r:id="rId3"/>
    <sheet name="IsCritical" sheetId="4" r:id="rId4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8" i="3" l="1"/>
  <c r="R9" i="3"/>
  <c r="R10" i="3"/>
  <c r="R11" i="3"/>
  <c r="R12" i="3"/>
  <c r="R16" i="3"/>
  <c r="R17" i="3"/>
  <c r="R18" i="3"/>
  <c r="R19" i="3"/>
  <c r="R20" i="3"/>
  <c r="R21" i="3"/>
  <c r="R22" i="3"/>
  <c r="R15" i="3"/>
  <c r="R7" i="3"/>
  <c r="Q12" i="3"/>
  <c r="Q11" i="3"/>
  <c r="Q10" i="3"/>
  <c r="Q9" i="3"/>
  <c r="Q8" i="3"/>
  <c r="Q7" i="3"/>
  <c r="Q16" i="3"/>
  <c r="Q17" i="3"/>
  <c r="Q18" i="3"/>
  <c r="Q19" i="3"/>
  <c r="Q20" i="3"/>
  <c r="Q21" i="3"/>
  <c r="Q22" i="3"/>
  <c r="Q15" i="3"/>
  <c r="O21" i="3"/>
  <c r="N21" i="3"/>
  <c r="J21" i="3"/>
  <c r="L21" i="3" s="1"/>
  <c r="O20" i="3"/>
  <c r="N20" i="3"/>
  <c r="J20" i="3"/>
  <c r="L20" i="3" s="1"/>
  <c r="O16" i="3"/>
  <c r="O17" i="3"/>
  <c r="O18" i="3"/>
  <c r="O19" i="3"/>
  <c r="O22" i="3"/>
  <c r="O15" i="3"/>
  <c r="N15" i="3"/>
  <c r="N22" i="3"/>
  <c r="N19" i="3"/>
  <c r="N18" i="3"/>
  <c r="N17" i="3"/>
  <c r="N16" i="3"/>
  <c r="J22" i="3"/>
  <c r="L22" i="3" s="1"/>
  <c r="J19" i="3"/>
  <c r="L19" i="3" s="1"/>
  <c r="J18" i="3"/>
  <c r="L18" i="3" s="1"/>
  <c r="J17" i="3"/>
  <c r="L17" i="3" s="1"/>
  <c r="J16" i="3"/>
  <c r="L16" i="3" s="1"/>
  <c r="J15" i="3"/>
  <c r="L15" i="3" s="1"/>
  <c r="O8" i="3"/>
  <c r="O12" i="3"/>
  <c r="O7" i="3"/>
  <c r="N12" i="3"/>
  <c r="N11" i="3"/>
  <c r="O11" i="3" s="1"/>
  <c r="N10" i="3"/>
  <c r="O10" i="3" s="1"/>
  <c r="N9" i="3"/>
  <c r="O9" i="3" s="1"/>
  <c r="N8" i="3"/>
  <c r="N7" i="3"/>
  <c r="J12" i="3"/>
  <c r="L12" i="3" s="1"/>
  <c r="J11" i="3"/>
  <c r="L11" i="3" s="1"/>
  <c r="J10" i="3"/>
  <c r="J9" i="3"/>
  <c r="L9" i="3" s="1"/>
  <c r="J8" i="3"/>
  <c r="L8" i="3" s="1"/>
  <c r="J7" i="3"/>
  <c r="L7" i="3" s="1"/>
  <c r="L10" i="3"/>
  <c r="S28" i="2"/>
  <c r="S27" i="2"/>
  <c r="R27" i="2"/>
  <c r="S26" i="2"/>
  <c r="T26" i="2" s="1"/>
  <c r="R26" i="2"/>
  <c r="S25" i="2"/>
  <c r="R25" i="2"/>
  <c r="T24" i="2"/>
  <c r="S24" i="2"/>
  <c r="R24" i="2"/>
  <c r="S23" i="2"/>
  <c r="R23" i="2"/>
  <c r="S22" i="2"/>
  <c r="R22" i="2"/>
  <c r="O23" i="2"/>
  <c r="P23" i="2"/>
  <c r="O24" i="2"/>
  <c r="P24" i="2"/>
  <c r="O25" i="2"/>
  <c r="P25" i="2"/>
  <c r="O26" i="2"/>
  <c r="P26" i="2"/>
  <c r="O27" i="2"/>
  <c r="P27" i="2"/>
  <c r="P28" i="2"/>
  <c r="P22" i="2"/>
  <c r="O22" i="2"/>
  <c r="R15" i="2"/>
  <c r="S15" i="2"/>
  <c r="R16" i="2"/>
  <c r="S16" i="2"/>
  <c r="T16" i="2" s="1"/>
  <c r="R17" i="2"/>
  <c r="S17" i="2"/>
  <c r="T17" i="2"/>
  <c r="R18" i="2"/>
  <c r="T18" i="2" s="1"/>
  <c r="S18" i="2"/>
  <c r="R19" i="2"/>
  <c r="S19" i="2"/>
  <c r="T19" i="2" s="1"/>
  <c r="R20" i="2"/>
  <c r="S20" i="2"/>
  <c r="T20" i="2"/>
  <c r="O20" i="2"/>
  <c r="P20" i="2" s="1"/>
  <c r="O19" i="2"/>
  <c r="P19" i="2" s="1"/>
  <c r="O18" i="2"/>
  <c r="P18" i="2" s="1"/>
  <c r="O17" i="2"/>
  <c r="P17" i="2" s="1"/>
  <c r="O16" i="2"/>
  <c r="P16" i="2" s="1"/>
  <c r="O15" i="2"/>
  <c r="P15" i="2" s="1"/>
  <c r="O14" i="2"/>
  <c r="P14" i="2" s="1"/>
  <c r="O12" i="2"/>
  <c r="P12" i="2" s="1"/>
  <c r="O11" i="2"/>
  <c r="P11" i="2" s="1"/>
  <c r="O10" i="2"/>
  <c r="P10" i="2" s="1"/>
  <c r="O9" i="2"/>
  <c r="P9" i="2" s="1"/>
  <c r="O8" i="2"/>
  <c r="P8" i="2" s="1"/>
  <c r="O7" i="2"/>
  <c r="P7" i="2" s="1"/>
  <c r="S7" i="2"/>
  <c r="R7" i="2"/>
  <c r="S14" i="2"/>
  <c r="T14" i="2" s="1"/>
  <c r="S12" i="2"/>
  <c r="T12" i="2" s="1"/>
  <c r="S11" i="2"/>
  <c r="T11" i="2" s="1"/>
  <c r="S10" i="2"/>
  <c r="S9" i="2"/>
  <c r="S8" i="2"/>
  <c r="T8" i="2" s="1"/>
  <c r="R14" i="2"/>
  <c r="R13" i="2"/>
  <c r="R12" i="2"/>
  <c r="R11" i="2"/>
  <c r="R10" i="2"/>
  <c r="R9" i="2"/>
  <c r="R8" i="2"/>
  <c r="J13" i="2"/>
  <c r="K13" i="2" s="1"/>
  <c r="M13" i="2" s="1"/>
  <c r="K17" i="2"/>
  <c r="M17" i="2" s="1"/>
  <c r="I28" i="2"/>
  <c r="K28" i="2" s="1"/>
  <c r="M28" i="2" s="1"/>
  <c r="K18" i="2"/>
  <c r="M18" i="2" s="1"/>
  <c r="K16" i="2"/>
  <c r="M16" i="2" s="1"/>
  <c r="K27" i="2"/>
  <c r="M27" i="2" s="1"/>
  <c r="K26" i="2"/>
  <c r="M26" i="2" s="1"/>
  <c r="K25" i="2"/>
  <c r="M25" i="2" s="1"/>
  <c r="K15" i="2"/>
  <c r="M15" i="2" s="1"/>
  <c r="K24" i="2"/>
  <c r="M24" i="2" s="1"/>
  <c r="K23" i="2"/>
  <c r="M23" i="2" s="1"/>
  <c r="K22" i="2"/>
  <c r="M22" i="2" s="1"/>
  <c r="K8" i="2"/>
  <c r="M8" i="2" s="1"/>
  <c r="K9" i="2"/>
  <c r="M9" i="2" s="1"/>
  <c r="K10" i="2"/>
  <c r="M10" i="2" s="1"/>
  <c r="K11" i="2"/>
  <c r="M11" i="2" s="1"/>
  <c r="K12" i="2"/>
  <c r="M12" i="2" s="1"/>
  <c r="K14" i="2"/>
  <c r="M14" i="2" s="1"/>
  <c r="K19" i="2"/>
  <c r="M19" i="2" s="1"/>
  <c r="K20" i="2"/>
  <c r="M20" i="2" s="1"/>
  <c r="K7" i="2"/>
  <c r="M7" i="2" s="1"/>
  <c r="W15" i="1"/>
  <c r="W16" i="1"/>
  <c r="W17" i="1"/>
  <c r="W18" i="1"/>
  <c r="W19" i="1"/>
  <c r="W20" i="1"/>
  <c r="W21" i="1"/>
  <c r="W22" i="1"/>
  <c r="W23" i="1"/>
  <c r="W24" i="1"/>
  <c r="W10" i="1"/>
  <c r="S23" i="1"/>
  <c r="U23" i="1" s="1"/>
  <c r="T7" i="2" l="1"/>
  <c r="O13" i="2"/>
  <c r="P13" i="2" s="1"/>
  <c r="T23" i="2"/>
  <c r="T9" i="2"/>
  <c r="S13" i="2"/>
  <c r="T13" i="2" s="1"/>
  <c r="T15" i="2"/>
  <c r="T25" i="2"/>
  <c r="T27" i="2"/>
  <c r="T10" i="2"/>
  <c r="O28" i="2"/>
  <c r="T22" i="2"/>
  <c r="R28" i="2"/>
  <c r="T28" i="2" s="1"/>
  <c r="X24" i="1"/>
  <c r="X23" i="1"/>
  <c r="X22" i="1"/>
  <c r="X21" i="1"/>
  <c r="X20" i="1"/>
  <c r="X19" i="1"/>
  <c r="X18" i="1"/>
  <c r="X17" i="1"/>
  <c r="X16" i="1"/>
  <c r="X15" i="1"/>
  <c r="X10" i="1"/>
  <c r="O16" i="1"/>
  <c r="Q16" i="1" s="1"/>
  <c r="O18" i="1"/>
  <c r="Q18" i="1" s="1"/>
  <c r="O20" i="1"/>
  <c r="Q20" i="1" s="1"/>
  <c r="S22" i="1"/>
  <c r="U22" i="1" s="1"/>
  <c r="O23" i="1"/>
  <c r="Q23" i="1" s="1"/>
  <c r="S24" i="1"/>
  <c r="U24" i="1" s="1"/>
  <c r="S12" i="1"/>
  <c r="U12" i="1" s="1"/>
  <c r="P12" i="1"/>
  <c r="P11" i="1"/>
  <c r="P10" i="1"/>
  <c r="P9" i="1"/>
  <c r="P8" i="1"/>
  <c r="P7" i="1"/>
  <c r="C11" i="1"/>
  <c r="C10" i="1" s="1"/>
  <c r="D12" i="1"/>
  <c r="E12" i="1" s="1"/>
  <c r="F12" i="1" s="1"/>
  <c r="G12" i="1" s="1"/>
  <c r="H12" i="1" s="1"/>
  <c r="I12" i="1" s="1"/>
  <c r="J12" i="1" s="1"/>
  <c r="C9" i="1" l="1"/>
  <c r="W8" i="1"/>
  <c r="X8" i="1" s="1"/>
  <c r="O24" i="1"/>
  <c r="Q24" i="1" s="1"/>
  <c r="S10" i="1"/>
  <c r="U10" i="1" s="1"/>
  <c r="S8" i="1"/>
  <c r="U8" i="1" s="1"/>
  <c r="O21" i="1"/>
  <c r="Q21" i="1" s="1"/>
  <c r="S21" i="1"/>
  <c r="U21" i="1" s="1"/>
  <c r="O19" i="1"/>
  <c r="Q19" i="1" s="1"/>
  <c r="S19" i="1"/>
  <c r="U19" i="1" s="1"/>
  <c r="O17" i="1"/>
  <c r="Q17" i="1" s="1"/>
  <c r="S17" i="1"/>
  <c r="U17" i="1" s="1"/>
  <c r="O15" i="1"/>
  <c r="Q15" i="1" s="1"/>
  <c r="S15" i="1"/>
  <c r="U15" i="1" s="1"/>
  <c r="S11" i="1"/>
  <c r="U11" i="1" s="1"/>
  <c r="S9" i="1"/>
  <c r="U9" i="1" s="1"/>
  <c r="S7" i="1"/>
  <c r="U7" i="1" s="1"/>
  <c r="S20" i="1"/>
  <c r="U20" i="1" s="1"/>
  <c r="S18" i="1"/>
  <c r="U18" i="1" s="1"/>
  <c r="S16" i="1"/>
  <c r="U16" i="1" s="1"/>
  <c r="O22" i="1"/>
  <c r="Q22" i="1" s="1"/>
  <c r="O12" i="1"/>
  <c r="Q12" i="1" s="1"/>
  <c r="O10" i="1"/>
  <c r="Q10" i="1" s="1"/>
  <c r="O8" i="1"/>
  <c r="Q8" i="1" s="1"/>
  <c r="O11" i="1"/>
  <c r="Q11" i="1" s="1"/>
  <c r="O9" i="1"/>
  <c r="Q9" i="1" s="1"/>
  <c r="O7" i="1"/>
  <c r="Q7" i="1" s="1"/>
  <c r="D11" i="1"/>
  <c r="E11" i="1" s="1"/>
  <c r="F11" i="1" s="1"/>
  <c r="G11" i="1" s="1"/>
  <c r="H11" i="1" s="1"/>
  <c r="I11" i="1" s="1"/>
  <c r="W12" i="1" s="1"/>
  <c r="D10" i="1"/>
  <c r="E10" i="1" s="1"/>
  <c r="F10" i="1" s="1"/>
  <c r="G10" i="1" s="1"/>
  <c r="H10" i="1" s="1"/>
  <c r="I10" i="1" s="1"/>
  <c r="J10" i="1" s="1"/>
  <c r="C8" i="1"/>
  <c r="D9" i="1"/>
  <c r="E9" i="1" s="1"/>
  <c r="F9" i="1" s="1"/>
  <c r="G9" i="1" s="1"/>
  <c r="H9" i="1" s="1"/>
  <c r="I9" i="1" s="1"/>
  <c r="J9" i="1" s="1"/>
  <c r="J11" i="1" l="1"/>
  <c r="X12" i="1"/>
  <c r="D8" i="1"/>
  <c r="E8" i="1" s="1"/>
  <c r="F8" i="1" s="1"/>
  <c r="W9" i="1" s="1"/>
  <c r="C7" i="1"/>
  <c r="G8" i="1" l="1"/>
  <c r="H8" i="1" s="1"/>
  <c r="I8" i="1" s="1"/>
  <c r="J8" i="1" s="1"/>
  <c r="X9" i="1"/>
  <c r="D7" i="1"/>
  <c r="E7" i="1" s="1"/>
  <c r="F7" i="1" s="1"/>
  <c r="G7" i="1" s="1"/>
  <c r="H7" i="1" s="1"/>
  <c r="I7" i="1" s="1"/>
  <c r="J7" i="1" s="1"/>
  <c r="C6" i="1"/>
  <c r="C5" i="1" l="1"/>
  <c r="W11" i="1" s="1"/>
  <c r="D6" i="1"/>
  <c r="E6" i="1" s="1"/>
  <c r="F6" i="1" s="1"/>
  <c r="G6" i="1" s="1"/>
  <c r="H6" i="1" s="1"/>
  <c r="I6" i="1" s="1"/>
  <c r="J6" i="1" s="1"/>
  <c r="D5" i="1" l="1"/>
  <c r="E5" i="1" s="1"/>
  <c r="F5" i="1" s="1"/>
  <c r="G5" i="1" s="1"/>
  <c r="H5" i="1" s="1"/>
  <c r="I5" i="1" s="1"/>
  <c r="J5" i="1" s="1"/>
  <c r="X11" i="1"/>
  <c r="W7" i="1" l="1"/>
  <c r="X7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J6" authorId="0" shapeId="0" xr:uid="{16C10EBD-0E0A-4E9F-899D-AC5A440F7771}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0 / FALSE / "N" / blank = not spared
&gt;0 / TRUE / "Y" = spared
</t>
        </r>
      </text>
    </comment>
    <comment ref="R6" authorId="0" shapeId="0" xr:uid="{FBA5ACA9-64EE-4C8A-A2FA-8F0965C3A752}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Find index position of letter
</t>
        </r>
      </text>
    </comment>
    <comment ref="S6" authorId="0" shapeId="0" xr:uid="{8532B12C-E48D-402D-A39C-7B8F3A342FE9}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Decide if want row 1 (unspared, default) or row 2 in array literal</t>
        </r>
      </text>
    </comment>
    <comment ref="T6" authorId="0" shapeId="0" xr:uid="{CB959AC9-89C6-4937-AB2D-2B0814CD47D6}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Lookup in array and return found criticality value
</t>
        </r>
      </text>
    </comment>
    <comment ref="I18" authorId="0" shapeId="0" xr:uid="{FF065D8C-741C-47F9-9D45-9C06DAC85DE0}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Case insensitive comparisons in formula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N15" authorId="0" shapeId="0" xr:uid="{E58783AA-87A5-44FB-A527-1B8A338F9874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Index(array,0) is a special case - it is trying to return the whole lookup array, this is just the first element in the first available cell
</t>
        </r>
      </text>
    </comment>
    <comment ref="Q15" authorId="0" shapeId="0" xr:uid="{C1C5175F-8CCF-460D-B5DB-43D8BD7DFC07}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FALSE to force exact match ony.  Note leaving blank after comma is the equivalent to this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C3" authorId="0" shapeId="0" xr:uid="{7280EAE5-6C05-4A9B-B932-51C3CFC6CEA7}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i.e. where &gt;= threshold, it is Critical Equipment (not SCE, which is separate category)
</t>
        </r>
      </text>
    </comment>
    <comment ref="E3" authorId="0" shapeId="0" xr:uid="{AE69A627-8B35-4B00-86B4-2EDE3769409C}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If D or above on H&amp;S then is classed as SCE</t>
        </r>
      </text>
    </comment>
  </commentList>
</comments>
</file>

<file path=xl/sharedStrings.xml><?xml version="1.0" encoding="utf-8"?>
<sst xmlns="http://schemas.openxmlformats.org/spreadsheetml/2006/main" count="191" uniqueCount="98">
  <si>
    <t>A</t>
  </si>
  <si>
    <t>B</t>
  </si>
  <si>
    <t>C</t>
  </si>
  <si>
    <t>D</t>
  </si>
  <si>
    <t>E</t>
  </si>
  <si>
    <t>F</t>
  </si>
  <si>
    <t>G</t>
  </si>
  <si>
    <t>H</t>
  </si>
  <si>
    <t>Impact</t>
  </si>
  <si>
    <t>1</t>
  </si>
  <si>
    <t>2</t>
  </si>
  <si>
    <t>3</t>
  </si>
  <si>
    <t>4</t>
  </si>
  <si>
    <t>5</t>
  </si>
  <si>
    <t>6</t>
  </si>
  <si>
    <t>7</t>
  </si>
  <si>
    <t>8</t>
  </si>
  <si>
    <t>Likelihood</t>
  </si>
  <si>
    <t>Expected</t>
  </si>
  <si>
    <t>Test</t>
  </si>
  <si>
    <t>Calc</t>
  </si>
  <si>
    <t xml:space="preserve">Formula = </t>
  </si>
  <si>
    <t>Z</t>
  </si>
  <si>
    <t>Desired</t>
  </si>
  <si>
    <t xml:space="preserve"> </t>
  </si>
  <si>
    <t>I</t>
  </si>
  <si>
    <t>Normal / Edge cases</t>
  </si>
  <si>
    <t>Should fail cases</t>
  </si>
  <si>
    <t>EE</t>
  </si>
  <si>
    <t xml:space="preserve">E </t>
  </si>
  <si>
    <t>G8</t>
  </si>
  <si>
    <t>Input2</t>
  </si>
  <si>
    <t>Input1</t>
  </si>
  <si>
    <t>Preferred</t>
  </si>
  <si>
    <t>Lookup formula in table</t>
  </si>
  <si>
    <t>=VLOOKUP(S2,Table1,T2+1,)</t>
  </si>
  <si>
    <t>=MATCH(S2,{"H","G","F","E","D","C","B","A"},0)+T2-1</t>
  </si>
  <si>
    <t>=MATCH(L2,{"H","G","F","E","D","C","B","A"},0)+MATCH(M2, {1,2,3,4,5,6,7,8}, 0) - 1</t>
  </si>
  <si>
    <t>Lookup</t>
  </si>
  <si>
    <t>Table coloured using conditional formatting (multiple levels)</t>
  </si>
  <si>
    <t>Criticality Unspared</t>
  </si>
  <si>
    <t>Criticality If Spared</t>
  </si>
  <si>
    <t>Impact Level</t>
  </si>
  <si>
    <t>Translation Table normalised to two columns</t>
  </si>
  <si>
    <t>Original format</t>
  </si>
  <si>
    <t>Criticality Rating of Equipment</t>
  </si>
  <si>
    <t>Inputs</t>
  </si>
  <si>
    <t>Spared?</t>
  </si>
  <si>
    <t>Result</t>
  </si>
  <si>
    <t>Y</t>
  </si>
  <si>
    <t>N</t>
  </si>
  <si>
    <t>y</t>
  </si>
  <si>
    <t>Failure cases</t>
  </si>
  <si>
    <t>Lookup formula</t>
  </si>
  <si>
    <t>Standalone formula</t>
  </si>
  <si>
    <t>Pass/Fail?</t>
  </si>
  <si>
    <t>AA</t>
  </si>
  <si>
    <t>A1</t>
  </si>
  <si>
    <t>Tests that should pass</t>
  </si>
  <si>
    <t>f</t>
  </si>
  <si>
    <t>n</t>
  </si>
  <si>
    <t>IF</t>
  </si>
  <si>
    <t>MATCH</t>
  </si>
  <si>
    <t>Formula components</t>
  </si>
  <si>
    <t>Index(arrayliteral, IF selected row, MATCHed column)</t>
  </si>
  <si>
    <t>Criticality Rating</t>
  </si>
  <si>
    <t>Criticality Level</t>
  </si>
  <si>
    <t>8 - 10</t>
  </si>
  <si>
    <t>4 - 7</t>
  </si>
  <si>
    <t>1 - 3</t>
  </si>
  <si>
    <t>High</t>
  </si>
  <si>
    <t>Medium</t>
  </si>
  <si>
    <t>Low</t>
  </si>
  <si>
    <t>Shorter but with issues</t>
  </si>
  <si>
    <t>Rating</t>
  </si>
  <si>
    <t>Standalone Formula</t>
  </si>
  <si>
    <t>Lookup formula,</t>
  </si>
  <si>
    <t xml:space="preserve"> references table on left to work</t>
  </si>
  <si>
    <t>does not need a table</t>
  </si>
  <si>
    <t>elements of final formula</t>
  </si>
  <si>
    <t>Copy formula(e) from Result column and check input references</t>
  </si>
  <si>
    <t>Tests that should fail</t>
  </si>
  <si>
    <t>1-2</t>
  </si>
  <si>
    <t>Rules for determining Critical Equipment</t>
  </si>
  <si>
    <t>Risk Category</t>
  </si>
  <si>
    <t>Impact Threshold</t>
  </si>
  <si>
    <t>Environmental</t>
  </si>
  <si>
    <t>Non-Financial</t>
  </si>
  <si>
    <t>Health &amp; Safety</t>
  </si>
  <si>
    <t>Financial</t>
  </si>
  <si>
    <t>E or above</t>
  </si>
  <si>
    <t>D or above</t>
  </si>
  <si>
    <t>Maximo threshold</t>
  </si>
  <si>
    <t>Business</t>
  </si>
  <si>
    <t>Safety</t>
  </si>
  <si>
    <t>Production</t>
  </si>
  <si>
    <t>Maximo Criticality type</t>
  </si>
  <si>
    <t>SCE Threshold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</si>
</sst>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5"/>
      <color theme="3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b/>
      <u/>
      <sz val="11"/>
      <color rgb="FF3F3F76"/>
      <name val="Calibri"/>
      <family val="2"/>
      <scheme val="minor"/>
    </font>
    <font>
      <b/>
      <u/>
      <sz val="11"/>
      <color rgb="FFFA7D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9"/>
      <color indexed="81"/>
      <name val="Tahoma"/>
      <family val="2"/>
    </font>
  </fonts>
  <fills count="1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FFCC"/>
      </patternFill>
    </fill>
    <fill>
      <patternFill patternType="solid">
        <fgColor theme="9"/>
      </patternFill>
    </fill>
    <fill>
      <patternFill patternType="solid">
        <fgColor theme="6"/>
        <bgColor theme="6"/>
      </patternFill>
    </fill>
    <fill>
      <patternFill patternType="solid">
        <fgColor theme="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6"/>
      </top>
      <bottom/>
      <diagonal/>
    </border>
    <border>
      <left style="thin">
        <color theme="9"/>
      </left>
      <right/>
      <top/>
      <bottom/>
      <diagonal/>
    </border>
    <border>
      <left/>
      <right style="thin">
        <color theme="9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 style="double">
        <color rgb="FF3F3F3F"/>
      </left>
      <right style="double">
        <color rgb="FF3F3F3F"/>
      </right>
      <top/>
      <bottom/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</borders>
  <cellStyleXfs count="12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5" fillId="5" borderId="1" applyNumberFormat="0" applyAlignment="0" applyProtection="0"/>
    <xf numFmtId="0" fontId="6" fillId="6" borderId="1" applyNumberFormat="0" applyAlignment="0" applyProtection="0"/>
    <xf numFmtId="0" fontId="7" fillId="7" borderId="2" applyNumberFormat="0" applyAlignment="0" applyProtection="0"/>
    <xf numFmtId="0" fontId="1" fillId="8" borderId="0" applyNumberFormat="0" applyBorder="0" applyAlignment="0" applyProtection="0"/>
    <xf numFmtId="0" fontId="8" fillId="0" borderId="3" applyNumberFormat="0" applyFill="0" applyAlignment="0" applyProtection="0"/>
    <xf numFmtId="0" fontId="1" fillId="9" borderId="4" applyNumberFormat="0" applyFont="0" applyAlignment="0" applyProtection="0"/>
    <xf numFmtId="0" fontId="9" fillId="0" borderId="0" applyNumberFormat="0" applyFill="0" applyBorder="0" applyAlignment="0" applyProtection="0"/>
    <xf numFmtId="0" fontId="10" fillId="10" borderId="0" applyNumberFormat="0" applyBorder="0" applyAlignment="0" applyProtection="0"/>
  </cellStyleXfs>
  <cellXfs count="39">
    <xf numFmtId="0" fontId="0" fillId="0" borderId="0" xfId="0"/>
    <xf numFmtId="0" fontId="7" fillId="7" borderId="2" xfId="6"/>
    <xf numFmtId="0" fontId="0" fillId="0" borderId="0" xfId="0" applyAlignment="1">
      <alignment horizontal="center" vertical="center"/>
    </xf>
    <xf numFmtId="0" fontId="3" fillId="3" borderId="0" xfId="2" applyAlignment="1">
      <alignment horizontal="center" vertical="center"/>
    </xf>
    <xf numFmtId="0" fontId="5" fillId="5" borderId="1" xfId="4" applyAlignment="1">
      <alignment horizontal="center" vertical="center"/>
    </xf>
    <xf numFmtId="0" fontId="1" fillId="8" borderId="0" xfId="7" applyAlignment="1">
      <alignment horizontal="center" vertical="center"/>
    </xf>
    <xf numFmtId="0" fontId="5" fillId="5" borderId="1" xfId="4"/>
    <xf numFmtId="0" fontId="6" fillId="6" borderId="1" xfId="5" applyAlignment="1">
      <alignment horizontal="center" vertical="center"/>
    </xf>
    <xf numFmtId="0" fontId="0" fillId="0" borderId="0" xfId="0" applyAlignment="1">
      <alignment horizontal="centerContinuous"/>
    </xf>
    <xf numFmtId="0" fontId="0" fillId="0" borderId="0" xfId="0" quotePrefix="1"/>
    <xf numFmtId="0" fontId="2" fillId="2" borderId="0" xfId="1" applyAlignment="1">
      <alignment horizontal="centerContinuous"/>
    </xf>
    <xf numFmtId="0" fontId="4" fillId="4" borderId="0" xfId="3" applyAlignment="1">
      <alignment horizontal="centerContinuous"/>
    </xf>
    <xf numFmtId="0" fontId="6" fillId="6" borderId="1" xfId="5" quotePrefix="1" applyAlignment="1">
      <alignment horizontal="center" vertical="center"/>
    </xf>
    <xf numFmtId="0" fontId="10" fillId="10" borderId="5" xfId="11" applyFont="1" applyFill="1" applyBorder="1" applyAlignment="1">
      <alignment horizontal="center" vertical="center"/>
    </xf>
    <xf numFmtId="0" fontId="7" fillId="11" borderId="0" xfId="0" applyFont="1" applyFill="1" applyBorder="1" applyAlignment="1">
      <alignment horizontal="center" vertical="center"/>
    </xf>
    <xf numFmtId="0" fontId="7" fillId="8" borderId="0" xfId="7" applyFont="1" applyFill="1" applyBorder="1" applyAlignment="1">
      <alignment horizontal="center" vertical="center"/>
    </xf>
    <xf numFmtId="0" fontId="10" fillId="12" borderId="5" xfId="11" applyFont="1" applyFill="1" applyBorder="1" applyAlignment="1">
      <alignment horizontal="center" vertical="center"/>
    </xf>
    <xf numFmtId="0" fontId="9" fillId="0" borderId="0" xfId="10"/>
    <xf numFmtId="0" fontId="0" fillId="0" borderId="0" xfId="0" applyAlignment="1">
      <alignment horizontal="center"/>
    </xf>
    <xf numFmtId="0" fontId="4" fillId="4" borderId="0" xfId="3"/>
    <xf numFmtId="0" fontId="2" fillId="2" borderId="0" xfId="1"/>
    <xf numFmtId="0" fontId="6" fillId="6" borderId="1" xfId="5"/>
    <xf numFmtId="0" fontId="6" fillId="6" borderId="1" xfId="5" applyAlignment="1">
      <alignment horizontal="center"/>
    </xf>
    <xf numFmtId="0" fontId="0" fillId="9" borderId="4" xfId="9" applyFont="1"/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7" fillId="13" borderId="7" xfId="0" applyFont="1" applyFill="1" applyBorder="1"/>
    <xf numFmtId="0" fontId="7" fillId="7" borderId="2" xfId="6" applyAlignment="1">
      <alignment horizontal="center" vertical="center" textRotation="90"/>
    </xf>
    <xf numFmtId="0" fontId="7" fillId="7" borderId="8" xfId="6" applyBorder="1" applyAlignment="1">
      <alignment horizontal="center" vertical="center" textRotation="90"/>
    </xf>
    <xf numFmtId="0" fontId="7" fillId="7" borderId="9" xfId="6" applyBorder="1" applyAlignment="1">
      <alignment horizontal="center" vertical="center" textRotation="90"/>
    </xf>
    <xf numFmtId="0" fontId="7" fillId="7" borderId="10" xfId="6" applyBorder="1" applyAlignment="1">
      <alignment horizontal="center" vertical="center" textRotation="90"/>
    </xf>
    <xf numFmtId="0" fontId="14" fillId="5" borderId="1" xfId="4" applyFont="1"/>
    <xf numFmtId="0" fontId="15" fillId="6" borderId="1" xfId="5" applyFont="1"/>
    <xf numFmtId="0" fontId="16" fillId="0" borderId="0" xfId="0" applyFont="1"/>
    <xf numFmtId="0" fontId="7" fillId="7" borderId="2" xfId="6" applyAlignment="1">
      <alignment horizontal="center" vertical="center" textRotation="90" wrapText="1"/>
    </xf>
    <xf numFmtId="16" fontId="5" fillId="5" borderId="1" xfId="4" quotePrefix="1" applyNumberFormat="1"/>
    <xf numFmtId="0" fontId="7" fillId="13" borderId="6" xfId="0" applyFont="1" applyFill="1" applyBorder="1" applyAlignment="1"/>
    <xf numFmtId="0" fontId="8" fillId="0" borderId="3" xfId="8"/>
  </cellXfs>
  <cellStyles count="12">
    <cellStyle name="20% - Accent1" xfId="7" builtinId="30"/>
    <cellStyle name="Accent6" xfId="11" builtinId="49"/>
    <cellStyle name="Bad" xfId="2" builtinId="27"/>
    <cellStyle name="Calculation" xfId="5" builtinId="22"/>
    <cellStyle name="Check Cell" xfId="6" builtinId="23"/>
    <cellStyle name="Explanatory Text" xfId="10" builtinId="53"/>
    <cellStyle name="Good" xfId="1" builtinId="26"/>
    <cellStyle name="Heading 1" xfId="8" builtinId="16"/>
    <cellStyle name="Input" xfId="4" builtinId="20"/>
    <cellStyle name="Neutral" xfId="3" builtinId="28"/>
    <cellStyle name="Normal" xfId="0" builtinId="0"/>
    <cellStyle name="Note" xfId="9" builtinId="10"/>
  </cellStyles>
  <dxfs count="37"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</dxf>
    <dxf>
      <border outline="0">
        <top style="thin">
          <color theme="9"/>
        </top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6"/>
        </top>
        <bottom/>
      </border>
    </dxf>
    <dxf>
      <border outline="0">
        <left style="thin">
          <color theme="6"/>
        </left>
        <top style="thin">
          <color theme="6"/>
        </top>
        <bottom style="thin">
          <color theme="6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RiskManagementMatrix" displayName="RiskManagementMatrix" ref="B4:J12" totalsRowShown="0" headerRowDxfId="36" dataDxfId="35">
  <autoFilter ref="B4:J12" xr:uid="{00000000-0009-0000-0100-000001000000}"/>
  <tableColumns count="9">
    <tableColumn id="1" xr3:uid="{00000000-0010-0000-0000-000001000000}" name="Impact" dataDxfId="34" dataCellStyle="Bad"/>
    <tableColumn id="2" xr3:uid="{00000000-0010-0000-0000-000002000000}" name="1" dataDxfId="33"/>
    <tableColumn id="3" xr3:uid="{00000000-0010-0000-0000-000003000000}" name="2" dataDxfId="32">
      <calculatedColumnFormula>C5+1</calculatedColumnFormula>
    </tableColumn>
    <tableColumn id="4" xr3:uid="{00000000-0010-0000-0000-000004000000}" name="3" dataDxfId="31">
      <calculatedColumnFormula>D5+1</calculatedColumnFormula>
    </tableColumn>
    <tableColumn id="5" xr3:uid="{00000000-0010-0000-0000-000005000000}" name="4" dataDxfId="30">
      <calculatedColumnFormula>E5+1</calculatedColumnFormula>
    </tableColumn>
    <tableColumn id="6" xr3:uid="{00000000-0010-0000-0000-000006000000}" name="5" dataDxfId="29">
      <calculatedColumnFormula>F5+1</calculatedColumnFormula>
    </tableColumn>
    <tableColumn id="7" xr3:uid="{00000000-0010-0000-0000-000007000000}" name="6" dataDxfId="28">
      <calculatedColumnFormula>G5+1</calculatedColumnFormula>
    </tableColumn>
    <tableColumn id="8" xr3:uid="{00000000-0010-0000-0000-000008000000}" name="7" dataDxfId="27">
      <calculatedColumnFormula>H5+1</calculatedColumnFormula>
    </tableColumn>
    <tableColumn id="9" xr3:uid="{00000000-0010-0000-0000-000009000000}" name="8" dataDxfId="26">
      <calculatedColumnFormula>I5+1</calculatedColumnFormula>
    </tableColumn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1A5029D-00DB-48DA-A96F-B02178ABB4A0}" name="ImpacttoCriticality" displayName="ImpacttoCriticality" ref="D5:F13" totalsRowShown="0" headerRowDxfId="17" dataDxfId="16" headerRowCellStyle="Explanatory Text" dataCellStyle="Explanatory Text">
  <autoFilter ref="D5:F13" xr:uid="{789C33CF-5CE4-49B6-852D-FC707D2DC1C2}"/>
  <tableColumns count="3">
    <tableColumn id="1" xr3:uid="{156FDE15-AFB1-4A12-B1FF-176A3FC81F34}" name="Impact Level" dataDxfId="15" dataCellStyle="Normal"/>
    <tableColumn id="2" xr3:uid="{0B9AA606-9453-4CCC-B9E9-CF98012B8449}" name="Criticality Unspared" dataDxfId="14" dataCellStyle="Normal"/>
    <tableColumn id="3" xr3:uid="{E24B7BF7-7047-4903-BEE5-A2B8F2145249}" name="Criticality If Spared" dataDxfId="13" dataCellStyle="Normal"/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D9D764B-998B-4644-8CBB-1D7E3760A3DD}" name="RawImpactToCriticality" displayName="RawImpactToCriticality" ref="A5:B18" totalsRowShown="0" tableBorderDxfId="25">
  <autoFilter ref="A5:B18" xr:uid="{CF66F86F-7A9A-490E-B8DA-1E614F346A33}"/>
  <tableColumns count="2">
    <tableColumn id="1" xr3:uid="{5C1451B6-CC01-4211-B6E4-5BD9BF3A3BBE}" name="Impact Level" dataDxfId="24" dataCellStyle="Accent6"/>
    <tableColumn id="2" xr3:uid="{3CBC28BD-2B16-46B5-8FBF-3358374F84D8}" name="Criticality Rating of Equipment" dataDxfId="23" dataCellStyle="Normal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5165165-6062-4B03-BD1F-98A8E1AC068A}" name="RawCriticalityRatingToLevel" displayName="RawCriticalityRatingToLevel" ref="B6:C9" totalsRowShown="0" dataDxfId="20" headerRowCellStyle="Normal" dataCellStyle="Normal">
  <autoFilter ref="B6:C9" xr:uid="{EFF746D5-E255-4FED-93BB-C65E30B28AD0}"/>
  <tableColumns count="2">
    <tableColumn id="1" xr3:uid="{FAB37CEE-3ECC-4847-A3DD-506D0A998C19}" name="Criticality Rating" dataDxfId="22" dataCellStyle="Normal"/>
    <tableColumn id="2" xr3:uid="{C2D505BA-55B6-419F-B77A-A0E93F114E55}" name="Criticality Level" dataDxfId="21" dataCellStyle="Normal"/>
  </tableColumns>
  <tableStyleInfo name="TableStyleLight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A37317B-053D-4C64-B448-67DD8DFB6AD8}" name="CriticalityRatingToLevel" displayName="CriticalityRatingToLevel" ref="E6:F16" totalsRowShown="0" headerRowDxfId="18" dataDxfId="2" tableBorderDxfId="19">
  <autoFilter ref="E6:F16" xr:uid="{1B3679AE-077D-42DD-A60D-39C9BC81303B}"/>
  <tableColumns count="2">
    <tableColumn id="1" xr3:uid="{41D2E822-C3E5-432F-9F6C-20569EF059F4}" name="Criticality Rating" dataDxfId="4"/>
    <tableColumn id="2" xr3:uid="{21DFE210-4734-431B-88CE-FBAF5CCCCFA5}" name="Criticality Level" dataDxfId="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31192A6-947E-4E0E-B9CD-A12E434A7ECB}" name="Table7" displayName="Table7" ref="A3:E7" totalsRowShown="0">
  <autoFilter ref="A3:E7" xr:uid="{7E2C7A5C-5B34-4231-ABA0-E59AE048F661}"/>
  <tableColumns count="5">
    <tableColumn id="1" xr3:uid="{F84D0015-F532-4D1A-ADEB-56FEB4EA38D5}" name="Risk Category"/>
    <tableColumn id="2" xr3:uid="{565C0772-34AF-4B61-AB09-47F7302F4C9B}" name="Impact Threshold"/>
    <tableColumn id="3" xr3:uid="{A08C3F0A-3ECC-43EB-83FE-8408817AA19B}" name="Maximo threshold" dataDxfId="1"/>
    <tableColumn id="4" xr3:uid="{6FA1947E-3580-4182-A8B8-FD887C900F6E}" name="Maximo Criticality type"/>
    <tableColumn id="5" xr3:uid="{FDEFD1EB-F5D4-425F-B01D-83E55B3B6DF0}" name="SCE Threshold" dataDxfId="0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6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X36"/>
  <sheetViews>
    <sheetView workbookViewId="0">
      <selection activeCell="L7" sqref="L7:L12"/>
    </sheetView>
  </sheetViews>
  <sheetFormatPr defaultRowHeight="15" x14ac:dyDescent="0.25"/>
  <cols>
    <col min="2" max="2" width="11" customWidth="1"/>
    <col min="3" max="10" width="6.28515625" customWidth="1"/>
    <col min="11" max="11" width="5" customWidth="1"/>
    <col min="12" max="12" width="10.140625" bestFit="1" customWidth="1"/>
  </cols>
  <sheetData>
    <row r="3" spans="2:24" x14ac:dyDescent="0.25">
      <c r="C3" s="8" t="s">
        <v>17</v>
      </c>
      <c r="D3" s="8"/>
      <c r="E3" s="8"/>
      <c r="F3" s="8"/>
      <c r="G3" s="8"/>
      <c r="H3" s="8"/>
      <c r="I3" s="8"/>
      <c r="J3" s="8"/>
      <c r="L3" s="10" t="s">
        <v>33</v>
      </c>
      <c r="M3" s="10"/>
      <c r="N3" s="10"/>
      <c r="O3" s="10"/>
      <c r="S3" s="11" t="s">
        <v>73</v>
      </c>
      <c r="T3" s="11"/>
      <c r="W3" s="11" t="s">
        <v>34</v>
      </c>
      <c r="X3" s="11"/>
    </row>
    <row r="4" spans="2:24" x14ac:dyDescent="0.25">
      <c r="B4" s="2" t="s">
        <v>8</v>
      </c>
      <c r="C4" s="5" t="s">
        <v>9</v>
      </c>
      <c r="D4" s="5" t="s">
        <v>10</v>
      </c>
      <c r="E4" s="5" t="s">
        <v>11</v>
      </c>
      <c r="F4" s="5" t="s">
        <v>12</v>
      </c>
      <c r="G4" s="5" t="s">
        <v>13</v>
      </c>
      <c r="H4" s="5" t="s">
        <v>14</v>
      </c>
      <c r="I4" s="5" t="s">
        <v>15</v>
      </c>
      <c r="J4" s="5" t="s">
        <v>16</v>
      </c>
      <c r="L4" s="7" t="s">
        <v>21</v>
      </c>
      <c r="M4" s="6" t="s">
        <v>32</v>
      </c>
      <c r="N4" s="6" t="s">
        <v>31</v>
      </c>
      <c r="O4" s="9" t="s">
        <v>37</v>
      </c>
      <c r="S4" s="7" t="s">
        <v>21</v>
      </c>
      <c r="T4" s="9" t="s">
        <v>36</v>
      </c>
      <c r="W4" s="9" t="s">
        <v>35</v>
      </c>
    </row>
    <row r="5" spans="2:24" ht="27" customHeight="1" x14ac:dyDescent="0.25">
      <c r="B5" s="3" t="s">
        <v>0</v>
      </c>
      <c r="C5" s="2">
        <f t="shared" ref="C5:C10" si="0">C6+1</f>
        <v>8</v>
      </c>
      <c r="D5" s="2">
        <f t="shared" ref="D5:J5" si="1">C5+1</f>
        <v>9</v>
      </c>
      <c r="E5" s="2">
        <f t="shared" si="1"/>
        <v>10</v>
      </c>
      <c r="F5" s="2">
        <f t="shared" si="1"/>
        <v>11</v>
      </c>
      <c r="G5" s="2">
        <f t="shared" si="1"/>
        <v>12</v>
      </c>
      <c r="H5" s="2">
        <f t="shared" si="1"/>
        <v>13</v>
      </c>
      <c r="I5" s="2">
        <f t="shared" si="1"/>
        <v>14</v>
      </c>
      <c r="J5" s="2">
        <f t="shared" si="1"/>
        <v>15</v>
      </c>
    </row>
    <row r="6" spans="2:24" ht="27" customHeight="1" thickBot="1" x14ac:dyDescent="0.3">
      <c r="B6" s="3" t="s">
        <v>1</v>
      </c>
      <c r="C6" s="2">
        <f t="shared" si="0"/>
        <v>7</v>
      </c>
      <c r="D6" s="2">
        <f t="shared" ref="D6:J6" si="2">C6+1</f>
        <v>8</v>
      </c>
      <c r="E6" s="2">
        <f t="shared" si="2"/>
        <v>9</v>
      </c>
      <c r="F6" s="2">
        <f t="shared" si="2"/>
        <v>10</v>
      </c>
      <c r="G6" s="2">
        <f t="shared" si="2"/>
        <v>11</v>
      </c>
      <c r="H6" s="2">
        <f t="shared" si="2"/>
        <v>12</v>
      </c>
      <c r="I6" s="2">
        <f t="shared" si="2"/>
        <v>13</v>
      </c>
      <c r="J6" s="2">
        <f t="shared" si="2"/>
        <v>14</v>
      </c>
      <c r="M6" t="s">
        <v>8</v>
      </c>
      <c r="N6" t="s">
        <v>17</v>
      </c>
      <c r="O6" t="s">
        <v>20</v>
      </c>
      <c r="P6" t="s">
        <v>18</v>
      </c>
      <c r="Q6" t="s">
        <v>19</v>
      </c>
      <c r="S6" t="s">
        <v>20</v>
      </c>
      <c r="T6" t="s">
        <v>18</v>
      </c>
      <c r="U6" t="s">
        <v>19</v>
      </c>
      <c r="W6" t="s">
        <v>38</v>
      </c>
      <c r="X6" t="s">
        <v>19</v>
      </c>
    </row>
    <row r="7" spans="2:24" ht="27" customHeight="1" thickTop="1" thickBot="1" x14ac:dyDescent="0.3">
      <c r="B7" s="3" t="s">
        <v>2</v>
      </c>
      <c r="C7" s="2">
        <f t="shared" si="0"/>
        <v>6</v>
      </c>
      <c r="D7" s="2">
        <f t="shared" ref="D7:J7" si="3">C7+1</f>
        <v>7</v>
      </c>
      <c r="E7" s="2">
        <f t="shared" si="3"/>
        <v>8</v>
      </c>
      <c r="F7" s="2">
        <f t="shared" si="3"/>
        <v>9</v>
      </c>
      <c r="G7" s="2">
        <f t="shared" si="3"/>
        <v>10</v>
      </c>
      <c r="H7" s="2">
        <f t="shared" si="3"/>
        <v>11</v>
      </c>
      <c r="I7" s="2">
        <f t="shared" si="3"/>
        <v>12</v>
      </c>
      <c r="J7" s="2">
        <f t="shared" si="3"/>
        <v>13</v>
      </c>
      <c r="L7" s="28" t="s">
        <v>26</v>
      </c>
      <c r="M7" s="4" t="s">
        <v>0</v>
      </c>
      <c r="N7" s="4">
        <v>8</v>
      </c>
      <c r="O7" s="7">
        <f>MATCH(M7,{"H","G","F","E","D","C","B","A"},0)+MATCH(N7, {1,2,3,4,5,6,7,8}, 0) - 1</f>
        <v>15</v>
      </c>
      <c r="P7">
        <f>T7</f>
        <v>15</v>
      </c>
      <c r="Q7" t="str">
        <f>IF(P7=O7,"pass","fail")</f>
        <v>pass</v>
      </c>
      <c r="S7" s="7">
        <f>MATCH(M7,{"H","G","F","E","D","C","B","A"},0)+N7-1</f>
        <v>15</v>
      </c>
      <c r="T7">
        <v>15</v>
      </c>
      <c r="U7" t="str">
        <f>IF(T7=S7,"pass","fail")</f>
        <v>pass</v>
      </c>
      <c r="W7" s="12">
        <f>VLOOKUP(M7,RiskManagementMatrix[],N7+1,)</f>
        <v>15</v>
      </c>
      <c r="X7" t="str">
        <f>IF(W7=T7,"pass","fail")</f>
        <v>pass</v>
      </c>
    </row>
    <row r="8" spans="2:24" ht="27" customHeight="1" thickTop="1" thickBot="1" x14ac:dyDescent="0.3">
      <c r="B8" s="3" t="s">
        <v>3</v>
      </c>
      <c r="C8" s="2">
        <f t="shared" si="0"/>
        <v>5</v>
      </c>
      <c r="D8" s="2">
        <f t="shared" ref="D8:J8" si="4">C8+1</f>
        <v>6</v>
      </c>
      <c r="E8" s="2">
        <f t="shared" si="4"/>
        <v>7</v>
      </c>
      <c r="F8" s="2">
        <f t="shared" si="4"/>
        <v>8</v>
      </c>
      <c r="G8" s="2">
        <f t="shared" si="4"/>
        <v>9</v>
      </c>
      <c r="H8" s="2">
        <f t="shared" si="4"/>
        <v>10</v>
      </c>
      <c r="I8" s="2">
        <f t="shared" si="4"/>
        <v>11</v>
      </c>
      <c r="J8" s="2">
        <f t="shared" si="4"/>
        <v>12</v>
      </c>
      <c r="L8" s="28"/>
      <c r="M8" s="4" t="s">
        <v>5</v>
      </c>
      <c r="N8" s="4">
        <v>1</v>
      </c>
      <c r="O8" s="7">
        <f>MATCH(M8,{"H","G","F","E","D","C","B","A"},0)+MATCH(N8, {1,2,3,4,5,6,7,8}, 0) - 1</f>
        <v>3</v>
      </c>
      <c r="P8">
        <f>T8</f>
        <v>3</v>
      </c>
      <c r="Q8" t="str">
        <f>IF(P8=O8,"pass","fail")</f>
        <v>pass</v>
      </c>
      <c r="S8" s="7">
        <f>MATCH(M8,{"H","G","F","E","D","C","B","A"},0)+N8-1</f>
        <v>3</v>
      </c>
      <c r="T8">
        <v>3</v>
      </c>
      <c r="U8" t="str">
        <f>IF(T8=S8,"pass","fail")</f>
        <v>pass</v>
      </c>
      <c r="W8" s="12">
        <f>VLOOKUP(M8,RiskManagementMatrix[],N8+1,)</f>
        <v>3</v>
      </c>
      <c r="X8" t="str">
        <f>IF(W8=T8,"pass","fail")</f>
        <v>pass</v>
      </c>
    </row>
    <row r="9" spans="2:24" ht="27" customHeight="1" thickTop="1" thickBot="1" x14ac:dyDescent="0.3">
      <c r="B9" s="3" t="s">
        <v>4</v>
      </c>
      <c r="C9" s="2">
        <f t="shared" si="0"/>
        <v>4</v>
      </c>
      <c r="D9" s="2">
        <f t="shared" ref="D9:J9" si="5">C9+1</f>
        <v>5</v>
      </c>
      <c r="E9" s="2">
        <f t="shared" si="5"/>
        <v>6</v>
      </c>
      <c r="F9" s="2">
        <f t="shared" si="5"/>
        <v>7</v>
      </c>
      <c r="G9" s="2">
        <f t="shared" si="5"/>
        <v>8</v>
      </c>
      <c r="H9" s="2">
        <f t="shared" si="5"/>
        <v>9</v>
      </c>
      <c r="I9" s="2">
        <f t="shared" si="5"/>
        <v>10</v>
      </c>
      <c r="J9" s="2">
        <f t="shared" si="5"/>
        <v>11</v>
      </c>
      <c r="L9" s="28"/>
      <c r="M9" s="4" t="s">
        <v>3</v>
      </c>
      <c r="N9" s="4">
        <v>4</v>
      </c>
      <c r="O9" s="7">
        <f>MATCH(M9,{"H","G","F","E","D","C","B","A"},0)+MATCH(N9, {1,2,3,4,5,6,7,8}, 0) - 1</f>
        <v>8</v>
      </c>
      <c r="P9">
        <f>T9</f>
        <v>8</v>
      </c>
      <c r="Q9" t="str">
        <f t="shared" ref="Q9:Q11" si="6">IF(P9=O9,"pass","fail")</f>
        <v>pass</v>
      </c>
      <c r="S9" s="7">
        <f>MATCH(M9,{"H","G","F","E","D","C","B","A"},0)+N9-1</f>
        <v>8</v>
      </c>
      <c r="T9">
        <v>8</v>
      </c>
      <c r="U9" t="str">
        <f t="shared" ref="U9:U12" si="7">IF(T9=S9,"pass","fail")</f>
        <v>pass</v>
      </c>
      <c r="W9" s="12">
        <f>VLOOKUP(M9,RiskManagementMatrix[],N9+1,)</f>
        <v>8</v>
      </c>
      <c r="X9" t="str">
        <f>IF(W9=T9,"pass","fail")</f>
        <v>pass</v>
      </c>
    </row>
    <row r="10" spans="2:24" ht="27" customHeight="1" thickTop="1" thickBot="1" x14ac:dyDescent="0.3">
      <c r="B10" s="3" t="s">
        <v>5</v>
      </c>
      <c r="C10" s="2">
        <f t="shared" si="0"/>
        <v>3</v>
      </c>
      <c r="D10" s="2">
        <f t="shared" ref="D10:J10" si="8">C10+1</f>
        <v>4</v>
      </c>
      <c r="E10" s="2">
        <f t="shared" si="8"/>
        <v>5</v>
      </c>
      <c r="F10" s="2">
        <f t="shared" si="8"/>
        <v>6</v>
      </c>
      <c r="G10" s="2">
        <f t="shared" si="8"/>
        <v>7</v>
      </c>
      <c r="H10" s="2">
        <f t="shared" si="8"/>
        <v>8</v>
      </c>
      <c r="I10" s="2">
        <f t="shared" si="8"/>
        <v>9</v>
      </c>
      <c r="J10" s="2">
        <f t="shared" si="8"/>
        <v>10</v>
      </c>
      <c r="L10" s="28"/>
      <c r="M10" s="4" t="s">
        <v>7</v>
      </c>
      <c r="N10" s="4">
        <v>1</v>
      </c>
      <c r="O10" s="7">
        <f>MATCH(M10,{"H","G","F","E","D","C","B","A"},0)+MATCH(N10, {1,2,3,4,5,6,7,8}, 0) - 1</f>
        <v>1</v>
      </c>
      <c r="P10">
        <f>T10</f>
        <v>1</v>
      </c>
      <c r="Q10" t="str">
        <f t="shared" si="6"/>
        <v>pass</v>
      </c>
      <c r="S10" s="7">
        <f>MATCH(M10,{"H","G","F","E","D","C","B","A"},0)+N10-1</f>
        <v>1</v>
      </c>
      <c r="T10">
        <v>1</v>
      </c>
      <c r="U10" t="str">
        <f t="shared" si="7"/>
        <v>pass</v>
      </c>
      <c r="W10" s="12">
        <f>VLOOKUP(M10,RiskManagementMatrix[],N10+1,)</f>
        <v>1</v>
      </c>
      <c r="X10" t="str">
        <f>IF(W10=T10,"pass","fail")</f>
        <v>pass</v>
      </c>
    </row>
    <row r="11" spans="2:24" ht="27" customHeight="1" thickTop="1" thickBot="1" x14ac:dyDescent="0.3">
      <c r="B11" s="3" t="s">
        <v>6</v>
      </c>
      <c r="C11" s="2">
        <f>C12+1</f>
        <v>2</v>
      </c>
      <c r="D11" s="2">
        <f t="shared" ref="D11:J11" si="9">C11+1</f>
        <v>3</v>
      </c>
      <c r="E11" s="2">
        <f t="shared" si="9"/>
        <v>4</v>
      </c>
      <c r="F11" s="2">
        <f t="shared" si="9"/>
        <v>5</v>
      </c>
      <c r="G11" s="2">
        <f t="shared" si="9"/>
        <v>6</v>
      </c>
      <c r="H11" s="2">
        <f t="shared" si="9"/>
        <v>7</v>
      </c>
      <c r="I11" s="2">
        <f t="shared" si="9"/>
        <v>8</v>
      </c>
      <c r="J11" s="2">
        <f t="shared" si="9"/>
        <v>9</v>
      </c>
      <c r="L11" s="28"/>
      <c r="M11" s="4" t="s">
        <v>0</v>
      </c>
      <c r="N11" s="4">
        <v>1</v>
      </c>
      <c r="O11" s="7">
        <f>MATCH(M11,{"H","G","F","E","D","C","B","A"},0)+MATCH(N11, {1,2,3,4,5,6,7,8}, 0) - 1</f>
        <v>8</v>
      </c>
      <c r="P11">
        <f>T11</f>
        <v>8</v>
      </c>
      <c r="Q11" t="str">
        <f t="shared" si="6"/>
        <v>pass</v>
      </c>
      <c r="S11" s="7">
        <f>MATCH(M11,{"H","G","F","E","D","C","B","A"},0)+N11-1</f>
        <v>8</v>
      </c>
      <c r="T11">
        <v>8</v>
      </c>
      <c r="U11" t="str">
        <f t="shared" si="7"/>
        <v>pass</v>
      </c>
      <c r="W11" s="12">
        <f>VLOOKUP(M11,RiskManagementMatrix[],N11+1,)</f>
        <v>8</v>
      </c>
      <c r="X11" t="str">
        <f>IF(W11=T11,"pass","fail")</f>
        <v>pass</v>
      </c>
    </row>
    <row r="12" spans="2:24" ht="27" customHeight="1" thickTop="1" thickBot="1" x14ac:dyDescent="0.3">
      <c r="B12" s="3" t="s">
        <v>7</v>
      </c>
      <c r="C12" s="2">
        <v>1</v>
      </c>
      <c r="D12" s="2">
        <f>C12+1</f>
        <v>2</v>
      </c>
      <c r="E12" s="2">
        <f t="shared" ref="E12:J12" si="10">D12+1</f>
        <v>3</v>
      </c>
      <c r="F12" s="2">
        <f t="shared" si="10"/>
        <v>4</v>
      </c>
      <c r="G12" s="2">
        <f t="shared" si="10"/>
        <v>5</v>
      </c>
      <c r="H12" s="2">
        <f t="shared" si="10"/>
        <v>6</v>
      </c>
      <c r="I12" s="2">
        <f t="shared" si="10"/>
        <v>7</v>
      </c>
      <c r="J12" s="2">
        <f t="shared" si="10"/>
        <v>8</v>
      </c>
      <c r="L12" s="28"/>
      <c r="M12" s="4" t="s">
        <v>6</v>
      </c>
      <c r="N12" s="4">
        <v>7</v>
      </c>
      <c r="O12" s="7">
        <f>MATCH(M12,{"H","G","F","E","D","C","B","A"},0)+MATCH(N12, {1,2,3,4,5,6,7,8}, 0) - 1</f>
        <v>8</v>
      </c>
      <c r="P12">
        <f>T12</f>
        <v>8</v>
      </c>
      <c r="Q12" t="str">
        <f>IF(P12=O12,"pass","fail")</f>
        <v>pass</v>
      </c>
      <c r="S12" s="7">
        <f>MATCH(M12,{"H","G","F","E","D","C","B","A"},0)+N12-1</f>
        <v>8</v>
      </c>
      <c r="T12">
        <v>8</v>
      </c>
      <c r="U12" t="str">
        <f t="shared" si="7"/>
        <v>pass</v>
      </c>
      <c r="W12" s="12">
        <f>VLOOKUP(M12,RiskManagementMatrix[],N12+1,)</f>
        <v>8</v>
      </c>
      <c r="X12" t="str">
        <f>IF(W12=T12,"pass","fail")</f>
        <v>pass</v>
      </c>
    </row>
    <row r="13" spans="2:24" ht="15.75" thickTop="1" x14ac:dyDescent="0.25">
      <c r="L13" t="s">
        <v>24</v>
      </c>
    </row>
    <row r="14" spans="2:24" ht="15.75" thickBot="1" x14ac:dyDescent="0.3">
      <c r="B14" t="s">
        <v>39</v>
      </c>
      <c r="P14" t="s">
        <v>23</v>
      </c>
      <c r="T14" t="s">
        <v>23</v>
      </c>
    </row>
    <row r="15" spans="2:24" ht="16.5" thickTop="1" thickBot="1" x14ac:dyDescent="0.3">
      <c r="L15" s="28" t="s">
        <v>27</v>
      </c>
      <c r="M15" s="4" t="s">
        <v>0</v>
      </c>
      <c r="N15" s="4">
        <v>9</v>
      </c>
      <c r="O15" s="7" t="e">
        <f>MATCH(M15,{"H","G","F","E","D","C","B","A"},0)+MATCH(N15, {1,2,3,4,5,6,7,8}, 0) - 1</f>
        <v>#N/A</v>
      </c>
      <c r="P15" t="e">
        <v>#N/A</v>
      </c>
      <c r="Q15" t="str">
        <f>IF(ISNA(O15), "OK", "error")</f>
        <v>OK</v>
      </c>
      <c r="S15" s="7">
        <f>MATCH(M15,{"H","G","F","E","D","C","B","A"},0)+N15-1</f>
        <v>16</v>
      </c>
      <c r="T15" t="e">
        <v>#N/A</v>
      </c>
      <c r="U15" t="str">
        <f>IF(ISNA(S15), "OK", "error")</f>
        <v>error</v>
      </c>
      <c r="W15" s="12" t="e">
        <f>VLOOKUP(M15,RiskManagementMatrix[],N15+1,)</f>
        <v>#REF!</v>
      </c>
      <c r="X15" t="str">
        <f>IF(ISNA(W15), "OK", "error")</f>
        <v>error</v>
      </c>
    </row>
    <row r="16" spans="2:24" ht="16.5" thickTop="1" thickBot="1" x14ac:dyDescent="0.3">
      <c r="L16" s="28"/>
      <c r="M16" s="4" t="s">
        <v>22</v>
      </c>
      <c r="N16" s="4">
        <v>1</v>
      </c>
      <c r="O16" s="7" t="e">
        <f>MATCH(M16,{"H","G","F","E","D","C","B","A"},0)+MATCH(N16, {1,2,3,4,5,6,7,8}, 0) - 1</f>
        <v>#N/A</v>
      </c>
      <c r="P16" t="e">
        <v>#N/A</v>
      </c>
      <c r="Q16" t="str">
        <f t="shared" ref="Q16:Q24" si="11">IF(ISNA(O16), "OK", "error")</f>
        <v>OK</v>
      </c>
      <c r="S16" s="7" t="e">
        <f>MATCH(M16,{"H","G","F","E","D","C","B","A"},0)+N16-1</f>
        <v>#N/A</v>
      </c>
      <c r="T16" t="e">
        <v>#N/A</v>
      </c>
      <c r="U16" t="str">
        <f t="shared" ref="U16:U24" si="12">IF(ISNA(S16), "OK", "error")</f>
        <v>OK</v>
      </c>
      <c r="W16" s="12" t="e">
        <f>VLOOKUP(M16,RiskManagementMatrix[],N16+1,)</f>
        <v>#N/A</v>
      </c>
      <c r="X16" t="str">
        <f t="shared" ref="X16:X24" si="13">IF(ISNA(W16), "OK", "error")</f>
        <v>OK</v>
      </c>
    </row>
    <row r="17" spans="4:24" ht="16.5" thickTop="1" thickBot="1" x14ac:dyDescent="0.3">
      <c r="L17" s="28"/>
      <c r="M17" s="4" t="s">
        <v>6</v>
      </c>
      <c r="N17" s="4">
        <v>0</v>
      </c>
      <c r="O17" s="7" t="e">
        <f>MATCH(M17,{"H","G","F","E","D","C","B","A"},0)+MATCH(N17, {1,2,3,4,5,6,7,8}, 0) - 1</f>
        <v>#N/A</v>
      </c>
      <c r="P17" t="e">
        <v>#N/A</v>
      </c>
      <c r="Q17" t="str">
        <f t="shared" si="11"/>
        <v>OK</v>
      </c>
      <c r="S17" s="7">
        <f>MATCH(M17,{"H","G","F","E","D","C","B","A"},0)+N17-1</f>
        <v>1</v>
      </c>
      <c r="T17" t="e">
        <v>#N/A</v>
      </c>
      <c r="U17" t="str">
        <f t="shared" si="12"/>
        <v>error</v>
      </c>
      <c r="W17" s="12" t="str">
        <f>VLOOKUP(M17,RiskManagementMatrix[],N17+1,)</f>
        <v>G</v>
      </c>
      <c r="X17" t="str">
        <f t="shared" si="13"/>
        <v>error</v>
      </c>
    </row>
    <row r="18" spans="4:24" ht="16.5" thickTop="1" thickBot="1" x14ac:dyDescent="0.3">
      <c r="L18" s="28"/>
      <c r="M18" s="4" t="s">
        <v>25</v>
      </c>
      <c r="N18" s="4">
        <v>8</v>
      </c>
      <c r="O18" s="7" t="e">
        <f>MATCH(M18,{"H","G","F","E","D","C","B","A"},0)+MATCH(N18, {1,2,3,4,5,6,7,8}, 0) - 1</f>
        <v>#N/A</v>
      </c>
      <c r="P18" t="e">
        <v>#N/A</v>
      </c>
      <c r="Q18" t="str">
        <f t="shared" si="11"/>
        <v>OK</v>
      </c>
      <c r="S18" s="7" t="e">
        <f>MATCH(M18,{"H","G","F","E","D","C","B","A"},0)+N18-1</f>
        <v>#N/A</v>
      </c>
      <c r="T18" t="e">
        <v>#N/A</v>
      </c>
      <c r="U18" t="str">
        <f t="shared" si="12"/>
        <v>OK</v>
      </c>
      <c r="W18" s="12" t="e">
        <f>VLOOKUP(M18,RiskManagementMatrix[],N18+1,)</f>
        <v>#N/A</v>
      </c>
      <c r="X18" t="str">
        <f t="shared" si="13"/>
        <v>OK</v>
      </c>
    </row>
    <row r="19" spans="4:24" ht="16.5" thickTop="1" thickBot="1" x14ac:dyDescent="0.3">
      <c r="L19" s="28"/>
      <c r="M19" s="4">
        <v>4</v>
      </c>
      <c r="N19" s="4" t="s">
        <v>2</v>
      </c>
      <c r="O19" s="7" t="e">
        <f>MATCH(M19,{"H","G","F","E","D","C","B","A"},0)+MATCH(N19, {1,2,3,4,5,6,7,8}, 0) - 1</f>
        <v>#N/A</v>
      </c>
      <c r="P19" t="e">
        <v>#N/A</v>
      </c>
      <c r="Q19" t="str">
        <f t="shared" si="11"/>
        <v>OK</v>
      </c>
      <c r="S19" s="7" t="e">
        <f>MATCH(M19,{"H","G","F","E","D","C","B","A"},0)+N19-1</f>
        <v>#N/A</v>
      </c>
      <c r="T19" t="e">
        <v>#N/A</v>
      </c>
      <c r="U19" t="str">
        <f t="shared" si="12"/>
        <v>OK</v>
      </c>
      <c r="W19" s="12" t="e">
        <f>VLOOKUP(M19,RiskManagementMatrix[],N19+1,)</f>
        <v>#VALUE!</v>
      </c>
      <c r="X19" t="str">
        <f t="shared" si="13"/>
        <v>error</v>
      </c>
    </row>
    <row r="20" spans="4:24" ht="16.5" thickTop="1" thickBot="1" x14ac:dyDescent="0.3">
      <c r="L20" s="28"/>
      <c r="M20" s="4" t="s">
        <v>28</v>
      </c>
      <c r="N20" s="4">
        <v>5</v>
      </c>
      <c r="O20" s="7" t="e">
        <f>MATCH(M20,{"H","G","F","E","D","C","B","A"},0)+MATCH(N20, {1,2,3,4,5,6,7,8}, 0) - 1</f>
        <v>#N/A</v>
      </c>
      <c r="P20" t="e">
        <v>#N/A</v>
      </c>
      <c r="Q20" t="str">
        <f t="shared" si="11"/>
        <v>OK</v>
      </c>
      <c r="S20" s="7" t="e">
        <f>MATCH(M20,{"H","G","F","E","D","C","B","A"},0)+N20-1</f>
        <v>#N/A</v>
      </c>
      <c r="T20" t="e">
        <v>#N/A</v>
      </c>
      <c r="U20" t="str">
        <f t="shared" si="12"/>
        <v>OK</v>
      </c>
      <c r="W20" s="12" t="e">
        <f>VLOOKUP(M20,RiskManagementMatrix[],N20+1,)</f>
        <v>#N/A</v>
      </c>
      <c r="X20" t="str">
        <f t="shared" si="13"/>
        <v>OK</v>
      </c>
    </row>
    <row r="21" spans="4:24" ht="16.5" thickTop="1" thickBot="1" x14ac:dyDescent="0.3">
      <c r="L21" s="28"/>
      <c r="M21" s="4" t="s">
        <v>29</v>
      </c>
      <c r="N21" s="4">
        <v>0.1</v>
      </c>
      <c r="O21" s="7" t="e">
        <f>MATCH(M21,{"H","G","F","E","D","C","B","A"},0)+MATCH(N21, {1,2,3,4,5,6,7,8}, 0) - 1</f>
        <v>#N/A</v>
      </c>
      <c r="P21" t="e">
        <v>#N/A</v>
      </c>
      <c r="Q21" t="str">
        <f t="shared" si="11"/>
        <v>OK</v>
      </c>
      <c r="S21" s="7" t="e">
        <f>MATCH(M21,{"H","G","F","E","D","C","B","A"},0)+N21-1</f>
        <v>#N/A</v>
      </c>
      <c r="T21" t="e">
        <v>#N/A</v>
      </c>
      <c r="U21" t="str">
        <f t="shared" si="12"/>
        <v>OK</v>
      </c>
      <c r="W21" s="12" t="e">
        <f>VLOOKUP(M21,RiskManagementMatrix[],N21+1,)</f>
        <v>#N/A</v>
      </c>
      <c r="X21" t="str">
        <f t="shared" si="13"/>
        <v>OK</v>
      </c>
    </row>
    <row r="22" spans="4:24" ht="16.5" thickTop="1" thickBot="1" x14ac:dyDescent="0.3">
      <c r="L22" s="28"/>
      <c r="M22" s="4"/>
      <c r="N22" s="4">
        <v>2</v>
      </c>
      <c r="O22" s="7" t="e">
        <f>MATCH(M22,{"H","G","F","E","D","C","B","A"},0)+MATCH(N22, {1,2,3,4,5,6,7,8}, 0) - 1</f>
        <v>#N/A</v>
      </c>
      <c r="P22" t="e">
        <v>#N/A</v>
      </c>
      <c r="Q22" t="str">
        <f t="shared" si="11"/>
        <v>OK</v>
      </c>
      <c r="S22" s="7" t="e">
        <f>MATCH(M22,{"H","G","F","E","D","C","B","A"},0)+N22-1</f>
        <v>#N/A</v>
      </c>
      <c r="T22" t="e">
        <v>#N/A</v>
      </c>
      <c r="U22" t="str">
        <f t="shared" si="12"/>
        <v>OK</v>
      </c>
      <c r="W22" s="12" t="e">
        <f>VLOOKUP(M22,RiskManagementMatrix[],N22+1,)</f>
        <v>#N/A</v>
      </c>
      <c r="X22" t="str">
        <f t="shared" si="13"/>
        <v>OK</v>
      </c>
    </row>
    <row r="23" spans="4:24" ht="16.5" thickTop="1" thickBot="1" x14ac:dyDescent="0.3">
      <c r="L23" s="28"/>
      <c r="M23" s="4"/>
      <c r="N23" s="4"/>
      <c r="O23" s="7" t="e">
        <f>MATCH(M23,{"H","G","F","E","D","C","B","A"},0)+MATCH(N23, {1,2,3,4,5,6,7,8}, 0) - 1</f>
        <v>#N/A</v>
      </c>
      <c r="P23" t="e">
        <v>#N/A</v>
      </c>
      <c r="Q23" t="str">
        <f t="shared" si="11"/>
        <v>OK</v>
      </c>
      <c r="S23" s="7" t="e">
        <f>MATCH(M23,{"H","G","F","E","D","C","B","A"},0)+N23-1</f>
        <v>#N/A</v>
      </c>
      <c r="T23" t="e">
        <v>#N/A</v>
      </c>
      <c r="U23" t="str">
        <f t="shared" si="12"/>
        <v>OK</v>
      </c>
      <c r="W23" s="12" t="e">
        <f>VLOOKUP(M23,RiskManagementMatrix[],N23+1,)</f>
        <v>#N/A</v>
      </c>
      <c r="X23" t="str">
        <f t="shared" si="13"/>
        <v>OK</v>
      </c>
    </row>
    <row r="24" spans="4:24" ht="16.5" thickTop="1" thickBot="1" x14ac:dyDescent="0.3">
      <c r="L24" s="28"/>
      <c r="M24" s="4" t="s">
        <v>30</v>
      </c>
      <c r="N24" s="4"/>
      <c r="O24" s="7" t="e">
        <f>MATCH(M24,{"H","G","F","E","D","C","B","A"},0)+MATCH(N24, {1,2,3,4,5,6,7,8}, 0) - 1</f>
        <v>#N/A</v>
      </c>
      <c r="P24" t="e">
        <v>#N/A</v>
      </c>
      <c r="Q24" t="str">
        <f t="shared" si="11"/>
        <v>OK</v>
      </c>
      <c r="S24" s="7" t="e">
        <f>MATCH(M24,{"H","G","F","E","D","C","B","A"},0)+N24-1</f>
        <v>#N/A</v>
      </c>
      <c r="T24" t="e">
        <v>#N/A</v>
      </c>
      <c r="U24" t="str">
        <f t="shared" si="12"/>
        <v>OK</v>
      </c>
      <c r="W24" s="12" t="e">
        <f>VLOOKUP(M24,RiskManagementMatrix[],N24+1,)</f>
        <v>#N/A</v>
      </c>
      <c r="X24" t="str">
        <f t="shared" si="13"/>
        <v>OK</v>
      </c>
    </row>
    <row r="25" spans="4:24" ht="15.75" thickTop="1" x14ac:dyDescent="0.25"/>
    <row r="29" spans="4:24" x14ac:dyDescent="0.25">
      <c r="D29" s="2"/>
      <c r="E29" s="2"/>
      <c r="F29" s="2"/>
      <c r="G29" s="2"/>
      <c r="H29" s="2"/>
      <c r="I29" s="2"/>
      <c r="J29" s="2"/>
    </row>
    <row r="30" spans="4:24" x14ac:dyDescent="0.25">
      <c r="D30" s="2"/>
      <c r="E30" s="2"/>
      <c r="F30" s="2"/>
      <c r="G30" s="2"/>
      <c r="H30" s="2"/>
      <c r="I30" s="2"/>
      <c r="J30" s="2"/>
    </row>
    <row r="31" spans="4:24" x14ac:dyDescent="0.25">
      <c r="D31" s="2"/>
      <c r="E31" s="2"/>
      <c r="F31" s="2"/>
      <c r="G31" s="2"/>
      <c r="H31" s="2"/>
      <c r="I31" s="2"/>
      <c r="J31" s="2"/>
    </row>
    <row r="32" spans="4:24" x14ac:dyDescent="0.25">
      <c r="D32" s="2"/>
      <c r="E32" s="2"/>
      <c r="F32" s="2"/>
      <c r="G32" s="2"/>
      <c r="H32" s="2"/>
      <c r="I32" s="2"/>
      <c r="J32" s="2"/>
    </row>
    <row r="33" spans="4:10" x14ac:dyDescent="0.25">
      <c r="D33" s="2"/>
      <c r="E33" s="2"/>
      <c r="F33" s="2"/>
      <c r="G33" s="2"/>
      <c r="H33" s="2"/>
      <c r="I33" s="2"/>
      <c r="J33" s="2"/>
    </row>
    <row r="34" spans="4:10" x14ac:dyDescent="0.25">
      <c r="D34" s="2"/>
      <c r="E34" s="2"/>
      <c r="F34" s="2"/>
      <c r="G34" s="2"/>
      <c r="H34" s="2"/>
      <c r="I34" s="2"/>
      <c r="J34" s="2"/>
    </row>
    <row r="35" spans="4:10" x14ac:dyDescent="0.25">
      <c r="D35" s="2"/>
      <c r="E35" s="2"/>
      <c r="F35" s="2"/>
      <c r="G35" s="2"/>
      <c r="H35" s="2"/>
      <c r="I35" s="2"/>
      <c r="J35" s="2"/>
    </row>
    <row r="36" spans="4:10" x14ac:dyDescent="0.25">
      <c r="D36" s="2"/>
      <c r="E36" s="2"/>
      <c r="F36" s="2"/>
      <c r="G36" s="2"/>
      <c r="H36" s="2"/>
      <c r="I36" s="2"/>
      <c r="J36" s="2"/>
    </row>
  </sheetData>
  <mergeCells count="2">
    <mergeCell ref="L7:L12"/>
    <mergeCell ref="L15:L24"/>
  </mergeCells>
  <conditionalFormatting sqref="C5:J12 D29:J36">
    <cfRule type="expression" dxfId="12" priority="6">
      <formula>AND(C5&gt;9,ROW(C5)-ROW(C$5)=3)</formula>
    </cfRule>
    <cfRule type="expression" dxfId="11" priority="7">
      <formula>AND((C5&gt;8),ROW(C5)-ROW(C$5)&lt;3)</formula>
    </cfRule>
    <cfRule type="expression" dxfId="10" priority="8">
      <formula>AND(ROW(C5)-ROW($C$5)&gt;4,C5&gt;6)</formula>
    </cfRule>
    <cfRule type="expression" dxfId="9" priority="10">
      <formula>AND(C5&gt;6,ROW(C5)-ROW(C$5)&lt;5)</formula>
    </cfRule>
    <cfRule type="expression" dxfId="8" priority="11">
      <formula>ROW(C5)-ROW(C$5)=2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28F21-BA51-4CD0-9E6E-F37704202AEC}">
  <dimension ref="A1:T29"/>
  <sheetViews>
    <sheetView workbookViewId="0">
      <selection activeCell="I3" sqref="I3"/>
    </sheetView>
  </sheetViews>
  <sheetFormatPr defaultRowHeight="15" x14ac:dyDescent="0.25"/>
  <cols>
    <col min="1" max="1" width="14.5703125" bestFit="1" customWidth="1"/>
    <col min="2" max="2" width="20.5703125" customWidth="1"/>
    <col min="4" max="4" width="16.7109375" bestFit="1" customWidth="1"/>
    <col min="5" max="5" width="23.28515625" bestFit="1" customWidth="1"/>
    <col min="6" max="6" width="22.5703125" bestFit="1" customWidth="1"/>
    <col min="7" max="7" width="3.140625" customWidth="1"/>
    <col min="14" max="14" width="3.85546875" customWidth="1"/>
  </cols>
  <sheetData>
    <row r="1" spans="1:20" x14ac:dyDescent="0.25">
      <c r="A1" t="s">
        <v>44</v>
      </c>
      <c r="D1" t="s">
        <v>43</v>
      </c>
      <c r="I1" s="20" t="s">
        <v>76</v>
      </c>
      <c r="J1" s="20"/>
      <c r="K1" s="20"/>
      <c r="O1" s="20" t="s">
        <v>54</v>
      </c>
      <c r="P1" s="20"/>
      <c r="R1" s="23" t="s">
        <v>63</v>
      </c>
      <c r="S1" s="23"/>
      <c r="T1" s="23"/>
    </row>
    <row r="2" spans="1:20" x14ac:dyDescent="0.25">
      <c r="I2" s="17" t="s">
        <v>77</v>
      </c>
      <c r="O2" s="17" t="s">
        <v>78</v>
      </c>
      <c r="R2" s="17" t="s">
        <v>79</v>
      </c>
    </row>
    <row r="4" spans="1:20" ht="15.75" thickBot="1" x14ac:dyDescent="0.3">
      <c r="I4" s="17" t="s">
        <v>80</v>
      </c>
    </row>
    <row r="5" spans="1:20" ht="16.5" thickTop="1" thickBot="1" x14ac:dyDescent="0.3">
      <c r="A5" s="14" t="s">
        <v>42</v>
      </c>
      <c r="B5" s="15" t="s">
        <v>45</v>
      </c>
      <c r="D5" s="2" t="s">
        <v>42</v>
      </c>
      <c r="E5" s="2" t="s">
        <v>40</v>
      </c>
      <c r="F5" s="2" t="s">
        <v>41</v>
      </c>
      <c r="G5" s="2"/>
      <c r="I5" s="32" t="s">
        <v>46</v>
      </c>
      <c r="J5" s="32"/>
      <c r="K5" s="33" t="s">
        <v>48</v>
      </c>
      <c r="L5" s="34" t="s">
        <v>18</v>
      </c>
      <c r="O5" s="33" t="s">
        <v>48</v>
      </c>
      <c r="P5" s="1" t="s">
        <v>55</v>
      </c>
    </row>
    <row r="6" spans="1:20" ht="16.5" thickTop="1" thickBot="1" x14ac:dyDescent="0.3">
      <c r="A6" s="13" t="s">
        <v>0</v>
      </c>
      <c r="B6" s="2">
        <v>10</v>
      </c>
      <c r="D6" s="2" t="s">
        <v>0</v>
      </c>
      <c r="E6" s="2">
        <v>10</v>
      </c>
      <c r="F6" s="2">
        <v>10</v>
      </c>
      <c r="G6" s="2"/>
      <c r="I6" s="32" t="s">
        <v>8</v>
      </c>
      <c r="J6" s="32" t="s">
        <v>47</v>
      </c>
      <c r="K6" s="34"/>
      <c r="L6" s="34"/>
      <c r="R6" t="s">
        <v>62</v>
      </c>
      <c r="S6" t="s">
        <v>61</v>
      </c>
      <c r="T6" t="s">
        <v>64</v>
      </c>
    </row>
    <row r="7" spans="1:20" ht="15" customHeight="1" thickTop="1" thickBot="1" x14ac:dyDescent="0.3">
      <c r="A7" s="13" t="s">
        <v>1</v>
      </c>
      <c r="B7" s="2">
        <v>10</v>
      </c>
      <c r="D7" s="2" t="s">
        <v>1</v>
      </c>
      <c r="E7" s="2">
        <v>10</v>
      </c>
      <c r="F7" s="2">
        <v>10</v>
      </c>
      <c r="G7" s="2"/>
      <c r="H7" s="29" t="s">
        <v>58</v>
      </c>
      <c r="I7" s="6" t="s">
        <v>0</v>
      </c>
      <c r="J7" s="4">
        <v>1</v>
      </c>
      <c r="K7" s="7">
        <f>INDEX(ImpacttoCriticality[[Criticality Unspared]:[Criticality If Spared]],
                MATCH(I7,ImpacttoCriticality[Impact Level],0),
                IF(OR(J7="SPARED",J7="Y",J7="yes",J7),2,1))</f>
        <v>10</v>
      </c>
      <c r="L7" s="2">
        <v>10</v>
      </c>
      <c r="M7" s="1" t="str">
        <f>IF(L7=K7,"pass","fail")</f>
        <v>pass</v>
      </c>
      <c r="O7" s="7">
        <f>INDEX({10,10,10,10,8,6,4,2;10,10,10,9,7,5,3,1},
               IF(OR(J7="SPARED",J7="Y",J7="yes",J7),2,1),
               MATCH(I7,{"A","B","C","D","E","F","G","H"},0)
)</f>
        <v>10</v>
      </c>
      <c r="P7" s="1" t="str">
        <f>IF(O7=L7,"pass","fail")</f>
        <v>pass</v>
      </c>
      <c r="R7" s="7">
        <f>MATCH(I7,{"A","B","C","D","E","F","G","H"},0)</f>
        <v>1</v>
      </c>
      <c r="S7" s="7">
        <f>IF(OR(J7="SPARED",J7="Y",J7="yes",J7),2,1)</f>
        <v>2</v>
      </c>
      <c r="T7" s="21">
        <f>INDEX({10,10,10,10,8,6,4,2;10,10,10,9,7,5,3,1},S7,R7)</f>
        <v>10</v>
      </c>
    </row>
    <row r="8" spans="1:20" ht="16.5" thickTop="1" thickBot="1" x14ac:dyDescent="0.3">
      <c r="A8" s="13" t="s">
        <v>2</v>
      </c>
      <c r="B8" s="2">
        <v>10</v>
      </c>
      <c r="D8" s="2" t="s">
        <v>2</v>
      </c>
      <c r="E8" s="2">
        <v>10</v>
      </c>
      <c r="F8" s="2">
        <v>10</v>
      </c>
      <c r="G8" s="2"/>
      <c r="H8" s="30"/>
      <c r="I8" s="6" t="s">
        <v>0</v>
      </c>
      <c r="J8" s="4" t="s">
        <v>49</v>
      </c>
      <c r="K8" s="7">
        <f>INDEX(ImpacttoCriticality[[Criticality Unspared]:[Criticality If Spared]],
                MATCH(I8,ImpacttoCriticality[Impact Level],0),
                IF(OR(J8="SPARED",J8="Y",J8="yes",J8),2,1))</f>
        <v>10</v>
      </c>
      <c r="L8" s="2">
        <v>10</v>
      </c>
      <c r="M8" s="1" t="str">
        <f t="shared" ref="M8:M20" si="0">IF(L8=K8,"pass","fail")</f>
        <v>pass</v>
      </c>
      <c r="O8" s="7">
        <f>INDEX({10,10,10,10,8,6,4,2;10,10,10,9,7,5,3,1},
               IF(OR(J8="SPARED",J8="Y",J8="yes",J8),2,1),
               MATCH(I8,{"A","B","C","D","E","F","G","H"},0)
)</f>
        <v>10</v>
      </c>
      <c r="P8" s="1" t="str">
        <f t="shared" ref="P8:P20" si="1">IF(O8=L8,"pass","fail")</f>
        <v>pass</v>
      </c>
      <c r="R8" s="7">
        <f>MATCH(I8,{"A","B","C","D","E","F","G","H"},0)</f>
        <v>1</v>
      </c>
      <c r="S8" s="7">
        <f>IF(OR(J8="SPARED",J8="Y",J8="yes",J8),2,1)</f>
        <v>2</v>
      </c>
      <c r="T8" s="21">
        <f>INDEX({10,10,10,10,8,6,4,2;10,10,10,9,7,5,3,1},S8,R8)</f>
        <v>10</v>
      </c>
    </row>
    <row r="9" spans="1:20" ht="16.5" thickTop="1" thickBot="1" x14ac:dyDescent="0.3">
      <c r="A9" s="13" t="s">
        <v>3</v>
      </c>
      <c r="B9" s="2">
        <v>10</v>
      </c>
      <c r="D9" s="2" t="s">
        <v>3</v>
      </c>
      <c r="E9" s="2">
        <v>10</v>
      </c>
      <c r="F9" s="2">
        <v>9</v>
      </c>
      <c r="G9" s="2"/>
      <c r="H9" s="30"/>
      <c r="I9" s="6" t="s">
        <v>0</v>
      </c>
      <c r="J9" s="4" t="s">
        <v>50</v>
      </c>
      <c r="K9" s="7">
        <f>INDEX(ImpacttoCriticality[[Criticality Unspared]:[Criticality If Spared]],
                MATCH(I9,ImpacttoCriticality[Impact Level],0),
                IF(OR(J9="SPARED",J9="Y",J9="yes",J9),2,1))</f>
        <v>10</v>
      </c>
      <c r="L9" s="2">
        <v>10</v>
      </c>
      <c r="M9" s="1" t="str">
        <f t="shared" si="0"/>
        <v>pass</v>
      </c>
      <c r="O9" s="7">
        <f>INDEX({10,10,10,10,8,6,4,2;10,10,10,9,7,5,3,1},
               IF(OR(J9="SPARED",J9="Y",J9="yes",J9),2,1),
               MATCH(I9,{"A","B","C","D","E","F","G","H"},0)
)</f>
        <v>10</v>
      </c>
      <c r="P9" s="1" t="str">
        <f t="shared" si="1"/>
        <v>pass</v>
      </c>
      <c r="R9" s="7">
        <f>MATCH(I9,{"A","B","C","D","E","F","G","H"},0)</f>
        <v>1</v>
      </c>
      <c r="S9" s="7">
        <f>IF(OR(J9="SPARED",J9="Y",J9="yes",J9),2,1)</f>
        <v>1</v>
      </c>
      <c r="T9" s="21">
        <f>INDEX({10,10,10,10,8,6,4,2;10,10,10,9,7,5,3,1},S9,R9)</f>
        <v>10</v>
      </c>
    </row>
    <row r="10" spans="1:20" ht="16.5" thickTop="1" thickBot="1" x14ac:dyDescent="0.3">
      <c r="A10" s="16" t="s">
        <v>3</v>
      </c>
      <c r="B10" s="2">
        <v>9</v>
      </c>
      <c r="D10" s="2" t="s">
        <v>4</v>
      </c>
      <c r="E10" s="2">
        <v>8</v>
      </c>
      <c r="F10" s="2">
        <v>7</v>
      </c>
      <c r="G10" s="2"/>
      <c r="H10" s="30"/>
      <c r="I10" s="6" t="s">
        <v>3</v>
      </c>
      <c r="J10" s="4"/>
      <c r="K10" s="7">
        <f>INDEX(ImpacttoCriticality[[Criticality Unspared]:[Criticality If Spared]],
                MATCH(I10,ImpacttoCriticality[Impact Level],0),
                IF(OR(J10="SPARED",J10="Y",J10="yes",J10),2,1))</f>
        <v>10</v>
      </c>
      <c r="L10" s="2">
        <v>10</v>
      </c>
      <c r="M10" s="1" t="str">
        <f t="shared" si="0"/>
        <v>pass</v>
      </c>
      <c r="O10" s="7">
        <f>INDEX({10,10,10,10,8,6,4,2;10,10,10,9,7,5,3,1},
               IF(OR(J10="SPARED",J10="Y",J10="yes",J10),2,1),
               MATCH(I10,{"A","B","C","D","E","F","G","H"},0)
)</f>
        <v>10</v>
      </c>
      <c r="P10" s="1" t="str">
        <f t="shared" si="1"/>
        <v>pass</v>
      </c>
      <c r="R10" s="7">
        <f>MATCH(I10,{"A","B","C","D","E","F","G","H"},0)</f>
        <v>4</v>
      </c>
      <c r="S10" s="7">
        <f>IF(OR(J10="SPARED",J10="Y",J10="yes",J10),2,1)</f>
        <v>1</v>
      </c>
      <c r="T10" s="21">
        <f>INDEX({10,10,10,10,8,6,4,2;10,10,10,9,7,5,3,1},S10,R10)</f>
        <v>10</v>
      </c>
    </row>
    <row r="11" spans="1:20" ht="16.5" thickTop="1" thickBot="1" x14ac:dyDescent="0.3">
      <c r="A11" s="13" t="s">
        <v>4</v>
      </c>
      <c r="B11" s="2">
        <v>8</v>
      </c>
      <c r="D11" s="2" t="s">
        <v>5</v>
      </c>
      <c r="E11" s="2">
        <v>6</v>
      </c>
      <c r="F11" s="2">
        <v>5</v>
      </c>
      <c r="G11" s="2"/>
      <c r="H11" s="30"/>
      <c r="I11" s="6" t="s">
        <v>3</v>
      </c>
      <c r="J11" s="4" t="s">
        <v>49</v>
      </c>
      <c r="K11" s="7">
        <f>INDEX(ImpacttoCriticality[[Criticality Unspared]:[Criticality If Spared]],
                MATCH(I11,ImpacttoCriticality[Impact Level],0),
                IF(OR(J11="SPARED",J11="Y",J11="yes",J11),2,1))</f>
        <v>9</v>
      </c>
      <c r="L11" s="2">
        <v>9</v>
      </c>
      <c r="M11" s="1" t="str">
        <f t="shared" si="0"/>
        <v>pass</v>
      </c>
      <c r="O11" s="7">
        <f>INDEX({10,10,10,10,8,6,4,2;10,10,10,9,7,5,3,1},
               IF(OR(J11="SPARED",J11="Y",J11="yes",J11),2,1),
               MATCH(I11,{"A","B","C","D","E","F","G","H"},0)
)</f>
        <v>9</v>
      </c>
      <c r="P11" s="1" t="str">
        <f t="shared" si="1"/>
        <v>pass</v>
      </c>
      <c r="R11" s="7">
        <f>MATCH(I11,{"A","B","C","D","E","F","G","H"},0)</f>
        <v>4</v>
      </c>
      <c r="S11" s="7">
        <f>IF(OR(J11="SPARED",J11="Y",J11="yes",J11),2,1)</f>
        <v>2</v>
      </c>
      <c r="T11" s="21">
        <f>INDEX({10,10,10,10,8,6,4,2;10,10,10,9,7,5,3,1},S11,R11)</f>
        <v>9</v>
      </c>
    </row>
    <row r="12" spans="1:20" ht="16.5" thickTop="1" thickBot="1" x14ac:dyDescent="0.3">
      <c r="A12" s="16" t="s">
        <v>4</v>
      </c>
      <c r="B12" s="2">
        <v>7</v>
      </c>
      <c r="D12" s="2" t="s">
        <v>6</v>
      </c>
      <c r="E12" s="2">
        <v>4</v>
      </c>
      <c r="F12" s="2">
        <v>3</v>
      </c>
      <c r="G12" s="2"/>
      <c r="H12" s="30"/>
      <c r="I12" s="6" t="s">
        <v>3</v>
      </c>
      <c r="J12" s="4" t="s">
        <v>60</v>
      </c>
      <c r="K12" s="7">
        <f>INDEX(ImpacttoCriticality[[Criticality Unspared]:[Criticality If Spared]],
                MATCH(I12,ImpacttoCriticality[Impact Level],0),
                IF(OR(J12="SPARED",J12="Y",J12="yes",J12),2,1))</f>
        <v>10</v>
      </c>
      <c r="L12" s="2">
        <v>10</v>
      </c>
      <c r="M12" s="1" t="str">
        <f t="shared" si="0"/>
        <v>pass</v>
      </c>
      <c r="O12" s="7">
        <f>INDEX({10,10,10,10,8,6,4,2;10,10,10,9,7,5,3,1},
               IF(OR(J12="SPARED",J12="Y",J12="yes",J12),2,1),
               MATCH(I12,{"A","B","C","D","E","F","G","H"},0)
)</f>
        <v>10</v>
      </c>
      <c r="P12" s="1" t="str">
        <f t="shared" si="1"/>
        <v>pass</v>
      </c>
      <c r="R12" s="7">
        <f>MATCH(I12,{"A","B","C","D","E","F","G","H"},0)</f>
        <v>4</v>
      </c>
      <c r="S12" s="7">
        <f>IF(OR(J12="SPARED",J12="Y",J12="yes",J12),2,1)</f>
        <v>1</v>
      </c>
      <c r="T12" s="21">
        <f>INDEX({10,10,10,10,8,6,4,2;10,10,10,9,7,5,3,1},S12,R12)</f>
        <v>10</v>
      </c>
    </row>
    <row r="13" spans="1:20" ht="16.5" thickTop="1" thickBot="1" x14ac:dyDescent="0.3">
      <c r="A13" s="13" t="s">
        <v>5</v>
      </c>
      <c r="B13" s="2">
        <v>6</v>
      </c>
      <c r="D13" s="2" t="s">
        <v>7</v>
      </c>
      <c r="E13" s="2">
        <v>2</v>
      </c>
      <c r="F13" s="2">
        <v>1</v>
      </c>
      <c r="G13" s="2"/>
      <c r="H13" s="30"/>
      <c r="I13" s="6" t="s">
        <v>5</v>
      </c>
      <c r="J13" s="4" t="str">
        <f>" "</f>
        <v xml:space="preserve"> </v>
      </c>
      <c r="K13" s="7">
        <f>INDEX(ImpacttoCriticality[[Criticality Unspared]:[Criticality If Spared]],
                MATCH(I13,ImpacttoCriticality[Impact Level],0),
                IF(OR(J13="SPARED",J13="Y",J13="yes",J13),2,1))</f>
        <v>6</v>
      </c>
      <c r="L13" s="2">
        <v>6</v>
      </c>
      <c r="M13" s="1" t="str">
        <f t="shared" si="0"/>
        <v>pass</v>
      </c>
      <c r="O13" s="7">
        <f>INDEX({10,10,10,10,8,6,4,2;10,10,10,9,7,5,3,1},
               IF(OR(J13="SPARED",J13="Y",J13="yes",J13),2,1),
               MATCH(I13,{"A","B","C","D","E","F","G","H"},0)
)</f>
        <v>6</v>
      </c>
      <c r="P13" s="1" t="str">
        <f t="shared" si="1"/>
        <v>pass</v>
      </c>
      <c r="R13" s="7">
        <f>MATCH(I13,{"A","B","C","D","E","F","G","H"},0)</f>
        <v>6</v>
      </c>
      <c r="S13" s="7">
        <f>IF(OR(J13="SPARED",J13="Y",J13="yes",J13),2,1)</f>
        <v>1</v>
      </c>
      <c r="T13" s="21">
        <f>INDEX({10,10,10,10,8,6,4,2;10,10,10,9,7,5,3,1},S13,R13)</f>
        <v>6</v>
      </c>
    </row>
    <row r="14" spans="1:20" ht="16.5" thickTop="1" thickBot="1" x14ac:dyDescent="0.3">
      <c r="A14" s="16" t="s">
        <v>5</v>
      </c>
      <c r="B14" s="2">
        <v>5</v>
      </c>
      <c r="H14" s="30"/>
      <c r="I14" s="6" t="s">
        <v>5</v>
      </c>
      <c r="J14" s="4" t="s">
        <v>51</v>
      </c>
      <c r="K14" s="7">
        <f>INDEX(ImpacttoCriticality[[Criticality Unspared]:[Criticality If Spared]],
                MATCH(I14,ImpacttoCriticality[Impact Level],0),
                IF(OR(J14="SPARED",J14="Y",J14="yes",J14),2,1))</f>
        <v>5</v>
      </c>
      <c r="L14" s="2">
        <v>5</v>
      </c>
      <c r="M14" s="1" t="str">
        <f t="shared" si="0"/>
        <v>pass</v>
      </c>
      <c r="O14" s="7">
        <f>INDEX({10,10,10,10,8,6,4,2;10,10,10,9,7,5,3,1},
               IF(OR(J14="SPARED",J14="Y",J14="yes",J14),2,1),
               MATCH(I14,{"A","B","C","D","E","F","G","H"},0)
)</f>
        <v>5</v>
      </c>
      <c r="P14" s="1" t="str">
        <f t="shared" si="1"/>
        <v>pass</v>
      </c>
      <c r="R14" s="7">
        <f>MATCH(I14,{"A","B","C","D","E","F","G","H"},0)</f>
        <v>6</v>
      </c>
      <c r="S14" s="7">
        <f>IF(OR(J14="SPARED",J14="Y",J14="yes",J14),2,1)</f>
        <v>2</v>
      </c>
      <c r="T14" s="21">
        <f>INDEX({10,10,10,10,8,6,4,2;10,10,10,9,7,5,3,1},S14,R14)</f>
        <v>5</v>
      </c>
    </row>
    <row r="15" spans="1:20" ht="16.5" thickTop="1" thickBot="1" x14ac:dyDescent="0.3">
      <c r="A15" s="13" t="s">
        <v>6</v>
      </c>
      <c r="B15" s="2">
        <v>4</v>
      </c>
      <c r="H15" s="30"/>
      <c r="I15" s="6" t="s">
        <v>5</v>
      </c>
      <c r="J15" s="4">
        <v>0</v>
      </c>
      <c r="K15" s="7">
        <f>INDEX(ImpacttoCriticality[[Criticality Unspared]:[Criticality If Spared]],
                MATCH(I15,ImpacttoCriticality[Impact Level],0),
                IF(OR(J15="SPARED",J15="Y",J15="yes",J15),2,1))</f>
        <v>6</v>
      </c>
      <c r="L15" s="2">
        <v>6</v>
      </c>
      <c r="M15" s="1" t="str">
        <f t="shared" si="0"/>
        <v>pass</v>
      </c>
      <c r="O15" s="7">
        <f>INDEX({10,10,10,10,8,6,4,2;10,10,10,9,7,5,3,1},
               IF(OR(J15="SPARED",J15="Y",J15="yes",J15),2,1),
               MATCH(I15,{"A","B","C","D","E","F","G","H"},0)
)</f>
        <v>6</v>
      </c>
      <c r="P15" s="1" t="str">
        <f t="shared" si="1"/>
        <v>pass</v>
      </c>
      <c r="R15" s="7">
        <f>MATCH(I15,{"A","B","C","D","E","F","G","H"},0)</f>
        <v>6</v>
      </c>
      <c r="S15" s="7">
        <f>IF(OR(J15="SPARED",J15="Y",J15="yes",J15),2,1)</f>
        <v>1</v>
      </c>
      <c r="T15" s="21">
        <f>INDEX({10,10,10,10,8,6,4,2;10,10,10,9,7,5,3,1},S15,R15)</f>
        <v>6</v>
      </c>
    </row>
    <row r="16" spans="1:20" ht="16.5" thickTop="1" thickBot="1" x14ac:dyDescent="0.3">
      <c r="A16" s="16" t="s">
        <v>6</v>
      </c>
      <c r="B16" s="2">
        <v>3</v>
      </c>
      <c r="H16" s="30"/>
      <c r="I16" s="6" t="s">
        <v>5</v>
      </c>
      <c r="J16" s="4">
        <v>1</v>
      </c>
      <c r="K16" s="7">
        <f>INDEX(ImpacttoCriticality[[Criticality Unspared]:[Criticality If Spared]],
                MATCH(I16,ImpacttoCriticality[Impact Level],0),
                IF(OR(J16="SPARED",J16="Y",J16="yes",J16),2,1))</f>
        <v>5</v>
      </c>
      <c r="L16" s="2">
        <v>5</v>
      </c>
      <c r="M16" s="1" t="str">
        <f t="shared" ref="M16:M18" si="2">IF(L16=K16,"pass","fail")</f>
        <v>pass</v>
      </c>
      <c r="O16" s="7">
        <f>INDEX({10,10,10,10,8,6,4,2;10,10,10,9,7,5,3,1},
               IF(OR(J16="SPARED",J16="Y",J16="yes",J16),2,1),
               MATCH(I16,{"A","B","C","D","E","F","G","H"},0)
)</f>
        <v>5</v>
      </c>
      <c r="P16" s="1" t="str">
        <f t="shared" si="1"/>
        <v>pass</v>
      </c>
      <c r="R16" s="7">
        <f>MATCH(I16,{"A","B","C","D","E","F","G","H"},0)</f>
        <v>6</v>
      </c>
      <c r="S16" s="7">
        <f>IF(OR(J16="SPARED",J16="Y",J16="yes",J16),2,1)</f>
        <v>2</v>
      </c>
      <c r="T16" s="21">
        <f>INDEX({10,10,10,10,8,6,4,2;10,10,10,9,7,5,3,1},S16,R16)</f>
        <v>5</v>
      </c>
    </row>
    <row r="17" spans="1:20" ht="16.5" thickTop="1" thickBot="1" x14ac:dyDescent="0.3">
      <c r="A17" s="13" t="s">
        <v>7</v>
      </c>
      <c r="B17" s="2">
        <v>2</v>
      </c>
      <c r="H17" s="30"/>
      <c r="I17" s="6" t="s">
        <v>5</v>
      </c>
      <c r="J17" s="4" t="b">
        <v>1</v>
      </c>
      <c r="K17" s="7">
        <f>INDEX(ImpacttoCriticality[[Criticality Unspared]:[Criticality If Spared]],
                MATCH(I17,ImpacttoCriticality[Impact Level],0),
                IF(OR(J17="SPARED",J17="Y",J17="yes",J17),2,1))</f>
        <v>5</v>
      </c>
      <c r="L17" s="2">
        <v>5</v>
      </c>
      <c r="M17" s="1" t="str">
        <f t="shared" si="2"/>
        <v>pass</v>
      </c>
      <c r="O17" s="7">
        <f>INDEX({10,10,10,10,8,6,4,2;10,10,10,9,7,5,3,1},
               IF(OR(J17="SPARED",J17="Y",J17="yes",J17),2,1),
               MATCH(I17,{"A","B","C","D","E","F","G","H"},0)
)</f>
        <v>5</v>
      </c>
      <c r="P17" s="1" t="str">
        <f t="shared" si="1"/>
        <v>pass</v>
      </c>
      <c r="R17" s="7">
        <f>MATCH(I17,{"A","B","C","D","E","F","G","H"},0)</f>
        <v>6</v>
      </c>
      <c r="S17" s="7">
        <f>IF(OR(J17="SPARED",J17="Y",J17="yes",J17),2,1)</f>
        <v>2</v>
      </c>
      <c r="T17" s="21">
        <f>INDEX({10,10,10,10,8,6,4,2;10,10,10,9,7,5,3,1},S17,R17)</f>
        <v>5</v>
      </c>
    </row>
    <row r="18" spans="1:20" ht="16.5" thickTop="1" thickBot="1" x14ac:dyDescent="0.3">
      <c r="A18" s="13" t="s">
        <v>7</v>
      </c>
      <c r="B18" s="2">
        <v>1</v>
      </c>
      <c r="H18" s="30"/>
      <c r="I18" s="6" t="s">
        <v>59</v>
      </c>
      <c r="J18" s="4"/>
      <c r="K18" s="7">
        <f>INDEX(ImpacttoCriticality[[Criticality Unspared]:[Criticality If Spared]],
                MATCH(I18,ImpacttoCriticality[Impact Level],0),
                IF(OR(J18="SPARED",J18="Y",J18="yes",J18),2,1))</f>
        <v>6</v>
      </c>
      <c r="L18" s="2">
        <v>6</v>
      </c>
      <c r="M18" s="1" t="str">
        <f t="shared" si="2"/>
        <v>pass</v>
      </c>
      <c r="O18" s="7">
        <f>INDEX({10,10,10,10,8,6,4,2;10,10,10,9,7,5,3,1},
               IF(OR(J18="SPARED",J18="Y",J18="yes",J18),2,1),
               MATCH(I18,{"A","B","C","D","E","F","G","H"},0)
)</f>
        <v>6</v>
      </c>
      <c r="P18" s="1" t="str">
        <f t="shared" si="1"/>
        <v>pass</v>
      </c>
      <c r="R18" s="7">
        <f>MATCH(I18,{"A","B","C","D","E","F","G","H"},0)</f>
        <v>6</v>
      </c>
      <c r="S18" s="7">
        <f>IF(OR(J18="SPARED",J18="Y",J18="yes",J18),2,1)</f>
        <v>1</v>
      </c>
      <c r="T18" s="21">
        <f>INDEX({10,10,10,10,8,6,4,2;10,10,10,9,7,5,3,1},S18,R18)</f>
        <v>6</v>
      </c>
    </row>
    <row r="19" spans="1:20" ht="16.5" thickTop="1" thickBot="1" x14ac:dyDescent="0.3">
      <c r="H19" s="30"/>
      <c r="I19" s="6" t="s">
        <v>7</v>
      </c>
      <c r="J19" s="4" t="s">
        <v>51</v>
      </c>
      <c r="K19" s="7">
        <f>INDEX(ImpacttoCriticality[[Criticality Unspared]:[Criticality If Spared]],
                MATCH(I19,ImpacttoCriticality[Impact Level],0),
                IF(OR(J19="SPARED",J19="Y",J19="yes",J19),2,1))</f>
        <v>1</v>
      </c>
      <c r="L19" s="2">
        <v>1</v>
      </c>
      <c r="M19" s="1" t="str">
        <f t="shared" si="0"/>
        <v>pass</v>
      </c>
      <c r="O19" s="7">
        <f>INDEX({10,10,10,10,8,6,4,2;10,10,10,9,7,5,3,1},
               IF(OR(J19="SPARED",J19="Y",J19="yes",J19),2,1),
               MATCH(I19,{"A","B","C","D","E","F","G","H"},0)
)</f>
        <v>1</v>
      </c>
      <c r="P19" s="1" t="str">
        <f t="shared" si="1"/>
        <v>pass</v>
      </c>
      <c r="R19" s="7">
        <f>MATCH(I19,{"A","B","C","D","E","F","G","H"},0)</f>
        <v>8</v>
      </c>
      <c r="S19" s="7">
        <f>IF(OR(J19="SPARED",J19="Y",J19="yes",J19),2,1)</f>
        <v>2</v>
      </c>
      <c r="T19" s="21">
        <f>INDEX({10,10,10,10,8,6,4,2;10,10,10,9,7,5,3,1},S19,R19)</f>
        <v>1</v>
      </c>
    </row>
    <row r="20" spans="1:20" ht="16.5" thickTop="1" thickBot="1" x14ac:dyDescent="0.3">
      <c r="H20" s="31"/>
      <c r="I20" s="6" t="s">
        <v>7</v>
      </c>
      <c r="J20" s="4" t="b">
        <v>0</v>
      </c>
      <c r="K20" s="7">
        <f>INDEX(ImpacttoCriticality[[Criticality Unspared]:[Criticality If Spared]],
                MATCH(I20,ImpacttoCriticality[Impact Level],0),
                IF(OR(J20="SPARED",J20="Y",J20="yes",J20),2,1))</f>
        <v>2</v>
      </c>
      <c r="L20" s="2">
        <v>2</v>
      </c>
      <c r="M20" s="1" t="str">
        <f t="shared" si="0"/>
        <v>pass</v>
      </c>
      <c r="O20" s="7">
        <f>INDEX({10,10,10,10,8,6,4,2;10,10,10,9,7,5,3,1},
               IF(OR(J20="SPARED",J20="Y",J20="yes",J20),2,1),
               MATCH(I20,{"A","B","C","D","E","F","G","H"},0)
)</f>
        <v>2</v>
      </c>
      <c r="P20" s="1" t="str">
        <f t="shared" si="1"/>
        <v>pass</v>
      </c>
      <c r="R20" s="7">
        <f>MATCH(I20,{"A","B","C","D","E","F","G","H"},0)</f>
        <v>8</v>
      </c>
      <c r="S20" s="7">
        <f>IF(OR(J20="SPARED",J20="Y",J20="yes",J20),2,1)</f>
        <v>1</v>
      </c>
      <c r="T20" s="21">
        <f>INDEX({10,10,10,10,8,6,4,2;10,10,10,9,7,5,3,1},S20,R20)</f>
        <v>2</v>
      </c>
    </row>
    <row r="21" spans="1:20" ht="16.5" thickTop="1" thickBot="1" x14ac:dyDescent="0.3"/>
    <row r="22" spans="1:20" ht="15" customHeight="1" thickTop="1" thickBot="1" x14ac:dyDescent="0.3">
      <c r="H22" s="28" t="s">
        <v>52</v>
      </c>
      <c r="I22" s="6" t="s">
        <v>25</v>
      </c>
      <c r="J22" s="4">
        <v>2</v>
      </c>
      <c r="K22" s="7" t="e">
        <f>INDEX(ImpacttoCriticality[[Criticality Unspared]:[Criticality If Spared]],
                MATCH(I22,ImpacttoCriticality[Impact Level],0),
                IF(OR(J22="SPARED",J22="Y",J22="yes",J22),2,1))</f>
        <v>#N/A</v>
      </c>
      <c r="L22" s="2" t="e">
        <v>#N/A</v>
      </c>
      <c r="M22" s="1" t="str">
        <f>IF(ISNA(K22),"pass","fail")</f>
        <v>pass</v>
      </c>
      <c r="O22" s="7" t="e">
        <f>INDEX({10,10,10,10,8,6,4,2;10,10,10,9,7,5,3,1},
               IF(OR(J22="SPARED",J22="Y",J22="yes",J22),2,1),
               MATCH(I22,{"A","B","C","D","E","F","G","H"},0)
)</f>
        <v>#N/A</v>
      </c>
      <c r="P22" s="1" t="str">
        <f>IF(ISNA(L22),"pass","fail")</f>
        <v>pass</v>
      </c>
      <c r="R22" s="7" t="e">
        <f>MATCH(I22,{"A","B","C","D","E","F","G","H"},0)</f>
        <v>#N/A</v>
      </c>
      <c r="S22" s="7">
        <f t="shared" ref="S22:S28" si="3">IF(OR(J22="SPARED",J22="Y",J22="yes",J22),2,1)</f>
        <v>2</v>
      </c>
      <c r="T22" s="21" t="e">
        <f>INDEX({10,10,10,10,8,6,4,2;10,10,10,9,7,5,3,1},S22,R22)</f>
        <v>#N/A</v>
      </c>
    </row>
    <row r="23" spans="1:20" ht="16.5" thickTop="1" thickBot="1" x14ac:dyDescent="0.3">
      <c r="H23" s="28"/>
      <c r="I23" s="6" t="s">
        <v>25</v>
      </c>
      <c r="J23" s="4"/>
      <c r="K23" s="7" t="e">
        <f>INDEX(ImpacttoCriticality[[Criticality Unspared]:[Criticality If Spared]],
                MATCH(I23,ImpacttoCriticality[Impact Level],0),
                IF(OR(J23="SPARED",J23="Y",J23="yes",J23),2,1))</f>
        <v>#N/A</v>
      </c>
      <c r="L23" s="2" t="e">
        <v>#N/A</v>
      </c>
      <c r="M23" s="1" t="str">
        <f>IF(ISNA(K23),"pass","fail")</f>
        <v>pass</v>
      </c>
      <c r="O23" s="7" t="e">
        <f>INDEX({10,10,10,10,8,6,4,2;10,10,10,9,7,5,3,1},
               IF(OR(J23="SPARED",J23="Y",J23="yes",J23),2,1),
               MATCH(I23,{"A","B","C","D","E","F","G","H"},0)
)</f>
        <v>#N/A</v>
      </c>
      <c r="P23" s="1" t="str">
        <f t="shared" ref="P23:P28" si="4">IF(ISNA(L23),"pass","fail")</f>
        <v>pass</v>
      </c>
      <c r="R23" s="7" t="e">
        <f>MATCH(I23,{"A","B","C","D","E","F","G","H"},0)</f>
        <v>#N/A</v>
      </c>
      <c r="S23" s="7">
        <f t="shared" si="3"/>
        <v>1</v>
      </c>
      <c r="T23" s="21" t="e">
        <f>INDEX({10,10,10,10,8,6,4,2;10,10,10,9,7,5,3,1},S23,R23)</f>
        <v>#N/A</v>
      </c>
    </row>
    <row r="24" spans="1:20" ht="16.5" thickTop="1" thickBot="1" x14ac:dyDescent="0.3">
      <c r="H24" s="28"/>
      <c r="I24" s="6" t="s">
        <v>25</v>
      </c>
      <c r="J24" s="4">
        <v>1</v>
      </c>
      <c r="K24" s="7" t="e">
        <f>INDEX(ImpacttoCriticality[[Criticality Unspared]:[Criticality If Spared]],
                MATCH(I24,ImpacttoCriticality[Impact Level],0),
                IF(OR(J24="SPARED",J24="Y",J24="yes",J24),2,1))</f>
        <v>#N/A</v>
      </c>
      <c r="L24" s="2" t="e">
        <v>#N/A</v>
      </c>
      <c r="M24" s="1" t="str">
        <f>IF(ISNA(K24),"pass","fail")</f>
        <v>pass</v>
      </c>
      <c r="O24" s="7" t="e">
        <f>INDEX({10,10,10,10,8,6,4,2;10,10,10,9,7,5,3,1},
               IF(OR(J24="SPARED",J24="Y",J24="yes",J24),2,1),
               MATCH(I24,{"A","B","C","D","E","F","G","H"},0)
)</f>
        <v>#N/A</v>
      </c>
      <c r="P24" s="1" t="str">
        <f t="shared" si="4"/>
        <v>pass</v>
      </c>
      <c r="R24" s="7" t="e">
        <f>MATCH(I24,{"A","B","C","D","E","F","G","H"},0)</f>
        <v>#N/A</v>
      </c>
      <c r="S24" s="7">
        <f t="shared" si="3"/>
        <v>2</v>
      </c>
      <c r="T24" s="21" t="e">
        <f>INDEX({10,10,10,10,8,6,4,2;10,10,10,9,7,5,3,1},S24,R24)</f>
        <v>#N/A</v>
      </c>
    </row>
    <row r="25" spans="1:20" ht="16.5" thickTop="1" thickBot="1" x14ac:dyDescent="0.3">
      <c r="H25" s="28"/>
      <c r="I25" s="6" t="s">
        <v>56</v>
      </c>
      <c r="J25" s="4">
        <v>1</v>
      </c>
      <c r="K25" s="7" t="e">
        <f>INDEX(ImpacttoCriticality[[Criticality Unspared]:[Criticality If Spared]],
                MATCH(I25,ImpacttoCriticality[Impact Level],0),
                IF(OR(J25="SPARED",J25="Y",J25="yes",J25),2,1))</f>
        <v>#N/A</v>
      </c>
      <c r="L25" s="2" t="e">
        <v>#N/A</v>
      </c>
      <c r="M25" s="1" t="str">
        <f>IF(ISNA(K25),"pass","fail")</f>
        <v>pass</v>
      </c>
      <c r="O25" s="7" t="e">
        <f>INDEX({10,10,10,10,8,6,4,2;10,10,10,9,7,5,3,1},
               IF(OR(J25="SPARED",J25="Y",J25="yes",J25),2,1),
               MATCH(I25,{"A","B","C","D","E","F","G","H"},0)
)</f>
        <v>#N/A</v>
      </c>
      <c r="P25" s="1" t="str">
        <f t="shared" si="4"/>
        <v>pass</v>
      </c>
      <c r="R25" s="7" t="e">
        <f>MATCH(I25,{"A","B","C","D","E","F","G","H"},0)</f>
        <v>#N/A</v>
      </c>
      <c r="S25" s="7">
        <f t="shared" si="3"/>
        <v>2</v>
      </c>
      <c r="T25" s="21" t="e">
        <f>INDEX({10,10,10,10,8,6,4,2;10,10,10,9,7,5,3,1},S25,R25)</f>
        <v>#N/A</v>
      </c>
    </row>
    <row r="26" spans="1:20" ht="16.5" thickTop="1" thickBot="1" x14ac:dyDescent="0.3">
      <c r="H26" s="28"/>
      <c r="I26" s="6" t="s">
        <v>57</v>
      </c>
      <c r="J26" s="4">
        <v>1</v>
      </c>
      <c r="K26" s="7" t="e">
        <f>INDEX(ImpacttoCriticality[[Criticality Unspared]:[Criticality If Spared]],
                MATCH(I26,ImpacttoCriticality[Impact Level],0),
                IF(OR(J26="SPARED",J26="Y",J26="yes",J26),2,1))</f>
        <v>#N/A</v>
      </c>
      <c r="L26" s="2" t="e">
        <v>#N/A</v>
      </c>
      <c r="M26" s="1" t="str">
        <f>IF(ISNA(K26),"pass","fail")</f>
        <v>pass</v>
      </c>
      <c r="O26" s="7" t="e">
        <f>INDEX({10,10,10,10,8,6,4,2;10,10,10,9,7,5,3,1},
               IF(OR(J26="SPARED",J26="Y",J26="yes",J26),2,1),
               MATCH(I26,{"A","B","C","D","E","F","G","H"},0)
)</f>
        <v>#N/A</v>
      </c>
      <c r="P26" s="1" t="str">
        <f t="shared" si="4"/>
        <v>pass</v>
      </c>
      <c r="R26" s="7" t="e">
        <f>MATCH(I26,{"A","B","C","D","E","F","G","H"},0)</f>
        <v>#N/A</v>
      </c>
      <c r="S26" s="7">
        <f t="shared" si="3"/>
        <v>2</v>
      </c>
      <c r="T26" s="21" t="e">
        <f>INDEX({10,10,10,10,8,6,4,2;10,10,10,9,7,5,3,1},S26,R26)</f>
        <v>#N/A</v>
      </c>
    </row>
    <row r="27" spans="1:20" ht="16.5" thickTop="1" thickBot="1" x14ac:dyDescent="0.3">
      <c r="H27" s="28"/>
      <c r="I27" s="6">
        <v>1</v>
      </c>
      <c r="J27" s="4"/>
      <c r="K27" s="7" t="e">
        <f>INDEX(ImpacttoCriticality[[Criticality Unspared]:[Criticality If Spared]],
                MATCH(I27,ImpacttoCriticality[Impact Level],0),
                IF(OR(J27="SPARED",J27="Y",J27="yes",J27),2,1))</f>
        <v>#N/A</v>
      </c>
      <c r="L27" s="2" t="e">
        <v>#N/A</v>
      </c>
      <c r="M27" s="1" t="str">
        <f>IF(ISNA(K27),"pass","fail")</f>
        <v>pass</v>
      </c>
      <c r="O27" s="7" t="e">
        <f>INDEX({10,10,10,10,8,6,4,2;10,10,10,9,7,5,3,1},
               IF(OR(J27="SPARED",J27="Y",J27="yes",J27),2,1),
               MATCH(I27,{"A","B","C","D","E","F","G","H"},0)
)</f>
        <v>#N/A</v>
      </c>
      <c r="P27" s="1" t="str">
        <f t="shared" si="4"/>
        <v>pass</v>
      </c>
      <c r="R27" s="7" t="e">
        <f>MATCH(I27,{"A","B","C","D","E","F","G","H"},0)</f>
        <v>#N/A</v>
      </c>
      <c r="S27" s="7">
        <f t="shared" si="3"/>
        <v>1</v>
      </c>
      <c r="T27" s="21" t="e">
        <f>INDEX({10,10,10,10,8,6,4,2;10,10,10,9,7,5,3,1},S27,R27)</f>
        <v>#N/A</v>
      </c>
    </row>
    <row r="28" spans="1:20" ht="16.5" thickTop="1" thickBot="1" x14ac:dyDescent="0.3">
      <c r="H28" s="28"/>
      <c r="I28" s="6" t="str">
        <f>" "</f>
        <v xml:space="preserve"> </v>
      </c>
      <c r="J28" s="4" t="s">
        <v>51</v>
      </c>
      <c r="K28" s="7" t="e">
        <f>INDEX(ImpacttoCriticality[[Criticality Unspared]:[Criticality If Spared]],
                MATCH(I28,ImpacttoCriticality[Impact Level],0),
                IF(OR(J28="SPARED",J28="Y",J28="yes",J28),2,1))</f>
        <v>#N/A</v>
      </c>
      <c r="L28" s="2" t="e">
        <v>#N/A</v>
      </c>
      <c r="M28" s="1" t="str">
        <f>IF(ISNA(K28),"pass","fail")</f>
        <v>pass</v>
      </c>
      <c r="O28" s="7" t="e">
        <f>INDEX({10,10,10,10,8,6,4,2;10,10,10,9,7,5,3,1},
               IF(OR(J28="SPARED",J28="Y",J28="yes",J28),2,1),
               MATCH(I28,{"A","B","C","D","E","F","G","H"},0)
)</f>
        <v>#N/A</v>
      </c>
      <c r="P28" s="1" t="str">
        <f t="shared" si="4"/>
        <v>pass</v>
      </c>
      <c r="R28" s="7" t="e">
        <f>MATCH(I28,{"A","B","C","D","E","F","G","H"},0)</f>
        <v>#N/A</v>
      </c>
      <c r="S28" s="7">
        <f t="shared" si="3"/>
        <v>2</v>
      </c>
      <c r="T28" s="21" t="e">
        <f>INDEX({10,10,10,10,8,6,4,2;10,10,10,9,7,5,3,1},S28,R28)</f>
        <v>#N/A</v>
      </c>
    </row>
    <row r="29" spans="1:20" ht="15.75" thickTop="1" x14ac:dyDescent="0.25"/>
  </sheetData>
  <mergeCells count="2">
    <mergeCell ref="H7:H20"/>
    <mergeCell ref="H22:H28"/>
  </mergeCells>
  <pageMargins left="0.7" right="0.7" top="0.75" bottom="0.75" header="0.3" footer="0.3"/>
  <pageSetup paperSize="9" orientation="portrait" r:id="rId1"/>
  <legacy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DD4F6-C977-4E1F-81CB-1EDFE38D2794}">
  <dimension ref="B1:R23"/>
  <sheetViews>
    <sheetView tabSelected="1" workbookViewId="0">
      <selection activeCell="T13" sqref="T13"/>
    </sheetView>
  </sheetViews>
  <sheetFormatPr defaultRowHeight="15" x14ac:dyDescent="0.25"/>
  <cols>
    <col min="2" max="2" width="17.5703125" customWidth="1"/>
    <col min="3" max="3" width="16.7109375" customWidth="1"/>
    <col min="5" max="5" width="17.5703125" customWidth="1"/>
    <col min="6" max="6" width="16.7109375" customWidth="1"/>
    <col min="7" max="7" width="5.5703125" customWidth="1"/>
  </cols>
  <sheetData>
    <row r="1" spans="2:18" x14ac:dyDescent="0.25">
      <c r="I1" s="20" t="s">
        <v>53</v>
      </c>
      <c r="J1" s="20"/>
      <c r="K1" s="20"/>
      <c r="L1" s="20"/>
      <c r="N1" s="19" t="s">
        <v>75</v>
      </c>
      <c r="O1" s="19"/>
      <c r="Q1" s="20" t="s">
        <v>75</v>
      </c>
    </row>
    <row r="2" spans="2:18" x14ac:dyDescent="0.25">
      <c r="I2" s="17" t="s">
        <v>77</v>
      </c>
      <c r="N2" s="17" t="s">
        <v>78</v>
      </c>
      <c r="Q2" s="17" t="s">
        <v>78</v>
      </c>
    </row>
    <row r="4" spans="2:18" x14ac:dyDescent="0.25">
      <c r="I4" s="17" t="s">
        <v>80</v>
      </c>
    </row>
    <row r="5" spans="2:18" x14ac:dyDescent="0.25">
      <c r="I5" t="s">
        <v>46</v>
      </c>
    </row>
    <row r="6" spans="2:18" ht="15.75" thickBot="1" x14ac:dyDescent="0.3">
      <c r="B6" t="s">
        <v>65</v>
      </c>
      <c r="C6" t="s">
        <v>66</v>
      </c>
      <c r="E6" s="37" t="s">
        <v>65</v>
      </c>
      <c r="F6" s="27" t="s">
        <v>66</v>
      </c>
      <c r="I6" t="s">
        <v>74</v>
      </c>
      <c r="J6" t="s">
        <v>48</v>
      </c>
      <c r="K6" t="s">
        <v>18</v>
      </c>
    </row>
    <row r="7" spans="2:18" ht="16.5" customHeight="1" thickTop="1" thickBot="1" x14ac:dyDescent="0.3">
      <c r="B7" s="2" t="s">
        <v>67</v>
      </c>
      <c r="C7" s="24" t="s">
        <v>70</v>
      </c>
      <c r="E7" s="2">
        <v>10</v>
      </c>
      <c r="F7" s="2" t="s">
        <v>70</v>
      </c>
      <c r="H7" s="35" t="s">
        <v>58</v>
      </c>
      <c r="I7" s="6">
        <v>10</v>
      </c>
      <c r="J7" s="7" t="str">
        <f>INDEX(CriticalityRatingToLevel[],
                MATCH(I7,CriticalityRatingToLevel[Criticality Rating],0),
                2)</f>
        <v>High</v>
      </c>
      <c r="K7" s="2" t="s">
        <v>70</v>
      </c>
      <c r="L7" s="1" t="str">
        <f>IF(K7=J7,"pass","fail")</f>
        <v>pass</v>
      </c>
      <c r="N7" s="22" t="str">
        <f>INDEX({"Low","Low,","Low","Medium","Medium","Medium","Medium","High","High","High"},I7)</f>
        <v>High</v>
      </c>
      <c r="O7" s="1" t="str">
        <f>IF(N7=K7,"pass","fail")</f>
        <v>pass</v>
      </c>
      <c r="Q7" s="22" t="str">
        <f>HLOOKUP(I7,{1,2,3,4,5,6,7,8,9,10;"Low","Low,","Low","Medium","Medium","Medium","Medium","High","High","High"},2,FALSE)</f>
        <v>High</v>
      </c>
      <c r="R7" s="1" t="str">
        <f>IF(Q7=N7,"pass","fail")</f>
        <v>pass</v>
      </c>
    </row>
    <row r="8" spans="2:18" ht="16.5" thickTop="1" thickBot="1" x14ac:dyDescent="0.3">
      <c r="B8" s="2" t="s">
        <v>68</v>
      </c>
      <c r="C8" s="25" t="s">
        <v>71</v>
      </c>
      <c r="E8" s="2">
        <v>9</v>
      </c>
      <c r="F8" s="2" t="s">
        <v>70</v>
      </c>
      <c r="H8" s="35"/>
      <c r="I8" s="6">
        <v>8</v>
      </c>
      <c r="J8" s="7" t="str">
        <f>INDEX(CriticalityRatingToLevel[],
                MATCH(I8,CriticalityRatingToLevel[Criticality Rating],0),
                2)</f>
        <v>High</v>
      </c>
      <c r="K8" s="2" t="s">
        <v>70</v>
      </c>
      <c r="L8" s="1" t="str">
        <f t="shared" ref="L8" si="0">IF(K8=J8,"pass","fail")</f>
        <v>pass</v>
      </c>
      <c r="N8" s="22" t="str">
        <f>INDEX({"Low","Low,","Low","Medium","Medium","Medium","Medium","High","High","High"},I8)</f>
        <v>High</v>
      </c>
      <c r="O8" s="1" t="str">
        <f t="shared" ref="O8:O12" si="1">IF(N8=K8,"pass","fail")</f>
        <v>pass</v>
      </c>
      <c r="Q8" s="22" t="str">
        <f>HLOOKUP(I8,{1,2,3,4,5,6,7,8,9,10;"Low","Low,","Low","Medium","Medium","Medium","Medium","High","High","High"},2,FALSE)</f>
        <v>High</v>
      </c>
      <c r="R8" s="1" t="str">
        <f t="shared" ref="R8:R12" si="2">IF(Q8=N8,"pass","fail")</f>
        <v>pass</v>
      </c>
    </row>
    <row r="9" spans="2:18" ht="16.5" thickTop="1" thickBot="1" x14ac:dyDescent="0.3">
      <c r="B9" s="2" t="s">
        <v>69</v>
      </c>
      <c r="C9" s="26" t="s">
        <v>72</v>
      </c>
      <c r="E9" s="2">
        <v>8</v>
      </c>
      <c r="F9" s="2" t="s">
        <v>70</v>
      </c>
      <c r="H9" s="35"/>
      <c r="I9" s="6">
        <v>7</v>
      </c>
      <c r="J9" s="7" t="str">
        <f>INDEX(CriticalityRatingToLevel[],
                MATCH(I9,CriticalityRatingToLevel[Criticality Rating],0),
                2)</f>
        <v>Medium</v>
      </c>
      <c r="K9" s="2" t="s">
        <v>71</v>
      </c>
      <c r="L9" s="1" t="str">
        <f t="shared" ref="L9:L12" si="3">IF(K9=J9,"pass","fail")</f>
        <v>pass</v>
      </c>
      <c r="N9" s="22" t="str">
        <f>INDEX({"Low","Low,","Low","Medium","Medium","Medium","Medium","High","High","High"},I9)</f>
        <v>Medium</v>
      </c>
      <c r="O9" s="1" t="str">
        <f t="shared" si="1"/>
        <v>pass</v>
      </c>
      <c r="Q9" s="22" t="str">
        <f>HLOOKUP(I9,{1,2,3,4,5,6,7,8,9,10;"Low","Low,","Low","Medium","Medium","Medium","Medium","High","High","High"},2,FALSE)</f>
        <v>Medium</v>
      </c>
      <c r="R9" s="1" t="str">
        <f t="shared" si="2"/>
        <v>pass</v>
      </c>
    </row>
    <row r="10" spans="2:18" ht="16.5" thickTop="1" thickBot="1" x14ac:dyDescent="0.3">
      <c r="E10" s="2">
        <v>7</v>
      </c>
      <c r="F10" s="2" t="s">
        <v>71</v>
      </c>
      <c r="H10" s="35"/>
      <c r="I10" s="6">
        <v>4</v>
      </c>
      <c r="J10" s="7" t="str">
        <f>INDEX(CriticalityRatingToLevel[],
                MATCH(I10,CriticalityRatingToLevel[Criticality Rating],0),
                2)</f>
        <v>Medium</v>
      </c>
      <c r="K10" s="2" t="s">
        <v>71</v>
      </c>
      <c r="L10" s="1" t="str">
        <f t="shared" si="3"/>
        <v>pass</v>
      </c>
      <c r="N10" s="22" t="str">
        <f>INDEX({"Low","Low,","Low","Medium","Medium","Medium","Medium","High","High","High"},I10)</f>
        <v>Medium</v>
      </c>
      <c r="O10" s="1" t="str">
        <f t="shared" si="1"/>
        <v>pass</v>
      </c>
      <c r="Q10" s="22" t="str">
        <f>HLOOKUP(I10,{1,2,3,4,5,6,7,8,9,10;"Low","Low,","Low","Medium","Medium","Medium","Medium","High","High","High"},2,FALSE)</f>
        <v>Medium</v>
      </c>
      <c r="R10" s="1" t="str">
        <f t="shared" si="2"/>
        <v>pass</v>
      </c>
    </row>
    <row r="11" spans="2:18" ht="16.5" thickTop="1" thickBot="1" x14ac:dyDescent="0.3">
      <c r="E11" s="2">
        <v>6</v>
      </c>
      <c r="F11" s="2" t="s">
        <v>71</v>
      </c>
      <c r="H11" s="35"/>
      <c r="I11" s="6">
        <v>3</v>
      </c>
      <c r="J11" s="7" t="str">
        <f>INDEX(CriticalityRatingToLevel[],
                MATCH(I11,CriticalityRatingToLevel[Criticality Rating],0),
                2)</f>
        <v>Low</v>
      </c>
      <c r="K11" s="2" t="s">
        <v>72</v>
      </c>
      <c r="L11" s="1" t="str">
        <f t="shared" si="3"/>
        <v>pass</v>
      </c>
      <c r="N11" s="22" t="str">
        <f>INDEX({"Low","Low,","Low","Medium","Medium","Medium","Medium","High","High","High"},I11)</f>
        <v>Low</v>
      </c>
      <c r="O11" s="1" t="str">
        <f t="shared" si="1"/>
        <v>pass</v>
      </c>
      <c r="Q11" s="22" t="str">
        <f>HLOOKUP(I11,{1,2,3,4,5,6,7,8,9,10;"Low","Low,","Low","Medium","Medium","Medium","Medium","High","High","High"},2,FALSE)</f>
        <v>Low</v>
      </c>
      <c r="R11" s="1" t="str">
        <f t="shared" si="2"/>
        <v>pass</v>
      </c>
    </row>
    <row r="12" spans="2:18" ht="16.5" thickTop="1" thickBot="1" x14ac:dyDescent="0.3">
      <c r="E12" s="2">
        <v>5</v>
      </c>
      <c r="F12" s="2" t="s">
        <v>71</v>
      </c>
      <c r="H12" s="35"/>
      <c r="I12" s="6">
        <v>1</v>
      </c>
      <c r="J12" s="7" t="str">
        <f>INDEX(CriticalityRatingToLevel[],
                MATCH(I12,CriticalityRatingToLevel[Criticality Rating],0),
                2)</f>
        <v>Low</v>
      </c>
      <c r="K12" s="2" t="s">
        <v>72</v>
      </c>
      <c r="L12" s="1" t="str">
        <f t="shared" si="3"/>
        <v>pass</v>
      </c>
      <c r="N12" s="22" t="str">
        <f>INDEX({"Low","Low,","Low","Medium","Medium","Medium","Medium","High","High","High"},I12)</f>
        <v>Low</v>
      </c>
      <c r="O12" s="1" t="str">
        <f t="shared" si="1"/>
        <v>pass</v>
      </c>
      <c r="Q12" s="22" t="str">
        <f>HLOOKUP(I12,{1,2,3,4,5,6,7,8,9,10;"Low","Low,","Low","Medium","Medium","Medium","Medium","High","High","High"},2,FALSE)</f>
        <v>Low</v>
      </c>
      <c r="R12" s="1" t="str">
        <f t="shared" si="2"/>
        <v>pass</v>
      </c>
    </row>
    <row r="13" spans="2:18" ht="15.75" thickTop="1" x14ac:dyDescent="0.25">
      <c r="E13" s="2">
        <v>4</v>
      </c>
      <c r="F13" s="2" t="s">
        <v>71</v>
      </c>
    </row>
    <row r="14" spans="2:18" ht="15.75" thickBot="1" x14ac:dyDescent="0.3">
      <c r="E14" s="2">
        <v>3</v>
      </c>
      <c r="F14" s="2" t="s">
        <v>72</v>
      </c>
    </row>
    <row r="15" spans="2:18" ht="16.5" thickTop="1" thickBot="1" x14ac:dyDescent="0.3">
      <c r="E15" s="2">
        <v>2</v>
      </c>
      <c r="F15" s="2" t="s">
        <v>72</v>
      </c>
      <c r="H15" s="35" t="s">
        <v>81</v>
      </c>
      <c r="I15" s="6">
        <v>0</v>
      </c>
      <c r="J15" s="7" t="e">
        <f>INDEX(CriticalityRatingToLevel[],
                MATCH(I15,CriticalityRatingToLevel[Criticality Rating],0),
                2)</f>
        <v>#N/A</v>
      </c>
      <c r="K15" s="2" t="e">
        <v>#N/A</v>
      </c>
      <c r="L15" s="1" t="str">
        <f>IF(ISNA(J15),"pass","fail")</f>
        <v>pass</v>
      </c>
      <c r="N15" s="22" t="str">
        <f>INDEX({"Low","Low,","Low","Medium","Medium","Medium","Medium","High","High","High"},I15)</f>
        <v>Low</v>
      </c>
      <c r="O15" s="1" t="str">
        <f>IF(ISNA(I15),"pass","fail")</f>
        <v>fail</v>
      </c>
      <c r="Q15" s="22" t="e">
        <f>HLOOKUP(I15,{1,2,3,4,5,6,7,8,9,10;"Low","Low,","Low","Medium","Medium","Medium","Medium","High","High","High"},2,FALSE)</f>
        <v>#N/A</v>
      </c>
      <c r="R15" s="1" t="str">
        <f>IF(ISNA(Q15),"pass","fail")</f>
        <v>pass</v>
      </c>
    </row>
    <row r="16" spans="2:18" ht="16.5" thickTop="1" thickBot="1" x14ac:dyDescent="0.3">
      <c r="E16" s="2">
        <v>1</v>
      </c>
      <c r="F16" s="2" t="s">
        <v>72</v>
      </c>
      <c r="H16" s="35"/>
      <c r="I16" s="6">
        <v>-1</v>
      </c>
      <c r="J16" s="7" t="e">
        <f>INDEX(CriticalityRatingToLevel[],
                MATCH(I16,CriticalityRatingToLevel[Criticality Rating],0),
                2)</f>
        <v>#N/A</v>
      </c>
      <c r="K16" s="2" t="e">
        <v>#N/A</v>
      </c>
      <c r="L16" s="1" t="str">
        <f t="shared" ref="L16:L22" si="4">IF(ISNA(J16),"pass","fail")</f>
        <v>pass</v>
      </c>
      <c r="N16" s="22" t="e">
        <f>INDEX({"Low","Low,","Low","Medium","Medium","Medium","Medium","High","High","High"},I16)</f>
        <v>#VALUE!</v>
      </c>
      <c r="O16" s="1" t="str">
        <f t="shared" ref="O16:O22" si="5">IF(ISNA(I16),"pass","fail")</f>
        <v>fail</v>
      </c>
      <c r="Q16" s="22" t="e">
        <f>HLOOKUP(I16,{1,2,3,4,5,6,7,8,9,10;"Low","Low,","Low","Medium","Medium","Medium","Medium","High","High","High"},2,FALSE)</f>
        <v>#N/A</v>
      </c>
      <c r="R16" s="1" t="str">
        <f t="shared" ref="R16:R22" si="6">IF(ISNA(Q16),"pass","fail")</f>
        <v>pass</v>
      </c>
    </row>
    <row r="17" spans="8:18" ht="16.5" thickTop="1" thickBot="1" x14ac:dyDescent="0.3">
      <c r="H17" s="35"/>
      <c r="I17" s="6">
        <v>5.5</v>
      </c>
      <c r="J17" s="7" t="e">
        <f>INDEX(CriticalityRatingToLevel[],
                MATCH(I17,CriticalityRatingToLevel[Criticality Rating],0),
                2)</f>
        <v>#N/A</v>
      </c>
      <c r="K17" s="2" t="e">
        <v>#N/A</v>
      </c>
      <c r="L17" s="1" t="str">
        <f t="shared" si="4"/>
        <v>pass</v>
      </c>
      <c r="N17" s="22" t="str">
        <f>INDEX({"Low","Low,","Low","Medium","Medium","Medium","Medium","High","High","High"},I17)</f>
        <v>Medium</v>
      </c>
      <c r="O17" s="1" t="str">
        <f t="shared" si="5"/>
        <v>fail</v>
      </c>
      <c r="Q17" s="22" t="e">
        <f>HLOOKUP(I17,{1,2,3,4,5,6,7,8,9,10;"Low","Low,","Low","Medium","Medium","Medium","Medium","High","High","High"},2,FALSE)</f>
        <v>#N/A</v>
      </c>
      <c r="R17" s="1" t="str">
        <f t="shared" si="6"/>
        <v>pass</v>
      </c>
    </row>
    <row r="18" spans="8:18" ht="16.5" thickTop="1" thickBot="1" x14ac:dyDescent="0.3">
      <c r="H18" s="35"/>
      <c r="I18" s="6">
        <v>11</v>
      </c>
      <c r="J18" s="7" t="e">
        <f>INDEX(CriticalityRatingToLevel[],
                MATCH(I18,CriticalityRatingToLevel[Criticality Rating],0),
                2)</f>
        <v>#N/A</v>
      </c>
      <c r="K18" s="2" t="e">
        <v>#N/A</v>
      </c>
      <c r="L18" s="1" t="str">
        <f t="shared" si="4"/>
        <v>pass</v>
      </c>
      <c r="N18" s="22" t="e">
        <f>INDEX({"Low","Low,","Low","Medium","Medium","Medium","Medium","High","High","High"},I18)</f>
        <v>#REF!</v>
      </c>
      <c r="O18" s="1" t="str">
        <f t="shared" si="5"/>
        <v>fail</v>
      </c>
      <c r="Q18" s="22" t="e">
        <f>HLOOKUP(I18,{1,2,3,4,5,6,7,8,9,10;"Low","Low,","Low","Medium","Medium","Medium","Medium","High","High","High"},2,FALSE)</f>
        <v>#N/A</v>
      </c>
      <c r="R18" s="1" t="str">
        <f t="shared" si="6"/>
        <v>pass</v>
      </c>
    </row>
    <row r="19" spans="8:18" ht="16.5" thickTop="1" thickBot="1" x14ac:dyDescent="0.3">
      <c r="H19" s="35"/>
      <c r="I19" s="6" t="s">
        <v>0</v>
      </c>
      <c r="J19" s="7" t="e">
        <f>INDEX(CriticalityRatingToLevel[],
                MATCH(I19,CriticalityRatingToLevel[Criticality Rating],0),
                2)</f>
        <v>#N/A</v>
      </c>
      <c r="K19" s="2" t="e">
        <v>#N/A</v>
      </c>
      <c r="L19" s="1" t="str">
        <f t="shared" si="4"/>
        <v>pass</v>
      </c>
      <c r="N19" s="22" t="e">
        <f>INDEX({"Low","Low,","Low","Medium","Medium","Medium","Medium","High","High","High"},I19)</f>
        <v>#VALUE!</v>
      </c>
      <c r="O19" s="1" t="str">
        <f t="shared" si="5"/>
        <v>fail</v>
      </c>
      <c r="Q19" s="22" t="e">
        <f>HLOOKUP(I19,{1,2,3,4,5,6,7,8,9,10;"Low","Low,","Low","Medium","Medium","Medium","Medium","High","High","High"},2,FALSE)</f>
        <v>#N/A</v>
      </c>
      <c r="R19" s="1" t="str">
        <f t="shared" si="6"/>
        <v>pass</v>
      </c>
    </row>
    <row r="20" spans="8:18" ht="16.5" thickTop="1" thickBot="1" x14ac:dyDescent="0.3">
      <c r="H20" s="35"/>
      <c r="I20" s="6">
        <v>3.9998999999999998</v>
      </c>
      <c r="J20" s="7" t="e">
        <f>INDEX(CriticalityRatingToLevel[],
                MATCH(I20,CriticalityRatingToLevel[Criticality Rating],0),
                2)</f>
        <v>#N/A</v>
      </c>
      <c r="K20" s="2" t="e">
        <v>#N/A</v>
      </c>
      <c r="L20" s="1" t="str">
        <f t="shared" ref="L20" si="7">IF(ISNA(J20),"pass","fail")</f>
        <v>pass</v>
      </c>
      <c r="N20" s="22" t="str">
        <f>INDEX({"Low","Low,","Low","Medium","Medium","Medium","Medium","High","High","High"},I20)</f>
        <v>Low</v>
      </c>
      <c r="O20" s="1" t="str">
        <f t="shared" ref="O20:O21" si="8">IF(ISNA(I20),"pass","fail")</f>
        <v>fail</v>
      </c>
      <c r="Q20" s="22" t="e">
        <f>HLOOKUP(I20,{1,2,3,4,5,6,7,8,9,10;"Low","Low,","Low","Medium","Medium","Medium","Medium","High","High","High"},2,FALSE)</f>
        <v>#N/A</v>
      </c>
      <c r="R20" s="1" t="str">
        <f t="shared" si="6"/>
        <v>pass</v>
      </c>
    </row>
    <row r="21" spans="8:18" ht="16.5" thickTop="1" thickBot="1" x14ac:dyDescent="0.3">
      <c r="H21" s="35"/>
      <c r="I21" s="6">
        <v>4.0010000000000003</v>
      </c>
      <c r="J21" s="7" t="e">
        <f>INDEX(CriticalityRatingToLevel[],
                MATCH(I21,CriticalityRatingToLevel[Criticality Rating],0),
                2)</f>
        <v>#N/A</v>
      </c>
      <c r="K21" s="2" t="e">
        <v>#N/A</v>
      </c>
      <c r="L21" s="1" t="str">
        <f t="shared" ref="L21" si="9">IF(ISNA(J21),"pass","fail")</f>
        <v>pass</v>
      </c>
      <c r="N21" s="22" t="str">
        <f>INDEX({"Low","Low,","Low","Medium","Medium","Medium","Medium","High","High","High"},I21)</f>
        <v>Medium</v>
      </c>
      <c r="O21" s="1" t="str">
        <f t="shared" ref="O21" si="10">IF(ISNA(I21),"pass","fail")</f>
        <v>fail</v>
      </c>
      <c r="Q21" s="22" t="e">
        <f>HLOOKUP(I21,{1,2,3,4,5,6,7,8,9,10;"Low","Low,","Low","Medium","Medium","Medium","Medium","High","High","High"},2,FALSE)</f>
        <v>#N/A</v>
      </c>
      <c r="R21" s="1" t="str">
        <f t="shared" si="6"/>
        <v>pass</v>
      </c>
    </row>
    <row r="22" spans="8:18" ht="16.5" thickTop="1" thickBot="1" x14ac:dyDescent="0.3">
      <c r="H22" s="35"/>
      <c r="I22" s="36" t="s">
        <v>82</v>
      </c>
      <c r="J22" s="7" t="e">
        <f>INDEX(CriticalityRatingToLevel[],
                MATCH(I22,CriticalityRatingToLevel[Criticality Rating],0),
                2)</f>
        <v>#N/A</v>
      </c>
      <c r="K22" s="2" t="e">
        <v>#N/A</v>
      </c>
      <c r="L22" s="1" t="str">
        <f t="shared" si="4"/>
        <v>pass</v>
      </c>
      <c r="N22" s="22" t="e">
        <f>INDEX({"Low","Low,","Low","Medium","Medium","Medium","Medium","High","High","High"},I22)</f>
        <v>#REF!</v>
      </c>
      <c r="O22" s="1" t="str">
        <f t="shared" si="5"/>
        <v>fail</v>
      </c>
      <c r="Q22" s="22" t="e">
        <f>HLOOKUP(I22,{1,2,3,4,5,6,7,8,9,10;"Low","Low,","Low","Medium","Medium","Medium","Medium","High","High","High"},2,FALSE)</f>
        <v>#N/A</v>
      </c>
      <c r="R22" s="1" t="str">
        <f t="shared" si="6"/>
        <v>pass</v>
      </c>
    </row>
    <row r="23" spans="8:18" ht="15.75" thickTop="1" x14ac:dyDescent="0.25"/>
  </sheetData>
  <mergeCells count="2">
    <mergeCell ref="H7:H12"/>
    <mergeCell ref="H15:H22"/>
  </mergeCells>
  <conditionalFormatting sqref="F7:F16">
    <cfRule type="cellIs" dxfId="6" priority="3" operator="equal">
      <formula>"Medium"</formula>
    </cfRule>
    <cfRule type="cellIs" dxfId="7" priority="2" operator="equal">
      <formula>"High"</formula>
    </cfRule>
    <cfRule type="cellIs" dxfId="5" priority="1" operator="equal">
      <formula>"Low"</formula>
    </cfRule>
  </conditionalFormatting>
  <pageMargins left="0.7" right="0.7" top="0.75" bottom="0.75" header="0.3" footer="0.3"/>
  <pageSetup paperSize="9" orientation="portrait" r:id="rId1"/>
  <legacy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BEB3A2-FBB1-4822-BABD-86F1197F5797}">
  <dimension ref="A1:E7"/>
  <sheetViews>
    <sheetView workbookViewId="0">
      <selection activeCell="D9" sqref="D9"/>
    </sheetView>
  </sheetViews>
  <sheetFormatPr defaultRowHeight="15" x14ac:dyDescent="0.25"/>
  <cols>
    <col min="1" max="1" width="15" customWidth="1"/>
    <col min="2" max="2" width="18.42578125" customWidth="1"/>
    <col min="3" max="3" width="19.42578125" customWidth="1"/>
    <col min="4" max="4" width="23.7109375" customWidth="1"/>
    <col min="5" max="5" width="15.5703125" style="18" customWidth="1"/>
  </cols>
  <sheetData>
    <row r="1" spans="1:5" ht="20.25" thickBot="1" x14ac:dyDescent="0.35">
      <c r="A1" s="38" t="s">
        <v>83</v>
      </c>
    </row>
    <row r="2" spans="1:5" ht="15.75" thickTop="1" x14ac:dyDescent="0.25"/>
    <row r="3" spans="1:5" x14ac:dyDescent="0.25">
      <c r="A3" t="s">
        <v>84</v>
      </c>
      <c r="B3" t="s">
        <v>85</v>
      </c>
      <c r="C3" t="s">
        <v>92</v>
      </c>
      <c r="D3" t="s">
        <v>96</v>
      </c>
      <c r="E3" s="18" t="s">
        <v>97</v>
      </c>
    </row>
    <row r="4" spans="1:5" x14ac:dyDescent="0.25">
      <c r="A4" t="s">
        <v>86</v>
      </c>
      <c r="B4" t="s">
        <v>90</v>
      </c>
      <c r="C4" s="2">
        <v>7</v>
      </c>
      <c r="D4" t="s">
        <v>86</v>
      </c>
    </row>
    <row r="5" spans="1:5" x14ac:dyDescent="0.25">
      <c r="A5" t="s">
        <v>87</v>
      </c>
      <c r="B5" t="s">
        <v>91</v>
      </c>
      <c r="C5" s="2">
        <v>9</v>
      </c>
      <c r="D5" t="s">
        <v>93</v>
      </c>
    </row>
    <row r="6" spans="1:5" x14ac:dyDescent="0.25">
      <c r="A6" t="s">
        <v>88</v>
      </c>
      <c r="B6" t="s">
        <v>90</v>
      </c>
      <c r="C6" s="2">
        <v>7</v>
      </c>
      <c r="D6" t="s">
        <v>94</v>
      </c>
      <c r="E6" s="18" t="s">
        <v>91</v>
      </c>
    </row>
    <row r="7" spans="1:5" x14ac:dyDescent="0.25">
      <c r="A7" t="s">
        <v>89</v>
      </c>
      <c r="B7" t="s">
        <v>91</v>
      </c>
      <c r="C7" s="2">
        <v>9</v>
      </c>
      <c r="D7" t="s">
        <v>95</v>
      </c>
    </row>
  </sheetData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RiskManagementMatrix</vt:lpstr>
      <vt:lpstr>ImpactCriticalityTable</vt:lpstr>
      <vt:lpstr>CriticalityToLocationPriority</vt:lpstr>
      <vt:lpstr>IsCritical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2017-08-31T15:37:45Z</dcterms:modified>
</cp:coreProperties>
</file>