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denergygroup-my.sharepoint.com/personal/douglas_crooke_addenergy_no/Documents/CriticalityVBA/"/>
    </mc:Choice>
  </mc:AlternateContent>
  <bookViews>
    <workbookView xWindow="930" yWindow="0" windowWidth="20865" windowHeight="11895" firstSheet="2" activeTab="8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</sheets>
  <functionGroups builtInGroupCount="18"/>
  <externalReferences>
    <externalReference r:id="rId10"/>
    <externalReference r:id="rId11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17" i="10" l="1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T221" i="10"/>
  <c r="T222" i="10" s="1"/>
  <c r="T223" i="10" s="1"/>
  <c r="T224" i="10" s="1"/>
  <c r="T225" i="10" s="1"/>
  <c r="T226" i="10" s="1"/>
  <c r="T227" i="10" s="1"/>
  <c r="T228" i="10" s="1"/>
  <c r="T229" i="10" s="1"/>
  <c r="T230" i="10" s="1"/>
  <c r="T231" i="10" s="1"/>
  <c r="T232" i="10" s="1"/>
  <c r="T233" i="10" s="1"/>
  <c r="T234" i="10" s="1"/>
  <c r="T235" i="10" s="1"/>
  <c r="T236" i="10" s="1"/>
  <c r="T237" i="10" s="1"/>
  <c r="T238" i="10" s="1"/>
  <c r="T239" i="10" s="1"/>
  <c r="T240" i="10" s="1"/>
  <c r="T241" i="10" s="1"/>
  <c r="T242" i="10" s="1"/>
  <c r="T243" i="10" s="1"/>
  <c r="T244" i="10" s="1"/>
  <c r="T245" i="10" s="1"/>
  <c r="T246" i="10" s="1"/>
  <c r="T247" i="10" s="1"/>
  <c r="T248" i="10" s="1"/>
  <c r="T249" i="10" s="1"/>
  <c r="T250" i="10" s="1"/>
  <c r="T251" i="10" s="1"/>
  <c r="T252" i="10" s="1"/>
  <c r="T253" i="10" s="1"/>
  <c r="T254" i="10" s="1"/>
  <c r="T255" i="10" s="1"/>
  <c r="T256" i="10" s="1"/>
  <c r="T257" i="10" s="1"/>
  <c r="T258" i="10" s="1"/>
  <c r="T259" i="10" s="1"/>
  <c r="T260" i="10" s="1"/>
  <c r="T261" i="10" s="1"/>
  <c r="T262" i="10" s="1"/>
  <c r="T263" i="10" s="1"/>
  <c r="T264" i="10" s="1"/>
  <c r="T265" i="10" s="1"/>
  <c r="T266" i="10" s="1"/>
  <c r="T267" i="10" s="1"/>
  <c r="T268" i="10" s="1"/>
  <c r="T269" i="10" s="1"/>
  <c r="T270" i="10" s="1"/>
  <c r="T271" i="10" s="1"/>
  <c r="T272" i="10" s="1"/>
  <c r="T273" i="10" s="1"/>
  <c r="T274" i="10" s="1"/>
  <c r="T275" i="10" s="1"/>
  <c r="T276" i="10" s="1"/>
  <c r="T277" i="10" s="1"/>
  <c r="T278" i="10" s="1"/>
  <c r="T279" i="10" s="1"/>
  <c r="T280" i="10" s="1"/>
  <c r="T281" i="10" s="1"/>
  <c r="T282" i="10" s="1"/>
  <c r="T283" i="10" s="1"/>
  <c r="T284" i="10" s="1"/>
  <c r="T285" i="10" s="1"/>
  <c r="T286" i="10" s="1"/>
  <c r="T287" i="10" s="1"/>
  <c r="T288" i="10" s="1"/>
  <c r="T289" i="10" s="1"/>
  <c r="T290" i="10" s="1"/>
  <c r="T291" i="10" s="1"/>
  <c r="T292" i="10" s="1"/>
  <c r="T293" i="10" s="1"/>
  <c r="T294" i="10" s="1"/>
  <c r="T295" i="10" s="1"/>
  <c r="T296" i="10" s="1"/>
  <c r="T297" i="10" s="1"/>
  <c r="T298" i="10" s="1"/>
  <c r="T299" i="10" s="1"/>
  <c r="T300" i="10" s="1"/>
  <c r="T301" i="10" s="1"/>
  <c r="T302" i="10" s="1"/>
  <c r="T303" i="10" s="1"/>
  <c r="T304" i="10" s="1"/>
  <c r="T305" i="10" s="1"/>
  <c r="T306" i="10" s="1"/>
  <c r="T307" i="10" s="1"/>
  <c r="T308" i="10" s="1"/>
  <c r="T309" i="10" s="1"/>
  <c r="T217" i="10"/>
  <c r="T218" i="10" s="1"/>
  <c r="T219" i="10" s="1"/>
  <c r="T220" i="10" s="1"/>
  <c r="R221" i="10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R217" i="10"/>
  <c r="R218" i="10" s="1"/>
  <c r="R219" i="10" s="1"/>
  <c r="R220" i="10" s="1"/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K17" i="10"/>
  <c r="E17" i="10"/>
  <c r="D17" i="10"/>
  <c r="E16" i="10"/>
  <c r="D16" i="10"/>
  <c r="R6" i="10"/>
  <c r="R7" i="10" s="1"/>
  <c r="R5" i="10"/>
  <c r="T4" i="10"/>
  <c r="B9" i="10" l="1"/>
  <c r="G9" i="10" s="1"/>
  <c r="B10" i="10"/>
  <c r="G10" i="10" s="1"/>
  <c r="B12" i="10"/>
  <c r="D12" i="10" s="1" a="1"/>
  <c r="D12" i="10" s="1"/>
  <c r="G5" i="10"/>
  <c r="C9" i="10" a="1"/>
  <c r="C9" i="10" s="1"/>
  <c r="D9" i="10" a="1"/>
  <c r="D9" i="10" s="1"/>
  <c r="R8" i="10"/>
  <c r="T5" i="10"/>
  <c r="C10" i="10" a="1"/>
  <c r="C10" i="10" s="1"/>
  <c r="B11" i="10"/>
  <c r="D10" i="10" a="1"/>
  <c r="D10" i="10" s="1"/>
  <c r="O204" i="10"/>
  <c r="C12" i="10" l="1" a="1"/>
  <c r="C12" i="10" s="1"/>
  <c r="J36" i="10" s="1"/>
  <c r="K36" i="10" s="1"/>
  <c r="G12" i="10"/>
  <c r="J30" i="10"/>
  <c r="J31" i="10"/>
  <c r="K31" i="10" s="1"/>
  <c r="J29" i="10"/>
  <c r="K29" i="10" s="1"/>
  <c r="C11" i="10" a="1"/>
  <c r="C11" i="10" s="1"/>
  <c r="G11" i="10"/>
  <c r="D11" i="10" a="1"/>
  <c r="D11" i="10" s="1"/>
  <c r="T6" i="10"/>
  <c r="R9" i="10"/>
  <c r="O205" i="10"/>
  <c r="G7" i="10" l="1"/>
  <c r="K30" i="10"/>
  <c r="K10" i="10" s="1"/>
  <c r="T7" i="10"/>
  <c r="O206" i="10"/>
  <c r="R10" i="10"/>
  <c r="R11" i="10" l="1"/>
  <c r="K1" i="10"/>
  <c r="K6" i="10" s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T214" i="10" l="1"/>
  <c r="T215" i="10" l="1"/>
  <c r="T216" i="10" l="1"/>
  <c r="Z4" i="10" l="1"/>
  <c r="Z8" i="10" l="1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Z5" i="10" l="1"/>
  <c r="S84" i="10" s="1"/>
  <c r="S169" i="10" l="1"/>
  <c r="S213" i="10"/>
  <c r="S197" i="10"/>
  <c r="S181" i="10"/>
  <c r="S165" i="10"/>
  <c r="S147" i="10"/>
  <c r="S114" i="10"/>
  <c r="S201" i="10"/>
  <c r="S125" i="10"/>
  <c r="S209" i="10"/>
  <c r="S193" i="10"/>
  <c r="S177" i="10"/>
  <c r="S161" i="10"/>
  <c r="S142" i="10"/>
  <c r="S102" i="10"/>
  <c r="S185" i="10"/>
  <c r="S153" i="10"/>
  <c r="S205" i="10"/>
  <c r="S189" i="10"/>
  <c r="S173" i="10"/>
  <c r="S157" i="10"/>
  <c r="S134" i="10"/>
  <c r="S42" i="10"/>
  <c r="S221" i="10"/>
  <c r="S225" i="10"/>
  <c r="S229" i="10"/>
  <c r="S233" i="10"/>
  <c r="S237" i="10"/>
  <c r="S241" i="10"/>
  <c r="S245" i="10"/>
  <c r="S249" i="10"/>
  <c r="S253" i="10"/>
  <c r="S257" i="10"/>
  <c r="S261" i="10"/>
  <c r="S265" i="10"/>
  <c r="S269" i="10"/>
  <c r="S273" i="10"/>
  <c r="S277" i="10"/>
  <c r="S281" i="10"/>
  <c r="S285" i="10"/>
  <c r="S289" i="10"/>
  <c r="S293" i="10"/>
  <c r="S297" i="10"/>
  <c r="S301" i="10"/>
  <c r="S305" i="10"/>
  <c r="S309" i="10"/>
  <c r="S287" i="10"/>
  <c r="S299" i="10"/>
  <c r="S240" i="10"/>
  <c r="S248" i="10"/>
  <c r="S264" i="10"/>
  <c r="S268" i="10"/>
  <c r="S284" i="10"/>
  <c r="S300" i="10"/>
  <c r="S222" i="10"/>
  <c r="S226" i="10"/>
  <c r="S230" i="10"/>
  <c r="S234" i="10"/>
  <c r="S238" i="10"/>
  <c r="S242" i="10"/>
  <c r="S246" i="10"/>
  <c r="S250" i="10"/>
  <c r="S254" i="10"/>
  <c r="S258" i="10"/>
  <c r="S262" i="10"/>
  <c r="S266" i="10"/>
  <c r="S270" i="10"/>
  <c r="S274" i="10"/>
  <c r="S278" i="10"/>
  <c r="S282" i="10"/>
  <c r="S286" i="10"/>
  <c r="S290" i="10"/>
  <c r="S294" i="10"/>
  <c r="S298" i="10"/>
  <c r="S302" i="10"/>
  <c r="S306" i="10"/>
  <c r="S291" i="10"/>
  <c r="S303" i="10"/>
  <c r="S236" i="10"/>
  <c r="S252" i="10"/>
  <c r="S272" i="10"/>
  <c r="S288" i="10"/>
  <c r="S304" i="10"/>
  <c r="S223" i="10"/>
  <c r="S227" i="10"/>
  <c r="S231" i="10"/>
  <c r="S235" i="10"/>
  <c r="S239" i="10"/>
  <c r="S243" i="10"/>
  <c r="S247" i="10"/>
  <c r="S251" i="10"/>
  <c r="S255" i="10"/>
  <c r="S259" i="10"/>
  <c r="S263" i="10"/>
  <c r="S267" i="10"/>
  <c r="S271" i="10"/>
  <c r="S275" i="10"/>
  <c r="S279" i="10"/>
  <c r="S283" i="10"/>
  <c r="S295" i="10"/>
  <c r="S307" i="10"/>
  <c r="S256" i="10"/>
  <c r="S276" i="10"/>
  <c r="S292" i="10"/>
  <c r="S308" i="10"/>
  <c r="S224" i="10"/>
  <c r="S228" i="10"/>
  <c r="S232" i="10"/>
  <c r="S244" i="10"/>
  <c r="S260" i="10"/>
  <c r="S280" i="10"/>
  <c r="S296" i="10"/>
  <c r="S216" i="10"/>
  <c r="S212" i="10"/>
  <c r="S208" i="10"/>
  <c r="S204" i="10"/>
  <c r="S200" i="10"/>
  <c r="S196" i="10"/>
  <c r="S192" i="10"/>
  <c r="S188" i="10"/>
  <c r="S184" i="10"/>
  <c r="S180" i="10"/>
  <c r="S176" i="10"/>
  <c r="S172" i="10"/>
  <c r="S168" i="10"/>
  <c r="S164" i="10"/>
  <c r="S160" i="10"/>
  <c r="S156" i="10"/>
  <c r="S151" i="10"/>
  <c r="S146" i="10"/>
  <c r="S141" i="10"/>
  <c r="S133" i="10"/>
  <c r="S123" i="10"/>
  <c r="S113" i="10"/>
  <c r="S101" i="10"/>
  <c r="S80" i="10"/>
  <c r="S215" i="10"/>
  <c r="S211" i="10"/>
  <c r="S207" i="10"/>
  <c r="S203" i="10"/>
  <c r="S199" i="10"/>
  <c r="S195" i="10"/>
  <c r="S191" i="10"/>
  <c r="S187" i="10"/>
  <c r="S183" i="10"/>
  <c r="S179" i="10"/>
  <c r="S175" i="10"/>
  <c r="S171" i="10"/>
  <c r="S167" i="10"/>
  <c r="S163" i="10"/>
  <c r="S159" i="10"/>
  <c r="S155" i="10"/>
  <c r="S150" i="10"/>
  <c r="S145" i="10"/>
  <c r="S138" i="10"/>
  <c r="S130" i="10"/>
  <c r="S119" i="10"/>
  <c r="S109" i="10"/>
  <c r="S94" i="10"/>
  <c r="S47" i="10"/>
  <c r="S214" i="10"/>
  <c r="S210" i="10"/>
  <c r="S206" i="10"/>
  <c r="S202" i="10"/>
  <c r="S198" i="10"/>
  <c r="S194" i="10"/>
  <c r="S190" i="10"/>
  <c r="S186" i="10"/>
  <c r="S182" i="10"/>
  <c r="S178" i="10"/>
  <c r="S174" i="10"/>
  <c r="S170" i="10"/>
  <c r="S166" i="10"/>
  <c r="S162" i="10"/>
  <c r="S158" i="10"/>
  <c r="S154" i="10"/>
  <c r="S149" i="10"/>
  <c r="S143" i="10"/>
  <c r="S137" i="10"/>
  <c r="S129" i="10"/>
  <c r="S118" i="10"/>
  <c r="S107" i="10"/>
  <c r="S93" i="10"/>
  <c r="S5" i="10"/>
  <c r="AA4" i="10" s="1"/>
  <c r="S219" i="10"/>
  <c r="S220" i="10"/>
  <c r="S217" i="10"/>
  <c r="S218" i="10"/>
  <c r="S152" i="10"/>
  <c r="S148" i="10"/>
  <c r="S144" i="10"/>
  <c r="S140" i="10"/>
  <c r="S136" i="10"/>
  <c r="S132" i="10"/>
  <c r="S127" i="10"/>
  <c r="S122" i="10"/>
  <c r="S117" i="10"/>
  <c r="S111" i="10"/>
  <c r="S106" i="10"/>
  <c r="S98" i="10"/>
  <c r="S90" i="10"/>
  <c r="S68" i="10"/>
  <c r="S26" i="10"/>
  <c r="S139" i="10"/>
  <c r="S135" i="10"/>
  <c r="S131" i="10"/>
  <c r="S126" i="10"/>
  <c r="S121" i="10"/>
  <c r="S115" i="10"/>
  <c r="S110" i="10"/>
  <c r="S105" i="10"/>
  <c r="S97" i="10"/>
  <c r="S89" i="10"/>
  <c r="S63" i="10"/>
  <c r="S20" i="10"/>
  <c r="S128" i="10"/>
  <c r="S124" i="10"/>
  <c r="S120" i="10"/>
  <c r="S116" i="10"/>
  <c r="S112" i="10"/>
  <c r="S108" i="10"/>
  <c r="S104" i="10"/>
  <c r="S100" i="10"/>
  <c r="S96" i="10"/>
  <c r="S92" i="10"/>
  <c r="S88" i="10"/>
  <c r="S76" i="10"/>
  <c r="S58" i="10"/>
  <c r="S36" i="10"/>
  <c r="S15" i="10"/>
  <c r="S103" i="10"/>
  <c r="S99" i="10"/>
  <c r="S95" i="10"/>
  <c r="S91" i="10"/>
  <c r="S87" i="10"/>
  <c r="S72" i="10"/>
  <c r="S52" i="10"/>
  <c r="S31" i="10"/>
  <c r="S10" i="10"/>
  <c r="S83" i="10"/>
  <c r="S79" i="10"/>
  <c r="S75" i="10"/>
  <c r="S71" i="10"/>
  <c r="S67" i="10"/>
  <c r="S62" i="10"/>
  <c r="S56" i="10"/>
  <c r="S51" i="10"/>
  <c r="S46" i="10"/>
  <c r="S40" i="10"/>
  <c r="S35" i="10"/>
  <c r="S30" i="10"/>
  <c r="S24" i="10"/>
  <c r="S19" i="10"/>
  <c r="S14" i="10"/>
  <c r="S8" i="10"/>
  <c r="S86" i="10"/>
  <c r="S82" i="10"/>
  <c r="S78" i="10"/>
  <c r="S74" i="10"/>
  <c r="S70" i="10"/>
  <c r="S66" i="10"/>
  <c r="S60" i="10"/>
  <c r="S55" i="10"/>
  <c r="S50" i="10"/>
  <c r="S44" i="10"/>
  <c r="S39" i="10"/>
  <c r="S34" i="10"/>
  <c r="S28" i="10"/>
  <c r="S23" i="10"/>
  <c r="S18" i="10"/>
  <c r="S12" i="10"/>
  <c r="S6" i="10"/>
  <c r="S85" i="10"/>
  <c r="S81" i="10"/>
  <c r="S77" i="10"/>
  <c r="S73" i="10"/>
  <c r="S69" i="10"/>
  <c r="S64" i="10"/>
  <c r="S59" i="10"/>
  <c r="S54" i="10"/>
  <c r="S48" i="10"/>
  <c r="S43" i="10"/>
  <c r="S38" i="10"/>
  <c r="S32" i="10"/>
  <c r="S27" i="10"/>
  <c r="S22" i="10"/>
  <c r="S16" i="10"/>
  <c r="S11" i="10"/>
  <c r="S7" i="10"/>
  <c r="S65" i="10"/>
  <c r="S61" i="10"/>
  <c r="S57" i="10"/>
  <c r="S53" i="10"/>
  <c r="S49" i="10"/>
  <c r="S45" i="10"/>
  <c r="S41" i="10"/>
  <c r="S37" i="10"/>
  <c r="S33" i="10"/>
  <c r="S29" i="10"/>
  <c r="S25" i="10"/>
  <c r="S21" i="10"/>
  <c r="S17" i="10"/>
  <c r="S13" i="10"/>
  <c r="S9" i="10"/>
  <c r="W217" i="10" l="1"/>
  <c r="W221" i="10"/>
  <c r="W225" i="10"/>
  <c r="W229" i="10"/>
  <c r="W233" i="10"/>
  <c r="W237" i="10"/>
  <c r="W241" i="10"/>
  <c r="W245" i="10"/>
  <c r="W249" i="10"/>
  <c r="W253" i="10"/>
  <c r="W257" i="10"/>
  <c r="W261" i="10"/>
  <c r="W265" i="10"/>
  <c r="W269" i="10"/>
  <c r="W273" i="10"/>
  <c r="W277" i="10"/>
  <c r="W281" i="10"/>
  <c r="W285" i="10"/>
  <c r="W289" i="10"/>
  <c r="W293" i="10"/>
  <c r="W297" i="10"/>
  <c r="W301" i="10"/>
  <c r="W305" i="10"/>
  <c r="W309" i="10"/>
  <c r="W236" i="10"/>
  <c r="W264" i="10"/>
  <c r="W272" i="10"/>
  <c r="W284" i="10"/>
  <c r="W300" i="10"/>
  <c r="W218" i="10"/>
  <c r="W222" i="10"/>
  <c r="W226" i="10"/>
  <c r="W230" i="10"/>
  <c r="W234" i="10"/>
  <c r="W238" i="10"/>
  <c r="W242" i="10"/>
  <c r="W246" i="10"/>
  <c r="W250" i="10"/>
  <c r="W254" i="10"/>
  <c r="W258" i="10"/>
  <c r="W262" i="10"/>
  <c r="W266" i="10"/>
  <c r="W270" i="10"/>
  <c r="W274" i="10"/>
  <c r="W278" i="10"/>
  <c r="W282" i="10"/>
  <c r="W286" i="10"/>
  <c r="W290" i="10"/>
  <c r="W294" i="10"/>
  <c r="W298" i="10"/>
  <c r="W302" i="10"/>
  <c r="W306" i="10"/>
  <c r="W224" i="10"/>
  <c r="W232" i="10"/>
  <c r="W244" i="10"/>
  <c r="W248" i="10"/>
  <c r="W260" i="10"/>
  <c r="W268" i="10"/>
  <c r="W276" i="10"/>
  <c r="W288" i="10"/>
  <c r="W296" i="10"/>
  <c r="W308" i="10"/>
  <c r="W219" i="10"/>
  <c r="W223" i="10"/>
  <c r="W227" i="10"/>
  <c r="W231" i="10"/>
  <c r="W235" i="10"/>
  <c r="W239" i="10"/>
  <c r="W243" i="10"/>
  <c r="W247" i="10"/>
  <c r="W251" i="10"/>
  <c r="W255" i="10"/>
  <c r="W259" i="10"/>
  <c r="W263" i="10"/>
  <c r="W267" i="10"/>
  <c r="W271" i="10"/>
  <c r="W275" i="10"/>
  <c r="W279" i="10"/>
  <c r="W283" i="10"/>
  <c r="W287" i="10"/>
  <c r="W291" i="10"/>
  <c r="W295" i="10"/>
  <c r="W299" i="10"/>
  <c r="W303" i="10"/>
  <c r="W307" i="10"/>
  <c r="W220" i="10"/>
  <c r="W228" i="10"/>
  <c r="W240" i="10"/>
  <c r="W252" i="10"/>
  <c r="W256" i="10"/>
  <c r="W280" i="10"/>
  <c r="W292" i="10"/>
  <c r="W304" i="10"/>
  <c r="W18" i="10"/>
  <c r="V217" i="10"/>
  <c r="V221" i="10"/>
  <c r="V225" i="10"/>
  <c r="V229" i="10"/>
  <c r="V233" i="10"/>
  <c r="V237" i="10"/>
  <c r="V241" i="10"/>
  <c r="V249" i="10"/>
  <c r="V257" i="10"/>
  <c r="V265" i="10"/>
  <c r="V273" i="10"/>
  <c r="V285" i="10"/>
  <c r="V293" i="10"/>
  <c r="V301" i="10"/>
  <c r="V218" i="10"/>
  <c r="V222" i="10"/>
  <c r="V226" i="10"/>
  <c r="V230" i="10"/>
  <c r="V234" i="10"/>
  <c r="V238" i="10"/>
  <c r="V242" i="10"/>
  <c r="V246" i="10"/>
  <c r="V250" i="10"/>
  <c r="V254" i="10"/>
  <c r="V258" i="10"/>
  <c r="V262" i="10"/>
  <c r="V266" i="10"/>
  <c r="V270" i="10"/>
  <c r="V274" i="10"/>
  <c r="V278" i="10"/>
  <c r="V282" i="10"/>
  <c r="V286" i="10"/>
  <c r="V290" i="10"/>
  <c r="V294" i="10"/>
  <c r="V298" i="10"/>
  <c r="V302" i="10"/>
  <c r="V306" i="10"/>
  <c r="V219" i="10"/>
  <c r="V223" i="10"/>
  <c r="V227" i="10"/>
  <c r="V231" i="10"/>
  <c r="V235" i="10"/>
  <c r="V239" i="10"/>
  <c r="V243" i="10"/>
  <c r="V247" i="10"/>
  <c r="V251" i="10"/>
  <c r="V255" i="10"/>
  <c r="V259" i="10"/>
  <c r="V263" i="10"/>
  <c r="V267" i="10"/>
  <c r="V271" i="10"/>
  <c r="V275" i="10"/>
  <c r="V279" i="10"/>
  <c r="V283" i="10"/>
  <c r="V287" i="10"/>
  <c r="V291" i="10"/>
  <c r="V295" i="10"/>
  <c r="V299" i="10"/>
  <c r="V303" i="10"/>
  <c r="V307" i="10"/>
  <c r="V220" i="10"/>
  <c r="V224" i="10"/>
  <c r="V228" i="10"/>
  <c r="V232" i="10"/>
  <c r="V236" i="10"/>
  <c r="V240" i="10"/>
  <c r="V244" i="10"/>
  <c r="V248" i="10"/>
  <c r="V252" i="10"/>
  <c r="V256" i="10"/>
  <c r="V260" i="10"/>
  <c r="V264" i="10"/>
  <c r="V268" i="10"/>
  <c r="V272" i="10"/>
  <c r="V276" i="10"/>
  <c r="V280" i="10"/>
  <c r="V284" i="10"/>
  <c r="V288" i="10"/>
  <c r="V292" i="10"/>
  <c r="V296" i="10"/>
  <c r="V300" i="10"/>
  <c r="V304" i="10"/>
  <c r="V308" i="10"/>
  <c r="V245" i="10"/>
  <c r="V253" i="10"/>
  <c r="V261" i="10"/>
  <c r="V269" i="10"/>
  <c r="V277" i="10"/>
  <c r="V281" i="10"/>
  <c r="V289" i="10"/>
  <c r="V297" i="10"/>
  <c r="V305" i="10"/>
  <c r="V309" i="10"/>
  <c r="V213" i="10"/>
  <c r="W205" i="10"/>
  <c r="W197" i="10"/>
  <c r="V189" i="10"/>
  <c r="V173" i="10"/>
  <c r="V146" i="10"/>
  <c r="V114" i="10"/>
  <c r="V90" i="10"/>
  <c r="W26" i="10"/>
  <c r="W211" i="10"/>
  <c r="V203" i="10"/>
  <c r="W195" i="10"/>
  <c r="W187" i="10"/>
  <c r="V179" i="10"/>
  <c r="W171" i="10"/>
  <c r="V158" i="10"/>
  <c r="V142" i="10"/>
  <c r="W126" i="10"/>
  <c r="W110" i="10"/>
  <c r="V82" i="10"/>
  <c r="V50" i="10"/>
  <c r="W5" i="10"/>
  <c r="V7" i="10"/>
  <c r="W9" i="10"/>
  <c r="V11" i="10"/>
  <c r="V13" i="10"/>
  <c r="W15" i="10"/>
  <c r="V17" i="10"/>
  <c r="V19" i="10"/>
  <c r="V21" i="10"/>
  <c r="V23" i="10"/>
  <c r="W25" i="10"/>
  <c r="V27" i="10"/>
  <c r="W29" i="10"/>
  <c r="V31" i="10"/>
  <c r="V33" i="10"/>
  <c r="W35" i="10"/>
  <c r="W37" i="10"/>
  <c r="W39" i="10"/>
  <c r="V41" i="10"/>
  <c r="V43" i="10"/>
  <c r="V45" i="10"/>
  <c r="W47" i="10"/>
  <c r="V49" i="10"/>
  <c r="W51" i="10"/>
  <c r="W53" i="10"/>
  <c r="W55" i="10"/>
  <c r="V57" i="10"/>
  <c r="V59" i="10"/>
  <c r="V61" i="10"/>
  <c r="W63" i="10"/>
  <c r="V65" i="10"/>
  <c r="W67" i="10"/>
  <c r="W69" i="10"/>
  <c r="W71" i="10"/>
  <c r="V73" i="10"/>
  <c r="V75" i="10"/>
  <c r="W77" i="10"/>
  <c r="W79" i="10"/>
  <c r="V81" i="10"/>
  <c r="W83" i="10"/>
  <c r="W85" i="10"/>
  <c r="W87" i="10"/>
  <c r="V89" i="10"/>
  <c r="W91" i="10"/>
  <c r="W93" i="10"/>
  <c r="W95" i="10"/>
  <c r="V97" i="10"/>
  <c r="W99" i="10"/>
  <c r="W101" i="10"/>
  <c r="V103" i="10"/>
  <c r="W105" i="10"/>
  <c r="W107" i="10"/>
  <c r="W109" i="10"/>
  <c r="W111" i="10"/>
  <c r="V113" i="10"/>
  <c r="W115" i="10"/>
  <c r="V117" i="10"/>
  <c r="W119" i="10"/>
  <c r="W121" i="10"/>
  <c r="V123" i="10"/>
  <c r="V125" i="10"/>
  <c r="W127" i="10"/>
  <c r="V129" i="10"/>
  <c r="W131" i="10"/>
  <c r="W133" i="10"/>
  <c r="W135" i="10"/>
  <c r="V137" i="10"/>
  <c r="W139" i="10"/>
  <c r="W141" i="10"/>
  <c r="W143" i="10"/>
  <c r="W145" i="10"/>
  <c r="W147" i="10"/>
  <c r="W149" i="10"/>
  <c r="W151" i="10"/>
  <c r="V153" i="10"/>
  <c r="V155" i="10"/>
  <c r="V157" i="10"/>
  <c r="V159" i="10"/>
  <c r="V161" i="10"/>
  <c r="V163" i="10"/>
  <c r="V165" i="10"/>
  <c r="V167" i="10"/>
  <c r="AA8" i="10"/>
  <c r="V5" i="10"/>
  <c r="W7" i="10"/>
  <c r="V9" i="10"/>
  <c r="W11" i="10"/>
  <c r="W13" i="10"/>
  <c r="V15" i="10"/>
  <c r="W17" i="10"/>
  <c r="W19" i="10"/>
  <c r="W21" i="10"/>
  <c r="W23" i="10"/>
  <c r="V25" i="10"/>
  <c r="W27" i="10"/>
  <c r="V29" i="10"/>
  <c r="W31" i="10"/>
  <c r="W33" i="10"/>
  <c r="V35" i="10"/>
  <c r="V37" i="10"/>
  <c r="V39" i="10"/>
  <c r="W41" i="10"/>
  <c r="W43" i="10"/>
  <c r="W45" i="10"/>
  <c r="V47" i="10"/>
  <c r="W49" i="10"/>
  <c r="V51" i="10"/>
  <c r="V53" i="10"/>
  <c r="V55" i="10"/>
  <c r="W57" i="10"/>
  <c r="W59" i="10"/>
  <c r="W61" i="10"/>
  <c r="V63" i="10"/>
  <c r="W65" i="10"/>
  <c r="V67" i="10"/>
  <c r="V69" i="10"/>
  <c r="V71" i="10"/>
  <c r="W73" i="10"/>
  <c r="W75" i="10"/>
  <c r="V77" i="10"/>
  <c r="V79" i="10"/>
  <c r="W81" i="10"/>
  <c r="V83" i="10"/>
  <c r="V85" i="10"/>
  <c r="V87" i="10"/>
  <c r="W89" i="10"/>
  <c r="V91" i="10"/>
  <c r="V93" i="10"/>
  <c r="V95" i="10"/>
  <c r="W97" i="10"/>
  <c r="V99" i="10"/>
  <c r="V101" i="10"/>
  <c r="W103" i="10"/>
  <c r="V105" i="10"/>
  <c r="W4" i="10"/>
  <c r="W6" i="10"/>
  <c r="V8" i="10"/>
  <c r="W10" i="10"/>
  <c r="W12" i="10"/>
  <c r="W14" i="10"/>
  <c r="W16" i="10"/>
  <c r="V18" i="10"/>
  <c r="V20" i="10"/>
  <c r="V22" i="10"/>
  <c r="V24" i="10"/>
  <c r="V26" i="10"/>
  <c r="W28" i="10"/>
  <c r="V30" i="10"/>
  <c r="V32" i="10"/>
  <c r="V34" i="10"/>
  <c r="W36" i="10"/>
  <c r="W38" i="10"/>
  <c r="W40" i="10"/>
  <c r="W42" i="10"/>
  <c r="V44" i="10"/>
  <c r="V46" i="10"/>
  <c r="W48" i="10"/>
  <c r="W50" i="10"/>
  <c r="V52" i="10"/>
  <c r="W54" i="10"/>
  <c r="W56" i="10"/>
  <c r="V58" i="10"/>
  <c r="W60" i="10"/>
  <c r="W62" i="10"/>
  <c r="W64" i="10"/>
  <c r="W66" i="10"/>
  <c r="W68" i="10"/>
  <c r="W70" i="10"/>
  <c r="W72" i="10"/>
  <c r="W74" i="10"/>
  <c r="V76" i="10"/>
  <c r="W78" i="10"/>
  <c r="W80" i="10"/>
  <c r="W82" i="10"/>
  <c r="V84" i="10"/>
  <c r="W86" i="10"/>
  <c r="W88" i="10"/>
  <c r="W90" i="10"/>
  <c r="V92" i="10"/>
  <c r="W94" i="10"/>
  <c r="W96" i="10"/>
  <c r="W98" i="10"/>
  <c r="V100" i="10"/>
  <c r="W102" i="10"/>
  <c r="W104" i="10"/>
  <c r="W106" i="10"/>
  <c r="W108" i="10"/>
  <c r="V110" i="10"/>
  <c r="W112" i="10"/>
  <c r="W114" i="10"/>
  <c r="V116" i="10"/>
  <c r="V118" i="10"/>
  <c r="V120" i="10"/>
  <c r="V122" i="10"/>
  <c r="W124" i="10"/>
  <c r="V126" i="10"/>
  <c r="V128" i="10"/>
  <c r="W130" i="10"/>
  <c r="V132" i="10"/>
  <c r="V134" i="10"/>
  <c r="V136" i="10"/>
  <c r="W138" i="10"/>
  <c r="V140" i="10"/>
  <c r="W142" i="10"/>
  <c r="V144" i="10"/>
  <c r="W146" i="10"/>
  <c r="W148" i="10"/>
  <c r="W150" i="10"/>
  <c r="W152" i="10"/>
  <c r="V154" i="10"/>
  <c r="V156" i="10"/>
  <c r="W158" i="10"/>
  <c r="W160" i="10"/>
  <c r="W162" i="10"/>
  <c r="W164" i="10"/>
  <c r="V166" i="10"/>
  <c r="V4" i="10"/>
  <c r="V12" i="10"/>
  <c r="W20" i="10"/>
  <c r="V28" i="10"/>
  <c r="V36" i="10"/>
  <c r="W44" i="10"/>
  <c r="W52" i="10"/>
  <c r="V60" i="10"/>
  <c r="V68" i="10"/>
  <c r="W76" i="10"/>
  <c r="W84" i="10"/>
  <c r="W92" i="10"/>
  <c r="W100" i="10"/>
  <c r="V107" i="10"/>
  <c r="V111" i="10"/>
  <c r="V115" i="10"/>
  <c r="V119" i="10"/>
  <c r="W123" i="10"/>
  <c r="V127" i="10"/>
  <c r="V131" i="10"/>
  <c r="V135" i="10"/>
  <c r="V139" i="10"/>
  <c r="V143" i="10"/>
  <c r="V147" i="10"/>
  <c r="V151" i="10"/>
  <c r="W155" i="10"/>
  <c r="W159" i="10"/>
  <c r="W163" i="10"/>
  <c r="W167" i="10"/>
  <c r="V169" i="10"/>
  <c r="V171" i="10"/>
  <c r="W173" i="10"/>
  <c r="W175" i="10"/>
  <c r="W177" i="10"/>
  <c r="W179" i="10"/>
  <c r="W181" i="10"/>
  <c r="V183" i="10"/>
  <c r="V185" i="10"/>
  <c r="V187" i="10"/>
  <c r="W189" i="10"/>
  <c r="W191" i="10"/>
  <c r="W193" i="10"/>
  <c r="V195" i="10"/>
  <c r="V197" i="10"/>
  <c r="W199" i="10"/>
  <c r="V201" i="10"/>
  <c r="W203" i="10"/>
  <c r="V205" i="10"/>
  <c r="W207" i="10"/>
  <c r="W209" i="10"/>
  <c r="V211" i="10"/>
  <c r="W213" i="10"/>
  <c r="V215" i="10"/>
  <c r="V6" i="10"/>
  <c r="V14" i="10"/>
  <c r="W22" i="10"/>
  <c r="W30" i="10"/>
  <c r="V38" i="10"/>
  <c r="W46" i="10"/>
  <c r="V54" i="10"/>
  <c r="V62" i="10"/>
  <c r="V70" i="10"/>
  <c r="V78" i="10"/>
  <c r="V86" i="10"/>
  <c r="V94" i="10"/>
  <c r="V102" i="10"/>
  <c r="V108" i="10"/>
  <c r="V112" i="10"/>
  <c r="W116" i="10"/>
  <c r="W120" i="10"/>
  <c r="V124" i="10"/>
  <c r="W128" i="10"/>
  <c r="W132" i="10"/>
  <c r="W136" i="10"/>
  <c r="W140" i="10"/>
  <c r="W144" i="10"/>
  <c r="V148" i="10"/>
  <c r="V152" i="10"/>
  <c r="W156" i="10"/>
  <c r="V160" i="10"/>
  <c r="V164" i="10"/>
  <c r="W168" i="10"/>
  <c r="V170" i="10"/>
  <c r="V172" i="10"/>
  <c r="V174" i="10"/>
  <c r="W176" i="10"/>
  <c r="W178" i="10"/>
  <c r="V180" i="10"/>
  <c r="V182" i="10"/>
  <c r="V184" i="10"/>
  <c r="W186" i="10"/>
  <c r="V188" i="10"/>
  <c r="V190" i="10"/>
  <c r="W192" i="10"/>
  <c r="W194" i="10"/>
  <c r="V196" i="10"/>
  <c r="V198" i="10"/>
  <c r="V200" i="10"/>
  <c r="V202" i="10"/>
  <c r="W204" i="10"/>
  <c r="V206" i="10"/>
  <c r="W208" i="10"/>
  <c r="W210" i="10"/>
  <c r="V212" i="10"/>
  <c r="V214" i="10"/>
  <c r="W216" i="10"/>
  <c r="W8" i="10"/>
  <c r="V16" i="10"/>
  <c r="W24" i="10"/>
  <c r="W32" i="10"/>
  <c r="V40" i="10"/>
  <c r="V48" i="10"/>
  <c r="V56" i="10"/>
  <c r="V64" i="10"/>
  <c r="V72" i="10"/>
  <c r="V80" i="10"/>
  <c r="V88" i="10"/>
  <c r="V96" i="10"/>
  <c r="V104" i="10"/>
  <c r="V109" i="10"/>
  <c r="W113" i="10"/>
  <c r="W117" i="10"/>
  <c r="V121" i="10"/>
  <c r="W125" i="10"/>
  <c r="W129" i="10"/>
  <c r="V133" i="10"/>
  <c r="W137" i="10"/>
  <c r="V141" i="10"/>
  <c r="V145" i="10"/>
  <c r="V149" i="10"/>
  <c r="W153" i="10"/>
  <c r="W157" i="10"/>
  <c r="W161" i="10"/>
  <c r="W165" i="10"/>
  <c r="V168" i="10"/>
  <c r="W170" i="10"/>
  <c r="W172" i="10"/>
  <c r="W174" i="10"/>
  <c r="V176" i="10"/>
  <c r="V178" i="10"/>
  <c r="W180" i="10"/>
  <c r="W182" i="10"/>
  <c r="W184" i="10"/>
  <c r="V186" i="10"/>
  <c r="W188" i="10"/>
  <c r="W190" i="10"/>
  <c r="V192" i="10"/>
  <c r="V194" i="10"/>
  <c r="W196" i="10"/>
  <c r="W198" i="10"/>
  <c r="W200" i="10"/>
  <c r="W202" i="10"/>
  <c r="V204" i="10"/>
  <c r="W206" i="10"/>
  <c r="V208" i="10"/>
  <c r="V210" i="10"/>
  <c r="W212" i="10"/>
  <c r="W214" i="10"/>
  <c r="V216" i="10"/>
  <c r="V209" i="10"/>
  <c r="W201" i="10"/>
  <c r="V193" i="10"/>
  <c r="W185" i="10"/>
  <c r="V177" i="10"/>
  <c r="W169" i="10"/>
  <c r="W154" i="10"/>
  <c r="V138" i="10"/>
  <c r="W122" i="10"/>
  <c r="V106" i="10"/>
  <c r="V74" i="10"/>
  <c r="V42" i="10"/>
  <c r="V10" i="10"/>
  <c r="V181" i="10"/>
  <c r="V162" i="10"/>
  <c r="V130" i="10"/>
  <c r="W58" i="10"/>
  <c r="W215" i="10"/>
  <c r="V207" i="10"/>
  <c r="V199" i="10"/>
  <c r="V191" i="10"/>
  <c r="W183" i="10"/>
  <c r="V175" i="10"/>
  <c r="W166" i="10"/>
  <c r="V150" i="10"/>
  <c r="W134" i="10"/>
  <c r="W118" i="10"/>
  <c r="V98" i="10"/>
  <c r="V66" i="10"/>
  <c r="W34" i="10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AA5" i="10" l="1"/>
  <c r="M7" i="6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<sst xmlns="http://schemas.openxmlformats.org/spreadsheetml/2006/main" count="1757" uniqueCount="638">
  <si>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</si>
  <si>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</si>
  <si>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</si>
  <si>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</si>
  <si>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</si>
  <si>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</si>
  <si>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</si>
  <si>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</si>
  <si>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</si>
  <si>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</si>
  <si>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</si>
  <si>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</si>
  <si>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</si>
  <si>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</si>
  <si>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</si>
  <si>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</si>
  <si>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</si>
  <si>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</si>
  <si>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</si>
  <si>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</si>
  <si>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</si>
  <si>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</si>
  <si>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</si>
  <si>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</si>
  <si>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</si>
  <si>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</si>
  <si>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</si>
  <si>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</si>
  <si>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</si>
  <si>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</si>
  <si>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</si>
  <si>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</si>
  <si>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</si>
  <si>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</si>
  <si>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</si>
  <si>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</si>
  <si>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</si>
  <si>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</si>
  <si>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</si>
  <si>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</si>
  <si>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</si>
  <si>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</si>
  <si>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</si>
  <si>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</si>
  <si>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</si>
  <si>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</si>
  <si>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</si>
  <si>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</si>
  <si>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</si>
  <si>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</si>
  <si>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</si>
  <si>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</si>
  <si>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</si>
  <si>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</si>
  <si>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</si>
  <si>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</si>
  <si>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</si>
  <si>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</si>
  <si>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</si>
  <si>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</si>
  <si>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</si>
  <si>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</si>
  <si>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</si>
  <si>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</si>
  <si>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</si>
  <si>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</si>
  <si>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</si>
  <si>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</si>
  <si>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</si>
  <si>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</si>
  <si>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</si>
  <si>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</si>
  <si>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</si>
  <si>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</si>
  <si>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</si>
  <si>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</si>
  <si>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</si>
  <si>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</si>
  <si>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</si>
  <si>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</si>
  <si>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</si>
  <si>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</si>
  <si>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</si>
  <si>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</si>
  <si>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</si>
  <si>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</si>
  <si>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</si>
  <si>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</si>
  <si>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</si>
  <si>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</si>
  <si>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</si>
  <si>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</si>
  <si>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</si>
  <si>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</si>
  <si>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</si>
  <si>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</si>
  <si>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</si>
  <si>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</si>
  <si>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</si>
  <si>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</si>
  <si>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</si>
  <si>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</si>
  <si>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</si>
  <si>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</si>
  <si>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</si>
  <si>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</si>
  <si>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</si>
  <si>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</si>
  <si>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</si>
  <si>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</si>
  <si>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</si>
  <si>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</si>
  <si>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</si>
  <si>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</si>
  <si>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</si>
  <si>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</si>
  <si>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</si>
  <si>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</si>
  <si>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</si>
  <si>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</si>
  <si>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</si>
  <si>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</si>
  <si>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</si>
  <si>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</si>
  <si>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</si>
  <si>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</si>
  <si>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</si>
  <si>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</si>
  <si>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</si>
  <si>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</si>
  <si>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</si>
  <si>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</si>
  <si>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</si>
  <si>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</si>
  <si>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</si>
  <si>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</si>
  <si>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</si>
  <si>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</si>
  <si>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</si>
  <si>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</si>
  <si>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</si>
  <si>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</si>
  <si>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</si>
  <si>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</si>
  <si>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</si>
  <si>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</si>
  <si>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</si>
  <si>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</si>
  <si>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</si>
  <si>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</si>
  <si>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</si>
  <si>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</si>
  <si>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</si>
  <si>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</si>
  <si>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</si>
  <si>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</si>
  <si>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</si>
  <si>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</si>
  <si>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</si>
  <si>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</si>
  <si>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</si>
  <si>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</si>
  <si>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</si>
  <si>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</si>
  <si>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</si>
  <si>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</si>
  <si>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</si>
  <si>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</si>
  <si>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</si>
  <si>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</si>
  <si>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</si>
  <si>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</si>
  <si>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</si>
  <si>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</si>
  <si>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</si>
  <si>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</si>
  <si>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</si>
  <si>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</si>
  <si>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</si>
  <si>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</si>
  <si>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</si>
  <si>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</si>
  <si>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</si>
  <si>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</si>
  <si>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</si>
  <si>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</si>
  <si>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</si>
  <si>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</si>
  <si>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</si>
  <si>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</si>
  <si>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</si>
  <si>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</si>
  <si>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</si>
  <si>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</si>
  <si>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</si>
  <si>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</si>
  <si>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</si>
  <si>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</si>
  <si>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</si>
  <si>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</si>
  <si>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</si>
  <si>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</si>
  <si>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</si>
  <si>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</si>
  <si>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</si>
  <si>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</si>
  <si>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</si>
  <si>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</si>
  <si>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</si>
  <si>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</si>
  <si>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</si>
  <si>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</si>
  <si>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</si>
  <si>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</si>
  <si>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</si>
  <si>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</si>
  <si>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DEFAULT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</si>
  <si>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</si>
  <si>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</si>
  <si>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</si>
  <si>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</si>
  <si>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</si>
  <si>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</si>
  <si>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</si>
  <si>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</si>
  <si>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</si>
  <si>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</si>
  <si>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</si>
  <si>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</si>
  <si>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</si>
  <si>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</si>
  <si>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</si>
  <si>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</si>
  <si>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</si>
  <si>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</si>
  <si>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</si>
  <si>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</si>
  <si>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</si>
  <si>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</si>
  <si>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</si>
  <si>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</si>
  <si>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</si>
  <si>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</si>
  <si>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</si>
  <si>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</si>
  <si>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</si>
  <si>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</si>
  <si>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</si>
  <si>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</si>
  <si>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</si>
  <si>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</si>
  <si>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</si>
  <si>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</si>
  <si>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</si>
  <si>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</si>
  <si>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</si>
  <si>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</si>
  <si>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</si>
  <si>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</si>
  <si>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</si>
  <si>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</si>
  <si>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</si>
  <si>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</si>
  <si>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</si>
  <si>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</si>
  <si>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</si>
  <si>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</si>
  <si>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</si>
  <si>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</si>
  <si>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</si>
  <si>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</si>
  <si>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</si>
  <si>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</si>
  <si>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</si>
  <si>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</si>
  <si>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</si>
  <si>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</si>
  <si>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</si>
  <si>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</si>
  <si>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</si>
  <si>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</si>
  <si>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</si>
  <si>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</si>
  <si>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</si>
  <si>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</si>
  <si>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</si>
  <si>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</si>
  <si>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</si>
  <si>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</si>
  <si>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</si>
  <si>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</si>
  <si>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</si>
  <si>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</si>
  <si>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</si>
  <si>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</si>
  <si>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</si>
  <si>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</si>
  <si>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</si>
  <si>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</si>
  <si>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</si>
  <si>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</si>
  <si>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</si>
  <si>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</si>
  <si>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</si>
  <si>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</si>
  <si>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</si>
  <si>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</si>
  <si>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</si>
  <si>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</si>
  <si>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</si>
  <si>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</si>
  <si>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</si>
  <si>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</si>
  <si>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</si>
  <si>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</si>
  <si>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</si>
  <si>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</si>
  <si>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</si>
  <si>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</si>
  <si>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</si>
  <si>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</si>
  <si>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</si>
  <si>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</si>
  <si>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</si>
  <si>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</si>
  <si>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</si>
  <si>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</si>
  <si>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</si>
  <si>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</si>
  <si>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</si>
  <si>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</si>
  <si>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</si>
  <si>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</si>
  <si>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</si>
  <si>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</si>
  <si>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</si>
  <si>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</si>
  <si>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</si>
  <si>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</si>
  <si>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</si>
  <si>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</si>
  <si>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</si>
  <si>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</si>
  <si>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</si>
  <si>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</si>
  <si>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</si>
  <si>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</si>
  <si>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</si>
  <si>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</si>
  <si>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</si>
  <si>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</si>
  <si>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</si>
  <si>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</si>
  <si>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</si>
  <si>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</si>
  <si>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</si>
  <si>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</si>
  <si>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</si>
  <si>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</si>
  <si>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</si>
  <si>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</si>
  <si>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</si>
  <si>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</si>
  <si>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</si>
  <si>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</si>
  <si>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</si>
  <si>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</si>
  <si>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</si>
  <si>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</si>
  <si>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</si>
  <si>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</si>
  <si>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</si>
  <si>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</si>
  <si>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</si>
  <si>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</si>
  <si>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</si>
  <si>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</si>
  <si>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</si>
  <si>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</si>
  <si>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</si>
  <si>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</si>
  <si>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</si>
  <si>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</si>
  <si>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</si>
  <si>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</si>
  <si>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</si>
  <si>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</si>
  <si>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</si>
  <si>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</si>
  <si>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</si>
  <si>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</si>
  <si>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</si>
  <si>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</si>
  <si>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</si>
  <si>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</si>
  <si>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</si>
  <si>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</si>
  <si>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</si>
  <si>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</si>
  <si>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</si>
  <si>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</si>
  <si>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</si>
  <si>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</si>
  <si>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</si>
  <si>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</si>
  <si>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</si>
  <si>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</si>
  <si>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</si>
  <si>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</si>
  <si>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</si>
  <si>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</si>
  <si>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</si>
  <si>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</si>
  <si>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</si>
  <si>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</si>
  <si>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</si>
  <si>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</si>
  <si>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</si>
  <si>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</si>
  <si>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</si>
  <si>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</si>
  <si>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</si>
  <si>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</si>
  <si>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</si>
  <si>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</si>
  <si>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</si>
  <si>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</si>
  <si>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</si>
  <si>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</si>
  <si>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</si>
  <si>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</si>
  <si>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</si>
  <si>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</si>
  <si>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</si>
  <si>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</si>
  <si>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</si>
  <si>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</si>
  <si>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</si>
  <si>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</si>
  <si>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</si>
  <si>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</si>
  <si>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</si>
  <si>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</si>
  <si>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</si>
  <si>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</si>
  <si>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</si>
  <si>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</si>
  <si>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</si>
  <si>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</si>
  <si>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</si>
  <si>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</si>
  <si>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</si>
  <si>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</si>
  <si>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</si>
  <si>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</si>
  <si>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</si>
  <si>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</si>
  <si>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</si>
  <si>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</si>
  <si>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</si>
  <si>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</si>
  <si>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</si>
  <si>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</si>
  <si>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</si>
  <si>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</si>
  <si>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</si>
  <si>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</si>
  <si>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</si>
  <si>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</si>
  <si>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</si>
  <si>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</si>
  <si>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</si>
  <si>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</si>
  <si>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</si>
  <si>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</si>
  <si>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</si>
  <si>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</si>
  <si>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</si>
  <si>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</si>
  <si>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</si>
  <si>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</si>
  <si>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</si>
  <si>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</si>
  <si>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</si>
  <si>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</si>
  <si>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</si>
  <si>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</si>
  <si>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</si>
  <si>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</si>
  <si>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</si>
  <si>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</si>
  <si>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</si>
  <si>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</si>
  <si>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</si>
  <si>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</si>
  <si>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</si>
  <si>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</si>
  <si>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</si>
  <si>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</si>
  <si>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</si>
  <si>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</si>
  <si>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</si>
  <si>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</si>
  <si>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</si>
  <si>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</si>
  <si>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</si>
  <si>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</si>
  <si>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</si>
  <si>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</si>
  <si>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</si>
  <si>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</si>
  <si>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</si>
  <si>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</si>
  <si>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</si>
  <si>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</si>
  <si>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</si>
  <si>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</si>
  <si>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</si>
  <si>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</si>
  <si>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</si>
  <si>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</si>
  <si>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</si>
  <si>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</si>
  <si>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</si>
  <si>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</si>
  <si>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</si>
  <si>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</si>
  <si>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</si>
  <si>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</si>
  <si>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</si>
  <si>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</si>
  <si>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</si>
  <si>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</si>
  <si>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</si>
  <si>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</si>
  <si>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</si>
  <si>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</si>
  <si>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</si>
  <si>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</si>
  <si>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</si>
  <si>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</si>
  <si>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</si>
  <si>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</si>
  <si>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</si>
  <si>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</si>
  <si>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</si>
  <si>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</si>
  <si>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</si>
  <si>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</si>
  <si>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</si>
  <si>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</si>
  <si>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</si>
  <si>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</si>
  <si>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</si>
  <si>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</si>
  <si>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</si>
  <si>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</si>
  <si>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</si>
  <si>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</si>
  <si>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</si>
  <si>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</si>
  <si>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</si>
  <si>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</si>
  <si>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</si>
  <si>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</si>
  <si>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</si>
  <si>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</si>
  <si>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</si>
  <si>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</si>
  <si>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</si>
  <si>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</si>
  <si>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</si>
  <si>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</si>
  <si>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</si>
  <si>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</si>
  <si>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</si>
  <si>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</si>
  <si>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</si>
  <si>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</si>
  <si>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</si>
  <si>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</si>
  <si>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</si>
  <si>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</si>
  <si>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</si>
  <si>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</si>
  <si>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</si>
  <si>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</si>
  <si>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</si>
  <si>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</si>
  <si>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</si>
  <si>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</si>
  <si>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</si>
  <si>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</si>
  <si>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</si>
  <si>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</si>
  <si>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</si>
  <si>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</si>
  <si>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</si>
  <si>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</si>
  <si>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</si>
  <si>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</si>
  <si>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</si>
  <si>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</si>
  <si>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</si>
  <si>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</si>
  <si>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</si>
  <si>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</si>
  <si>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</si>
  <si>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</si>
  <si>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</si>
  <si>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</si>
  <si>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</si>
  <si>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</si>
  <si>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</si>
  <si>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</si>
  <si>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</si>
  <si>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</si>
  <si>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</si>
  <si>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</si>
  <si>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</si>
  <si>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</si>
  <si>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</si>
  <si>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</si>
  <si>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</si>
  <si>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</si>
  <si>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 xml:space="preserve">DEFAULT </t>
  </si>
  <si>
    <t>Is this equipment an IPL in a LOPA?</t>
  </si>
  <si>
    <t>FA_code here</t>
  </si>
  <si>
    <t>FA_Code Description here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</si>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</sst>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05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1" fillId="9" borderId="4" xfId="9" applyFont="1" applyAlignment="1">
      <alignment horizontal="right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0" borderId="0" xfId="0" applyFont="1"/>
    <xf numFmtId="0" fontId="32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5" fillId="5" borderId="15" xfId="4" applyBorder="1" applyAlignment="1">
      <alignment horizontal="left" vertical="top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82"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76" dataDxfId="75">
  <autoFilter ref="B4:J12"/>
  <tableColumns count="9">
    <tableColumn id="1" name="Impact" dataDxfId="74" dataCellStyle="Bad"/>
    <tableColumn id="2" name="1" dataDxfId="73"/>
    <tableColumn id="3" name="2" dataDxfId="72">
      <calculatedColumnFormula>C5+1</calculatedColumnFormula>
    </tableColumn>
    <tableColumn id="4" name="3" dataDxfId="71">
      <calculatedColumnFormula>D5+1</calculatedColumnFormula>
    </tableColumn>
    <tableColumn id="5" name="4" dataDxfId="70">
      <calculatedColumnFormula>E5+1</calculatedColumnFormula>
    </tableColumn>
    <tableColumn id="6" name="5" dataDxfId="69">
      <calculatedColumnFormula>F5+1</calculatedColumnFormula>
    </tableColumn>
    <tableColumn id="7" name="6" dataDxfId="68">
      <calculatedColumnFormula>G5+1</calculatedColumnFormula>
    </tableColumn>
    <tableColumn id="8" name="7" dataDxfId="67">
      <calculatedColumnFormula>H5+1</calculatedColumnFormula>
    </tableColumn>
    <tableColumn id="9" name="8" dataDxfId="66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65" dataDxfId="64" headerRowCellStyle="Explanatory Text" dataCellStyle="Explanatory Text">
  <autoFilter ref="D5:F13"/>
  <tableColumns count="3">
    <tableColumn id="1" name="Impact Level" dataDxfId="63" dataCellStyle="Normal"/>
    <tableColumn id="2" name="Criticality Unspared" dataDxfId="62" dataCellStyle="Normal"/>
    <tableColumn id="3" name="Criticality If Redundancy" dataDxfId="61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60">
  <autoFilter ref="A5:B18"/>
  <tableColumns count="2">
    <tableColumn id="1" name="Impact Level" dataDxfId="59" dataCellStyle="Accent6"/>
    <tableColumn id="2" name="Criticality Rating of Equipment" dataDxfId="58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54" headerRowCellStyle="Normal" dataCellStyle="Normal">
  <autoFilter ref="B6:C9"/>
  <tableColumns count="2">
    <tableColumn id="1" name="Criticality Rating" dataDxfId="53" dataCellStyle="Normal"/>
    <tableColumn id="2" name="Criticality Level" dataDxfId="52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51" dataDxfId="50" tableBorderDxfId="49">
  <autoFilter ref="E6:F16"/>
  <tableColumns count="2">
    <tableColumn id="1" name="Criticality Rating" dataDxfId="48"/>
    <tableColumn id="2" name="Criticality Level" dataDxfId="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46"/>
    <tableColumn id="4" name="Maximo Criticality type"/>
    <tableColumn id="5" name="SCE Threshold" dataDxfId="4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41">
  <autoFilter ref="A1:P8"/>
  <tableColumns count="16">
    <tableColumn id="1" name="Rule"/>
    <tableColumn id="2" name="Applies to"/>
    <tableColumn id="3" name="What to do with existing data" dataDxfId="40"/>
    <tableColumn id="4" name="Comments to add" dataDxfId="39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38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35" dataDxfId="34">
  <autoFilter ref="A8:D12"/>
  <tableColumns count="4">
    <tableColumn id="1" name="Category" dataDxfId="33"/>
    <tableColumn id="2" name="Impact" dataDxfId="32" dataCellStyle="Calculation">
      <calculatedColumnFormula>max</calculatedColumnFormula>
    </tableColumn>
    <tableColumn id="3" name="Likelihood" dataDxfId="31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30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29">
  <autoFilter ref="A15:F19"/>
  <sortState ref="A16:F19">
    <sortCondition descending="1" ref="D15:D19"/>
  </sortState>
  <tableColumns count="6">
    <tableColumn id="1" name="Safety Scenarios" dataDxfId="28" dataCellStyle="Input"/>
    <tableColumn id="3" name="Impact" dataDxfId="27" dataCellStyle="Input"/>
    <tableColumn id="4" name="Likelihood" dataDxfId="26" dataCellStyle="Input"/>
    <tableColumn id="6" name="Risk Score" dataDxfId="25" dataCellStyle="Calculation">
      <calculatedColumnFormula>MATCH(B16,{"H","G","F","E","D","C","B","A"},0)+MATCH(C16, {1,2,3,4,5,6,7,8}, 0) - 1</calculatedColumnFormula>
    </tableColumn>
    <tableColumn id="5" name="Code for Letter" dataDxfId="24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23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22">
  <autoFilter ref="A21:F24"/>
  <sortState ref="A22:F24">
    <sortCondition descending="1" ref="D21:D24"/>
  </sortState>
  <tableColumns count="6">
    <tableColumn id="1" name="Environmental Scenarios" dataDxfId="21" dataCellStyle="Input"/>
    <tableColumn id="2" name="Impact" dataDxfId="20" dataCellStyle="Input"/>
    <tableColumn id="3" name="Likelihood" dataDxfId="19" dataCellStyle="Input"/>
    <tableColumn id="4" name="Risk Score" dataDxfId="18" dataCellStyle="Calculation">
      <calculatedColumnFormula>MATCH(B22,{"H","G","F","E","D","C","B","A"},0)+MATCH(C22, {1,2,3,4,5,6,7,8}, 0) - 1</calculatedColumnFormula>
    </tableColumn>
    <tableColumn id="5" name="Code for Letter" dataDxfId="17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16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15">
  <autoFilter ref="A27:F31"/>
  <sortState ref="A28:F31">
    <sortCondition descending="1" ref="D27:D31"/>
  </sortState>
  <tableColumns count="6">
    <tableColumn id="1" name="Financial Scenarios" dataDxfId="14" dataCellStyle="Input"/>
    <tableColumn id="2" name="Impact" dataDxfId="13" dataCellStyle="Input"/>
    <tableColumn id="3" name="Likelihood" dataDxfId="12" dataCellStyle="Input"/>
    <tableColumn id="4" name="Risk Score" dataDxfId="11" dataCellStyle="Calculation">
      <calculatedColumnFormula>MATCH(B28,{"H","G","F","E","D","C","B","A"},0)+MATCH(C28, {1,2,3,4,5,6,7,8}, 0) - 1</calculatedColumnFormula>
    </tableColumn>
    <tableColumn id="5" name="Code for Letter" dataDxfId="10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9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8">
  <autoFilter ref="A33:F36"/>
  <sortState ref="A34:F36">
    <sortCondition descending="1" ref="D33:D36"/>
  </sortState>
  <tableColumns count="6">
    <tableColumn id="1" name="Non-Financial Scenarios" dataDxfId="7" dataCellStyle="Input"/>
    <tableColumn id="2" name="Impact" dataDxfId="6" dataCellStyle="Input"/>
    <tableColumn id="3" name="Likelihood" dataDxfId="5" dataCellStyle="Input"/>
    <tableColumn id="4" name="Risk Score" dataDxfId="4" dataCellStyle="Calculation">
      <calculatedColumnFormula>MATCH(B34,{"H","G","F","E","D","C","B","A"},0)+MATCH(C34, {1,2,3,4,5,6,7,8}, 0) - 1</calculatedColumnFormula>
    </tableColumn>
    <tableColumn id="5" name="Code for Letter" dataDxfId="3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2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9" totalsRowShown="0" headerRowBorderDxfId="1" tableBorderDxfId="0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opLeftCell="A33" workbookViewId="0">
      <selection activeCell="J63" sqref="J63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88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88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88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88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88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88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88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88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88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88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88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88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88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88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88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88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81" priority="6">
      <formula>AND(C5&gt;9,ROW(C5)-ROW(C$5)=3)</formula>
    </cfRule>
    <cfRule type="expression" dxfId="80" priority="7">
      <formula>AND((C5&gt;8),ROW(C5)-ROW(C$5)&lt;3)</formula>
    </cfRule>
    <cfRule type="expression" dxfId="79" priority="8">
      <formula>AND(ROW(C5)-ROW($C$5)&gt;4,C5&gt;6)</formula>
    </cfRule>
    <cfRule type="expression" dxfId="78" priority="10">
      <formula>AND(C5&gt;6,ROW(C5)-ROW(C$5)&lt;5)</formula>
    </cfRule>
    <cfRule type="expression" dxfId="77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89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0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0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0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0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0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0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90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90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90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90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90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90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91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88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88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88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88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88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88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88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92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92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92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92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92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92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92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92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92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92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92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92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92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92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57" priority="1" operator="equal">
      <formula>"Low"</formula>
    </cfRule>
    <cfRule type="cellIs" dxfId="56" priority="2" operator="equal">
      <formula>"High"</formula>
    </cfRule>
    <cfRule type="cellIs" dxfId="55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3" t="s">
        <v>17</v>
      </c>
      <c r="D1" s="93"/>
      <c r="E1" s="93"/>
      <c r="F1" s="93"/>
      <c r="G1" s="93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4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4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4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4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89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90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90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90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90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90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91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88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88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88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88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88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88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88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88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88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88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44" priority="1" operator="equal">
      <formula>"B"</formula>
    </cfRule>
    <cfRule type="cellIs" dxfId="43" priority="2" operator="equal">
      <formula>"C"</formula>
    </cfRule>
    <cfRule type="cellIs" dxfId="42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8" t="s">
        <v>600</v>
      </c>
      <c r="B1" s="68" t="s">
        <v>101</v>
      </c>
      <c r="C1" s="69" t="s">
        <v>601</v>
      </c>
      <c r="D1" s="70" t="s">
        <v>17</v>
      </c>
      <c r="E1" s="71" t="s">
        <v>602</v>
      </c>
      <c r="F1" s="72" t="s">
        <v>603</v>
      </c>
      <c r="G1" s="72" t="s">
        <v>604</v>
      </c>
      <c r="H1" s="73" t="s">
        <v>605</v>
      </c>
      <c r="I1" s="74" t="s">
        <v>606</v>
      </c>
      <c r="J1" s="75" t="s">
        <v>607</v>
      </c>
      <c r="K1" s="75" t="s">
        <v>608</v>
      </c>
      <c r="L1" s="76" t="s">
        <v>609</v>
      </c>
      <c r="M1" s="77" t="s">
        <v>610</v>
      </c>
      <c r="N1" s="78" t="s">
        <v>125</v>
      </c>
      <c r="O1" s="81" t="s">
        <v>611</v>
      </c>
    </row>
    <row r="2" spans="1:15" x14ac:dyDescent="0.25">
      <c r="A2" s="79" t="s">
        <v>612</v>
      </c>
      <c r="B2" s="79" t="s">
        <v>613</v>
      </c>
      <c r="C2" s="80">
        <v>4</v>
      </c>
      <c r="D2" s="79">
        <v>3</v>
      </c>
      <c r="E2" s="79" t="s">
        <v>617</v>
      </c>
      <c r="F2" s="79" t="s">
        <v>618</v>
      </c>
      <c r="G2" s="79" t="s">
        <v>618</v>
      </c>
      <c r="H2" s="79" t="s">
        <v>618</v>
      </c>
      <c r="I2" s="79">
        <v>8</v>
      </c>
      <c r="J2" s="79">
        <v>2</v>
      </c>
      <c r="K2" s="79">
        <v>2</v>
      </c>
      <c r="L2" s="79">
        <v>2</v>
      </c>
      <c r="M2" s="79">
        <v>8</v>
      </c>
      <c r="N2" s="79" t="s">
        <v>0</v>
      </c>
      <c r="O2" s="79" t="s">
        <v>614</v>
      </c>
    </row>
    <row r="3" spans="1:15" x14ac:dyDescent="0.25">
      <c r="A3" s="82" t="s">
        <v>615</v>
      </c>
      <c r="B3" s="82" t="s">
        <v>616</v>
      </c>
      <c r="C3" s="83">
        <v>37</v>
      </c>
      <c r="D3" s="82">
        <v>7</v>
      </c>
      <c r="E3" s="82" t="s">
        <v>619</v>
      </c>
      <c r="F3" s="82" t="s">
        <v>618</v>
      </c>
      <c r="G3" s="82" t="s">
        <v>618</v>
      </c>
      <c r="H3" s="82" t="s">
        <v>618</v>
      </c>
      <c r="I3" s="82">
        <v>4</v>
      </c>
      <c r="J3" s="82">
        <v>2</v>
      </c>
      <c r="K3" s="82">
        <v>2</v>
      </c>
      <c r="L3" s="82">
        <v>2</v>
      </c>
      <c r="M3" s="82">
        <v>4</v>
      </c>
      <c r="N3" s="82" t="s">
        <v>1</v>
      </c>
      <c r="O3" s="82" t="s">
        <v>614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abSelected="1" zoomScale="90" zoomScaleNormal="90" workbookViewId="0"/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4">
      <c r="A1" s="40" t="s">
        <v>165</v>
      </c>
      <c r="B1" s="41" t="s">
        <v>627</v>
      </c>
      <c r="C1" s="42"/>
      <c r="I1" s="84" t="s">
        <v>620</v>
      </c>
      <c r="K1" s="85" t="str">
        <f>K10</f>
        <v>C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628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x14ac:dyDescent="0.25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e">
        <f ca="1">IF($T4&lt;=AA$4,INDEX(TypicalCriticalitiesMAHBarrier23[Typical Components],MATCH($T4,TypicalCriticalitiesMAHBarrier23[Column2],0)),"")</f>
        <v>#N/A</v>
      </c>
      <c r="W4" t="e">
        <f ca="1">IF($T4&lt;=AA$4,INDEX(TypicalCriticalitiesMAHBarrier23[Typical Criticality],MATCH($T4,TypicalCriticalitiesMAHBarrier23[Column2],0)),"")</f>
        <v>#N/A</v>
      </c>
      <c r="Y4" t="s">
        <v>183</v>
      </c>
      <c r="Z4">
        <f>MAX(TypicalCriticalitiesMAHBarrier23[Barrier Family ID])</f>
        <v>54</v>
      </c>
      <c r="AA4" t="e">
        <f ca="1">MAX(TypicalCriticalitiesMAHBarrier23[Column2])</f>
        <v>#N/A</v>
      </c>
      <c r="AE4" s="44"/>
      <c r="AF4" s="44"/>
      <c r="AG4" s="44"/>
      <c r="AH4" s="44"/>
      <c r="AI4" s="44"/>
      <c r="AJ4" s="44"/>
    </row>
    <row r="5" spans="1:36" ht="18.75" x14ac:dyDescent="0.25">
      <c r="A5" s="46"/>
      <c r="B5" s="43"/>
      <c r="C5" s="42"/>
      <c r="F5" s="38" t="s">
        <v>184</v>
      </c>
      <c r="G5" s="47" t="str">
        <f>_xlfn.SWITCH(B9, "A", "YES","B", "YES","C", "YES","D", "YES","E", "NO","F", "NO","G", "NO","H", "NO","", "YES")</f>
        <v>YES</v>
      </c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 t="e">
        <f t="shared" ref="S5:S68" ca="1" si="1">IF(R5=$Z$5,IF(AND(P5&lt;&gt;P4,P5&lt;&gt;""),S4+1,S4),S4)</f>
        <v>#N/A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e">
        <f ca="1">IF($T5&lt;=AA$4,INDEX(TypicalCriticalitiesMAHBarrier23[Typical Components],MATCH($T5,TypicalCriticalitiesMAHBarrier23[Column2],0)),"")</f>
        <v>#N/A</v>
      </c>
      <c r="W5" t="e">
        <f ca="1">IF($T5&lt;=AA$4,INDEX(TypicalCriticalitiesMAHBarrier23[Typical Criticality],MATCH($T5,TypicalCriticalitiesMAHBarrier23[Column2],0)),"")</f>
        <v>#N/A</v>
      </c>
      <c r="Y5" t="s">
        <v>186</v>
      </c>
      <c r="Z5" t="e">
        <f ca="1">MATCH(H17,BarrierFamilies,0)</f>
        <v>#N/A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x14ac:dyDescent="0.25">
      <c r="A6" s="95" t="s">
        <v>187</v>
      </c>
      <c r="B6" s="95"/>
      <c r="C6" s="95"/>
      <c r="D6" s="95"/>
      <c r="J6" s="38" t="s">
        <v>621</v>
      </c>
      <c r="K6" s="7" t="b">
        <f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 t="e">
        <f t="shared" ca="1" si="1"/>
        <v>#N/A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e">
        <f ca="1">IF($T6&lt;=AA$4,INDEX(TypicalCriticalitiesMAHBarrier23[Typical Components],MATCH($T6,TypicalCriticalitiesMAHBarrier23[Column2],0)),"")</f>
        <v>#N/A</v>
      </c>
      <c r="W6" t="e">
        <f ca="1">IF($T6&lt;=AA$4,INDEX(TypicalCriticalitiesMAHBarrier23[Typical Criticality],MATCH($T6,TypicalCriticalitiesMAHBarrier23[Column2],0)),"")</f>
        <v>#N/A</v>
      </c>
      <c r="AE6" s="44"/>
      <c r="AF6" s="44"/>
      <c r="AG6" s="44"/>
      <c r="AH6" s="44"/>
      <c r="AI6" s="44"/>
      <c r="AJ6" s="44"/>
    </row>
    <row r="7" spans="1:36" ht="21" x14ac:dyDescent="0.25">
      <c r="A7" s="34" t="s">
        <v>189</v>
      </c>
      <c r="B7" s="42"/>
      <c r="C7" s="42"/>
      <c r="F7" s="48" t="s">
        <v>190</v>
      </c>
      <c r="G7" s="49">
        <f>MAX(G9:G12)</f>
        <v>10</v>
      </c>
      <c r="I7" s="96" t="s">
        <v>622</v>
      </c>
      <c r="J7" s="97"/>
      <c r="K7" s="98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 t="e">
        <f t="shared" ca="1" si="1"/>
        <v>#N/A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e">
        <f ca="1">IF($T7&lt;=AA$4,INDEX(TypicalCriticalitiesMAHBarrier23[Typical Components],MATCH($T7,TypicalCriticalitiesMAHBarrier23[Column2],0)),"")</f>
        <v>#N/A</v>
      </c>
      <c r="W7" t="e">
        <f ca="1">IF($T7&lt;=AA$4,INDEX(TypicalCriticalitiesMAHBarrier23[Typical Criticality],MATCH($T7,TypicalCriticalitiesMAHBarrier23[Column2],0)),"")</f>
        <v>#N/A</v>
      </c>
      <c r="AE7" s="44"/>
      <c r="AF7" s="44"/>
      <c r="AG7" s="44"/>
      <c r="AH7" s="44"/>
      <c r="AI7" s="44"/>
      <c r="AJ7" s="44"/>
    </row>
    <row r="8" spans="1:36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50" t="s">
        <v>193</v>
      </c>
      <c r="G8" s="4" t="s">
        <v>194</v>
      </c>
      <c r="I8" s="99"/>
      <c r="J8" s="100"/>
      <c r="K8" s="101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 t="e">
        <f t="shared" ca="1" si="1"/>
        <v>#N/A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e">
        <f ca="1">IF($T8&lt;=AA$4,INDEX(TypicalCriticalitiesMAHBarrier23[Typical Components],MATCH($T8,TypicalCriticalitiesMAHBarrier23[Column2],0)),"")</f>
        <v>#N/A</v>
      </c>
      <c r="W8" t="e">
        <f ca="1">IF($T8&lt;=AA$4,INDEX(TypicalCriticalitiesMAHBarrier23[Typical Criticality],MATCH($T8,TypicalCriticalitiesMAHBarrier23[Column2],0)),"")</f>
        <v>#N/A</v>
      </c>
      <c r="Z8">
        <f ca="1">ROWS(BarrierFamilies)</f>
        <v>54</v>
      </c>
      <c r="AA8" t="e">
        <f ca="1">ROWS(TypicalComponents)</f>
        <v>#N/A</v>
      </c>
      <c r="AE8" s="44"/>
      <c r="AF8" s="44"/>
      <c r="AG8" s="44"/>
      <c r="AH8" s="44"/>
      <c r="AI8" s="44"/>
      <c r="AJ8" s="44"/>
    </row>
    <row r="9" spans="1:36" x14ac:dyDescent="0.25">
      <c r="A9" s="51" t="s">
        <v>93</v>
      </c>
      <c r="B9" s="52" t="str">
        <f>CHAR(MIN(FAILURE_CODE_Safety_scenarios19[Code for Letter]))</f>
        <v>A</v>
      </c>
      <c r="C9" s="53">
        <f t="array" ref="C9">MAX(IF(FAILURE_CODE_Safety_scenarios19[Impact]=FAILURE_CODE_template18[[#This Row],[Impact]],FAILURE_CODE_Safety_scenarios19[Likelihood]))</f>
        <v>8</v>
      </c>
      <c r="D9" s="53">
        <f t="array" ref="D9">MAX(IF(FAILURE_CODE_Safety_scenarios19[Impact]=FAILURE_CODE_template18[[#This Row],[Impact]],FAILURE_CODE_Safety_scenarios19[Risk Score]))</f>
        <v>15</v>
      </c>
      <c r="F9" s="54" t="s">
        <v>196</v>
      </c>
      <c r="G9" s="55">
        <f>INDEX({10,10,10,10,8,6,4,2;10,10,10,9,7,5,3,1},
               IF(OR(G$8="SPARED",G$8="Y",G$8="yes",G$8),2,1),
               MATCH($B9,{"A","B","C","D","E","F","G","H"},0)
)</f>
        <v>10</v>
      </c>
      <c r="I9" s="102"/>
      <c r="J9" s="103"/>
      <c r="K9" s="104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 t="e">
        <f t="shared" ca="1" si="1"/>
        <v>#N/A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e">
        <f ca="1">IF($T9&lt;=AA$4,INDEX(TypicalCriticalitiesMAHBarrier23[Typical Components],MATCH($T9,TypicalCriticalitiesMAHBarrier23[Column2],0)),"")</f>
        <v>#N/A</v>
      </c>
      <c r="W9" t="e">
        <f ca="1">IF($T9&lt;=AA$4,INDEX(TypicalCriticalitiesMAHBarrier23[Typical Criticality],MATCH($T9,TypicalCriticalitiesMAHBarrier23[Column2],0)),"")</f>
        <v>#N/A</v>
      </c>
      <c r="AE9" s="44"/>
      <c r="AF9" s="44"/>
      <c r="AG9" s="44"/>
      <c r="AH9" s="44"/>
      <c r="AI9" s="44"/>
      <c r="AJ9" s="44"/>
    </row>
    <row r="10" spans="1:36" ht="18.75" x14ac:dyDescent="0.25">
      <c r="A10" s="51" t="s">
        <v>85</v>
      </c>
      <c r="B10" s="52" t="str">
        <f>CHAR(MIN(FAILURE_CODE_Environmetal_scenarios20[Code for Letter]))</f>
        <v>A</v>
      </c>
      <c r="C10" s="53">
        <f t="array" ref="C10">MAX(IF(FAILURE_CODE_Environmetal_scenarios20[Impact]=FAILURE_CODE_template18[[#This Row],[Impact]],FAILURE_CODE_Environmetal_scenarios20[Likelihood]))</f>
        <v>8</v>
      </c>
      <c r="D10" s="53">
        <f t="array" ref="D10">MAX(IF(FAILURE_CODE_Environmetal_scenarios20[Impact]=FAILURE_CODE_template18[[#This Row],[Impact]],FAILURE_CODE_Environmetal_scenarios20[Risk Score]))</f>
        <v>15</v>
      </c>
      <c r="F10"/>
      <c r="G10" s="55">
        <f>INDEX({10,10,10,10,8,6,4,2;10,10,10,9,7,5,3,1},
               IF(OR(G$8="SPARED",G$8="Y",G$8="yes",G$8),2,1),
               MATCH($B10,{"A","B","C","D","E","F","G","H"},0)
)</f>
        <v>10</v>
      </c>
      <c r="I10" s="56" t="s">
        <v>202</v>
      </c>
      <c r="K10" s="47" t="str">
        <f>IF(ISERR(SEARCH("A", K17 &amp; K29 &amp; K30 &amp; K31 &amp; K35 &amp; K36 &amp; K37)),
       IF(ISERR(SEARCH("B", K17 &amp; K29 &amp; K30 &amp; K31 &amp; K35 &amp; K36 &amp; K37)),"C","B"),
"A")</f>
        <v>C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 t="e">
        <f t="shared" ca="1" si="1"/>
        <v>#N/A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e">
        <f ca="1">IF($T10&lt;=AA$4,INDEX(TypicalCriticalitiesMAHBarrier23[Typical Components],MATCH($T10,TypicalCriticalitiesMAHBarrier23[Column2],0)),"")</f>
        <v>#N/A</v>
      </c>
      <c r="W10" t="e">
        <f ca="1">IF($T10&lt;=AA$4,INDEX(TypicalCriticalitiesMAHBarrier23[Typical Criticality],MATCH($T10,TypicalCriticalitiesMAHBarrier23[Column2],0)),"")</f>
        <v>#N/A</v>
      </c>
      <c r="AE10" s="44"/>
      <c r="AF10" s="44"/>
      <c r="AG10" s="44"/>
      <c r="AH10" s="44"/>
      <c r="AI10" s="44"/>
      <c r="AJ10" s="44"/>
    </row>
    <row r="11" spans="1:36" x14ac:dyDescent="0.25">
      <c r="A11" s="51" t="s">
        <v>94</v>
      </c>
      <c r="B11" s="52" t="str">
        <f>CHAR(MIN(FAILURE_CODE_Financial_scenarios21[Code for Letter]))</f>
        <v>H</v>
      </c>
      <c r="C11" s="53">
        <f t="array" ref="C11">MAX(IF(FAILURE_CODE_Financial_scenarios21[Impact]=FAILURE_CODE_template18[[#This Row],[Impact]],FAILURE_CODE_Financial_scenarios21[Likelihood]))</f>
        <v>8</v>
      </c>
      <c r="D11" s="53">
        <f t="array" ref="D11">MAX(IF(FAILURE_CODE_Financial_scenarios21[Impact]=FAILURE_CODE_template18[[#This Row],[Impact]],FAILURE_CODE_Financial_scenarios21[Risk Score]))</f>
        <v>8</v>
      </c>
      <c r="F11"/>
      <c r="G11" s="55">
        <f>INDEX({10,10,10,10,8,6,4,2;10,10,10,9,7,5,3,1},
               IF(OR(G$8="SPARED",G$8="Y",G$8="yes",G$8),2,1),
               MATCH($B11,{"A","B","C","D","E","F","G","H"},0)
)</f>
        <v>2</v>
      </c>
      <c r="I11" t="s">
        <v>623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 t="e">
        <f t="shared" ca="1" si="1"/>
        <v>#N/A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e">
        <f ca="1">IF($T11&lt;=AA$4,INDEX(TypicalCriticalitiesMAHBarrier23[Typical Components],MATCH($T11,TypicalCriticalitiesMAHBarrier23[Column2],0)),"")</f>
        <v>#N/A</v>
      </c>
      <c r="W11" t="e">
        <f ca="1">IF($T11&lt;=AA$4,INDEX(TypicalCriticalitiesMAHBarrier23[Typical Criticality],MATCH($T11,TypicalCriticalitiesMAHBarrier23[Column2],0)),"")</f>
        <v>#N/A</v>
      </c>
      <c r="AE11" s="44"/>
      <c r="AF11" s="44"/>
      <c r="AG11" s="44"/>
      <c r="AH11" s="44"/>
      <c r="AI11" s="44"/>
      <c r="AJ11" s="44"/>
    </row>
    <row r="12" spans="1:36" x14ac:dyDescent="0.25">
      <c r="A12" s="51" t="s">
        <v>92</v>
      </c>
      <c r="B12" s="52" t="str">
        <f>CHAR(MIN(FAILURE_CODE_Non_Financial_scenarios22[Code for Letter]))</f>
        <v>H</v>
      </c>
      <c r="C12" s="53">
        <f t="array" ref="C12">MAX(IF(FAILURE_CODE_Non_Financial_scenarios22[Impact]=FAILURE_CODE_template18[[#This Row],[Impact]],FAILURE_CODE_Non_Financial_scenarios22[Likelihood]))</f>
        <v>8</v>
      </c>
      <c r="D12" s="53">
        <f t="array" ref="D12">MAX(IF(FAILURE_CODE_Non_Financial_scenarios22[Impact]=FAILURE_CODE_template18[[#This Row],[Impact]],FAILURE_CODE_Non_Financial_scenarios22[Risk Score]))</f>
        <v>8</v>
      </c>
      <c r="F12"/>
      <c r="G12" s="55">
        <f>INDEX({10,10,10,10,8,6,4,2;10,10,10,9,7,5,3,1},
               IF(OR(G$8="SPARED",G$8="Y",G$8="yes",G$8),2,1),
               MATCH($B12,{"A","B","C","D","E","F","G","H"},0)
)</f>
        <v>2</v>
      </c>
      <c r="I12" t="s">
        <v>624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 t="e">
        <f t="shared" ca="1" si="1"/>
        <v>#N/A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e">
        <f ca="1">IF($T12&lt;=AA$4,INDEX(TypicalCriticalitiesMAHBarrier23[Typical Components],MATCH($T12,TypicalCriticalitiesMAHBarrier23[Column2],0)),"")</f>
        <v>#N/A</v>
      </c>
      <c r="W12" t="e">
        <f ca="1">IF($T12&lt;=AA$4,INDEX(TypicalCriticalitiesMAHBarrier23[Typical Criticality],MATCH($T12,TypicalCriticalitiesMAHBarrier23[Column2],0)),"")</f>
        <v>#N/A</v>
      </c>
      <c r="AE12" s="44"/>
      <c r="AF12" s="44"/>
      <c r="AG12" s="44"/>
      <c r="AH12" s="44"/>
      <c r="AI12" s="44"/>
      <c r="AJ12" s="44"/>
    </row>
    <row r="13" spans="1:36" x14ac:dyDescent="0.25"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 t="e">
        <f t="shared" ca="1" si="1"/>
        <v>#N/A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e">
        <f ca="1">IF($T13&lt;=AA$4,INDEX(TypicalCriticalitiesMAHBarrier23[Typical Components],MATCH($T13,TypicalCriticalitiesMAHBarrier23[Column2],0)),"")</f>
        <v>#N/A</v>
      </c>
      <c r="W13" t="e">
        <f ca="1">IF($T13&lt;=AA$4,INDEX(TypicalCriticalitiesMAHBarrier23[Typical Criticality],MATCH($T13,TypicalCriticalitiesMAHBarrier23[Column2],0)),"")</f>
        <v>#N/A</v>
      </c>
      <c r="AE13" s="44"/>
      <c r="AF13" s="44"/>
      <c r="AG13" s="44"/>
      <c r="AH13" s="44"/>
      <c r="AI13" s="44"/>
      <c r="AJ13" s="44"/>
    </row>
    <row r="14" spans="1:36" x14ac:dyDescent="0.25"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 t="e">
        <f t="shared" ca="1" si="1"/>
        <v>#N/A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e">
        <f ca="1">IF($T14&lt;=AA$4,INDEX(TypicalCriticalitiesMAHBarrier23[Typical Components],MATCH($T14,TypicalCriticalitiesMAHBarrier23[Column2],0)),"")</f>
        <v>#N/A</v>
      </c>
      <c r="W14" t="e">
        <f ca="1">IF($T14&lt;=AA$4,INDEX(TypicalCriticalitiesMAHBarrier23[Typical Criticality],MATCH($T14,TypicalCriticalitiesMAHBarrier23[Column2],0)),"")</f>
        <v>#N/A</v>
      </c>
      <c r="AE14" s="44"/>
      <c r="AF14" s="44"/>
      <c r="AG14" s="44"/>
      <c r="AH14" s="44"/>
      <c r="AI14" s="44"/>
      <c r="AJ14" s="44"/>
    </row>
    <row r="15" spans="1:36" s="43" customFormat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7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 t="e">
        <f t="shared" ca="1" si="1"/>
        <v>#N/A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e">
        <f ca="1">IF($T15&lt;=AA$4,INDEX(TypicalCriticalitiesMAHBarrier23[Typical Components],MATCH($T15,TypicalCriticalitiesMAHBarrier23[Column2],0)),"")</f>
        <v>#N/A</v>
      </c>
      <c r="W15" t="e">
        <f ca="1">IF($T15&lt;=AA$4,INDEX(TypicalCriticalitiesMAHBarrier23[Typical Criticality],MATCH($T15,TypicalCriticalitiesMAHBarrier23[Column2],0)),"")</f>
        <v>#N/A</v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8" t="s">
        <v>212</v>
      </c>
      <c r="B16" s="4" t="s">
        <v>0</v>
      </c>
      <c r="C16" s="4">
        <v>8</v>
      </c>
      <c r="D16" s="53">
        <f>MATCH(B16,{"H","G","F","E","D","C","B","A"},0)+MATCH(C16, {1,2,3,4,5,6,7,8}, 0) - 1</f>
        <v>15</v>
      </c>
      <c r="E16" s="59">
        <f>IF(ISERR(CODE(FAILURE_CODE_Safety_scenarios19[[#This Row],[Impact]])), "", CODE(FAILURE_CODE_Safety_scenarios19[[#This Row],[Impact]]))</f>
        <v>65</v>
      </c>
      <c r="F16" s="58" t="s">
        <v>625</v>
      </c>
      <c r="H16" s="60" t="s">
        <v>213</v>
      </c>
      <c r="I16" s="60" t="s">
        <v>214</v>
      </c>
      <c r="J16" s="43"/>
      <c r="K16" s="61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 t="e">
        <f t="shared" ca="1" si="1"/>
        <v>#N/A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e">
        <f ca="1">IF($T16&lt;=AA$4,INDEX(TypicalCriticalitiesMAHBarrier23[Typical Components],MATCH($T16,TypicalCriticalitiesMAHBarrier23[Column2],0)),"")</f>
        <v>#N/A</v>
      </c>
      <c r="W16" t="e">
        <f ca="1">IF($T16&lt;=AA$4,INDEX(TypicalCriticalitiesMAHBarrier23[Typical Criticality],MATCH($T16,TypicalCriticalitiesMAHBarrier23[Column2],0)),"")</f>
        <v>#N/A</v>
      </c>
      <c r="AE16" s="44"/>
      <c r="AF16" s="44"/>
      <c r="AG16" s="44"/>
      <c r="AH16" s="44"/>
      <c r="AI16" s="44"/>
      <c r="AJ16" s="44"/>
    </row>
    <row r="17" spans="1:36" x14ac:dyDescent="0.25">
      <c r="A17" s="58"/>
      <c r="B17" s="4"/>
      <c r="C17" s="4"/>
      <c r="D17" s="53" t="e">
        <f>MATCH(B17,{"H","G","F","E","D","C","B","A"},0)+MATCH(C17, {1,2,3,4,5,6,7,8}, 0) - 1</f>
        <v>#N/A</v>
      </c>
      <c r="E17" s="59" t="str">
        <f>IF(ISERR(CODE(FAILURE_CODE_Safety_scenarios19[[#This Row],[Impact]])), "", CODE(FAILURE_CODE_Safety_scenarios19[[#This Row],[Impact]]))</f>
        <v/>
      </c>
      <c r="F17" s="58"/>
      <c r="H17" s="86"/>
      <c r="I17" s="87"/>
      <c r="K17" s="7" t="str">
        <f>IF(ISBLANK(I17),"C",VLOOKUP(I17,TypicalCriticalitiesMAHBarrier23[[ComponentList]:[Code]],2,FALSE))</f>
        <v>C</v>
      </c>
      <c r="N17" t="s">
        <v>199</v>
      </c>
      <c r="O17" t="s">
        <v>200</v>
      </c>
      <c r="P17" t="s">
        <v>217</v>
      </c>
      <c r="Q17" t="s">
        <v>0</v>
      </c>
      <c r="R17">
        <f t="shared" si="0"/>
        <v>2</v>
      </c>
      <c r="S17" t="e">
        <f t="shared" ca="1" si="1"/>
        <v>#N/A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e">
        <f ca="1">IF($T17&lt;=AA$4,INDEX(TypicalCriticalitiesMAHBarrier23[Typical Components],MATCH($T17,TypicalCriticalitiesMAHBarrier23[Column2],0)),"")</f>
        <v>#N/A</v>
      </c>
      <c r="W17" t="e">
        <f ca="1">IF($T17&lt;=AA$4,INDEX(TypicalCriticalitiesMAHBarrier23[Typical Criticality],MATCH($T17,TypicalCriticalitiesMAHBarrier23[Column2],0)),"")</f>
        <v>#N/A</v>
      </c>
      <c r="AE17" s="44"/>
      <c r="AF17" s="44"/>
      <c r="AG17" s="44"/>
      <c r="AH17" s="44"/>
      <c r="AI17" s="44"/>
      <c r="AJ17" s="44"/>
    </row>
    <row r="18" spans="1:36" x14ac:dyDescent="0.25">
      <c r="A18" s="58"/>
      <c r="B18" s="4"/>
      <c r="C18" s="4"/>
      <c r="D18" s="53" t="e">
        <f>MATCH(B18,{"H","G","F","E","D","C","B","A"},0)+MATCH(C18, {1,2,3,4,5,6,7,8}, 0) - 1</f>
        <v>#N/A</v>
      </c>
      <c r="E18" s="59" t="str">
        <f>IF(ISERR(CODE(FAILURE_CODE_Safety_scenarios19[[#This Row],[Impact]])), "", CODE(FAILURE_CODE_Safety_scenarios19[[#This Row],[Impact]]))</f>
        <v/>
      </c>
      <c r="F18" s="58"/>
      <c r="N18" t="s">
        <v>199</v>
      </c>
      <c r="O18" t="s">
        <v>200</v>
      </c>
      <c r="P18" t="s">
        <v>218</v>
      </c>
      <c r="Q18" t="s">
        <v>0</v>
      </c>
      <c r="R18">
        <f t="shared" si="0"/>
        <v>2</v>
      </c>
      <c r="S18" t="e">
        <f t="shared" ca="1" si="1"/>
        <v>#N/A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e">
        <f ca="1">IF($T18&lt;=AA$4,INDEX(TypicalCriticalitiesMAHBarrier23[Typical Components],MATCH($T18,TypicalCriticalitiesMAHBarrier23[Column2],0)),"")</f>
        <v>#N/A</v>
      </c>
      <c r="W18" t="e">
        <f ca="1">IF($T18&lt;=AA$4,INDEX(TypicalCriticalitiesMAHBarrier23[Typical Criticality],MATCH($T18,TypicalCriticalitiesMAHBarrier23[Column2],0)),"")</f>
        <v>#N/A</v>
      </c>
      <c r="AE18" s="44"/>
      <c r="AF18" s="44"/>
      <c r="AG18" s="44"/>
      <c r="AH18" s="44"/>
      <c r="AI18" s="44"/>
      <c r="AJ18" s="44"/>
    </row>
    <row r="19" spans="1:36" x14ac:dyDescent="0.25">
      <c r="A19" s="58"/>
      <c r="B19" s="4"/>
      <c r="C19" s="4"/>
      <c r="D19" s="53" t="e">
        <f>MATCH(B19,{"H","G","F","E","D","C","B","A"},0)+MATCH(C19, {1,2,3,4,5,6,7,8}, 0) - 1</f>
        <v>#N/A</v>
      </c>
      <c r="E19" s="59" t="str">
        <f>IF(ISERR(CODE(FAILURE_CODE_Safety_scenarios19[[#This Row],[Impact]])), "", CODE(FAILURE_CODE_Safety_scenarios19[[#This Row],[Impact]]))</f>
        <v/>
      </c>
      <c r="F19" s="58"/>
      <c r="N19" t="s">
        <v>199</v>
      </c>
      <c r="O19" t="s">
        <v>200</v>
      </c>
      <c r="P19" t="s">
        <v>219</v>
      </c>
      <c r="Q19" t="s">
        <v>1</v>
      </c>
      <c r="R19">
        <f t="shared" si="0"/>
        <v>2</v>
      </c>
      <c r="S19" t="e">
        <f t="shared" ca="1" si="1"/>
        <v>#N/A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e">
        <f ca="1">IF($T19&lt;=AA$4,INDEX(TypicalCriticalitiesMAHBarrier23[Typical Components],MATCH($T19,TypicalCriticalitiesMAHBarrier23[Column2],0)),"")</f>
        <v>#N/A</v>
      </c>
      <c r="W19" t="e">
        <f ca="1">IF($T19&lt;=AA$4,INDEX(TypicalCriticalitiesMAHBarrier23[Typical Criticality],MATCH($T19,TypicalCriticalitiesMAHBarrier23[Column2],0)),"")</f>
        <v>#N/A</v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220</v>
      </c>
      <c r="Q20" t="s">
        <v>0</v>
      </c>
      <c r="R20">
        <f t="shared" si="0"/>
        <v>2</v>
      </c>
      <c r="S20" t="e">
        <f t="shared" ca="1" si="1"/>
        <v>#N/A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e">
        <f ca="1">IF($T20&lt;=AA$4,INDEX(TypicalCriticalitiesMAHBarrier23[Typical Components],MATCH($T20,TypicalCriticalitiesMAHBarrier23[Column2],0)),"")</f>
        <v>#N/A</v>
      </c>
      <c r="W20" t="e">
        <f ca="1">IF($T20&lt;=AA$4,INDEX(TypicalCriticalitiesMAHBarrier23[Typical Criticality],MATCH($T20,TypicalCriticalitiesMAHBarrier23[Column2],0)),"")</f>
        <v>#N/A</v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221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222</v>
      </c>
      <c r="O21" t="s">
        <v>223</v>
      </c>
      <c r="P21" t="s">
        <v>224</v>
      </c>
      <c r="Q21" t="s">
        <v>0</v>
      </c>
      <c r="R21">
        <f t="shared" si="0"/>
        <v>3</v>
      </c>
      <c r="S21" t="e">
        <f t="shared" ca="1" si="1"/>
        <v>#N/A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e">
        <f ca="1">IF($T21&lt;=AA$4,INDEX(TypicalCriticalitiesMAHBarrier23[Typical Components],MATCH($T21,TypicalCriticalitiesMAHBarrier23[Column2],0)),"")</f>
        <v>#N/A</v>
      </c>
      <c r="W21" t="e">
        <f ca="1">IF($T21&lt;=AA$4,INDEX(TypicalCriticalitiesMAHBarrier23[Typical Criticality],MATCH($T21,TypicalCriticalitiesMAHBarrier23[Column2],0)),"")</f>
        <v>#N/A</v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8" t="s">
        <v>212</v>
      </c>
      <c r="B22" s="4" t="s">
        <v>0</v>
      </c>
      <c r="C22" s="4">
        <v>8</v>
      </c>
      <c r="D22" s="53">
        <f>MATCH(B22,{"H","G","F","E","D","C","B","A"},0)+MATCH(C22, {1,2,3,4,5,6,7,8}, 0) - 1</f>
        <v>15</v>
      </c>
      <c r="E22" s="59">
        <f>IF(ISERR(CODE(FAILURE_CODE_Environmetal_scenarios20[Impact])), "", CODE(FAILURE_CODE_Environmetal_scenarios20[Impact]))</f>
        <v>65</v>
      </c>
      <c r="F22" s="58" t="s">
        <v>625</v>
      </c>
      <c r="N22" t="s">
        <v>222</v>
      </c>
      <c r="O22" t="s">
        <v>223</v>
      </c>
      <c r="P22" t="s">
        <v>225</v>
      </c>
      <c r="Q22" t="s">
        <v>0</v>
      </c>
      <c r="R22">
        <f t="shared" si="0"/>
        <v>3</v>
      </c>
      <c r="S22" t="e">
        <f t="shared" ca="1" si="1"/>
        <v>#N/A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e">
        <f ca="1">IF($T22&lt;=AA$4,INDEX(TypicalCriticalitiesMAHBarrier23[Typical Components],MATCH($T22,TypicalCriticalitiesMAHBarrier23[Column2],0)),"")</f>
        <v>#N/A</v>
      </c>
      <c r="W22" t="e">
        <f ca="1">IF($T22&lt;=AA$4,INDEX(TypicalCriticalitiesMAHBarrier23[Typical Criticality],MATCH($T22,TypicalCriticalitiesMAHBarrier23[Column2],0)),"")</f>
        <v>#N/A</v>
      </c>
      <c r="AE22" s="44"/>
      <c r="AF22" s="44"/>
      <c r="AG22" s="44"/>
      <c r="AH22" s="44"/>
      <c r="AI22" s="44"/>
      <c r="AJ22" s="44"/>
    </row>
    <row r="23" spans="1:36" x14ac:dyDescent="0.25">
      <c r="A23" s="58"/>
      <c r="B23" s="4"/>
      <c r="C23" s="4"/>
      <c r="D23" s="53" t="e">
        <f>MATCH(B23,{"H","G","F","E","D","C","B","A"},0)+MATCH(C23, {1,2,3,4,5,6,7,8}, 0) - 1</f>
        <v>#N/A</v>
      </c>
      <c r="E23" s="59" t="str">
        <f>IF(ISERR(CODE(FAILURE_CODE_Environmetal_scenarios20[Impact])), "", CODE(FAILURE_CODE_Environmetal_scenarios20[Impact]))</f>
        <v/>
      </c>
      <c r="F23" s="58"/>
      <c r="N23" t="s">
        <v>222</v>
      </c>
      <c r="O23" t="s">
        <v>223</v>
      </c>
      <c r="P23" t="s">
        <v>226</v>
      </c>
      <c r="Q23" t="s">
        <v>0</v>
      </c>
      <c r="R23">
        <f t="shared" si="0"/>
        <v>3</v>
      </c>
      <c r="S23" t="e">
        <f t="shared" ca="1" si="1"/>
        <v>#N/A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e">
        <f ca="1">IF($T23&lt;=AA$4,INDEX(TypicalCriticalitiesMAHBarrier23[Typical Components],MATCH($T23,TypicalCriticalitiesMAHBarrier23[Column2],0)),"")</f>
        <v>#N/A</v>
      </c>
      <c r="W23" t="e">
        <f ca="1">IF($T23&lt;=AA$4,INDEX(TypicalCriticalitiesMAHBarrier23[Typical Criticality],MATCH($T23,TypicalCriticalitiesMAHBarrier23[Column2],0)),"")</f>
        <v>#N/A</v>
      </c>
      <c r="AE23" s="44"/>
      <c r="AF23" s="44"/>
      <c r="AG23" s="44"/>
      <c r="AH23" s="44"/>
      <c r="AI23" s="44"/>
      <c r="AJ23" s="44"/>
    </row>
    <row r="24" spans="1:36" x14ac:dyDescent="0.25">
      <c r="A24" s="58"/>
      <c r="B24" s="4"/>
      <c r="C24" s="4"/>
      <c r="D24" s="53" t="e">
        <f>MATCH(B24,{"H","G","F","E","D","C","B","A"},0)+MATCH(C24, {1,2,3,4,5,6,7,8}, 0) - 1</f>
        <v>#N/A</v>
      </c>
      <c r="E24" s="59" t="str">
        <f>IF(ISERR(CODE(FAILURE_CODE_Environmetal_scenarios20[Impact])), "", CODE(FAILURE_CODE_Environmetal_scenarios20[Impact]))</f>
        <v/>
      </c>
      <c r="F24" s="58"/>
      <c r="N24" t="s">
        <v>227</v>
      </c>
      <c r="O24" t="s">
        <v>228</v>
      </c>
      <c r="P24" t="s">
        <v>229</v>
      </c>
      <c r="Q24" t="s">
        <v>0</v>
      </c>
      <c r="R24">
        <f t="shared" si="0"/>
        <v>4</v>
      </c>
      <c r="S24" t="e">
        <f t="shared" ca="1" si="1"/>
        <v>#N/A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e">
        <f ca="1">IF($T24&lt;=AA$4,INDEX(TypicalCriticalitiesMAHBarrier23[Typical Components],MATCH($T24,TypicalCriticalitiesMAHBarrier23[Column2],0)),"")</f>
        <v>#N/A</v>
      </c>
      <c r="W24" t="e">
        <f ca="1">IF($T24&lt;=AA$4,INDEX(TypicalCriticalitiesMAHBarrier23[Typical Criticality],MATCH($T24,TypicalCriticalitiesMAHBarrier23[Column2],0)),"")</f>
        <v>#N/A</v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227</v>
      </c>
      <c r="O25" t="s">
        <v>228</v>
      </c>
      <c r="P25" t="s">
        <v>230</v>
      </c>
      <c r="Q25" t="s">
        <v>0</v>
      </c>
      <c r="R25">
        <f t="shared" si="0"/>
        <v>4</v>
      </c>
      <c r="S25" t="e">
        <f t="shared" ca="1" si="1"/>
        <v>#N/A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e">
        <f ca="1">IF($T25&lt;=AA$4,INDEX(TypicalCriticalitiesMAHBarrier23[Typical Components],MATCH($T25,TypicalCriticalitiesMAHBarrier23[Column2],0)),"")</f>
        <v>#N/A</v>
      </c>
      <c r="W25" t="e">
        <f ca="1">IF($T25&lt;=AA$4,INDEX(TypicalCriticalitiesMAHBarrier23[Typical Criticality],MATCH($T25,TypicalCriticalitiesMAHBarrier23[Column2],0)),"")</f>
        <v>#N/A</v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231</v>
      </c>
      <c r="J26" s="62">
        <v>5</v>
      </c>
      <c r="N26" t="s">
        <v>227</v>
      </c>
      <c r="O26" t="s">
        <v>228</v>
      </c>
      <c r="P26" t="s">
        <v>232</v>
      </c>
      <c r="Q26" t="s">
        <v>0</v>
      </c>
      <c r="R26">
        <f t="shared" si="0"/>
        <v>4</v>
      </c>
      <c r="S26" t="e">
        <f t="shared" ca="1" si="1"/>
        <v>#N/A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e">
        <f ca="1">IF($T26&lt;=AA$4,INDEX(TypicalCriticalitiesMAHBarrier23[Typical Components],MATCH($T26,TypicalCriticalitiesMAHBarrier23[Column2],0)),"")</f>
        <v>#N/A</v>
      </c>
      <c r="W26" t="e">
        <f ca="1">IF($T26&lt;=AA$4,INDEX(TypicalCriticalitiesMAHBarrier23[Typical Criticality],MATCH($T26,TypicalCriticalitiesMAHBarrier23[Column2],0)),"")</f>
        <v>#N/A</v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233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3" t="s">
        <v>234</v>
      </c>
      <c r="N27" t="s">
        <v>227</v>
      </c>
      <c r="O27" t="s">
        <v>235</v>
      </c>
      <c r="P27" t="s">
        <v>236</v>
      </c>
      <c r="Q27" t="s">
        <v>0</v>
      </c>
      <c r="R27">
        <f t="shared" si="0"/>
        <v>5</v>
      </c>
      <c r="S27" t="e">
        <f t="shared" ca="1" si="1"/>
        <v>#N/A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e">
        <f ca="1">IF($T27&lt;=AA$4,INDEX(TypicalCriticalitiesMAHBarrier23[Typical Components],MATCH($T27,TypicalCriticalitiesMAHBarrier23[Column2],0)),"")</f>
        <v>#N/A</v>
      </c>
      <c r="W27" t="e">
        <f ca="1">IF($T27&lt;=AA$4,INDEX(TypicalCriticalitiesMAHBarrier23[Typical Criticality],MATCH($T27,TypicalCriticalitiesMAHBarrier23[Column2],0)),"")</f>
        <v>#N/A</v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8" t="s">
        <v>212</v>
      </c>
      <c r="B28" s="4" t="s">
        <v>7</v>
      </c>
      <c r="C28" s="4">
        <v>8</v>
      </c>
      <c r="D28" s="53">
        <f>MATCH(B28,{"H","G","F","E","D","C","B","A"},0)+MATCH(C28, {1,2,3,4,5,6,7,8}, 0) - 1</f>
        <v>8</v>
      </c>
      <c r="E28" s="59">
        <f>IF(ISERR(CODE(FAILURE_CODE_Financial_scenarios21[Impact])), "", CODE(FAILURE_CODE_Financial_scenarios21[Impact]))</f>
        <v>72</v>
      </c>
      <c r="F28" s="58" t="s">
        <v>216</v>
      </c>
      <c r="H28" s="64" t="s">
        <v>237</v>
      </c>
      <c r="I28" s="64"/>
      <c r="J28" s="64" t="s">
        <v>238</v>
      </c>
      <c r="K28" s="61" t="s">
        <v>125</v>
      </c>
      <c r="N28" t="s">
        <v>227</v>
      </c>
      <c r="O28" t="s">
        <v>235</v>
      </c>
      <c r="P28" t="s">
        <v>239</v>
      </c>
      <c r="Q28" t="s">
        <v>0</v>
      </c>
      <c r="R28">
        <f t="shared" si="0"/>
        <v>5</v>
      </c>
      <c r="S28" t="e">
        <f t="shared" ca="1" si="1"/>
        <v>#N/A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e">
        <f ca="1">IF($T28&lt;=AA$4,INDEX(TypicalCriticalitiesMAHBarrier23[Typical Components],MATCH($T28,TypicalCriticalitiesMAHBarrier23[Column2],0)),"")</f>
        <v>#N/A</v>
      </c>
      <c r="W28" t="e">
        <f ca="1">IF($T28&lt;=AA$4,INDEX(TypicalCriticalitiesMAHBarrier23[Typical Criticality],MATCH($T28,TypicalCriticalitiesMAHBarrier23[Column2],0)),"")</f>
        <v>#N/A</v>
      </c>
      <c r="AE28" s="44"/>
      <c r="AF28" s="44"/>
      <c r="AG28" s="44"/>
      <c r="AH28" s="44"/>
      <c r="AI28" s="44"/>
      <c r="AJ28" s="44"/>
    </row>
    <row r="29" spans="1:36" x14ac:dyDescent="0.25">
      <c r="A29" s="58"/>
      <c r="B29" s="4"/>
      <c r="C29" s="4"/>
      <c r="D29" s="53" t="e">
        <f>MATCH(B29,{"H","G","F","E","D","C","B","A"},0)+MATCH(C29, {1,2,3,4,5,6,7,8}, 0) - 1</f>
        <v>#N/A</v>
      </c>
      <c r="E29" s="59" t="str">
        <f>IF(ISERR(CODE(FAILURE_CODE_Financial_scenarios21[Impact])), "", CODE(FAILURE_CODE_Financial_scenarios21[Impact]))</f>
        <v/>
      </c>
      <c r="F29" s="58"/>
      <c r="H29" t="s">
        <v>240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227</v>
      </c>
      <c r="O29" t="s">
        <v>235</v>
      </c>
      <c r="P29" t="s">
        <v>241</v>
      </c>
      <c r="Q29" t="s">
        <v>0</v>
      </c>
      <c r="R29">
        <f t="shared" si="0"/>
        <v>5</v>
      </c>
      <c r="S29" t="e">
        <f t="shared" ca="1" si="1"/>
        <v>#N/A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e">
        <f ca="1">IF($T29&lt;=AA$4,INDEX(TypicalCriticalitiesMAHBarrier23[Typical Components],MATCH($T29,TypicalCriticalitiesMAHBarrier23[Column2],0)),"")</f>
        <v>#N/A</v>
      </c>
      <c r="W29" t="e">
        <f ca="1">IF($T29&lt;=AA$4,INDEX(TypicalCriticalitiesMAHBarrier23[Typical Criticality],MATCH($T29,TypicalCriticalitiesMAHBarrier23[Column2],0)),"")</f>
        <v>#N/A</v>
      </c>
      <c r="AE29" s="44"/>
      <c r="AF29" s="44"/>
      <c r="AG29" s="44"/>
      <c r="AH29" s="44"/>
      <c r="AI29" s="44"/>
      <c r="AJ29" s="44"/>
    </row>
    <row r="30" spans="1:36" x14ac:dyDescent="0.25">
      <c r="A30" s="58"/>
      <c r="B30" s="4"/>
      <c r="C30" s="4"/>
      <c r="D30" s="65" t="e">
        <f>MATCH(B30,{"H","G","F","E","D","C","B","A"},0)+MATCH(C30, {1,2,3,4,5,6,7,8}, 0) - 1</f>
        <v>#N/A</v>
      </c>
      <c r="E30" s="66" t="str">
        <f>IF(ISERR(CODE(FAILURE_CODE_Financial_scenarios21[Impact])), "", CODE(FAILURE_CODE_Financial_scenarios21[Impact]))</f>
        <v/>
      </c>
      <c r="F30" s="58"/>
      <c r="H30" t="s">
        <v>242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227</v>
      </c>
      <c r="O30" t="s">
        <v>243</v>
      </c>
      <c r="P30" t="s">
        <v>244</v>
      </c>
      <c r="Q30" t="s">
        <v>0</v>
      </c>
      <c r="R30">
        <f t="shared" si="0"/>
        <v>6</v>
      </c>
      <c r="S30" t="e">
        <f t="shared" ca="1" si="1"/>
        <v>#N/A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e">
        <f ca="1">IF($T30&lt;=AA$4,INDEX(TypicalCriticalitiesMAHBarrier23[Typical Components],MATCH($T30,TypicalCriticalitiesMAHBarrier23[Column2],0)),"")</f>
        <v>#N/A</v>
      </c>
      <c r="W30" t="e">
        <f ca="1">IF($T30&lt;=AA$4,INDEX(TypicalCriticalitiesMAHBarrier23[Typical Criticality],MATCH($T30,TypicalCriticalitiesMAHBarrier23[Column2],0)),"")</f>
        <v>#N/A</v>
      </c>
      <c r="AE30" s="44"/>
      <c r="AF30" s="44"/>
      <c r="AG30" s="44"/>
      <c r="AH30" s="44"/>
      <c r="AI30" s="44"/>
      <c r="AJ30" s="44"/>
    </row>
    <row r="31" spans="1:36" x14ac:dyDescent="0.25">
      <c r="A31" s="58"/>
      <c r="B31" s="4"/>
      <c r="C31" s="4"/>
      <c r="D31" s="53" t="e">
        <f>MATCH(B31,{"H","G","F","E","D","C","B","A"},0)+MATCH(C31, {1,2,3,4,5,6,7,8}, 0) - 1</f>
        <v>#N/A</v>
      </c>
      <c r="E31" s="59" t="str">
        <f>IF(ISERR(CODE(FAILURE_CODE_Financial_scenarios21[Impact])), "", CODE(FAILURE_CODE_Financial_scenarios21[Impact]))</f>
        <v/>
      </c>
      <c r="F31" s="58"/>
      <c r="H31" t="s">
        <v>245</v>
      </c>
      <c r="J31" s="21" t="str">
        <f>IF(CODE(B11) &gt;= CODE("G"),"Yes", "No")</f>
        <v>Yes</v>
      </c>
      <c r="K31" s="22" t="str">
        <f>IF(J31="Yes","C","")</f>
        <v>C</v>
      </c>
      <c r="N31" t="s">
        <v>227</v>
      </c>
      <c r="O31" t="s">
        <v>243</v>
      </c>
      <c r="P31" t="s">
        <v>246</v>
      </c>
      <c r="Q31" t="s">
        <v>0</v>
      </c>
      <c r="R31">
        <f t="shared" si="0"/>
        <v>6</v>
      </c>
      <c r="S31" t="e">
        <f t="shared" ca="1" si="1"/>
        <v>#N/A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e">
        <f ca="1">IF($T31&lt;=AA$4,INDEX(TypicalCriticalitiesMAHBarrier23[Typical Components],MATCH($T31,TypicalCriticalitiesMAHBarrier23[Column2],0)),"")</f>
        <v>#N/A</v>
      </c>
      <c r="W31" t="e">
        <f ca="1">IF($T31&lt;=AA$4,INDEX(TypicalCriticalitiesMAHBarrier23[Typical Criticality],MATCH($T31,TypicalCriticalitiesMAHBarrier23[Column2],0)),"")</f>
        <v>#N/A</v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227</v>
      </c>
      <c r="O32" t="s">
        <v>247</v>
      </c>
      <c r="P32" t="s">
        <v>248</v>
      </c>
      <c r="Q32" t="s">
        <v>0</v>
      </c>
      <c r="R32">
        <f t="shared" si="0"/>
        <v>7</v>
      </c>
      <c r="S32" t="e">
        <f t="shared" ca="1" si="1"/>
        <v>#N/A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e">
        <f ca="1">IF($T32&lt;=AA$4,INDEX(TypicalCriticalitiesMAHBarrier23[Typical Components],MATCH($T32,TypicalCriticalitiesMAHBarrier23[Column2],0)),"")</f>
        <v>#N/A</v>
      </c>
      <c r="W32" t="e">
        <f ca="1">IF($T32&lt;=AA$4,INDEX(TypicalCriticalitiesMAHBarrier23[Typical Criticality],MATCH($T32,TypicalCriticalitiesMAHBarrier23[Column2],0)),"")</f>
        <v>#N/A</v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249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7" t="s">
        <v>250</v>
      </c>
      <c r="N33" t="s">
        <v>227</v>
      </c>
      <c r="O33" t="s">
        <v>247</v>
      </c>
      <c r="P33" t="s">
        <v>251</v>
      </c>
      <c r="Q33" t="s">
        <v>0</v>
      </c>
      <c r="R33">
        <f t="shared" si="0"/>
        <v>7</v>
      </c>
      <c r="S33" t="e">
        <f t="shared" ca="1" si="1"/>
        <v>#N/A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e">
        <f ca="1">IF($T33&lt;=AA$4,INDEX(TypicalCriticalitiesMAHBarrier23[Typical Components],MATCH($T33,TypicalCriticalitiesMAHBarrier23[Column2],0)),"")</f>
        <v>#N/A</v>
      </c>
      <c r="W33" t="e">
        <f ca="1">IF($T33&lt;=AA$4,INDEX(TypicalCriticalitiesMAHBarrier23[Typical Criticality],MATCH($T33,TypicalCriticalitiesMAHBarrier23[Column2],0)),"")</f>
        <v>#N/A</v>
      </c>
      <c r="AE33" s="44"/>
      <c r="AF33" s="44"/>
      <c r="AG33" s="44"/>
      <c r="AH33" s="44"/>
      <c r="AI33" s="44"/>
      <c r="AJ33" s="44"/>
    </row>
    <row r="34" spans="1:36" x14ac:dyDescent="0.25">
      <c r="A34" s="58" t="s">
        <v>212</v>
      </c>
      <c r="B34" s="4" t="s">
        <v>7</v>
      </c>
      <c r="C34" s="4">
        <v>8</v>
      </c>
      <c r="D34" s="53">
        <f>MATCH(B34,{"H","G","F","E","D","C","B","A"},0)+MATCH(C34, {1,2,3,4,5,6,7,8}, 0) - 1</f>
        <v>8</v>
      </c>
      <c r="E34" s="59">
        <f>IF(ISERR(CODE(FAILURE_CODE_Non_Financial_scenarios22[Impact])), "", CODE(FAILURE_CODE_Non_Financial_scenarios22[Impact]))</f>
        <v>72</v>
      </c>
      <c r="F34" s="58" t="s">
        <v>625</v>
      </c>
      <c r="H34" s="64" t="s">
        <v>237</v>
      </c>
      <c r="I34" s="64"/>
      <c r="J34" s="64" t="s">
        <v>238</v>
      </c>
      <c r="K34" s="61" t="s">
        <v>125</v>
      </c>
      <c r="N34" t="s">
        <v>227</v>
      </c>
      <c r="O34" t="s">
        <v>247</v>
      </c>
      <c r="P34" t="s">
        <v>252</v>
      </c>
      <c r="Q34" t="s">
        <v>0</v>
      </c>
      <c r="R34">
        <f t="shared" si="0"/>
        <v>7</v>
      </c>
      <c r="S34" t="e">
        <f t="shared" ca="1" si="1"/>
        <v>#N/A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e">
        <f ca="1">IF($T34&lt;=AA$4,INDEX(TypicalCriticalitiesMAHBarrier23[Typical Components],MATCH($T34,TypicalCriticalitiesMAHBarrier23[Column2],0)),"")</f>
        <v>#N/A</v>
      </c>
      <c r="W34" t="e">
        <f ca="1">IF($T34&lt;=AA$4,INDEX(TypicalCriticalitiesMAHBarrier23[Typical Criticality],MATCH($T34,TypicalCriticalitiesMAHBarrier23[Column2],0)),"")</f>
        <v>#N/A</v>
      </c>
      <c r="AE34" s="44"/>
      <c r="AF34" s="44"/>
      <c r="AG34" s="44"/>
      <c r="AH34" s="44"/>
      <c r="AI34" s="44"/>
      <c r="AJ34" s="44"/>
    </row>
    <row r="35" spans="1:36" x14ac:dyDescent="0.25">
      <c r="A35" s="58"/>
      <c r="B35" s="4"/>
      <c r="C35" s="4"/>
      <c r="D35" s="53" t="e">
        <f>MATCH(B35,{"H","G","F","E","D","C","B","A"},0)+MATCH(C35, {1,2,3,4,5,6,7,8}, 0) - 1</f>
        <v>#N/A</v>
      </c>
      <c r="E35" s="59" t="str">
        <f>IF(ISERR(CODE(FAILURE_CODE_Non_Financial_scenarios22[Impact])), "", CODE(FAILURE_CODE_Non_Financial_scenarios22[Impact]))</f>
        <v/>
      </c>
      <c r="F35" s="58"/>
      <c r="H35" t="s">
        <v>626</v>
      </c>
      <c r="J35" s="6" t="s">
        <v>194</v>
      </c>
      <c r="K35" s="22" t="str">
        <f>IF(J35="yes", "A", "C")</f>
        <v>C</v>
      </c>
      <c r="N35" t="s">
        <v>227</v>
      </c>
      <c r="O35" t="s">
        <v>247</v>
      </c>
      <c r="P35" t="s">
        <v>253</v>
      </c>
      <c r="Q35" t="s">
        <v>0</v>
      </c>
      <c r="R35">
        <f t="shared" si="0"/>
        <v>7</v>
      </c>
      <c r="S35" t="e">
        <f t="shared" ca="1" si="1"/>
        <v>#N/A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e">
        <f ca="1">IF($T35&lt;=AA$4,INDEX(TypicalCriticalitiesMAHBarrier23[Typical Components],MATCH($T35,TypicalCriticalitiesMAHBarrier23[Column2],0)),"")</f>
        <v>#N/A</v>
      </c>
      <c r="W35" t="e">
        <f ca="1">IF($T35&lt;=AA$4,INDEX(TypicalCriticalitiesMAHBarrier23[Typical Criticality],MATCH($T35,TypicalCriticalitiesMAHBarrier23[Column2],0)),"")</f>
        <v>#N/A</v>
      </c>
      <c r="AE35" s="44"/>
      <c r="AF35" s="44"/>
      <c r="AG35" s="44"/>
      <c r="AH35" s="44"/>
      <c r="AI35" s="44"/>
      <c r="AJ35" s="44"/>
    </row>
    <row r="36" spans="1:36" x14ac:dyDescent="0.25">
      <c r="A36" s="58"/>
      <c r="B36" s="4"/>
      <c r="C36" s="4"/>
      <c r="D36" s="53" t="e">
        <f>MATCH(B36,{"H","G","F","E","D","C","B","A"},0)+MATCH(C36, {1,2,3,4,5,6,7,8}, 0) - 1</f>
        <v>#N/A</v>
      </c>
      <c r="E36" s="59" t="str">
        <f>IF(ISERR(CODE(FAILURE_CODE_Non_Financial_scenarios22[Impact])), "", CODE(FAILURE_CODE_Non_Financial_scenarios22[Impact]))</f>
        <v/>
      </c>
      <c r="F36" s="58"/>
      <c r="H36" t="s">
        <v>254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227</v>
      </c>
      <c r="O36" t="s">
        <v>255</v>
      </c>
      <c r="P36" t="s">
        <v>256</v>
      </c>
      <c r="Q36" t="s">
        <v>0</v>
      </c>
      <c r="R36">
        <f t="shared" si="0"/>
        <v>8</v>
      </c>
      <c r="S36" t="e">
        <f t="shared" ca="1" si="1"/>
        <v>#N/A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e">
        <f ca="1">IF($T36&lt;=AA$4,INDEX(TypicalCriticalitiesMAHBarrier23[Typical Components],MATCH($T36,TypicalCriticalitiesMAHBarrier23[Column2],0)),"")</f>
        <v>#N/A</v>
      </c>
      <c r="W36" t="e">
        <f ca="1">IF($T36&lt;=AA$4,INDEX(TypicalCriticalitiesMAHBarrier23[Typical Criticality],MATCH($T36,TypicalCriticalitiesMAHBarrier23[Column2],0)),"")</f>
        <v>#N/A</v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257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227</v>
      </c>
      <c r="O37" t="s">
        <v>255</v>
      </c>
      <c r="P37" t="s">
        <v>258</v>
      </c>
      <c r="Q37" t="s">
        <v>0</v>
      </c>
      <c r="R37">
        <f t="shared" si="0"/>
        <v>8</v>
      </c>
      <c r="S37" t="e">
        <f t="shared" ca="1" si="1"/>
        <v>#N/A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e">
        <f ca="1">IF($T37&lt;=AA$4,INDEX(TypicalCriticalitiesMAHBarrier23[Typical Components],MATCH($T37,TypicalCriticalitiesMAHBarrier23[Column2],0)),"")</f>
        <v>#N/A</v>
      </c>
      <c r="W37" t="e">
        <f ca="1">IF($T37&lt;=AA$4,INDEX(TypicalCriticalitiesMAHBarrier23[Typical Criticality],MATCH($T37,TypicalCriticalitiesMAHBarrier23[Column2],0)),"")</f>
        <v>#N/A</v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7"/>
      <c r="I38" s="67"/>
      <c r="N38" t="s">
        <v>227</v>
      </c>
      <c r="O38" t="s">
        <v>255</v>
      </c>
      <c r="P38" t="s">
        <v>259</v>
      </c>
      <c r="Q38" t="s">
        <v>0</v>
      </c>
      <c r="R38">
        <f t="shared" si="0"/>
        <v>8</v>
      </c>
      <c r="S38" t="e">
        <f t="shared" ca="1" si="1"/>
        <v>#N/A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e">
        <f ca="1">IF($T38&lt;=AA$4,INDEX(TypicalCriticalitiesMAHBarrier23[Typical Components],MATCH($T38,TypicalCriticalitiesMAHBarrier23[Column2],0)),"")</f>
        <v>#N/A</v>
      </c>
      <c r="W38" t="e">
        <f ca="1">IF($T38&lt;=AA$4,INDEX(TypicalCriticalitiesMAHBarrier23[Typical Criticality],MATCH($T38,TypicalCriticalitiesMAHBarrier23[Column2],0)),"")</f>
        <v>#N/A</v>
      </c>
      <c r="AE38" s="44"/>
      <c r="AF38" s="44"/>
      <c r="AG38" s="44"/>
      <c r="AH38" s="44"/>
      <c r="AI38" s="44"/>
      <c r="AJ38" s="44"/>
    </row>
    <row r="39" spans="1:36" x14ac:dyDescent="0.25">
      <c r="N39" t="s">
        <v>260</v>
      </c>
      <c r="O39" t="s">
        <v>261</v>
      </c>
      <c r="P39" t="s">
        <v>262</v>
      </c>
      <c r="Q39" t="s">
        <v>1</v>
      </c>
      <c r="R39">
        <f t="shared" si="0"/>
        <v>9</v>
      </c>
      <c r="S39" t="e">
        <f t="shared" ca="1" si="1"/>
        <v>#N/A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e">
        <f ca="1">IF($T39&lt;=AA$4,INDEX(TypicalCriticalitiesMAHBarrier23[Typical Components],MATCH($T39,TypicalCriticalitiesMAHBarrier23[Column2],0)),"")</f>
        <v>#N/A</v>
      </c>
      <c r="W39" t="e">
        <f ca="1">IF($T39&lt;=AA$4,INDEX(TypicalCriticalitiesMAHBarrier23[Typical Criticality],MATCH($T39,TypicalCriticalitiesMAHBarrier23[Column2],0)),"")</f>
        <v>#N/A</v>
      </c>
      <c r="AE39" s="44"/>
      <c r="AF39" s="44"/>
      <c r="AG39" s="44"/>
      <c r="AH39" s="44"/>
      <c r="AI39" s="44"/>
      <c r="AJ39" s="44"/>
    </row>
    <row r="40" spans="1:36" x14ac:dyDescent="0.25">
      <c r="N40" t="s">
        <v>260</v>
      </c>
      <c r="O40" t="s">
        <v>261</v>
      </c>
      <c r="P40" t="s">
        <v>263</v>
      </c>
      <c r="Q40" t="s">
        <v>1</v>
      </c>
      <c r="R40">
        <f t="shared" si="0"/>
        <v>9</v>
      </c>
      <c r="S40" t="e">
        <f t="shared" ca="1" si="1"/>
        <v>#N/A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e">
        <f ca="1">IF($T40&lt;=AA$4,INDEX(TypicalCriticalitiesMAHBarrier23[Typical Components],MATCH($T40,TypicalCriticalitiesMAHBarrier23[Column2],0)),"")</f>
        <v>#N/A</v>
      </c>
      <c r="W40" t="e">
        <f ca="1">IF($T40&lt;=AA$4,INDEX(TypicalCriticalitiesMAHBarrier23[Typical Criticality],MATCH($T40,TypicalCriticalitiesMAHBarrier23[Column2],0)),"")</f>
        <v>#N/A</v>
      </c>
      <c r="AE40" s="44"/>
      <c r="AF40" s="44"/>
      <c r="AG40" s="44"/>
      <c r="AH40" s="44"/>
      <c r="AI40" s="44"/>
      <c r="AJ40" s="44"/>
    </row>
    <row r="41" spans="1:36" x14ac:dyDescent="0.25">
      <c r="N41" t="s">
        <v>260</v>
      </c>
      <c r="O41" t="s">
        <v>261</v>
      </c>
      <c r="P41" t="s">
        <v>264</v>
      </c>
      <c r="Q41" t="s">
        <v>1</v>
      </c>
      <c r="R41">
        <f t="shared" si="0"/>
        <v>9</v>
      </c>
      <c r="S41" t="e">
        <f t="shared" ca="1" si="1"/>
        <v>#N/A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e">
        <f ca="1">IF($T41&lt;=AA$4,INDEX(TypicalCriticalitiesMAHBarrier23[Typical Components],MATCH($T41,TypicalCriticalitiesMAHBarrier23[Column2],0)),"")</f>
        <v>#N/A</v>
      </c>
      <c r="W41" t="e">
        <f ca="1">IF($T41&lt;=AA$4,INDEX(TypicalCriticalitiesMAHBarrier23[Typical Criticality],MATCH($T41,TypicalCriticalitiesMAHBarrier23[Column2],0)),"")</f>
        <v>#N/A</v>
      </c>
      <c r="AE41" s="44"/>
      <c r="AF41" s="44"/>
      <c r="AG41" s="44"/>
      <c r="AH41" s="44"/>
      <c r="AI41" s="44"/>
      <c r="AJ41" s="44"/>
    </row>
    <row r="42" spans="1:36" x14ac:dyDescent="0.25">
      <c r="N42" t="s">
        <v>260</v>
      </c>
      <c r="O42" t="s">
        <v>261</v>
      </c>
      <c r="P42" t="s">
        <v>265</v>
      </c>
      <c r="Q42" t="s">
        <v>1</v>
      </c>
      <c r="R42">
        <f t="shared" si="0"/>
        <v>9</v>
      </c>
      <c r="S42" t="e">
        <f t="shared" ca="1" si="1"/>
        <v>#N/A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e">
        <f ca="1">IF($T42&lt;=AA$4,INDEX(TypicalCriticalitiesMAHBarrier23[Typical Components],MATCH($T42,TypicalCriticalitiesMAHBarrier23[Column2],0)),"")</f>
        <v>#N/A</v>
      </c>
      <c r="W42" t="e">
        <f ca="1">IF($T42&lt;=AA$4,INDEX(TypicalCriticalitiesMAHBarrier23[Typical Criticality],MATCH($T42,TypicalCriticalitiesMAHBarrier23[Column2],0)),"")</f>
        <v>#N/A</v>
      </c>
      <c r="AE42" s="44"/>
      <c r="AF42" s="44"/>
      <c r="AG42" s="44"/>
      <c r="AH42" s="44"/>
      <c r="AI42" s="44"/>
      <c r="AJ42" s="44"/>
    </row>
    <row r="43" spans="1:36" x14ac:dyDescent="0.25">
      <c r="N43" t="s">
        <v>260</v>
      </c>
      <c r="O43" t="s">
        <v>261</v>
      </c>
      <c r="P43" t="s">
        <v>266</v>
      </c>
      <c r="Q43" t="s">
        <v>1</v>
      </c>
      <c r="R43">
        <f t="shared" si="0"/>
        <v>9</v>
      </c>
      <c r="S43" t="e">
        <f t="shared" ca="1" si="1"/>
        <v>#N/A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e">
        <f ca="1">IF($T43&lt;=AA$4,INDEX(TypicalCriticalitiesMAHBarrier23[Typical Components],MATCH($T43,TypicalCriticalitiesMAHBarrier23[Column2],0)),"")</f>
        <v>#N/A</v>
      </c>
      <c r="W43" t="e">
        <f ca="1">IF($T43&lt;=AA$4,INDEX(TypicalCriticalitiesMAHBarrier23[Typical Criticality],MATCH($T43,TypicalCriticalitiesMAHBarrier23[Column2],0)),"")</f>
        <v>#N/A</v>
      </c>
      <c r="AE43" s="44"/>
      <c r="AF43" s="44"/>
      <c r="AG43" s="44"/>
      <c r="AH43" s="44"/>
      <c r="AI43" s="44"/>
      <c r="AJ43" s="44"/>
    </row>
    <row r="44" spans="1:36" x14ac:dyDescent="0.25">
      <c r="N44" t="s">
        <v>260</v>
      </c>
      <c r="O44" t="s">
        <v>261</v>
      </c>
      <c r="P44" t="s">
        <v>267</v>
      </c>
      <c r="Q44" t="s">
        <v>1</v>
      </c>
      <c r="R44">
        <f t="shared" si="0"/>
        <v>9</v>
      </c>
      <c r="S44" t="e">
        <f t="shared" ca="1" si="1"/>
        <v>#N/A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e">
        <f ca="1">IF($T44&lt;=AA$4,INDEX(TypicalCriticalitiesMAHBarrier23[Typical Components],MATCH($T44,TypicalCriticalitiesMAHBarrier23[Column2],0)),"")</f>
        <v>#N/A</v>
      </c>
      <c r="W44" t="e">
        <f ca="1">IF($T44&lt;=AA$4,INDEX(TypicalCriticalitiesMAHBarrier23[Typical Criticality],MATCH($T44,TypicalCriticalitiesMAHBarrier23[Column2],0)),"")</f>
        <v>#N/A</v>
      </c>
      <c r="AE44" s="44"/>
      <c r="AF44" s="44"/>
      <c r="AG44" s="44"/>
      <c r="AH44" s="44"/>
      <c r="AI44" s="44"/>
      <c r="AJ44" s="44"/>
    </row>
    <row r="45" spans="1:36" x14ac:dyDescent="0.25">
      <c r="N45" t="s">
        <v>260</v>
      </c>
      <c r="O45" t="s">
        <v>261</v>
      </c>
      <c r="P45" t="s">
        <v>268</v>
      </c>
      <c r="Q45" t="s">
        <v>0</v>
      </c>
      <c r="R45">
        <f t="shared" si="0"/>
        <v>9</v>
      </c>
      <c r="S45" t="e">
        <f t="shared" ca="1" si="1"/>
        <v>#N/A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e">
        <f ca="1">IF($T45&lt;=AA$4,INDEX(TypicalCriticalitiesMAHBarrier23[Typical Components],MATCH($T45,TypicalCriticalitiesMAHBarrier23[Column2],0)),"")</f>
        <v>#N/A</v>
      </c>
      <c r="W45" t="e">
        <f ca="1">IF($T45&lt;=AA$4,INDEX(TypicalCriticalitiesMAHBarrier23[Typical Criticality],MATCH($T45,TypicalCriticalitiesMAHBarrier23[Column2],0)),"")</f>
        <v>#N/A</v>
      </c>
      <c r="AE45" s="44"/>
      <c r="AF45" s="44"/>
      <c r="AG45" s="44"/>
      <c r="AH45" s="44"/>
      <c r="AI45" s="44"/>
      <c r="AJ45" s="44"/>
    </row>
    <row r="46" spans="1:36" x14ac:dyDescent="0.25">
      <c r="N46" t="s">
        <v>269</v>
      </c>
      <c r="O46" t="s">
        <v>270</v>
      </c>
      <c r="P46" t="s">
        <v>271</v>
      </c>
      <c r="Q46" t="s">
        <v>0</v>
      </c>
      <c r="R46">
        <f t="shared" si="0"/>
        <v>10</v>
      </c>
      <c r="S46" t="e">
        <f t="shared" ca="1" si="1"/>
        <v>#N/A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e">
        <f ca="1">IF($T46&lt;=AA$4,INDEX(TypicalCriticalitiesMAHBarrier23[Typical Components],MATCH($T46,TypicalCriticalitiesMAHBarrier23[Column2],0)),"")</f>
        <v>#N/A</v>
      </c>
      <c r="W46" t="e">
        <f ca="1">IF($T46&lt;=AA$4,INDEX(TypicalCriticalitiesMAHBarrier23[Typical Criticality],MATCH($T46,TypicalCriticalitiesMAHBarrier23[Column2],0)),"")</f>
        <v>#N/A</v>
      </c>
      <c r="AE46" s="44"/>
      <c r="AF46" s="44"/>
      <c r="AG46" s="44"/>
      <c r="AH46" s="44"/>
      <c r="AI46" s="44"/>
      <c r="AJ46" s="44"/>
    </row>
    <row r="47" spans="1:36" x14ac:dyDescent="0.25">
      <c r="N47" t="s">
        <v>269</v>
      </c>
      <c r="O47" t="s">
        <v>270</v>
      </c>
      <c r="P47" t="s">
        <v>272</v>
      </c>
      <c r="Q47" t="s">
        <v>0</v>
      </c>
      <c r="R47">
        <f t="shared" si="0"/>
        <v>10</v>
      </c>
      <c r="S47" t="e">
        <f t="shared" ca="1" si="1"/>
        <v>#N/A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e">
        <f ca="1">IF($T47&lt;=AA$4,INDEX(TypicalCriticalitiesMAHBarrier23[Typical Components],MATCH($T47,TypicalCriticalitiesMAHBarrier23[Column2],0)),"")</f>
        <v>#N/A</v>
      </c>
      <c r="W47" t="e">
        <f ca="1">IF($T47&lt;=AA$4,INDEX(TypicalCriticalitiesMAHBarrier23[Typical Criticality],MATCH($T47,TypicalCriticalitiesMAHBarrier23[Column2],0)),"")</f>
        <v>#N/A</v>
      </c>
      <c r="AE47" s="44"/>
      <c r="AF47" s="44"/>
      <c r="AG47" s="44"/>
      <c r="AH47" s="44"/>
      <c r="AI47" s="44"/>
      <c r="AJ47" s="44"/>
    </row>
    <row r="48" spans="1:36" x14ac:dyDescent="0.25">
      <c r="N48" t="s">
        <v>269</v>
      </c>
      <c r="O48" t="s">
        <v>270</v>
      </c>
      <c r="P48" t="s">
        <v>273</v>
      </c>
      <c r="Q48" t="s">
        <v>0</v>
      </c>
      <c r="R48">
        <f t="shared" si="0"/>
        <v>10</v>
      </c>
      <c r="S48" t="e">
        <f t="shared" ca="1" si="1"/>
        <v>#N/A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e">
        <f ca="1">IF($T48&lt;=AA$4,INDEX(TypicalCriticalitiesMAHBarrier23[Typical Components],MATCH($T48,TypicalCriticalitiesMAHBarrier23[Column2],0)),"")</f>
        <v>#N/A</v>
      </c>
      <c r="W48" t="e">
        <f ca="1">IF($T48&lt;=AA$4,INDEX(TypicalCriticalitiesMAHBarrier23[Typical Criticality],MATCH($T48,TypicalCriticalitiesMAHBarrier23[Column2],0)),"")</f>
        <v>#N/A</v>
      </c>
      <c r="AE48" s="44"/>
      <c r="AF48" s="44"/>
      <c r="AG48" s="44"/>
      <c r="AH48" s="44"/>
      <c r="AI48" s="44"/>
      <c r="AJ48" s="44"/>
    </row>
    <row r="49" spans="14:36" x14ac:dyDescent="0.25">
      <c r="N49" t="s">
        <v>269</v>
      </c>
      <c r="O49" t="s">
        <v>270</v>
      </c>
      <c r="P49" t="s">
        <v>274</v>
      </c>
      <c r="Q49" t="s">
        <v>0</v>
      </c>
      <c r="R49">
        <f t="shared" si="0"/>
        <v>10</v>
      </c>
      <c r="S49" t="e">
        <f t="shared" ca="1" si="1"/>
        <v>#N/A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e">
        <f ca="1">IF($T49&lt;=AA$4,INDEX(TypicalCriticalitiesMAHBarrier23[Typical Components],MATCH($T49,TypicalCriticalitiesMAHBarrier23[Column2],0)),"")</f>
        <v>#N/A</v>
      </c>
      <c r="W49" t="e">
        <f ca="1">IF($T49&lt;=AA$4,INDEX(TypicalCriticalitiesMAHBarrier23[Typical Criticality],MATCH($T49,TypicalCriticalitiesMAHBarrier23[Column2],0)),"")</f>
        <v>#N/A</v>
      </c>
      <c r="AE49" s="44"/>
      <c r="AF49" s="44"/>
      <c r="AG49" s="44"/>
      <c r="AH49" s="44"/>
      <c r="AI49" s="44"/>
      <c r="AJ49" s="44"/>
    </row>
    <row r="50" spans="14:36" x14ac:dyDescent="0.25">
      <c r="N50" t="s">
        <v>269</v>
      </c>
      <c r="O50" t="s">
        <v>270</v>
      </c>
      <c r="P50" t="s">
        <v>275</v>
      </c>
      <c r="Q50" t="s">
        <v>0</v>
      </c>
      <c r="R50">
        <f t="shared" si="0"/>
        <v>10</v>
      </c>
      <c r="S50" t="e">
        <f t="shared" ca="1" si="1"/>
        <v>#N/A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e">
        <f ca="1">IF($T50&lt;=AA$4,INDEX(TypicalCriticalitiesMAHBarrier23[Typical Components],MATCH($T50,TypicalCriticalitiesMAHBarrier23[Column2],0)),"")</f>
        <v>#N/A</v>
      </c>
      <c r="W50" t="e">
        <f ca="1">IF($T50&lt;=AA$4,INDEX(TypicalCriticalitiesMAHBarrier23[Typical Criticality],MATCH($T50,TypicalCriticalitiesMAHBarrier23[Column2],0)),"")</f>
        <v>#N/A</v>
      </c>
      <c r="AE50" s="44"/>
      <c r="AF50" s="44"/>
      <c r="AG50" s="44"/>
      <c r="AH50" s="44"/>
      <c r="AI50" s="44"/>
      <c r="AJ50" s="44"/>
    </row>
    <row r="51" spans="14:36" x14ac:dyDescent="0.25">
      <c r="N51" t="s">
        <v>269</v>
      </c>
      <c r="O51" t="s">
        <v>270</v>
      </c>
      <c r="P51" t="s">
        <v>276</v>
      </c>
      <c r="Q51" t="s">
        <v>1</v>
      </c>
      <c r="R51">
        <f t="shared" si="0"/>
        <v>10</v>
      </c>
      <c r="S51" t="e">
        <f t="shared" ca="1" si="1"/>
        <v>#N/A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e">
        <f ca="1">IF($T51&lt;=AA$4,INDEX(TypicalCriticalitiesMAHBarrier23[Typical Components],MATCH($T51,TypicalCriticalitiesMAHBarrier23[Column2],0)),"")</f>
        <v>#N/A</v>
      </c>
      <c r="W51" t="e">
        <f ca="1">IF($T51&lt;=AA$4,INDEX(TypicalCriticalitiesMAHBarrier23[Typical Criticality],MATCH($T51,TypicalCriticalitiesMAHBarrier23[Column2],0)),"")</f>
        <v>#N/A</v>
      </c>
      <c r="AE51" s="44"/>
      <c r="AF51" s="44"/>
      <c r="AG51" s="44"/>
      <c r="AH51" s="44"/>
      <c r="AI51" s="44"/>
      <c r="AJ51" s="44"/>
    </row>
    <row r="52" spans="14:36" x14ac:dyDescent="0.25">
      <c r="N52" t="s">
        <v>269</v>
      </c>
      <c r="O52" t="s">
        <v>270</v>
      </c>
      <c r="P52" t="s">
        <v>277</v>
      </c>
      <c r="Q52" t="s">
        <v>0</v>
      </c>
      <c r="R52">
        <f t="shared" si="0"/>
        <v>10</v>
      </c>
      <c r="S52" t="e">
        <f t="shared" ca="1" si="1"/>
        <v>#N/A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e">
        <f ca="1">IF($T52&lt;=AA$4,INDEX(TypicalCriticalitiesMAHBarrier23[Typical Components],MATCH($T52,TypicalCriticalitiesMAHBarrier23[Column2],0)),"")</f>
        <v>#N/A</v>
      </c>
      <c r="W52" t="e">
        <f ca="1">IF($T52&lt;=AA$4,INDEX(TypicalCriticalitiesMAHBarrier23[Typical Criticality],MATCH($T52,TypicalCriticalitiesMAHBarrier23[Column2],0)),"")</f>
        <v>#N/A</v>
      </c>
      <c r="AE52" s="44"/>
      <c r="AF52" s="44"/>
      <c r="AG52" s="44"/>
      <c r="AH52" s="44"/>
      <c r="AI52" s="44"/>
      <c r="AJ52" s="44"/>
    </row>
    <row r="53" spans="14:36" x14ac:dyDescent="0.25">
      <c r="N53" t="s">
        <v>269</v>
      </c>
      <c r="O53" t="s">
        <v>270</v>
      </c>
      <c r="P53" t="s">
        <v>278</v>
      </c>
      <c r="Q53" t="s">
        <v>0</v>
      </c>
      <c r="R53">
        <f t="shared" si="0"/>
        <v>10</v>
      </c>
      <c r="S53" t="e">
        <f t="shared" ca="1" si="1"/>
        <v>#N/A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e">
        <f ca="1">IF($T53&lt;=AA$4,INDEX(TypicalCriticalitiesMAHBarrier23[Typical Components],MATCH($T53,TypicalCriticalitiesMAHBarrier23[Column2],0)),"")</f>
        <v>#N/A</v>
      </c>
      <c r="W53" t="e">
        <f ca="1">IF($T53&lt;=AA$4,INDEX(TypicalCriticalitiesMAHBarrier23[Typical Criticality],MATCH($T53,TypicalCriticalitiesMAHBarrier23[Column2],0)),"")</f>
        <v>#N/A</v>
      </c>
      <c r="AE53" s="44"/>
      <c r="AF53" s="44"/>
      <c r="AG53" s="44"/>
      <c r="AH53" s="44"/>
      <c r="AI53" s="44"/>
      <c r="AJ53" s="44"/>
    </row>
    <row r="54" spans="14:36" x14ac:dyDescent="0.25">
      <c r="N54" t="s">
        <v>269</v>
      </c>
      <c r="O54" t="s">
        <v>270</v>
      </c>
      <c r="P54" t="s">
        <v>279</v>
      </c>
      <c r="Q54" t="s">
        <v>0</v>
      </c>
      <c r="R54">
        <f t="shared" si="0"/>
        <v>10</v>
      </c>
      <c r="S54" t="e">
        <f t="shared" ca="1" si="1"/>
        <v>#N/A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e">
        <f ca="1">IF($T54&lt;=AA$4,INDEX(TypicalCriticalitiesMAHBarrier23[Typical Components],MATCH($T54,TypicalCriticalitiesMAHBarrier23[Column2],0)),"")</f>
        <v>#N/A</v>
      </c>
      <c r="W54" t="e">
        <f ca="1">IF($T54&lt;=AA$4,INDEX(TypicalCriticalitiesMAHBarrier23[Typical Criticality],MATCH($T54,TypicalCriticalitiesMAHBarrier23[Column2],0)),"")</f>
        <v>#N/A</v>
      </c>
      <c r="AE54" s="44"/>
      <c r="AF54" s="44"/>
      <c r="AG54" s="44"/>
      <c r="AH54" s="44"/>
      <c r="AI54" s="44"/>
      <c r="AJ54" s="44"/>
    </row>
    <row r="55" spans="14:36" x14ac:dyDescent="0.25">
      <c r="N55" t="s">
        <v>269</v>
      </c>
      <c r="O55" t="s">
        <v>270</v>
      </c>
      <c r="P55" t="s">
        <v>280</v>
      </c>
      <c r="Q55" t="s">
        <v>1</v>
      </c>
      <c r="R55">
        <f t="shared" si="0"/>
        <v>10</v>
      </c>
      <c r="S55" t="e">
        <f t="shared" ca="1" si="1"/>
        <v>#N/A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e">
        <f ca="1">IF($T55&lt;=AA$4,INDEX(TypicalCriticalitiesMAHBarrier23[Typical Components],MATCH($T55,TypicalCriticalitiesMAHBarrier23[Column2],0)),"")</f>
        <v>#N/A</v>
      </c>
      <c r="W55" t="e">
        <f ca="1">IF($T55&lt;=AA$4,INDEX(TypicalCriticalitiesMAHBarrier23[Typical Criticality],MATCH($T55,TypicalCriticalitiesMAHBarrier23[Column2],0)),"")</f>
        <v>#N/A</v>
      </c>
      <c r="AE55" s="44"/>
      <c r="AF55" s="44"/>
      <c r="AG55" s="44"/>
      <c r="AH55" s="44"/>
      <c r="AI55" s="44"/>
      <c r="AJ55" s="44"/>
    </row>
    <row r="56" spans="14:36" x14ac:dyDescent="0.25">
      <c r="N56" t="s">
        <v>269</v>
      </c>
      <c r="O56" t="s">
        <v>270</v>
      </c>
      <c r="P56" t="s">
        <v>281</v>
      </c>
      <c r="Q56" t="s">
        <v>1</v>
      </c>
      <c r="R56">
        <f t="shared" si="0"/>
        <v>10</v>
      </c>
      <c r="S56" t="e">
        <f t="shared" ca="1" si="1"/>
        <v>#N/A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e">
        <f ca="1">IF($T56&lt;=AA$4,INDEX(TypicalCriticalitiesMAHBarrier23[Typical Components],MATCH($T56,TypicalCriticalitiesMAHBarrier23[Column2],0)),"")</f>
        <v>#N/A</v>
      </c>
      <c r="W56" t="e">
        <f ca="1">IF($T56&lt;=AA$4,INDEX(TypicalCriticalitiesMAHBarrier23[Typical Criticality],MATCH($T56,TypicalCriticalitiesMAHBarrier23[Column2],0)),"")</f>
        <v>#N/A</v>
      </c>
      <c r="AE56" s="44"/>
      <c r="AF56" s="44"/>
      <c r="AG56" s="44"/>
      <c r="AH56" s="44"/>
      <c r="AI56" s="44"/>
      <c r="AJ56" s="44"/>
    </row>
    <row r="57" spans="14:36" x14ac:dyDescent="0.25">
      <c r="N57" t="s">
        <v>269</v>
      </c>
      <c r="O57" t="s">
        <v>270</v>
      </c>
      <c r="P57" t="s">
        <v>282</v>
      </c>
      <c r="Q57" t="s">
        <v>1</v>
      </c>
      <c r="R57">
        <f t="shared" si="0"/>
        <v>10</v>
      </c>
      <c r="S57" t="e">
        <f t="shared" ca="1" si="1"/>
        <v>#N/A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e">
        <f ca="1">IF($T57&lt;=AA$4,INDEX(TypicalCriticalitiesMAHBarrier23[Typical Components],MATCH($T57,TypicalCriticalitiesMAHBarrier23[Column2],0)),"")</f>
        <v>#N/A</v>
      </c>
      <c r="W57" t="e">
        <f ca="1">IF($T57&lt;=AA$4,INDEX(TypicalCriticalitiesMAHBarrier23[Typical Criticality],MATCH($T57,TypicalCriticalitiesMAHBarrier23[Column2],0)),"")</f>
        <v>#N/A</v>
      </c>
      <c r="AE57" s="44"/>
      <c r="AF57" s="44"/>
      <c r="AG57" s="44"/>
      <c r="AH57" s="44"/>
      <c r="AI57" s="44"/>
      <c r="AJ57" s="44"/>
    </row>
    <row r="58" spans="14:36" x14ac:dyDescent="0.25">
      <c r="N58" t="s">
        <v>269</v>
      </c>
      <c r="O58" t="s">
        <v>270</v>
      </c>
      <c r="P58" t="s">
        <v>283</v>
      </c>
      <c r="Q58" t="s">
        <v>1</v>
      </c>
      <c r="R58">
        <f t="shared" si="0"/>
        <v>10</v>
      </c>
      <c r="S58" t="e">
        <f t="shared" ca="1" si="1"/>
        <v>#N/A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e">
        <f ca="1">IF($T58&lt;=AA$4,INDEX(TypicalCriticalitiesMAHBarrier23[Typical Components],MATCH($T58,TypicalCriticalitiesMAHBarrier23[Column2],0)),"")</f>
        <v>#N/A</v>
      </c>
      <c r="W58" t="e">
        <f ca="1">IF($T58&lt;=AA$4,INDEX(TypicalCriticalitiesMAHBarrier23[Typical Criticality],MATCH($T58,TypicalCriticalitiesMAHBarrier23[Column2],0)),"")</f>
        <v>#N/A</v>
      </c>
      <c r="AE58" s="44"/>
      <c r="AF58" s="44"/>
      <c r="AG58" s="44"/>
      <c r="AH58" s="44"/>
      <c r="AI58" s="44"/>
      <c r="AJ58" s="44"/>
    </row>
    <row r="59" spans="14:36" x14ac:dyDescent="0.25">
      <c r="N59" t="s">
        <v>269</v>
      </c>
      <c r="O59" t="s">
        <v>270</v>
      </c>
      <c r="P59" t="s">
        <v>284</v>
      </c>
      <c r="Q59" t="s">
        <v>1</v>
      </c>
      <c r="R59">
        <f t="shared" si="0"/>
        <v>10</v>
      </c>
      <c r="S59" t="e">
        <f t="shared" ca="1" si="1"/>
        <v>#N/A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e">
        <f ca="1">IF($T59&lt;=AA$4,INDEX(TypicalCriticalitiesMAHBarrier23[Typical Components],MATCH($T59,TypicalCriticalitiesMAHBarrier23[Column2],0)),"")</f>
        <v>#N/A</v>
      </c>
      <c r="W59" t="e">
        <f ca="1">IF($T59&lt;=AA$4,INDEX(TypicalCriticalitiesMAHBarrier23[Typical Criticality],MATCH($T59,TypicalCriticalitiesMAHBarrier23[Column2],0)),"")</f>
        <v>#N/A</v>
      </c>
      <c r="AE59" s="44"/>
      <c r="AF59" s="44"/>
      <c r="AG59" s="44"/>
      <c r="AH59" s="44"/>
      <c r="AI59" s="44"/>
      <c r="AJ59" s="44"/>
    </row>
    <row r="60" spans="14:36" x14ac:dyDescent="0.25">
      <c r="N60" t="s">
        <v>269</v>
      </c>
      <c r="O60" t="s">
        <v>270</v>
      </c>
      <c r="P60" t="s">
        <v>285</v>
      </c>
      <c r="Q60" t="s">
        <v>0</v>
      </c>
      <c r="R60">
        <f t="shared" si="0"/>
        <v>10</v>
      </c>
      <c r="S60" t="e">
        <f t="shared" ca="1" si="1"/>
        <v>#N/A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e">
        <f ca="1">IF($T60&lt;=AA$4,INDEX(TypicalCriticalitiesMAHBarrier23[Typical Components],MATCH($T60,TypicalCriticalitiesMAHBarrier23[Column2],0)),"")</f>
        <v>#N/A</v>
      </c>
      <c r="W60" t="e">
        <f ca="1">IF($T60&lt;=AA$4,INDEX(TypicalCriticalitiesMAHBarrier23[Typical Criticality],MATCH($T60,TypicalCriticalitiesMAHBarrier23[Column2],0)),"")</f>
        <v>#N/A</v>
      </c>
      <c r="AE60" s="44"/>
      <c r="AF60" s="44"/>
      <c r="AG60" s="44"/>
      <c r="AH60" s="44"/>
      <c r="AI60" s="44"/>
      <c r="AJ60" s="44"/>
    </row>
    <row r="61" spans="14:36" x14ac:dyDescent="0.25">
      <c r="N61" t="s">
        <v>269</v>
      </c>
      <c r="O61" t="s">
        <v>270</v>
      </c>
      <c r="P61" t="s">
        <v>286</v>
      </c>
      <c r="Q61" t="s">
        <v>0</v>
      </c>
      <c r="R61">
        <f t="shared" si="0"/>
        <v>10</v>
      </c>
      <c r="S61" t="e">
        <f t="shared" ca="1" si="1"/>
        <v>#N/A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e">
        <f ca="1">IF($T61&lt;=AA$4,INDEX(TypicalCriticalitiesMAHBarrier23[Typical Components],MATCH($T61,TypicalCriticalitiesMAHBarrier23[Column2],0)),"")</f>
        <v>#N/A</v>
      </c>
      <c r="W61" t="e">
        <f ca="1">IF($T61&lt;=AA$4,INDEX(TypicalCriticalitiesMAHBarrier23[Typical Criticality],MATCH($T61,TypicalCriticalitiesMAHBarrier23[Column2],0)),"")</f>
        <v>#N/A</v>
      </c>
      <c r="AE61" s="44"/>
      <c r="AF61" s="44"/>
      <c r="AG61" s="44"/>
      <c r="AH61" s="44"/>
      <c r="AI61" s="44"/>
      <c r="AJ61" s="44"/>
    </row>
    <row r="62" spans="14:36" x14ac:dyDescent="0.25">
      <c r="N62" t="s">
        <v>269</v>
      </c>
      <c r="O62" t="s">
        <v>270</v>
      </c>
      <c r="P62" t="s">
        <v>287</v>
      </c>
      <c r="Q62" t="s">
        <v>0</v>
      </c>
      <c r="R62">
        <f t="shared" si="0"/>
        <v>10</v>
      </c>
      <c r="S62" t="e">
        <f t="shared" ca="1" si="1"/>
        <v>#N/A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e">
        <f ca="1">IF($T62&lt;=AA$4,INDEX(TypicalCriticalitiesMAHBarrier23[Typical Components],MATCH($T62,TypicalCriticalitiesMAHBarrier23[Column2],0)),"")</f>
        <v>#N/A</v>
      </c>
      <c r="W62" t="e">
        <f ca="1">IF($T62&lt;=AA$4,INDEX(TypicalCriticalitiesMAHBarrier23[Typical Criticality],MATCH($T62,TypicalCriticalitiesMAHBarrier23[Column2],0)),"")</f>
        <v>#N/A</v>
      </c>
      <c r="AE62" s="44"/>
      <c r="AF62" s="44"/>
      <c r="AG62" s="44"/>
      <c r="AH62" s="44"/>
      <c r="AI62" s="44"/>
      <c r="AJ62" s="44"/>
    </row>
    <row r="63" spans="14:36" x14ac:dyDescent="0.25">
      <c r="N63" t="s">
        <v>269</v>
      </c>
      <c r="O63" t="s">
        <v>270</v>
      </c>
      <c r="P63" t="s">
        <v>288</v>
      </c>
      <c r="Q63" t="s">
        <v>0</v>
      </c>
      <c r="R63">
        <f t="shared" si="0"/>
        <v>10</v>
      </c>
      <c r="S63" t="e">
        <f t="shared" ca="1" si="1"/>
        <v>#N/A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e">
        <f ca="1">IF($T63&lt;=AA$4,INDEX(TypicalCriticalitiesMAHBarrier23[Typical Components],MATCH($T63,TypicalCriticalitiesMAHBarrier23[Column2],0)),"")</f>
        <v>#N/A</v>
      </c>
      <c r="W63" t="e">
        <f ca="1">IF($T63&lt;=AA$4,INDEX(TypicalCriticalitiesMAHBarrier23[Typical Criticality],MATCH($T63,TypicalCriticalitiesMAHBarrier23[Column2],0)),"")</f>
        <v>#N/A</v>
      </c>
      <c r="AE63" s="44"/>
      <c r="AF63" s="44"/>
      <c r="AG63" s="44"/>
      <c r="AH63" s="44"/>
      <c r="AI63" s="44"/>
      <c r="AJ63" s="44"/>
    </row>
    <row r="64" spans="14:36" x14ac:dyDescent="0.25">
      <c r="N64" t="s">
        <v>269</v>
      </c>
      <c r="O64" t="s">
        <v>270</v>
      </c>
      <c r="P64" t="s">
        <v>289</v>
      </c>
      <c r="Q64" t="s">
        <v>0</v>
      </c>
      <c r="R64">
        <f t="shared" si="0"/>
        <v>10</v>
      </c>
      <c r="S64" t="e">
        <f t="shared" ca="1" si="1"/>
        <v>#N/A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e">
        <f ca="1">IF($T64&lt;=AA$4,INDEX(TypicalCriticalitiesMAHBarrier23[Typical Components],MATCH($T64,TypicalCriticalitiesMAHBarrier23[Column2],0)),"")</f>
        <v>#N/A</v>
      </c>
      <c r="W64" t="e">
        <f ca="1">IF($T64&lt;=AA$4,INDEX(TypicalCriticalitiesMAHBarrier23[Typical Criticality],MATCH($T64,TypicalCriticalitiesMAHBarrier23[Column2],0)),"")</f>
        <v>#N/A</v>
      </c>
      <c r="AE64" s="44"/>
      <c r="AF64" s="44"/>
      <c r="AG64" s="44"/>
      <c r="AH64" s="44"/>
      <c r="AI64" s="44"/>
      <c r="AJ64" s="44"/>
    </row>
    <row r="65" spans="14:36" x14ac:dyDescent="0.25">
      <c r="N65" t="s">
        <v>269</v>
      </c>
      <c r="O65" t="s">
        <v>270</v>
      </c>
      <c r="P65" t="s">
        <v>290</v>
      </c>
      <c r="Q65" t="s">
        <v>0</v>
      </c>
      <c r="R65">
        <f t="shared" si="0"/>
        <v>10</v>
      </c>
      <c r="S65" t="e">
        <f t="shared" ca="1" si="1"/>
        <v>#N/A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e">
        <f ca="1">IF($T65&lt;=AA$4,INDEX(TypicalCriticalitiesMAHBarrier23[Typical Components],MATCH($T65,TypicalCriticalitiesMAHBarrier23[Column2],0)),"")</f>
        <v>#N/A</v>
      </c>
      <c r="W65" t="e">
        <f ca="1">IF($T65&lt;=AA$4,INDEX(TypicalCriticalitiesMAHBarrier23[Typical Criticality],MATCH($T65,TypicalCriticalitiesMAHBarrier23[Column2],0)),"")</f>
        <v>#N/A</v>
      </c>
      <c r="AE65" s="44"/>
      <c r="AF65" s="44"/>
      <c r="AG65" s="44"/>
      <c r="AH65" s="44"/>
      <c r="AI65" s="44"/>
      <c r="AJ65" s="44"/>
    </row>
    <row r="66" spans="14:36" x14ac:dyDescent="0.25">
      <c r="N66" t="s">
        <v>269</v>
      </c>
      <c r="O66" t="s">
        <v>270</v>
      </c>
      <c r="P66" t="s">
        <v>291</v>
      </c>
      <c r="Q66" t="s">
        <v>1</v>
      </c>
      <c r="R66">
        <f t="shared" si="0"/>
        <v>10</v>
      </c>
      <c r="S66" t="e">
        <f t="shared" ca="1" si="1"/>
        <v>#N/A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e">
        <f ca="1">IF($T66&lt;=AA$4,INDEX(TypicalCriticalitiesMAHBarrier23[Typical Components],MATCH($T66,TypicalCriticalitiesMAHBarrier23[Column2],0)),"")</f>
        <v>#N/A</v>
      </c>
      <c r="W66" t="e">
        <f ca="1">IF($T66&lt;=AA$4,INDEX(TypicalCriticalitiesMAHBarrier23[Typical Criticality],MATCH($T66,TypicalCriticalitiesMAHBarrier23[Column2],0)),"")</f>
        <v>#N/A</v>
      </c>
      <c r="AE66" s="44"/>
      <c r="AF66" s="44"/>
      <c r="AG66" s="44"/>
      <c r="AH66" s="44"/>
      <c r="AI66" s="44"/>
      <c r="AJ66" s="44"/>
    </row>
    <row r="67" spans="14:36" x14ac:dyDescent="0.25">
      <c r="N67" t="s">
        <v>269</v>
      </c>
      <c r="O67" t="s">
        <v>270</v>
      </c>
      <c r="P67" t="s">
        <v>292</v>
      </c>
      <c r="Q67" t="s">
        <v>0</v>
      </c>
      <c r="R67">
        <f t="shared" si="0"/>
        <v>10</v>
      </c>
      <c r="S67" t="e">
        <f t="shared" ca="1" si="1"/>
        <v>#N/A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e">
        <f ca="1">IF($T67&lt;=AA$4,INDEX(TypicalCriticalitiesMAHBarrier23[Typical Components],MATCH($T67,TypicalCriticalitiesMAHBarrier23[Column2],0)),"")</f>
        <v>#N/A</v>
      </c>
      <c r="W67" t="e">
        <f ca="1">IF($T67&lt;=AA$4,INDEX(TypicalCriticalitiesMAHBarrier23[Typical Criticality],MATCH($T67,TypicalCriticalitiesMAHBarrier23[Column2],0)),"")</f>
        <v>#N/A</v>
      </c>
      <c r="AE67" s="44"/>
      <c r="AF67" s="44"/>
      <c r="AG67" s="44"/>
      <c r="AH67" s="44"/>
      <c r="AI67" s="44"/>
      <c r="AJ67" s="44"/>
    </row>
    <row r="68" spans="14:36" x14ac:dyDescent="0.25">
      <c r="N68" t="s">
        <v>269</v>
      </c>
      <c r="O68" t="s">
        <v>270</v>
      </c>
      <c r="P68" t="s">
        <v>293</v>
      </c>
      <c r="Q68" t="s">
        <v>0</v>
      </c>
      <c r="R68">
        <f t="shared" si="0"/>
        <v>10</v>
      </c>
      <c r="S68" t="e">
        <f t="shared" ca="1" si="1"/>
        <v>#N/A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e">
        <f ca="1">IF($T68&lt;=AA$4,INDEX(TypicalCriticalitiesMAHBarrier23[Typical Components],MATCH($T68,TypicalCriticalitiesMAHBarrier23[Column2],0)),"")</f>
        <v>#N/A</v>
      </c>
      <c r="W68" t="e">
        <f ca="1">IF($T68&lt;=AA$4,INDEX(TypicalCriticalitiesMAHBarrier23[Typical Criticality],MATCH($T68,TypicalCriticalitiesMAHBarrier23[Column2],0)),"")</f>
        <v>#N/A</v>
      </c>
      <c r="AE68" s="44"/>
      <c r="AF68" s="44"/>
      <c r="AG68" s="44"/>
      <c r="AH68" s="44"/>
      <c r="AI68" s="44"/>
      <c r="AJ68" s="44"/>
    </row>
    <row r="69" spans="14:36" x14ac:dyDescent="0.25">
      <c r="N69" t="s">
        <v>269</v>
      </c>
      <c r="O69" t="s">
        <v>270</v>
      </c>
      <c r="P69" t="s">
        <v>294</v>
      </c>
      <c r="Q69" t="s">
        <v>1</v>
      </c>
      <c r="R69">
        <f t="shared" ref="R69:R132" si="3">IF(AND(O69&lt;&gt;O68,O69&lt;&gt;""),R68+1,R68)</f>
        <v>10</v>
      </c>
      <c r="S69" t="e">
        <f t="shared" ref="S69:S132" ca="1" si="4">IF(R69=$Z$5,IF(AND(P69&lt;&gt;P68,P69&lt;&gt;""),S68+1,S68),S68)</f>
        <v>#N/A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e">
        <f ca="1">IF($T69&lt;=AA$4,INDEX(TypicalCriticalitiesMAHBarrier23[Typical Components],MATCH($T69,TypicalCriticalitiesMAHBarrier23[Column2],0)),"")</f>
        <v>#N/A</v>
      </c>
      <c r="W69" t="e">
        <f ca="1">IF($T69&lt;=AA$4,INDEX(TypicalCriticalitiesMAHBarrier23[Typical Criticality],MATCH($T69,TypicalCriticalitiesMAHBarrier23[Column2],0)),"")</f>
        <v>#N/A</v>
      </c>
      <c r="AE69" s="44"/>
      <c r="AF69" s="44"/>
      <c r="AG69" s="44"/>
      <c r="AH69" s="44"/>
      <c r="AI69" s="44"/>
      <c r="AJ69" s="44"/>
    </row>
    <row r="70" spans="14:36" x14ac:dyDescent="0.25">
      <c r="N70" t="s">
        <v>269</v>
      </c>
      <c r="O70" t="s">
        <v>270</v>
      </c>
      <c r="P70" t="s">
        <v>295</v>
      </c>
      <c r="Q70" t="s">
        <v>1</v>
      </c>
      <c r="R70">
        <f t="shared" si="3"/>
        <v>10</v>
      </c>
      <c r="S70" t="e">
        <f t="shared" ca="1" si="4"/>
        <v>#N/A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e">
        <f ca="1">IF($T70&lt;=AA$4,INDEX(TypicalCriticalitiesMAHBarrier23[Typical Components],MATCH($T70,TypicalCriticalitiesMAHBarrier23[Column2],0)),"")</f>
        <v>#N/A</v>
      </c>
      <c r="W70" t="e">
        <f ca="1">IF($T70&lt;=AA$4,INDEX(TypicalCriticalitiesMAHBarrier23[Typical Criticality],MATCH($T70,TypicalCriticalitiesMAHBarrier23[Column2],0)),"")</f>
        <v>#N/A</v>
      </c>
      <c r="AE70" s="44"/>
      <c r="AF70" s="44"/>
      <c r="AG70" s="44"/>
      <c r="AH70" s="44"/>
      <c r="AI70" s="44"/>
      <c r="AJ70" s="44"/>
    </row>
    <row r="71" spans="14:36" x14ac:dyDescent="0.25">
      <c r="N71" t="s">
        <v>269</v>
      </c>
      <c r="O71" t="s">
        <v>270</v>
      </c>
      <c r="P71" t="s">
        <v>296</v>
      </c>
      <c r="Q71" t="s">
        <v>0</v>
      </c>
      <c r="R71">
        <f t="shared" si="3"/>
        <v>10</v>
      </c>
      <c r="S71" t="e">
        <f t="shared" ca="1" si="4"/>
        <v>#N/A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e">
        <f ca="1">IF($T71&lt;=AA$4,INDEX(TypicalCriticalitiesMAHBarrier23[Typical Components],MATCH($T71,TypicalCriticalitiesMAHBarrier23[Column2],0)),"")</f>
        <v>#N/A</v>
      </c>
      <c r="W71" t="e">
        <f ca="1">IF($T71&lt;=AA$4,INDEX(TypicalCriticalitiesMAHBarrier23[Typical Criticality],MATCH($T71,TypicalCriticalitiesMAHBarrier23[Column2],0)),"")</f>
        <v>#N/A</v>
      </c>
      <c r="AE71" s="44"/>
      <c r="AF71" s="44"/>
      <c r="AG71" s="44"/>
      <c r="AH71" s="44"/>
      <c r="AI71" s="44"/>
      <c r="AJ71" s="44"/>
    </row>
    <row r="72" spans="14:36" x14ac:dyDescent="0.25">
      <c r="N72" t="s">
        <v>269</v>
      </c>
      <c r="O72" t="s">
        <v>270</v>
      </c>
      <c r="P72" t="s">
        <v>297</v>
      </c>
      <c r="Q72" t="s">
        <v>1</v>
      </c>
      <c r="R72">
        <f t="shared" si="3"/>
        <v>10</v>
      </c>
      <c r="S72" t="e">
        <f t="shared" ca="1" si="4"/>
        <v>#N/A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e">
        <f ca="1">IF($T72&lt;=AA$4,INDEX(TypicalCriticalitiesMAHBarrier23[Typical Components],MATCH($T72,TypicalCriticalitiesMAHBarrier23[Column2],0)),"")</f>
        <v>#N/A</v>
      </c>
      <c r="W72" t="e">
        <f ca="1">IF($T72&lt;=AA$4,INDEX(TypicalCriticalitiesMAHBarrier23[Typical Criticality],MATCH($T72,TypicalCriticalitiesMAHBarrier23[Column2],0)),"")</f>
        <v>#N/A</v>
      </c>
      <c r="AE72" s="44"/>
      <c r="AF72" s="44"/>
      <c r="AG72" s="44"/>
      <c r="AH72" s="44"/>
      <c r="AI72" s="44"/>
      <c r="AJ72" s="44"/>
    </row>
    <row r="73" spans="14:36" x14ac:dyDescent="0.25">
      <c r="N73" t="s">
        <v>269</v>
      </c>
      <c r="O73" t="s">
        <v>270</v>
      </c>
      <c r="P73" t="s">
        <v>298</v>
      </c>
      <c r="Q73" t="s">
        <v>1</v>
      </c>
      <c r="R73">
        <f t="shared" si="3"/>
        <v>10</v>
      </c>
      <c r="S73" t="e">
        <f t="shared" ca="1" si="4"/>
        <v>#N/A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e">
        <f ca="1">IF($T73&lt;=AA$4,INDEX(TypicalCriticalitiesMAHBarrier23[Typical Components],MATCH($T73,TypicalCriticalitiesMAHBarrier23[Column2],0)),"")</f>
        <v>#N/A</v>
      </c>
      <c r="W73" t="e">
        <f ca="1">IF($T73&lt;=AA$4,INDEX(TypicalCriticalitiesMAHBarrier23[Typical Criticality],MATCH($T73,TypicalCriticalitiesMAHBarrier23[Column2],0)),"")</f>
        <v>#N/A</v>
      </c>
      <c r="AE73" s="44"/>
      <c r="AF73" s="44"/>
      <c r="AG73" s="44"/>
      <c r="AH73" s="44"/>
      <c r="AI73" s="44"/>
      <c r="AJ73" s="44"/>
    </row>
    <row r="74" spans="14:36" x14ac:dyDescent="0.25">
      <c r="N74" t="s">
        <v>269</v>
      </c>
      <c r="O74" t="s">
        <v>270</v>
      </c>
      <c r="P74" t="s">
        <v>299</v>
      </c>
      <c r="Q74" t="s">
        <v>1</v>
      </c>
      <c r="R74">
        <f t="shared" si="3"/>
        <v>10</v>
      </c>
      <c r="S74" t="e">
        <f t="shared" ca="1" si="4"/>
        <v>#N/A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e">
        <f ca="1">IF($T74&lt;=AA$4,INDEX(TypicalCriticalitiesMAHBarrier23[Typical Components],MATCH($T74,TypicalCriticalitiesMAHBarrier23[Column2],0)),"")</f>
        <v>#N/A</v>
      </c>
      <c r="W74" t="e">
        <f ca="1">IF($T74&lt;=AA$4,INDEX(TypicalCriticalitiesMAHBarrier23[Typical Criticality],MATCH($T74,TypicalCriticalitiesMAHBarrier23[Column2],0)),"")</f>
        <v>#N/A</v>
      </c>
      <c r="AE74" s="44"/>
      <c r="AF74" s="44"/>
      <c r="AG74" s="44"/>
      <c r="AH74" s="44"/>
      <c r="AI74" s="44"/>
      <c r="AJ74" s="44"/>
    </row>
    <row r="75" spans="14:36" x14ac:dyDescent="0.25">
      <c r="N75" t="s">
        <v>269</v>
      </c>
      <c r="O75" t="s">
        <v>270</v>
      </c>
      <c r="P75" t="s">
        <v>300</v>
      </c>
      <c r="Q75" t="s">
        <v>0</v>
      </c>
      <c r="R75">
        <f t="shared" si="3"/>
        <v>10</v>
      </c>
      <c r="S75" t="e">
        <f t="shared" ca="1" si="4"/>
        <v>#N/A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e">
        <f ca="1">IF($T75&lt;=AA$4,INDEX(TypicalCriticalitiesMAHBarrier23[Typical Components],MATCH($T75,TypicalCriticalitiesMAHBarrier23[Column2],0)),"")</f>
        <v>#N/A</v>
      </c>
      <c r="W75" t="e">
        <f ca="1">IF($T75&lt;=AA$4,INDEX(TypicalCriticalitiesMAHBarrier23[Typical Criticality],MATCH($T75,TypicalCriticalitiesMAHBarrier23[Column2],0)),"")</f>
        <v>#N/A</v>
      </c>
      <c r="AE75" s="44"/>
      <c r="AF75" s="44"/>
      <c r="AG75" s="44"/>
      <c r="AH75" s="44"/>
      <c r="AI75" s="44"/>
      <c r="AJ75" s="44"/>
    </row>
    <row r="76" spans="14:36" x14ac:dyDescent="0.25">
      <c r="N76" t="s">
        <v>269</v>
      </c>
      <c r="O76" t="s">
        <v>270</v>
      </c>
      <c r="P76" t="s">
        <v>301</v>
      </c>
      <c r="Q76" t="s">
        <v>1</v>
      </c>
      <c r="R76">
        <f t="shared" si="3"/>
        <v>10</v>
      </c>
      <c r="S76" t="e">
        <f t="shared" ca="1" si="4"/>
        <v>#N/A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e">
        <f ca="1">IF($T76&lt;=AA$4,INDEX(TypicalCriticalitiesMAHBarrier23[Typical Components],MATCH($T76,TypicalCriticalitiesMAHBarrier23[Column2],0)),"")</f>
        <v>#N/A</v>
      </c>
      <c r="W76" t="e">
        <f ca="1">IF($T76&lt;=AA$4,INDEX(TypicalCriticalitiesMAHBarrier23[Typical Criticality],MATCH($T76,TypicalCriticalitiesMAHBarrier23[Column2],0)),"")</f>
        <v>#N/A</v>
      </c>
      <c r="AE76" s="44"/>
      <c r="AF76" s="44"/>
      <c r="AG76" s="44"/>
      <c r="AH76" s="44"/>
      <c r="AI76" s="44"/>
      <c r="AJ76" s="44"/>
    </row>
    <row r="77" spans="14:36" x14ac:dyDescent="0.25">
      <c r="N77" t="s">
        <v>269</v>
      </c>
      <c r="O77" t="s">
        <v>270</v>
      </c>
      <c r="P77" t="s">
        <v>302</v>
      </c>
      <c r="Q77" t="s">
        <v>0</v>
      </c>
      <c r="R77">
        <f t="shared" si="3"/>
        <v>10</v>
      </c>
      <c r="S77" t="e">
        <f t="shared" ca="1" si="4"/>
        <v>#N/A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e">
        <f ca="1">IF($T77&lt;=AA$4,INDEX(TypicalCriticalitiesMAHBarrier23[Typical Components],MATCH($T77,TypicalCriticalitiesMAHBarrier23[Column2],0)),"")</f>
        <v>#N/A</v>
      </c>
      <c r="W77" t="e">
        <f ca="1">IF($T77&lt;=AA$4,INDEX(TypicalCriticalitiesMAHBarrier23[Typical Criticality],MATCH($T77,TypicalCriticalitiesMAHBarrier23[Column2],0)),"")</f>
        <v>#N/A</v>
      </c>
      <c r="AE77" s="44"/>
      <c r="AF77" s="44"/>
      <c r="AG77" s="44"/>
      <c r="AH77" s="44"/>
      <c r="AI77" s="44"/>
      <c r="AJ77" s="44"/>
    </row>
    <row r="78" spans="14:36" x14ac:dyDescent="0.25">
      <c r="N78" t="s">
        <v>269</v>
      </c>
      <c r="O78" t="s">
        <v>270</v>
      </c>
      <c r="P78" t="s">
        <v>303</v>
      </c>
      <c r="Q78" t="s">
        <v>0</v>
      </c>
      <c r="R78">
        <f t="shared" si="3"/>
        <v>10</v>
      </c>
      <c r="S78" t="e">
        <f t="shared" ca="1" si="4"/>
        <v>#N/A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e">
        <f ca="1">IF($T78&lt;=AA$4,INDEX(TypicalCriticalitiesMAHBarrier23[Typical Components],MATCH($T78,TypicalCriticalitiesMAHBarrier23[Column2],0)),"")</f>
        <v>#N/A</v>
      </c>
      <c r="W78" t="e">
        <f ca="1">IF($T78&lt;=AA$4,INDEX(TypicalCriticalitiesMAHBarrier23[Typical Criticality],MATCH($T78,TypicalCriticalitiesMAHBarrier23[Column2],0)),"")</f>
        <v>#N/A</v>
      </c>
      <c r="AE78" s="44"/>
      <c r="AF78" s="44"/>
      <c r="AG78" s="44"/>
      <c r="AH78" s="44"/>
      <c r="AI78" s="44"/>
      <c r="AJ78" s="44"/>
    </row>
    <row r="79" spans="14:36" x14ac:dyDescent="0.25">
      <c r="N79" t="s">
        <v>269</v>
      </c>
      <c r="O79" t="s">
        <v>270</v>
      </c>
      <c r="P79" t="s">
        <v>304</v>
      </c>
      <c r="Q79" t="s">
        <v>1</v>
      </c>
      <c r="R79">
        <f t="shared" si="3"/>
        <v>10</v>
      </c>
      <c r="S79" t="e">
        <f t="shared" ca="1" si="4"/>
        <v>#N/A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e">
        <f ca="1">IF($T79&lt;=AA$4,INDEX(TypicalCriticalitiesMAHBarrier23[Typical Components],MATCH($T79,TypicalCriticalitiesMAHBarrier23[Column2],0)),"")</f>
        <v>#N/A</v>
      </c>
      <c r="W79" t="e">
        <f ca="1">IF($T79&lt;=AA$4,INDEX(TypicalCriticalitiesMAHBarrier23[Typical Criticality],MATCH($T79,TypicalCriticalitiesMAHBarrier23[Column2],0)),"")</f>
        <v>#N/A</v>
      </c>
      <c r="AE79" s="44"/>
      <c r="AF79" s="44"/>
      <c r="AG79" s="44"/>
      <c r="AH79" s="44"/>
      <c r="AI79" s="44"/>
      <c r="AJ79" s="44"/>
    </row>
    <row r="80" spans="14:36" x14ac:dyDescent="0.25">
      <c r="N80" t="s">
        <v>269</v>
      </c>
      <c r="O80" t="s">
        <v>270</v>
      </c>
      <c r="P80" t="s">
        <v>305</v>
      </c>
      <c r="Q80" t="s">
        <v>1</v>
      </c>
      <c r="R80">
        <f t="shared" si="3"/>
        <v>10</v>
      </c>
      <c r="S80" t="e">
        <f t="shared" ca="1" si="4"/>
        <v>#N/A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e">
        <f ca="1">IF($T80&lt;=AA$4,INDEX(TypicalCriticalitiesMAHBarrier23[Typical Components],MATCH($T80,TypicalCriticalitiesMAHBarrier23[Column2],0)),"")</f>
        <v>#N/A</v>
      </c>
      <c r="W80" t="e">
        <f ca="1">IF($T80&lt;=AA$4,INDEX(TypicalCriticalitiesMAHBarrier23[Typical Criticality],MATCH($T80,TypicalCriticalitiesMAHBarrier23[Column2],0)),"")</f>
        <v>#N/A</v>
      </c>
      <c r="AE80" s="44"/>
      <c r="AF80" s="44"/>
      <c r="AG80" s="44"/>
      <c r="AH80" s="44"/>
      <c r="AI80" s="44"/>
      <c r="AJ80" s="44"/>
    </row>
    <row r="81" spans="14:36" x14ac:dyDescent="0.25">
      <c r="N81" t="s">
        <v>269</v>
      </c>
      <c r="O81" t="s">
        <v>270</v>
      </c>
      <c r="P81" t="s">
        <v>306</v>
      </c>
      <c r="Q81" t="s">
        <v>1</v>
      </c>
      <c r="R81">
        <f t="shared" si="3"/>
        <v>10</v>
      </c>
      <c r="S81" t="e">
        <f t="shared" ca="1" si="4"/>
        <v>#N/A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e">
        <f ca="1">IF($T81&lt;=AA$4,INDEX(TypicalCriticalitiesMAHBarrier23[Typical Components],MATCH($T81,TypicalCriticalitiesMAHBarrier23[Column2],0)),"")</f>
        <v>#N/A</v>
      </c>
      <c r="W81" t="e">
        <f ca="1">IF($T81&lt;=AA$4,INDEX(TypicalCriticalitiesMAHBarrier23[Typical Criticality],MATCH($T81,TypicalCriticalitiesMAHBarrier23[Column2],0)),"")</f>
        <v>#N/A</v>
      </c>
      <c r="AE81" s="44"/>
      <c r="AF81" s="44"/>
      <c r="AG81" s="44"/>
      <c r="AH81" s="44"/>
      <c r="AI81" s="44"/>
      <c r="AJ81" s="44"/>
    </row>
    <row r="82" spans="14:36" x14ac:dyDescent="0.25">
      <c r="N82" t="s">
        <v>269</v>
      </c>
      <c r="O82" t="s">
        <v>270</v>
      </c>
      <c r="P82" t="s">
        <v>307</v>
      </c>
      <c r="Q82" t="s">
        <v>0</v>
      </c>
      <c r="R82">
        <f t="shared" si="3"/>
        <v>10</v>
      </c>
      <c r="S82" t="e">
        <f t="shared" ca="1" si="4"/>
        <v>#N/A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e">
        <f ca="1">IF($T82&lt;=AA$4,INDEX(TypicalCriticalitiesMAHBarrier23[Typical Components],MATCH($T82,TypicalCriticalitiesMAHBarrier23[Column2],0)),"")</f>
        <v>#N/A</v>
      </c>
      <c r="W82" t="e">
        <f ca="1">IF($T82&lt;=AA$4,INDEX(TypicalCriticalitiesMAHBarrier23[Typical Criticality],MATCH($T82,TypicalCriticalitiesMAHBarrier23[Column2],0)),"")</f>
        <v>#N/A</v>
      </c>
      <c r="AE82" s="44"/>
      <c r="AF82" s="44"/>
      <c r="AG82" s="44"/>
      <c r="AH82" s="44"/>
      <c r="AI82" s="44"/>
      <c r="AJ82" s="44"/>
    </row>
    <row r="83" spans="14:36" x14ac:dyDescent="0.25">
      <c r="N83" t="s">
        <v>269</v>
      </c>
      <c r="O83" t="s">
        <v>270</v>
      </c>
      <c r="P83" t="s">
        <v>308</v>
      </c>
      <c r="Q83" t="s">
        <v>1</v>
      </c>
      <c r="R83">
        <f t="shared" si="3"/>
        <v>10</v>
      </c>
      <c r="S83" t="e">
        <f t="shared" ca="1" si="4"/>
        <v>#N/A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e">
        <f ca="1">IF($T83&lt;=AA$4,INDEX(TypicalCriticalitiesMAHBarrier23[Typical Components],MATCH($T83,TypicalCriticalitiesMAHBarrier23[Column2],0)),"")</f>
        <v>#N/A</v>
      </c>
      <c r="W83" t="e">
        <f ca="1">IF($T83&lt;=AA$4,INDEX(TypicalCriticalitiesMAHBarrier23[Typical Criticality],MATCH($T83,TypicalCriticalitiesMAHBarrier23[Column2],0)),"")</f>
        <v>#N/A</v>
      </c>
      <c r="AE83" s="44"/>
      <c r="AF83" s="44"/>
      <c r="AG83" s="44"/>
      <c r="AH83" s="44"/>
      <c r="AI83" s="44"/>
      <c r="AJ83" s="44"/>
    </row>
    <row r="84" spans="14:36" x14ac:dyDescent="0.25">
      <c r="N84" t="s">
        <v>269</v>
      </c>
      <c r="O84" t="s">
        <v>270</v>
      </c>
      <c r="P84" t="s">
        <v>309</v>
      </c>
      <c r="Q84" t="s">
        <v>0</v>
      </c>
      <c r="R84">
        <f t="shared" si="3"/>
        <v>10</v>
      </c>
      <c r="S84" t="e">
        <f t="shared" ca="1" si="4"/>
        <v>#N/A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e">
        <f ca="1">IF($T84&lt;=AA$4,INDEX(TypicalCriticalitiesMAHBarrier23[Typical Components],MATCH($T84,TypicalCriticalitiesMAHBarrier23[Column2],0)),"")</f>
        <v>#N/A</v>
      </c>
      <c r="W84" t="e">
        <f ca="1">IF($T84&lt;=AA$4,INDEX(TypicalCriticalitiesMAHBarrier23[Typical Criticality],MATCH($T84,TypicalCriticalitiesMAHBarrier23[Column2],0)),"")</f>
        <v>#N/A</v>
      </c>
      <c r="AE84" s="44"/>
      <c r="AF84" s="44"/>
      <c r="AG84" s="44"/>
      <c r="AH84" s="44"/>
      <c r="AI84" s="44"/>
      <c r="AJ84" s="44"/>
    </row>
    <row r="85" spans="14:36" x14ac:dyDescent="0.25">
      <c r="N85" t="s">
        <v>269</v>
      </c>
      <c r="O85" t="s">
        <v>270</v>
      </c>
      <c r="P85" t="s">
        <v>310</v>
      </c>
      <c r="Q85" t="s">
        <v>1</v>
      </c>
      <c r="R85">
        <f t="shared" si="3"/>
        <v>10</v>
      </c>
      <c r="S85" t="e">
        <f t="shared" ca="1" si="4"/>
        <v>#N/A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e">
        <f ca="1">IF($T85&lt;=AA$4,INDEX(TypicalCriticalitiesMAHBarrier23[Typical Components],MATCH($T85,TypicalCriticalitiesMAHBarrier23[Column2],0)),"")</f>
        <v>#N/A</v>
      </c>
      <c r="W85" t="e">
        <f ca="1">IF($T85&lt;=AA$4,INDEX(TypicalCriticalitiesMAHBarrier23[Typical Criticality],MATCH($T85,TypicalCriticalitiesMAHBarrier23[Column2],0)),"")</f>
        <v>#N/A</v>
      </c>
      <c r="AE85" s="44"/>
      <c r="AF85" s="44"/>
      <c r="AG85" s="44"/>
      <c r="AH85" s="44"/>
      <c r="AI85" s="44"/>
      <c r="AJ85" s="44"/>
    </row>
    <row r="86" spans="14:36" x14ac:dyDescent="0.25">
      <c r="N86" t="s">
        <v>269</v>
      </c>
      <c r="O86" t="s">
        <v>270</v>
      </c>
      <c r="P86" t="s">
        <v>311</v>
      </c>
      <c r="Q86" t="s">
        <v>1</v>
      </c>
      <c r="R86">
        <f t="shared" si="3"/>
        <v>10</v>
      </c>
      <c r="S86" t="e">
        <f t="shared" ca="1" si="4"/>
        <v>#N/A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e">
        <f ca="1">IF($T86&lt;=AA$4,INDEX(TypicalCriticalitiesMAHBarrier23[Typical Components],MATCH($T86,TypicalCriticalitiesMAHBarrier23[Column2],0)),"")</f>
        <v>#N/A</v>
      </c>
      <c r="W86" t="e">
        <f ca="1">IF($T86&lt;=AA$4,INDEX(TypicalCriticalitiesMAHBarrier23[Typical Criticality],MATCH($T86,TypicalCriticalitiesMAHBarrier23[Column2],0)),"")</f>
        <v>#N/A</v>
      </c>
      <c r="AE86" s="44"/>
      <c r="AF86" s="44"/>
      <c r="AG86" s="44"/>
      <c r="AH86" s="44"/>
      <c r="AI86" s="44"/>
      <c r="AJ86" s="44"/>
    </row>
    <row r="87" spans="14:36" x14ac:dyDescent="0.25">
      <c r="N87" t="s">
        <v>269</v>
      </c>
      <c r="O87" t="s">
        <v>270</v>
      </c>
      <c r="P87" t="s">
        <v>312</v>
      </c>
      <c r="Q87" t="s">
        <v>1</v>
      </c>
      <c r="R87">
        <f t="shared" si="3"/>
        <v>10</v>
      </c>
      <c r="S87" t="e">
        <f t="shared" ca="1" si="4"/>
        <v>#N/A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e">
        <f ca="1">IF($T87&lt;=AA$4,INDEX(TypicalCriticalitiesMAHBarrier23[Typical Components],MATCH($T87,TypicalCriticalitiesMAHBarrier23[Column2],0)),"")</f>
        <v>#N/A</v>
      </c>
      <c r="W87" t="e">
        <f ca="1">IF($T87&lt;=AA$4,INDEX(TypicalCriticalitiesMAHBarrier23[Typical Criticality],MATCH($T87,TypicalCriticalitiesMAHBarrier23[Column2],0)),"")</f>
        <v>#N/A</v>
      </c>
      <c r="AE87" s="44"/>
      <c r="AF87" s="44"/>
      <c r="AG87" s="44"/>
      <c r="AH87" s="44"/>
      <c r="AI87" s="44"/>
      <c r="AJ87" s="44"/>
    </row>
    <row r="88" spans="14:36" x14ac:dyDescent="0.25">
      <c r="N88" t="s">
        <v>269</v>
      </c>
      <c r="O88" t="s">
        <v>270</v>
      </c>
      <c r="P88" t="s">
        <v>313</v>
      </c>
      <c r="Q88" t="s">
        <v>0</v>
      </c>
      <c r="R88">
        <f t="shared" si="3"/>
        <v>10</v>
      </c>
      <c r="S88" t="e">
        <f t="shared" ca="1" si="4"/>
        <v>#N/A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e">
        <f ca="1">IF($T88&lt;=AA$4,INDEX(TypicalCriticalitiesMAHBarrier23[Typical Components],MATCH($T88,TypicalCriticalitiesMAHBarrier23[Column2],0)),"")</f>
        <v>#N/A</v>
      </c>
      <c r="W88" t="e">
        <f ca="1">IF($T88&lt;=AA$4,INDEX(TypicalCriticalitiesMAHBarrier23[Typical Criticality],MATCH($T88,TypicalCriticalitiesMAHBarrier23[Column2],0)),"")</f>
        <v>#N/A</v>
      </c>
      <c r="AE88" s="44"/>
      <c r="AF88" s="44"/>
      <c r="AG88" s="44"/>
      <c r="AH88" s="44"/>
      <c r="AI88" s="44"/>
      <c r="AJ88" s="44"/>
    </row>
    <row r="89" spans="14:36" x14ac:dyDescent="0.25">
      <c r="N89" t="s">
        <v>269</v>
      </c>
      <c r="O89" t="s">
        <v>270</v>
      </c>
      <c r="P89" t="s">
        <v>314</v>
      </c>
      <c r="Q89" t="s">
        <v>0</v>
      </c>
      <c r="R89">
        <f t="shared" si="3"/>
        <v>10</v>
      </c>
      <c r="S89" t="e">
        <f t="shared" ca="1" si="4"/>
        <v>#N/A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e">
        <f ca="1">IF($T89&lt;=AA$4,INDEX(TypicalCriticalitiesMAHBarrier23[Typical Components],MATCH($T89,TypicalCriticalitiesMAHBarrier23[Column2],0)),"")</f>
        <v>#N/A</v>
      </c>
      <c r="W89" t="e">
        <f ca="1">IF($T89&lt;=AA$4,INDEX(TypicalCriticalitiesMAHBarrier23[Typical Criticality],MATCH($T89,TypicalCriticalitiesMAHBarrier23[Column2],0)),"")</f>
        <v>#N/A</v>
      </c>
      <c r="AE89" s="44"/>
      <c r="AF89" s="44"/>
      <c r="AG89" s="44"/>
      <c r="AH89" s="44"/>
      <c r="AI89" s="44"/>
      <c r="AJ89" s="44"/>
    </row>
    <row r="90" spans="14:36" x14ac:dyDescent="0.25">
      <c r="N90" t="s">
        <v>269</v>
      </c>
      <c r="O90" t="s">
        <v>270</v>
      </c>
      <c r="P90" t="s">
        <v>315</v>
      </c>
      <c r="Q90" t="s">
        <v>0</v>
      </c>
      <c r="R90">
        <f t="shared" si="3"/>
        <v>10</v>
      </c>
      <c r="S90" t="e">
        <f t="shared" ca="1" si="4"/>
        <v>#N/A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e">
        <f ca="1">IF($T90&lt;=AA$4,INDEX(TypicalCriticalitiesMAHBarrier23[Typical Components],MATCH($T90,TypicalCriticalitiesMAHBarrier23[Column2],0)),"")</f>
        <v>#N/A</v>
      </c>
      <c r="W90" t="e">
        <f ca="1">IF($T90&lt;=AA$4,INDEX(TypicalCriticalitiesMAHBarrier23[Typical Criticality],MATCH($T90,TypicalCriticalitiesMAHBarrier23[Column2],0)),"")</f>
        <v>#N/A</v>
      </c>
      <c r="AE90" s="44"/>
      <c r="AF90" s="44"/>
      <c r="AG90" s="44"/>
      <c r="AH90" s="44"/>
      <c r="AI90" s="44"/>
      <c r="AJ90" s="44"/>
    </row>
    <row r="91" spans="14:36" x14ac:dyDescent="0.25">
      <c r="N91" t="s">
        <v>269</v>
      </c>
      <c r="O91" t="s">
        <v>270</v>
      </c>
      <c r="P91" t="s">
        <v>316</v>
      </c>
      <c r="Q91" t="s">
        <v>1</v>
      </c>
      <c r="R91">
        <f t="shared" si="3"/>
        <v>10</v>
      </c>
      <c r="S91" t="e">
        <f t="shared" ca="1" si="4"/>
        <v>#N/A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e">
        <f ca="1">IF($T91&lt;=AA$4,INDEX(TypicalCriticalitiesMAHBarrier23[Typical Components],MATCH($T91,TypicalCriticalitiesMAHBarrier23[Column2],0)),"")</f>
        <v>#N/A</v>
      </c>
      <c r="W91" t="e">
        <f ca="1">IF($T91&lt;=AA$4,INDEX(TypicalCriticalitiesMAHBarrier23[Typical Criticality],MATCH($T91,TypicalCriticalitiesMAHBarrier23[Column2],0)),"")</f>
        <v>#N/A</v>
      </c>
      <c r="AE91" s="44"/>
      <c r="AF91" s="44"/>
      <c r="AG91" s="44"/>
      <c r="AH91" s="44"/>
      <c r="AI91" s="44"/>
      <c r="AJ91" s="44"/>
    </row>
    <row r="92" spans="14:36" x14ac:dyDescent="0.25">
      <c r="N92" t="s">
        <v>269</v>
      </c>
      <c r="O92" t="s">
        <v>270</v>
      </c>
      <c r="P92" t="s">
        <v>317</v>
      </c>
      <c r="Q92" t="s">
        <v>0</v>
      </c>
      <c r="R92">
        <f t="shared" si="3"/>
        <v>10</v>
      </c>
      <c r="S92" t="e">
        <f t="shared" ca="1" si="4"/>
        <v>#N/A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e">
        <f ca="1">IF($T92&lt;=AA$4,INDEX(TypicalCriticalitiesMAHBarrier23[Typical Components],MATCH($T92,TypicalCriticalitiesMAHBarrier23[Column2],0)),"")</f>
        <v>#N/A</v>
      </c>
      <c r="W92" t="e">
        <f ca="1">IF($T92&lt;=AA$4,INDEX(TypicalCriticalitiesMAHBarrier23[Typical Criticality],MATCH($T92,TypicalCriticalitiesMAHBarrier23[Column2],0)),"")</f>
        <v>#N/A</v>
      </c>
      <c r="AE92" s="44"/>
      <c r="AF92" s="44"/>
      <c r="AG92" s="44"/>
      <c r="AH92" s="44"/>
      <c r="AI92" s="44"/>
      <c r="AJ92" s="44"/>
    </row>
    <row r="93" spans="14:36" x14ac:dyDescent="0.25">
      <c r="N93" t="s">
        <v>269</v>
      </c>
      <c r="O93" t="s">
        <v>270</v>
      </c>
      <c r="P93" t="s">
        <v>318</v>
      </c>
      <c r="Q93" t="s">
        <v>0</v>
      </c>
      <c r="R93">
        <f t="shared" si="3"/>
        <v>10</v>
      </c>
      <c r="S93" t="e">
        <f t="shared" ca="1" si="4"/>
        <v>#N/A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e">
        <f ca="1">IF($T93&lt;=AA$4,INDEX(TypicalCriticalitiesMAHBarrier23[Typical Components],MATCH($T93,TypicalCriticalitiesMAHBarrier23[Column2],0)),"")</f>
        <v>#N/A</v>
      </c>
      <c r="W93" t="e">
        <f ca="1">IF($T93&lt;=AA$4,INDEX(TypicalCriticalitiesMAHBarrier23[Typical Criticality],MATCH($T93,TypicalCriticalitiesMAHBarrier23[Column2],0)),"")</f>
        <v>#N/A</v>
      </c>
      <c r="AE93" s="44"/>
      <c r="AF93" s="44"/>
      <c r="AG93" s="44"/>
      <c r="AH93" s="44"/>
      <c r="AI93" s="44"/>
      <c r="AJ93" s="44"/>
    </row>
    <row r="94" spans="14:36" x14ac:dyDescent="0.25">
      <c r="N94" t="s">
        <v>269</v>
      </c>
      <c r="O94" t="s">
        <v>270</v>
      </c>
      <c r="P94" t="s">
        <v>319</v>
      </c>
      <c r="Q94" t="s">
        <v>1</v>
      </c>
      <c r="R94">
        <f t="shared" si="3"/>
        <v>10</v>
      </c>
      <c r="S94" t="e">
        <f t="shared" ca="1" si="4"/>
        <v>#N/A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e">
        <f ca="1">IF($T94&lt;=AA$4,INDEX(TypicalCriticalitiesMAHBarrier23[Typical Components],MATCH($T94,TypicalCriticalitiesMAHBarrier23[Column2],0)),"")</f>
        <v>#N/A</v>
      </c>
      <c r="W94" t="e">
        <f ca="1">IF($T94&lt;=AA$4,INDEX(TypicalCriticalitiesMAHBarrier23[Typical Criticality],MATCH($T94,TypicalCriticalitiesMAHBarrier23[Column2],0)),"")</f>
        <v>#N/A</v>
      </c>
      <c r="AE94" s="44"/>
      <c r="AF94" s="44"/>
      <c r="AG94" s="44"/>
      <c r="AH94" s="44"/>
      <c r="AI94" s="44"/>
      <c r="AJ94" s="44"/>
    </row>
    <row r="95" spans="14:36" x14ac:dyDescent="0.25">
      <c r="N95" t="s">
        <v>269</v>
      </c>
      <c r="O95" t="s">
        <v>270</v>
      </c>
      <c r="P95" t="s">
        <v>320</v>
      </c>
      <c r="Q95" t="s">
        <v>0</v>
      </c>
      <c r="R95">
        <f t="shared" si="3"/>
        <v>10</v>
      </c>
      <c r="S95" t="e">
        <f t="shared" ca="1" si="4"/>
        <v>#N/A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e">
        <f ca="1">IF($T95&lt;=AA$4,INDEX(TypicalCriticalitiesMAHBarrier23[Typical Components],MATCH($T95,TypicalCriticalitiesMAHBarrier23[Column2],0)),"")</f>
        <v>#N/A</v>
      </c>
      <c r="W95" t="e">
        <f ca="1">IF($T95&lt;=AA$4,INDEX(TypicalCriticalitiesMAHBarrier23[Typical Criticality],MATCH($T95,TypicalCriticalitiesMAHBarrier23[Column2],0)),"")</f>
        <v>#N/A</v>
      </c>
      <c r="AE95" s="44"/>
      <c r="AF95" s="44"/>
      <c r="AG95" s="44"/>
      <c r="AH95" s="44"/>
      <c r="AI95" s="44"/>
      <c r="AJ95" s="44"/>
    </row>
    <row r="96" spans="14:36" x14ac:dyDescent="0.25">
      <c r="N96" t="s">
        <v>269</v>
      </c>
      <c r="O96" t="s">
        <v>270</v>
      </c>
      <c r="P96" t="s">
        <v>321</v>
      </c>
      <c r="Q96" t="s">
        <v>1</v>
      </c>
      <c r="R96">
        <f t="shared" si="3"/>
        <v>10</v>
      </c>
      <c r="S96" t="e">
        <f t="shared" ca="1" si="4"/>
        <v>#N/A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e">
        <f ca="1">IF($T96&lt;=AA$4,INDEX(TypicalCriticalitiesMAHBarrier23[Typical Components],MATCH($T96,TypicalCriticalitiesMAHBarrier23[Column2],0)),"")</f>
        <v>#N/A</v>
      </c>
      <c r="W96" t="e">
        <f ca="1">IF($T96&lt;=AA$4,INDEX(TypicalCriticalitiesMAHBarrier23[Typical Criticality],MATCH($T96,TypicalCriticalitiesMAHBarrier23[Column2],0)),"")</f>
        <v>#N/A</v>
      </c>
      <c r="AE96" s="44"/>
      <c r="AF96" s="44"/>
      <c r="AG96" s="44"/>
      <c r="AH96" s="44"/>
      <c r="AI96" s="44"/>
      <c r="AJ96" s="44"/>
    </row>
    <row r="97" spans="14:36" x14ac:dyDescent="0.25">
      <c r="N97" t="s">
        <v>269</v>
      </c>
      <c r="O97" t="s">
        <v>270</v>
      </c>
      <c r="P97" t="s">
        <v>322</v>
      </c>
      <c r="Q97" t="s">
        <v>1</v>
      </c>
      <c r="R97">
        <f t="shared" si="3"/>
        <v>10</v>
      </c>
      <c r="S97" t="e">
        <f t="shared" ca="1" si="4"/>
        <v>#N/A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e">
        <f ca="1">IF($T97&lt;=AA$4,INDEX(TypicalCriticalitiesMAHBarrier23[Typical Components],MATCH($T97,TypicalCriticalitiesMAHBarrier23[Column2],0)),"")</f>
        <v>#N/A</v>
      </c>
      <c r="W97" t="e">
        <f ca="1">IF($T97&lt;=AA$4,INDEX(TypicalCriticalitiesMAHBarrier23[Typical Criticality],MATCH($T97,TypicalCriticalitiesMAHBarrier23[Column2],0)),"")</f>
        <v>#N/A</v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323</v>
      </c>
      <c r="O98" t="s">
        <v>324</v>
      </c>
      <c r="P98" t="s">
        <v>636</v>
      </c>
      <c r="Q98" t="s">
        <v>0</v>
      </c>
      <c r="R98">
        <f t="shared" si="3"/>
        <v>11</v>
      </c>
      <c r="S98" t="e">
        <f t="shared" ca="1" si="4"/>
        <v>#N/A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e">
        <f ca="1">IF($T98&lt;=AA$4,INDEX(TypicalCriticalitiesMAHBarrier23[Typical Components],MATCH($T98,TypicalCriticalitiesMAHBarrier23[Column2],0)),"")</f>
        <v>#N/A</v>
      </c>
      <c r="W98" t="e">
        <f ca="1">IF($T98&lt;=AA$4,INDEX(TypicalCriticalitiesMAHBarrier23[Typical Criticality],MATCH($T98,TypicalCriticalitiesMAHBarrier23[Column2],0)),"")</f>
        <v>#N/A</v>
      </c>
      <c r="AE98" s="44"/>
      <c r="AF98" s="44"/>
      <c r="AG98" s="44"/>
      <c r="AH98" s="44"/>
      <c r="AI98" s="44"/>
      <c r="AJ98" s="44"/>
    </row>
    <row r="99" spans="14:36" x14ac:dyDescent="0.25">
      <c r="N99" t="s">
        <v>323</v>
      </c>
      <c r="O99" t="s">
        <v>324</v>
      </c>
      <c r="P99" t="s">
        <v>325</v>
      </c>
      <c r="Q99" t="s">
        <v>0</v>
      </c>
      <c r="R99">
        <f t="shared" si="3"/>
        <v>11</v>
      </c>
      <c r="S99" t="e">
        <f t="shared" ca="1" si="4"/>
        <v>#N/A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e">
        <f ca="1">IF($T99&lt;=AA$4,INDEX(TypicalCriticalitiesMAHBarrier23[Typical Components],MATCH($T99,TypicalCriticalitiesMAHBarrier23[Column2],0)),"")</f>
        <v>#N/A</v>
      </c>
      <c r="W99" t="e">
        <f ca="1">IF($T99&lt;=AA$4,INDEX(TypicalCriticalitiesMAHBarrier23[Typical Criticality],MATCH($T99,TypicalCriticalitiesMAHBarrier23[Column2],0)),"")</f>
        <v>#N/A</v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323</v>
      </c>
      <c r="O100" t="s">
        <v>324</v>
      </c>
      <c r="P100" t="s">
        <v>637</v>
      </c>
      <c r="Q100" t="s">
        <v>0</v>
      </c>
      <c r="R100">
        <f t="shared" si="3"/>
        <v>11</v>
      </c>
      <c r="S100" t="e">
        <f t="shared" ca="1" si="4"/>
        <v>#N/A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e">
        <f ca="1">IF($T100&lt;=AA$4,INDEX(TypicalCriticalitiesMAHBarrier23[Typical Components],MATCH($T100,TypicalCriticalitiesMAHBarrier23[Column2],0)),"")</f>
        <v>#N/A</v>
      </c>
      <c r="W100" t="e">
        <f ca="1">IF($T100&lt;=AA$4,INDEX(TypicalCriticalitiesMAHBarrier23[Typical Criticality],MATCH($T100,TypicalCriticalitiesMAHBarrier23[Column2],0)),"")</f>
        <v>#N/A</v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323</v>
      </c>
      <c r="O101" t="s">
        <v>324</v>
      </c>
      <c r="P101" t="s">
        <v>326</v>
      </c>
      <c r="Q101" t="s">
        <v>0</v>
      </c>
      <c r="R101">
        <f t="shared" si="3"/>
        <v>11</v>
      </c>
      <c r="S101" t="e">
        <f t="shared" ca="1" si="4"/>
        <v>#N/A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e">
        <f ca="1">IF($T101&lt;=AA$4,INDEX(TypicalCriticalitiesMAHBarrier23[Typical Components],MATCH($T101,TypicalCriticalitiesMAHBarrier23[Column2],0)),"")</f>
        <v>#N/A</v>
      </c>
      <c r="W101" t="e">
        <f ca="1">IF($T101&lt;=AA$4,INDEX(TypicalCriticalitiesMAHBarrier23[Typical Criticality],MATCH($T101,TypicalCriticalitiesMAHBarrier23[Column2],0)),"")</f>
        <v>#N/A</v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323</v>
      </c>
      <c r="O102" t="s">
        <v>324</v>
      </c>
      <c r="P102" t="s">
        <v>327</v>
      </c>
      <c r="Q102" t="s">
        <v>0</v>
      </c>
      <c r="R102">
        <f t="shared" si="3"/>
        <v>11</v>
      </c>
      <c r="S102" t="e">
        <f t="shared" ca="1" si="4"/>
        <v>#N/A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e">
        <f ca="1">IF($T102&lt;=AA$4,INDEX(TypicalCriticalitiesMAHBarrier23[Typical Components],MATCH($T102,TypicalCriticalitiesMAHBarrier23[Column2],0)),"")</f>
        <v>#N/A</v>
      </c>
      <c r="W102" t="e">
        <f ca="1">IF($T102&lt;=AA$4,INDEX(TypicalCriticalitiesMAHBarrier23[Typical Criticality],MATCH($T102,TypicalCriticalitiesMAHBarrier23[Column2],0)),"")</f>
        <v>#N/A</v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323</v>
      </c>
      <c r="O103" t="s">
        <v>324</v>
      </c>
      <c r="P103" t="s">
        <v>328</v>
      </c>
      <c r="Q103" t="s">
        <v>0</v>
      </c>
      <c r="R103">
        <f t="shared" si="3"/>
        <v>11</v>
      </c>
      <c r="S103" t="e">
        <f t="shared" ca="1" si="4"/>
        <v>#N/A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e">
        <f ca="1">IF($T103&lt;=AA$4,INDEX(TypicalCriticalitiesMAHBarrier23[Typical Components],MATCH($T103,TypicalCriticalitiesMAHBarrier23[Column2],0)),"")</f>
        <v>#N/A</v>
      </c>
      <c r="W103" t="e">
        <f ca="1">IF($T103&lt;=AA$4,INDEX(TypicalCriticalitiesMAHBarrier23[Typical Criticality],MATCH($T103,TypicalCriticalitiesMAHBarrier23[Column2],0)),"")</f>
        <v>#N/A</v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323</v>
      </c>
      <c r="O104" t="s">
        <v>324</v>
      </c>
      <c r="P104" t="s">
        <v>329</v>
      </c>
      <c r="Q104" t="s">
        <v>0</v>
      </c>
      <c r="R104">
        <f t="shared" si="3"/>
        <v>11</v>
      </c>
      <c r="S104" t="e">
        <f t="shared" ca="1" si="4"/>
        <v>#N/A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e">
        <f ca="1">IF($T104&lt;=AA$4,INDEX(TypicalCriticalitiesMAHBarrier23[Typical Components],MATCH($T104,TypicalCriticalitiesMAHBarrier23[Column2],0)),"")</f>
        <v>#N/A</v>
      </c>
      <c r="W104" t="e">
        <f ca="1">IF($T104&lt;=AA$4,INDEX(TypicalCriticalitiesMAHBarrier23[Typical Criticality],MATCH($T104,TypicalCriticalitiesMAHBarrier23[Column2],0)),"")</f>
        <v>#N/A</v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323</v>
      </c>
      <c r="O105" t="s">
        <v>324</v>
      </c>
      <c r="P105" t="s">
        <v>330</v>
      </c>
      <c r="Q105" t="s">
        <v>2</v>
      </c>
      <c r="R105">
        <f t="shared" si="3"/>
        <v>11</v>
      </c>
      <c r="S105" t="e">
        <f t="shared" ca="1" si="4"/>
        <v>#N/A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e">
        <f ca="1">IF($T105&lt;=AA$4,INDEX(TypicalCriticalitiesMAHBarrier23[Typical Components],MATCH($T105,TypicalCriticalitiesMAHBarrier23[Column2],0)),"")</f>
        <v>#N/A</v>
      </c>
      <c r="W105" t="e">
        <f ca="1">IF($T105&lt;=AA$4,INDEX(TypicalCriticalitiesMAHBarrier23[Typical Criticality],MATCH($T105,TypicalCriticalitiesMAHBarrier23[Column2],0)),"")</f>
        <v>#N/A</v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323</v>
      </c>
      <c r="O106" t="s">
        <v>324</v>
      </c>
      <c r="P106" t="s">
        <v>331</v>
      </c>
      <c r="Q106" t="s">
        <v>0</v>
      </c>
      <c r="R106">
        <f t="shared" si="3"/>
        <v>11</v>
      </c>
      <c r="S106" t="e">
        <f t="shared" ca="1" si="4"/>
        <v>#N/A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e">
        <f ca="1">IF($T106&lt;=AA$4,INDEX(TypicalCriticalitiesMAHBarrier23[Typical Components],MATCH($T106,TypicalCriticalitiesMAHBarrier23[Column2],0)),"")</f>
        <v>#N/A</v>
      </c>
      <c r="W106" t="e">
        <f ca="1">IF($T106&lt;=AA$4,INDEX(TypicalCriticalitiesMAHBarrier23[Typical Criticality],MATCH($T106,TypicalCriticalitiesMAHBarrier23[Column2],0)),"")</f>
        <v>#N/A</v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323</v>
      </c>
      <c r="O107" t="s">
        <v>324</v>
      </c>
      <c r="P107" t="s">
        <v>332</v>
      </c>
      <c r="Q107" t="s">
        <v>0</v>
      </c>
      <c r="R107">
        <f t="shared" si="3"/>
        <v>11</v>
      </c>
      <c r="S107" t="e">
        <f t="shared" ca="1" si="4"/>
        <v>#N/A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e">
        <f ca="1">IF($T107&lt;=AA$4,INDEX(TypicalCriticalitiesMAHBarrier23[Typical Components],MATCH($T107,TypicalCriticalitiesMAHBarrier23[Column2],0)),"")</f>
        <v>#N/A</v>
      </c>
      <c r="W107" t="e">
        <f ca="1">IF($T107&lt;=AA$4,INDEX(TypicalCriticalitiesMAHBarrier23[Typical Criticality],MATCH($T107,TypicalCriticalitiesMAHBarrier23[Column2],0)),"")</f>
        <v>#N/A</v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323</v>
      </c>
      <c r="O108" t="s">
        <v>324</v>
      </c>
      <c r="P108" t="s">
        <v>333</v>
      </c>
      <c r="Q108" t="s">
        <v>0</v>
      </c>
      <c r="R108">
        <f t="shared" si="3"/>
        <v>11</v>
      </c>
      <c r="S108" t="e">
        <f t="shared" ca="1" si="4"/>
        <v>#N/A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e">
        <f ca="1">IF($T108&lt;=AA$4,INDEX(TypicalCriticalitiesMAHBarrier23[Typical Components],MATCH($T108,TypicalCriticalitiesMAHBarrier23[Column2],0)),"")</f>
        <v>#N/A</v>
      </c>
      <c r="W108" t="e">
        <f ca="1">IF($T108&lt;=AA$4,INDEX(TypicalCriticalitiesMAHBarrier23[Typical Criticality],MATCH($T108,TypicalCriticalitiesMAHBarrier23[Column2],0)),"")</f>
        <v>#N/A</v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323</v>
      </c>
      <c r="O109" t="s">
        <v>324</v>
      </c>
      <c r="P109" t="s">
        <v>334</v>
      </c>
      <c r="Q109" t="s">
        <v>0</v>
      </c>
      <c r="R109">
        <f t="shared" si="3"/>
        <v>11</v>
      </c>
      <c r="S109" t="e">
        <f t="shared" ca="1" si="4"/>
        <v>#N/A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e">
        <f ca="1">IF($T109&lt;=AA$4,INDEX(TypicalCriticalitiesMAHBarrier23[Typical Components],MATCH($T109,TypicalCriticalitiesMAHBarrier23[Column2],0)),"")</f>
        <v>#N/A</v>
      </c>
      <c r="W109" t="e">
        <f ca="1">IF($T109&lt;=AA$4,INDEX(TypicalCriticalitiesMAHBarrier23[Typical Criticality],MATCH($T109,TypicalCriticalitiesMAHBarrier23[Column2],0)),"")</f>
        <v>#N/A</v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323</v>
      </c>
      <c r="O110" t="s">
        <v>324</v>
      </c>
      <c r="P110" t="s">
        <v>335</v>
      </c>
      <c r="Q110" t="s">
        <v>2</v>
      </c>
      <c r="R110">
        <f t="shared" si="3"/>
        <v>11</v>
      </c>
      <c r="S110" t="e">
        <f t="shared" ca="1" si="4"/>
        <v>#N/A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e">
        <f ca="1">IF($T110&lt;=AA$4,INDEX(TypicalCriticalitiesMAHBarrier23[Typical Components],MATCH($T110,TypicalCriticalitiesMAHBarrier23[Column2],0)),"")</f>
        <v>#N/A</v>
      </c>
      <c r="W110" t="e">
        <f ca="1">IF($T110&lt;=AA$4,INDEX(TypicalCriticalitiesMAHBarrier23[Typical Criticality],MATCH($T110,TypicalCriticalitiesMAHBarrier23[Column2],0)),"")</f>
        <v>#N/A</v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336</v>
      </c>
      <c r="O111" t="s">
        <v>337</v>
      </c>
      <c r="P111" t="s">
        <v>338</v>
      </c>
      <c r="Q111" t="s">
        <v>0</v>
      </c>
      <c r="R111">
        <f t="shared" si="3"/>
        <v>12</v>
      </c>
      <c r="S111" t="e">
        <f t="shared" ca="1" si="4"/>
        <v>#N/A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e">
        <f ca="1">IF($T111&lt;=AA$4,INDEX(TypicalCriticalitiesMAHBarrier23[Typical Components],MATCH($T111,TypicalCriticalitiesMAHBarrier23[Column2],0)),"")</f>
        <v>#N/A</v>
      </c>
      <c r="W111" t="e">
        <f ca="1">IF($T111&lt;=AA$4,INDEX(TypicalCriticalitiesMAHBarrier23[Typical Criticality],MATCH($T111,TypicalCriticalitiesMAHBarrier23[Column2],0)),"")</f>
        <v>#N/A</v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336</v>
      </c>
      <c r="O112" t="s">
        <v>337</v>
      </c>
      <c r="P112" t="s">
        <v>339</v>
      </c>
      <c r="Q112" t="s">
        <v>1</v>
      </c>
      <c r="R112">
        <f t="shared" si="3"/>
        <v>12</v>
      </c>
      <c r="S112" t="e">
        <f t="shared" ca="1" si="4"/>
        <v>#N/A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e">
        <f ca="1">IF($T112&lt;=AA$4,INDEX(TypicalCriticalitiesMAHBarrier23[Typical Components],MATCH($T112,TypicalCriticalitiesMAHBarrier23[Column2],0)),"")</f>
        <v>#N/A</v>
      </c>
      <c r="W112" t="e">
        <f ca="1">IF($T112&lt;=AA$4,INDEX(TypicalCriticalitiesMAHBarrier23[Typical Criticality],MATCH($T112,TypicalCriticalitiesMAHBarrier23[Column2],0)),"")</f>
        <v>#N/A</v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336</v>
      </c>
      <c r="O113" t="s">
        <v>337</v>
      </c>
      <c r="P113" t="s">
        <v>340</v>
      </c>
      <c r="Q113" t="s">
        <v>1</v>
      </c>
      <c r="R113">
        <f t="shared" si="3"/>
        <v>12</v>
      </c>
      <c r="S113" t="e">
        <f t="shared" ca="1" si="4"/>
        <v>#N/A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e">
        <f ca="1">IF($T113&lt;=AA$4,INDEX(TypicalCriticalitiesMAHBarrier23[Typical Components],MATCH($T113,TypicalCriticalitiesMAHBarrier23[Column2],0)),"")</f>
        <v>#N/A</v>
      </c>
      <c r="W113" t="e">
        <f ca="1">IF($T113&lt;=AA$4,INDEX(TypicalCriticalitiesMAHBarrier23[Typical Criticality],MATCH($T113,TypicalCriticalitiesMAHBarrier23[Column2],0)),"")</f>
        <v>#N/A</v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336</v>
      </c>
      <c r="O114" t="s">
        <v>337</v>
      </c>
      <c r="P114" t="s">
        <v>341</v>
      </c>
      <c r="Q114" t="s">
        <v>1</v>
      </c>
      <c r="R114">
        <f t="shared" si="3"/>
        <v>12</v>
      </c>
      <c r="S114" t="e">
        <f t="shared" ca="1" si="4"/>
        <v>#N/A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e">
        <f ca="1">IF($T114&lt;=AA$4,INDEX(TypicalCriticalitiesMAHBarrier23[Typical Components],MATCH($T114,TypicalCriticalitiesMAHBarrier23[Column2],0)),"")</f>
        <v>#N/A</v>
      </c>
      <c r="W114" t="e">
        <f ca="1">IF($T114&lt;=AA$4,INDEX(TypicalCriticalitiesMAHBarrier23[Typical Criticality],MATCH($T114,TypicalCriticalitiesMAHBarrier23[Column2],0)),"")</f>
        <v>#N/A</v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336</v>
      </c>
      <c r="O115" t="s">
        <v>337</v>
      </c>
      <c r="P115" t="s">
        <v>342</v>
      </c>
      <c r="Q115" t="s">
        <v>0</v>
      </c>
      <c r="R115">
        <f t="shared" si="3"/>
        <v>12</v>
      </c>
      <c r="S115" t="e">
        <f t="shared" ca="1" si="4"/>
        <v>#N/A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e">
        <f ca="1">IF($T115&lt;=AA$4,INDEX(TypicalCriticalitiesMAHBarrier23[Typical Components],MATCH($T115,TypicalCriticalitiesMAHBarrier23[Column2],0)),"")</f>
        <v>#N/A</v>
      </c>
      <c r="W115" t="e">
        <f ca="1">IF($T115&lt;=AA$4,INDEX(TypicalCriticalitiesMAHBarrier23[Typical Criticality],MATCH($T115,TypicalCriticalitiesMAHBarrier23[Column2],0)),"")</f>
        <v>#N/A</v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336</v>
      </c>
      <c r="O116" t="s">
        <v>337</v>
      </c>
      <c r="P116" t="s">
        <v>343</v>
      </c>
      <c r="Q116" t="s">
        <v>1</v>
      </c>
      <c r="R116">
        <f t="shared" si="3"/>
        <v>12</v>
      </c>
      <c r="S116" t="e">
        <f t="shared" ca="1" si="4"/>
        <v>#N/A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e">
        <f ca="1">IF($T116&lt;=AA$4,INDEX(TypicalCriticalitiesMAHBarrier23[Typical Components],MATCH($T116,TypicalCriticalitiesMAHBarrier23[Column2],0)),"")</f>
        <v>#N/A</v>
      </c>
      <c r="W116" t="e">
        <f ca="1">IF($T116&lt;=AA$4,INDEX(TypicalCriticalitiesMAHBarrier23[Typical Criticality],MATCH($T116,TypicalCriticalitiesMAHBarrier23[Column2],0)),"")</f>
        <v>#N/A</v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336</v>
      </c>
      <c r="O117" t="s">
        <v>337</v>
      </c>
      <c r="P117" t="s">
        <v>344</v>
      </c>
      <c r="Q117" t="s">
        <v>0</v>
      </c>
      <c r="R117">
        <f t="shared" si="3"/>
        <v>12</v>
      </c>
      <c r="S117" t="e">
        <f t="shared" ca="1" si="4"/>
        <v>#N/A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e">
        <f ca="1">IF($T117&lt;=AA$4,INDEX(TypicalCriticalitiesMAHBarrier23[Typical Components],MATCH($T117,TypicalCriticalitiesMAHBarrier23[Column2],0)),"")</f>
        <v>#N/A</v>
      </c>
      <c r="W117" t="e">
        <f ca="1">IF($T117&lt;=AA$4,INDEX(TypicalCriticalitiesMAHBarrier23[Typical Criticality],MATCH($T117,TypicalCriticalitiesMAHBarrier23[Column2],0)),"")</f>
        <v>#N/A</v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336</v>
      </c>
      <c r="O118" t="s">
        <v>337</v>
      </c>
      <c r="P118" t="s">
        <v>345</v>
      </c>
      <c r="Q118" t="s">
        <v>0</v>
      </c>
      <c r="R118">
        <f t="shared" si="3"/>
        <v>12</v>
      </c>
      <c r="S118" t="e">
        <f t="shared" ca="1" si="4"/>
        <v>#N/A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e">
        <f ca="1">IF($T118&lt;=AA$4,INDEX(TypicalCriticalitiesMAHBarrier23[Typical Components],MATCH($T118,TypicalCriticalitiesMAHBarrier23[Column2],0)),"")</f>
        <v>#N/A</v>
      </c>
      <c r="W118" t="e">
        <f ca="1">IF($T118&lt;=AA$4,INDEX(TypicalCriticalitiesMAHBarrier23[Typical Criticality],MATCH($T118,TypicalCriticalitiesMAHBarrier23[Column2],0)),"")</f>
        <v>#N/A</v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336</v>
      </c>
      <c r="O119" t="s">
        <v>337</v>
      </c>
      <c r="P119" t="s">
        <v>346</v>
      </c>
      <c r="Q119" t="s">
        <v>0</v>
      </c>
      <c r="R119">
        <f t="shared" si="3"/>
        <v>12</v>
      </c>
      <c r="S119" t="e">
        <f t="shared" ca="1" si="4"/>
        <v>#N/A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e">
        <f ca="1">IF($T119&lt;=AA$4,INDEX(TypicalCriticalitiesMAHBarrier23[Typical Components],MATCH($T119,TypicalCriticalitiesMAHBarrier23[Column2],0)),"")</f>
        <v>#N/A</v>
      </c>
      <c r="W119" t="e">
        <f ca="1">IF($T119&lt;=AA$4,INDEX(TypicalCriticalitiesMAHBarrier23[Typical Criticality],MATCH($T119,TypicalCriticalitiesMAHBarrier23[Column2],0)),"")</f>
        <v>#N/A</v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336</v>
      </c>
      <c r="O120" t="s">
        <v>337</v>
      </c>
      <c r="P120" t="s">
        <v>347</v>
      </c>
      <c r="Q120" t="s">
        <v>0</v>
      </c>
      <c r="R120">
        <f t="shared" si="3"/>
        <v>12</v>
      </c>
      <c r="S120" t="e">
        <f t="shared" ca="1" si="4"/>
        <v>#N/A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e">
        <f ca="1">IF($T120&lt;=AA$4,INDEX(TypicalCriticalitiesMAHBarrier23[Typical Components],MATCH($T120,TypicalCriticalitiesMAHBarrier23[Column2],0)),"")</f>
        <v>#N/A</v>
      </c>
      <c r="W120" t="e">
        <f ca="1">IF($T120&lt;=AA$4,INDEX(TypicalCriticalitiesMAHBarrier23[Typical Criticality],MATCH($T120,TypicalCriticalitiesMAHBarrier23[Column2],0)),"")</f>
        <v>#N/A</v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336</v>
      </c>
      <c r="O121" t="s">
        <v>337</v>
      </c>
      <c r="P121" t="s">
        <v>348</v>
      </c>
      <c r="Q121" t="s">
        <v>0</v>
      </c>
      <c r="R121">
        <f t="shared" si="3"/>
        <v>12</v>
      </c>
      <c r="S121" t="e">
        <f t="shared" ca="1" si="4"/>
        <v>#N/A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e">
        <f ca="1">IF($T121&lt;=AA$4,INDEX(TypicalCriticalitiesMAHBarrier23[Typical Components],MATCH($T121,TypicalCriticalitiesMAHBarrier23[Column2],0)),"")</f>
        <v>#N/A</v>
      </c>
      <c r="W121" t="e">
        <f ca="1">IF($T121&lt;=AA$4,INDEX(TypicalCriticalitiesMAHBarrier23[Typical Criticality],MATCH($T121,TypicalCriticalitiesMAHBarrier23[Column2],0)),"")</f>
        <v>#N/A</v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336</v>
      </c>
      <c r="O122" t="s">
        <v>337</v>
      </c>
      <c r="P122" t="s">
        <v>349</v>
      </c>
      <c r="Q122" t="s">
        <v>1</v>
      </c>
      <c r="R122">
        <f t="shared" si="3"/>
        <v>12</v>
      </c>
      <c r="S122" t="e">
        <f t="shared" ca="1" si="4"/>
        <v>#N/A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e">
        <f ca="1">IF($T122&lt;=AA$4,INDEX(TypicalCriticalitiesMAHBarrier23[Typical Components],MATCH($T122,TypicalCriticalitiesMAHBarrier23[Column2],0)),"")</f>
        <v>#N/A</v>
      </c>
      <c r="W122" t="e">
        <f ca="1">IF($T122&lt;=AA$4,INDEX(TypicalCriticalitiesMAHBarrier23[Typical Criticality],MATCH($T122,TypicalCriticalitiesMAHBarrier23[Column2],0)),"")</f>
        <v>#N/A</v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336</v>
      </c>
      <c r="O123" t="s">
        <v>350</v>
      </c>
      <c r="P123" t="s">
        <v>351</v>
      </c>
      <c r="Q123" t="s">
        <v>1</v>
      </c>
      <c r="R123">
        <f t="shared" si="3"/>
        <v>13</v>
      </c>
      <c r="S123" t="e">
        <f t="shared" ca="1" si="4"/>
        <v>#N/A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e">
        <f ca="1">IF($T123&lt;=AA$4,INDEX(TypicalCriticalitiesMAHBarrier23[Typical Components],MATCH($T123,TypicalCriticalitiesMAHBarrier23[Column2],0)),"")</f>
        <v>#N/A</v>
      </c>
      <c r="W123" t="e">
        <f ca="1">IF($T123&lt;=AA$4,INDEX(TypicalCriticalitiesMAHBarrier23[Typical Criticality],MATCH($T123,TypicalCriticalitiesMAHBarrier23[Column2],0)),"")</f>
        <v>#N/A</v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336</v>
      </c>
      <c r="O124" t="s">
        <v>350</v>
      </c>
      <c r="P124" t="s">
        <v>352</v>
      </c>
      <c r="Q124" t="s">
        <v>0</v>
      </c>
      <c r="R124">
        <f t="shared" si="3"/>
        <v>13</v>
      </c>
      <c r="S124" t="e">
        <f t="shared" ca="1" si="4"/>
        <v>#N/A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e">
        <f ca="1">IF($T124&lt;=AA$4,INDEX(TypicalCriticalitiesMAHBarrier23[Typical Components],MATCH($T124,TypicalCriticalitiesMAHBarrier23[Column2],0)),"")</f>
        <v>#N/A</v>
      </c>
      <c r="W124" t="e">
        <f ca="1">IF($T124&lt;=AA$4,INDEX(TypicalCriticalitiesMAHBarrier23[Typical Criticality],MATCH($T124,TypicalCriticalitiesMAHBarrier23[Column2],0)),"")</f>
        <v>#N/A</v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336</v>
      </c>
      <c r="O125" t="s">
        <v>353</v>
      </c>
      <c r="P125" t="s">
        <v>354</v>
      </c>
      <c r="Q125" t="s">
        <v>1</v>
      </c>
      <c r="R125">
        <f t="shared" si="3"/>
        <v>14</v>
      </c>
      <c r="S125" t="e">
        <f t="shared" ca="1" si="4"/>
        <v>#N/A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e">
        <f ca="1">IF($T125&lt;=AA$4,INDEX(TypicalCriticalitiesMAHBarrier23[Typical Components],MATCH($T125,TypicalCriticalitiesMAHBarrier23[Column2],0)),"")</f>
        <v>#N/A</v>
      </c>
      <c r="W125" t="e">
        <f ca="1">IF($T125&lt;=AA$4,INDEX(TypicalCriticalitiesMAHBarrier23[Typical Criticality],MATCH($T125,TypicalCriticalitiesMAHBarrier23[Column2],0)),"")</f>
        <v>#N/A</v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336</v>
      </c>
      <c r="O126" t="s">
        <v>353</v>
      </c>
      <c r="P126" t="s">
        <v>339</v>
      </c>
      <c r="Q126" t="s">
        <v>1</v>
      </c>
      <c r="R126">
        <f t="shared" si="3"/>
        <v>14</v>
      </c>
      <c r="S126" t="e">
        <f t="shared" ca="1" si="4"/>
        <v>#N/A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e">
        <f ca="1">IF($T126&lt;=AA$4,INDEX(TypicalCriticalitiesMAHBarrier23[Typical Components],MATCH($T126,TypicalCriticalitiesMAHBarrier23[Column2],0)),"")</f>
        <v>#N/A</v>
      </c>
      <c r="W126" t="e">
        <f ca="1">IF($T126&lt;=AA$4,INDEX(TypicalCriticalitiesMAHBarrier23[Typical Criticality],MATCH($T126,TypicalCriticalitiesMAHBarrier23[Column2],0)),"")</f>
        <v>#N/A</v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336</v>
      </c>
      <c r="O127" t="s">
        <v>353</v>
      </c>
      <c r="P127" t="s">
        <v>355</v>
      </c>
      <c r="Q127" t="s">
        <v>1</v>
      </c>
      <c r="R127">
        <f t="shared" si="3"/>
        <v>14</v>
      </c>
      <c r="S127" t="e">
        <f t="shared" ca="1" si="4"/>
        <v>#N/A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e">
        <f ca="1">IF($T127&lt;=AA$4,INDEX(TypicalCriticalitiesMAHBarrier23[Typical Components],MATCH($T127,TypicalCriticalitiesMAHBarrier23[Column2],0)),"")</f>
        <v>#N/A</v>
      </c>
      <c r="W127" t="e">
        <f ca="1">IF($T127&lt;=AA$4,INDEX(TypicalCriticalitiesMAHBarrier23[Typical Criticality],MATCH($T127,TypicalCriticalitiesMAHBarrier23[Column2],0)),"")</f>
        <v>#N/A</v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336</v>
      </c>
      <c r="O128" t="s">
        <v>353</v>
      </c>
      <c r="P128" t="s">
        <v>343</v>
      </c>
      <c r="Q128" t="s">
        <v>1</v>
      </c>
      <c r="R128">
        <f t="shared" si="3"/>
        <v>14</v>
      </c>
      <c r="S128" t="e">
        <f t="shared" ca="1" si="4"/>
        <v>#N/A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e">
        <f ca="1">IF($T128&lt;=AA$4,INDEX(TypicalCriticalitiesMAHBarrier23[Typical Components],MATCH($T128,TypicalCriticalitiesMAHBarrier23[Column2],0)),"")</f>
        <v>#N/A</v>
      </c>
      <c r="W128" t="e">
        <f ca="1">IF($T128&lt;=AA$4,INDEX(TypicalCriticalitiesMAHBarrier23[Typical Criticality],MATCH($T128,TypicalCriticalitiesMAHBarrier23[Column2],0)),"")</f>
        <v>#N/A</v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336</v>
      </c>
      <c r="O129" t="s">
        <v>353</v>
      </c>
      <c r="P129" t="s">
        <v>356</v>
      </c>
      <c r="Q129" t="s">
        <v>0</v>
      </c>
      <c r="R129">
        <f t="shared" si="3"/>
        <v>14</v>
      </c>
      <c r="S129" t="e">
        <f t="shared" ca="1" si="4"/>
        <v>#N/A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e">
        <f ca="1">IF($T129&lt;=AA$4,INDEX(TypicalCriticalitiesMAHBarrier23[Typical Components],MATCH($T129,TypicalCriticalitiesMAHBarrier23[Column2],0)),"")</f>
        <v>#N/A</v>
      </c>
      <c r="W129" t="e">
        <f ca="1">IF($T129&lt;=AA$4,INDEX(TypicalCriticalitiesMAHBarrier23[Typical Criticality],MATCH($T129,TypicalCriticalitiesMAHBarrier23[Column2],0)),"")</f>
        <v>#N/A</v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336</v>
      </c>
      <c r="O130" t="s">
        <v>353</v>
      </c>
      <c r="P130" t="s">
        <v>357</v>
      </c>
      <c r="Q130" t="s">
        <v>1</v>
      </c>
      <c r="R130">
        <f t="shared" si="3"/>
        <v>14</v>
      </c>
      <c r="S130" t="e">
        <f t="shared" ca="1" si="4"/>
        <v>#N/A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e">
        <f ca="1">IF($T130&lt;=AA$4,INDEX(TypicalCriticalitiesMAHBarrier23[Typical Components],MATCH($T130,TypicalCriticalitiesMAHBarrier23[Column2],0)),"")</f>
        <v>#N/A</v>
      </c>
      <c r="W130" t="e">
        <f ca="1">IF($T130&lt;=AA$4,INDEX(TypicalCriticalitiesMAHBarrier23[Typical Criticality],MATCH($T130,TypicalCriticalitiesMAHBarrier23[Column2],0)),"")</f>
        <v>#N/A</v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358</v>
      </c>
      <c r="O131" t="s">
        <v>359</v>
      </c>
      <c r="P131" t="s">
        <v>360</v>
      </c>
      <c r="Q131" t="s">
        <v>0</v>
      </c>
      <c r="R131">
        <f t="shared" si="3"/>
        <v>15</v>
      </c>
      <c r="S131" t="e">
        <f t="shared" ca="1" si="4"/>
        <v>#N/A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e">
        <f ca="1">IF($T131&lt;=AA$4,INDEX(TypicalCriticalitiesMAHBarrier23[Typical Components],MATCH($T131,TypicalCriticalitiesMAHBarrier23[Column2],0)),"")</f>
        <v>#N/A</v>
      </c>
      <c r="W131" t="e">
        <f ca="1">IF($T131&lt;=AA$4,INDEX(TypicalCriticalitiesMAHBarrier23[Typical Criticality],MATCH($T131,TypicalCriticalitiesMAHBarrier23[Column2],0)),"")</f>
        <v>#N/A</v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358</v>
      </c>
      <c r="O132" t="s">
        <v>359</v>
      </c>
      <c r="P132" t="s">
        <v>361</v>
      </c>
      <c r="Q132" t="s">
        <v>0</v>
      </c>
      <c r="R132">
        <f t="shared" si="3"/>
        <v>15</v>
      </c>
      <c r="S132" t="e">
        <f t="shared" ca="1" si="4"/>
        <v>#N/A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e">
        <f ca="1">IF($T132&lt;=AA$4,INDEX(TypicalCriticalitiesMAHBarrier23[Typical Components],MATCH($T132,TypicalCriticalitiesMAHBarrier23[Column2],0)),"")</f>
        <v>#N/A</v>
      </c>
      <c r="W132" t="e">
        <f ca="1">IF($T132&lt;=AA$4,INDEX(TypicalCriticalitiesMAHBarrier23[Typical Criticality],MATCH($T132,TypicalCriticalitiesMAHBarrier23[Column2],0)),"")</f>
        <v>#N/A</v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358</v>
      </c>
      <c r="O133" t="s">
        <v>359</v>
      </c>
      <c r="P133" t="s">
        <v>362</v>
      </c>
      <c r="Q133" t="s">
        <v>1</v>
      </c>
      <c r="R133">
        <f t="shared" ref="R133:R196" si="6">IF(AND(O133&lt;&gt;O132,O133&lt;&gt;""),R132+1,R132)</f>
        <v>15</v>
      </c>
      <c r="S133" t="e">
        <f t="shared" ref="S133:S196" ca="1" si="7">IF(R133=$Z$5,IF(AND(P133&lt;&gt;P132,P133&lt;&gt;""),S132+1,S132),S132)</f>
        <v>#N/A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e">
        <f ca="1">IF($T133&lt;=AA$4,INDEX(TypicalCriticalitiesMAHBarrier23[Typical Components],MATCH($T133,TypicalCriticalitiesMAHBarrier23[Column2],0)),"")</f>
        <v>#N/A</v>
      </c>
      <c r="W133" t="e">
        <f ca="1">IF($T133&lt;=AA$4,INDEX(TypicalCriticalitiesMAHBarrier23[Typical Criticality],MATCH($T133,TypicalCriticalitiesMAHBarrier23[Column2],0)),"")</f>
        <v>#N/A</v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358</v>
      </c>
      <c r="O134" t="s">
        <v>359</v>
      </c>
      <c r="P134" t="s">
        <v>363</v>
      </c>
      <c r="Q134" t="s">
        <v>1</v>
      </c>
      <c r="R134">
        <f t="shared" si="6"/>
        <v>15</v>
      </c>
      <c r="S134" t="e">
        <f t="shared" ca="1" si="7"/>
        <v>#N/A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e">
        <f ca="1">IF($T134&lt;=AA$4,INDEX(TypicalCriticalitiesMAHBarrier23[Typical Components],MATCH($T134,TypicalCriticalitiesMAHBarrier23[Column2],0)),"")</f>
        <v>#N/A</v>
      </c>
      <c r="W134" t="e">
        <f ca="1">IF($T134&lt;=AA$4,INDEX(TypicalCriticalitiesMAHBarrier23[Typical Criticality],MATCH($T134,TypicalCriticalitiesMAHBarrier23[Column2],0)),"")</f>
        <v>#N/A</v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358</v>
      </c>
      <c r="O135" t="s">
        <v>359</v>
      </c>
      <c r="P135" t="s">
        <v>364</v>
      </c>
      <c r="Q135" t="s">
        <v>0</v>
      </c>
      <c r="R135">
        <f t="shared" si="6"/>
        <v>15</v>
      </c>
      <c r="S135" t="e">
        <f t="shared" ca="1" si="7"/>
        <v>#N/A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e">
        <f ca="1">IF($T135&lt;=AA$4,INDEX(TypicalCriticalitiesMAHBarrier23[Typical Components],MATCH($T135,TypicalCriticalitiesMAHBarrier23[Column2],0)),"")</f>
        <v>#N/A</v>
      </c>
      <c r="W135" t="e">
        <f ca="1">IF($T135&lt;=AA$4,INDEX(TypicalCriticalitiesMAHBarrier23[Typical Criticality],MATCH($T135,TypicalCriticalitiesMAHBarrier23[Column2],0)),"")</f>
        <v>#N/A</v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358</v>
      </c>
      <c r="O136" t="s">
        <v>359</v>
      </c>
      <c r="P136" t="s">
        <v>365</v>
      </c>
      <c r="Q136" t="s">
        <v>1</v>
      </c>
      <c r="R136">
        <f t="shared" si="6"/>
        <v>15</v>
      </c>
      <c r="S136" t="e">
        <f t="shared" ca="1" si="7"/>
        <v>#N/A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e">
        <f ca="1">IF($T136&lt;=AA$4,INDEX(TypicalCriticalitiesMAHBarrier23[Typical Components],MATCH($T136,TypicalCriticalitiesMAHBarrier23[Column2],0)),"")</f>
        <v>#N/A</v>
      </c>
      <c r="W136" t="e">
        <f ca="1">IF($T136&lt;=AA$4,INDEX(TypicalCriticalitiesMAHBarrier23[Typical Criticality],MATCH($T136,TypicalCriticalitiesMAHBarrier23[Column2],0)),"")</f>
        <v>#N/A</v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358</v>
      </c>
      <c r="O137" t="s">
        <v>359</v>
      </c>
      <c r="P137" t="s">
        <v>366</v>
      </c>
      <c r="Q137" t="s">
        <v>0</v>
      </c>
      <c r="R137">
        <f t="shared" si="6"/>
        <v>15</v>
      </c>
      <c r="S137" t="e">
        <f t="shared" ca="1" si="7"/>
        <v>#N/A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e">
        <f ca="1">IF($T137&lt;=AA$4,INDEX(TypicalCriticalitiesMAHBarrier23[Typical Components],MATCH($T137,TypicalCriticalitiesMAHBarrier23[Column2],0)),"")</f>
        <v>#N/A</v>
      </c>
      <c r="W137" t="e">
        <f ca="1">IF($T137&lt;=AA$4,INDEX(TypicalCriticalitiesMAHBarrier23[Typical Criticality],MATCH($T137,TypicalCriticalitiesMAHBarrier23[Column2],0)),"")</f>
        <v>#N/A</v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358</v>
      </c>
      <c r="O138" t="s">
        <v>359</v>
      </c>
      <c r="P138" t="s">
        <v>367</v>
      </c>
      <c r="Q138" t="s">
        <v>1</v>
      </c>
      <c r="R138">
        <f t="shared" si="6"/>
        <v>15</v>
      </c>
      <c r="S138" t="e">
        <f t="shared" ca="1" si="7"/>
        <v>#N/A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e">
        <f ca="1">IF($T138&lt;=AA$4,INDEX(TypicalCriticalitiesMAHBarrier23[Typical Components],MATCH($T138,TypicalCriticalitiesMAHBarrier23[Column2],0)),"")</f>
        <v>#N/A</v>
      </c>
      <c r="W138" t="e">
        <f ca="1">IF($T138&lt;=AA$4,INDEX(TypicalCriticalitiesMAHBarrier23[Typical Criticality],MATCH($T138,TypicalCriticalitiesMAHBarrier23[Column2],0)),"")</f>
        <v>#N/A</v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358</v>
      </c>
      <c r="O139" t="s">
        <v>359</v>
      </c>
      <c r="P139" t="s">
        <v>368</v>
      </c>
      <c r="Q139" t="s">
        <v>0</v>
      </c>
      <c r="R139">
        <f t="shared" si="6"/>
        <v>15</v>
      </c>
      <c r="S139" t="e">
        <f t="shared" ca="1" si="7"/>
        <v>#N/A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e">
        <f ca="1">IF($T139&lt;=AA$4,INDEX(TypicalCriticalitiesMAHBarrier23[Typical Components],MATCH($T139,TypicalCriticalitiesMAHBarrier23[Column2],0)),"")</f>
        <v>#N/A</v>
      </c>
      <c r="W139" t="e">
        <f ca="1">IF($T139&lt;=AA$4,INDEX(TypicalCriticalitiesMAHBarrier23[Typical Criticality],MATCH($T139,TypicalCriticalitiesMAHBarrier23[Column2],0)),"")</f>
        <v>#N/A</v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358</v>
      </c>
      <c r="O140" t="s">
        <v>359</v>
      </c>
      <c r="P140" t="s">
        <v>369</v>
      </c>
      <c r="Q140" t="s">
        <v>0</v>
      </c>
      <c r="R140">
        <f t="shared" si="6"/>
        <v>15</v>
      </c>
      <c r="S140" t="e">
        <f t="shared" ca="1" si="7"/>
        <v>#N/A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e">
        <f ca="1">IF($T140&lt;=AA$4,INDEX(TypicalCriticalitiesMAHBarrier23[Typical Components],MATCH($T140,TypicalCriticalitiesMAHBarrier23[Column2],0)),"")</f>
        <v>#N/A</v>
      </c>
      <c r="W140" t="e">
        <f ca="1">IF($T140&lt;=AA$4,INDEX(TypicalCriticalitiesMAHBarrier23[Typical Criticality],MATCH($T140,TypicalCriticalitiesMAHBarrier23[Column2],0)),"")</f>
        <v>#N/A</v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358</v>
      </c>
      <c r="O141" t="s">
        <v>359</v>
      </c>
      <c r="P141" t="s">
        <v>370</v>
      </c>
      <c r="Q141" t="s">
        <v>1</v>
      </c>
      <c r="R141">
        <f t="shared" si="6"/>
        <v>15</v>
      </c>
      <c r="S141" t="e">
        <f t="shared" ca="1" si="7"/>
        <v>#N/A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e">
        <f ca="1">IF($T141&lt;=AA$4,INDEX(TypicalCriticalitiesMAHBarrier23[Typical Components],MATCH($T141,TypicalCriticalitiesMAHBarrier23[Column2],0)),"")</f>
        <v>#N/A</v>
      </c>
      <c r="W141" t="e">
        <f ca="1">IF($T141&lt;=AA$4,INDEX(TypicalCriticalitiesMAHBarrier23[Typical Criticality],MATCH($T141,TypicalCriticalitiesMAHBarrier23[Column2],0)),"")</f>
        <v>#N/A</v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371</v>
      </c>
      <c r="O142" t="s">
        <v>372</v>
      </c>
      <c r="P142" t="s">
        <v>373</v>
      </c>
      <c r="Q142" t="s">
        <v>0</v>
      </c>
      <c r="R142">
        <f t="shared" si="6"/>
        <v>16</v>
      </c>
      <c r="S142" t="e">
        <f t="shared" ca="1" si="7"/>
        <v>#N/A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e">
        <f ca="1">IF($T142&lt;=AA$4,INDEX(TypicalCriticalitiesMAHBarrier23[Typical Components],MATCH($T142,TypicalCriticalitiesMAHBarrier23[Column2],0)),"")</f>
        <v>#N/A</v>
      </c>
      <c r="W142" t="e">
        <f ca="1">IF($T142&lt;=AA$4,INDEX(TypicalCriticalitiesMAHBarrier23[Typical Criticality],MATCH($T142,TypicalCriticalitiesMAHBarrier23[Column2],0)),"")</f>
        <v>#N/A</v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371</v>
      </c>
      <c r="O143" t="s">
        <v>372</v>
      </c>
      <c r="P143" t="s">
        <v>374</v>
      </c>
      <c r="Q143" t="s">
        <v>0</v>
      </c>
      <c r="R143">
        <f t="shared" si="6"/>
        <v>16</v>
      </c>
      <c r="S143" t="e">
        <f t="shared" ca="1" si="7"/>
        <v>#N/A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e">
        <f ca="1">IF($T143&lt;=AA$4,INDEX(TypicalCriticalitiesMAHBarrier23[Typical Components],MATCH($T143,TypicalCriticalitiesMAHBarrier23[Column2],0)),"")</f>
        <v>#N/A</v>
      </c>
      <c r="W143" t="e">
        <f ca="1">IF($T143&lt;=AA$4,INDEX(TypicalCriticalitiesMAHBarrier23[Typical Criticality],MATCH($T143,TypicalCriticalitiesMAHBarrier23[Column2],0)),"")</f>
        <v>#N/A</v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371</v>
      </c>
      <c r="O144" t="s">
        <v>372</v>
      </c>
      <c r="P144" t="s">
        <v>375</v>
      </c>
      <c r="Q144" t="s">
        <v>0</v>
      </c>
      <c r="R144">
        <f t="shared" si="6"/>
        <v>16</v>
      </c>
      <c r="S144" t="e">
        <f t="shared" ca="1" si="7"/>
        <v>#N/A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e">
        <f ca="1">IF($T144&lt;=AA$4,INDEX(TypicalCriticalitiesMAHBarrier23[Typical Components],MATCH($T144,TypicalCriticalitiesMAHBarrier23[Column2],0)),"")</f>
        <v>#N/A</v>
      </c>
      <c r="W144" t="e">
        <f ca="1">IF($T144&lt;=AA$4,INDEX(TypicalCriticalitiesMAHBarrier23[Typical Criticality],MATCH($T144,TypicalCriticalitiesMAHBarrier23[Column2],0)),"")</f>
        <v>#N/A</v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371</v>
      </c>
      <c r="O145" t="s">
        <v>372</v>
      </c>
      <c r="P145" t="s">
        <v>376</v>
      </c>
      <c r="Q145" t="s">
        <v>0</v>
      </c>
      <c r="R145">
        <f t="shared" si="6"/>
        <v>16</v>
      </c>
      <c r="S145" t="e">
        <f t="shared" ca="1" si="7"/>
        <v>#N/A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e">
        <f ca="1">IF($T145&lt;=AA$4,INDEX(TypicalCriticalitiesMAHBarrier23[Typical Components],MATCH($T145,TypicalCriticalitiesMAHBarrier23[Column2],0)),"")</f>
        <v>#N/A</v>
      </c>
      <c r="W145" t="e">
        <f ca="1">IF($T145&lt;=AA$4,INDEX(TypicalCriticalitiesMAHBarrier23[Typical Criticality],MATCH($T145,TypicalCriticalitiesMAHBarrier23[Column2],0)),"")</f>
        <v>#N/A</v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371</v>
      </c>
      <c r="O146" t="s">
        <v>372</v>
      </c>
      <c r="P146" t="s">
        <v>377</v>
      </c>
      <c r="Q146" t="s">
        <v>1</v>
      </c>
      <c r="R146">
        <f t="shared" si="6"/>
        <v>16</v>
      </c>
      <c r="S146" t="e">
        <f t="shared" ca="1" si="7"/>
        <v>#N/A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e">
        <f ca="1">IF($T146&lt;=AA$4,INDEX(TypicalCriticalitiesMAHBarrier23[Typical Components],MATCH($T146,TypicalCriticalitiesMAHBarrier23[Column2],0)),"")</f>
        <v>#N/A</v>
      </c>
      <c r="W146" t="e">
        <f ca="1">IF($T146&lt;=AA$4,INDEX(TypicalCriticalitiesMAHBarrier23[Typical Criticality],MATCH($T146,TypicalCriticalitiesMAHBarrier23[Column2],0)),"")</f>
        <v>#N/A</v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371</v>
      </c>
      <c r="O147" t="s">
        <v>372</v>
      </c>
      <c r="P147" t="s">
        <v>378</v>
      </c>
      <c r="Q147" t="s">
        <v>0</v>
      </c>
      <c r="R147">
        <f t="shared" si="6"/>
        <v>16</v>
      </c>
      <c r="S147" t="e">
        <f t="shared" ca="1" si="7"/>
        <v>#N/A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e">
        <f ca="1">IF($T147&lt;=AA$4,INDEX(TypicalCriticalitiesMAHBarrier23[Typical Components],MATCH($T147,TypicalCriticalitiesMAHBarrier23[Column2],0)),"")</f>
        <v>#N/A</v>
      </c>
      <c r="W147" t="e">
        <f ca="1">IF($T147&lt;=AA$4,INDEX(TypicalCriticalitiesMAHBarrier23[Typical Criticality],MATCH($T147,TypicalCriticalitiesMAHBarrier23[Column2],0)),"")</f>
        <v>#N/A</v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371</v>
      </c>
      <c r="O148" t="s">
        <v>372</v>
      </c>
      <c r="P148" t="s">
        <v>379</v>
      </c>
      <c r="Q148" t="s">
        <v>0</v>
      </c>
      <c r="R148">
        <f t="shared" si="6"/>
        <v>16</v>
      </c>
      <c r="S148" t="e">
        <f t="shared" ca="1" si="7"/>
        <v>#N/A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e">
        <f ca="1">IF($T148&lt;=AA$4,INDEX(TypicalCriticalitiesMAHBarrier23[Typical Components],MATCH($T148,TypicalCriticalitiesMAHBarrier23[Column2],0)),"")</f>
        <v>#N/A</v>
      </c>
      <c r="W148" t="e">
        <f ca="1">IF($T148&lt;=AA$4,INDEX(TypicalCriticalitiesMAHBarrier23[Typical Criticality],MATCH($T148,TypicalCriticalitiesMAHBarrier23[Column2],0)),"")</f>
        <v>#N/A</v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371</v>
      </c>
      <c r="O149" t="s">
        <v>372</v>
      </c>
      <c r="P149" t="s">
        <v>380</v>
      </c>
      <c r="Q149" t="s">
        <v>1</v>
      </c>
      <c r="R149">
        <f t="shared" si="6"/>
        <v>16</v>
      </c>
      <c r="S149" t="e">
        <f t="shared" ca="1" si="7"/>
        <v>#N/A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e">
        <f ca="1">IF($T149&lt;=AA$4,INDEX(TypicalCriticalitiesMAHBarrier23[Typical Components],MATCH($T149,TypicalCriticalitiesMAHBarrier23[Column2],0)),"")</f>
        <v>#N/A</v>
      </c>
      <c r="W149" t="e">
        <f ca="1">IF($T149&lt;=AA$4,INDEX(TypicalCriticalitiesMAHBarrier23[Typical Criticality],MATCH($T149,TypicalCriticalitiesMAHBarrier23[Column2],0)),"")</f>
        <v>#N/A</v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371</v>
      </c>
      <c r="O150" t="s">
        <v>372</v>
      </c>
      <c r="P150" t="s">
        <v>381</v>
      </c>
      <c r="Q150" t="s">
        <v>2</v>
      </c>
      <c r="R150">
        <f t="shared" si="6"/>
        <v>16</v>
      </c>
      <c r="S150" t="e">
        <f t="shared" ca="1" si="7"/>
        <v>#N/A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e">
        <f ca="1">IF($T150&lt;=AA$4,INDEX(TypicalCriticalitiesMAHBarrier23[Typical Components],MATCH($T150,TypicalCriticalitiesMAHBarrier23[Column2],0)),"")</f>
        <v>#N/A</v>
      </c>
      <c r="W150" t="e">
        <f ca="1">IF($T150&lt;=AA$4,INDEX(TypicalCriticalitiesMAHBarrier23[Typical Criticality],MATCH($T150,TypicalCriticalitiesMAHBarrier23[Column2],0)),"")</f>
        <v>#N/A</v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371</v>
      </c>
      <c r="O151" t="s">
        <v>372</v>
      </c>
      <c r="P151" t="s">
        <v>382</v>
      </c>
      <c r="Q151" t="s">
        <v>0</v>
      </c>
      <c r="R151">
        <f t="shared" si="6"/>
        <v>16</v>
      </c>
      <c r="S151" t="e">
        <f t="shared" ca="1" si="7"/>
        <v>#N/A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e">
        <f ca="1">IF($T151&lt;=AA$4,INDEX(TypicalCriticalitiesMAHBarrier23[Typical Components],MATCH($T151,TypicalCriticalitiesMAHBarrier23[Column2],0)),"")</f>
        <v>#N/A</v>
      </c>
      <c r="W151" t="e">
        <f ca="1">IF($T151&lt;=AA$4,INDEX(TypicalCriticalitiesMAHBarrier23[Typical Criticality],MATCH($T151,TypicalCriticalitiesMAHBarrier23[Column2],0)),"")</f>
        <v>#N/A</v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371</v>
      </c>
      <c r="O152" t="s">
        <v>372</v>
      </c>
      <c r="P152" t="s">
        <v>383</v>
      </c>
      <c r="Q152" t="s">
        <v>0</v>
      </c>
      <c r="R152">
        <f t="shared" si="6"/>
        <v>16</v>
      </c>
      <c r="S152" t="e">
        <f t="shared" ca="1" si="7"/>
        <v>#N/A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e">
        <f ca="1">IF($T152&lt;=AA$4,INDEX(TypicalCriticalitiesMAHBarrier23[Typical Components],MATCH($T152,TypicalCriticalitiesMAHBarrier23[Column2],0)),"")</f>
        <v>#N/A</v>
      </c>
      <c r="W152" t="e">
        <f ca="1">IF($T152&lt;=AA$4,INDEX(TypicalCriticalitiesMAHBarrier23[Typical Criticality],MATCH($T152,TypicalCriticalitiesMAHBarrier23[Column2],0)),"")</f>
        <v>#N/A</v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371</v>
      </c>
      <c r="O153" t="s">
        <v>372</v>
      </c>
      <c r="P153" t="s">
        <v>384</v>
      </c>
      <c r="Q153" t="s">
        <v>1</v>
      </c>
      <c r="R153">
        <f t="shared" si="6"/>
        <v>16</v>
      </c>
      <c r="S153" t="e">
        <f t="shared" ca="1" si="7"/>
        <v>#N/A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e">
        <f ca="1">IF($T153&lt;=AA$4,INDEX(TypicalCriticalitiesMAHBarrier23[Typical Components],MATCH($T153,TypicalCriticalitiesMAHBarrier23[Column2],0)),"")</f>
        <v>#N/A</v>
      </c>
      <c r="W153" t="e">
        <f ca="1">IF($T153&lt;=AA$4,INDEX(TypicalCriticalitiesMAHBarrier23[Typical Criticality],MATCH($T153,TypicalCriticalitiesMAHBarrier23[Column2],0)),"")</f>
        <v>#N/A</v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371</v>
      </c>
      <c r="O154" t="s">
        <v>372</v>
      </c>
      <c r="P154" t="s">
        <v>385</v>
      </c>
      <c r="Q154" t="s">
        <v>0</v>
      </c>
      <c r="R154">
        <f t="shared" si="6"/>
        <v>16</v>
      </c>
      <c r="S154" t="e">
        <f t="shared" ca="1" si="7"/>
        <v>#N/A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e">
        <f ca="1">IF($T154&lt;=AA$4,INDEX(TypicalCriticalitiesMAHBarrier23[Typical Components],MATCH($T154,TypicalCriticalitiesMAHBarrier23[Column2],0)),"")</f>
        <v>#N/A</v>
      </c>
      <c r="W154" t="e">
        <f ca="1">IF($T154&lt;=AA$4,INDEX(TypicalCriticalitiesMAHBarrier23[Typical Criticality],MATCH($T154,TypicalCriticalitiesMAHBarrier23[Column2],0)),"")</f>
        <v>#N/A</v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371</v>
      </c>
      <c r="O155" t="s">
        <v>372</v>
      </c>
      <c r="P155" t="s">
        <v>386</v>
      </c>
      <c r="Q155" t="s">
        <v>0</v>
      </c>
      <c r="R155">
        <f t="shared" si="6"/>
        <v>16</v>
      </c>
      <c r="S155" t="e">
        <f t="shared" ca="1" si="7"/>
        <v>#N/A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e">
        <f ca="1">IF($T155&lt;=AA$4,INDEX(TypicalCriticalitiesMAHBarrier23[Typical Components],MATCH($T155,TypicalCriticalitiesMAHBarrier23[Column2],0)),"")</f>
        <v>#N/A</v>
      </c>
      <c r="W155" t="e">
        <f ca="1">IF($T155&lt;=AA$4,INDEX(TypicalCriticalitiesMAHBarrier23[Typical Criticality],MATCH($T155,TypicalCriticalitiesMAHBarrier23[Column2],0)),"")</f>
        <v>#N/A</v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371</v>
      </c>
      <c r="O156" t="s">
        <v>372</v>
      </c>
      <c r="P156" t="s">
        <v>387</v>
      </c>
      <c r="Q156" t="s">
        <v>0</v>
      </c>
      <c r="R156">
        <f t="shared" si="6"/>
        <v>16</v>
      </c>
      <c r="S156" t="e">
        <f t="shared" ca="1" si="7"/>
        <v>#N/A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e">
        <f ca="1">IF($T156&lt;=AA$4,INDEX(TypicalCriticalitiesMAHBarrier23[Typical Components],MATCH($T156,TypicalCriticalitiesMAHBarrier23[Column2],0)),"")</f>
        <v>#N/A</v>
      </c>
      <c r="W156" t="e">
        <f ca="1">IF($T156&lt;=AA$4,INDEX(TypicalCriticalitiesMAHBarrier23[Typical Criticality],MATCH($T156,TypicalCriticalitiesMAHBarrier23[Column2],0)),"")</f>
        <v>#N/A</v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371</v>
      </c>
      <c r="O157" t="s">
        <v>372</v>
      </c>
      <c r="P157" t="s">
        <v>388</v>
      </c>
      <c r="Q157" t="s">
        <v>0</v>
      </c>
      <c r="R157">
        <f t="shared" si="6"/>
        <v>16</v>
      </c>
      <c r="S157" t="e">
        <f t="shared" ca="1" si="7"/>
        <v>#N/A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e">
        <f ca="1">IF($T157&lt;=AA$4,INDEX(TypicalCriticalitiesMAHBarrier23[Typical Components],MATCH($T157,TypicalCriticalitiesMAHBarrier23[Column2],0)),"")</f>
        <v>#N/A</v>
      </c>
      <c r="W157" t="e">
        <f ca="1">IF($T157&lt;=AA$4,INDEX(TypicalCriticalitiesMAHBarrier23[Typical Criticality],MATCH($T157,TypicalCriticalitiesMAHBarrier23[Column2],0)),"")</f>
        <v>#N/A</v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371</v>
      </c>
      <c r="O158" t="s">
        <v>372</v>
      </c>
      <c r="P158" t="s">
        <v>389</v>
      </c>
      <c r="Q158" t="s">
        <v>390</v>
      </c>
      <c r="R158">
        <f t="shared" si="6"/>
        <v>16</v>
      </c>
      <c r="S158" t="e">
        <f t="shared" ca="1" si="7"/>
        <v>#N/A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e">
        <f ca="1">IF($T158&lt;=AA$4,INDEX(TypicalCriticalitiesMAHBarrier23[Typical Components],MATCH($T158,TypicalCriticalitiesMAHBarrier23[Column2],0)),"")</f>
        <v>#N/A</v>
      </c>
      <c r="W158" t="e">
        <f ca="1">IF($T158&lt;=AA$4,INDEX(TypicalCriticalitiesMAHBarrier23[Typical Criticality],MATCH($T158,TypicalCriticalitiesMAHBarrier23[Column2],0)),"")</f>
        <v>#N/A</v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371</v>
      </c>
      <c r="O159" t="s">
        <v>372</v>
      </c>
      <c r="P159" t="s">
        <v>391</v>
      </c>
      <c r="Q159" t="s">
        <v>1</v>
      </c>
      <c r="R159">
        <f t="shared" si="6"/>
        <v>16</v>
      </c>
      <c r="S159" t="e">
        <f t="shared" ca="1" si="7"/>
        <v>#N/A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e">
        <f ca="1">IF($T159&lt;=AA$4,INDEX(TypicalCriticalitiesMAHBarrier23[Typical Components],MATCH($T159,TypicalCriticalitiesMAHBarrier23[Column2],0)),"")</f>
        <v>#N/A</v>
      </c>
      <c r="W159" t="e">
        <f ca="1">IF($T159&lt;=AA$4,INDEX(TypicalCriticalitiesMAHBarrier23[Typical Criticality],MATCH($T159,TypicalCriticalitiesMAHBarrier23[Column2],0)),"")</f>
        <v>#N/A</v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371</v>
      </c>
      <c r="O160" t="s">
        <v>372</v>
      </c>
      <c r="P160" t="s">
        <v>392</v>
      </c>
      <c r="Q160" t="s">
        <v>0</v>
      </c>
      <c r="R160">
        <f t="shared" si="6"/>
        <v>16</v>
      </c>
      <c r="S160" t="e">
        <f t="shared" ca="1" si="7"/>
        <v>#N/A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e">
        <f ca="1">IF($T160&lt;=AA$4,INDEX(TypicalCriticalitiesMAHBarrier23[Typical Components],MATCH($T160,TypicalCriticalitiesMAHBarrier23[Column2],0)),"")</f>
        <v>#N/A</v>
      </c>
      <c r="W160" t="e">
        <f ca="1">IF($T160&lt;=AA$4,INDEX(TypicalCriticalitiesMAHBarrier23[Typical Criticality],MATCH($T160,TypicalCriticalitiesMAHBarrier23[Column2],0)),"")</f>
        <v>#N/A</v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371</v>
      </c>
      <c r="O161" t="s">
        <v>372</v>
      </c>
      <c r="P161" t="s">
        <v>393</v>
      </c>
      <c r="Q161" t="s">
        <v>0</v>
      </c>
      <c r="R161">
        <f t="shared" si="6"/>
        <v>16</v>
      </c>
      <c r="S161" t="e">
        <f t="shared" ca="1" si="7"/>
        <v>#N/A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e">
        <f ca="1">IF($T161&lt;=AA$4,INDEX(TypicalCriticalitiesMAHBarrier23[Typical Components],MATCH($T161,TypicalCriticalitiesMAHBarrier23[Column2],0)),"")</f>
        <v>#N/A</v>
      </c>
      <c r="W161" t="e">
        <f ca="1">IF($T161&lt;=AA$4,INDEX(TypicalCriticalitiesMAHBarrier23[Typical Criticality],MATCH($T161,TypicalCriticalitiesMAHBarrier23[Column2],0)),"")</f>
        <v>#N/A</v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371</v>
      </c>
      <c r="O162" t="s">
        <v>372</v>
      </c>
      <c r="P162" t="s">
        <v>394</v>
      </c>
      <c r="Q162" t="s">
        <v>2</v>
      </c>
      <c r="R162">
        <f t="shared" si="6"/>
        <v>16</v>
      </c>
      <c r="S162" t="e">
        <f t="shared" ca="1" si="7"/>
        <v>#N/A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e">
        <f ca="1">IF($T162&lt;=AA$4,INDEX(TypicalCriticalitiesMAHBarrier23[Typical Components],MATCH($T162,TypicalCriticalitiesMAHBarrier23[Column2],0)),"")</f>
        <v>#N/A</v>
      </c>
      <c r="W162" t="e">
        <f ca="1">IF($T162&lt;=AA$4,INDEX(TypicalCriticalitiesMAHBarrier23[Typical Criticality],MATCH($T162,TypicalCriticalitiesMAHBarrier23[Column2],0)),"")</f>
        <v>#N/A</v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371</v>
      </c>
      <c r="O163" t="s">
        <v>372</v>
      </c>
      <c r="P163" t="s">
        <v>395</v>
      </c>
      <c r="Q163" t="s">
        <v>396</v>
      </c>
      <c r="R163">
        <f t="shared" si="6"/>
        <v>16</v>
      </c>
      <c r="S163" t="e">
        <f t="shared" ca="1" si="7"/>
        <v>#N/A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e">
        <f ca="1">IF($T163&lt;=AA$4,INDEX(TypicalCriticalitiesMAHBarrier23[Typical Components],MATCH($T163,TypicalCriticalitiesMAHBarrier23[Column2],0)),"")</f>
        <v>#N/A</v>
      </c>
      <c r="W163" t="e">
        <f ca="1">IF($T163&lt;=AA$4,INDEX(TypicalCriticalitiesMAHBarrier23[Typical Criticality],MATCH($T163,TypicalCriticalitiesMAHBarrier23[Column2],0)),"")</f>
        <v>#N/A</v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397</v>
      </c>
      <c r="O164" t="s">
        <v>398</v>
      </c>
      <c r="P164" t="s">
        <v>399</v>
      </c>
      <c r="Q164" t="s">
        <v>0</v>
      </c>
      <c r="R164">
        <f t="shared" si="6"/>
        <v>17</v>
      </c>
      <c r="S164" t="e">
        <f t="shared" ca="1" si="7"/>
        <v>#N/A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e">
        <f ca="1">IF($T164&lt;=AA$4,INDEX(TypicalCriticalitiesMAHBarrier23[Typical Components],MATCH($T164,TypicalCriticalitiesMAHBarrier23[Column2],0)),"")</f>
        <v>#N/A</v>
      </c>
      <c r="W164" t="e">
        <f ca="1">IF($T164&lt;=AA$4,INDEX(TypicalCriticalitiesMAHBarrier23[Typical Criticality],MATCH($T164,TypicalCriticalitiesMAHBarrier23[Column2],0)),"")</f>
        <v>#N/A</v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397</v>
      </c>
      <c r="O165" t="s">
        <v>398</v>
      </c>
      <c r="P165" t="s">
        <v>400</v>
      </c>
      <c r="Q165" t="s">
        <v>1</v>
      </c>
      <c r="R165">
        <f t="shared" si="6"/>
        <v>17</v>
      </c>
      <c r="S165" t="e">
        <f t="shared" ca="1" si="7"/>
        <v>#N/A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e">
        <f ca="1">IF($T165&lt;=AA$4,INDEX(TypicalCriticalitiesMAHBarrier23[Typical Components],MATCH($T165,TypicalCriticalitiesMAHBarrier23[Column2],0)),"")</f>
        <v>#N/A</v>
      </c>
      <c r="W165" t="e">
        <f ca="1">IF($T165&lt;=AA$4,INDEX(TypicalCriticalitiesMAHBarrier23[Typical Criticality],MATCH($T165,TypicalCriticalitiesMAHBarrier23[Column2],0)),"")</f>
        <v>#N/A</v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397</v>
      </c>
      <c r="O166" t="s">
        <v>398</v>
      </c>
      <c r="P166" t="s">
        <v>401</v>
      </c>
      <c r="Q166" t="s">
        <v>0</v>
      </c>
      <c r="R166">
        <f t="shared" si="6"/>
        <v>17</v>
      </c>
      <c r="S166" t="e">
        <f t="shared" ca="1" si="7"/>
        <v>#N/A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e">
        <f ca="1">IF($T166&lt;=AA$4,INDEX(TypicalCriticalitiesMAHBarrier23[Typical Components],MATCH($T166,TypicalCriticalitiesMAHBarrier23[Column2],0)),"")</f>
        <v>#N/A</v>
      </c>
      <c r="W166" t="e">
        <f ca="1">IF($T166&lt;=AA$4,INDEX(TypicalCriticalitiesMAHBarrier23[Typical Criticality],MATCH($T166,TypicalCriticalitiesMAHBarrier23[Column2],0)),"")</f>
        <v>#N/A</v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397</v>
      </c>
      <c r="O167" t="s">
        <v>398</v>
      </c>
      <c r="P167" t="s">
        <v>402</v>
      </c>
      <c r="Q167" t="s">
        <v>0</v>
      </c>
      <c r="R167">
        <f t="shared" si="6"/>
        <v>17</v>
      </c>
      <c r="S167" t="e">
        <f t="shared" ca="1" si="7"/>
        <v>#N/A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e">
        <f ca="1">IF($T167&lt;=AA$4,INDEX(TypicalCriticalitiesMAHBarrier23[Typical Components],MATCH($T167,TypicalCriticalitiesMAHBarrier23[Column2],0)),"")</f>
        <v>#N/A</v>
      </c>
      <c r="W167" t="e">
        <f ca="1">IF($T167&lt;=AA$4,INDEX(TypicalCriticalitiesMAHBarrier23[Typical Criticality],MATCH($T167,TypicalCriticalitiesMAHBarrier23[Column2],0)),"")</f>
        <v>#N/A</v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397</v>
      </c>
      <c r="O168" t="s">
        <v>398</v>
      </c>
      <c r="P168" t="s">
        <v>403</v>
      </c>
      <c r="Q168" t="s">
        <v>1</v>
      </c>
      <c r="R168">
        <f t="shared" si="6"/>
        <v>17</v>
      </c>
      <c r="S168" t="e">
        <f t="shared" ca="1" si="7"/>
        <v>#N/A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e">
        <f ca="1">IF($T168&lt;=AA$4,INDEX(TypicalCriticalitiesMAHBarrier23[Typical Components],MATCH($T168,TypicalCriticalitiesMAHBarrier23[Column2],0)),"")</f>
        <v>#N/A</v>
      </c>
      <c r="W168" t="e">
        <f ca="1">IF($T168&lt;=AA$4,INDEX(TypicalCriticalitiesMAHBarrier23[Typical Criticality],MATCH($T168,TypicalCriticalitiesMAHBarrier23[Column2],0)),"")</f>
        <v>#N/A</v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397</v>
      </c>
      <c r="O169" t="s">
        <v>398</v>
      </c>
      <c r="P169" t="s">
        <v>404</v>
      </c>
      <c r="Q169" t="s">
        <v>0</v>
      </c>
      <c r="R169">
        <f t="shared" si="6"/>
        <v>17</v>
      </c>
      <c r="S169" t="e">
        <f t="shared" ca="1" si="7"/>
        <v>#N/A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e">
        <f ca="1">IF($T169&lt;=AA$4,INDEX(TypicalCriticalitiesMAHBarrier23[Typical Components],MATCH($T169,TypicalCriticalitiesMAHBarrier23[Column2],0)),"")</f>
        <v>#N/A</v>
      </c>
      <c r="W169" t="e">
        <f ca="1">IF($T169&lt;=AA$4,INDEX(TypicalCriticalitiesMAHBarrier23[Typical Criticality],MATCH($T169,TypicalCriticalitiesMAHBarrier23[Column2],0)),"")</f>
        <v>#N/A</v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397</v>
      </c>
      <c r="O170" t="s">
        <v>398</v>
      </c>
      <c r="P170" t="s">
        <v>405</v>
      </c>
      <c r="Q170" t="s">
        <v>0</v>
      </c>
      <c r="R170">
        <f t="shared" si="6"/>
        <v>17</v>
      </c>
      <c r="S170" t="e">
        <f t="shared" ca="1" si="7"/>
        <v>#N/A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e">
        <f ca="1">IF($T170&lt;=AA$4,INDEX(TypicalCriticalitiesMAHBarrier23[Typical Components],MATCH($T170,TypicalCriticalitiesMAHBarrier23[Column2],0)),"")</f>
        <v>#N/A</v>
      </c>
      <c r="W170" t="e">
        <f ca="1">IF($T170&lt;=AA$4,INDEX(TypicalCriticalitiesMAHBarrier23[Typical Criticality],MATCH($T170,TypicalCriticalitiesMAHBarrier23[Column2],0)),"")</f>
        <v>#N/A</v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397</v>
      </c>
      <c r="O171" t="s">
        <v>398</v>
      </c>
      <c r="P171" t="s">
        <v>406</v>
      </c>
      <c r="Q171" t="s">
        <v>0</v>
      </c>
      <c r="R171">
        <f t="shared" si="6"/>
        <v>17</v>
      </c>
      <c r="S171" t="e">
        <f t="shared" ca="1" si="7"/>
        <v>#N/A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e">
        <f ca="1">IF($T171&lt;=AA$4,INDEX(TypicalCriticalitiesMAHBarrier23[Typical Components],MATCH($T171,TypicalCriticalitiesMAHBarrier23[Column2],0)),"")</f>
        <v>#N/A</v>
      </c>
      <c r="W171" t="e">
        <f ca="1">IF($T171&lt;=AA$4,INDEX(TypicalCriticalitiesMAHBarrier23[Typical Criticality],MATCH($T171,TypicalCriticalitiesMAHBarrier23[Column2],0)),"")</f>
        <v>#N/A</v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397</v>
      </c>
      <c r="O172" t="s">
        <v>398</v>
      </c>
      <c r="P172" t="s">
        <v>407</v>
      </c>
      <c r="Q172" t="s">
        <v>0</v>
      </c>
      <c r="R172">
        <f t="shared" si="6"/>
        <v>17</v>
      </c>
      <c r="S172" t="e">
        <f t="shared" ca="1" si="7"/>
        <v>#N/A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e">
        <f ca="1">IF($T172&lt;=AA$4,INDEX(TypicalCriticalitiesMAHBarrier23[Typical Components],MATCH($T172,TypicalCriticalitiesMAHBarrier23[Column2],0)),"")</f>
        <v>#N/A</v>
      </c>
      <c r="W172" t="e">
        <f ca="1">IF($T172&lt;=AA$4,INDEX(TypicalCriticalitiesMAHBarrier23[Typical Criticality],MATCH($T172,TypicalCriticalitiesMAHBarrier23[Column2],0)),"")</f>
        <v>#N/A</v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397</v>
      </c>
      <c r="O173" t="s">
        <v>398</v>
      </c>
      <c r="P173" t="s">
        <v>408</v>
      </c>
      <c r="Q173" t="s">
        <v>0</v>
      </c>
      <c r="R173">
        <f t="shared" si="6"/>
        <v>17</v>
      </c>
      <c r="S173" t="e">
        <f t="shared" ca="1" si="7"/>
        <v>#N/A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e">
        <f ca="1">IF($T173&lt;=AA$4,INDEX(TypicalCriticalitiesMAHBarrier23[Typical Components],MATCH($T173,TypicalCriticalitiesMAHBarrier23[Column2],0)),"")</f>
        <v>#N/A</v>
      </c>
      <c r="W173" t="e">
        <f ca="1">IF($T173&lt;=AA$4,INDEX(TypicalCriticalitiesMAHBarrier23[Typical Criticality],MATCH($T173,TypicalCriticalitiesMAHBarrier23[Column2],0)),"")</f>
        <v>#N/A</v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397</v>
      </c>
      <c r="O174" t="s">
        <v>398</v>
      </c>
      <c r="P174" t="s">
        <v>409</v>
      </c>
      <c r="Q174" t="s">
        <v>1</v>
      </c>
      <c r="R174">
        <f t="shared" si="6"/>
        <v>17</v>
      </c>
      <c r="S174" t="e">
        <f t="shared" ca="1" si="7"/>
        <v>#N/A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e">
        <f ca="1">IF($T174&lt;=AA$4,INDEX(TypicalCriticalitiesMAHBarrier23[Typical Components],MATCH($T174,TypicalCriticalitiesMAHBarrier23[Column2],0)),"")</f>
        <v>#N/A</v>
      </c>
      <c r="W174" t="e">
        <f ca="1">IF($T174&lt;=AA$4,INDEX(TypicalCriticalitiesMAHBarrier23[Typical Criticality],MATCH($T174,TypicalCriticalitiesMAHBarrier23[Column2],0)),"")</f>
        <v>#N/A</v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397</v>
      </c>
      <c r="O175" t="s">
        <v>398</v>
      </c>
      <c r="P175" t="s">
        <v>410</v>
      </c>
      <c r="Q175" t="s">
        <v>0</v>
      </c>
      <c r="R175">
        <f t="shared" si="6"/>
        <v>17</v>
      </c>
      <c r="S175" t="e">
        <f t="shared" ca="1" si="7"/>
        <v>#N/A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e">
        <f ca="1">IF($T175&lt;=AA$4,INDEX(TypicalCriticalitiesMAHBarrier23[Typical Components],MATCH($T175,TypicalCriticalitiesMAHBarrier23[Column2],0)),"")</f>
        <v>#N/A</v>
      </c>
      <c r="W175" t="e">
        <f ca="1">IF($T175&lt;=AA$4,INDEX(TypicalCriticalitiesMAHBarrier23[Typical Criticality],MATCH($T175,TypicalCriticalitiesMAHBarrier23[Column2],0)),"")</f>
        <v>#N/A</v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397</v>
      </c>
      <c r="O176" t="s">
        <v>398</v>
      </c>
      <c r="P176" t="s">
        <v>411</v>
      </c>
      <c r="Q176" t="s">
        <v>0</v>
      </c>
      <c r="R176">
        <f t="shared" si="6"/>
        <v>17</v>
      </c>
      <c r="S176" t="e">
        <f t="shared" ca="1" si="7"/>
        <v>#N/A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e">
        <f ca="1">IF($T176&lt;=AA$4,INDEX(TypicalCriticalitiesMAHBarrier23[Typical Components],MATCH($T176,TypicalCriticalitiesMAHBarrier23[Column2],0)),"")</f>
        <v>#N/A</v>
      </c>
      <c r="W176" t="e">
        <f ca="1">IF($T176&lt;=AA$4,INDEX(TypicalCriticalitiesMAHBarrier23[Typical Criticality],MATCH($T176,TypicalCriticalitiesMAHBarrier23[Column2],0)),"")</f>
        <v>#N/A</v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397</v>
      </c>
      <c r="O177" t="s">
        <v>398</v>
      </c>
      <c r="P177" t="s">
        <v>412</v>
      </c>
      <c r="Q177" t="s">
        <v>0</v>
      </c>
      <c r="R177">
        <f t="shared" si="6"/>
        <v>17</v>
      </c>
      <c r="S177" t="e">
        <f t="shared" ca="1" si="7"/>
        <v>#N/A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e">
        <f ca="1">IF($T177&lt;=AA$4,INDEX(TypicalCriticalitiesMAHBarrier23[Typical Components],MATCH($T177,TypicalCriticalitiesMAHBarrier23[Column2],0)),"")</f>
        <v>#N/A</v>
      </c>
      <c r="W177" t="e">
        <f ca="1">IF($T177&lt;=AA$4,INDEX(TypicalCriticalitiesMAHBarrier23[Typical Criticality],MATCH($T177,TypicalCriticalitiesMAHBarrier23[Column2],0)),"")</f>
        <v>#N/A</v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397</v>
      </c>
      <c r="O178" t="s">
        <v>398</v>
      </c>
      <c r="P178" t="s">
        <v>413</v>
      </c>
      <c r="Q178" t="s">
        <v>0</v>
      </c>
      <c r="R178">
        <f t="shared" si="6"/>
        <v>17</v>
      </c>
      <c r="S178" t="e">
        <f t="shared" ca="1" si="7"/>
        <v>#N/A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e">
        <f ca="1">IF($T178&lt;=AA$4,INDEX(TypicalCriticalitiesMAHBarrier23[Typical Components],MATCH($T178,TypicalCriticalitiesMAHBarrier23[Column2],0)),"")</f>
        <v>#N/A</v>
      </c>
      <c r="W178" t="e">
        <f ca="1">IF($T178&lt;=AA$4,INDEX(TypicalCriticalitiesMAHBarrier23[Typical Criticality],MATCH($T178,TypicalCriticalitiesMAHBarrier23[Column2],0)),"")</f>
        <v>#N/A</v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397</v>
      </c>
      <c r="O179" t="s">
        <v>398</v>
      </c>
      <c r="P179" t="s">
        <v>414</v>
      </c>
      <c r="Q179" t="s">
        <v>0</v>
      </c>
      <c r="R179">
        <f t="shared" si="6"/>
        <v>17</v>
      </c>
      <c r="S179" t="e">
        <f t="shared" ca="1" si="7"/>
        <v>#N/A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e">
        <f ca="1">IF($T179&lt;=AA$4,INDEX(TypicalCriticalitiesMAHBarrier23[Typical Components],MATCH($T179,TypicalCriticalitiesMAHBarrier23[Column2],0)),"")</f>
        <v>#N/A</v>
      </c>
      <c r="W179" t="e">
        <f ca="1">IF($T179&lt;=AA$4,INDEX(TypicalCriticalitiesMAHBarrier23[Typical Criticality],MATCH($T179,TypicalCriticalitiesMAHBarrier23[Column2],0)),"")</f>
        <v>#N/A</v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397</v>
      </c>
      <c r="O180" t="s">
        <v>398</v>
      </c>
      <c r="P180" t="s">
        <v>415</v>
      </c>
      <c r="Q180" t="s">
        <v>2</v>
      </c>
      <c r="R180">
        <f t="shared" si="6"/>
        <v>17</v>
      </c>
      <c r="S180" t="e">
        <f t="shared" ca="1" si="7"/>
        <v>#N/A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e">
        <f ca="1">IF($T180&lt;=AA$4,INDEX(TypicalCriticalitiesMAHBarrier23[Typical Components],MATCH($T180,TypicalCriticalitiesMAHBarrier23[Column2],0)),"")</f>
        <v>#N/A</v>
      </c>
      <c r="W180" t="e">
        <f ca="1">IF($T180&lt;=AA$4,INDEX(TypicalCriticalitiesMAHBarrier23[Typical Criticality],MATCH($T180,TypicalCriticalitiesMAHBarrier23[Column2],0)),"")</f>
        <v>#N/A</v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397</v>
      </c>
      <c r="O181" t="s">
        <v>398</v>
      </c>
      <c r="P181" t="s">
        <v>416</v>
      </c>
      <c r="Q181" t="s">
        <v>0</v>
      </c>
      <c r="R181">
        <f t="shared" si="6"/>
        <v>17</v>
      </c>
      <c r="S181" t="e">
        <f t="shared" ca="1" si="7"/>
        <v>#N/A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e">
        <f ca="1">IF($T181&lt;=AA$4,INDEX(TypicalCriticalitiesMAHBarrier23[Typical Components],MATCH($T181,TypicalCriticalitiesMAHBarrier23[Column2],0)),"")</f>
        <v>#N/A</v>
      </c>
      <c r="W181" t="e">
        <f ca="1">IF($T181&lt;=AA$4,INDEX(TypicalCriticalitiesMAHBarrier23[Typical Criticality],MATCH($T181,TypicalCriticalitiesMAHBarrier23[Column2],0)),"")</f>
        <v>#N/A</v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397</v>
      </c>
      <c r="O182" t="s">
        <v>398</v>
      </c>
      <c r="P182" t="s">
        <v>395</v>
      </c>
      <c r="Q182" t="s">
        <v>396</v>
      </c>
      <c r="R182">
        <f t="shared" si="6"/>
        <v>17</v>
      </c>
      <c r="S182" t="e">
        <f t="shared" ca="1" si="7"/>
        <v>#N/A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e">
        <f ca="1">IF($T182&lt;=AA$4,INDEX(TypicalCriticalitiesMAHBarrier23[Typical Components],MATCH($T182,TypicalCriticalitiesMAHBarrier23[Column2],0)),"")</f>
        <v>#N/A</v>
      </c>
      <c r="W182" t="e">
        <f ca="1">IF($T182&lt;=AA$4,INDEX(TypicalCriticalitiesMAHBarrier23[Typical Criticality],MATCH($T182,TypicalCriticalitiesMAHBarrier23[Column2],0)),"")</f>
        <v>#N/A</v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397</v>
      </c>
      <c r="O183" t="s">
        <v>398</v>
      </c>
      <c r="P183" t="s">
        <v>417</v>
      </c>
      <c r="Q183" t="s">
        <v>0</v>
      </c>
      <c r="R183">
        <f t="shared" si="6"/>
        <v>17</v>
      </c>
      <c r="S183" t="e">
        <f t="shared" ca="1" si="7"/>
        <v>#N/A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e">
        <f ca="1">IF($T183&lt;=AA$4,INDEX(TypicalCriticalitiesMAHBarrier23[Typical Components],MATCH($T183,TypicalCriticalitiesMAHBarrier23[Column2],0)),"")</f>
        <v>#N/A</v>
      </c>
      <c r="W183" t="e">
        <f ca="1">IF($T183&lt;=AA$4,INDEX(TypicalCriticalitiesMAHBarrier23[Typical Criticality],MATCH($T183,TypicalCriticalitiesMAHBarrier23[Column2],0)),"")</f>
        <v>#N/A</v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418</v>
      </c>
      <c r="O184" t="s">
        <v>419</v>
      </c>
      <c r="P184" t="s">
        <v>420</v>
      </c>
      <c r="Q184" t="s">
        <v>0</v>
      </c>
      <c r="R184">
        <f t="shared" si="6"/>
        <v>18</v>
      </c>
      <c r="S184" t="e">
        <f t="shared" ca="1" si="7"/>
        <v>#N/A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e">
        <f ca="1">IF($T184&lt;=AA$4,INDEX(TypicalCriticalitiesMAHBarrier23[Typical Components],MATCH($T184,TypicalCriticalitiesMAHBarrier23[Column2],0)),"")</f>
        <v>#N/A</v>
      </c>
      <c r="W184" t="e">
        <f ca="1">IF($T184&lt;=AA$4,INDEX(TypicalCriticalitiesMAHBarrier23[Typical Criticality],MATCH($T184,TypicalCriticalitiesMAHBarrier23[Column2],0)),"")</f>
        <v>#N/A</v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418</v>
      </c>
      <c r="O185" t="s">
        <v>419</v>
      </c>
      <c r="P185" t="s">
        <v>421</v>
      </c>
      <c r="Q185" t="s">
        <v>0</v>
      </c>
      <c r="R185">
        <f t="shared" si="6"/>
        <v>18</v>
      </c>
      <c r="S185" t="e">
        <f t="shared" ca="1" si="7"/>
        <v>#N/A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e">
        <f ca="1">IF($T185&lt;=AA$4,INDEX(TypicalCriticalitiesMAHBarrier23[Typical Components],MATCH($T185,TypicalCriticalitiesMAHBarrier23[Column2],0)),"")</f>
        <v>#N/A</v>
      </c>
      <c r="W185" t="e">
        <f ca="1">IF($T185&lt;=AA$4,INDEX(TypicalCriticalitiesMAHBarrier23[Typical Criticality],MATCH($T185,TypicalCriticalitiesMAHBarrier23[Column2],0)),"")</f>
        <v>#N/A</v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418</v>
      </c>
      <c r="O186" t="s">
        <v>419</v>
      </c>
      <c r="P186" t="s">
        <v>422</v>
      </c>
      <c r="Q186" t="s">
        <v>0</v>
      </c>
      <c r="R186">
        <f t="shared" si="6"/>
        <v>18</v>
      </c>
      <c r="S186" t="e">
        <f t="shared" ca="1" si="7"/>
        <v>#N/A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e">
        <f ca="1">IF($T186&lt;=AA$4,INDEX(TypicalCriticalitiesMAHBarrier23[Typical Components],MATCH($T186,TypicalCriticalitiesMAHBarrier23[Column2],0)),"")</f>
        <v>#N/A</v>
      </c>
      <c r="W186" t="e">
        <f ca="1">IF($T186&lt;=AA$4,INDEX(TypicalCriticalitiesMAHBarrier23[Typical Criticality],MATCH($T186,TypicalCriticalitiesMAHBarrier23[Column2],0)),"")</f>
        <v>#N/A</v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418</v>
      </c>
      <c r="O187" t="s">
        <v>419</v>
      </c>
      <c r="P187" t="s">
        <v>423</v>
      </c>
      <c r="Q187" t="s">
        <v>0</v>
      </c>
      <c r="R187">
        <f t="shared" si="6"/>
        <v>18</v>
      </c>
      <c r="S187" t="e">
        <f t="shared" ca="1" si="7"/>
        <v>#N/A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e">
        <f ca="1">IF($T187&lt;=AA$4,INDEX(TypicalCriticalitiesMAHBarrier23[Typical Components],MATCH($T187,TypicalCriticalitiesMAHBarrier23[Column2],0)),"")</f>
        <v>#N/A</v>
      </c>
      <c r="W187" t="e">
        <f ca="1">IF($T187&lt;=AA$4,INDEX(TypicalCriticalitiesMAHBarrier23[Typical Criticality],MATCH($T187,TypicalCriticalitiesMAHBarrier23[Column2],0)),"")</f>
        <v>#N/A</v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418</v>
      </c>
      <c r="O188" t="s">
        <v>424</v>
      </c>
      <c r="P188" t="s">
        <v>425</v>
      </c>
      <c r="Q188" t="s">
        <v>0</v>
      </c>
      <c r="R188">
        <f t="shared" si="6"/>
        <v>19</v>
      </c>
      <c r="S188" t="e">
        <f t="shared" ca="1" si="7"/>
        <v>#N/A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e">
        <f ca="1">IF($T188&lt;=AA$4,INDEX(TypicalCriticalitiesMAHBarrier23[Typical Components],MATCH($T188,TypicalCriticalitiesMAHBarrier23[Column2],0)),"")</f>
        <v>#N/A</v>
      </c>
      <c r="W188" t="e">
        <f ca="1">IF($T188&lt;=AA$4,INDEX(TypicalCriticalitiesMAHBarrier23[Typical Criticality],MATCH($T188,TypicalCriticalitiesMAHBarrier23[Column2],0)),"")</f>
        <v>#N/A</v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418</v>
      </c>
      <c r="O189" t="s">
        <v>426</v>
      </c>
      <c r="P189" t="s">
        <v>427</v>
      </c>
      <c r="Q189" t="s">
        <v>1</v>
      </c>
      <c r="R189">
        <f t="shared" si="6"/>
        <v>20</v>
      </c>
      <c r="S189" t="e">
        <f t="shared" ca="1" si="7"/>
        <v>#N/A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e">
        <f ca="1">IF($T189&lt;=AA$4,INDEX(TypicalCriticalitiesMAHBarrier23[Typical Components],MATCH($T189,TypicalCriticalitiesMAHBarrier23[Column2],0)),"")</f>
        <v>#N/A</v>
      </c>
      <c r="W189" t="e">
        <f ca="1">IF($T189&lt;=AA$4,INDEX(TypicalCriticalitiesMAHBarrier23[Typical Criticality],MATCH($T189,TypicalCriticalitiesMAHBarrier23[Column2],0)),"")</f>
        <v>#N/A</v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418</v>
      </c>
      <c r="O190" t="s">
        <v>428</v>
      </c>
      <c r="P190" t="s">
        <v>427</v>
      </c>
      <c r="Q190" t="s">
        <v>2</v>
      </c>
      <c r="R190">
        <f t="shared" si="6"/>
        <v>21</v>
      </c>
      <c r="S190" t="e">
        <f t="shared" ca="1" si="7"/>
        <v>#N/A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e">
        <f ca="1">IF($T190&lt;=AA$4,INDEX(TypicalCriticalitiesMAHBarrier23[Typical Components],MATCH($T190,TypicalCriticalitiesMAHBarrier23[Column2],0)),"")</f>
        <v>#N/A</v>
      </c>
      <c r="W190" t="e">
        <f ca="1">IF($T190&lt;=AA$4,INDEX(TypicalCriticalitiesMAHBarrier23[Typical Criticality],MATCH($T190,TypicalCriticalitiesMAHBarrier23[Column2],0)),"")</f>
        <v>#N/A</v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429</v>
      </c>
      <c r="O191" t="s">
        <v>430</v>
      </c>
      <c r="P191" t="s">
        <v>431</v>
      </c>
      <c r="Q191" t="s">
        <v>0</v>
      </c>
      <c r="R191">
        <f t="shared" si="6"/>
        <v>22</v>
      </c>
      <c r="S191" t="e">
        <f t="shared" ca="1" si="7"/>
        <v>#N/A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e">
        <f ca="1">IF($T191&lt;=AA$4,INDEX(TypicalCriticalitiesMAHBarrier23[Typical Components],MATCH($T191,TypicalCriticalitiesMAHBarrier23[Column2],0)),"")</f>
        <v>#N/A</v>
      </c>
      <c r="W191" t="e">
        <f ca="1">IF($T191&lt;=AA$4,INDEX(TypicalCriticalitiesMAHBarrier23[Typical Criticality],MATCH($T191,TypicalCriticalitiesMAHBarrier23[Column2],0)),"")</f>
        <v>#N/A</v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429</v>
      </c>
      <c r="O192" t="s">
        <v>430</v>
      </c>
      <c r="P192" t="s">
        <v>432</v>
      </c>
      <c r="Q192" t="s">
        <v>0</v>
      </c>
      <c r="R192">
        <f t="shared" si="6"/>
        <v>22</v>
      </c>
      <c r="S192" t="e">
        <f t="shared" ca="1" si="7"/>
        <v>#N/A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e">
        <f ca="1">IF($T192&lt;=AA$4,INDEX(TypicalCriticalitiesMAHBarrier23[Typical Components],MATCH($T192,TypicalCriticalitiesMAHBarrier23[Column2],0)),"")</f>
        <v>#N/A</v>
      </c>
      <c r="W192" t="e">
        <f ca="1">IF($T192&lt;=AA$4,INDEX(TypicalCriticalitiesMAHBarrier23[Typical Criticality],MATCH($T192,TypicalCriticalitiesMAHBarrier23[Column2],0)),"")</f>
        <v>#N/A</v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429</v>
      </c>
      <c r="O193" t="s">
        <v>430</v>
      </c>
      <c r="P193" t="s">
        <v>433</v>
      </c>
      <c r="Q193" t="s">
        <v>0</v>
      </c>
      <c r="R193">
        <f t="shared" si="6"/>
        <v>22</v>
      </c>
      <c r="S193" t="e">
        <f t="shared" ca="1" si="7"/>
        <v>#N/A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e">
        <f ca="1">IF($T193&lt;=AA$4,INDEX(TypicalCriticalitiesMAHBarrier23[Typical Components],MATCH($T193,TypicalCriticalitiesMAHBarrier23[Column2],0)),"")</f>
        <v>#N/A</v>
      </c>
      <c r="W193" t="e">
        <f ca="1">IF($T193&lt;=AA$4,INDEX(TypicalCriticalitiesMAHBarrier23[Typical Criticality],MATCH($T193,TypicalCriticalitiesMAHBarrier23[Column2],0)),"")</f>
        <v>#N/A</v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429</v>
      </c>
      <c r="O194" t="s">
        <v>430</v>
      </c>
      <c r="P194" t="s">
        <v>434</v>
      </c>
      <c r="Q194" t="s">
        <v>0</v>
      </c>
      <c r="R194">
        <f t="shared" si="6"/>
        <v>22</v>
      </c>
      <c r="S194" t="e">
        <f t="shared" ca="1" si="7"/>
        <v>#N/A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e">
        <f ca="1">IF($T194&lt;=AA$4,INDEX(TypicalCriticalitiesMAHBarrier23[Typical Components],MATCH($T194,TypicalCriticalitiesMAHBarrier23[Column2],0)),"")</f>
        <v>#N/A</v>
      </c>
      <c r="W194" t="e">
        <f ca="1">IF($T194&lt;=AA$4,INDEX(TypicalCriticalitiesMAHBarrier23[Typical Criticality],MATCH($T194,TypicalCriticalitiesMAHBarrier23[Column2],0)),"")</f>
        <v>#N/A</v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429</v>
      </c>
      <c r="O195" t="s">
        <v>435</v>
      </c>
      <c r="P195" t="s">
        <v>431</v>
      </c>
      <c r="Q195" t="s">
        <v>1</v>
      </c>
      <c r="R195">
        <f t="shared" si="6"/>
        <v>23</v>
      </c>
      <c r="S195" t="e">
        <f t="shared" ca="1" si="7"/>
        <v>#N/A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e">
        <f ca="1">IF($T195&lt;=AA$4,INDEX(TypicalCriticalitiesMAHBarrier23[Typical Components],MATCH($T195,TypicalCriticalitiesMAHBarrier23[Column2],0)),"")</f>
        <v>#N/A</v>
      </c>
      <c r="W195" t="e">
        <f ca="1">IF($T195&lt;=AA$4,INDEX(TypicalCriticalitiesMAHBarrier23[Typical Criticality],MATCH($T195,TypicalCriticalitiesMAHBarrier23[Column2],0)),"")</f>
        <v>#N/A</v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429</v>
      </c>
      <c r="O196" t="s">
        <v>435</v>
      </c>
      <c r="P196" t="s">
        <v>436</v>
      </c>
      <c r="Q196" t="s">
        <v>1</v>
      </c>
      <c r="R196">
        <f t="shared" si="6"/>
        <v>23</v>
      </c>
      <c r="S196" t="e">
        <f t="shared" ca="1" si="7"/>
        <v>#N/A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e">
        <f ca="1">IF($T196&lt;=AA$4,INDEX(TypicalCriticalitiesMAHBarrier23[Typical Components],MATCH($T196,TypicalCriticalitiesMAHBarrier23[Column2],0)),"")</f>
        <v>#N/A</v>
      </c>
      <c r="W196" t="e">
        <f ca="1">IF($T196&lt;=AA$4,INDEX(TypicalCriticalitiesMAHBarrier23[Typical Criticality],MATCH($T196,TypicalCriticalitiesMAHBarrier23[Column2],0)),"")</f>
        <v>#N/A</v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437</v>
      </c>
      <c r="O197" t="s">
        <v>438</v>
      </c>
      <c r="P197" t="s">
        <v>439</v>
      </c>
      <c r="Q197" t="s">
        <v>0</v>
      </c>
      <c r="R197">
        <f t="shared" ref="R197:R264" si="9">IF(AND(O197&lt;&gt;O196,O197&lt;&gt;""),R196+1,R196)</f>
        <v>24</v>
      </c>
      <c r="S197" t="e">
        <f t="shared" ref="S197:S264" ca="1" si="10">IF(R197=$Z$5,IF(AND(P197&lt;&gt;P196,P197&lt;&gt;""),S196+1,S196),S196)</f>
        <v>#N/A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e">
        <f ca="1">IF($T197&lt;=AA$4,INDEX(TypicalCriticalitiesMAHBarrier23[Typical Components],MATCH($T197,TypicalCriticalitiesMAHBarrier23[Column2],0)),"")</f>
        <v>#N/A</v>
      </c>
      <c r="W197" t="e">
        <f ca="1">IF($T197&lt;=AA$4,INDEX(TypicalCriticalitiesMAHBarrier23[Typical Criticality],MATCH($T197,TypicalCriticalitiesMAHBarrier23[Column2],0)),"")</f>
        <v>#N/A</v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440</v>
      </c>
      <c r="O198" t="s">
        <v>441</v>
      </c>
      <c r="P198" t="s">
        <v>442</v>
      </c>
      <c r="Q198" t="s">
        <v>0</v>
      </c>
      <c r="R198">
        <f t="shared" si="9"/>
        <v>25</v>
      </c>
      <c r="S198" t="e">
        <f t="shared" ca="1" si="10"/>
        <v>#N/A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e">
        <f ca="1">IF($T198&lt;=AA$4,INDEX(TypicalCriticalitiesMAHBarrier23[Typical Components],MATCH($T198,TypicalCriticalitiesMAHBarrier23[Column2],0)),"")</f>
        <v>#N/A</v>
      </c>
      <c r="W198" t="e">
        <f ca="1">IF($T198&lt;=AA$4,INDEX(TypicalCriticalitiesMAHBarrier23[Typical Criticality],MATCH($T198,TypicalCriticalitiesMAHBarrier23[Column2],0)),"")</f>
        <v>#N/A</v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443</v>
      </c>
      <c r="O199" t="s">
        <v>444</v>
      </c>
      <c r="P199" t="s">
        <v>445</v>
      </c>
      <c r="Q199" t="s">
        <v>1</v>
      </c>
      <c r="R199">
        <f t="shared" si="9"/>
        <v>26</v>
      </c>
      <c r="S199" t="e">
        <f t="shared" ca="1" si="10"/>
        <v>#N/A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e">
        <f ca="1">IF($T199&lt;=AA$4,INDEX(TypicalCriticalitiesMAHBarrier23[Typical Components],MATCH($T199,TypicalCriticalitiesMAHBarrier23[Column2],0)),"")</f>
        <v>#N/A</v>
      </c>
      <c r="W199" t="e">
        <f ca="1">IF($T199&lt;=AA$4,INDEX(TypicalCriticalitiesMAHBarrier23[Typical Criticality],MATCH($T199,TypicalCriticalitiesMAHBarrier23[Column2],0)),"")</f>
        <v>#N/A</v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443</v>
      </c>
      <c r="O200" t="s">
        <v>444</v>
      </c>
      <c r="P200" t="s">
        <v>446</v>
      </c>
      <c r="Q200" t="s">
        <v>1</v>
      </c>
      <c r="R200">
        <f t="shared" si="9"/>
        <v>26</v>
      </c>
      <c r="S200" t="e">
        <f t="shared" ca="1" si="10"/>
        <v>#N/A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e">
        <f ca="1">IF($T200&lt;=AA$4,INDEX(TypicalCriticalitiesMAHBarrier23[Typical Components],MATCH($T200,TypicalCriticalitiesMAHBarrier23[Column2],0)),"")</f>
        <v>#N/A</v>
      </c>
      <c r="W200" t="e">
        <f ca="1">IF($T200&lt;=AA$4,INDEX(TypicalCriticalitiesMAHBarrier23[Typical Criticality],MATCH($T200,TypicalCriticalitiesMAHBarrier23[Column2],0)),"")</f>
        <v>#N/A</v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447</v>
      </c>
      <c r="O201" t="s">
        <v>448</v>
      </c>
      <c r="P201" t="s">
        <v>449</v>
      </c>
      <c r="Q201" t="s">
        <v>450</v>
      </c>
      <c r="R201">
        <f t="shared" si="9"/>
        <v>27</v>
      </c>
      <c r="S201" t="e">
        <f t="shared" ca="1" si="10"/>
        <v>#N/A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e">
        <f ca="1">IF($T201&lt;=AA$4,INDEX(TypicalCriticalitiesMAHBarrier23[Typical Components],MATCH($T201,TypicalCriticalitiesMAHBarrier23[Column2],0)),"")</f>
        <v>#N/A</v>
      </c>
      <c r="W201" t="e">
        <f ca="1">IF($T201&lt;=AA$4,INDEX(TypicalCriticalitiesMAHBarrier23[Typical Criticality],MATCH($T201,TypicalCriticalitiesMAHBarrier23[Column2],0)),"")</f>
        <v>#N/A</v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447</v>
      </c>
      <c r="O202" t="str">
        <f t="shared" ref="O202:O208" si="12">O201</f>
        <v xml:space="preserve">Bunding, Open and Closed Hazardous Drains </v>
      </c>
      <c r="P202" t="s">
        <v>451</v>
      </c>
      <c r="Q202" t="s">
        <v>450</v>
      </c>
      <c r="R202">
        <f t="shared" si="9"/>
        <v>27</v>
      </c>
      <c r="S202" t="e">
        <f t="shared" ca="1" si="10"/>
        <v>#N/A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e">
        <f ca="1">IF($T202&lt;=AA$4,INDEX(TypicalCriticalitiesMAHBarrier23[Typical Components],MATCH($T202,TypicalCriticalitiesMAHBarrier23[Column2],0)),"")</f>
        <v>#N/A</v>
      </c>
      <c r="W202" t="e">
        <f ca="1">IF($T202&lt;=AA$4,INDEX(TypicalCriticalitiesMAHBarrier23[Typical Criticality],MATCH($T202,TypicalCriticalitiesMAHBarrier23[Column2],0)),"")</f>
        <v>#N/A</v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447</v>
      </c>
      <c r="O203" t="str">
        <f t="shared" si="12"/>
        <v xml:space="preserve">Bunding, Open and Closed Hazardous Drains </v>
      </c>
      <c r="P203" t="s">
        <v>452</v>
      </c>
      <c r="Q203" t="s">
        <v>453</v>
      </c>
      <c r="R203">
        <f t="shared" si="9"/>
        <v>27</v>
      </c>
      <c r="S203" t="e">
        <f t="shared" ca="1" si="10"/>
        <v>#N/A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e">
        <f ca="1">IF($T203&lt;=AA$4,INDEX(TypicalCriticalitiesMAHBarrier23[Typical Components],MATCH($T203,TypicalCriticalitiesMAHBarrier23[Column2],0)),"")</f>
        <v>#N/A</v>
      </c>
      <c r="W203" t="e">
        <f ca="1">IF($T203&lt;=AA$4,INDEX(TypicalCriticalitiesMAHBarrier23[Typical Criticality],MATCH($T203,TypicalCriticalitiesMAHBarrier23[Column2],0)),"")</f>
        <v>#N/A</v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447</v>
      </c>
      <c r="O204" t="str">
        <f t="shared" si="12"/>
        <v xml:space="preserve">Bunding, Open and Closed Hazardous Drains </v>
      </c>
      <c r="P204" t="s">
        <v>454</v>
      </c>
      <c r="Q204" t="s">
        <v>453</v>
      </c>
      <c r="R204">
        <f t="shared" si="9"/>
        <v>27</v>
      </c>
      <c r="S204" t="e">
        <f t="shared" ca="1" si="10"/>
        <v>#N/A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e">
        <f ca="1">IF($T204&lt;=AA$4,INDEX(TypicalCriticalitiesMAHBarrier23[Typical Components],MATCH($T204,TypicalCriticalitiesMAHBarrier23[Column2],0)),"")</f>
        <v>#N/A</v>
      </c>
      <c r="W204" t="e">
        <f ca="1">IF($T204&lt;=AA$4,INDEX(TypicalCriticalitiesMAHBarrier23[Typical Criticality],MATCH($T204,TypicalCriticalitiesMAHBarrier23[Column2],0)),"")</f>
        <v>#N/A</v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447</v>
      </c>
      <c r="O205" t="str">
        <f t="shared" si="12"/>
        <v xml:space="preserve">Bunding, Open and Closed Hazardous Drains </v>
      </c>
      <c r="P205" t="s">
        <v>455</v>
      </c>
      <c r="Q205" t="s">
        <v>453</v>
      </c>
      <c r="R205">
        <f t="shared" si="9"/>
        <v>27</v>
      </c>
      <c r="S205" t="e">
        <f t="shared" ca="1" si="10"/>
        <v>#N/A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e">
        <f ca="1">IF($T205&lt;=AA$4,INDEX(TypicalCriticalitiesMAHBarrier23[Typical Components],MATCH($T205,TypicalCriticalitiesMAHBarrier23[Column2],0)),"")</f>
        <v>#N/A</v>
      </c>
      <c r="W205" t="e">
        <f ca="1">IF($T205&lt;=AA$4,INDEX(TypicalCriticalitiesMAHBarrier23[Typical Criticality],MATCH($T205,TypicalCriticalitiesMAHBarrier23[Column2],0)),"")</f>
        <v>#N/A</v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447</v>
      </c>
      <c r="O206" t="str">
        <f t="shared" si="12"/>
        <v xml:space="preserve">Bunding, Open and Closed Hazardous Drains </v>
      </c>
      <c r="P206" t="s">
        <v>456</v>
      </c>
      <c r="Q206" t="s">
        <v>450</v>
      </c>
      <c r="R206">
        <f t="shared" si="9"/>
        <v>27</v>
      </c>
      <c r="S206" t="e">
        <f t="shared" ca="1" si="10"/>
        <v>#N/A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e">
        <f ca="1">IF($T206&lt;=AA$4,INDEX(TypicalCriticalitiesMAHBarrier23[Typical Components],MATCH($T206,TypicalCriticalitiesMAHBarrier23[Column2],0)),"")</f>
        <v>#N/A</v>
      </c>
      <c r="W206" t="e">
        <f ca="1">IF($T206&lt;=AA$4,INDEX(TypicalCriticalitiesMAHBarrier23[Typical Criticality],MATCH($T206,TypicalCriticalitiesMAHBarrier23[Column2],0)),"")</f>
        <v>#N/A</v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447</v>
      </c>
      <c r="O207" t="str">
        <f t="shared" si="12"/>
        <v xml:space="preserve">Bunding, Open and Closed Hazardous Drains </v>
      </c>
      <c r="P207" t="s">
        <v>457</v>
      </c>
      <c r="Q207" t="s">
        <v>450</v>
      </c>
      <c r="R207">
        <f t="shared" si="9"/>
        <v>27</v>
      </c>
      <c r="S207" t="e">
        <f t="shared" ca="1" si="10"/>
        <v>#N/A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e">
        <f ca="1">IF($T207&lt;=AA$4,INDEX(TypicalCriticalitiesMAHBarrier23[Typical Components],MATCH($T207,TypicalCriticalitiesMAHBarrier23[Column2],0)),"")</f>
        <v>#N/A</v>
      </c>
      <c r="W207" t="e">
        <f ca="1">IF($T207&lt;=AA$4,INDEX(TypicalCriticalitiesMAHBarrier23[Typical Criticality],MATCH($T207,TypicalCriticalitiesMAHBarrier23[Column2],0)),"")</f>
        <v>#N/A</v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447</v>
      </c>
      <c r="O208" t="str">
        <f t="shared" si="12"/>
        <v xml:space="preserve">Bunding, Open and Closed Hazardous Drains </v>
      </c>
      <c r="P208" t="s">
        <v>458</v>
      </c>
      <c r="Q208" t="s">
        <v>453</v>
      </c>
      <c r="R208">
        <f t="shared" si="9"/>
        <v>27</v>
      </c>
      <c r="S208" t="e">
        <f t="shared" ca="1" si="10"/>
        <v>#N/A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e">
        <f ca="1">IF($T208&lt;=AA$4,INDEX(TypicalCriticalitiesMAHBarrier23[Typical Components],MATCH($T208,TypicalCriticalitiesMAHBarrier23[Column2],0)),"")</f>
        <v>#N/A</v>
      </c>
      <c r="W208" t="e">
        <f ca="1">IF($T208&lt;=AA$4,INDEX(TypicalCriticalitiesMAHBarrier23[Typical Criticality],MATCH($T208,TypicalCriticalitiesMAHBarrier23[Column2],0)),"")</f>
        <v>#N/A</v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459</v>
      </c>
      <c r="O209" t="s">
        <v>460</v>
      </c>
      <c r="P209" t="s">
        <v>461</v>
      </c>
      <c r="Q209" t="s">
        <v>453</v>
      </c>
      <c r="R209">
        <f t="shared" si="9"/>
        <v>28</v>
      </c>
      <c r="S209" t="e">
        <f t="shared" ca="1" si="10"/>
        <v>#N/A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e">
        <f ca="1">IF($T209&lt;=AA$4,INDEX(TypicalCriticalitiesMAHBarrier23[Typical Components],MATCH($T209,TypicalCriticalitiesMAHBarrier23[Column2],0)),"")</f>
        <v>#N/A</v>
      </c>
      <c r="W209" t="e">
        <f ca="1">IF($T209&lt;=AA$4,INDEX(TypicalCriticalitiesMAHBarrier23[Typical Criticality],MATCH($T209,TypicalCriticalitiesMAHBarrier23[Column2],0)),"")</f>
        <v>#N/A</v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462</v>
      </c>
      <c r="O210" t="s">
        <v>463</v>
      </c>
      <c r="P210" t="s">
        <v>464</v>
      </c>
      <c r="Q210" t="s">
        <v>453</v>
      </c>
      <c r="R210">
        <f t="shared" si="9"/>
        <v>29</v>
      </c>
      <c r="S210" t="e">
        <f t="shared" ca="1" si="10"/>
        <v>#N/A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e">
        <f ca="1">IF($T210&lt;=AA$4,INDEX(TypicalCriticalitiesMAHBarrier23[Typical Components],MATCH($T210,TypicalCriticalitiesMAHBarrier23[Column2],0)),"")</f>
        <v>#N/A</v>
      </c>
      <c r="W210" t="e">
        <f ca="1">IF($T210&lt;=AA$4,INDEX(TypicalCriticalitiesMAHBarrier23[Typical Criticality],MATCH($T210,TypicalCriticalitiesMAHBarrier23[Column2],0)),"")</f>
        <v>#N/A</v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462</v>
      </c>
      <c r="O211" t="str">
        <f>O210</f>
        <v xml:space="preserve">Blast Overpressure Protection </v>
      </c>
      <c r="P211" t="s">
        <v>465</v>
      </c>
      <c r="Q211" t="s">
        <v>453</v>
      </c>
      <c r="R211">
        <f t="shared" si="9"/>
        <v>29</v>
      </c>
      <c r="S211" t="e">
        <f t="shared" ca="1" si="10"/>
        <v>#N/A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e">
        <f ca="1">IF($T211&lt;=AA$4,INDEX(TypicalCriticalitiesMAHBarrier23[Typical Components],MATCH($T211,TypicalCriticalitiesMAHBarrier23[Column2],0)),"")</f>
        <v>#N/A</v>
      </c>
      <c r="W211" t="e">
        <f ca="1">IF($T211&lt;=AA$4,INDEX(TypicalCriticalitiesMAHBarrier23[Typical Criticality],MATCH($T211,TypicalCriticalitiesMAHBarrier23[Column2],0)),"")</f>
        <v>#N/A</v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466</v>
      </c>
      <c r="O212" t="s">
        <v>467</v>
      </c>
      <c r="P212" t="s">
        <v>468</v>
      </c>
      <c r="Q212" t="s">
        <v>453</v>
      </c>
      <c r="R212">
        <f t="shared" si="9"/>
        <v>30</v>
      </c>
      <c r="S212" t="e">
        <f t="shared" ca="1" si="10"/>
        <v>#N/A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e">
        <f ca="1">IF($T212&lt;=AA$4,INDEX(TypicalCriticalitiesMAHBarrier23[Typical Components],MATCH($T212,TypicalCriticalitiesMAHBarrier23[Column2],0)),"")</f>
        <v>#N/A</v>
      </c>
      <c r="W212" t="e">
        <f ca="1">IF($T212&lt;=AA$4,INDEX(TypicalCriticalitiesMAHBarrier23[Typical Criticality],MATCH($T212,TypicalCriticalitiesMAHBarrier23[Column2],0)),"")</f>
        <v>#N/A</v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466</v>
      </c>
      <c r="O213" t="s">
        <v>467</v>
      </c>
      <c r="P213" t="s">
        <v>469</v>
      </c>
      <c r="Q213" t="s">
        <v>450</v>
      </c>
      <c r="R213">
        <f t="shared" si="9"/>
        <v>30</v>
      </c>
      <c r="S213" t="e">
        <f t="shared" ca="1" si="10"/>
        <v>#N/A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e">
        <f ca="1">IF($T213&lt;=AA$4,INDEX(TypicalCriticalitiesMAHBarrier23[Typical Components],MATCH($T213,TypicalCriticalitiesMAHBarrier23[Column2],0)),"")</f>
        <v>#N/A</v>
      </c>
      <c r="W213" t="e">
        <f ca="1">IF($T213&lt;=AA$4,INDEX(TypicalCriticalitiesMAHBarrier23[Typical Criticality],MATCH($T213,TypicalCriticalitiesMAHBarrier23[Column2],0)),"")</f>
        <v>#N/A</v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470</v>
      </c>
      <c r="O214" t="s">
        <v>471</v>
      </c>
      <c r="P214" t="s">
        <v>472</v>
      </c>
      <c r="Q214" t="s">
        <v>453</v>
      </c>
      <c r="R214">
        <f t="shared" si="9"/>
        <v>31</v>
      </c>
      <c r="S214" t="e">
        <f t="shared" ca="1" si="10"/>
        <v>#N/A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e">
        <f ca="1">IF($T214&lt;=AA$4,INDEX(TypicalCriticalitiesMAHBarrier23[Typical Components],MATCH($T214,TypicalCriticalitiesMAHBarrier23[Column2],0)),"")</f>
        <v>#N/A</v>
      </c>
      <c r="W214" t="e">
        <f ca="1">IF($T214&lt;=AA$4,INDEX(TypicalCriticalitiesMAHBarrier23[Typical Criticality],MATCH($T214,TypicalCriticalitiesMAHBarrier23[Column2],0)),"")</f>
        <v>#N/A</v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470</v>
      </c>
      <c r="O215" t="s">
        <v>473</v>
      </c>
      <c r="P215" t="s">
        <v>474</v>
      </c>
      <c r="Q215" t="s">
        <v>453</v>
      </c>
      <c r="R215">
        <f t="shared" si="9"/>
        <v>32</v>
      </c>
      <c r="S215" t="e">
        <f t="shared" ca="1" si="10"/>
        <v>#N/A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e">
        <f ca="1">IF($T215&lt;=AA$4,INDEX(TypicalCriticalitiesMAHBarrier23[Typical Components],MATCH($T215,TypicalCriticalitiesMAHBarrier23[Column2],0)),"")</f>
        <v>#N/A</v>
      </c>
      <c r="W215" t="e">
        <f ca="1">IF($T215&lt;=AA$4,INDEX(TypicalCriticalitiesMAHBarrier23[Typical Criticality],MATCH($T215,TypicalCriticalitiesMAHBarrier23[Column2],0)),"")</f>
        <v>#N/A</v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475</v>
      </c>
      <c r="O216" t="s">
        <v>476</v>
      </c>
      <c r="P216" t="s">
        <v>477</v>
      </c>
      <c r="Q216" t="s">
        <v>0</v>
      </c>
      <c r="R216">
        <f t="shared" si="9"/>
        <v>33</v>
      </c>
      <c r="S216" t="e">
        <f t="shared" ca="1" si="10"/>
        <v>#N/A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e">
        <f ca="1">IF($T216&lt;=AA$4,INDEX(TypicalCriticalitiesMAHBarrier23[Typical Components],MATCH($T216,TypicalCriticalitiesMAHBarrier23[Column2],0)),"")</f>
        <v>#N/A</v>
      </c>
      <c r="W216" t="e">
        <f ca="1">IF($T216&lt;=AA$4,INDEX(TypicalCriticalitiesMAHBarrier23[Typical Criticality],MATCH($T216,TypicalCriticalitiesMAHBarrier23[Column2],0)),"")</f>
        <v>#N/A</v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475</v>
      </c>
      <c r="O217" t="s">
        <v>629</v>
      </c>
      <c r="P217" t="s">
        <v>630</v>
      </c>
      <c r="Q217" t="s">
        <v>453</v>
      </c>
      <c r="R217">
        <f t="shared" si="9"/>
        <v>34</v>
      </c>
      <c r="S217" t="e">
        <f t="shared" ca="1" si="10"/>
        <v>#N/A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e">
        <f ca="1">IF($T217&lt;=AA$4,INDEX(TypicalCriticalitiesMAHBarrier23[Typical Components],MATCH($T217,TypicalCriticalitiesMAHBarrier23[Column2],0)),"")</f>
        <v>#N/A</v>
      </c>
      <c r="W217" t="e">
        <f ca="1">IF($T217&lt;=AA$4,INDEX(TypicalCriticalitiesMAHBarrier23[Typical Criticality],MATCH($T217,TypicalCriticalitiesMAHBarrier23[Column2],0)),"")</f>
        <v>#N/A</v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475</v>
      </c>
      <c r="O218" t="s">
        <v>631</v>
      </c>
      <c r="P218" t="s">
        <v>632</v>
      </c>
      <c r="Q218" t="s">
        <v>0</v>
      </c>
      <c r="R218">
        <f t="shared" si="9"/>
        <v>35</v>
      </c>
      <c r="S218" t="e">
        <f t="shared" ca="1" si="10"/>
        <v>#N/A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e">
        <f ca="1">IF($T218&lt;=AA$4,INDEX(TypicalCriticalitiesMAHBarrier23[Typical Components],MATCH($T218,TypicalCriticalitiesMAHBarrier23[Column2],0)),"")</f>
        <v>#N/A</v>
      </c>
      <c r="W218" t="e">
        <f ca="1">IF($T218&lt;=AA$4,INDEX(TypicalCriticalitiesMAHBarrier23[Typical Criticality],MATCH($T218,TypicalCriticalitiesMAHBarrier23[Column2],0)),"")</f>
        <v>#N/A</v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475</v>
      </c>
      <c r="O219" t="s">
        <v>633</v>
      </c>
      <c r="Q219" t="s">
        <v>0</v>
      </c>
      <c r="R219">
        <f t="shared" si="9"/>
        <v>36</v>
      </c>
      <c r="S219" t="e">
        <f t="shared" ca="1" si="10"/>
        <v>#N/A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e">
        <f ca="1">IF($T219&lt;=AA$4,INDEX(TypicalCriticalitiesMAHBarrier23[Typical Components],MATCH($T219,TypicalCriticalitiesMAHBarrier23[Column2],0)),"")</f>
        <v>#N/A</v>
      </c>
      <c r="W219" t="e">
        <f ca="1">IF($T219&lt;=AA$4,INDEX(TypicalCriticalitiesMAHBarrier23[Typical Criticality],MATCH($T219,TypicalCriticalitiesMAHBarrier23[Column2],0)),"")</f>
        <v>#N/A</v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475</v>
      </c>
      <c r="O220" t="s">
        <v>634</v>
      </c>
      <c r="P220" t="s">
        <v>635</v>
      </c>
      <c r="Q220" t="s">
        <v>0</v>
      </c>
      <c r="R220">
        <f t="shared" si="9"/>
        <v>37</v>
      </c>
      <c r="S220" t="e">
        <f t="shared" ca="1" si="10"/>
        <v>#N/A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e">
        <f ca="1">IF($T220&lt;=AA$4,INDEX(TypicalCriticalitiesMAHBarrier23[Typical Components],MATCH($T220,TypicalCriticalitiesMAHBarrier23[Column2],0)),"")</f>
        <v>#N/A</v>
      </c>
      <c r="W220" t="e">
        <f ca="1">IF($T220&lt;=AA$4,INDEX(TypicalCriticalitiesMAHBarrier23[Typical Criticality],MATCH($T220,TypicalCriticalitiesMAHBarrier23[Column2],0)),"")</f>
        <v>#N/A</v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478</v>
      </c>
      <c r="O221" t="s">
        <v>479</v>
      </c>
      <c r="P221" t="s">
        <v>480</v>
      </c>
      <c r="Q221" t="s">
        <v>0</v>
      </c>
      <c r="R221">
        <f t="shared" si="9"/>
        <v>38</v>
      </c>
      <c r="S221" t="e">
        <f t="shared" ca="1" si="10"/>
        <v>#N/A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e">
        <f ca="1">IF($T221&lt;=AA$4,INDEX(TypicalCriticalitiesMAHBarrier23[Typical Components],MATCH($T221,TypicalCriticalitiesMAHBarrier23[Column2],0)),"")</f>
        <v>#N/A</v>
      </c>
      <c r="W221" t="e">
        <f ca="1">IF($T221&lt;=AA$4,INDEX(TypicalCriticalitiesMAHBarrier23[Typical Criticality],MATCH($T221,TypicalCriticalitiesMAHBarrier23[Column2],0)),"")</f>
        <v>#N/A</v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478</v>
      </c>
      <c r="O222" t="s">
        <v>479</v>
      </c>
      <c r="P222" t="s">
        <v>481</v>
      </c>
      <c r="Q222" t="s">
        <v>0</v>
      </c>
      <c r="R222">
        <f t="shared" si="9"/>
        <v>38</v>
      </c>
      <c r="S222" t="e">
        <f t="shared" ca="1" si="10"/>
        <v>#N/A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e">
        <f ca="1">IF($T222&lt;=AA$4,INDEX(TypicalCriticalitiesMAHBarrier23[Typical Components],MATCH($T222,TypicalCriticalitiesMAHBarrier23[Column2],0)),"")</f>
        <v>#N/A</v>
      </c>
      <c r="W222" t="e">
        <f ca="1">IF($T222&lt;=AA$4,INDEX(TypicalCriticalitiesMAHBarrier23[Typical Criticality],MATCH($T222,TypicalCriticalitiesMAHBarrier23[Column2],0)),"")</f>
        <v>#N/A</v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478</v>
      </c>
      <c r="O223" t="s">
        <v>479</v>
      </c>
      <c r="P223" t="s">
        <v>482</v>
      </c>
      <c r="Q223" t="s">
        <v>1</v>
      </c>
      <c r="R223">
        <f t="shared" si="9"/>
        <v>38</v>
      </c>
      <c r="S223" t="e">
        <f t="shared" ca="1" si="10"/>
        <v>#N/A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e">
        <f ca="1">IF($T223&lt;=AA$4,INDEX(TypicalCriticalitiesMAHBarrier23[Typical Components],MATCH($T223,TypicalCriticalitiesMAHBarrier23[Column2],0)),"")</f>
        <v>#N/A</v>
      </c>
      <c r="W223" t="e">
        <f ca="1">IF($T223&lt;=AA$4,INDEX(TypicalCriticalitiesMAHBarrier23[Typical Criticality],MATCH($T223,TypicalCriticalitiesMAHBarrier23[Column2],0)),"")</f>
        <v>#N/A</v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478</v>
      </c>
      <c r="O224" t="s">
        <v>479</v>
      </c>
      <c r="P224" t="s">
        <v>483</v>
      </c>
      <c r="Q224" t="s">
        <v>0</v>
      </c>
      <c r="R224">
        <f t="shared" si="9"/>
        <v>38</v>
      </c>
      <c r="S224" t="e">
        <f t="shared" ca="1" si="10"/>
        <v>#N/A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e">
        <f ca="1">IF($T224&lt;=AA$4,INDEX(TypicalCriticalitiesMAHBarrier23[Typical Components],MATCH($T224,TypicalCriticalitiesMAHBarrier23[Column2],0)),"")</f>
        <v>#N/A</v>
      </c>
      <c r="W224" t="e">
        <f ca="1">IF($T224&lt;=AA$4,INDEX(TypicalCriticalitiesMAHBarrier23[Typical Criticality],MATCH($T224,TypicalCriticalitiesMAHBarrier23[Column2],0)),"")</f>
        <v>#N/A</v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484</v>
      </c>
      <c r="O225" t="s">
        <v>485</v>
      </c>
      <c r="P225" t="s">
        <v>486</v>
      </c>
      <c r="Q225" t="s">
        <v>0</v>
      </c>
      <c r="R225">
        <f t="shared" si="9"/>
        <v>39</v>
      </c>
      <c r="S225" t="e">
        <f t="shared" ca="1" si="10"/>
        <v>#N/A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e">
        <f ca="1">IF($T225&lt;=AA$4,INDEX(TypicalCriticalitiesMAHBarrier23[Typical Components],MATCH($T225,TypicalCriticalitiesMAHBarrier23[Column2],0)),"")</f>
        <v>#N/A</v>
      </c>
      <c r="W225" t="e">
        <f ca="1">IF($T225&lt;=AA$4,INDEX(TypicalCriticalitiesMAHBarrier23[Typical Criticality],MATCH($T225,TypicalCriticalitiesMAHBarrier23[Column2],0)),"")</f>
        <v>#N/A</v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484</v>
      </c>
      <c r="O226" t="s">
        <v>485</v>
      </c>
      <c r="P226" t="s">
        <v>487</v>
      </c>
      <c r="Q226" t="s">
        <v>1</v>
      </c>
      <c r="R226">
        <f t="shared" si="9"/>
        <v>39</v>
      </c>
      <c r="S226" t="e">
        <f t="shared" ca="1" si="10"/>
        <v>#N/A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e">
        <f ca="1">IF($T226&lt;=AA$4,INDEX(TypicalCriticalitiesMAHBarrier23[Typical Components],MATCH($T226,TypicalCriticalitiesMAHBarrier23[Column2],0)),"")</f>
        <v>#N/A</v>
      </c>
      <c r="W226" t="e">
        <f ca="1">IF($T226&lt;=AA$4,INDEX(TypicalCriticalitiesMAHBarrier23[Typical Criticality],MATCH($T226,TypicalCriticalitiesMAHBarrier23[Column2],0)),"")</f>
        <v>#N/A</v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484</v>
      </c>
      <c r="O227" t="s">
        <v>485</v>
      </c>
      <c r="P227" t="s">
        <v>488</v>
      </c>
      <c r="Q227" t="s">
        <v>1</v>
      </c>
      <c r="R227">
        <f t="shared" si="9"/>
        <v>39</v>
      </c>
      <c r="S227" t="e">
        <f t="shared" ca="1" si="10"/>
        <v>#N/A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e">
        <f ca="1">IF($T227&lt;=AA$4,INDEX(TypicalCriticalitiesMAHBarrier23[Typical Components],MATCH($T227,TypicalCriticalitiesMAHBarrier23[Column2],0)),"")</f>
        <v>#N/A</v>
      </c>
      <c r="W227" t="e">
        <f ca="1">IF($T227&lt;=AA$4,INDEX(TypicalCriticalitiesMAHBarrier23[Typical Criticality],MATCH($T227,TypicalCriticalitiesMAHBarrier23[Column2],0)),"")</f>
        <v>#N/A</v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489</v>
      </c>
      <c r="O228" t="s">
        <v>490</v>
      </c>
      <c r="P228" t="s">
        <v>491</v>
      </c>
      <c r="Q228" t="s">
        <v>0</v>
      </c>
      <c r="R228">
        <f t="shared" si="9"/>
        <v>40</v>
      </c>
      <c r="S228" t="e">
        <f t="shared" ca="1" si="10"/>
        <v>#N/A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e">
        <f ca="1">IF($T228&lt;=AA$4,INDEX(TypicalCriticalitiesMAHBarrier23[Typical Components],MATCH($T228,TypicalCriticalitiesMAHBarrier23[Column2],0)),"")</f>
        <v>#N/A</v>
      </c>
      <c r="W228" t="e">
        <f ca="1">IF($T228&lt;=AA$4,INDEX(TypicalCriticalitiesMAHBarrier23[Typical Criticality],MATCH($T228,TypicalCriticalitiesMAHBarrier23[Column2],0)),"")</f>
        <v>#N/A</v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489</v>
      </c>
      <c r="O229" t="s">
        <v>490</v>
      </c>
      <c r="P229" t="s">
        <v>492</v>
      </c>
      <c r="Q229" t="s">
        <v>1</v>
      </c>
      <c r="R229">
        <f t="shared" si="9"/>
        <v>40</v>
      </c>
      <c r="S229" t="e">
        <f t="shared" ca="1" si="10"/>
        <v>#N/A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e">
        <f ca="1">IF($T229&lt;=AA$4,INDEX(TypicalCriticalitiesMAHBarrier23[Typical Components],MATCH($T229,TypicalCriticalitiesMAHBarrier23[Column2],0)),"")</f>
        <v>#N/A</v>
      </c>
      <c r="W229" t="e">
        <f ca="1">IF($T229&lt;=AA$4,INDEX(TypicalCriticalitiesMAHBarrier23[Typical Criticality],MATCH($T229,TypicalCriticalitiesMAHBarrier23[Column2],0)),"")</f>
        <v>#N/A</v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489</v>
      </c>
      <c r="O230" t="s">
        <v>490</v>
      </c>
      <c r="P230" t="s">
        <v>493</v>
      </c>
      <c r="Q230" t="s">
        <v>0</v>
      </c>
      <c r="R230">
        <f t="shared" si="9"/>
        <v>40</v>
      </c>
      <c r="S230" t="e">
        <f t="shared" ca="1" si="10"/>
        <v>#N/A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e">
        <f ca="1">IF($T230&lt;=AA$4,INDEX(TypicalCriticalitiesMAHBarrier23[Typical Components],MATCH($T230,TypicalCriticalitiesMAHBarrier23[Column2],0)),"")</f>
        <v>#N/A</v>
      </c>
      <c r="W230" t="e">
        <f ca="1">IF($T230&lt;=AA$4,INDEX(TypicalCriticalitiesMAHBarrier23[Typical Criticality],MATCH($T230,TypicalCriticalitiesMAHBarrier23[Column2],0)),"")</f>
        <v>#N/A</v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494</v>
      </c>
      <c r="O231" t="s">
        <v>495</v>
      </c>
      <c r="P231" t="s">
        <v>496</v>
      </c>
      <c r="Q231" t="s">
        <v>0</v>
      </c>
      <c r="R231">
        <f t="shared" si="9"/>
        <v>41</v>
      </c>
      <c r="S231" t="e">
        <f t="shared" ca="1" si="10"/>
        <v>#N/A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e">
        <f ca="1">IF($T231&lt;=AA$4,INDEX(TypicalCriticalitiesMAHBarrier23[Typical Components],MATCH($T231,TypicalCriticalitiesMAHBarrier23[Column2],0)),"")</f>
        <v>#N/A</v>
      </c>
      <c r="W231" t="e">
        <f ca="1">IF($T231&lt;=AA$4,INDEX(TypicalCriticalitiesMAHBarrier23[Typical Criticality],MATCH($T231,TypicalCriticalitiesMAHBarrier23[Column2],0)),"")</f>
        <v>#N/A</v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494</v>
      </c>
      <c r="O232" t="s">
        <v>495</v>
      </c>
      <c r="P232" t="s">
        <v>497</v>
      </c>
      <c r="Q232" t="s">
        <v>1</v>
      </c>
      <c r="R232">
        <f t="shared" si="9"/>
        <v>41</v>
      </c>
      <c r="S232" t="e">
        <f t="shared" ca="1" si="10"/>
        <v>#N/A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e">
        <f ca="1">IF($T232&lt;=AA$4,INDEX(TypicalCriticalitiesMAHBarrier23[Typical Components],MATCH($T232,TypicalCriticalitiesMAHBarrier23[Column2],0)),"")</f>
        <v>#N/A</v>
      </c>
      <c r="W232" t="e">
        <f ca="1">IF($T232&lt;=AA$4,INDEX(TypicalCriticalitiesMAHBarrier23[Typical Criticality],MATCH($T232,TypicalCriticalitiesMAHBarrier23[Column2],0)),"")</f>
        <v>#N/A</v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494</v>
      </c>
      <c r="O233" t="s">
        <v>495</v>
      </c>
      <c r="P233" t="s">
        <v>498</v>
      </c>
      <c r="Q233" t="s">
        <v>0</v>
      </c>
      <c r="R233">
        <f t="shared" si="9"/>
        <v>41</v>
      </c>
      <c r="S233" t="e">
        <f t="shared" ca="1" si="10"/>
        <v>#N/A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e">
        <f ca="1">IF($T233&lt;=AA$4,INDEX(TypicalCriticalitiesMAHBarrier23[Typical Components],MATCH($T233,TypicalCriticalitiesMAHBarrier23[Column2],0)),"")</f>
        <v>#N/A</v>
      </c>
      <c r="W233" t="e">
        <f ca="1">IF($T233&lt;=AA$4,INDEX(TypicalCriticalitiesMAHBarrier23[Typical Criticality],MATCH($T233,TypicalCriticalitiesMAHBarrier23[Column2],0)),"")</f>
        <v>#N/A</v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499</v>
      </c>
      <c r="O234" t="s">
        <v>500</v>
      </c>
      <c r="P234" t="s">
        <v>501</v>
      </c>
      <c r="Q234" t="s">
        <v>0</v>
      </c>
      <c r="R234">
        <f t="shared" si="9"/>
        <v>42</v>
      </c>
      <c r="S234" t="e">
        <f t="shared" ca="1" si="10"/>
        <v>#N/A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e">
        <f ca="1">IF($T234&lt;=AA$4,INDEX(TypicalCriticalitiesMAHBarrier23[Typical Components],MATCH($T234,TypicalCriticalitiesMAHBarrier23[Column2],0)),"")</f>
        <v>#N/A</v>
      </c>
      <c r="W234" t="e">
        <f ca="1">IF($T234&lt;=AA$4,INDEX(TypicalCriticalitiesMAHBarrier23[Typical Criticality],MATCH($T234,TypicalCriticalitiesMAHBarrier23[Column2],0)),"")</f>
        <v>#N/A</v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499</v>
      </c>
      <c r="O235" t="s">
        <v>500</v>
      </c>
      <c r="P235" t="s">
        <v>502</v>
      </c>
      <c r="Q235" t="s">
        <v>1</v>
      </c>
      <c r="R235">
        <f t="shared" si="9"/>
        <v>42</v>
      </c>
      <c r="S235" t="e">
        <f t="shared" ca="1" si="10"/>
        <v>#N/A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e">
        <f ca="1">IF($T235&lt;=AA$4,INDEX(TypicalCriticalitiesMAHBarrier23[Typical Components],MATCH($T235,TypicalCriticalitiesMAHBarrier23[Column2],0)),"")</f>
        <v>#N/A</v>
      </c>
      <c r="W235" t="e">
        <f ca="1">IF($T235&lt;=AA$4,INDEX(TypicalCriticalitiesMAHBarrier23[Typical Criticality],MATCH($T235,TypicalCriticalitiesMAHBarrier23[Column2],0)),"")</f>
        <v>#N/A</v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499</v>
      </c>
      <c r="O236" t="s">
        <v>500</v>
      </c>
      <c r="P236" t="s">
        <v>503</v>
      </c>
      <c r="Q236" t="s">
        <v>0</v>
      </c>
      <c r="R236">
        <f t="shared" si="9"/>
        <v>42</v>
      </c>
      <c r="S236" t="e">
        <f t="shared" ca="1" si="10"/>
        <v>#N/A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e">
        <f ca="1">IF($T236&lt;=AA$4,INDEX(TypicalCriticalitiesMAHBarrier23[Typical Components],MATCH($T236,TypicalCriticalitiesMAHBarrier23[Column2],0)),"")</f>
        <v>#N/A</v>
      </c>
      <c r="W236" t="e">
        <f ca="1">IF($T236&lt;=AA$4,INDEX(TypicalCriticalitiesMAHBarrier23[Typical Criticality],MATCH($T236,TypicalCriticalitiesMAHBarrier23[Column2],0)),"")</f>
        <v>#N/A</v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499</v>
      </c>
      <c r="O237" t="s">
        <v>500</v>
      </c>
      <c r="P237" t="s">
        <v>504</v>
      </c>
      <c r="Q237" t="s">
        <v>1</v>
      </c>
      <c r="R237">
        <f t="shared" si="9"/>
        <v>42</v>
      </c>
      <c r="S237" t="e">
        <f t="shared" ca="1" si="10"/>
        <v>#N/A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e">
        <f ca="1">IF($T237&lt;=AA$4,INDEX(TypicalCriticalitiesMAHBarrier23[Typical Components],MATCH($T237,TypicalCriticalitiesMAHBarrier23[Column2],0)),"")</f>
        <v>#N/A</v>
      </c>
      <c r="W237" t="e">
        <f ca="1">IF($T237&lt;=AA$4,INDEX(TypicalCriticalitiesMAHBarrier23[Typical Criticality],MATCH($T237,TypicalCriticalitiesMAHBarrier23[Column2],0)),"")</f>
        <v>#N/A</v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499</v>
      </c>
      <c r="O238" t="s">
        <v>500</v>
      </c>
      <c r="P238" t="s">
        <v>505</v>
      </c>
      <c r="Q238" t="s">
        <v>1</v>
      </c>
      <c r="R238">
        <f t="shared" si="9"/>
        <v>42</v>
      </c>
      <c r="S238" t="e">
        <f t="shared" ca="1" si="10"/>
        <v>#N/A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e">
        <f ca="1">IF($T238&lt;=AA$4,INDEX(TypicalCriticalitiesMAHBarrier23[Typical Components],MATCH($T238,TypicalCriticalitiesMAHBarrier23[Column2],0)),"")</f>
        <v>#N/A</v>
      </c>
      <c r="W238" t="e">
        <f ca="1">IF($T238&lt;=AA$4,INDEX(TypicalCriticalitiesMAHBarrier23[Typical Criticality],MATCH($T238,TypicalCriticalitiesMAHBarrier23[Column2],0)),"")</f>
        <v>#N/A</v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499</v>
      </c>
      <c r="O239" t="s">
        <v>500</v>
      </c>
      <c r="P239" t="s">
        <v>506</v>
      </c>
      <c r="Q239" t="s">
        <v>1</v>
      </c>
      <c r="R239">
        <f t="shared" si="9"/>
        <v>42</v>
      </c>
      <c r="S239" t="e">
        <f t="shared" ca="1" si="10"/>
        <v>#N/A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e">
        <f ca="1">IF($T239&lt;=AA$4,INDEX(TypicalCriticalitiesMAHBarrier23[Typical Components],MATCH($T239,TypicalCriticalitiesMAHBarrier23[Column2],0)),"")</f>
        <v>#N/A</v>
      </c>
      <c r="W239" t="e">
        <f ca="1">IF($T239&lt;=AA$4,INDEX(TypicalCriticalitiesMAHBarrier23[Typical Criticality],MATCH($T239,TypicalCriticalitiesMAHBarrier23[Column2],0)),"")</f>
        <v>#N/A</v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499</v>
      </c>
      <c r="O240" t="s">
        <v>500</v>
      </c>
      <c r="P240" t="s">
        <v>507</v>
      </c>
      <c r="Q240" t="s">
        <v>0</v>
      </c>
      <c r="R240">
        <f t="shared" si="9"/>
        <v>42</v>
      </c>
      <c r="S240" t="e">
        <f t="shared" ca="1" si="10"/>
        <v>#N/A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e">
        <f ca="1">IF($T240&lt;=AA$4,INDEX(TypicalCriticalitiesMAHBarrier23[Typical Components],MATCH($T240,TypicalCriticalitiesMAHBarrier23[Column2],0)),"")</f>
        <v>#N/A</v>
      </c>
      <c r="W240" t="e">
        <f ca="1">IF($T240&lt;=AA$4,INDEX(TypicalCriticalitiesMAHBarrier23[Typical Criticality],MATCH($T240,TypicalCriticalitiesMAHBarrier23[Column2],0)),"")</f>
        <v>#N/A</v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499</v>
      </c>
      <c r="O241" t="s">
        <v>500</v>
      </c>
      <c r="P241" t="s">
        <v>508</v>
      </c>
      <c r="Q241" t="s">
        <v>1</v>
      </c>
      <c r="R241">
        <f t="shared" si="9"/>
        <v>42</v>
      </c>
      <c r="S241" t="e">
        <f t="shared" ca="1" si="10"/>
        <v>#N/A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e">
        <f ca="1">IF($T241&lt;=AA$4,INDEX(TypicalCriticalitiesMAHBarrier23[Typical Components],MATCH($T241,TypicalCriticalitiesMAHBarrier23[Column2],0)),"")</f>
        <v>#N/A</v>
      </c>
      <c r="W241" t="e">
        <f ca="1">IF($T241&lt;=AA$4,INDEX(TypicalCriticalitiesMAHBarrier23[Typical Criticality],MATCH($T241,TypicalCriticalitiesMAHBarrier23[Column2],0)),"")</f>
        <v>#N/A</v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499</v>
      </c>
      <c r="O242" t="s">
        <v>500</v>
      </c>
      <c r="P242" t="s">
        <v>509</v>
      </c>
      <c r="Q242" t="s">
        <v>2</v>
      </c>
      <c r="R242">
        <f t="shared" si="9"/>
        <v>42</v>
      </c>
      <c r="S242" t="e">
        <f t="shared" ca="1" si="10"/>
        <v>#N/A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e">
        <f ca="1">IF($T242&lt;=AA$4,INDEX(TypicalCriticalitiesMAHBarrier23[Typical Components],MATCH($T242,TypicalCriticalitiesMAHBarrier23[Column2],0)),"")</f>
        <v>#N/A</v>
      </c>
      <c r="W242" t="e">
        <f ca="1">IF($T242&lt;=AA$4,INDEX(TypicalCriticalitiesMAHBarrier23[Typical Criticality],MATCH($T242,TypicalCriticalitiesMAHBarrier23[Column2],0)),"")</f>
        <v>#N/A</v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510</v>
      </c>
      <c r="O243" t="s">
        <v>511</v>
      </c>
      <c r="P243" t="s">
        <v>512</v>
      </c>
      <c r="Q243" t="s">
        <v>1</v>
      </c>
      <c r="R243">
        <f t="shared" si="9"/>
        <v>43</v>
      </c>
      <c r="S243" t="e">
        <f t="shared" ca="1" si="10"/>
        <v>#N/A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e">
        <f ca="1">IF($T243&lt;=AA$4,INDEX(TypicalCriticalitiesMAHBarrier23[Typical Components],MATCH($T243,TypicalCriticalitiesMAHBarrier23[Column2],0)),"")</f>
        <v>#N/A</v>
      </c>
      <c r="W243" t="e">
        <f ca="1">IF($T243&lt;=AA$4,INDEX(TypicalCriticalitiesMAHBarrier23[Typical Criticality],MATCH($T243,TypicalCriticalitiesMAHBarrier23[Column2],0)),"")</f>
        <v>#N/A</v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510</v>
      </c>
      <c r="O244" t="s">
        <v>511</v>
      </c>
      <c r="P244" t="s">
        <v>513</v>
      </c>
      <c r="Q244" t="s">
        <v>0</v>
      </c>
      <c r="R244">
        <f t="shared" si="9"/>
        <v>43</v>
      </c>
      <c r="S244" t="e">
        <f t="shared" ca="1" si="10"/>
        <v>#N/A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e">
        <f ca="1">IF($T244&lt;=AA$4,INDEX(TypicalCriticalitiesMAHBarrier23[Typical Components],MATCH($T244,TypicalCriticalitiesMAHBarrier23[Column2],0)),"")</f>
        <v>#N/A</v>
      </c>
      <c r="W244" t="e">
        <f ca="1">IF($T244&lt;=AA$4,INDEX(TypicalCriticalitiesMAHBarrier23[Typical Criticality],MATCH($T244,TypicalCriticalitiesMAHBarrier23[Column2],0)),"")</f>
        <v>#N/A</v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510</v>
      </c>
      <c r="O245" t="s">
        <v>511</v>
      </c>
      <c r="P245" t="s">
        <v>514</v>
      </c>
      <c r="Q245" t="s">
        <v>0</v>
      </c>
      <c r="R245">
        <f t="shared" si="9"/>
        <v>43</v>
      </c>
      <c r="S245" t="e">
        <f t="shared" ca="1" si="10"/>
        <v>#N/A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e">
        <f ca="1">IF($T245&lt;=AA$4,INDEX(TypicalCriticalitiesMAHBarrier23[Typical Components],MATCH($T245,TypicalCriticalitiesMAHBarrier23[Column2],0)),"")</f>
        <v>#N/A</v>
      </c>
      <c r="W245" t="e">
        <f ca="1">IF($T245&lt;=AA$4,INDEX(TypicalCriticalitiesMAHBarrier23[Typical Criticality],MATCH($T245,TypicalCriticalitiesMAHBarrier23[Column2],0)),"")</f>
        <v>#N/A</v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510</v>
      </c>
      <c r="O246" t="s">
        <v>511</v>
      </c>
      <c r="P246" t="s">
        <v>515</v>
      </c>
      <c r="Q246" t="s">
        <v>0</v>
      </c>
      <c r="R246">
        <f t="shared" si="9"/>
        <v>43</v>
      </c>
      <c r="S246" t="e">
        <f t="shared" ca="1" si="10"/>
        <v>#N/A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e">
        <f ca="1">IF($T246&lt;=AA$4,INDEX(TypicalCriticalitiesMAHBarrier23[Typical Components],MATCH($T246,TypicalCriticalitiesMAHBarrier23[Column2],0)),"")</f>
        <v>#N/A</v>
      </c>
      <c r="W246" t="e">
        <f ca="1">IF($T246&lt;=AA$4,INDEX(TypicalCriticalitiesMAHBarrier23[Typical Criticality],MATCH($T246,TypicalCriticalitiesMAHBarrier23[Column2],0)),"")</f>
        <v>#N/A</v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510</v>
      </c>
      <c r="O247" t="s">
        <v>511</v>
      </c>
      <c r="P247" t="s">
        <v>516</v>
      </c>
      <c r="Q247" t="s">
        <v>0</v>
      </c>
      <c r="R247">
        <f t="shared" si="9"/>
        <v>43</v>
      </c>
      <c r="S247" t="e">
        <f t="shared" ca="1" si="10"/>
        <v>#N/A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e">
        <f ca="1">IF($T247&lt;=AA$4,INDEX(TypicalCriticalitiesMAHBarrier23[Typical Components],MATCH($T247,TypicalCriticalitiesMAHBarrier23[Column2],0)),"")</f>
        <v>#N/A</v>
      </c>
      <c r="W247" t="e">
        <f ca="1">IF($T247&lt;=AA$4,INDEX(TypicalCriticalitiesMAHBarrier23[Typical Criticality],MATCH($T247,TypicalCriticalitiesMAHBarrier23[Column2],0)),"")</f>
        <v>#N/A</v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510</v>
      </c>
      <c r="O248" t="s">
        <v>511</v>
      </c>
      <c r="P248" t="s">
        <v>517</v>
      </c>
      <c r="Q248" t="s">
        <v>0</v>
      </c>
      <c r="R248">
        <f t="shared" si="9"/>
        <v>43</v>
      </c>
      <c r="S248" t="e">
        <f t="shared" ca="1" si="10"/>
        <v>#N/A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e">
        <f ca="1">IF($T248&lt;=AA$4,INDEX(TypicalCriticalitiesMAHBarrier23[Typical Components],MATCH($T248,TypicalCriticalitiesMAHBarrier23[Column2],0)),"")</f>
        <v>#N/A</v>
      </c>
      <c r="W248" t="e">
        <f ca="1">IF($T248&lt;=AA$4,INDEX(TypicalCriticalitiesMAHBarrier23[Typical Criticality],MATCH($T248,TypicalCriticalitiesMAHBarrier23[Column2],0)),"")</f>
        <v>#N/A</v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510</v>
      </c>
      <c r="O249" t="s">
        <v>511</v>
      </c>
      <c r="P249" t="s">
        <v>518</v>
      </c>
      <c r="Q249" t="s">
        <v>1</v>
      </c>
      <c r="R249">
        <f t="shared" si="9"/>
        <v>43</v>
      </c>
      <c r="S249" t="e">
        <f t="shared" ca="1" si="10"/>
        <v>#N/A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e">
        <f ca="1">IF($T249&lt;=AA$4,INDEX(TypicalCriticalitiesMAHBarrier23[Typical Components],MATCH($T249,TypicalCriticalitiesMAHBarrier23[Column2],0)),"")</f>
        <v>#N/A</v>
      </c>
      <c r="W249" t="e">
        <f ca="1">IF($T249&lt;=AA$4,INDEX(TypicalCriticalitiesMAHBarrier23[Typical Criticality],MATCH($T249,TypicalCriticalitiesMAHBarrier23[Column2],0)),"")</f>
        <v>#N/A</v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519</v>
      </c>
      <c r="O250" t="s">
        <v>520</v>
      </c>
      <c r="P250" t="s">
        <v>521</v>
      </c>
      <c r="Q250" t="s">
        <v>0</v>
      </c>
      <c r="R250">
        <f t="shared" si="9"/>
        <v>44</v>
      </c>
      <c r="S250" t="e">
        <f t="shared" ca="1" si="10"/>
        <v>#N/A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e">
        <f ca="1">IF($T250&lt;=AA$4,INDEX(TypicalCriticalitiesMAHBarrier23[Typical Components],MATCH($T250,TypicalCriticalitiesMAHBarrier23[Column2],0)),"")</f>
        <v>#N/A</v>
      </c>
      <c r="W250" t="e">
        <f ca="1">IF($T250&lt;=AA$4,INDEX(TypicalCriticalitiesMAHBarrier23[Typical Criticality],MATCH($T250,TypicalCriticalitiesMAHBarrier23[Column2],0)),"")</f>
        <v>#N/A</v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519</v>
      </c>
      <c r="O251" t="s">
        <v>520</v>
      </c>
      <c r="P251" t="s">
        <v>522</v>
      </c>
      <c r="Q251" t="s">
        <v>0</v>
      </c>
      <c r="R251">
        <f t="shared" si="9"/>
        <v>44</v>
      </c>
      <c r="S251" t="e">
        <f t="shared" ca="1" si="10"/>
        <v>#N/A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e">
        <f ca="1">IF($T251&lt;=AA$4,INDEX(TypicalCriticalitiesMAHBarrier23[Typical Components],MATCH($T251,TypicalCriticalitiesMAHBarrier23[Column2],0)),"")</f>
        <v>#N/A</v>
      </c>
      <c r="W251" t="e">
        <f ca="1">IF($T251&lt;=AA$4,INDEX(TypicalCriticalitiesMAHBarrier23[Typical Criticality],MATCH($T251,TypicalCriticalitiesMAHBarrier23[Column2],0)),"")</f>
        <v>#N/A</v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519</v>
      </c>
      <c r="O252" t="s">
        <v>520</v>
      </c>
      <c r="P252" t="s">
        <v>523</v>
      </c>
      <c r="Q252" t="s">
        <v>0</v>
      </c>
      <c r="R252">
        <f t="shared" si="9"/>
        <v>44</v>
      </c>
      <c r="S252" t="e">
        <f t="shared" ca="1" si="10"/>
        <v>#N/A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e">
        <f ca="1">IF($T252&lt;=AA$4,INDEX(TypicalCriticalitiesMAHBarrier23[Typical Components],MATCH($T252,TypicalCriticalitiesMAHBarrier23[Column2],0)),"")</f>
        <v>#N/A</v>
      </c>
      <c r="W252" t="e">
        <f ca="1">IF($T252&lt;=AA$4,INDEX(TypicalCriticalitiesMAHBarrier23[Typical Criticality],MATCH($T252,TypicalCriticalitiesMAHBarrier23[Column2],0)),"")</f>
        <v>#N/A</v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519</v>
      </c>
      <c r="O253" t="s">
        <v>520</v>
      </c>
      <c r="P253" t="s">
        <v>524</v>
      </c>
      <c r="Q253" t="s">
        <v>0</v>
      </c>
      <c r="R253">
        <f t="shared" si="9"/>
        <v>44</v>
      </c>
      <c r="S253" t="e">
        <f t="shared" ca="1" si="10"/>
        <v>#N/A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e">
        <f ca="1">IF($T253&lt;=AA$4,INDEX(TypicalCriticalitiesMAHBarrier23[Typical Components],MATCH($T253,TypicalCriticalitiesMAHBarrier23[Column2],0)),"")</f>
        <v>#N/A</v>
      </c>
      <c r="W253" t="e">
        <f ca="1">IF($T253&lt;=AA$4,INDEX(TypicalCriticalitiesMAHBarrier23[Typical Criticality],MATCH($T253,TypicalCriticalitiesMAHBarrier23[Column2],0)),"")</f>
        <v>#N/A</v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519</v>
      </c>
      <c r="O254" t="s">
        <v>520</v>
      </c>
      <c r="P254" t="s">
        <v>525</v>
      </c>
      <c r="Q254" t="s">
        <v>0</v>
      </c>
      <c r="R254">
        <f t="shared" si="9"/>
        <v>44</v>
      </c>
      <c r="S254" t="e">
        <f t="shared" ca="1" si="10"/>
        <v>#N/A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e">
        <f ca="1">IF($T254&lt;=AA$4,INDEX(TypicalCriticalitiesMAHBarrier23[Typical Components],MATCH($T254,TypicalCriticalitiesMAHBarrier23[Column2],0)),"")</f>
        <v>#N/A</v>
      </c>
      <c r="W254" t="e">
        <f ca="1">IF($T254&lt;=AA$4,INDEX(TypicalCriticalitiesMAHBarrier23[Typical Criticality],MATCH($T254,TypicalCriticalitiesMAHBarrier23[Column2],0)),"")</f>
        <v>#N/A</v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519</v>
      </c>
      <c r="O255" t="s">
        <v>520</v>
      </c>
      <c r="P255" t="s">
        <v>526</v>
      </c>
      <c r="Q255" t="s">
        <v>0</v>
      </c>
      <c r="R255">
        <f t="shared" si="9"/>
        <v>44</v>
      </c>
      <c r="S255" t="e">
        <f t="shared" ca="1" si="10"/>
        <v>#N/A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e">
        <f ca="1">IF($T255&lt;=AA$4,INDEX(TypicalCriticalitiesMAHBarrier23[Typical Components],MATCH($T255,TypicalCriticalitiesMAHBarrier23[Column2],0)),"")</f>
        <v>#N/A</v>
      </c>
      <c r="W255" t="e">
        <f ca="1">IF($T255&lt;=AA$4,INDEX(TypicalCriticalitiesMAHBarrier23[Typical Criticality],MATCH($T255,TypicalCriticalitiesMAHBarrier23[Column2],0)),"")</f>
        <v>#N/A</v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527</v>
      </c>
      <c r="O256" t="s">
        <v>528</v>
      </c>
      <c r="P256" t="s">
        <v>529</v>
      </c>
      <c r="Q256" t="s">
        <v>0</v>
      </c>
      <c r="R256">
        <f t="shared" si="9"/>
        <v>45</v>
      </c>
      <c r="S256" t="e">
        <f t="shared" ca="1" si="10"/>
        <v>#N/A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e">
        <f ca="1">IF($T256&lt;=AA$4,INDEX(TypicalCriticalitiesMAHBarrier23[Typical Components],MATCH($T256,TypicalCriticalitiesMAHBarrier23[Column2],0)),"")</f>
        <v>#N/A</v>
      </c>
      <c r="W256" t="e">
        <f ca="1">IF($T256&lt;=AA$4,INDEX(TypicalCriticalitiesMAHBarrier23[Typical Criticality],MATCH($T256,TypicalCriticalitiesMAHBarrier23[Column2],0)),"")</f>
        <v>#N/A</v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527</v>
      </c>
      <c r="O257" t="s">
        <v>528</v>
      </c>
      <c r="P257" t="s">
        <v>530</v>
      </c>
      <c r="Q257" t="s">
        <v>0</v>
      </c>
      <c r="R257">
        <f t="shared" si="9"/>
        <v>45</v>
      </c>
      <c r="S257" t="e">
        <f t="shared" ca="1" si="10"/>
        <v>#N/A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e">
        <f ca="1">IF($T257&lt;=AA$4,INDEX(TypicalCriticalitiesMAHBarrier23[Typical Components],MATCH($T257,TypicalCriticalitiesMAHBarrier23[Column2],0)),"")</f>
        <v>#N/A</v>
      </c>
      <c r="W257" t="e">
        <f ca="1">IF($T257&lt;=AA$4,INDEX(TypicalCriticalitiesMAHBarrier23[Typical Criticality],MATCH($T257,TypicalCriticalitiesMAHBarrier23[Column2],0)),"")</f>
        <v>#N/A</v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527</v>
      </c>
      <c r="O258" t="s">
        <v>528</v>
      </c>
      <c r="P258" t="s">
        <v>531</v>
      </c>
      <c r="Q258" t="s">
        <v>0</v>
      </c>
      <c r="R258">
        <f t="shared" si="9"/>
        <v>45</v>
      </c>
      <c r="S258" t="e">
        <f t="shared" ca="1" si="10"/>
        <v>#N/A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e">
        <f ca="1">IF($T258&lt;=AA$4,INDEX(TypicalCriticalitiesMAHBarrier23[Typical Components],MATCH($T258,TypicalCriticalitiesMAHBarrier23[Column2],0)),"")</f>
        <v>#N/A</v>
      </c>
      <c r="W258" t="e">
        <f ca="1">IF($T258&lt;=AA$4,INDEX(TypicalCriticalitiesMAHBarrier23[Typical Criticality],MATCH($T258,TypicalCriticalitiesMAHBarrier23[Column2],0)),"")</f>
        <v>#N/A</v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532</v>
      </c>
      <c r="O259" t="s">
        <v>533</v>
      </c>
      <c r="P259" t="s">
        <v>534</v>
      </c>
      <c r="Q259" t="s">
        <v>2</v>
      </c>
      <c r="R259">
        <f t="shared" si="9"/>
        <v>46</v>
      </c>
      <c r="S259" t="e">
        <f t="shared" ca="1" si="10"/>
        <v>#N/A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e">
        <f ca="1">IF($T259&lt;=AA$4,INDEX(TypicalCriticalitiesMAHBarrier23[Typical Components],MATCH($T259,TypicalCriticalitiesMAHBarrier23[Column2],0)),"")</f>
        <v>#N/A</v>
      </c>
      <c r="W259" t="e">
        <f ca="1">IF($T259&lt;=AA$4,INDEX(TypicalCriticalitiesMAHBarrier23[Typical Criticality],MATCH($T259,TypicalCriticalitiesMAHBarrier23[Column2],0)),"")</f>
        <v>#N/A</v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532</v>
      </c>
      <c r="O260" t="s">
        <v>533</v>
      </c>
      <c r="P260" t="s">
        <v>535</v>
      </c>
      <c r="Q260" t="s">
        <v>1</v>
      </c>
      <c r="R260">
        <f t="shared" si="9"/>
        <v>46</v>
      </c>
      <c r="S260" t="e">
        <f t="shared" ca="1" si="10"/>
        <v>#N/A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e">
        <f ca="1">IF($T260&lt;=AA$4,INDEX(TypicalCriticalitiesMAHBarrier23[Typical Components],MATCH($T260,TypicalCriticalitiesMAHBarrier23[Column2],0)),"")</f>
        <v>#N/A</v>
      </c>
      <c r="W260" t="e">
        <f ca="1">IF($T260&lt;=AA$4,INDEX(TypicalCriticalitiesMAHBarrier23[Typical Criticality],MATCH($T260,TypicalCriticalitiesMAHBarrier23[Column2],0)),"")</f>
        <v>#N/A</v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532</v>
      </c>
      <c r="O261" t="s">
        <v>533</v>
      </c>
      <c r="P261" t="s">
        <v>536</v>
      </c>
      <c r="Q261" t="s">
        <v>0</v>
      </c>
      <c r="R261">
        <f t="shared" si="9"/>
        <v>46</v>
      </c>
      <c r="S261" t="e">
        <f t="shared" ca="1" si="10"/>
        <v>#N/A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e">
        <f ca="1">IF($T261&lt;=AA$4,INDEX(TypicalCriticalitiesMAHBarrier23[Typical Components],MATCH($T261,TypicalCriticalitiesMAHBarrier23[Column2],0)),"")</f>
        <v>#N/A</v>
      </c>
      <c r="W261" t="e">
        <f ca="1">IF($T261&lt;=AA$4,INDEX(TypicalCriticalitiesMAHBarrier23[Typical Criticality],MATCH($T261,TypicalCriticalitiesMAHBarrier23[Column2],0)),"")</f>
        <v>#N/A</v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532</v>
      </c>
      <c r="O262" t="s">
        <v>533</v>
      </c>
      <c r="P262" t="s">
        <v>537</v>
      </c>
      <c r="Q262" t="s">
        <v>0</v>
      </c>
      <c r="R262">
        <f t="shared" si="9"/>
        <v>46</v>
      </c>
      <c r="S262" t="e">
        <f t="shared" ca="1" si="10"/>
        <v>#N/A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e">
        <f ca="1">IF($T262&lt;=AA$4,INDEX(TypicalCriticalitiesMAHBarrier23[Typical Components],MATCH($T262,TypicalCriticalitiesMAHBarrier23[Column2],0)),"")</f>
        <v>#N/A</v>
      </c>
      <c r="W262" t="e">
        <f ca="1">IF($T262&lt;=AA$4,INDEX(TypicalCriticalitiesMAHBarrier23[Typical Criticality],MATCH($T262,TypicalCriticalitiesMAHBarrier23[Column2],0)),"")</f>
        <v>#N/A</v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532</v>
      </c>
      <c r="O263" t="s">
        <v>533</v>
      </c>
      <c r="P263" t="s">
        <v>538</v>
      </c>
      <c r="Q263" t="s">
        <v>0</v>
      </c>
      <c r="R263">
        <f t="shared" si="9"/>
        <v>46</v>
      </c>
      <c r="S263" t="e">
        <f t="shared" ca="1" si="10"/>
        <v>#N/A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e">
        <f ca="1">IF($T263&lt;=AA$4,INDEX(TypicalCriticalitiesMAHBarrier23[Typical Components],MATCH($T263,TypicalCriticalitiesMAHBarrier23[Column2],0)),"")</f>
        <v>#N/A</v>
      </c>
      <c r="W263" t="e">
        <f ca="1">IF($T263&lt;=AA$4,INDEX(TypicalCriticalitiesMAHBarrier23[Typical Criticality],MATCH($T263,TypicalCriticalitiesMAHBarrier23[Column2],0)),"")</f>
        <v>#N/A</v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532</v>
      </c>
      <c r="O264" t="s">
        <v>533</v>
      </c>
      <c r="P264" t="s">
        <v>539</v>
      </c>
      <c r="Q264" t="s">
        <v>2</v>
      </c>
      <c r="R264">
        <f t="shared" si="9"/>
        <v>46</v>
      </c>
      <c r="S264" t="e">
        <f t="shared" ca="1" si="10"/>
        <v>#N/A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e">
        <f ca="1">IF($T264&lt;=AA$4,INDEX(TypicalCriticalitiesMAHBarrier23[Typical Components],MATCH($T264,TypicalCriticalitiesMAHBarrier23[Column2],0)),"")</f>
        <v>#N/A</v>
      </c>
      <c r="W264" t="e">
        <f ca="1">IF($T264&lt;=AA$4,INDEX(TypicalCriticalitiesMAHBarrier23[Typical Criticality],MATCH($T264,TypicalCriticalitiesMAHBarrier23[Column2],0)),"")</f>
        <v>#N/A</v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532</v>
      </c>
      <c r="O265" t="s">
        <v>533</v>
      </c>
      <c r="P265" t="s">
        <v>540</v>
      </c>
      <c r="Q265" t="s">
        <v>1</v>
      </c>
      <c r="R265">
        <f t="shared" ref="R265:R309" si="13">IF(AND(O265&lt;&gt;O264,O265&lt;&gt;""),R264+1,R264)</f>
        <v>46</v>
      </c>
      <c r="S265" t="e">
        <f t="shared" ref="S265:S309" ca="1" si="14">IF(R265=$Z$5,IF(AND(P265&lt;&gt;P264,P265&lt;&gt;""),S264+1,S264),S264)</f>
        <v>#N/A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e">
        <f ca="1">IF($T265&lt;=AA$4,INDEX(TypicalCriticalitiesMAHBarrier23[Typical Components],MATCH($T265,TypicalCriticalitiesMAHBarrier23[Column2],0)),"")</f>
        <v>#N/A</v>
      </c>
      <c r="W265" t="e">
        <f ca="1">IF($T265&lt;=AA$4,INDEX(TypicalCriticalitiesMAHBarrier23[Typical Criticality],MATCH($T265,TypicalCriticalitiesMAHBarrier23[Column2],0)),"")</f>
        <v>#N/A</v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532</v>
      </c>
      <c r="O266" t="s">
        <v>533</v>
      </c>
      <c r="P266" t="s">
        <v>541</v>
      </c>
      <c r="Q266" t="s">
        <v>2</v>
      </c>
      <c r="R266">
        <f t="shared" si="13"/>
        <v>46</v>
      </c>
      <c r="S266" t="e">
        <f t="shared" ca="1" si="14"/>
        <v>#N/A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e">
        <f ca="1">IF($T266&lt;=AA$4,INDEX(TypicalCriticalitiesMAHBarrier23[Typical Components],MATCH($T266,TypicalCriticalitiesMAHBarrier23[Column2],0)),"")</f>
        <v>#N/A</v>
      </c>
      <c r="W266" t="e">
        <f ca="1">IF($T266&lt;=AA$4,INDEX(TypicalCriticalitiesMAHBarrier23[Typical Criticality],MATCH($T266,TypicalCriticalitiesMAHBarrier23[Column2],0)),"")</f>
        <v>#N/A</v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542</v>
      </c>
      <c r="O267" t="s">
        <v>543</v>
      </c>
      <c r="P267" t="s">
        <v>544</v>
      </c>
      <c r="Q267" t="s">
        <v>1</v>
      </c>
      <c r="R267">
        <f t="shared" si="13"/>
        <v>47</v>
      </c>
      <c r="S267" t="e">
        <f t="shared" ca="1" si="14"/>
        <v>#N/A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e">
        <f ca="1">IF($T267&lt;=AA$4,INDEX(TypicalCriticalitiesMAHBarrier23[Typical Components],MATCH($T267,TypicalCriticalitiesMAHBarrier23[Column2],0)),"")</f>
        <v>#N/A</v>
      </c>
      <c r="W267" t="e">
        <f ca="1">IF($T267&lt;=AA$4,INDEX(TypicalCriticalitiesMAHBarrier23[Typical Criticality],MATCH($T267,TypicalCriticalitiesMAHBarrier23[Column2],0)),"")</f>
        <v>#N/A</v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542</v>
      </c>
      <c r="O268" t="s">
        <v>543</v>
      </c>
      <c r="P268" t="s">
        <v>545</v>
      </c>
      <c r="Q268" t="s">
        <v>1</v>
      </c>
      <c r="R268">
        <f t="shared" si="13"/>
        <v>47</v>
      </c>
      <c r="S268" t="e">
        <f t="shared" ca="1" si="14"/>
        <v>#N/A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e">
        <f ca="1">IF($T268&lt;=AA$4,INDEX(TypicalCriticalitiesMAHBarrier23[Typical Components],MATCH($T268,TypicalCriticalitiesMAHBarrier23[Column2],0)),"")</f>
        <v>#N/A</v>
      </c>
      <c r="W268" t="e">
        <f ca="1">IF($T268&lt;=AA$4,INDEX(TypicalCriticalitiesMAHBarrier23[Typical Criticality],MATCH($T268,TypicalCriticalitiesMAHBarrier23[Column2],0)),"")</f>
        <v>#N/A</v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542</v>
      </c>
      <c r="O269" t="s">
        <v>543</v>
      </c>
      <c r="P269" t="s">
        <v>546</v>
      </c>
      <c r="Q269" t="s">
        <v>1</v>
      </c>
      <c r="R269">
        <f t="shared" si="13"/>
        <v>47</v>
      </c>
      <c r="S269" t="e">
        <f t="shared" ca="1" si="14"/>
        <v>#N/A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e">
        <f ca="1">IF($T269&lt;=AA$4,INDEX(TypicalCriticalitiesMAHBarrier23[Typical Components],MATCH($T269,TypicalCriticalitiesMAHBarrier23[Column2],0)),"")</f>
        <v>#N/A</v>
      </c>
      <c r="W269" t="e">
        <f ca="1">IF($T269&lt;=AA$4,INDEX(TypicalCriticalitiesMAHBarrier23[Typical Criticality],MATCH($T269,TypicalCriticalitiesMAHBarrier23[Column2],0)),"")</f>
        <v>#N/A</v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547</v>
      </c>
      <c r="O270" t="s">
        <v>548</v>
      </c>
      <c r="P270" t="s">
        <v>549</v>
      </c>
      <c r="Q270" t="s">
        <v>0</v>
      </c>
      <c r="R270">
        <f t="shared" si="13"/>
        <v>48</v>
      </c>
      <c r="S270" t="e">
        <f t="shared" ca="1" si="14"/>
        <v>#N/A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e">
        <f ca="1">IF($T270&lt;=AA$4,INDEX(TypicalCriticalitiesMAHBarrier23[Typical Components],MATCH($T270,TypicalCriticalitiesMAHBarrier23[Column2],0)),"")</f>
        <v>#N/A</v>
      </c>
      <c r="W270" t="e">
        <f ca="1">IF($T270&lt;=AA$4,INDEX(TypicalCriticalitiesMAHBarrier23[Typical Criticality],MATCH($T270,TypicalCriticalitiesMAHBarrier23[Column2],0)),"")</f>
        <v>#N/A</v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547</v>
      </c>
      <c r="O271" t="s">
        <v>548</v>
      </c>
      <c r="P271" t="s">
        <v>550</v>
      </c>
      <c r="Q271" t="s">
        <v>0</v>
      </c>
      <c r="R271">
        <f t="shared" si="13"/>
        <v>48</v>
      </c>
      <c r="S271" t="e">
        <f t="shared" ca="1" si="14"/>
        <v>#N/A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e">
        <f ca="1">IF($T271&lt;=AA$4,INDEX(TypicalCriticalitiesMAHBarrier23[Typical Components],MATCH($T271,TypicalCriticalitiesMAHBarrier23[Column2],0)),"")</f>
        <v>#N/A</v>
      </c>
      <c r="W271" t="e">
        <f ca="1">IF($T271&lt;=AA$4,INDEX(TypicalCriticalitiesMAHBarrier23[Typical Criticality],MATCH($T271,TypicalCriticalitiesMAHBarrier23[Column2],0)),"")</f>
        <v>#N/A</v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547</v>
      </c>
      <c r="O272" t="s">
        <v>548</v>
      </c>
      <c r="P272" t="s">
        <v>551</v>
      </c>
      <c r="Q272" t="s">
        <v>0</v>
      </c>
      <c r="R272">
        <f t="shared" si="13"/>
        <v>48</v>
      </c>
      <c r="S272" t="e">
        <f t="shared" ca="1" si="14"/>
        <v>#N/A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e">
        <f ca="1">IF($T272&lt;=AA$4,INDEX(TypicalCriticalitiesMAHBarrier23[Typical Components],MATCH($T272,TypicalCriticalitiesMAHBarrier23[Column2],0)),"")</f>
        <v>#N/A</v>
      </c>
      <c r="W272" t="e">
        <f ca="1">IF($T272&lt;=AA$4,INDEX(TypicalCriticalitiesMAHBarrier23[Typical Criticality],MATCH($T272,TypicalCriticalitiesMAHBarrier23[Column2],0)),"")</f>
        <v>#N/A</v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547</v>
      </c>
      <c r="O273" t="s">
        <v>548</v>
      </c>
      <c r="P273" t="s">
        <v>552</v>
      </c>
      <c r="Q273" t="s">
        <v>0</v>
      </c>
      <c r="R273">
        <f t="shared" si="13"/>
        <v>48</v>
      </c>
      <c r="S273" t="e">
        <f t="shared" ca="1" si="14"/>
        <v>#N/A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e">
        <f ca="1">IF($T273&lt;=AA$4,INDEX(TypicalCriticalitiesMAHBarrier23[Typical Components],MATCH($T273,TypicalCriticalitiesMAHBarrier23[Column2],0)),"")</f>
        <v>#N/A</v>
      </c>
      <c r="W273" t="e">
        <f ca="1">IF($T273&lt;=AA$4,INDEX(TypicalCriticalitiesMAHBarrier23[Typical Criticality],MATCH($T273,TypicalCriticalitiesMAHBarrier23[Column2],0)),"")</f>
        <v>#N/A</v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547</v>
      </c>
      <c r="O274" t="s">
        <v>548</v>
      </c>
      <c r="P274" t="s">
        <v>553</v>
      </c>
      <c r="Q274" t="s">
        <v>1</v>
      </c>
      <c r="R274">
        <f t="shared" si="13"/>
        <v>48</v>
      </c>
      <c r="S274" t="e">
        <f t="shared" ca="1" si="14"/>
        <v>#N/A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e">
        <f ca="1">IF($T274&lt;=AA$4,INDEX(TypicalCriticalitiesMAHBarrier23[Typical Components],MATCH($T274,TypicalCriticalitiesMAHBarrier23[Column2],0)),"")</f>
        <v>#N/A</v>
      </c>
      <c r="W274" t="e">
        <f ca="1">IF($T274&lt;=AA$4,INDEX(TypicalCriticalitiesMAHBarrier23[Typical Criticality],MATCH($T274,TypicalCriticalitiesMAHBarrier23[Column2],0)),"")</f>
        <v>#N/A</v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547</v>
      </c>
      <c r="O275" t="s">
        <v>548</v>
      </c>
      <c r="P275" t="s">
        <v>554</v>
      </c>
      <c r="Q275" t="s">
        <v>1</v>
      </c>
      <c r="R275">
        <f t="shared" si="13"/>
        <v>48</v>
      </c>
      <c r="S275" t="e">
        <f t="shared" ca="1" si="14"/>
        <v>#N/A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e">
        <f ca="1">IF($T275&lt;=AA$4,INDEX(TypicalCriticalitiesMAHBarrier23[Typical Components],MATCH($T275,TypicalCriticalitiesMAHBarrier23[Column2],0)),"")</f>
        <v>#N/A</v>
      </c>
      <c r="W275" t="e">
        <f ca="1">IF($T275&lt;=AA$4,INDEX(TypicalCriticalitiesMAHBarrier23[Typical Criticality],MATCH($T275,TypicalCriticalitiesMAHBarrier23[Column2],0)),"")</f>
        <v>#N/A</v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547</v>
      </c>
      <c r="O276" t="s">
        <v>548</v>
      </c>
      <c r="P276" t="s">
        <v>555</v>
      </c>
      <c r="Q276" t="s">
        <v>1</v>
      </c>
      <c r="R276">
        <f t="shared" si="13"/>
        <v>48</v>
      </c>
      <c r="S276" t="e">
        <f t="shared" ca="1" si="14"/>
        <v>#N/A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e">
        <f ca="1">IF($T276&lt;=AA$4,INDEX(TypicalCriticalitiesMAHBarrier23[Typical Components],MATCH($T276,TypicalCriticalitiesMAHBarrier23[Column2],0)),"")</f>
        <v>#N/A</v>
      </c>
      <c r="W276" t="e">
        <f ca="1">IF($T276&lt;=AA$4,INDEX(TypicalCriticalitiesMAHBarrier23[Typical Criticality],MATCH($T276,TypicalCriticalitiesMAHBarrier23[Column2],0)),"")</f>
        <v>#N/A</v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547</v>
      </c>
      <c r="O277" t="s">
        <v>548</v>
      </c>
      <c r="P277" t="s">
        <v>556</v>
      </c>
      <c r="Q277" t="s">
        <v>0</v>
      </c>
      <c r="R277">
        <f t="shared" si="13"/>
        <v>48</v>
      </c>
      <c r="S277" t="e">
        <f t="shared" ca="1" si="14"/>
        <v>#N/A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e">
        <f ca="1">IF($T277&lt;=AA$4,INDEX(TypicalCriticalitiesMAHBarrier23[Typical Components],MATCH($T277,TypicalCriticalitiesMAHBarrier23[Column2],0)),"")</f>
        <v>#N/A</v>
      </c>
      <c r="W277" t="e">
        <f ca="1">IF($T277&lt;=AA$4,INDEX(TypicalCriticalitiesMAHBarrier23[Typical Criticality],MATCH($T277,TypicalCriticalitiesMAHBarrier23[Column2],0)),"")</f>
        <v>#N/A</v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547</v>
      </c>
      <c r="O278" t="s">
        <v>548</v>
      </c>
      <c r="P278" t="s">
        <v>557</v>
      </c>
      <c r="Q278" t="s">
        <v>2</v>
      </c>
      <c r="R278">
        <f t="shared" si="13"/>
        <v>48</v>
      </c>
      <c r="S278" t="e">
        <f t="shared" ca="1" si="14"/>
        <v>#N/A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e">
        <f ca="1">IF($T278&lt;=AA$4,INDEX(TypicalCriticalitiesMAHBarrier23[Typical Components],MATCH($T278,TypicalCriticalitiesMAHBarrier23[Column2],0)),"")</f>
        <v>#N/A</v>
      </c>
      <c r="W278" t="e">
        <f ca="1">IF($T278&lt;=AA$4,INDEX(TypicalCriticalitiesMAHBarrier23[Typical Criticality],MATCH($T278,TypicalCriticalitiesMAHBarrier23[Column2],0)),"")</f>
        <v>#N/A</v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547</v>
      </c>
      <c r="O279" t="s">
        <v>558</v>
      </c>
      <c r="P279" t="s">
        <v>559</v>
      </c>
      <c r="Q279" t="s">
        <v>0</v>
      </c>
      <c r="R279">
        <f t="shared" si="13"/>
        <v>49</v>
      </c>
      <c r="S279" t="e">
        <f t="shared" ca="1" si="14"/>
        <v>#N/A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e">
        <f ca="1">IF($T279&lt;=AA$4,INDEX(TypicalCriticalitiesMAHBarrier23[Typical Components],MATCH($T279,TypicalCriticalitiesMAHBarrier23[Column2],0)),"")</f>
        <v>#N/A</v>
      </c>
      <c r="W279" t="e">
        <f ca="1">IF($T279&lt;=AA$4,INDEX(TypicalCriticalitiesMAHBarrier23[Typical Criticality],MATCH($T279,TypicalCriticalitiesMAHBarrier23[Column2],0)),"")</f>
        <v>#N/A</v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547</v>
      </c>
      <c r="O280" t="s">
        <v>558</v>
      </c>
      <c r="P280" t="s">
        <v>560</v>
      </c>
      <c r="Q280" t="s">
        <v>0</v>
      </c>
      <c r="R280">
        <f t="shared" si="13"/>
        <v>49</v>
      </c>
      <c r="S280" t="e">
        <f t="shared" ca="1" si="14"/>
        <v>#N/A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e">
        <f ca="1">IF($T280&lt;=AA$4,INDEX(TypicalCriticalitiesMAHBarrier23[Typical Components],MATCH($T280,TypicalCriticalitiesMAHBarrier23[Column2],0)),"")</f>
        <v>#N/A</v>
      </c>
      <c r="W280" t="e">
        <f ca="1">IF($T280&lt;=AA$4,INDEX(TypicalCriticalitiesMAHBarrier23[Typical Criticality],MATCH($T280,TypicalCriticalitiesMAHBarrier23[Column2],0)),"")</f>
        <v>#N/A</v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547</v>
      </c>
      <c r="O281" t="s">
        <v>558</v>
      </c>
      <c r="P281" t="s">
        <v>561</v>
      </c>
      <c r="Q281" t="s">
        <v>0</v>
      </c>
      <c r="R281">
        <f t="shared" si="13"/>
        <v>49</v>
      </c>
      <c r="S281" t="e">
        <f t="shared" ca="1" si="14"/>
        <v>#N/A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e">
        <f ca="1">IF($T281&lt;=AA$4,INDEX(TypicalCriticalitiesMAHBarrier23[Typical Components],MATCH($T281,TypicalCriticalitiesMAHBarrier23[Column2],0)),"")</f>
        <v>#N/A</v>
      </c>
      <c r="W281" t="e">
        <f ca="1">IF($T281&lt;=AA$4,INDEX(TypicalCriticalitiesMAHBarrier23[Typical Criticality],MATCH($T281,TypicalCriticalitiesMAHBarrier23[Column2],0)),"")</f>
        <v>#N/A</v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547</v>
      </c>
      <c r="O282" t="s">
        <v>558</v>
      </c>
      <c r="P282" t="s">
        <v>562</v>
      </c>
      <c r="Q282" t="s">
        <v>0</v>
      </c>
      <c r="R282">
        <f t="shared" si="13"/>
        <v>49</v>
      </c>
      <c r="S282" t="e">
        <f t="shared" ca="1" si="14"/>
        <v>#N/A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e">
        <f ca="1">IF($T282&lt;=AA$4,INDEX(TypicalCriticalitiesMAHBarrier23[Typical Components],MATCH($T282,TypicalCriticalitiesMAHBarrier23[Column2],0)),"")</f>
        <v>#N/A</v>
      </c>
      <c r="W282" t="e">
        <f ca="1">IF($T282&lt;=AA$4,INDEX(TypicalCriticalitiesMAHBarrier23[Typical Criticality],MATCH($T282,TypicalCriticalitiesMAHBarrier23[Column2],0)),"")</f>
        <v>#N/A</v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547</v>
      </c>
      <c r="O283" t="s">
        <v>558</v>
      </c>
      <c r="P283" t="s">
        <v>563</v>
      </c>
      <c r="Q283" t="s">
        <v>1</v>
      </c>
      <c r="R283">
        <f t="shared" si="13"/>
        <v>49</v>
      </c>
      <c r="S283" t="e">
        <f t="shared" ca="1" si="14"/>
        <v>#N/A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e">
        <f ca="1">IF($T283&lt;=AA$4,INDEX(TypicalCriticalitiesMAHBarrier23[Typical Components],MATCH($T283,TypicalCriticalitiesMAHBarrier23[Column2],0)),"")</f>
        <v>#N/A</v>
      </c>
      <c r="W283" t="e">
        <f ca="1">IF($T283&lt;=AA$4,INDEX(TypicalCriticalitiesMAHBarrier23[Typical Criticality],MATCH($T283,TypicalCriticalitiesMAHBarrier23[Column2],0)),"")</f>
        <v>#N/A</v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547</v>
      </c>
      <c r="O284" t="s">
        <v>558</v>
      </c>
      <c r="P284" t="s">
        <v>564</v>
      </c>
      <c r="Q284" t="s">
        <v>0</v>
      </c>
      <c r="R284">
        <f t="shared" si="13"/>
        <v>49</v>
      </c>
      <c r="S284" t="e">
        <f t="shared" ca="1" si="14"/>
        <v>#N/A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e">
        <f ca="1">IF($T284&lt;=AA$4,INDEX(TypicalCriticalitiesMAHBarrier23[Typical Components],MATCH($T284,TypicalCriticalitiesMAHBarrier23[Column2],0)),"")</f>
        <v>#N/A</v>
      </c>
      <c r="W284" t="e">
        <f ca="1">IF($T284&lt;=AA$4,INDEX(TypicalCriticalitiesMAHBarrier23[Typical Criticality],MATCH($T284,TypicalCriticalitiesMAHBarrier23[Column2],0)),"")</f>
        <v>#N/A</v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547</v>
      </c>
      <c r="O285" t="s">
        <v>558</v>
      </c>
      <c r="P285" t="s">
        <v>565</v>
      </c>
      <c r="Q285" t="s">
        <v>1</v>
      </c>
      <c r="R285">
        <f t="shared" si="13"/>
        <v>49</v>
      </c>
      <c r="S285" t="e">
        <f t="shared" ca="1" si="14"/>
        <v>#N/A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e">
        <f ca="1">IF($T285&lt;=AA$4,INDEX(TypicalCriticalitiesMAHBarrier23[Typical Components],MATCH($T285,TypicalCriticalitiesMAHBarrier23[Column2],0)),"")</f>
        <v>#N/A</v>
      </c>
      <c r="W285" t="e">
        <f ca="1">IF($T285&lt;=AA$4,INDEX(TypicalCriticalitiesMAHBarrier23[Typical Criticality],MATCH($T285,TypicalCriticalitiesMAHBarrier23[Column2],0)),"")</f>
        <v>#N/A</v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566</v>
      </c>
      <c r="O286" t="s">
        <v>567</v>
      </c>
      <c r="P286" t="s">
        <v>568</v>
      </c>
      <c r="Q286" t="s">
        <v>0</v>
      </c>
      <c r="R286">
        <f t="shared" si="13"/>
        <v>50</v>
      </c>
      <c r="S286" t="e">
        <f t="shared" ca="1" si="14"/>
        <v>#N/A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e">
        <f ca="1">IF($T286&lt;=AA$4,INDEX(TypicalCriticalitiesMAHBarrier23[Typical Components],MATCH($T286,TypicalCriticalitiesMAHBarrier23[Column2],0)),"")</f>
        <v>#N/A</v>
      </c>
      <c r="W286" t="e">
        <f ca="1">IF($T286&lt;=AA$4,INDEX(TypicalCriticalitiesMAHBarrier23[Typical Criticality],MATCH($T286,TypicalCriticalitiesMAHBarrier23[Column2],0)),"")</f>
        <v>#N/A</v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566</v>
      </c>
      <c r="O287" t="s">
        <v>567</v>
      </c>
      <c r="P287" t="s">
        <v>569</v>
      </c>
      <c r="Q287" t="s">
        <v>0</v>
      </c>
      <c r="R287">
        <f t="shared" si="13"/>
        <v>50</v>
      </c>
      <c r="S287" t="e">
        <f t="shared" ca="1" si="14"/>
        <v>#N/A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e">
        <f ca="1">IF($T287&lt;=AA$4,INDEX(TypicalCriticalitiesMAHBarrier23[Typical Components],MATCH($T287,TypicalCriticalitiesMAHBarrier23[Column2],0)),"")</f>
        <v>#N/A</v>
      </c>
      <c r="W287" t="e">
        <f ca="1">IF($T287&lt;=AA$4,INDEX(TypicalCriticalitiesMAHBarrier23[Typical Criticality],MATCH($T287,TypicalCriticalitiesMAHBarrier23[Column2],0)),"")</f>
        <v>#N/A</v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570</v>
      </c>
      <c r="O288" t="s">
        <v>571</v>
      </c>
      <c r="P288" t="s">
        <v>572</v>
      </c>
      <c r="Q288" t="s">
        <v>0</v>
      </c>
      <c r="R288">
        <f t="shared" si="13"/>
        <v>51</v>
      </c>
      <c r="S288" t="e">
        <f t="shared" ca="1" si="14"/>
        <v>#N/A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e">
        <f ca="1">IF($T288&lt;=AA$4,INDEX(TypicalCriticalitiesMAHBarrier23[Typical Components],MATCH($T288,TypicalCriticalitiesMAHBarrier23[Column2],0)),"")</f>
        <v>#N/A</v>
      </c>
      <c r="W288" t="e">
        <f ca="1">IF($T288&lt;=AA$4,INDEX(TypicalCriticalitiesMAHBarrier23[Typical Criticality],MATCH($T288,TypicalCriticalitiesMAHBarrier23[Column2],0)),"")</f>
        <v>#N/A</v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573</v>
      </c>
      <c r="O289" t="s">
        <v>574</v>
      </c>
      <c r="P289" t="s">
        <v>575</v>
      </c>
      <c r="Q289" t="s">
        <v>0</v>
      </c>
      <c r="R289">
        <f t="shared" si="13"/>
        <v>52</v>
      </c>
      <c r="S289" t="e">
        <f t="shared" ca="1" si="14"/>
        <v>#N/A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e">
        <f ca="1">IF($T289&lt;=AA$4,INDEX(TypicalCriticalitiesMAHBarrier23[Typical Components],MATCH($T289,TypicalCriticalitiesMAHBarrier23[Column2],0)),"")</f>
        <v>#N/A</v>
      </c>
      <c r="W289" t="e">
        <f ca="1">IF($T289&lt;=AA$4,INDEX(TypicalCriticalitiesMAHBarrier23[Typical Criticality],MATCH($T289,TypicalCriticalitiesMAHBarrier23[Column2],0)),"")</f>
        <v>#N/A</v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573</v>
      </c>
      <c r="O290" t="s">
        <v>574</v>
      </c>
      <c r="P290" t="s">
        <v>576</v>
      </c>
      <c r="Q290" t="s">
        <v>0</v>
      </c>
      <c r="R290">
        <f t="shared" si="13"/>
        <v>52</v>
      </c>
      <c r="S290" t="e">
        <f t="shared" ca="1" si="14"/>
        <v>#N/A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e">
        <f ca="1">IF($T290&lt;=AA$4,INDEX(TypicalCriticalitiesMAHBarrier23[Typical Components],MATCH($T290,TypicalCriticalitiesMAHBarrier23[Column2],0)),"")</f>
        <v>#N/A</v>
      </c>
      <c r="W290" t="e">
        <f ca="1">IF($T290&lt;=AA$4,INDEX(TypicalCriticalitiesMAHBarrier23[Typical Criticality],MATCH($T290,TypicalCriticalitiesMAHBarrier23[Column2],0)),"")</f>
        <v>#N/A</v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573</v>
      </c>
      <c r="O291" t="s">
        <v>574</v>
      </c>
      <c r="P291" t="s">
        <v>577</v>
      </c>
      <c r="Q291" t="s">
        <v>0</v>
      </c>
      <c r="R291">
        <f t="shared" si="13"/>
        <v>52</v>
      </c>
      <c r="S291" t="e">
        <f t="shared" ca="1" si="14"/>
        <v>#N/A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e">
        <f ca="1">IF($T291&lt;=AA$4,INDEX(TypicalCriticalitiesMAHBarrier23[Typical Components],MATCH($T291,TypicalCriticalitiesMAHBarrier23[Column2],0)),"")</f>
        <v>#N/A</v>
      </c>
      <c r="W291" t="e">
        <f ca="1">IF($T291&lt;=AA$4,INDEX(TypicalCriticalitiesMAHBarrier23[Typical Criticality],MATCH($T291,TypicalCriticalitiesMAHBarrier23[Column2],0)),"")</f>
        <v>#N/A</v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578</v>
      </c>
      <c r="O292" t="s">
        <v>579</v>
      </c>
      <c r="P292" t="s">
        <v>580</v>
      </c>
      <c r="Q292" t="s">
        <v>0</v>
      </c>
      <c r="R292">
        <f t="shared" si="13"/>
        <v>53</v>
      </c>
      <c r="S292" t="e">
        <f t="shared" ca="1" si="14"/>
        <v>#N/A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e">
        <f ca="1">IF($T292&lt;=AA$4,INDEX(TypicalCriticalitiesMAHBarrier23[Typical Components],MATCH($T292,TypicalCriticalitiesMAHBarrier23[Column2],0)),"")</f>
        <v>#N/A</v>
      </c>
      <c r="W292" t="e">
        <f ca="1">IF($T292&lt;=AA$4,INDEX(TypicalCriticalitiesMAHBarrier23[Typical Criticality],MATCH($T292,TypicalCriticalitiesMAHBarrier23[Column2],0)),"")</f>
        <v>#N/A</v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578</v>
      </c>
      <c r="O293" t="s">
        <v>579</v>
      </c>
      <c r="P293" t="s">
        <v>581</v>
      </c>
      <c r="Q293" t="s">
        <v>1</v>
      </c>
      <c r="R293">
        <f t="shared" si="13"/>
        <v>53</v>
      </c>
      <c r="S293" t="e">
        <f t="shared" ca="1" si="14"/>
        <v>#N/A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e">
        <f ca="1">IF($T293&lt;=AA$4,INDEX(TypicalCriticalitiesMAHBarrier23[Typical Components],MATCH($T293,TypicalCriticalitiesMAHBarrier23[Column2],0)),"")</f>
        <v>#N/A</v>
      </c>
      <c r="W293" t="e">
        <f ca="1">IF($T293&lt;=AA$4,INDEX(TypicalCriticalitiesMAHBarrier23[Typical Criticality],MATCH($T293,TypicalCriticalitiesMAHBarrier23[Column2],0)),"")</f>
        <v>#N/A</v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578</v>
      </c>
      <c r="O294" t="s">
        <v>579</v>
      </c>
      <c r="P294" t="s">
        <v>582</v>
      </c>
      <c r="Q294" t="s">
        <v>0</v>
      </c>
      <c r="R294">
        <f t="shared" si="13"/>
        <v>53</v>
      </c>
      <c r="S294" t="e">
        <f t="shared" ca="1" si="14"/>
        <v>#N/A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e">
        <f ca="1">IF($T294&lt;=AA$4,INDEX(TypicalCriticalitiesMAHBarrier23[Typical Components],MATCH($T294,TypicalCriticalitiesMAHBarrier23[Column2],0)),"")</f>
        <v>#N/A</v>
      </c>
      <c r="W294" t="e">
        <f ca="1">IF($T294&lt;=AA$4,INDEX(TypicalCriticalitiesMAHBarrier23[Typical Criticality],MATCH($T294,TypicalCriticalitiesMAHBarrier23[Column2],0)),"")</f>
        <v>#N/A</v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578</v>
      </c>
      <c r="O295" t="s">
        <v>579</v>
      </c>
      <c r="P295" t="s">
        <v>583</v>
      </c>
      <c r="Q295" t="s">
        <v>0</v>
      </c>
      <c r="R295">
        <f t="shared" si="13"/>
        <v>53</v>
      </c>
      <c r="S295" t="e">
        <f t="shared" ca="1" si="14"/>
        <v>#N/A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e">
        <f ca="1">IF($T295&lt;=AA$4,INDEX(TypicalCriticalitiesMAHBarrier23[Typical Components],MATCH($T295,TypicalCriticalitiesMAHBarrier23[Column2],0)),"")</f>
        <v>#N/A</v>
      </c>
      <c r="W295" t="e">
        <f ca="1">IF($T295&lt;=AA$4,INDEX(TypicalCriticalitiesMAHBarrier23[Typical Criticality],MATCH($T295,TypicalCriticalitiesMAHBarrier23[Column2],0)),"")</f>
        <v>#N/A</v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578</v>
      </c>
      <c r="O296" t="s">
        <v>579</v>
      </c>
      <c r="P296" t="s">
        <v>584</v>
      </c>
      <c r="Q296" t="s">
        <v>1</v>
      </c>
      <c r="R296">
        <f t="shared" si="13"/>
        <v>53</v>
      </c>
      <c r="S296" t="e">
        <f t="shared" ca="1" si="14"/>
        <v>#N/A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e">
        <f ca="1">IF($T296&lt;=AA$4,INDEX(TypicalCriticalitiesMAHBarrier23[Typical Components],MATCH($T296,TypicalCriticalitiesMAHBarrier23[Column2],0)),"")</f>
        <v>#N/A</v>
      </c>
      <c r="W296" t="e">
        <f ca="1">IF($T296&lt;=AA$4,INDEX(TypicalCriticalitiesMAHBarrier23[Typical Criticality],MATCH($T296,TypicalCriticalitiesMAHBarrier23[Column2],0)),"")</f>
        <v>#N/A</v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578</v>
      </c>
      <c r="O297" t="s">
        <v>579</v>
      </c>
      <c r="P297" t="s">
        <v>585</v>
      </c>
      <c r="Q297" t="s">
        <v>0</v>
      </c>
      <c r="R297">
        <f t="shared" si="13"/>
        <v>53</v>
      </c>
      <c r="S297" t="e">
        <f t="shared" ca="1" si="14"/>
        <v>#N/A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e">
        <f ca="1">IF($T297&lt;=AA$4,INDEX(TypicalCriticalitiesMAHBarrier23[Typical Components],MATCH($T297,TypicalCriticalitiesMAHBarrier23[Column2],0)),"")</f>
        <v>#N/A</v>
      </c>
      <c r="W297" t="e">
        <f ca="1">IF($T297&lt;=AA$4,INDEX(TypicalCriticalitiesMAHBarrier23[Typical Criticality],MATCH($T297,TypicalCriticalitiesMAHBarrier23[Column2],0)),"")</f>
        <v>#N/A</v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578</v>
      </c>
      <c r="O298" t="s">
        <v>579</v>
      </c>
      <c r="P298" t="s">
        <v>586</v>
      </c>
      <c r="Q298" t="s">
        <v>0</v>
      </c>
      <c r="R298">
        <f t="shared" si="13"/>
        <v>53</v>
      </c>
      <c r="S298" t="e">
        <f t="shared" ca="1" si="14"/>
        <v>#N/A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e">
        <f ca="1">IF($T298&lt;=AA$4,INDEX(TypicalCriticalitiesMAHBarrier23[Typical Components],MATCH($T298,TypicalCriticalitiesMAHBarrier23[Column2],0)),"")</f>
        <v>#N/A</v>
      </c>
      <c r="W298" t="e">
        <f ca="1">IF($T298&lt;=AA$4,INDEX(TypicalCriticalitiesMAHBarrier23[Typical Criticality],MATCH($T298,TypicalCriticalitiesMAHBarrier23[Column2],0)),"")</f>
        <v>#N/A</v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578</v>
      </c>
      <c r="O299" t="s">
        <v>579</v>
      </c>
      <c r="P299" t="s">
        <v>587</v>
      </c>
      <c r="Q299" t="s">
        <v>0</v>
      </c>
      <c r="R299">
        <f t="shared" si="13"/>
        <v>53</v>
      </c>
      <c r="S299" t="e">
        <f t="shared" ca="1" si="14"/>
        <v>#N/A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e">
        <f ca="1">IF($T299&lt;=AA$4,INDEX(TypicalCriticalitiesMAHBarrier23[Typical Components],MATCH($T299,TypicalCriticalitiesMAHBarrier23[Column2],0)),"")</f>
        <v>#N/A</v>
      </c>
      <c r="W299" t="e">
        <f ca="1">IF($T299&lt;=AA$4,INDEX(TypicalCriticalitiesMAHBarrier23[Typical Criticality],MATCH($T299,TypicalCriticalitiesMAHBarrier23[Column2],0)),"")</f>
        <v>#N/A</v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578</v>
      </c>
      <c r="O300" t="s">
        <v>579</v>
      </c>
      <c r="P300" t="s">
        <v>588</v>
      </c>
      <c r="Q300" t="s">
        <v>0</v>
      </c>
      <c r="R300">
        <f t="shared" si="13"/>
        <v>53</v>
      </c>
      <c r="S300" t="e">
        <f t="shared" ca="1" si="14"/>
        <v>#N/A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e">
        <f ca="1">IF($T300&lt;=AA$4,INDEX(TypicalCriticalitiesMAHBarrier23[Typical Components],MATCH($T300,TypicalCriticalitiesMAHBarrier23[Column2],0)),"")</f>
        <v>#N/A</v>
      </c>
      <c r="W300" t="e">
        <f ca="1">IF($T300&lt;=AA$4,INDEX(TypicalCriticalitiesMAHBarrier23[Typical Criticality],MATCH($T300,TypicalCriticalitiesMAHBarrier23[Column2],0)),"")</f>
        <v>#N/A</v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578</v>
      </c>
      <c r="O301" t="s">
        <v>579</v>
      </c>
      <c r="P301" t="s">
        <v>589</v>
      </c>
      <c r="Q301" t="s">
        <v>0</v>
      </c>
      <c r="R301">
        <f t="shared" si="13"/>
        <v>53</v>
      </c>
      <c r="S301" t="e">
        <f t="shared" ca="1" si="14"/>
        <v>#N/A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e">
        <f ca="1">IF($T301&lt;=AA$4,INDEX(TypicalCriticalitiesMAHBarrier23[Typical Components],MATCH($T301,TypicalCriticalitiesMAHBarrier23[Column2],0)),"")</f>
        <v>#N/A</v>
      </c>
      <c r="W301" t="e">
        <f ca="1">IF($T301&lt;=AA$4,INDEX(TypicalCriticalitiesMAHBarrier23[Typical Criticality],MATCH($T301,TypicalCriticalitiesMAHBarrier23[Column2],0)),"")</f>
        <v>#N/A</v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578</v>
      </c>
      <c r="O302" t="s">
        <v>579</v>
      </c>
      <c r="P302" t="s">
        <v>590</v>
      </c>
      <c r="Q302" t="s">
        <v>1</v>
      </c>
      <c r="R302">
        <f t="shared" si="13"/>
        <v>53</v>
      </c>
      <c r="S302" t="e">
        <f t="shared" ca="1" si="14"/>
        <v>#N/A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e">
        <f ca="1">IF($T302&lt;=AA$4,INDEX(TypicalCriticalitiesMAHBarrier23[Typical Components],MATCH($T302,TypicalCriticalitiesMAHBarrier23[Column2],0)),"")</f>
        <v>#N/A</v>
      </c>
      <c r="W302" t="e">
        <f ca="1">IF($T302&lt;=AA$4,INDEX(TypicalCriticalitiesMAHBarrier23[Typical Criticality],MATCH($T302,TypicalCriticalitiesMAHBarrier23[Column2],0)),"")</f>
        <v>#N/A</v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578</v>
      </c>
      <c r="O303" t="s">
        <v>579</v>
      </c>
      <c r="P303" t="s">
        <v>591</v>
      </c>
      <c r="Q303" t="s">
        <v>1</v>
      </c>
      <c r="R303">
        <f t="shared" si="13"/>
        <v>53</v>
      </c>
      <c r="S303" t="e">
        <f t="shared" ca="1" si="14"/>
        <v>#N/A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e">
        <f ca="1">IF($T303&lt;=AA$4,INDEX(TypicalCriticalitiesMAHBarrier23[Typical Components],MATCH($T303,TypicalCriticalitiesMAHBarrier23[Column2],0)),"")</f>
        <v>#N/A</v>
      </c>
      <c r="W303" t="e">
        <f ca="1">IF($T303&lt;=AA$4,INDEX(TypicalCriticalitiesMAHBarrier23[Typical Criticality],MATCH($T303,TypicalCriticalitiesMAHBarrier23[Column2],0)),"")</f>
        <v>#N/A</v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578</v>
      </c>
      <c r="O304" t="s">
        <v>579</v>
      </c>
      <c r="P304" t="s">
        <v>592</v>
      </c>
      <c r="Q304" t="s">
        <v>0</v>
      </c>
      <c r="R304">
        <f t="shared" si="13"/>
        <v>53</v>
      </c>
      <c r="S304" t="e">
        <f t="shared" ca="1" si="14"/>
        <v>#N/A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e">
        <f ca="1">IF($T304&lt;=AA$4,INDEX(TypicalCriticalitiesMAHBarrier23[Typical Components],MATCH($T304,TypicalCriticalitiesMAHBarrier23[Column2],0)),"")</f>
        <v>#N/A</v>
      </c>
      <c r="W304" t="e">
        <f ca="1">IF($T304&lt;=AA$4,INDEX(TypicalCriticalitiesMAHBarrier23[Typical Criticality],MATCH($T304,TypicalCriticalitiesMAHBarrier23[Column2],0)),"")</f>
        <v>#N/A</v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593</v>
      </c>
      <c r="O305" t="s">
        <v>594</v>
      </c>
      <c r="P305" t="s">
        <v>595</v>
      </c>
      <c r="Q305" t="s">
        <v>1</v>
      </c>
      <c r="R305">
        <f t="shared" si="13"/>
        <v>54</v>
      </c>
      <c r="S305" t="e">
        <f t="shared" ca="1" si="14"/>
        <v>#N/A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e">
        <f ca="1">IF($T305&lt;=AA$4,INDEX(TypicalCriticalitiesMAHBarrier23[Typical Components],MATCH($T305,TypicalCriticalitiesMAHBarrier23[Column2],0)),"")</f>
        <v>#N/A</v>
      </c>
      <c r="W305" t="e">
        <f ca="1">IF($T305&lt;=AA$4,INDEX(TypicalCriticalitiesMAHBarrier23[Typical Criticality],MATCH($T305,TypicalCriticalitiesMAHBarrier23[Column2],0)),"")</f>
        <v>#N/A</v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593</v>
      </c>
      <c r="O306" t="s">
        <v>594</v>
      </c>
      <c r="P306" t="s">
        <v>596</v>
      </c>
      <c r="Q306" t="s">
        <v>1</v>
      </c>
      <c r="R306">
        <f t="shared" si="13"/>
        <v>54</v>
      </c>
      <c r="S306" t="e">
        <f t="shared" ca="1" si="14"/>
        <v>#N/A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e">
        <f ca="1">IF($T306&lt;=AA$4,INDEX(TypicalCriticalitiesMAHBarrier23[Typical Components],MATCH($T306,TypicalCriticalitiesMAHBarrier23[Column2],0)),"")</f>
        <v>#N/A</v>
      </c>
      <c r="W306" t="e">
        <f ca="1">IF($T306&lt;=AA$4,INDEX(TypicalCriticalitiesMAHBarrier23[Typical Criticality],MATCH($T306,TypicalCriticalitiesMAHBarrier23[Column2],0)),"")</f>
        <v>#N/A</v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593</v>
      </c>
      <c r="O307" t="s">
        <v>594</v>
      </c>
      <c r="P307" t="s">
        <v>597</v>
      </c>
      <c r="Q307" t="s">
        <v>1</v>
      </c>
      <c r="R307">
        <f t="shared" si="13"/>
        <v>54</v>
      </c>
      <c r="S307" t="e">
        <f t="shared" ca="1" si="14"/>
        <v>#N/A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e">
        <f ca="1">IF($T307&lt;=AA$4,INDEX(TypicalCriticalitiesMAHBarrier23[Typical Components],MATCH($T307,TypicalCriticalitiesMAHBarrier23[Column2],0)),"")</f>
        <v>#N/A</v>
      </c>
      <c r="W307" t="e">
        <f ca="1">IF($T307&lt;=AA$4,INDEX(TypicalCriticalitiesMAHBarrier23[Typical Criticality],MATCH($T307,TypicalCriticalitiesMAHBarrier23[Column2],0)),"")</f>
        <v>#N/A</v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593</v>
      </c>
      <c r="O308" t="s">
        <v>594</v>
      </c>
      <c r="P308" t="s">
        <v>598</v>
      </c>
      <c r="Q308" t="s">
        <v>0</v>
      </c>
      <c r="R308">
        <f t="shared" si="13"/>
        <v>54</v>
      </c>
      <c r="S308" t="e">
        <f t="shared" ca="1" si="14"/>
        <v>#N/A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e">
        <f ca="1">IF($T308&lt;=AA$4,INDEX(TypicalCriticalitiesMAHBarrier23[Typical Components],MATCH($T308,TypicalCriticalitiesMAHBarrier23[Column2],0)),"")</f>
        <v>#N/A</v>
      </c>
      <c r="W308" t="e">
        <f ca="1">IF($T308&lt;=AA$4,INDEX(TypicalCriticalitiesMAHBarrier23[Typical Criticality],MATCH($T308,TypicalCriticalitiesMAHBarrier23[Column2],0)),"")</f>
        <v>#N/A</v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593</v>
      </c>
      <c r="O309" t="s">
        <v>594</v>
      </c>
      <c r="P309" t="s">
        <v>599</v>
      </c>
      <c r="Q309" t="s">
        <v>1</v>
      </c>
      <c r="R309">
        <f t="shared" si="13"/>
        <v>54</v>
      </c>
      <c r="S309" t="e">
        <f t="shared" ca="1" si="14"/>
        <v>#N/A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e">
        <f ca="1">IF($T309&lt;=AA$4,INDEX(TypicalCriticalitiesMAHBarrier23[Typical Components],MATCH($T309,TypicalCriticalitiesMAHBarrier23[Column2],0)),"")</f>
        <v>#N/A</v>
      </c>
      <c r="W309" t="e">
        <f ca="1">IF($T309&lt;=AA$4,INDEX(TypicalCriticalitiesMAHBarrier23[Typical Criticality],MATCH($T309,TypicalCriticalitiesMAHBarrier23[Column2],0)),"")</f>
        <v>#N/A</v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2">
    <mergeCell ref="A6:D6"/>
    <mergeCell ref="I7:K9"/>
  </mergeCells>
  <conditionalFormatting sqref="G5">
    <cfRule type="containsText" dxfId="37" priority="1" operator="containsText" text="YES">
      <formula>NOT(ISERROR(SEARCH("YES",G5)))</formula>
    </cfRule>
  </conditionalFormatting>
  <conditionalFormatting sqref="I7">
    <cfRule type="expression" dxfId="36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8">
      <formula1>"Yes,No"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'[WND Criticality Template.xlsx]DataTables'!#REF!</xm:f>
          </x14:formula1>
          <xm:sqref>C16:C19 C22:C24 C34:C38 C28:C31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2017-09-14T15:44:24Z</dcterms:modified>
</cp:coreProperties>
</file>