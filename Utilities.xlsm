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9300" yWindow="0" windowWidth="20490" windowHeight="8115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</sheets>
  <definedNames>
    <definedName name="ExternalData_1" localSheetId="6" hidden="1">RuleSet!$A$2:$M$122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8" i="1" l="1" a="1"/>
  <c r="P48" i="1" s="1"/>
  <c r="S49" i="1"/>
  <c r="S48" i="1"/>
  <c r="P55" i="1" a="1"/>
  <c r="P55" i="1" s="1"/>
  <c r="Q55" i="1" a="1"/>
  <c r="Q55" i="1" s="1"/>
  <c r="O55" i="1" a="1"/>
  <c r="O55" i="1"/>
  <c r="L58" i="1" a="1"/>
  <c r="L58" i="1" s="1"/>
  <c r="Q48" i="1" a="1"/>
  <c r="Q48" i="1" s="1"/>
  <c r="O49" i="1"/>
  <c r="O48" i="1"/>
  <c r="O48" i="1" a="1"/>
  <c r="O51" i="1" s="1"/>
  <c r="N48" i="1" a="1"/>
  <c r="N51" i="1" s="1"/>
  <c r="M50" i="1"/>
  <c r="M49" i="1"/>
  <c r="M48" i="1"/>
  <c r="M48" i="1" a="1"/>
  <c r="M51" i="1" s="1"/>
  <c r="L48" i="1" a="1"/>
  <c r="L48" i="1" s="1"/>
  <c r="N55" i="1" a="1"/>
  <c r="N55" i="1" s="1"/>
  <c r="M55" i="1" a="1"/>
  <c r="M55" i="1" s="1"/>
  <c r="L55" i="1" a="1"/>
  <c r="L55" i="1" s="1"/>
  <c r="O43" i="1" a="1"/>
  <c r="O43" i="1" s="1"/>
  <c r="N43" i="1" a="1"/>
  <c r="N43" i="1" s="1"/>
  <c r="M43" i="1" a="1"/>
  <c r="M43" i="1" s="1"/>
  <c r="Q43" i="1" a="1"/>
  <c r="Q46" i="1" s="1"/>
  <c r="P43" i="1" a="1"/>
  <c r="P46" i="1" s="1"/>
  <c r="L43" i="1" a="1"/>
  <c r="L44" i="1" s="1"/>
  <c r="P51" i="1" l="1"/>
  <c r="P50" i="1"/>
  <c r="P49" i="1"/>
  <c r="P43" i="1"/>
  <c r="Q43" i="1"/>
  <c r="O50" i="1"/>
  <c r="O53" i="1" s="1"/>
  <c r="P44" i="1"/>
  <c r="Q44" i="1"/>
  <c r="P45" i="1"/>
  <c r="S60" i="1"/>
  <c r="S58" i="1"/>
  <c r="R61" i="1"/>
  <c r="N61" i="1"/>
  <c r="R60" i="1"/>
  <c r="N60" i="1"/>
  <c r="R59" i="1"/>
  <c r="N59" i="1"/>
  <c r="R58" i="1"/>
  <c r="R63" i="1" s="1"/>
  <c r="N58" i="1"/>
  <c r="S61" i="1"/>
  <c r="O61" i="1"/>
  <c r="O60" i="1"/>
  <c r="S59" i="1"/>
  <c r="O59" i="1"/>
  <c r="O58" i="1"/>
  <c r="O63" i="1" s="1"/>
  <c r="Q61" i="1"/>
  <c r="M61" i="1"/>
  <c r="Q60" i="1"/>
  <c r="M60" i="1"/>
  <c r="Q59" i="1"/>
  <c r="M59" i="1"/>
  <c r="Q58" i="1"/>
  <c r="M58" i="1"/>
  <c r="M63" i="1" s="1"/>
  <c r="P61" i="1"/>
  <c r="L61" i="1"/>
  <c r="P60" i="1"/>
  <c r="L60" i="1"/>
  <c r="P59" i="1"/>
  <c r="L59" i="1"/>
  <c r="L63" i="1" s="1"/>
  <c r="L65" i="1" s="1"/>
  <c r="P58" i="1"/>
  <c r="P63" i="1" s="1"/>
  <c r="Q51" i="1"/>
  <c r="Q50" i="1"/>
  <c r="Q49" i="1"/>
  <c r="N48" i="1"/>
  <c r="N49" i="1"/>
  <c r="N53" i="1" s="1"/>
  <c r="N50" i="1"/>
  <c r="L51" i="1"/>
  <c r="L50" i="1"/>
  <c r="L49" i="1"/>
  <c r="Q53" i="1"/>
  <c r="M53" i="1"/>
  <c r="N45" i="1"/>
  <c r="N44" i="1"/>
  <c r="N46" i="1"/>
  <c r="M44" i="1"/>
  <c r="M45" i="1"/>
  <c r="M46" i="1"/>
  <c r="Q45" i="1"/>
  <c r="L43" i="1"/>
  <c r="L46" i="1"/>
  <c r="L45" i="1"/>
  <c r="P53" i="1" l="1"/>
  <c r="L53" i="1"/>
  <c r="Q63" i="1"/>
  <c r="N63" i="1"/>
  <c r="S63" i="1"/>
  <c r="N41" i="1" l="1"/>
  <c r="T41" i="1"/>
  <c r="S41" i="1"/>
  <c r="T40" i="1" a="1"/>
  <c r="T40" i="1" s="1"/>
  <c r="S40" i="1" a="1"/>
  <c r="S40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S38" i="1"/>
  <c r="T37" i="1"/>
  <c r="T38" i="1" s="1"/>
  <c r="S37" i="1"/>
  <c r="M38" i="1"/>
  <c r="M7" i="6" l="1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<sst xmlns="http://schemas.openxmlformats.org/spreadsheetml/2006/main" count="425" uniqueCount="170">
  <si>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</si>
  <si>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</si>
  <si>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</si>
  <si>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</si>
  <si>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</si>
  <si>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</si>
  <si>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</si>
  <si>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</si>
  <si>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</si>
  <si>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</si>
  <si>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</si>
  <si>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</si>
  <si>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</si>
  <si>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</si>
  <si>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</si>
  <si>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</si>
  <si>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</si>
  <si>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</si>
  <si>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</si>
  <si>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</si>
  <si>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</si>
  <si>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</si>
  <si>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</si>
  <si>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</si>
  <si>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</si>
  <si>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</si>
  <si>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</si>
  <si>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</si>
  <si>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</si>
  <si>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</si>
  <si>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</si>
  <si>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</si>
  <si>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</si>
  <si>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</si>
  <si>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</si>
  <si>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</si>
  <si>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</si>
  <si>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</si>
  <si>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</si>
  <si>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</si>
  <si>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</si>
  <si>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</si>
  <si>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</si>
  <si>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</si>
  <si>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</si>
  <si>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</si>
  <si>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</si>
  <si>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</si>
  <si>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</si>
  <si>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</si>
  <si>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</si>
  <si>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</si>
  <si>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</si>
  <si>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</si>
  <si>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</si>
  <si>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</si>
  <si>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</si>
  <si>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</si>
  <si>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</si>
  <si>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</si>
  <si>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</si>
  <si>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</si>
  <si>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</si>
  <si>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</si>
  <si>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</si>
  <si>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</si>
  <si>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</si>
  <si>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</si>
  <si>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</si>
  <si>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</si>
  <si>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</si>
  <si>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</si>
  <si>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</si>
  <si>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</si>
  <si>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</si>
  <si>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</si>
  <si>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</si>
  <si>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</si>
  <si>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</si>
  <si>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</si>
  <si>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</si>
  <si>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</si>
  <si>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</si>
  <si>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</si>
  <si>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</si>
  <si>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</si>
  <si>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</si>
  <si>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</si>
  <si>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</si>
  <si>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</si>
  <si>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</si>
  <si>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</si>
  <si>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</si>
  <si>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</si>
  <si>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</si>
  <si>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</si>
  <si>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</si>
  <si>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</si>
  <si>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</si>
  <si>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</si>
  <si>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</si>
  <si>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</si>
  <si>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</si>
  <si>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</si>
  <si>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</si>
  <si>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</si>
  <si>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</si>
  <si>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</si>
  <si>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</si>
  <si>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</si>
  <si>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</si>
  <si>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</si>
  <si>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</si>
  <si>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</si>
  <si>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</si>
  <si>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</si>
  <si>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</si>
  <si>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</si>
  <si>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</si>
  <si>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</si>
  <si>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</si>
  <si>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</si>
  <si>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</si>
  <si>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</si>
  <si>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</si>
  <si>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set initial criticality based on system code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</si>
  <si>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</si>
  <si>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</si>
  <si>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</si>
  <si>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</si>
  <si>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</si>
  <si>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</si>
  <si>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</si>
  <si>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</si>
  <si>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</si>
  <si>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</si>
  <si>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</si>
  <si>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</si>
  <si>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</si>
  <si>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</si>
  <si>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</si>
  <si>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</si>
  <si>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</si>
  <si>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</si>
  <si>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</si>
  <si>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</si>
  <si>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</si>
  <si>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</si>
  <si>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</si>
  <si>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</si>
  <si>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</si>
  <si>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</si>
  <si>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</si>
  <si>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</si>
  <si>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</si>
  <si>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</si>
  <si>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</si>
  <si>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Translate to number</t>
  </si>
  <si>
    <t>Minimum number</t>
  </si>
  <si>
    <t>Minimum in one go</t>
  </si>
  <si>
    <t xml:space="preserve">Find occurrences of a code </t>
  </si>
  <si>
    <t>letter  in  column range</t>
  </si>
  <si>
    <t>Non-zero value for letter?</t>
  </si>
  <si>
    <t>Convert position to letter</t>
  </si>
  <si>
    <t>Single formula</t>
  </si>
  <si>
    <t>problems with array formula….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</si>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</sst>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 vertical="center"/>
    </xf>
    <xf numFmtId="0" fontId="3" fillId="3" borderId="0" xfId="2"/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3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42" dataDxfId="41">
  <autoFilter ref="B4:J12"/>
  <tableColumns count="9">
    <tableColumn id="1" name="Impact" dataDxfId="40" dataCellStyle="Bad"/>
    <tableColumn id="2" name="1" dataDxfId="39"/>
    <tableColumn id="3" name="2" dataDxfId="38">
      <calculatedColumnFormula>C5+1</calculatedColumnFormula>
    </tableColumn>
    <tableColumn id="4" name="3" dataDxfId="37">
      <calculatedColumnFormula>D5+1</calculatedColumnFormula>
    </tableColumn>
    <tableColumn id="5" name="4" dataDxfId="36">
      <calculatedColumnFormula>E5+1</calculatedColumnFormula>
    </tableColumn>
    <tableColumn id="6" name="5" dataDxfId="35">
      <calculatedColumnFormula>F5+1</calculatedColumnFormula>
    </tableColumn>
    <tableColumn id="7" name="6" dataDxfId="34">
      <calculatedColumnFormula>G5+1</calculatedColumnFormula>
    </tableColumn>
    <tableColumn id="8" name="7" dataDxfId="33">
      <calculatedColumnFormula>H5+1</calculatedColumnFormula>
    </tableColumn>
    <tableColumn id="9" name="8" dataDxfId="32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31" dataDxfId="30" headerRowCellStyle="Explanatory Text" dataCellStyle="Explanatory Text">
  <autoFilter ref="D5:F13"/>
  <tableColumns count="3">
    <tableColumn id="1" name="Impact Level" dataDxfId="29" dataCellStyle="Normal"/>
    <tableColumn id="2" name="Criticality Unspared" dataDxfId="28" dataCellStyle="Normal"/>
    <tableColumn id="3" name="Criticality If Redundancy" dataDxfId="27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26">
  <autoFilter ref="A5:B18"/>
  <tableColumns count="2">
    <tableColumn id="1" name="Impact Level" dataDxfId="25" dataCellStyle="Accent6"/>
    <tableColumn id="2" name="Criticality Rating of Equipment" dataDxfId="24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23" headerRowCellStyle="Normal" dataCellStyle="Normal">
  <autoFilter ref="B6:C9"/>
  <tableColumns count="2">
    <tableColumn id="1" name="Criticality Rating" dataDxfId="22" dataCellStyle="Normal"/>
    <tableColumn id="2" name="Criticality Level" dataDxfId="21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20" dataDxfId="19" tableBorderDxfId="18">
  <autoFilter ref="E6:F16"/>
  <tableColumns count="2">
    <tableColumn id="1" name="Criticality Rating" dataDxfId="17"/>
    <tableColumn id="2" name="Criticality Level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15"/>
    <tableColumn id="4" name="Maximo Criticality type"/>
    <tableColumn id="5" name="SCE Threshold" dataDxfId="1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5" totalsRowShown="0" headerRowDxfId="13">
  <autoFilter ref="A1:P5"/>
  <tableColumns count="16">
    <tableColumn id="1" name="Rule"/>
    <tableColumn id="2" name="Applies to"/>
    <tableColumn id="3" name="What to do with existing data" dataDxfId="12"/>
    <tableColumn id="4" name="Comments to add" dataDxfId="11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67"/>
  <sheetViews>
    <sheetView tabSelected="1" workbookViewId="0">
      <selection activeCell="B35" sqref="B3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3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3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3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3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3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3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152</v>
      </c>
      <c r="L15" s="3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3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3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3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3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3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3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3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3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3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154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166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167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155</v>
      </c>
    </row>
    <row r="33" spans="2:20" x14ac:dyDescent="0.25">
      <c r="B33" t="s">
        <v>168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169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45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46" t="s">
        <v>153</v>
      </c>
      <c r="C37" s="46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>IF(L35=L37,"pass", "fail")</f>
        <v>pass</v>
      </c>
      <c r="M38" s="1" t="str">
        <f>IF(M35=M37,"pass", "fail")</f>
        <v>pass</v>
      </c>
      <c r="N38" s="1" t="str">
        <f>IF(N35=N37,"pass", "fail")</f>
        <v>pass</v>
      </c>
      <c r="O38" s="1" t="str">
        <f>IF(O35=O37,"pass", "fail")</f>
        <v>pass</v>
      </c>
      <c r="P38" s="1" t="str">
        <f>IF(P35=P37,"pass", "fail")</f>
        <v>fail</v>
      </c>
      <c r="Q38" s="1" t="str">
        <f>IF(Q35=Q37,"pass", "fail")</f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46" t="s">
        <v>156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7">IF(M$35=M40,"pass", "fail")</f>
        <v>pass</v>
      </c>
      <c r="N41" s="1" t="str">
        <f t="shared" si="17"/>
        <v>pass</v>
      </c>
      <c r="O41" s="1" t="str">
        <f t="shared" si="17"/>
        <v>pass</v>
      </c>
      <c r="P41" s="1" t="str">
        <f t="shared" si="17"/>
        <v>fail</v>
      </c>
      <c r="Q41" s="1" t="str">
        <f t="shared" si="17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43" spans="2:20" x14ac:dyDescent="0.25">
      <c r="L43" s="7" t="b">
        <f t="array" ref="L43:L46">L31:L34&lt;&gt;""</f>
        <v>1</v>
      </c>
      <c r="M43" s="7" t="str">
        <f t="array" ref="M43:M46">LOOKUP(M31:M34,{"A","B","C","D"})</f>
        <v>B</v>
      </c>
      <c r="N43" s="7">
        <f t="array" ref="N43:N46">HLOOKUP(N31:N34,{"A","B","C","D";1,2,3,4},2)</f>
        <v>2</v>
      </c>
      <c r="O43" s="7">
        <f t="array" ref="O43">MIN(HLOOKUP(O31:O34,{"A","B","C","D";1,2,3,4},2))</f>
        <v>2</v>
      </c>
      <c r="P43" s="7" t="b">
        <f t="array" ref="P43:P46">P31:P34&lt;&gt;""</f>
        <v>1</v>
      </c>
      <c r="Q43" s="7" t="b">
        <f t="array" ref="Q43:Q46">Q31:Q34&lt;&gt;""</f>
        <v>0</v>
      </c>
    </row>
    <row r="44" spans="2:20" x14ac:dyDescent="0.25">
      <c r="L44" t="b">
        <v>1</v>
      </c>
      <c r="M44" t="str">
        <v>A</v>
      </c>
      <c r="N44">
        <v>4</v>
      </c>
      <c r="P44" t="b">
        <v>0</v>
      </c>
      <c r="Q44" t="b">
        <v>0</v>
      </c>
    </row>
    <row r="45" spans="2:20" x14ac:dyDescent="0.25">
      <c r="L45" t="b">
        <v>1</v>
      </c>
      <c r="M45" t="str">
        <v>B</v>
      </c>
      <c r="N45">
        <v>2</v>
      </c>
      <c r="P45" t="b">
        <v>1</v>
      </c>
      <c r="Q45" t="b">
        <v>1</v>
      </c>
    </row>
    <row r="46" spans="2:20" x14ac:dyDescent="0.25">
      <c r="L46" t="b">
        <v>1</v>
      </c>
      <c r="M46" t="str">
        <v>C</v>
      </c>
      <c r="N46">
        <v>1</v>
      </c>
      <c r="P46" t="b">
        <v>1</v>
      </c>
      <c r="Q46" t="b">
        <v>1</v>
      </c>
    </row>
    <row r="48" spans="2:20" x14ac:dyDescent="0.25">
      <c r="H48" t="s">
        <v>157</v>
      </c>
      <c r="L48">
        <f t="array" ref="L48:L51">IF(AND(CODE(L31:L34)&gt;=65,CODE(L31:L34)&lt;=72),CODE(L31:L34),"")</f>
        <v>66</v>
      </c>
      <c r="M48">
        <f t="array" ref="M48:M51">IF(AND(CODE(M31:M34)&gt;=65,CODE(M31:M34)&lt;=72),CODE(M31:M34),"")</f>
        <v>66</v>
      </c>
      <c r="N48">
        <f t="array" ref="N48:N51">IF(AND(CODE(N31:N34)&gt;=65,CODE(N31:N34)&lt;=72),CODE(N31:N34),"")</f>
        <v>66</v>
      </c>
      <c r="O48">
        <f t="array" ref="O48:O51">IF(AND(CODE(O31:O34)&gt;=65,CODE(O31:O34)&lt;=72),CODE(O31:O34),"")</f>
        <v>66</v>
      </c>
      <c r="P48">
        <f t="array" ref="P48:P51">IF(AND(CODE(T(P31:P34))&gt;=65,CODE(T(P31:P34))&lt;=72),CODE(P31:P34),100)</f>
        <v>100</v>
      </c>
      <c r="Q48" t="e">
        <f t="array" ref="Q48:Q51">IF(ISERR((Q31:Q34)), "",
   IF(AND(CODE(Q31:Q34)&gt;=65,CODE(Q31:Q34)&lt;=72),"",CODE(Q31:Q34))
)</f>
        <v>#VALUE!</v>
      </c>
      <c r="S48" t="b">
        <f>AND(CODE(T(P31:P34))&gt;=65,CODE(T(P31:P34))&lt;=72)</f>
        <v>0</v>
      </c>
    </row>
    <row r="49" spans="8:19" x14ac:dyDescent="0.25">
      <c r="L49">
        <v>68</v>
      </c>
      <c r="M49">
        <v>65</v>
      </c>
      <c r="N49">
        <v>68</v>
      </c>
      <c r="O49">
        <v>68</v>
      </c>
      <c r="P49">
        <v>100</v>
      </c>
      <c r="Q49" t="e">
        <v>#VALUE!</v>
      </c>
      <c r="S49">
        <f>CODE(T(P31))</f>
        <v>32</v>
      </c>
    </row>
    <row r="50" spans="8:19" x14ac:dyDescent="0.25">
      <c r="L50">
        <v>66</v>
      </c>
      <c r="M50">
        <v>66</v>
      </c>
      <c r="N50">
        <v>66</v>
      </c>
      <c r="O50">
        <v>66</v>
      </c>
      <c r="P50">
        <v>100</v>
      </c>
      <c r="Q50" t="e">
        <v>#VALUE!</v>
      </c>
    </row>
    <row r="51" spans="8:19" x14ac:dyDescent="0.25">
      <c r="L51">
        <v>67</v>
      </c>
      <c r="M51">
        <v>67</v>
      </c>
      <c r="N51">
        <v>65</v>
      </c>
      <c r="O51">
        <v>65</v>
      </c>
      <c r="P51">
        <v>100</v>
      </c>
      <c r="Q51" t="e">
        <v>#VALUE!</v>
      </c>
    </row>
    <row r="53" spans="8:19" x14ac:dyDescent="0.25">
      <c r="H53" t="s">
        <v>158</v>
      </c>
      <c r="L53">
        <f>MIN(L48:L51)</f>
        <v>66</v>
      </c>
      <c r="M53">
        <f t="shared" ref="M53:Q53" si="18">MIN(M48:M51)</f>
        <v>65</v>
      </c>
      <c r="N53">
        <f t="shared" si="18"/>
        <v>65</v>
      </c>
      <c r="O53">
        <f t="shared" si="18"/>
        <v>65</v>
      </c>
      <c r="P53">
        <f>MIN(P48:P51)</f>
        <v>100</v>
      </c>
      <c r="Q53" t="e">
        <f t="shared" si="18"/>
        <v>#VALUE!</v>
      </c>
    </row>
    <row r="55" spans="8:19" x14ac:dyDescent="0.25">
      <c r="H55" t="s">
        <v>159</v>
      </c>
      <c r="L55">
        <f t="array" ref="L55">MIN(IF(CODE(L31:L34)&gt;=65,CODE(L31:L34),""))</f>
        <v>66</v>
      </c>
      <c r="M55">
        <f t="array" ref="M55">MIN(IF(CODE(M31:M34)&gt;=65,CODE(M31:M34),""))</f>
        <v>65</v>
      </c>
      <c r="N55">
        <f t="array" ref="N55">MIN(IF(CODE(N31:N34)&gt;=65,CODE(N31:N34),""))</f>
        <v>65</v>
      </c>
      <c r="O55">
        <f t="array" ref="O55">MIN(IF(CODE(O31:O34)&gt;=65,CODE(O31:O34),""))</f>
        <v>65</v>
      </c>
      <c r="P55" t="e">
        <f t="array" ref="P55">MIN(IF(AND(CODE(P31:P34)&gt;=65, CODE(P31:P34)&lt;=72),CODE(P31:P34),FALSE))</f>
        <v>#VALUE!</v>
      </c>
      <c r="Q55" t="e">
        <f t="array" ref="Q55">MIN(IF(AND(CODE(Q31:Q34)&gt;=65, CODE(Q31:Q34)&lt;=72),CODE(Q31:Q34),""))</f>
        <v>#VALUE!</v>
      </c>
    </row>
    <row r="57" spans="8:19" x14ac:dyDescent="0.25">
      <c r="L57" s="17" t="s">
        <v>0</v>
      </c>
      <c r="M57" s="17" t="s">
        <v>1</v>
      </c>
      <c r="N57" s="17" t="s">
        <v>2</v>
      </c>
      <c r="O57" s="17" t="s">
        <v>3</v>
      </c>
      <c r="P57" s="17" t="s">
        <v>4</v>
      </c>
      <c r="Q57" s="17" t="s">
        <v>5</v>
      </c>
      <c r="R57" s="17" t="s">
        <v>6</v>
      </c>
      <c r="S57" s="17" t="s">
        <v>7</v>
      </c>
    </row>
    <row r="58" spans="8:19" x14ac:dyDescent="0.25">
      <c r="H58" t="s">
        <v>160</v>
      </c>
      <c r="L58">
        <f t="array" ref="L58:S61">IF(ISERR(SEARCH({"A","B","C","D","E","F","G","H"},L31:L34)),
      0,
      SEARCH({"A","B","C","D","E","F","G","H"},L31:L34))</f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8:19" x14ac:dyDescent="0.25">
      <c r="H59" t="s">
        <v>161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</row>
    <row r="60" spans="8:19" x14ac:dyDescent="0.25">
      <c r="L60">
        <v>0</v>
      </c>
      <c r="M60">
        <v>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8:19" x14ac:dyDescent="0.25">
      <c r="L61">
        <v>0</v>
      </c>
      <c r="M61">
        <v>0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</row>
    <row r="63" spans="8:19" x14ac:dyDescent="0.25">
      <c r="H63" t="s">
        <v>162</v>
      </c>
      <c r="L63" t="b">
        <f>OR(L58:L61)</f>
        <v>0</v>
      </c>
      <c r="M63" t="b">
        <f t="shared" ref="M63:S63" si="19">OR(M58:M61)</f>
        <v>1</v>
      </c>
      <c r="N63" t="b">
        <f t="shared" si="19"/>
        <v>1</v>
      </c>
      <c r="O63" t="b">
        <f t="shared" si="19"/>
        <v>1</v>
      </c>
      <c r="P63" t="b">
        <f t="shared" si="19"/>
        <v>0</v>
      </c>
      <c r="Q63" t="b">
        <f t="shared" si="19"/>
        <v>0</v>
      </c>
      <c r="R63" t="b">
        <f t="shared" si="19"/>
        <v>0</v>
      </c>
      <c r="S63" t="b">
        <f t="shared" si="19"/>
        <v>0</v>
      </c>
    </row>
    <row r="65" spans="8:12" x14ac:dyDescent="0.25">
      <c r="H65" t="s">
        <v>163</v>
      </c>
      <c r="L65" t="str">
        <f>INDEX({"A","B","C","D","E","F","G","H"},MATCH(TRUE,L63:S63,0))</f>
        <v>B</v>
      </c>
    </row>
    <row r="67" spans="8:12" x14ac:dyDescent="0.25">
      <c r="H67" t="s">
        <v>164</v>
      </c>
      <c r="L67" t="s">
        <v>165</v>
      </c>
    </row>
  </sheetData>
  <mergeCells count="2">
    <mergeCell ref="L7:L12"/>
    <mergeCell ref="L15:L24"/>
  </mergeCells>
  <conditionalFormatting sqref="C5:J12 F37:H37 I38:J38">
    <cfRule type="expression" dxfId="10" priority="6">
      <formula>AND(C5&gt;9,ROW(C5)-ROW(C$5)=3)</formula>
    </cfRule>
    <cfRule type="expression" dxfId="9" priority="7">
      <formula>AND((C5&gt;8),ROW(C5)-ROW(C$5)&lt;3)</formula>
    </cfRule>
    <cfRule type="expression" dxfId="8" priority="8">
      <formula>AND(ROW(C5)-ROW($C$5)&gt;4,C5&gt;6)</formula>
    </cfRule>
    <cfRule type="expression" dxfId="7" priority="10">
      <formula>AND(C5&gt;6,ROW(C5)-ROW(C$5)&lt;5)</formula>
    </cfRule>
    <cfRule type="expression" dxfId="6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151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39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40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40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40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40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40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40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40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40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40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40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40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40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41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38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38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38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38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38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38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38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42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42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42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42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42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42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42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42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2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2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2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2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2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2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5" priority="1" operator="equal">
      <formula>"Low"</formula>
    </cfRule>
    <cfRule type="cellIs" dxfId="4" priority="2" operator="equal">
      <formula>"High"</formula>
    </cfRule>
    <cfRule type="cellIs" dxfId="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3" t="s">
        <v>17</v>
      </c>
      <c r="D1" s="43"/>
      <c r="E1" s="43"/>
      <c r="F1" s="43"/>
      <c r="G1" s="43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44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4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4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4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39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40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40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40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40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40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41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38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38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38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38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38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38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38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38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38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38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B15" sqref="B15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4"/>
  <sheetViews>
    <sheetView workbookViewId="0">
      <selection activeCell="D4" sqref="D4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138</v>
      </c>
      <c r="B1" s="37" t="s">
        <v>137</v>
      </c>
      <c r="C1" s="37" t="s">
        <v>141</v>
      </c>
      <c r="D1" s="37" t="s">
        <v>147</v>
      </c>
      <c r="E1" s="37" t="s">
        <v>136</v>
      </c>
      <c r="F1" s="37" t="s">
        <v>135</v>
      </c>
      <c r="G1" s="37" t="s">
        <v>134</v>
      </c>
      <c r="H1" s="37" t="s">
        <v>133</v>
      </c>
      <c r="I1" s="37" t="s">
        <v>132</v>
      </c>
      <c r="J1" s="37" t="s">
        <v>131</v>
      </c>
      <c r="K1" s="37" t="s">
        <v>130</v>
      </c>
      <c r="L1" s="37" t="s">
        <v>129</v>
      </c>
      <c r="M1" s="37" t="s">
        <v>128</v>
      </c>
      <c r="N1" s="37" t="s">
        <v>127</v>
      </c>
      <c r="O1" s="37" t="s">
        <v>17</v>
      </c>
      <c r="P1" s="37" t="s">
        <v>126</v>
      </c>
    </row>
    <row r="2" spans="1:16" x14ac:dyDescent="0.25">
      <c r="A2" s="37" t="s">
        <v>144</v>
      </c>
      <c r="B2" s="37" t="s">
        <v>145</v>
      </c>
      <c r="C2" s="37" t="s">
        <v>146</v>
      </c>
      <c r="D2" s="37" t="s">
        <v>148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125</v>
      </c>
      <c r="B3" t="s">
        <v>124</v>
      </c>
      <c r="C3" s="36" t="s">
        <v>142</v>
      </c>
      <c r="D3" s="36" t="s">
        <v>149</v>
      </c>
      <c r="N3" t="s">
        <v>0</v>
      </c>
      <c r="O3">
        <v>8</v>
      </c>
    </row>
    <row r="4" spans="1:16" ht="30" x14ac:dyDescent="0.25">
      <c r="A4" t="s">
        <v>139</v>
      </c>
      <c r="B4" t="s">
        <v>140</v>
      </c>
      <c r="C4" s="36" t="s">
        <v>143</v>
      </c>
      <c r="D4" s="36" t="s">
        <v>150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2017-09-07T14:27:50Z</dcterms:modified>
</cp:coreProperties>
</file>