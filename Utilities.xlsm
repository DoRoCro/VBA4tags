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2.xml" ContentType="application/vnd.openxmlformats-officedocument.spreadsheetml.comments+xml"/>
  <Override PartName="/xl/tables/table6.xml" ContentType="application/vnd.openxmlformats-officedocument.spreadsheetml.table+xml"/>
  <Override PartName="/xl/comments3.xml" ContentType="application/vnd.openxmlformats-officedocument.spreadsheetml.comment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4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5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queryTables/queryTable1.xml" ContentType="application/vnd.openxmlformats-officedocument.spreadsheetml.query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ouglas.Crooke\OneDrive - add energy group\CriticalityVBA\"/>
    </mc:Choice>
  </mc:AlternateContent>
  <bookViews>
    <workbookView xWindow="16740" yWindow="0" windowWidth="20865" windowHeight="11895" firstSheet="7" activeTab="9"/>
  </bookViews>
  <sheets>
    <sheet name="RiskManagementMatrix" sheetId="1" r:id="rId1"/>
    <sheet name="ImpactCriticalityTable" sheetId="2" r:id="rId2"/>
    <sheet name="CriticalityToLocationPriority" sheetId="3" r:id="rId3"/>
    <sheet name="IsCritical" sheetId="4" r:id="rId4"/>
    <sheet name="LocationCriticality" sheetId="6" r:id="rId5"/>
    <sheet name="TestingData" sheetId="5" r:id="rId6"/>
    <sheet name="RuleSet" sheetId="7" r:id="rId7"/>
    <sheet name="TestTags" sheetId="13" r:id="rId8"/>
    <sheet name="TestDefaultCriticalities" sheetId="9" r:id="rId9"/>
    <sheet name="TestFailureCodeTemplate" sheetId="10" r:id="rId10"/>
    <sheet name="TestSystems" sheetId="12" r:id="rId11"/>
    <sheet name="TestDisciplines" sheetId="14" r:id="rId12"/>
    <sheet name="TestFullTags" sheetId="16" r:id="rId13"/>
    <sheet name="Output" sheetId="15" r:id="rId14"/>
    <sheet name="BLANK" sheetId="30" r:id="rId15"/>
    <sheet name="ELEC" sheetId="31" r:id="rId16"/>
    <sheet name="F&amp;G" sheetId="32" r:id="rId17"/>
    <sheet name="HVAC" sheetId="33" r:id="rId18"/>
  </sheets>
  <functionGroups builtInGroupCount="18"/>
  <externalReferences>
    <externalReference r:id="rId19"/>
    <externalReference r:id="rId20"/>
  </externalReferences>
  <definedNames>
    <definedName name="_xlnm._FilterDatabase" localSheetId="10" hidden="1">TestSystems!$A$1:$F$201</definedName>
    <definedName name="BarrierFamilies" localSheetId="9">OFFSET(TestFailureCodeTemplate!$U$3,1,0,TestFailureCodeTemplate!$Z$4,1)</definedName>
    <definedName name="BarrierFamilies">OFFSET(#REF!,1,0,#REF!,1)</definedName>
    <definedName name="ExternalData_1" localSheetId="6" hidden="1">RuleSet!$A$2:$M$122</definedName>
    <definedName name="ExternalData_1" localSheetId="11" hidden="1">TestDisciplines!$C$3:$C$15</definedName>
    <definedName name="Impact">[1]LookUp!$D$2:$D$16</definedName>
    <definedName name="TypicalComponents" localSheetId="9">OFFSET(TestFailureCodeTemplate!$V$3,1,0,TestFailureCodeTemplate!$AA$4,1)</definedName>
    <definedName name="TypicalComponents">OFFSET(#REF!,1,0,#REF!,1)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11" i="10" l="1"/>
  <c r="O202" i="10"/>
  <c r="O203" i="10" s="1"/>
  <c r="K37" i="10"/>
  <c r="J37" i="10"/>
  <c r="E36" i="10"/>
  <c r="D36" i="10"/>
  <c r="K35" i="10"/>
  <c r="E35" i="10"/>
  <c r="D35" i="10"/>
  <c r="E34" i="10"/>
  <c r="D34" i="10"/>
  <c r="E31" i="10"/>
  <c r="D31" i="10"/>
  <c r="E30" i="10"/>
  <c r="D30" i="10"/>
  <c r="E29" i="10"/>
  <c r="D29" i="10"/>
  <c r="E28" i="10"/>
  <c r="D28" i="10"/>
  <c r="E24" i="10"/>
  <c r="D24" i="10"/>
  <c r="E23" i="10"/>
  <c r="D23" i="10"/>
  <c r="E22" i="10"/>
  <c r="D22" i="10"/>
  <c r="E19" i="10"/>
  <c r="D19" i="10"/>
  <c r="E18" i="10"/>
  <c r="D18" i="10"/>
  <c r="E17" i="10"/>
  <c r="D17" i="10"/>
  <c r="E16" i="10"/>
  <c r="D16" i="10"/>
  <c r="R5" i="10"/>
  <c r="R6" i="10" s="1"/>
  <c r="R7" i="10" s="1"/>
  <c r="T4" i="10"/>
  <c r="B9" i="10" l="1"/>
  <c r="G10" i="10" s="1"/>
  <c r="B10" i="10"/>
  <c r="G11" i="10" s="1"/>
  <c r="B12" i="10"/>
  <c r="D12" i="10" s="1" a="1"/>
  <c r="D12" i="10" s="1"/>
  <c r="R8" i="10"/>
  <c r="T5" i="10"/>
  <c r="B11" i="10"/>
  <c r="O204" i="10"/>
  <c r="D10" i="10" l="1" a="1"/>
  <c r="D10" i="10" s="1"/>
  <c r="C10" i="10" a="1"/>
  <c r="C10" i="10" s="1"/>
  <c r="C9" i="10" a="1"/>
  <c r="C9" i="10" s="1"/>
  <c r="G6" i="10"/>
  <c r="D9" i="10" a="1"/>
  <c r="D9" i="10" s="1"/>
  <c r="C12" i="10" a="1"/>
  <c r="C12" i="10" s="1"/>
  <c r="J36" i="10" s="1"/>
  <c r="K36" i="10" s="1"/>
  <c r="G13" i="10"/>
  <c r="J30" i="10"/>
  <c r="J31" i="10"/>
  <c r="K31" i="10" s="1"/>
  <c r="J29" i="10"/>
  <c r="C11" i="10" a="1"/>
  <c r="C11" i="10" s="1"/>
  <c r="G12" i="10"/>
  <c r="D11" i="10" a="1"/>
  <c r="D11" i="10" s="1"/>
  <c r="T6" i="10"/>
  <c r="R9" i="10"/>
  <c r="O205" i="10"/>
  <c r="G8" i="10" l="1"/>
  <c r="K29" i="10"/>
  <c r="K30" i="10"/>
  <c r="T7" i="10"/>
  <c r="O206" i="10"/>
  <c r="R10" i="10"/>
  <c r="R11" i="10" l="1"/>
  <c r="T8" i="10"/>
  <c r="O207" i="10"/>
  <c r="O208" i="10" l="1"/>
  <c r="T9" i="10"/>
  <c r="R12" i="10"/>
  <c r="R13" i="10" l="1"/>
  <c r="T10" i="10"/>
  <c r="T11" i="10" l="1"/>
  <c r="R14" i="10"/>
  <c r="R15" i="10" l="1"/>
  <c r="T12" i="10"/>
  <c r="T13" i="10" l="1"/>
  <c r="R16" i="10"/>
  <c r="R17" i="10" l="1"/>
  <c r="T14" i="10"/>
  <c r="T15" i="10" l="1"/>
  <c r="R18" i="10"/>
  <c r="T16" i="10" l="1"/>
  <c r="R19" i="10"/>
  <c r="T17" i="10" l="1"/>
  <c r="R20" i="10"/>
  <c r="T18" i="10" l="1"/>
  <c r="R21" i="10"/>
  <c r="T19" i="10" l="1"/>
  <c r="R22" i="10"/>
  <c r="T20" i="10" l="1"/>
  <c r="R23" i="10"/>
  <c r="R24" i="10" l="1"/>
  <c r="T21" i="10"/>
  <c r="T22" i="10" l="1"/>
  <c r="R25" i="10"/>
  <c r="T23" i="10" l="1"/>
  <c r="R26" i="10"/>
  <c r="T24" i="10" l="1"/>
  <c r="R27" i="10"/>
  <c r="T25" i="10" l="1"/>
  <c r="R28" i="10"/>
  <c r="R29" i="10" l="1"/>
  <c r="T26" i="10"/>
  <c r="T27" i="10" l="1"/>
  <c r="R30" i="10"/>
  <c r="R31" i="10" l="1"/>
  <c r="T28" i="10"/>
  <c r="T29" i="10" l="1"/>
  <c r="R32" i="10"/>
  <c r="T30" i="10" l="1"/>
  <c r="R33" i="10"/>
  <c r="R34" i="10" l="1"/>
  <c r="T31" i="10"/>
  <c r="T32" i="10" l="1"/>
  <c r="R35" i="10"/>
  <c r="R36" i="10" l="1"/>
  <c r="T33" i="10"/>
  <c r="T34" i="10" l="1"/>
  <c r="R37" i="10"/>
  <c r="T35" i="10" l="1"/>
  <c r="R38" i="10"/>
  <c r="T36" i="10" l="1"/>
  <c r="R39" i="10"/>
  <c r="T37" i="10" l="1"/>
  <c r="R40" i="10"/>
  <c r="R41" i="10" l="1"/>
  <c r="T38" i="10"/>
  <c r="R42" i="10" l="1"/>
  <c r="T39" i="10"/>
  <c r="T40" i="10" l="1"/>
  <c r="R43" i="10"/>
  <c r="T41" i="10" l="1"/>
  <c r="R44" i="10"/>
  <c r="T42" i="10" l="1"/>
  <c r="R45" i="10"/>
  <c r="T43" i="10" l="1"/>
  <c r="R46" i="10"/>
  <c r="T44" i="10" l="1"/>
  <c r="R47" i="10"/>
  <c r="R48" i="10" l="1"/>
  <c r="T45" i="10"/>
  <c r="R49" i="10" l="1"/>
  <c r="T46" i="10"/>
  <c r="R50" i="10" l="1"/>
  <c r="T47" i="10"/>
  <c r="T48" i="10" l="1"/>
  <c r="R51" i="10"/>
  <c r="T49" i="10" l="1"/>
  <c r="R52" i="10"/>
  <c r="T50" i="10" l="1"/>
  <c r="R53" i="10"/>
  <c r="T51" i="10" l="1"/>
  <c r="R54" i="10"/>
  <c r="T52" i="10" l="1"/>
  <c r="R55" i="10"/>
  <c r="R56" i="10" l="1"/>
  <c r="T53" i="10"/>
  <c r="T54" i="10" l="1"/>
  <c r="R57" i="10"/>
  <c r="T55" i="10" l="1"/>
  <c r="R58" i="10"/>
  <c r="T56" i="10" l="1"/>
  <c r="R59" i="10"/>
  <c r="T57" i="10" l="1"/>
  <c r="R60" i="10"/>
  <c r="T58" i="10" l="1"/>
  <c r="R61" i="10"/>
  <c r="T59" i="10" l="1"/>
  <c r="R62" i="10"/>
  <c r="R63" i="10" l="1"/>
  <c r="T60" i="10"/>
  <c r="T61" i="10" l="1"/>
  <c r="R64" i="10"/>
  <c r="R65" i="10" l="1"/>
  <c r="T62" i="10"/>
  <c r="R66" i="10" l="1"/>
  <c r="T63" i="10"/>
  <c r="T64" i="10" l="1"/>
  <c r="R67" i="10"/>
  <c r="T65" i="10" l="1"/>
  <c r="R68" i="10"/>
  <c r="T66" i="10" l="1"/>
  <c r="R69" i="10"/>
  <c r="T67" i="10" l="1"/>
  <c r="R70" i="10"/>
  <c r="T68" i="10" l="1"/>
  <c r="R71" i="10"/>
  <c r="R72" i="10" l="1"/>
  <c r="T69" i="10"/>
  <c r="T70" i="10" l="1"/>
  <c r="R73" i="10"/>
  <c r="T71" i="10" l="1"/>
  <c r="R74" i="10"/>
  <c r="T72" i="10" l="1"/>
  <c r="R75" i="10"/>
  <c r="T73" i="10" l="1"/>
  <c r="R76" i="10"/>
  <c r="T74" i="10" l="1"/>
  <c r="R77" i="10"/>
  <c r="T75" i="10" l="1"/>
  <c r="R78" i="10"/>
  <c r="T76" i="10" l="1"/>
  <c r="R79" i="10"/>
  <c r="R80" i="10" l="1"/>
  <c r="T77" i="10"/>
  <c r="T78" i="10" l="1"/>
  <c r="R81" i="10"/>
  <c r="T79" i="10" l="1"/>
  <c r="R82" i="10"/>
  <c r="T80" i="10" l="1"/>
  <c r="R83" i="10"/>
  <c r="T81" i="10" l="1"/>
  <c r="R84" i="10"/>
  <c r="T82" i="10" l="1"/>
  <c r="R85" i="10"/>
  <c r="T83" i="10" l="1"/>
  <c r="R86" i="10"/>
  <c r="T84" i="10" l="1"/>
  <c r="R87" i="10"/>
  <c r="R88" i="10" l="1"/>
  <c r="T85" i="10"/>
  <c r="T86" i="10" l="1"/>
  <c r="R89" i="10"/>
  <c r="T87" i="10" l="1"/>
  <c r="R90" i="10"/>
  <c r="T88" i="10" l="1"/>
  <c r="R91" i="10"/>
  <c r="T89" i="10" l="1"/>
  <c r="R92" i="10"/>
  <c r="T90" i="10" l="1"/>
  <c r="R93" i="10"/>
  <c r="T91" i="10" l="1"/>
  <c r="R94" i="10"/>
  <c r="T92" i="10" l="1"/>
  <c r="R95" i="10"/>
  <c r="R96" i="10" l="1"/>
  <c r="T93" i="10"/>
  <c r="T94" i="10" l="1"/>
  <c r="R97" i="10"/>
  <c r="T95" i="10" l="1"/>
  <c r="R98" i="10"/>
  <c r="T96" i="10" l="1"/>
  <c r="R99" i="10"/>
  <c r="T97" i="10" l="1"/>
  <c r="R100" i="10"/>
  <c r="T98" i="10" l="1"/>
  <c r="R101" i="10"/>
  <c r="T99" i="10" l="1"/>
  <c r="R102" i="10"/>
  <c r="T100" i="10" l="1"/>
  <c r="R103" i="10"/>
  <c r="R104" i="10" l="1"/>
  <c r="T101" i="10"/>
  <c r="T102" i="10" l="1"/>
  <c r="R105" i="10"/>
  <c r="T103" i="10" l="1"/>
  <c r="R106" i="10"/>
  <c r="R107" i="10" l="1"/>
  <c r="T104" i="10"/>
  <c r="T105" i="10" l="1"/>
  <c r="R108" i="10"/>
  <c r="T106" i="10" l="1"/>
  <c r="R109" i="10"/>
  <c r="R110" i="10" l="1"/>
  <c r="T107" i="10"/>
  <c r="T108" i="10" l="1"/>
  <c r="R111" i="10"/>
  <c r="T109" i="10" l="1"/>
  <c r="R112" i="10"/>
  <c r="T110" i="10" l="1"/>
  <c r="R113" i="10"/>
  <c r="R114" i="10" l="1"/>
  <c r="T111" i="10"/>
  <c r="T112" i="10" l="1"/>
  <c r="R115" i="10"/>
  <c r="T113" i="10" l="1"/>
  <c r="R116" i="10"/>
  <c r="T114" i="10" l="1"/>
  <c r="R117" i="10"/>
  <c r="T115" i="10" l="1"/>
  <c r="R118" i="10"/>
  <c r="T116" i="10" l="1"/>
  <c r="R119" i="10"/>
  <c r="R120" i="10" l="1"/>
  <c r="T117" i="10"/>
  <c r="T118" i="10" l="1"/>
  <c r="R121" i="10"/>
  <c r="R122" i="10" l="1"/>
  <c r="T119" i="10"/>
  <c r="T120" i="10" l="1"/>
  <c r="R123" i="10"/>
  <c r="R124" i="10" l="1"/>
  <c r="T121" i="10"/>
  <c r="T122" i="10" l="1"/>
  <c r="R125" i="10"/>
  <c r="R126" i="10" l="1"/>
  <c r="T123" i="10"/>
  <c r="T124" i="10" l="1"/>
  <c r="R127" i="10"/>
  <c r="T125" i="10" l="1"/>
  <c r="R128" i="10"/>
  <c r="T126" i="10" l="1"/>
  <c r="R129" i="10"/>
  <c r="R130" i="10" l="1"/>
  <c r="T127" i="10"/>
  <c r="T128" i="10" l="1"/>
  <c r="R131" i="10"/>
  <c r="R132" i="10" l="1"/>
  <c r="T129" i="10"/>
  <c r="T130" i="10" l="1"/>
  <c r="R133" i="10"/>
  <c r="T131" i="10" l="1"/>
  <c r="R134" i="10"/>
  <c r="T132" i="10" l="1"/>
  <c r="R135" i="10"/>
  <c r="R136" i="10" l="1"/>
  <c r="T133" i="10"/>
  <c r="T134" i="10" l="1"/>
  <c r="R137" i="10"/>
  <c r="R138" i="10" l="1"/>
  <c r="T135" i="10"/>
  <c r="T136" i="10" l="1"/>
  <c r="R139" i="10"/>
  <c r="R140" i="10" l="1"/>
  <c r="T137" i="10"/>
  <c r="T138" i="10" l="1"/>
  <c r="R141" i="10"/>
  <c r="T139" i="10" l="1"/>
  <c r="R142" i="10"/>
  <c r="T140" i="10" l="1"/>
  <c r="R143" i="10"/>
  <c r="R144" i="10" l="1"/>
  <c r="T141" i="10"/>
  <c r="T142" i="10" l="1"/>
  <c r="R145" i="10"/>
  <c r="R146" i="10" l="1"/>
  <c r="T143" i="10"/>
  <c r="T144" i="10" l="1"/>
  <c r="R147" i="10"/>
  <c r="R148" i="10" l="1"/>
  <c r="T145" i="10"/>
  <c r="T146" i="10" l="1"/>
  <c r="R149" i="10"/>
  <c r="T147" i="10" l="1"/>
  <c r="R150" i="10"/>
  <c r="T148" i="10" l="1"/>
  <c r="R151" i="10"/>
  <c r="R152" i="10" l="1"/>
  <c r="T149" i="10"/>
  <c r="T150" i="10" l="1"/>
  <c r="R153" i="10"/>
  <c r="T151" i="10" l="1"/>
  <c r="R154" i="10"/>
  <c r="T152" i="10" l="1"/>
  <c r="R155" i="10"/>
  <c r="T153" i="10" l="1"/>
  <c r="R156" i="10"/>
  <c r="T154" i="10" l="1"/>
  <c r="R157" i="10"/>
  <c r="R158" i="10" l="1"/>
  <c r="T155" i="10"/>
  <c r="T156" i="10" l="1"/>
  <c r="R159" i="10"/>
  <c r="R160" i="10" l="1"/>
  <c r="T157" i="10"/>
  <c r="T158" i="10" l="1"/>
  <c r="R161" i="10"/>
  <c r="T159" i="10" l="1"/>
  <c r="R162" i="10"/>
  <c r="T160" i="10" l="1"/>
  <c r="R163" i="10"/>
  <c r="T161" i="10" l="1"/>
  <c r="R164" i="10"/>
  <c r="T162" i="10" l="1"/>
  <c r="R165" i="10"/>
  <c r="T163" i="10" l="1"/>
  <c r="R166" i="10"/>
  <c r="T164" i="10" l="1"/>
  <c r="R167" i="10"/>
  <c r="T165" i="10" l="1"/>
  <c r="R168" i="10"/>
  <c r="T166" i="10" l="1"/>
  <c r="R169" i="10"/>
  <c r="R170" i="10" l="1"/>
  <c r="T167" i="10"/>
  <c r="T168" i="10" l="1"/>
  <c r="R171" i="10"/>
  <c r="T169" i="10" l="1"/>
  <c r="R172" i="10"/>
  <c r="R173" i="10" l="1"/>
  <c r="T170" i="10"/>
  <c r="T171" i="10" l="1"/>
  <c r="R174" i="10"/>
  <c r="R175" i="10" l="1"/>
  <c r="T172" i="10"/>
  <c r="T173" i="10" l="1"/>
  <c r="R176" i="10"/>
  <c r="R177" i="10" l="1"/>
  <c r="T174" i="10"/>
  <c r="T175" i="10" l="1"/>
  <c r="R178" i="10"/>
  <c r="R179" i="10" l="1"/>
  <c r="T176" i="10"/>
  <c r="R180" i="10" l="1"/>
  <c r="T177" i="10"/>
  <c r="T178" i="10" l="1"/>
  <c r="R181" i="10"/>
  <c r="T179" i="10" l="1"/>
  <c r="R182" i="10"/>
  <c r="R183" i="10" l="1"/>
  <c r="T180" i="10"/>
  <c r="T181" i="10" l="1"/>
  <c r="R184" i="10"/>
  <c r="R185" i="10" l="1"/>
  <c r="T182" i="10"/>
  <c r="R186" i="10" l="1"/>
  <c r="T183" i="10"/>
  <c r="T184" i="10" l="1"/>
  <c r="R187" i="10"/>
  <c r="T185" i="10" l="1"/>
  <c r="R188" i="10"/>
  <c r="R189" i="10" l="1"/>
  <c r="T186" i="10"/>
  <c r="T187" i="10" l="1"/>
  <c r="R190" i="10"/>
  <c r="R191" i="10" l="1"/>
  <c r="T188" i="10"/>
  <c r="T189" i="10" l="1"/>
  <c r="R192" i="10"/>
  <c r="R193" i="10" l="1"/>
  <c r="T190" i="10"/>
  <c r="T191" i="10" l="1"/>
  <c r="R194" i="10"/>
  <c r="R195" i="10" l="1"/>
  <c r="T192" i="10"/>
  <c r="R196" i="10" l="1"/>
  <c r="T193" i="10"/>
  <c r="T194" i="10" l="1"/>
  <c r="R197" i="10"/>
  <c r="R198" i="10" l="1"/>
  <c r="T195" i="10"/>
  <c r="T196" i="10" l="1"/>
  <c r="R199" i="10"/>
  <c r="R200" i="10" l="1"/>
  <c r="T197" i="10"/>
  <c r="T198" i="10" l="1"/>
  <c r="R201" i="10"/>
  <c r="T199" i="10" l="1"/>
  <c r="R202" i="10"/>
  <c r="R203" i="10" l="1"/>
  <c r="T200" i="10"/>
  <c r="T201" i="10" l="1"/>
  <c r="R204" i="10"/>
  <c r="R205" i="10" l="1"/>
  <c r="T202" i="10"/>
  <c r="R206" i="10" l="1"/>
  <c r="T203" i="10"/>
  <c r="T204" i="10" l="1"/>
  <c r="R207" i="10"/>
  <c r="R208" i="10" l="1"/>
  <c r="T205" i="10"/>
  <c r="T206" i="10" l="1"/>
  <c r="R209" i="10"/>
  <c r="R210" i="10" l="1"/>
  <c r="T207" i="10"/>
  <c r="R211" i="10" l="1"/>
  <c r="T208" i="10"/>
  <c r="R212" i="10" l="1"/>
  <c r="T209" i="10"/>
  <c r="R213" i="10" l="1"/>
  <c r="T210" i="10"/>
  <c r="T211" i="10" l="1"/>
  <c r="R214" i="10"/>
  <c r="R215" i="10" l="1"/>
  <c r="T212" i="10"/>
  <c r="T213" i="10" l="1"/>
  <c r="R216" i="10"/>
  <c r="R217" i="10" s="1"/>
  <c r="R218" i="10" s="1"/>
  <c r="R219" i="10" s="1"/>
  <c r="R220" i="10" s="1"/>
  <c r="R221" i="10" s="1"/>
  <c r="R222" i="10" s="1"/>
  <c r="R223" i="10" s="1"/>
  <c r="R224" i="10" s="1"/>
  <c r="R225" i="10" s="1"/>
  <c r="R226" i="10" s="1"/>
  <c r="R227" i="10" s="1"/>
  <c r="R228" i="10" s="1"/>
  <c r="R229" i="10" s="1"/>
  <c r="R230" i="10" s="1"/>
  <c r="R231" i="10" s="1"/>
  <c r="R232" i="10" s="1"/>
  <c r="R233" i="10" s="1"/>
  <c r="R234" i="10" s="1"/>
  <c r="R235" i="10" s="1"/>
  <c r="R236" i="10" s="1"/>
  <c r="R237" i="10" s="1"/>
  <c r="R238" i="10" s="1"/>
  <c r="R239" i="10" s="1"/>
  <c r="R240" i="10" s="1"/>
  <c r="R241" i="10" s="1"/>
  <c r="R242" i="10" s="1"/>
  <c r="R243" i="10" s="1"/>
  <c r="R244" i="10" s="1"/>
  <c r="R245" i="10" s="1"/>
  <c r="R246" i="10" s="1"/>
  <c r="R247" i="10" s="1"/>
  <c r="R248" i="10" s="1"/>
  <c r="R249" i="10" s="1"/>
  <c r="R250" i="10" s="1"/>
  <c r="R251" i="10" s="1"/>
  <c r="R252" i="10" s="1"/>
  <c r="R253" i="10" s="1"/>
  <c r="R254" i="10" s="1"/>
  <c r="R255" i="10" s="1"/>
  <c r="R256" i="10" s="1"/>
  <c r="R257" i="10" s="1"/>
  <c r="R258" i="10" s="1"/>
  <c r="R259" i="10" s="1"/>
  <c r="R260" i="10" s="1"/>
  <c r="R261" i="10" s="1"/>
  <c r="R262" i="10" s="1"/>
  <c r="R263" i="10" s="1"/>
  <c r="R264" i="10" s="1"/>
  <c r="R265" i="10" s="1"/>
  <c r="R266" i="10" s="1"/>
  <c r="R267" i="10" s="1"/>
  <c r="R268" i="10" s="1"/>
  <c r="R269" i="10" s="1"/>
  <c r="R270" i="10" s="1"/>
  <c r="R271" i="10" s="1"/>
  <c r="R272" i="10" s="1"/>
  <c r="R273" i="10" s="1"/>
  <c r="R274" i="10" s="1"/>
  <c r="R275" i="10" s="1"/>
  <c r="R276" i="10" s="1"/>
  <c r="R277" i="10" s="1"/>
  <c r="R278" i="10" s="1"/>
  <c r="R279" i="10" s="1"/>
  <c r="R280" i="10" s="1"/>
  <c r="R281" i="10" s="1"/>
  <c r="R282" i="10" s="1"/>
  <c r="R283" i="10" s="1"/>
  <c r="R284" i="10" s="1"/>
  <c r="R285" i="10" s="1"/>
  <c r="R286" i="10" s="1"/>
  <c r="R287" i="10" s="1"/>
  <c r="R288" i="10" s="1"/>
  <c r="R289" i="10" s="1"/>
  <c r="R290" i="10" s="1"/>
  <c r="R291" i="10" s="1"/>
  <c r="R292" i="10" s="1"/>
  <c r="R293" i="10" s="1"/>
  <c r="R294" i="10" s="1"/>
  <c r="R295" i="10" s="1"/>
  <c r="R296" i="10" s="1"/>
  <c r="R297" i="10" s="1"/>
  <c r="R298" i="10" s="1"/>
  <c r="R299" i="10" s="1"/>
  <c r="R300" i="10" s="1"/>
  <c r="R301" i="10" s="1"/>
  <c r="R302" i="10" s="1"/>
  <c r="R303" i="10" s="1"/>
  <c r="R304" i="10" s="1"/>
  <c r="R305" i="10" s="1"/>
  <c r="R306" i="10" s="1"/>
  <c r="R307" i="10" s="1"/>
  <c r="R308" i="10" s="1"/>
  <c r="R309" i="10" s="1"/>
  <c r="T214" i="10" l="1"/>
  <c r="T215" i="10" l="1"/>
  <c r="T216" i="10" l="1"/>
  <c r="T217" i="10" s="1"/>
  <c r="T218" i="10" l="1"/>
  <c r="Z4" i="10"/>
  <c r="U217" i="10" s="1"/>
  <c r="T219" i="10" l="1"/>
  <c r="U218" i="10"/>
  <c r="Z8" i="10"/>
  <c r="U4" i="10"/>
  <c r="U5" i="10"/>
  <c r="U6" i="10"/>
  <c r="U7" i="10"/>
  <c r="U8" i="10"/>
  <c r="U9" i="10"/>
  <c r="U10" i="10"/>
  <c r="U11" i="10"/>
  <c r="U12" i="10"/>
  <c r="U13" i="10"/>
  <c r="U14" i="10"/>
  <c r="U15" i="10"/>
  <c r="U16" i="10"/>
  <c r="U17" i="10"/>
  <c r="U18" i="10"/>
  <c r="U19" i="10"/>
  <c r="U20" i="10"/>
  <c r="U21" i="10"/>
  <c r="U22" i="10"/>
  <c r="U23" i="10"/>
  <c r="U24" i="10"/>
  <c r="U25" i="10"/>
  <c r="U26" i="10"/>
  <c r="U27" i="10"/>
  <c r="U28" i="10"/>
  <c r="U29" i="10"/>
  <c r="U30" i="10"/>
  <c r="U31" i="10"/>
  <c r="U32" i="10"/>
  <c r="U33" i="10"/>
  <c r="U34" i="10"/>
  <c r="U35" i="10"/>
  <c r="U36" i="10"/>
  <c r="U37" i="10"/>
  <c r="U38" i="10"/>
  <c r="U39" i="10"/>
  <c r="U40" i="10"/>
  <c r="U41" i="10"/>
  <c r="U42" i="10"/>
  <c r="U43" i="10"/>
  <c r="U44" i="10"/>
  <c r="U45" i="10"/>
  <c r="U46" i="10"/>
  <c r="U47" i="10"/>
  <c r="U48" i="10"/>
  <c r="U49" i="10"/>
  <c r="U50" i="10"/>
  <c r="U51" i="10"/>
  <c r="U52" i="10"/>
  <c r="U53" i="10"/>
  <c r="U54" i="10"/>
  <c r="U55" i="10"/>
  <c r="U56" i="10"/>
  <c r="U57" i="10"/>
  <c r="U58" i="10"/>
  <c r="U59" i="10"/>
  <c r="U60" i="10"/>
  <c r="U61" i="10"/>
  <c r="U62" i="10"/>
  <c r="U63" i="10"/>
  <c r="U64" i="10"/>
  <c r="U65" i="10"/>
  <c r="U66" i="10"/>
  <c r="U67" i="10"/>
  <c r="U68" i="10"/>
  <c r="U69" i="10"/>
  <c r="U70" i="10"/>
  <c r="U71" i="10"/>
  <c r="U72" i="10"/>
  <c r="U73" i="10"/>
  <c r="U74" i="10"/>
  <c r="U75" i="10"/>
  <c r="U76" i="10"/>
  <c r="U77" i="10"/>
  <c r="U78" i="10"/>
  <c r="U79" i="10"/>
  <c r="U80" i="10"/>
  <c r="U81" i="10"/>
  <c r="U82" i="10"/>
  <c r="U83" i="10"/>
  <c r="U84" i="10"/>
  <c r="U85" i="10"/>
  <c r="U86" i="10"/>
  <c r="U87" i="10"/>
  <c r="U88" i="10"/>
  <c r="U89" i="10"/>
  <c r="U90" i="10"/>
  <c r="U91" i="10"/>
  <c r="U92" i="10"/>
  <c r="U93" i="10"/>
  <c r="U94" i="10"/>
  <c r="U95" i="10"/>
  <c r="U96" i="10"/>
  <c r="U97" i="10"/>
  <c r="U98" i="10"/>
  <c r="U99" i="10"/>
  <c r="U100" i="10"/>
  <c r="U101" i="10"/>
  <c r="U102" i="10"/>
  <c r="U103" i="10"/>
  <c r="U104" i="10"/>
  <c r="U105" i="10"/>
  <c r="U106" i="10"/>
  <c r="U107" i="10"/>
  <c r="U108" i="10"/>
  <c r="U109" i="10"/>
  <c r="U110" i="10"/>
  <c r="U111" i="10"/>
  <c r="U112" i="10"/>
  <c r="U113" i="10"/>
  <c r="U114" i="10"/>
  <c r="U115" i="10"/>
  <c r="U116" i="10"/>
  <c r="U117" i="10"/>
  <c r="U118" i="10"/>
  <c r="U119" i="10"/>
  <c r="U120" i="10"/>
  <c r="U121" i="10"/>
  <c r="U122" i="10"/>
  <c r="U123" i="10"/>
  <c r="U124" i="10"/>
  <c r="U125" i="10"/>
  <c r="U126" i="10"/>
  <c r="U127" i="10"/>
  <c r="U128" i="10"/>
  <c r="U129" i="10"/>
  <c r="U130" i="10"/>
  <c r="U131" i="10"/>
  <c r="U132" i="10"/>
  <c r="U133" i="10"/>
  <c r="U134" i="10"/>
  <c r="U135" i="10"/>
  <c r="U136" i="10"/>
  <c r="U137" i="10"/>
  <c r="U138" i="10"/>
  <c r="U139" i="10"/>
  <c r="U140" i="10"/>
  <c r="U141" i="10"/>
  <c r="U142" i="10"/>
  <c r="U143" i="10"/>
  <c r="U144" i="10"/>
  <c r="U145" i="10"/>
  <c r="U146" i="10"/>
  <c r="U147" i="10"/>
  <c r="U148" i="10"/>
  <c r="U149" i="10"/>
  <c r="U150" i="10"/>
  <c r="U151" i="10"/>
  <c r="U152" i="10"/>
  <c r="U153" i="10"/>
  <c r="U154" i="10"/>
  <c r="U155" i="10"/>
  <c r="U156" i="10"/>
  <c r="U157" i="10"/>
  <c r="U158" i="10"/>
  <c r="U159" i="10"/>
  <c r="U160" i="10"/>
  <c r="U161" i="10"/>
  <c r="U162" i="10"/>
  <c r="U163" i="10"/>
  <c r="U164" i="10"/>
  <c r="U165" i="10"/>
  <c r="U166" i="10"/>
  <c r="U167" i="10"/>
  <c r="U168" i="10"/>
  <c r="U169" i="10"/>
  <c r="U170" i="10"/>
  <c r="U171" i="10"/>
  <c r="U172" i="10"/>
  <c r="U173" i="10"/>
  <c r="U174" i="10"/>
  <c r="U175" i="10"/>
  <c r="U176" i="10"/>
  <c r="U177" i="10"/>
  <c r="U178" i="10"/>
  <c r="U179" i="10"/>
  <c r="U180" i="10"/>
  <c r="U181" i="10"/>
  <c r="U182" i="10"/>
  <c r="U183" i="10"/>
  <c r="U184" i="10"/>
  <c r="U185" i="10"/>
  <c r="U186" i="10"/>
  <c r="U187" i="10"/>
  <c r="U188" i="10"/>
  <c r="U189" i="10"/>
  <c r="U190" i="10"/>
  <c r="U191" i="10"/>
  <c r="U192" i="10"/>
  <c r="U193" i="10"/>
  <c r="U194" i="10"/>
  <c r="U195" i="10"/>
  <c r="U196" i="10"/>
  <c r="U197" i="10"/>
  <c r="U198" i="10"/>
  <c r="U199" i="10"/>
  <c r="U200" i="10"/>
  <c r="U201" i="10"/>
  <c r="U202" i="10"/>
  <c r="U203" i="10"/>
  <c r="U204" i="10"/>
  <c r="U205" i="10"/>
  <c r="U206" i="10"/>
  <c r="U207" i="10"/>
  <c r="U208" i="10"/>
  <c r="U209" i="10"/>
  <c r="U210" i="10"/>
  <c r="U211" i="10"/>
  <c r="U212" i="10"/>
  <c r="U213" i="10"/>
  <c r="U214" i="10"/>
  <c r="U215" i="10"/>
  <c r="U216" i="10"/>
  <c r="T220" i="10" l="1"/>
  <c r="U219" i="10"/>
  <c r="Z5" i="10"/>
  <c r="U220" i="10" l="1"/>
  <c r="T221" i="10"/>
  <c r="S5" i="10"/>
  <c r="S6" i="10" s="1"/>
  <c r="S7" i="10" s="1"/>
  <c r="S8" i="10" s="1"/>
  <c r="S9" i="10" s="1"/>
  <c r="S10" i="10" s="1"/>
  <c r="S11" i="10" s="1"/>
  <c r="S12" i="10" s="1"/>
  <c r="S13" i="10" s="1"/>
  <c r="S14" i="10" s="1"/>
  <c r="S15" i="10" s="1"/>
  <c r="S16" i="10" s="1"/>
  <c r="S17" i="10" s="1"/>
  <c r="S18" i="10" s="1"/>
  <c r="S19" i="10" s="1"/>
  <c r="S20" i="10" s="1"/>
  <c r="S21" i="10" s="1"/>
  <c r="S22" i="10" s="1"/>
  <c r="S23" i="10" s="1"/>
  <c r="S24" i="10" s="1"/>
  <c r="S25" i="10" s="1"/>
  <c r="S26" i="10" s="1"/>
  <c r="S27" i="10" s="1"/>
  <c r="S28" i="10" s="1"/>
  <c r="S29" i="10" s="1"/>
  <c r="S30" i="10" s="1"/>
  <c r="S31" i="10" s="1"/>
  <c r="S32" i="10" s="1"/>
  <c r="S33" i="10" s="1"/>
  <c r="S34" i="10" s="1"/>
  <c r="S35" i="10" s="1"/>
  <c r="S36" i="10" s="1"/>
  <c r="S37" i="10" s="1"/>
  <c r="S38" i="10" s="1"/>
  <c r="S39" i="10" s="1"/>
  <c r="S40" i="10" s="1"/>
  <c r="S41" i="10" s="1"/>
  <c r="S42" i="10" s="1"/>
  <c r="S43" i="10" s="1"/>
  <c r="S44" i="10" s="1"/>
  <c r="S45" i="10" s="1"/>
  <c r="S46" i="10" s="1"/>
  <c r="S47" i="10" s="1"/>
  <c r="S48" i="10" s="1"/>
  <c r="S49" i="10" s="1"/>
  <c r="S50" i="10" s="1"/>
  <c r="S51" i="10" s="1"/>
  <c r="S52" i="10" s="1"/>
  <c r="S53" i="10" s="1"/>
  <c r="S54" i="10" s="1"/>
  <c r="S55" i="10" s="1"/>
  <c r="S56" i="10" s="1"/>
  <c r="S57" i="10" s="1"/>
  <c r="S58" i="10" s="1"/>
  <c r="S59" i="10" s="1"/>
  <c r="S60" i="10" s="1"/>
  <c r="S61" i="10" s="1"/>
  <c r="S62" i="10" s="1"/>
  <c r="S63" i="10" s="1"/>
  <c r="S64" i="10" s="1"/>
  <c r="S65" i="10" s="1"/>
  <c r="S66" i="10" s="1"/>
  <c r="S67" i="10" s="1"/>
  <c r="S68" i="10" s="1"/>
  <c r="S69" i="10" s="1"/>
  <c r="S70" i="10" s="1"/>
  <c r="S71" i="10" s="1"/>
  <c r="S72" i="10" s="1"/>
  <c r="S73" i="10" s="1"/>
  <c r="S74" i="10" s="1"/>
  <c r="S75" i="10" s="1"/>
  <c r="S76" i="10" s="1"/>
  <c r="S77" i="10" s="1"/>
  <c r="S78" i="10" s="1"/>
  <c r="S79" i="10" s="1"/>
  <c r="S80" i="10" s="1"/>
  <c r="S81" i="10" s="1"/>
  <c r="S82" i="10" s="1"/>
  <c r="S83" i="10" s="1"/>
  <c r="S84" i="10" s="1"/>
  <c r="S85" i="10" s="1"/>
  <c r="S86" i="10" s="1"/>
  <c r="S87" i="10" s="1"/>
  <c r="S88" i="10" s="1"/>
  <c r="S89" i="10" s="1"/>
  <c r="S90" i="10" s="1"/>
  <c r="S91" i="10" s="1"/>
  <c r="S92" i="10" s="1"/>
  <c r="S93" i="10" s="1"/>
  <c r="S94" i="10" s="1"/>
  <c r="S95" i="10" s="1"/>
  <c r="S96" i="10" s="1"/>
  <c r="S97" i="10" s="1"/>
  <c r="S98" i="10" s="1"/>
  <c r="S99" i="10" s="1"/>
  <c r="S100" i="10" s="1"/>
  <c r="S101" i="10" s="1"/>
  <c r="S102" i="10" s="1"/>
  <c r="S103" i="10" s="1"/>
  <c r="S104" i="10" s="1"/>
  <c r="S105" i="10" s="1"/>
  <c r="S106" i="10" s="1"/>
  <c r="S107" i="10" s="1"/>
  <c r="S108" i="10" s="1"/>
  <c r="S109" i="10" s="1"/>
  <c r="S110" i="10" s="1"/>
  <c r="S111" i="10" s="1"/>
  <c r="S112" i="10" s="1"/>
  <c r="S113" i="10" s="1"/>
  <c r="S114" i="10" s="1"/>
  <c r="S115" i="10" s="1"/>
  <c r="S116" i="10" s="1"/>
  <c r="S117" i="10" s="1"/>
  <c r="S118" i="10" s="1"/>
  <c r="S119" i="10" s="1"/>
  <c r="S120" i="10" s="1"/>
  <c r="S121" i="10" s="1"/>
  <c r="S122" i="10" s="1"/>
  <c r="S123" i="10" s="1"/>
  <c r="S124" i="10" s="1"/>
  <c r="S125" i="10" s="1"/>
  <c r="S126" i="10" s="1"/>
  <c r="S127" i="10" s="1"/>
  <c r="S128" i="10" s="1"/>
  <c r="S129" i="10" s="1"/>
  <c r="S130" i="10" s="1"/>
  <c r="S131" i="10" s="1"/>
  <c r="S132" i="10" s="1"/>
  <c r="S133" i="10" s="1"/>
  <c r="S134" i="10" s="1"/>
  <c r="S135" i="10" s="1"/>
  <c r="S136" i="10" s="1"/>
  <c r="S137" i="10" s="1"/>
  <c r="S138" i="10" s="1"/>
  <c r="S139" i="10" s="1"/>
  <c r="S140" i="10" s="1"/>
  <c r="S141" i="10" s="1"/>
  <c r="S142" i="10" s="1"/>
  <c r="S143" i="10" s="1"/>
  <c r="S144" i="10" s="1"/>
  <c r="S145" i="10" s="1"/>
  <c r="S146" i="10" s="1"/>
  <c r="S147" i="10" s="1"/>
  <c r="S148" i="10" s="1"/>
  <c r="S149" i="10" s="1"/>
  <c r="S150" i="10" s="1"/>
  <c r="S151" i="10" s="1"/>
  <c r="S152" i="10" s="1"/>
  <c r="S153" i="10" s="1"/>
  <c r="S154" i="10" s="1"/>
  <c r="S155" i="10" s="1"/>
  <c r="S156" i="10" s="1"/>
  <c r="S157" i="10" s="1"/>
  <c r="S158" i="10" s="1"/>
  <c r="S159" i="10" s="1"/>
  <c r="S160" i="10" s="1"/>
  <c r="S161" i="10" s="1"/>
  <c r="S162" i="10" s="1"/>
  <c r="S163" i="10" s="1"/>
  <c r="S164" i="10" s="1"/>
  <c r="S165" i="10" s="1"/>
  <c r="S166" i="10" s="1"/>
  <c r="S167" i="10" s="1"/>
  <c r="S168" i="10" s="1"/>
  <c r="S169" i="10" s="1"/>
  <c r="S170" i="10" s="1"/>
  <c r="S171" i="10" s="1"/>
  <c r="S172" i="10" s="1"/>
  <c r="S173" i="10" s="1"/>
  <c r="S174" i="10" s="1"/>
  <c r="S175" i="10" s="1"/>
  <c r="S176" i="10" s="1"/>
  <c r="S177" i="10" s="1"/>
  <c r="S178" i="10" s="1"/>
  <c r="S179" i="10" s="1"/>
  <c r="S180" i="10" s="1"/>
  <c r="S181" i="10" s="1"/>
  <c r="S182" i="10" s="1"/>
  <c r="S183" i="10" s="1"/>
  <c r="S184" i="10" s="1"/>
  <c r="S185" i="10" s="1"/>
  <c r="S186" i="10" s="1"/>
  <c r="S187" i="10" s="1"/>
  <c r="S188" i="10" s="1"/>
  <c r="S189" i="10" s="1"/>
  <c r="S190" i="10" s="1"/>
  <c r="S191" i="10" s="1"/>
  <c r="S192" i="10" s="1"/>
  <c r="S193" i="10" s="1"/>
  <c r="S194" i="10" s="1"/>
  <c r="S195" i="10" s="1"/>
  <c r="S196" i="10" s="1"/>
  <c r="S197" i="10" s="1"/>
  <c r="S198" i="10" s="1"/>
  <c r="S199" i="10" s="1"/>
  <c r="S200" i="10" s="1"/>
  <c r="S201" i="10" s="1"/>
  <c r="S202" i="10" s="1"/>
  <c r="S203" i="10" s="1"/>
  <c r="S204" i="10" s="1"/>
  <c r="S205" i="10" s="1"/>
  <c r="S206" i="10" s="1"/>
  <c r="S207" i="10" s="1"/>
  <c r="S208" i="10" s="1"/>
  <c r="S209" i="10" s="1"/>
  <c r="S210" i="10" s="1"/>
  <c r="S211" i="10" s="1"/>
  <c r="S212" i="10" s="1"/>
  <c r="S213" i="10" s="1"/>
  <c r="S214" i="10" s="1"/>
  <c r="S215" i="10" s="1"/>
  <c r="S216" i="10" s="1"/>
  <c r="S217" i="10" s="1"/>
  <c r="S218" i="10" s="1"/>
  <c r="S219" i="10" s="1"/>
  <c r="S220" i="10" s="1"/>
  <c r="S221" i="10" s="1"/>
  <c r="S222" i="10" s="1"/>
  <c r="S223" i="10" s="1"/>
  <c r="S224" i="10" s="1"/>
  <c r="S225" i="10" s="1"/>
  <c r="S226" i="10" s="1"/>
  <c r="S227" i="10" s="1"/>
  <c r="S228" i="10" s="1"/>
  <c r="S229" i="10" s="1"/>
  <c r="S230" i="10" s="1"/>
  <c r="S231" i="10" s="1"/>
  <c r="S232" i="10" s="1"/>
  <c r="S233" i="10" s="1"/>
  <c r="S234" i="10" s="1"/>
  <c r="S235" i="10" s="1"/>
  <c r="S236" i="10" s="1"/>
  <c r="S237" i="10" s="1"/>
  <c r="S238" i="10" s="1"/>
  <c r="S239" i="10" s="1"/>
  <c r="S240" i="10" s="1"/>
  <c r="S241" i="10" s="1"/>
  <c r="S242" i="10" s="1"/>
  <c r="S243" i="10" s="1"/>
  <c r="S244" i="10" s="1"/>
  <c r="S245" i="10" s="1"/>
  <c r="S246" i="10" s="1"/>
  <c r="S247" i="10" s="1"/>
  <c r="S248" i="10" s="1"/>
  <c r="S249" i="10" s="1"/>
  <c r="S250" i="10" s="1"/>
  <c r="S251" i="10" s="1"/>
  <c r="S252" i="10" s="1"/>
  <c r="S253" i="10" s="1"/>
  <c r="S254" i="10" s="1"/>
  <c r="S255" i="10" s="1"/>
  <c r="S256" i="10" s="1"/>
  <c r="S257" i="10" s="1"/>
  <c r="S258" i="10" s="1"/>
  <c r="S259" i="10" s="1"/>
  <c r="S260" i="10" s="1"/>
  <c r="S261" i="10" s="1"/>
  <c r="S262" i="10" s="1"/>
  <c r="S263" i="10" s="1"/>
  <c r="S264" i="10" s="1"/>
  <c r="S265" i="10" s="1"/>
  <c r="S266" i="10" s="1"/>
  <c r="S267" i="10" s="1"/>
  <c r="S268" i="10" s="1"/>
  <c r="S269" i="10" s="1"/>
  <c r="S270" i="10" s="1"/>
  <c r="S271" i="10" s="1"/>
  <c r="S272" i="10" s="1"/>
  <c r="S273" i="10" s="1"/>
  <c r="S274" i="10" s="1"/>
  <c r="S275" i="10" s="1"/>
  <c r="S276" i="10" s="1"/>
  <c r="S277" i="10" s="1"/>
  <c r="S278" i="10" s="1"/>
  <c r="S279" i="10" s="1"/>
  <c r="S280" i="10" s="1"/>
  <c r="S281" i="10" s="1"/>
  <c r="S282" i="10" s="1"/>
  <c r="S283" i="10" s="1"/>
  <c r="S284" i="10" s="1"/>
  <c r="S285" i="10" s="1"/>
  <c r="S286" i="10" s="1"/>
  <c r="S287" i="10" s="1"/>
  <c r="S288" i="10" s="1"/>
  <c r="S289" i="10" s="1"/>
  <c r="S290" i="10" s="1"/>
  <c r="S291" i="10" s="1"/>
  <c r="S292" i="10" s="1"/>
  <c r="S293" i="10" s="1"/>
  <c r="S294" i="10" s="1"/>
  <c r="S295" i="10" s="1"/>
  <c r="S296" i="10" s="1"/>
  <c r="S297" i="10" s="1"/>
  <c r="S298" i="10" s="1"/>
  <c r="S299" i="10" s="1"/>
  <c r="S300" i="10" s="1"/>
  <c r="S301" i="10" s="1"/>
  <c r="S302" i="10" s="1"/>
  <c r="S303" i="10" s="1"/>
  <c r="S304" i="10" s="1"/>
  <c r="S305" i="10" s="1"/>
  <c r="S306" i="10" s="1"/>
  <c r="S307" i="10" s="1"/>
  <c r="S308" i="10" s="1"/>
  <c r="S309" i="10" s="1"/>
  <c r="T222" i="10" l="1"/>
  <c r="U221" i="10"/>
  <c r="AA4" i="10"/>
  <c r="W217" i="10" s="1"/>
  <c r="T40" i="1" a="1"/>
  <c r="T40" i="1" s="1"/>
  <c r="T41" i="1" s="1"/>
  <c r="S40" i="1" a="1"/>
  <c r="S40" i="1" s="1"/>
  <c r="S41" i="1" s="1"/>
  <c r="Q40" i="1" a="1"/>
  <c r="Q40" i="1" s="1"/>
  <c r="Q41" i="1" s="1"/>
  <c r="P40" i="1" a="1"/>
  <c r="P40" i="1" s="1"/>
  <c r="P41" i="1" s="1"/>
  <c r="O40" i="1" a="1"/>
  <c r="O40" i="1" s="1"/>
  <c r="O41" i="1" s="1"/>
  <c r="N40" i="1" a="1"/>
  <c r="N40" i="1" s="1"/>
  <c r="N41" i="1" s="1"/>
  <c r="M40" i="1" a="1"/>
  <c r="M40" i="1" s="1"/>
  <c r="M41" i="1" s="1"/>
  <c r="L40" i="1" a="1"/>
  <c r="L40" i="1" s="1"/>
  <c r="L41" i="1" s="1"/>
  <c r="Q37" i="1"/>
  <c r="Q38" i="1" s="1"/>
  <c r="P37" i="1"/>
  <c r="P38" i="1" s="1"/>
  <c r="O37" i="1"/>
  <c r="O38" i="1" s="1"/>
  <c r="N37" i="1"/>
  <c r="N38" i="1" s="1"/>
  <c r="M37" i="1"/>
  <c r="M38" i="1" s="1"/>
  <c r="L37" i="1"/>
  <c r="L38" i="1" s="1"/>
  <c r="T37" i="1"/>
  <c r="T38" i="1" s="1"/>
  <c r="S37" i="1"/>
  <c r="S38" i="1" s="1"/>
  <c r="T223" i="10" l="1"/>
  <c r="W223" i="10" s="1"/>
  <c r="U222" i="10"/>
  <c r="V42" i="10"/>
  <c r="W166" i="10"/>
  <c r="W200" i="10"/>
  <c r="V199" i="10"/>
  <c r="W185" i="10"/>
  <c r="V192" i="10"/>
  <c r="V98" i="10"/>
  <c r="V208" i="10"/>
  <c r="V138" i="10"/>
  <c r="V130" i="10"/>
  <c r="V216" i="10"/>
  <c r="W184" i="10"/>
  <c r="V176" i="10"/>
  <c r="W137" i="10"/>
  <c r="V40" i="10"/>
  <c r="V102" i="10"/>
  <c r="V20" i="10"/>
  <c r="V207" i="10"/>
  <c r="V162" i="10"/>
  <c r="V74" i="10"/>
  <c r="W154" i="10"/>
  <c r="V193" i="10"/>
  <c r="W214" i="10"/>
  <c r="W206" i="10"/>
  <c r="W198" i="10"/>
  <c r="W190" i="10"/>
  <c r="W182" i="10"/>
  <c r="W174" i="10"/>
  <c r="W165" i="10"/>
  <c r="V149" i="10"/>
  <c r="V133" i="10"/>
  <c r="W117" i="10"/>
  <c r="V96" i="10"/>
  <c r="V64" i="10"/>
  <c r="W32" i="10"/>
  <c r="W216" i="10"/>
  <c r="W208" i="10"/>
  <c r="V200" i="10"/>
  <c r="W192" i="10"/>
  <c r="W178" i="10"/>
  <c r="V152" i="10"/>
  <c r="V54" i="10"/>
  <c r="V187" i="10"/>
  <c r="W123" i="10"/>
  <c r="W158" i="10"/>
  <c r="W102" i="10"/>
  <c r="V99" i="10"/>
  <c r="W151" i="10"/>
  <c r="V33" i="10"/>
  <c r="W153" i="10"/>
  <c r="V104" i="10"/>
  <c r="W8" i="10"/>
  <c r="W194" i="10"/>
  <c r="W168" i="10"/>
  <c r="V197" i="10"/>
  <c r="V116" i="10"/>
  <c r="V65" i="10"/>
  <c r="W118" i="10"/>
  <c r="W34" i="10"/>
  <c r="W134" i="10"/>
  <c r="W183" i="10"/>
  <c r="W215" i="10"/>
  <c r="V181" i="10"/>
  <c r="V106" i="10"/>
  <c r="W169" i="10"/>
  <c r="W201" i="10"/>
  <c r="W212" i="10"/>
  <c r="V204" i="10"/>
  <c r="W196" i="10"/>
  <c r="W188" i="10"/>
  <c r="W180" i="10"/>
  <c r="W172" i="10"/>
  <c r="W161" i="10"/>
  <c r="V145" i="10"/>
  <c r="W129" i="10"/>
  <c r="W113" i="10"/>
  <c r="V88" i="10"/>
  <c r="V56" i="10"/>
  <c r="W24" i="10"/>
  <c r="V214" i="10"/>
  <c r="V206" i="10"/>
  <c r="V198" i="10"/>
  <c r="V188" i="10"/>
  <c r="V172" i="10"/>
  <c r="W144" i="10"/>
  <c r="V14" i="10"/>
  <c r="W177" i="10"/>
  <c r="W92" i="10"/>
  <c r="W146" i="10"/>
  <c r="W82" i="10"/>
  <c r="V69" i="10"/>
  <c r="W119" i="10"/>
  <c r="V203" i="10"/>
  <c r="V168" i="10"/>
  <c r="V121" i="10"/>
  <c r="V72" i="10"/>
  <c r="W210" i="10"/>
  <c r="V202" i="10"/>
  <c r="V180" i="10"/>
  <c r="V143" i="10"/>
  <c r="V12" i="10"/>
  <c r="W13" i="10"/>
  <c r="V175" i="10"/>
  <c r="V66" i="10"/>
  <c r="V150" i="10"/>
  <c r="V191" i="10"/>
  <c r="W58" i="10"/>
  <c r="V10" i="10"/>
  <c r="W122" i="10"/>
  <c r="V177" i="10"/>
  <c r="V209" i="10"/>
  <c r="V210" i="10"/>
  <c r="W202" i="10"/>
  <c r="V194" i="10"/>
  <c r="V186" i="10"/>
  <c r="V178" i="10"/>
  <c r="W170" i="10"/>
  <c r="W157" i="10"/>
  <c r="V141" i="10"/>
  <c r="W125" i="10"/>
  <c r="V109" i="10"/>
  <c r="V80" i="10"/>
  <c r="V48" i="10"/>
  <c r="V16" i="10"/>
  <c r="V212" i="10"/>
  <c r="W204" i="10"/>
  <c r="V196" i="10"/>
  <c r="V184" i="10"/>
  <c r="V170" i="10"/>
  <c r="V124" i="10"/>
  <c r="W209" i="10"/>
  <c r="W163" i="10"/>
  <c r="W52" i="10"/>
  <c r="V132" i="10"/>
  <c r="V52" i="10"/>
  <c r="V37" i="10"/>
  <c r="W95" i="10"/>
  <c r="W186" i="10"/>
  <c r="W176" i="10"/>
  <c r="V160" i="10"/>
  <c r="W140" i="10"/>
  <c r="W120" i="10"/>
  <c r="V86" i="10"/>
  <c r="W46" i="10"/>
  <c r="V6" i="10"/>
  <c r="V205" i="10"/>
  <c r="V195" i="10"/>
  <c r="V185" i="10"/>
  <c r="W173" i="10"/>
  <c r="W159" i="10"/>
  <c r="V139" i="10"/>
  <c r="V115" i="10"/>
  <c r="W84" i="10"/>
  <c r="W44" i="10"/>
  <c r="V166" i="10"/>
  <c r="V156" i="10"/>
  <c r="W142" i="10"/>
  <c r="V126" i="10"/>
  <c r="W114" i="10"/>
  <c r="W94" i="10"/>
  <c r="W74" i="10"/>
  <c r="W42" i="10"/>
  <c r="V18" i="10"/>
  <c r="V91" i="10"/>
  <c r="W59" i="10"/>
  <c r="V35" i="10"/>
  <c r="V5" i="10"/>
  <c r="W139" i="10"/>
  <c r="W115" i="10"/>
  <c r="W87" i="10"/>
  <c r="W55" i="10"/>
  <c r="V31" i="10"/>
  <c r="W156" i="10"/>
  <c r="W136" i="10"/>
  <c r="V112" i="10"/>
  <c r="V78" i="10"/>
  <c r="V38" i="10"/>
  <c r="W213" i="10"/>
  <c r="W203" i="10"/>
  <c r="W193" i="10"/>
  <c r="W181" i="10"/>
  <c r="V171" i="10"/>
  <c r="W155" i="10"/>
  <c r="V131" i="10"/>
  <c r="V111" i="10"/>
  <c r="W76" i="10"/>
  <c r="V28" i="10"/>
  <c r="W164" i="10"/>
  <c r="V154" i="10"/>
  <c r="W138" i="10"/>
  <c r="W124" i="10"/>
  <c r="V110" i="10"/>
  <c r="V92" i="10"/>
  <c r="W62" i="10"/>
  <c r="W38" i="10"/>
  <c r="W10" i="10"/>
  <c r="W81" i="10"/>
  <c r="W57" i="10"/>
  <c r="W27" i="10"/>
  <c r="V161" i="10"/>
  <c r="V137" i="10"/>
  <c r="W107" i="10"/>
  <c r="V75" i="10"/>
  <c r="W51" i="10"/>
  <c r="V23" i="10"/>
  <c r="W128" i="10"/>
  <c r="V108" i="10"/>
  <c r="V70" i="10"/>
  <c r="W22" i="10"/>
  <c r="V211" i="10"/>
  <c r="V201" i="10"/>
  <c r="W189" i="10"/>
  <c r="W179" i="10"/>
  <c r="V169" i="10"/>
  <c r="V147" i="10"/>
  <c r="V127" i="10"/>
  <c r="V107" i="10"/>
  <c r="V60" i="10"/>
  <c r="W20" i="10"/>
  <c r="W162" i="10"/>
  <c r="W148" i="10"/>
  <c r="V134" i="10"/>
  <c r="V122" i="10"/>
  <c r="W106" i="10"/>
  <c r="V84" i="10"/>
  <c r="W60" i="10"/>
  <c r="V30" i="10"/>
  <c r="V101" i="10"/>
  <c r="V77" i="10"/>
  <c r="W49" i="10"/>
  <c r="W17" i="10"/>
  <c r="V159" i="10"/>
  <c r="V129" i="10"/>
  <c r="V97" i="10"/>
  <c r="V73" i="10"/>
  <c r="V43" i="10"/>
  <c r="W171" i="10"/>
  <c r="W70" i="10"/>
  <c r="W50" i="10"/>
  <c r="W28" i="10"/>
  <c r="W6" i="10"/>
  <c r="W89" i="10"/>
  <c r="V67" i="10"/>
  <c r="W45" i="10"/>
  <c r="V25" i="10"/>
  <c r="AA8" i="10"/>
  <c r="W147" i="10"/>
  <c r="W127" i="10"/>
  <c r="W105" i="10"/>
  <c r="W83" i="10"/>
  <c r="W63" i="10"/>
  <c r="V41" i="10"/>
  <c r="W15" i="10"/>
  <c r="V100" i="10"/>
  <c r="W90" i="10"/>
  <c r="W78" i="10"/>
  <c r="W68" i="10"/>
  <c r="V58" i="10"/>
  <c r="V46" i="10"/>
  <c r="W36" i="10"/>
  <c r="V26" i="10"/>
  <c r="W14" i="10"/>
  <c r="W4" i="10"/>
  <c r="W97" i="10"/>
  <c r="V85" i="10"/>
  <c r="W75" i="10"/>
  <c r="W65" i="10"/>
  <c r="V53" i="10"/>
  <c r="W43" i="10"/>
  <c r="W33" i="10"/>
  <c r="W21" i="10"/>
  <c r="W11" i="10"/>
  <c r="V167" i="10"/>
  <c r="V155" i="10"/>
  <c r="W145" i="10"/>
  <c r="W135" i="10"/>
  <c r="V123" i="10"/>
  <c r="V113" i="10"/>
  <c r="V103" i="10"/>
  <c r="W91" i="10"/>
  <c r="V81" i="10"/>
  <c r="W71" i="10"/>
  <c r="V59" i="10"/>
  <c r="V49" i="10"/>
  <c r="W39" i="10"/>
  <c r="V27" i="10"/>
  <c r="V11" i="10"/>
  <c r="V114" i="10"/>
  <c r="W150" i="10"/>
  <c r="V140" i="10"/>
  <c r="W130" i="10"/>
  <c r="V118" i="10"/>
  <c r="W108" i="10"/>
  <c r="W98" i="10"/>
  <c r="W86" i="10"/>
  <c r="V76" i="10"/>
  <c r="W66" i="10"/>
  <c r="W54" i="10"/>
  <c r="V44" i="10"/>
  <c r="V34" i="10"/>
  <c r="V22" i="10"/>
  <c r="W12" i="10"/>
  <c r="V105" i="10"/>
  <c r="V93" i="10"/>
  <c r="V83" i="10"/>
  <c r="W73" i="10"/>
  <c r="W61" i="10"/>
  <c r="V51" i="10"/>
  <c r="W41" i="10"/>
  <c r="V29" i="10"/>
  <c r="W19" i="10"/>
  <c r="V9" i="10"/>
  <c r="V163" i="10"/>
  <c r="V153" i="10"/>
  <c r="W143" i="10"/>
  <c r="W131" i="10"/>
  <c r="W121" i="10"/>
  <c r="W111" i="10"/>
  <c r="W99" i="10"/>
  <c r="V89" i="10"/>
  <c r="W79" i="10"/>
  <c r="W67" i="10"/>
  <c r="V57" i="10"/>
  <c r="W47" i="10"/>
  <c r="W35" i="10"/>
  <c r="W25" i="10"/>
  <c r="V7" i="10"/>
  <c r="V190" i="10"/>
  <c r="V182" i="10"/>
  <c r="V174" i="10"/>
  <c r="V164" i="10"/>
  <c r="V148" i="10"/>
  <c r="W132" i="10"/>
  <c r="W116" i="10"/>
  <c r="V94" i="10"/>
  <c r="V62" i="10"/>
  <c r="W30" i="10"/>
  <c r="V215" i="10"/>
  <c r="W207" i="10"/>
  <c r="W199" i="10"/>
  <c r="W191" i="10"/>
  <c r="V183" i="10"/>
  <c r="W175" i="10"/>
  <c r="W167" i="10"/>
  <c r="V151" i="10"/>
  <c r="V135" i="10"/>
  <c r="V119" i="10"/>
  <c r="W100" i="10"/>
  <c r="V68" i="10"/>
  <c r="V36" i="10"/>
  <c r="V4" i="10"/>
  <c r="K17" i="10" s="1"/>
  <c r="W160" i="10"/>
  <c r="W152" i="10"/>
  <c r="V144" i="10"/>
  <c r="V136" i="10"/>
  <c r="V128" i="10"/>
  <c r="V120" i="10"/>
  <c r="W112" i="10"/>
  <c r="W104" i="10"/>
  <c r="W96" i="10"/>
  <c r="W88" i="10"/>
  <c r="W80" i="10"/>
  <c r="W72" i="10"/>
  <c r="W64" i="10"/>
  <c r="W56" i="10"/>
  <c r="W48" i="10"/>
  <c r="W40" i="10"/>
  <c r="V32" i="10"/>
  <c r="V24" i="10"/>
  <c r="W16" i="10"/>
  <c r="V8" i="10"/>
  <c r="W103" i="10"/>
  <c r="V95" i="10"/>
  <c r="V87" i="10"/>
  <c r="V79" i="10"/>
  <c r="V71" i="10"/>
  <c r="V63" i="10"/>
  <c r="V55" i="10"/>
  <c r="V47" i="10"/>
  <c r="V39" i="10"/>
  <c r="W31" i="10"/>
  <c r="W23" i="10"/>
  <c r="V15" i="10"/>
  <c r="W7" i="10"/>
  <c r="V165" i="10"/>
  <c r="V157" i="10"/>
  <c r="W149" i="10"/>
  <c r="W141" i="10"/>
  <c r="W133" i="10"/>
  <c r="V125" i="10"/>
  <c r="V117" i="10"/>
  <c r="W109" i="10"/>
  <c r="W101" i="10"/>
  <c r="W93" i="10"/>
  <c r="W85" i="10"/>
  <c r="W77" i="10"/>
  <c r="W69" i="10"/>
  <c r="V61" i="10"/>
  <c r="W53" i="10"/>
  <c r="V45" i="10"/>
  <c r="W37" i="10"/>
  <c r="W29" i="10"/>
  <c r="V19" i="10"/>
  <c r="W110" i="10"/>
  <c r="W197" i="10"/>
  <c r="V218" i="10"/>
  <c r="V21" i="10"/>
  <c r="V13" i="10"/>
  <c r="W5" i="10"/>
  <c r="W126" i="10"/>
  <c r="V179" i="10"/>
  <c r="W211" i="10"/>
  <c r="V146" i="10"/>
  <c r="W205" i="10"/>
  <c r="V223" i="10"/>
  <c r="V50" i="10"/>
  <c r="V142" i="10"/>
  <c r="W187" i="10"/>
  <c r="W26" i="10"/>
  <c r="V173" i="10"/>
  <c r="V213" i="10"/>
  <c r="V219" i="10"/>
  <c r="V221" i="10"/>
  <c r="V17" i="10"/>
  <c r="W9" i="10"/>
  <c r="V82" i="10"/>
  <c r="V158" i="10"/>
  <c r="W195" i="10"/>
  <c r="V90" i="10"/>
  <c r="V189" i="10"/>
  <c r="V220" i="10"/>
  <c r="V222" i="10"/>
  <c r="W18" i="10"/>
  <c r="V217" i="10"/>
  <c r="W219" i="10"/>
  <c r="W222" i="10"/>
  <c r="W220" i="10"/>
  <c r="W218" i="10"/>
  <c r="W221" i="10"/>
  <c r="M7" i="6"/>
  <c r="T224" i="10" l="1"/>
  <c r="U223" i="10"/>
  <c r="L22" i="4"/>
  <c r="N22" i="4" s="1"/>
  <c r="L21" i="4"/>
  <c r="N21" i="4" s="1"/>
  <c r="L20" i="4"/>
  <c r="N20" i="4" s="1"/>
  <c r="L19" i="4"/>
  <c r="N19" i="4" s="1"/>
  <c r="L18" i="4"/>
  <c r="N18" i="4" s="1"/>
  <c r="P14" i="4"/>
  <c r="L16" i="4"/>
  <c r="N16" i="4" s="1"/>
  <c r="L7" i="4"/>
  <c r="N7" i="4" s="1"/>
  <c r="L15" i="4"/>
  <c r="N15" i="4" s="1"/>
  <c r="L14" i="4"/>
  <c r="N14" i="4" s="1"/>
  <c r="L13" i="4"/>
  <c r="N13" i="4" s="1"/>
  <c r="L12" i="4"/>
  <c r="N12" i="4" s="1"/>
  <c r="L11" i="4"/>
  <c r="N11" i="4" s="1"/>
  <c r="L10" i="4"/>
  <c r="N10" i="4" s="1"/>
  <c r="L9" i="4"/>
  <c r="N9" i="4" s="1"/>
  <c r="L8" i="4"/>
  <c r="N8" i="4" s="1"/>
  <c r="S13" i="6"/>
  <c r="R13" i="6"/>
  <c r="M13" i="6"/>
  <c r="O13" i="6" s="1"/>
  <c r="S25" i="6"/>
  <c r="R25" i="6"/>
  <c r="S24" i="6"/>
  <c r="R24" i="6"/>
  <c r="S23" i="6"/>
  <c r="R23" i="6"/>
  <c r="S22" i="6"/>
  <c r="R22" i="6"/>
  <c r="S21" i="6"/>
  <c r="R21" i="6"/>
  <c r="S20" i="6"/>
  <c r="R20" i="6"/>
  <c r="S19" i="6"/>
  <c r="R19" i="6"/>
  <c r="S18" i="6"/>
  <c r="R18" i="6"/>
  <c r="S17" i="6"/>
  <c r="R17" i="6"/>
  <c r="S16" i="6"/>
  <c r="R16" i="6"/>
  <c r="S12" i="6"/>
  <c r="R12" i="6"/>
  <c r="S11" i="6"/>
  <c r="R11" i="6"/>
  <c r="S10" i="6"/>
  <c r="R10" i="6"/>
  <c r="S9" i="6"/>
  <c r="R9" i="6"/>
  <c r="S8" i="6"/>
  <c r="R8" i="6"/>
  <c r="M25" i="6"/>
  <c r="O25" i="6" s="1"/>
  <c r="M24" i="6"/>
  <c r="O24" i="6" s="1"/>
  <c r="M23" i="6"/>
  <c r="O23" i="6" s="1"/>
  <c r="M22" i="6"/>
  <c r="O22" i="6" s="1"/>
  <c r="M21" i="6"/>
  <c r="O21" i="6" s="1"/>
  <c r="M20" i="6"/>
  <c r="O20" i="6" s="1"/>
  <c r="M19" i="6"/>
  <c r="O19" i="6" s="1"/>
  <c r="M18" i="6"/>
  <c r="O18" i="6" s="1"/>
  <c r="M17" i="6"/>
  <c r="O17" i="6" s="1"/>
  <c r="M16" i="6"/>
  <c r="O16" i="6" s="1"/>
  <c r="M12" i="6"/>
  <c r="M11" i="6"/>
  <c r="M10" i="6"/>
  <c r="M9" i="6"/>
  <c r="O9" i="6" s="1"/>
  <c r="M8" i="6"/>
  <c r="U3" i="6" a="1"/>
  <c r="W3" i="6" s="1"/>
  <c r="S7" i="6"/>
  <c r="R7" i="6"/>
  <c r="R3" i="6"/>
  <c r="O7" i="1"/>
  <c r="T19" i="6" l="1"/>
  <c r="T23" i="6"/>
  <c r="T25" i="6"/>
  <c r="T13" i="6"/>
  <c r="T8" i="6"/>
  <c r="W4" i="6"/>
  <c r="U4" i="6"/>
  <c r="T18" i="6"/>
  <c r="W5" i="6"/>
  <c r="V3" i="6"/>
  <c r="T9" i="6"/>
  <c r="T11" i="6"/>
  <c r="T16" i="6"/>
  <c r="V5" i="6"/>
  <c r="U3" i="6"/>
  <c r="T7" i="6"/>
  <c r="T10" i="6"/>
  <c r="T22" i="6"/>
  <c r="T225" i="10"/>
  <c r="U224" i="10"/>
  <c r="V224" i="10"/>
  <c r="W224" i="10"/>
  <c r="T21" i="6"/>
  <c r="T12" i="6"/>
  <c r="T17" i="6"/>
  <c r="Y4" i="6"/>
  <c r="Y3" i="6"/>
  <c r="X5" i="6"/>
  <c r="X4" i="6"/>
  <c r="X3" i="6"/>
  <c r="T20" i="6"/>
  <c r="T24" i="6"/>
  <c r="Y5" i="6"/>
  <c r="U5" i="6"/>
  <c r="V4" i="6"/>
  <c r="O12" i="6"/>
  <c r="O11" i="6"/>
  <c r="O10" i="6"/>
  <c r="O8" i="6"/>
  <c r="O7" i="6"/>
  <c r="Q12" i="3"/>
  <c r="Q11" i="3"/>
  <c r="Q10" i="3"/>
  <c r="Q9" i="3"/>
  <c r="Q8" i="3"/>
  <c r="Q7" i="3"/>
  <c r="Q16" i="3"/>
  <c r="R16" i="3" s="1"/>
  <c r="Q17" i="3"/>
  <c r="R17" i="3" s="1"/>
  <c r="Q18" i="3"/>
  <c r="R18" i="3" s="1"/>
  <c r="Q19" i="3"/>
  <c r="R19" i="3" s="1"/>
  <c r="Q20" i="3"/>
  <c r="R20" i="3" s="1"/>
  <c r="Q21" i="3"/>
  <c r="R21" i="3" s="1"/>
  <c r="Q22" i="3"/>
  <c r="R22" i="3" s="1"/>
  <c r="Q15" i="3"/>
  <c r="R15" i="3" s="1"/>
  <c r="O21" i="3"/>
  <c r="N21" i="3"/>
  <c r="J21" i="3"/>
  <c r="L21" i="3" s="1"/>
  <c r="O20" i="3"/>
  <c r="N20" i="3"/>
  <c r="J20" i="3"/>
  <c r="L20" i="3" s="1"/>
  <c r="O16" i="3"/>
  <c r="O17" i="3"/>
  <c r="O18" i="3"/>
  <c r="O19" i="3"/>
  <c r="O22" i="3"/>
  <c r="O15" i="3"/>
  <c r="N15" i="3"/>
  <c r="N22" i="3"/>
  <c r="N19" i="3"/>
  <c r="N18" i="3"/>
  <c r="N17" i="3"/>
  <c r="N16" i="3"/>
  <c r="J22" i="3"/>
  <c r="L22" i="3" s="1"/>
  <c r="J19" i="3"/>
  <c r="L19" i="3" s="1"/>
  <c r="J18" i="3"/>
  <c r="L18" i="3" s="1"/>
  <c r="J17" i="3"/>
  <c r="L17" i="3" s="1"/>
  <c r="J16" i="3"/>
  <c r="L16" i="3" s="1"/>
  <c r="J15" i="3"/>
  <c r="L15" i="3" s="1"/>
  <c r="N12" i="3"/>
  <c r="O12" i="3" s="1"/>
  <c r="N11" i="3"/>
  <c r="O11" i="3" s="1"/>
  <c r="N10" i="3"/>
  <c r="O10" i="3" s="1"/>
  <c r="N9" i="3"/>
  <c r="O9" i="3" s="1"/>
  <c r="N8" i="3"/>
  <c r="O8" i="3" s="1"/>
  <c r="N7" i="3"/>
  <c r="O7" i="3" s="1"/>
  <c r="J12" i="3"/>
  <c r="L12" i="3" s="1"/>
  <c r="J11" i="3"/>
  <c r="L11" i="3" s="1"/>
  <c r="J10" i="3"/>
  <c r="L10" i="3" s="1"/>
  <c r="J9" i="3"/>
  <c r="L9" i="3" s="1"/>
  <c r="J8" i="3"/>
  <c r="L8" i="3" s="1"/>
  <c r="J7" i="3"/>
  <c r="L7" i="3" s="1"/>
  <c r="S28" i="2"/>
  <c r="S27" i="2"/>
  <c r="R27" i="2"/>
  <c r="S26" i="2"/>
  <c r="R26" i="2"/>
  <c r="S25" i="2"/>
  <c r="R25" i="2"/>
  <c r="S24" i="2"/>
  <c r="R24" i="2"/>
  <c r="S23" i="2"/>
  <c r="R23" i="2"/>
  <c r="S22" i="2"/>
  <c r="R22" i="2"/>
  <c r="O23" i="2"/>
  <c r="P23" i="2"/>
  <c r="O24" i="2"/>
  <c r="P24" i="2"/>
  <c r="O25" i="2"/>
  <c r="P25" i="2"/>
  <c r="O26" i="2"/>
  <c r="P26" i="2"/>
  <c r="O27" i="2"/>
  <c r="P27" i="2"/>
  <c r="P28" i="2"/>
  <c r="P22" i="2"/>
  <c r="O22" i="2"/>
  <c r="R15" i="2"/>
  <c r="S15" i="2"/>
  <c r="R16" i="2"/>
  <c r="S16" i="2"/>
  <c r="R17" i="2"/>
  <c r="S17" i="2"/>
  <c r="R18" i="2"/>
  <c r="S18" i="2"/>
  <c r="R19" i="2"/>
  <c r="S19" i="2"/>
  <c r="R20" i="2"/>
  <c r="S20" i="2"/>
  <c r="O20" i="2"/>
  <c r="P20" i="2" s="1"/>
  <c r="O19" i="2"/>
  <c r="P19" i="2" s="1"/>
  <c r="O18" i="2"/>
  <c r="P18" i="2" s="1"/>
  <c r="O17" i="2"/>
  <c r="P17" i="2" s="1"/>
  <c r="O16" i="2"/>
  <c r="P16" i="2" s="1"/>
  <c r="O15" i="2"/>
  <c r="P15" i="2" s="1"/>
  <c r="O14" i="2"/>
  <c r="P14" i="2" s="1"/>
  <c r="O12" i="2"/>
  <c r="P12" i="2" s="1"/>
  <c r="O11" i="2"/>
  <c r="P11" i="2" s="1"/>
  <c r="O10" i="2"/>
  <c r="P10" i="2" s="1"/>
  <c r="O9" i="2"/>
  <c r="P9" i="2" s="1"/>
  <c r="O8" i="2"/>
  <c r="P8" i="2" s="1"/>
  <c r="O7" i="2"/>
  <c r="P7" i="2" s="1"/>
  <c r="S7" i="2"/>
  <c r="R7" i="2"/>
  <c r="S14" i="2"/>
  <c r="S12" i="2"/>
  <c r="S11" i="2"/>
  <c r="S10" i="2"/>
  <c r="S9" i="2"/>
  <c r="S8" i="2"/>
  <c r="R14" i="2"/>
  <c r="R13" i="2"/>
  <c r="R12" i="2"/>
  <c r="R11" i="2"/>
  <c r="R10" i="2"/>
  <c r="R9" i="2"/>
  <c r="R8" i="2"/>
  <c r="J13" i="2"/>
  <c r="K13" i="2" s="1"/>
  <c r="M13" i="2" s="1"/>
  <c r="K17" i="2"/>
  <c r="M17" i="2" s="1"/>
  <c r="I28" i="2"/>
  <c r="K28" i="2" s="1"/>
  <c r="M28" i="2" s="1"/>
  <c r="K18" i="2"/>
  <c r="M18" i="2" s="1"/>
  <c r="K16" i="2"/>
  <c r="M16" i="2" s="1"/>
  <c r="K27" i="2"/>
  <c r="M27" i="2" s="1"/>
  <c r="K26" i="2"/>
  <c r="M26" i="2" s="1"/>
  <c r="K25" i="2"/>
  <c r="M25" i="2" s="1"/>
  <c r="K15" i="2"/>
  <c r="M15" i="2" s="1"/>
  <c r="K24" i="2"/>
  <c r="M24" i="2" s="1"/>
  <c r="K23" i="2"/>
  <c r="M23" i="2" s="1"/>
  <c r="K22" i="2"/>
  <c r="M22" i="2" s="1"/>
  <c r="K8" i="2"/>
  <c r="M8" i="2" s="1"/>
  <c r="K9" i="2"/>
  <c r="M9" i="2" s="1"/>
  <c r="K10" i="2"/>
  <c r="M10" i="2" s="1"/>
  <c r="K11" i="2"/>
  <c r="M11" i="2" s="1"/>
  <c r="K12" i="2"/>
  <c r="M12" i="2" s="1"/>
  <c r="K14" i="2"/>
  <c r="M14" i="2" s="1"/>
  <c r="K19" i="2"/>
  <c r="M19" i="2" s="1"/>
  <c r="K20" i="2"/>
  <c r="M20" i="2" s="1"/>
  <c r="K7" i="2"/>
  <c r="M7" i="2" s="1"/>
  <c r="W15" i="1"/>
  <c r="W16" i="1"/>
  <c r="W17" i="1"/>
  <c r="W18" i="1"/>
  <c r="W19" i="1"/>
  <c r="W20" i="1"/>
  <c r="W21" i="1"/>
  <c r="W22" i="1"/>
  <c r="W23" i="1"/>
  <c r="W24" i="1"/>
  <c r="W10" i="1"/>
  <c r="S23" i="1"/>
  <c r="U23" i="1" s="1"/>
  <c r="T17" i="2" l="1"/>
  <c r="T20" i="2"/>
  <c r="T18" i="2"/>
  <c r="T24" i="2"/>
  <c r="T8" i="2"/>
  <c r="T12" i="2"/>
  <c r="R7" i="3"/>
  <c r="R12" i="3"/>
  <c r="R9" i="3"/>
  <c r="R8" i="3"/>
  <c r="T19" i="2"/>
  <c r="R11" i="3"/>
  <c r="T14" i="2"/>
  <c r="T226" i="10"/>
  <c r="U225" i="10"/>
  <c r="V225" i="10"/>
  <c r="W225" i="10"/>
  <c r="T26" i="2"/>
  <c r="T11" i="2"/>
  <c r="T16" i="2"/>
  <c r="R10" i="3"/>
  <c r="T7" i="2"/>
  <c r="O13" i="2"/>
  <c r="P13" i="2" s="1"/>
  <c r="T23" i="2"/>
  <c r="T9" i="2"/>
  <c r="S13" i="2"/>
  <c r="T13" i="2" s="1"/>
  <c r="T15" i="2"/>
  <c r="T25" i="2"/>
  <c r="T27" i="2"/>
  <c r="T10" i="2"/>
  <c r="O28" i="2"/>
  <c r="T22" i="2"/>
  <c r="R28" i="2"/>
  <c r="T28" i="2" s="1"/>
  <c r="X24" i="1"/>
  <c r="X23" i="1"/>
  <c r="X22" i="1"/>
  <c r="X21" i="1"/>
  <c r="X20" i="1"/>
  <c r="X19" i="1"/>
  <c r="X18" i="1"/>
  <c r="X17" i="1"/>
  <c r="X16" i="1"/>
  <c r="X15" i="1"/>
  <c r="X10" i="1"/>
  <c r="O16" i="1"/>
  <c r="Q16" i="1" s="1"/>
  <c r="O18" i="1"/>
  <c r="Q18" i="1" s="1"/>
  <c r="O20" i="1"/>
  <c r="Q20" i="1" s="1"/>
  <c r="S22" i="1"/>
  <c r="U22" i="1" s="1"/>
  <c r="O23" i="1"/>
  <c r="Q23" i="1" s="1"/>
  <c r="S24" i="1"/>
  <c r="U24" i="1" s="1"/>
  <c r="S12" i="1"/>
  <c r="U12" i="1" s="1"/>
  <c r="P12" i="1"/>
  <c r="P11" i="1"/>
  <c r="P10" i="1"/>
  <c r="P9" i="1"/>
  <c r="P8" i="1"/>
  <c r="P7" i="1"/>
  <c r="C11" i="1"/>
  <c r="C10" i="1" s="1"/>
  <c r="D12" i="1"/>
  <c r="E12" i="1" s="1"/>
  <c r="F12" i="1" s="1"/>
  <c r="G12" i="1" s="1"/>
  <c r="H12" i="1" s="1"/>
  <c r="I12" i="1" s="1"/>
  <c r="J12" i="1" s="1"/>
  <c r="T227" i="10" l="1"/>
  <c r="U226" i="10"/>
  <c r="W226" i="10"/>
  <c r="V226" i="10"/>
  <c r="C9" i="1"/>
  <c r="D9" i="1" s="1"/>
  <c r="E9" i="1" s="1"/>
  <c r="F9" i="1" s="1"/>
  <c r="G9" i="1" s="1"/>
  <c r="H9" i="1" s="1"/>
  <c r="I9" i="1" s="1"/>
  <c r="J9" i="1" s="1"/>
  <c r="W8" i="1"/>
  <c r="X8" i="1" s="1"/>
  <c r="O24" i="1"/>
  <c r="Q24" i="1" s="1"/>
  <c r="S10" i="1"/>
  <c r="U10" i="1" s="1"/>
  <c r="S8" i="1"/>
  <c r="U8" i="1" s="1"/>
  <c r="O21" i="1"/>
  <c r="Q21" i="1" s="1"/>
  <c r="S21" i="1"/>
  <c r="U21" i="1" s="1"/>
  <c r="O19" i="1"/>
  <c r="Q19" i="1" s="1"/>
  <c r="S19" i="1"/>
  <c r="U19" i="1" s="1"/>
  <c r="O17" i="1"/>
  <c r="Q17" i="1" s="1"/>
  <c r="S17" i="1"/>
  <c r="U17" i="1" s="1"/>
  <c r="O15" i="1"/>
  <c r="Q15" i="1" s="1"/>
  <c r="S15" i="1"/>
  <c r="U15" i="1" s="1"/>
  <c r="S11" i="1"/>
  <c r="U11" i="1" s="1"/>
  <c r="S9" i="1"/>
  <c r="U9" i="1" s="1"/>
  <c r="S7" i="1"/>
  <c r="U7" i="1" s="1"/>
  <c r="S20" i="1"/>
  <c r="U20" i="1" s="1"/>
  <c r="S18" i="1"/>
  <c r="U18" i="1" s="1"/>
  <c r="S16" i="1"/>
  <c r="U16" i="1" s="1"/>
  <c r="O22" i="1"/>
  <c r="Q22" i="1" s="1"/>
  <c r="O12" i="1"/>
  <c r="Q12" i="1" s="1"/>
  <c r="O10" i="1"/>
  <c r="Q10" i="1" s="1"/>
  <c r="O8" i="1"/>
  <c r="Q8" i="1" s="1"/>
  <c r="O11" i="1"/>
  <c r="Q11" i="1" s="1"/>
  <c r="O9" i="1"/>
  <c r="Q9" i="1" s="1"/>
  <c r="Q7" i="1"/>
  <c r="D11" i="1"/>
  <c r="E11" i="1" s="1"/>
  <c r="F11" i="1" s="1"/>
  <c r="G11" i="1" s="1"/>
  <c r="H11" i="1" s="1"/>
  <c r="I11" i="1" s="1"/>
  <c r="W12" i="1" s="1"/>
  <c r="D10" i="1"/>
  <c r="E10" i="1" s="1"/>
  <c r="F10" i="1" s="1"/>
  <c r="G10" i="1" s="1"/>
  <c r="H10" i="1" s="1"/>
  <c r="I10" i="1" s="1"/>
  <c r="J10" i="1" s="1"/>
  <c r="C8" i="1"/>
  <c r="T228" i="10" l="1"/>
  <c r="U227" i="10"/>
  <c r="W227" i="10"/>
  <c r="V227" i="10"/>
  <c r="J11" i="1"/>
  <c r="X12" i="1"/>
  <c r="D8" i="1"/>
  <c r="E8" i="1" s="1"/>
  <c r="F8" i="1" s="1"/>
  <c r="W9" i="1" s="1"/>
  <c r="C7" i="1"/>
  <c r="T229" i="10" l="1"/>
  <c r="U228" i="10"/>
  <c r="V228" i="10"/>
  <c r="W228" i="10"/>
  <c r="G8" i="1"/>
  <c r="H8" i="1" s="1"/>
  <c r="I8" i="1" s="1"/>
  <c r="J8" i="1" s="1"/>
  <c r="X9" i="1"/>
  <c r="D7" i="1"/>
  <c r="E7" i="1" s="1"/>
  <c r="F7" i="1" s="1"/>
  <c r="G7" i="1" s="1"/>
  <c r="H7" i="1" s="1"/>
  <c r="I7" i="1" s="1"/>
  <c r="J7" i="1" s="1"/>
  <c r="C6" i="1"/>
  <c r="T230" i="10" l="1"/>
  <c r="U229" i="10"/>
  <c r="W229" i="10"/>
  <c r="V229" i="10"/>
  <c r="C5" i="1"/>
  <c r="W11" i="1" s="1"/>
  <c r="D6" i="1"/>
  <c r="E6" i="1" s="1"/>
  <c r="F6" i="1" s="1"/>
  <c r="G6" i="1" s="1"/>
  <c r="H6" i="1" s="1"/>
  <c r="I6" i="1" s="1"/>
  <c r="J6" i="1" s="1"/>
  <c r="T231" i="10" l="1"/>
  <c r="U230" i="10"/>
  <c r="W230" i="10"/>
  <c r="V230" i="10"/>
  <c r="D5" i="1"/>
  <c r="E5" i="1" s="1"/>
  <c r="F5" i="1" s="1"/>
  <c r="G5" i="1" s="1"/>
  <c r="H5" i="1" s="1"/>
  <c r="I5" i="1" s="1"/>
  <c r="J5" i="1" s="1"/>
  <c r="X11" i="1"/>
  <c r="T232" i="10" l="1"/>
  <c r="U231" i="10"/>
  <c r="W231" i="10"/>
  <c r="V231" i="10"/>
  <c r="W7" i="1"/>
  <c r="X7" i="1" s="1"/>
  <c r="T233" i="10" l="1"/>
  <c r="U232" i="10"/>
  <c r="W232" i="10"/>
  <c r="V232" i="10"/>
  <c r="T234" i="10" l="1"/>
  <c r="U233" i="10"/>
  <c r="V233" i="10"/>
  <c r="W233" i="10"/>
  <c r="T235" i="10" l="1"/>
  <c r="U234" i="10"/>
  <c r="W234" i="10"/>
  <c r="V234" i="10"/>
  <c r="T236" i="10" l="1"/>
  <c r="U235" i="10"/>
  <c r="W235" i="10"/>
  <c r="V235" i="10"/>
  <c r="T237" i="10" l="1"/>
  <c r="U236" i="10"/>
  <c r="V236" i="10"/>
  <c r="W236" i="10"/>
  <c r="T238" i="10" l="1"/>
  <c r="U237" i="10"/>
  <c r="W237" i="10"/>
  <c r="V237" i="10"/>
  <c r="T239" i="10" l="1"/>
  <c r="U238" i="10"/>
  <c r="V238" i="10"/>
  <c r="W238" i="10"/>
  <c r="T240" i="10" l="1"/>
  <c r="U239" i="10"/>
  <c r="V239" i="10"/>
  <c r="W239" i="10"/>
  <c r="T241" i="10" l="1"/>
  <c r="U240" i="10"/>
  <c r="V240" i="10"/>
  <c r="W240" i="10"/>
  <c r="T242" i="10" l="1"/>
  <c r="U241" i="10"/>
  <c r="W241" i="10"/>
  <c r="V241" i="10"/>
  <c r="T243" i="10" l="1"/>
  <c r="U242" i="10"/>
  <c r="V242" i="10"/>
  <c r="W242" i="10"/>
  <c r="T244" i="10" l="1"/>
  <c r="U243" i="10"/>
  <c r="V243" i="10"/>
  <c r="W243" i="10"/>
  <c r="T245" i="10" l="1"/>
  <c r="U244" i="10"/>
  <c r="W244" i="10"/>
  <c r="V244" i="10"/>
  <c r="T246" i="10" l="1"/>
  <c r="U245" i="10"/>
  <c r="V245" i="10"/>
  <c r="W245" i="10"/>
  <c r="T247" i="10" l="1"/>
  <c r="U246" i="10"/>
  <c r="V246" i="10"/>
  <c r="W246" i="10"/>
  <c r="T248" i="10" l="1"/>
  <c r="U247" i="10"/>
  <c r="W247" i="10"/>
  <c r="V247" i="10"/>
  <c r="T249" i="10" l="1"/>
  <c r="U248" i="10"/>
  <c r="V248" i="10"/>
  <c r="W248" i="10"/>
  <c r="T250" i="10" l="1"/>
  <c r="U249" i="10"/>
  <c r="V249" i="10"/>
  <c r="W249" i="10"/>
  <c r="T251" i="10" l="1"/>
  <c r="U250" i="10"/>
  <c r="W250" i="10"/>
  <c r="V250" i="10"/>
  <c r="T252" i="10" l="1"/>
  <c r="U251" i="10"/>
  <c r="W251" i="10"/>
  <c r="V251" i="10"/>
  <c r="T253" i="10" l="1"/>
  <c r="U252" i="10"/>
  <c r="V252" i="10"/>
  <c r="W252" i="10"/>
  <c r="T254" i="10" l="1"/>
  <c r="U253" i="10"/>
  <c r="V253" i="10"/>
  <c r="W253" i="10"/>
  <c r="T255" i="10" l="1"/>
  <c r="U254" i="10"/>
  <c r="W254" i="10"/>
  <c r="V254" i="10"/>
  <c r="T256" i="10" l="1"/>
  <c r="U255" i="10"/>
  <c r="V255" i="10"/>
  <c r="W255" i="10"/>
  <c r="T257" i="10" l="1"/>
  <c r="U256" i="10"/>
  <c r="V256" i="10"/>
  <c r="W256" i="10"/>
  <c r="T258" i="10" l="1"/>
  <c r="U257" i="10"/>
  <c r="W257" i="10"/>
  <c r="V257" i="10"/>
  <c r="T259" i="10" l="1"/>
  <c r="U258" i="10"/>
  <c r="W258" i="10"/>
  <c r="V258" i="10"/>
  <c r="T260" i="10" l="1"/>
  <c r="U259" i="10"/>
  <c r="V259" i="10"/>
  <c r="W259" i="10"/>
  <c r="T261" i="10" l="1"/>
  <c r="U260" i="10"/>
  <c r="W260" i="10"/>
  <c r="V260" i="10"/>
  <c r="T262" i="10" l="1"/>
  <c r="U261" i="10"/>
  <c r="W261" i="10"/>
  <c r="V261" i="10"/>
  <c r="T263" i="10" l="1"/>
  <c r="U262" i="10"/>
  <c r="V262" i="10"/>
  <c r="W262" i="10"/>
  <c r="T264" i="10" l="1"/>
  <c r="U263" i="10"/>
  <c r="V263" i="10"/>
  <c r="W263" i="10"/>
  <c r="T265" i="10" l="1"/>
  <c r="U264" i="10"/>
  <c r="V264" i="10"/>
  <c r="W264" i="10"/>
  <c r="T266" i="10" l="1"/>
  <c r="U265" i="10"/>
  <c r="V265" i="10"/>
  <c r="W265" i="10"/>
  <c r="T267" i="10" l="1"/>
  <c r="U266" i="10"/>
  <c r="V266" i="10"/>
  <c r="W266" i="10"/>
  <c r="T268" i="10" l="1"/>
  <c r="U267" i="10"/>
  <c r="W267" i="10"/>
  <c r="V267" i="10"/>
  <c r="T269" i="10" l="1"/>
  <c r="U268" i="10"/>
  <c r="V268" i="10"/>
  <c r="W268" i="10"/>
  <c r="T270" i="10" l="1"/>
  <c r="U269" i="10"/>
  <c r="V269" i="10"/>
  <c r="W269" i="10"/>
  <c r="T271" i="10" l="1"/>
  <c r="U270" i="10"/>
  <c r="W270" i="10"/>
  <c r="V270" i="10"/>
  <c r="T272" i="10" l="1"/>
  <c r="U271" i="10"/>
  <c r="W271" i="10"/>
  <c r="V271" i="10"/>
  <c r="T273" i="10" l="1"/>
  <c r="U272" i="10"/>
  <c r="W272" i="10"/>
  <c r="V272" i="10"/>
  <c r="T274" i="10" l="1"/>
  <c r="U273" i="10"/>
  <c r="W273" i="10"/>
  <c r="V273" i="10"/>
  <c r="T275" i="10" l="1"/>
  <c r="U274" i="10"/>
  <c r="V274" i="10"/>
  <c r="W274" i="10"/>
  <c r="T276" i="10" l="1"/>
  <c r="U275" i="10"/>
  <c r="V275" i="10"/>
  <c r="W275" i="10"/>
  <c r="T277" i="10" l="1"/>
  <c r="U276" i="10"/>
  <c r="W276" i="10"/>
  <c r="V276" i="10"/>
  <c r="T278" i="10" l="1"/>
  <c r="U277" i="10"/>
  <c r="W277" i="10"/>
  <c r="V277" i="10"/>
  <c r="T279" i="10" l="1"/>
  <c r="U278" i="10"/>
  <c r="W278" i="10"/>
  <c r="V278" i="10"/>
  <c r="T280" i="10" l="1"/>
  <c r="U279" i="10"/>
  <c r="V279" i="10"/>
  <c r="W279" i="10"/>
  <c r="T281" i="10" l="1"/>
  <c r="U280" i="10"/>
  <c r="W280" i="10"/>
  <c r="V280" i="10"/>
  <c r="T282" i="10" l="1"/>
  <c r="U281" i="10"/>
  <c r="W281" i="10"/>
  <c r="V281" i="10"/>
  <c r="T283" i="10" l="1"/>
  <c r="U282" i="10"/>
  <c r="V282" i="10"/>
  <c r="W282" i="10"/>
  <c r="T284" i="10" l="1"/>
  <c r="U283" i="10"/>
  <c r="V283" i="10"/>
  <c r="W283" i="10"/>
  <c r="T285" i="10" l="1"/>
  <c r="U284" i="10"/>
  <c r="V284" i="10"/>
  <c r="W284" i="10"/>
  <c r="T286" i="10" l="1"/>
  <c r="U285" i="10"/>
  <c r="W285" i="10"/>
  <c r="V285" i="10"/>
  <c r="T287" i="10" l="1"/>
  <c r="U286" i="10"/>
  <c r="V286" i="10"/>
  <c r="W286" i="10"/>
  <c r="T288" i="10" l="1"/>
  <c r="U287" i="10"/>
  <c r="W287" i="10"/>
  <c r="V287" i="10"/>
  <c r="T289" i="10" l="1"/>
  <c r="U288" i="10"/>
  <c r="W288" i="10"/>
  <c r="V288" i="10"/>
  <c r="T290" i="10" l="1"/>
  <c r="U289" i="10"/>
  <c r="W289" i="10"/>
  <c r="V289" i="10"/>
  <c r="T291" i="10" l="1"/>
  <c r="U290" i="10"/>
  <c r="V290" i="10"/>
  <c r="W290" i="10"/>
  <c r="T292" i="10" l="1"/>
  <c r="U291" i="10"/>
  <c r="W291" i="10"/>
  <c r="V291" i="10"/>
  <c r="T293" i="10" l="1"/>
  <c r="U292" i="10"/>
  <c r="V292" i="10"/>
  <c r="W292" i="10"/>
  <c r="T294" i="10" l="1"/>
  <c r="U293" i="10"/>
  <c r="V293" i="10"/>
  <c r="W293" i="10"/>
  <c r="T295" i="10" l="1"/>
  <c r="U294" i="10"/>
  <c r="W294" i="10"/>
  <c r="V294" i="10"/>
  <c r="T296" i="10" l="1"/>
  <c r="U295" i="10"/>
  <c r="W295" i="10"/>
  <c r="V295" i="10"/>
  <c r="T297" i="10" l="1"/>
  <c r="U296" i="10"/>
  <c r="W296" i="10"/>
  <c r="V296" i="10"/>
  <c r="T298" i="10" l="1"/>
  <c r="U297" i="10"/>
  <c r="V297" i="10"/>
  <c r="W297" i="10"/>
  <c r="T299" i="10" l="1"/>
  <c r="U298" i="10"/>
  <c r="W298" i="10"/>
  <c r="V298" i="10"/>
  <c r="T300" i="10" l="1"/>
  <c r="U299" i="10"/>
  <c r="W299" i="10"/>
  <c r="V299" i="10"/>
  <c r="T301" i="10" l="1"/>
  <c r="U300" i="10"/>
  <c r="V300" i="10"/>
  <c r="W300" i="10"/>
  <c r="T302" i="10" l="1"/>
  <c r="U301" i="10"/>
  <c r="V301" i="10"/>
  <c r="W301" i="10"/>
  <c r="T303" i="10" l="1"/>
  <c r="U302" i="10"/>
  <c r="V302" i="10"/>
  <c r="W302" i="10"/>
  <c r="T304" i="10" l="1"/>
  <c r="U303" i="10"/>
  <c r="V303" i="10"/>
  <c r="W303" i="10"/>
  <c r="T305" i="10" l="1"/>
  <c r="U304" i="10"/>
  <c r="V304" i="10"/>
  <c r="W304" i="10"/>
  <c r="T306" i="10" l="1"/>
  <c r="U305" i="10"/>
  <c r="W305" i="10"/>
  <c r="V305" i="10"/>
  <c r="T307" i="10" l="1"/>
  <c r="U306" i="10"/>
  <c r="V306" i="10"/>
  <c r="W306" i="10"/>
  <c r="T308" i="10" l="1"/>
  <c r="U307" i="10"/>
  <c r="V307" i="10"/>
  <c r="W307" i="10"/>
  <c r="T309" i="10" l="1"/>
  <c r="U308" i="10"/>
  <c r="V308" i="10"/>
  <c r="W308" i="10"/>
  <c r="U309" i="10" l="1"/>
  <c r="W309" i="10"/>
  <c r="V309" i="10"/>
  <c r="AA5" i="10" s="1"/>
  <c r="K10" i="10" l="1"/>
  <c r="K1" i="10" s="1"/>
  <c r="K6" i="10" s="1"/>
</calcChain>
</file>

<file path=xl/comments1.xml><?xml version="1.0" encoding="utf-8"?>
<comments xmlns="http://schemas.openxmlformats.org/spreadsheetml/2006/main">
  <authors>
    <author>Author</author>
  </authors>
  <commentList>
    <comment ref="J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0 / FALSE / "N" / blank = not spared
&gt;0 / TRUE / "Y" = spared
</t>
        </r>
      </text>
    </comment>
    <comment ref="R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Find index position of letter
</t>
        </r>
      </text>
    </comment>
    <comment ref="S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Decide if want row 1 (unspared, default) or row 2 in array literal</t>
        </r>
      </text>
    </comment>
    <comment ref="T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Lookup in array and return found criticality value
</t>
        </r>
      </text>
    </comment>
    <comment ref="I18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Case insensitive comparisons in formula
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N1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Index(array,0) is a special case - it is trying to return the whole lookup array, this is just the first element in the first available cell
</t>
        </r>
      </text>
    </comment>
    <comment ref="Q1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FALSE to force exact match ony.  Note leaving blank after comma is the equivalent to this</t>
        </r>
      </text>
    </comment>
  </commentList>
</comments>
</file>

<file path=xl/comments3.xml><?xml version="1.0" encoding="utf-8"?>
<comments xmlns="http://schemas.openxmlformats.org/spreadsheetml/2006/main">
  <authors>
    <author>Author</author>
  </authors>
  <commentList>
    <comment ref="C3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i.e. where &gt;= threshold, it is Critical Equipment (not SCE, which is separate category)
</t>
        </r>
      </text>
    </comment>
    <comment ref="E3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If D or above on H&amp;S then is classed as SCE</t>
        </r>
      </text>
    </comment>
  </commentList>
</comments>
</file>

<file path=xl/comments4.xml><?xml version="1.0" encoding="utf-8"?>
<comments xmlns="http://schemas.openxmlformats.org/spreadsheetml/2006/main">
  <authors>
    <author>Douglas Crooke</author>
  </authors>
  <commentList>
    <comment ref="C1" authorId="0" shapeId="0">
      <text>
        <r>
          <rPr>
            <b/>
            <sz val="9"/>
            <color indexed="81"/>
            <rFont val="Tahoma"/>
            <charset val="1"/>
          </rPr>
          <t>Douglas Crooke:</t>
        </r>
        <r>
          <rPr>
            <sz val="9"/>
            <color indexed="81"/>
            <rFont val="Tahoma"/>
            <charset val="1"/>
          </rPr>
          <t xml:space="preserve">
may need clarification - existing data or result of a previous rule?</t>
        </r>
      </text>
    </comment>
  </commentList>
</comments>
</file>

<file path=xl/comments5.xml><?xml version="1.0" encoding="utf-8"?>
<comments xmlns="http://schemas.openxmlformats.org/spreadsheetml/2006/main">
  <authors>
    <author>Author</author>
  </authors>
  <commentList>
    <comment ref="G1" authorId="0" shapeId="0">
      <text>
        <r>
          <rPr>
            <sz val="9"/>
            <color rgb="FF000000"/>
            <rFont val="Tahoma"/>
            <family val="2"/>
          </rPr>
          <t xml:space="preserve">Financial
</t>
        </r>
      </text>
    </comment>
    <comment ref="H1" authorId="0" shapeId="0">
      <text>
        <r>
          <rPr>
            <sz val="9"/>
            <color rgb="FF000000"/>
            <rFont val="Tahoma"/>
            <family val="2"/>
          </rPr>
          <t xml:space="preserve">Non-Financial
</t>
        </r>
      </text>
    </comment>
    <comment ref="K1" authorId="0" shapeId="0">
      <text>
        <r>
          <rPr>
            <sz val="9"/>
            <color rgb="FF000000"/>
            <rFont val="Tahoma"/>
            <family val="2"/>
          </rPr>
          <t xml:space="preserve">Financial
</t>
        </r>
      </text>
    </comment>
    <comment ref="L1" authorId="0" shapeId="0">
      <text>
        <r>
          <rPr>
            <sz val="9"/>
            <color rgb="FF000000"/>
            <rFont val="Tahoma"/>
            <family val="2"/>
          </rPr>
          <t xml:space="preserve">Non-Financial
</t>
        </r>
      </text>
    </comment>
  </commentList>
</comments>
</file>

<file path=xl/connections.xml><?xml version="1.0" encoding="utf-8"?>
<connections xmlns="http://schemas.openxmlformats.org/spreadsheetml/2006/main">
  <connection id="1" keepAlive="1" name="ModelConnection_ExternalData_1" description="Data Model" type="5" refreshedVersion="6" minRefreshableVersion="5" saveData="1">
    <dbPr connection="Data Model Connection" command="AssetRegisterTbl  2" commandType="3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<sst xmlns="http://schemas.openxmlformats.org/spreadsheetml/2006/main" count="63047" uniqueCount="8707">
  <si>
    <t>A</t>
  </si>
  <si>
    <t>B</t>
  </si>
  <si>
    <t>C</t>
  </si>
  <si>
    <t>D</t>
  </si>
  <si>
    <t>E</t>
  </si>
  <si>
    <t>F</t>
  </si>
  <si>
    <t>G</t>
  </si>
  <si>
    <t>H</t>
  </si>
  <si>
    <t>Impact</t>
  </si>
  <si>
    <t>1</t>
  </si>
  <si>
    <t>2</t>
  </si>
  <si>
    <t>3</t>
  </si>
  <si>
    <t>4</t>
  </si>
  <si>
    <t>5</t>
  </si>
  <si>
    <t>6</t>
  </si>
  <si>
    <t>7</t>
  </si>
  <si>
    <t>8</t>
  </si>
  <si>
    <t>Likelihood</t>
  </si>
  <si>
    <t>Expected</t>
  </si>
  <si>
    <t>Test</t>
  </si>
  <si>
    <t>Calc</t>
  </si>
  <si>
    <t xml:space="preserve">Formula = </t>
  </si>
  <si>
    <t>Z</t>
  </si>
  <si>
    <t>Desired</t>
  </si>
  <si>
    <t xml:space="preserve"> </t>
  </si>
  <si>
    <t>I</t>
  </si>
  <si>
    <t>Normal / Edge cases</t>
  </si>
  <si>
    <t>Should fail cases</t>
  </si>
  <si>
    <t>EE</t>
  </si>
  <si>
    <t xml:space="preserve">E </t>
  </si>
  <si>
    <t>G8</t>
  </si>
  <si>
    <t>Input2</t>
  </si>
  <si>
    <t>Input1</t>
  </si>
  <si>
    <t>Preferred</t>
  </si>
  <si>
    <t>Lookup formula in table</t>
  </si>
  <si>
    <t>=VLOOKUP(S2,Table1,T2+1,)</t>
  </si>
  <si>
    <t>=MATCH(S2,{"H","G","F","E","D","C","B","A"},0)+T2-1</t>
  </si>
  <si>
    <t>=MATCH(L2,{"H","G","F","E","D","C","B","A"},0)+MATCH(M2, {1,2,3,4,5,6,7,8}, 0) - 1</t>
  </si>
  <si>
    <t>Lookup</t>
  </si>
  <si>
    <t>Table coloured using conditional formatting (multiple levels)</t>
  </si>
  <si>
    <t>Criticality Unspared</t>
  </si>
  <si>
    <t>Impact Level</t>
  </si>
  <si>
    <t>Translation Table normalised to two columns</t>
  </si>
  <si>
    <t>Original format</t>
  </si>
  <si>
    <t>Criticality Rating of Equipment</t>
  </si>
  <si>
    <t>Inputs</t>
  </si>
  <si>
    <t>Spared?</t>
  </si>
  <si>
    <t>Result</t>
  </si>
  <si>
    <t>Y</t>
  </si>
  <si>
    <t>N</t>
  </si>
  <si>
    <t>y</t>
  </si>
  <si>
    <t>Failure cases</t>
  </si>
  <si>
    <t>Lookup formula</t>
  </si>
  <si>
    <t>Standalone formula</t>
  </si>
  <si>
    <t>Pass/Fail?</t>
  </si>
  <si>
    <t>AA</t>
  </si>
  <si>
    <t>A1</t>
  </si>
  <si>
    <t>Tests that should pass</t>
  </si>
  <si>
    <t>f</t>
  </si>
  <si>
    <t>n</t>
  </si>
  <si>
    <t>IF</t>
  </si>
  <si>
    <t>MATCH</t>
  </si>
  <si>
    <t>Formula components</t>
  </si>
  <si>
    <t>Index(arrayliteral, IF selected row, MATCHed column)</t>
  </si>
  <si>
    <t>Criticality Rating</t>
  </si>
  <si>
    <t>Criticality Level</t>
  </si>
  <si>
    <t>8 - 10</t>
  </si>
  <si>
    <t>4 - 7</t>
  </si>
  <si>
    <t>1 - 3</t>
  </si>
  <si>
    <t>High</t>
  </si>
  <si>
    <t>Medium</t>
  </si>
  <si>
    <t>Low</t>
  </si>
  <si>
    <t>Shorter but with issues</t>
  </si>
  <si>
    <t>Rating</t>
  </si>
  <si>
    <t>Standalone Formula</t>
  </si>
  <si>
    <t>Lookup formula,</t>
  </si>
  <si>
    <t xml:space="preserve"> references table on left to work</t>
  </si>
  <si>
    <t>does not need a table</t>
  </si>
  <si>
    <t>elements of final formula</t>
  </si>
  <si>
    <t>Copy formula(e) from Result column and check input references</t>
  </si>
  <si>
    <t>Tests that should fail</t>
  </si>
  <si>
    <t>1-2</t>
  </si>
  <si>
    <t>Rules for determining Critical Equipment</t>
  </si>
  <si>
    <t>Risk Category</t>
  </si>
  <si>
    <t>Impact Threshold</t>
  </si>
  <si>
    <t>Environmental</t>
  </si>
  <si>
    <t>Non-Financial</t>
  </si>
  <si>
    <t>Health &amp; Safety</t>
  </si>
  <si>
    <t>Financial</t>
  </si>
  <si>
    <t>E or above</t>
  </si>
  <si>
    <t>D or above</t>
  </si>
  <si>
    <t>Maximo threshold</t>
  </si>
  <si>
    <t>Business</t>
  </si>
  <si>
    <t>Safety</t>
  </si>
  <si>
    <t>Production</t>
  </si>
  <si>
    <t>Maximo Criticality type</t>
  </si>
  <si>
    <t>SCE Threshold</t>
  </si>
  <si>
    <t>FLASH GAS COMPRESSOR</t>
  </si>
  <si>
    <t>E-K-2421</t>
  </si>
  <si>
    <t>A TAG FOR TESTING</t>
  </si>
  <si>
    <t>AB12345A</t>
  </si>
  <si>
    <t>Description</t>
  </si>
  <si>
    <t>TagID</t>
  </si>
  <si>
    <t>Table as a formula</t>
  </si>
  <si>
    <t>Find Row</t>
  </si>
  <si>
    <t>Find Column</t>
  </si>
  <si>
    <t>Lookup in literal array</t>
  </si>
  <si>
    <t>Formula Components</t>
  </si>
  <si>
    <t>Table as array formula pasted as an array formula</t>
  </si>
  <si>
    <t>g</t>
  </si>
  <si>
    <t>z</t>
  </si>
  <si>
    <t>Env</t>
  </si>
  <si>
    <t>Non-F</t>
  </si>
  <si>
    <t>H&amp;S</t>
  </si>
  <si>
    <t>Fin</t>
  </si>
  <si>
    <t>Check</t>
  </si>
  <si>
    <t>A word</t>
  </si>
  <si>
    <t>IsCritical?</t>
  </si>
  <si>
    <t>(only looks at first character)</t>
  </si>
  <si>
    <t>Standalone Formula for Is Critical Equipment?</t>
  </si>
  <si>
    <t>does not need a table, treats blank as equivalent to A</t>
  </si>
  <si>
    <t>i</t>
  </si>
  <si>
    <t>Will say anything is critical unless all criteria provided in range A-z</t>
  </si>
  <si>
    <t>$</t>
  </si>
  <si>
    <t>SYSTEMID</t>
  </si>
  <si>
    <t>ABC</t>
  </si>
  <si>
    <t>Criticality</t>
  </si>
  <si>
    <t>Commercial Number</t>
  </si>
  <si>
    <t>Production Number</t>
  </si>
  <si>
    <t>Environment Number</t>
  </si>
  <si>
    <t>Safety Number</t>
  </si>
  <si>
    <t>Commercial Letter</t>
  </si>
  <si>
    <t>Production Letter</t>
  </si>
  <si>
    <t>Environmental Letter</t>
  </si>
  <si>
    <t>Safety Letter</t>
  </si>
  <si>
    <t>Column1</t>
  </si>
  <si>
    <t>Applies to</t>
  </si>
  <si>
    <t>Rule</t>
  </si>
  <si>
    <t>set criticality based on equipment sub-type and system</t>
  </si>
  <si>
    <t>FAILURECODEPLUS</t>
  </si>
  <si>
    <t>What to do with existing data</t>
  </si>
  <si>
    <t>overwrite?</t>
  </si>
  <si>
    <t>influences result</t>
  </si>
  <si>
    <t>Ignore all tags with deleted status</t>
  </si>
  <si>
    <t>STATUS</t>
  </si>
  <si>
    <t>Ignore</t>
  </si>
  <si>
    <t>Comments to add</t>
  </si>
  <si>
    <t>"Ignored due to status code"</t>
  </si>
  <si>
    <t>"Derived from SYSTEM"</t>
  </si>
  <si>
    <t>"Based on Equipment Code"</t>
  </si>
  <si>
    <t>Criticality If Redundancy</t>
  </si>
  <si>
    <t>Note - needs adjustement to absolute cell locations  in formulae if copied</t>
  </si>
  <si>
    <t>Will select blanks as 'highest' value</t>
  </si>
  <si>
    <t>Given multiple Letter impact codes, find the highest rated code</t>
  </si>
  <si>
    <t>BB</t>
  </si>
  <si>
    <t>Will select blanks as 'highest' value, better on unexpected input</t>
  </si>
  <si>
    <t>This is surprisingly tricky, these celle are some failed attempts</t>
  </si>
  <si>
    <t>to do this in a single formula, eventually decided to use an</t>
  </si>
  <si>
    <t xml:space="preserve">additional risk score column to cope with this in criticality </t>
  </si>
  <si>
    <t>spreadsheet</t>
  </si>
  <si>
    <t>set initial criticality based on system code  ***REDUNDANT, as Failure code will always overwrite?***</t>
  </si>
  <si>
    <t>Identify MAH Barriers from - System, parent, hierarchy level, type if available</t>
  </si>
  <si>
    <t>Any SIL loop components promote (to A)</t>
  </si>
  <si>
    <t>Use tag abbreviations to identify type and parent to determine if critical for production etc?</t>
  </si>
  <si>
    <t>Use rule to estimate components on a maintainable package to demote below parent priority</t>
  </si>
  <si>
    <t>Failure Code</t>
  </si>
  <si>
    <t>This table and supporting cells are used to populate dynamic dropdowns for typical component criticalities, copy and paste from here if selectors for safety impact overrides are not working</t>
  </si>
  <si>
    <t>Reviewed</t>
  </si>
  <si>
    <t>Barrier Family</t>
  </si>
  <si>
    <t>Barrier Family Description</t>
  </si>
  <si>
    <t>Typical Components</t>
  </si>
  <si>
    <t>Typical Criticality</t>
  </si>
  <si>
    <t>Barrier Family ID</t>
  </si>
  <si>
    <t>Column2</t>
  </si>
  <si>
    <t>Item No</t>
  </si>
  <si>
    <t>FamilyList</t>
  </si>
  <si>
    <t>ComponentList</t>
  </si>
  <si>
    <t>Code</t>
  </si>
  <si>
    <t>Components</t>
  </si>
  <si>
    <t>Agreed</t>
  </si>
  <si>
    <t>P2-A/B</t>
  </si>
  <si>
    <t>Structural Integrity</t>
  </si>
  <si>
    <t>Primary Structures - All Components</t>
  </si>
  <si>
    <t>Count</t>
  </si>
  <si>
    <t>Is the item SCE? (Safety impact D or greater)</t>
  </si>
  <si>
    <t>Secondary Structures - Single component failure results in hydrocarbon LOPC</t>
  </si>
  <si>
    <t>Selected ID</t>
  </si>
  <si>
    <r>
      <rPr>
        <b/>
        <sz val="11"/>
        <color theme="1"/>
        <rFont val="Calibri"/>
        <family val="2"/>
        <scheme val="minor"/>
      </rPr>
      <t>Highest Impact</t>
    </r>
    <r>
      <rPr>
        <sz val="11"/>
        <color theme="1"/>
        <rFont val="Calibri"/>
        <family val="2"/>
        <scheme val="minor"/>
      </rPr>
      <t xml:space="preserve"> Event with its likelihood is shown in each category (may not be highest risk score)</t>
    </r>
  </si>
  <si>
    <t>Secondary Structures - Single component failure results in object dropping &gt;3m</t>
  </si>
  <si>
    <t>This is used to feed the failure code criticalities</t>
  </si>
  <si>
    <t>Derived CMMS Location Priority</t>
  </si>
  <si>
    <t>Secondary Structures - Single component failure has no immediate consequence</t>
  </si>
  <si>
    <t>Category</t>
  </si>
  <si>
    <t>Redundancy applies?</t>
  </si>
  <si>
    <t>No</t>
  </si>
  <si>
    <t>Tertiary Structures - Failure may result in fall &gt;3m</t>
  </si>
  <si>
    <t>Elements contributing to CMMS Location Criticality rating</t>
  </si>
  <si>
    <t>Tertiary Structures - Failure may result in fall 1 - 3m</t>
  </si>
  <si>
    <t>Tertiary Structures - Failure may result in fall &lt;1m</t>
  </si>
  <si>
    <t>P3-A</t>
  </si>
  <si>
    <t>Stability loading control &amp; watertight integrity</t>
  </si>
  <si>
    <t>Ballast Pumps</t>
  </si>
  <si>
    <t xml:space="preserve">Derived SAP A/B/C = </t>
  </si>
  <si>
    <t>Sea Chest Valves</t>
  </si>
  <si>
    <t>Loading Computer</t>
  </si>
  <si>
    <t>Tank/Draft Monitoring systems</t>
  </si>
  <si>
    <t>Safety Scenarios</t>
  </si>
  <si>
    <t>Risk Score</t>
  </si>
  <si>
    <t>Code for Letter</t>
  </si>
  <si>
    <t>Justification / Comment2</t>
  </si>
  <si>
    <t>Safety Impact Overrides based on typical criticalities BP Guide 100041</t>
  </si>
  <si>
    <t>Ballast/Cargo/Slop tank Valve control monitoring system</t>
  </si>
  <si>
    <t>Loss of Function</t>
  </si>
  <si>
    <t>MAH Barrier family</t>
  </si>
  <si>
    <t>MAH barrier</t>
  </si>
  <si>
    <t>Bilge System Alarms CCR</t>
  </si>
  <si>
    <t>Ballast Pump Hydraulic Power</t>
  </si>
  <si>
    <t>Down-flooding Points</t>
  </si>
  <si>
    <t>Tank Hatches</t>
  </si>
  <si>
    <t>Cargo transfer/loading system</t>
  </si>
  <si>
    <t>Environmental Scenarios</t>
  </si>
  <si>
    <t>P3-B</t>
  </si>
  <si>
    <t>Station Keeping</t>
  </si>
  <si>
    <t>Chain Stoppers</t>
  </si>
  <si>
    <t>Mooring Chains (top chain, bottom chain, wire/polyester rope rope)</t>
  </si>
  <si>
    <t>Suction Piles</t>
  </si>
  <si>
    <t>P3-C</t>
  </si>
  <si>
    <t>Swivel Stack Assembly</t>
  </si>
  <si>
    <t>Utility, Production, LVSR (Low Voltage Slip Ring) Swivel Rings</t>
  </si>
  <si>
    <t>Swivel Seals (Primary and Secondary Seals)</t>
  </si>
  <si>
    <t xml:space="preserve">High likelihood threshold for business impacts: likelihood &gt; </t>
  </si>
  <si>
    <t>Fibre Optic Ring Joint</t>
  </si>
  <si>
    <t>Financial Scenarios</t>
  </si>
  <si>
    <t>Financial Impact Flowchart</t>
  </si>
  <si>
    <t>Swivel Fluid Barrier System</t>
  </si>
  <si>
    <t>HPU Reservoir</t>
  </si>
  <si>
    <t>Condition</t>
  </si>
  <si>
    <t>Output</t>
  </si>
  <si>
    <t>HPU Pumps, filters and automatic controls</t>
  </si>
  <si>
    <t>Failure of location &lt; E business impact?</t>
  </si>
  <si>
    <t>N2 hydraulic Accumulators</t>
  </si>
  <si>
    <t>Failure of location &lt; F business impact?</t>
  </si>
  <si>
    <t>Swivel/Turret Pipework</t>
  </si>
  <si>
    <t>Hard piping, PSVs, Valves, etc.</t>
  </si>
  <si>
    <t>Failure of location &lt;= G business impact?</t>
  </si>
  <si>
    <t>Flexible Hoses Required</t>
  </si>
  <si>
    <t>Turret Chain Table</t>
  </si>
  <si>
    <t>Anchor Mooring Leg</t>
  </si>
  <si>
    <t>Non-Financial Scenarios</t>
  </si>
  <si>
    <t>Non-financial flowchart</t>
  </si>
  <si>
    <t>Riser/Umbilical Installation and Maintenance System</t>
  </si>
  <si>
    <t>(hydraulic winch, wire rope, and HPU)</t>
  </si>
  <si>
    <t>Adjusting Mooring Chain Tension</t>
  </si>
  <si>
    <t>Non-financial impact &gt; E or regulatory req't &amp;&amp; Likelihood high</t>
  </si>
  <si>
    <t>Main Turret Bearing</t>
  </si>
  <si>
    <t>Grease Lubrication System (grease pump,</t>
  </si>
  <si>
    <t>Regulatory Requirement overrides?</t>
  </si>
  <si>
    <t>metering valves, injector divider valves, etc.)</t>
  </si>
  <si>
    <t>Main Bearing, Cover, Bearing Studs etc.</t>
  </si>
  <si>
    <t>P4-A</t>
  </si>
  <si>
    <t>Wellhead integrity</t>
  </si>
  <si>
    <t>Annulus Swab</t>
  </si>
  <si>
    <t>Annulus Master</t>
  </si>
  <si>
    <t>Crossover</t>
  </si>
  <si>
    <t>Production Swab</t>
  </si>
  <si>
    <t>Production Master</t>
  </si>
  <si>
    <t>Production Wing</t>
  </si>
  <si>
    <t>SCSSV</t>
  </si>
  <si>
    <t>P4-B</t>
  </si>
  <si>
    <t>Subsea Integrity</t>
  </si>
  <si>
    <t xml:space="preserve">Production Tree </t>
  </si>
  <si>
    <t xml:space="preserve">Gas Injection Tree </t>
  </si>
  <si>
    <t xml:space="preserve">Water Injection Tree </t>
  </si>
  <si>
    <t>Process Gas Pipeline</t>
  </si>
  <si>
    <t>Oil Production Pipeline</t>
  </si>
  <si>
    <t>Water Injection Pipeline</t>
  </si>
  <si>
    <t>Subsea Pig Launcher / Receiver</t>
  </si>
  <si>
    <t>Subsea Anchor Pile</t>
  </si>
  <si>
    <t>Subsea Buoyancy Tank</t>
  </si>
  <si>
    <t>Subsea Pipeline Crossing Support</t>
  </si>
  <si>
    <t>Subsea Electrical Flying Lead</t>
  </si>
  <si>
    <t>Subsea Electrical Junction Box</t>
  </si>
  <si>
    <t>Subsea Extension Umbilical</t>
  </si>
  <si>
    <t>Subsea Flowline Buckle Initiator</t>
  </si>
  <si>
    <t>Subsea Flowline Holdback Pile</t>
  </si>
  <si>
    <t>Subsea Production Flexible Riser</t>
  </si>
  <si>
    <t>Subsea Gas Injection Flexible Riser</t>
  </si>
  <si>
    <t>Subsea Water Injection Flexible Riser</t>
  </si>
  <si>
    <t>Subsea Service Flexible Riser</t>
  </si>
  <si>
    <t>Subsea Gas Injection Flexible Spur</t>
  </si>
  <si>
    <t>Subsea Water Injection Flexible Spur</t>
  </si>
  <si>
    <t>Subsea Production Flowline Termination Assembly</t>
  </si>
  <si>
    <t>Subsea Gas Injection Flowline Termination Assembly</t>
  </si>
  <si>
    <t>Subsea Water Injection Flowline Termination Assembly</t>
  </si>
  <si>
    <t>Subsea Service Flowline Termination Assembly</t>
  </si>
  <si>
    <t>Subsea Riser Gas Lift Module</t>
  </si>
  <si>
    <t>Subsea Distribution (Hydraulic Control) Unit</t>
  </si>
  <si>
    <t>Subsea Hydraulic/Chemical Flying Lead</t>
  </si>
  <si>
    <t>Subsea Main Umbilical</t>
  </si>
  <si>
    <t xml:space="preserve">Subsea Hydraulic Power Unit </t>
  </si>
  <si>
    <t xml:space="preserve">Subsea Control Panel </t>
  </si>
  <si>
    <t xml:space="preserve">Subsea Production Inline Tee Assembly </t>
  </si>
  <si>
    <t xml:space="preserve">Subsea Gas Injection Inline Tee Assembly </t>
  </si>
  <si>
    <t xml:space="preserve">Subsea Water Injection Inline Tee Assembly </t>
  </si>
  <si>
    <t xml:space="preserve">Subsea Service Inline Tee Assembly </t>
  </si>
  <si>
    <t>Subsea Infield Umbilical</t>
  </si>
  <si>
    <t>Subsea Master Control System</t>
  </si>
  <si>
    <t>Subsea Multiphase Flowmeter</t>
  </si>
  <si>
    <t xml:space="preserve">Subsea Manifold </t>
  </si>
  <si>
    <t>Subsea Anchor Pile (Manifold Support Structure)</t>
  </si>
  <si>
    <t>Subsea Manifold Support Structure</t>
  </si>
  <si>
    <t>Subsea Riser Tower Monitoring System</t>
  </si>
  <si>
    <t>Subsea Riser Tower</t>
  </si>
  <si>
    <t>Subsea Rigid Riser</t>
  </si>
  <si>
    <t>Subsea Riser Base</t>
  </si>
  <si>
    <t>Subsea Control Module</t>
  </si>
  <si>
    <t>Subsea Production Spool Piece</t>
  </si>
  <si>
    <t>Subsea Gas Injection Spool Piece</t>
  </si>
  <si>
    <t>Subsea Water Injection Spool Piece</t>
  </si>
  <si>
    <t>Subsea Service Spool Piece</t>
  </si>
  <si>
    <t>Subsea Umbilical</t>
  </si>
  <si>
    <t>Subsea Production Tree Jumper</t>
  </si>
  <si>
    <t>P4-C</t>
  </si>
  <si>
    <t>Process Containment Integrity</t>
  </si>
  <si>
    <t>All pressure retaining Equipment and pipework for service conditions greater than B16.5, Class 300</t>
  </si>
  <si>
    <t>All pressure retaining Equipment and pipework for highly toxic substances</t>
  </si>
  <si>
    <t>All pressure retaining Equipment and pipework with corrosion resistant linings</t>
  </si>
  <si>
    <t>All pressure retaining Equipment and pipework associated with fire water delivery systems</t>
  </si>
  <si>
    <t>Bilge and ballast pipework</t>
  </si>
  <si>
    <t>All other pressure Equipment and pipework</t>
  </si>
  <si>
    <t>Supports for criticality A pressure systems</t>
  </si>
  <si>
    <t>Insulation installed on criticality A pressure systems</t>
  </si>
  <si>
    <t>Painting on criticality A pressure systems</t>
  </si>
  <si>
    <t>Bolting on criticality A pressure systems</t>
  </si>
  <si>
    <t>All other supports, paint and bolting</t>
  </si>
  <si>
    <t>P4-D</t>
  </si>
  <si>
    <t>Gas Turbine Packages &amp; Hydrocarbon RE</t>
  </si>
  <si>
    <t>Gas Generator</t>
  </si>
  <si>
    <t>Alternators</t>
  </si>
  <si>
    <t>Power Turbine</t>
  </si>
  <si>
    <t>All  Casing joints, fittings and seals</t>
  </si>
  <si>
    <t>All Shaft Seals</t>
  </si>
  <si>
    <t>All coupling members</t>
  </si>
  <si>
    <t>Pressurized Enclosures</t>
  </si>
  <si>
    <t>Fire &amp; Gas System</t>
  </si>
  <si>
    <t>All Shaft Seals System Ancillaries</t>
  </si>
  <si>
    <t>Special Protection Systems (Surge Protection, Over Speed, Electrical Power Protection)</t>
  </si>
  <si>
    <t>All Protective Systems (Pressure, temperature, Vibration, NRV, PSVs)</t>
  </si>
  <si>
    <t>Auxiliaries like (cleaning system, control system, utilities)</t>
  </si>
  <si>
    <t>Non Hydrocarbon RE (air compressors, water and hydraulic pumps)</t>
  </si>
  <si>
    <t>Equipment and protective systems including all LOPC for fluid and power (mechanical destruction) (LOPC risk turquoise and below)</t>
  </si>
  <si>
    <t>Equipment and protective systems including all LOPC for fluid and power (mechanical destruction) (LOPC risk above turquoise)</t>
  </si>
  <si>
    <t>Diesel Driven Packages</t>
  </si>
  <si>
    <t>Diesel Engine</t>
  </si>
  <si>
    <t>All Fuel system Joints, Fittings and Seals</t>
  </si>
  <si>
    <t>All Safety Protective Systems (over speed, Mist Detection, Cooling Medium Temperature, etc.)</t>
  </si>
  <si>
    <t>All other Systems (governor, control, utilities, etc.)</t>
  </si>
  <si>
    <t>P4-E</t>
  </si>
  <si>
    <t>Oil Storage &amp; Offloading</t>
  </si>
  <si>
    <t>Export Booster Pumps</t>
  </si>
  <si>
    <t>Export Hose</t>
  </si>
  <si>
    <t>Marine Growth Prevention Equipment</t>
  </si>
  <si>
    <t>Cargo Tank Cleaning Systems</t>
  </si>
  <si>
    <t>Cargo &amp; Ballast Hydraulic Valve Control</t>
  </si>
  <si>
    <t>Marine Hydraulic systems (pumps, power units and storage tanks)</t>
  </si>
  <si>
    <t>Void Tank Gas Detection</t>
  </si>
  <si>
    <t>Void Tank Dehumidification systems</t>
  </si>
  <si>
    <t>Hydrocarbon Tanks</t>
  </si>
  <si>
    <t>Ballast Tanks</t>
  </si>
  <si>
    <t>Void Tanks</t>
  </si>
  <si>
    <t>P5-A</t>
  </si>
  <si>
    <t>Overpressure Protection</t>
  </si>
  <si>
    <t>PSV in hazardous or toxic duty</t>
  </si>
  <si>
    <t>PSV in non-hazardous, non-toxic service where pressure is above 50 barg</t>
  </si>
  <si>
    <t>PSV in non-hazardous, nontoxic service where fluid temperature is above 120 degrees Celsius</t>
  </si>
  <si>
    <t>PSV in non-hazardous, nontoxic service where inlet size 8” or above</t>
  </si>
  <si>
    <t>All other PSVs</t>
  </si>
  <si>
    <t>NRV credited in the sizing case for a PSV</t>
  </si>
  <si>
    <t>NRV that protects against any E+ severity event. For example, damage to Equipment</t>
  </si>
  <si>
    <t>NRVs where consequence/likelihood of failure combination leads to a turquoise risk</t>
  </si>
  <si>
    <t>All other NRVs</t>
  </si>
  <si>
    <t>ROs (or FOs) that restrict gas flow to flare</t>
  </si>
  <si>
    <t>ROs (or FOs) that restrict flow to a PSV</t>
  </si>
  <si>
    <t>ROs in pump recirculation lines</t>
  </si>
  <si>
    <t>Control valves credited in LOPA</t>
  </si>
  <si>
    <t>Bursting disks in hazardous or toxic duty</t>
  </si>
  <si>
    <t>Bursting disks protecting an HP/LP interface. For example, cases where a bursting disk is protecting the shell side of a heat exchanger in the event of tube rupture</t>
  </si>
  <si>
    <t>Bursting disk relieving directly to flare (i.e. no PSV downstream)</t>
  </si>
  <si>
    <t>Bursting disks located upstream of a PSV with the intent of protecting that PSV from fouling</t>
  </si>
  <si>
    <t>Same criticality as the PSV</t>
  </si>
  <si>
    <t>Other bursting disks</t>
  </si>
  <si>
    <t>Vacuum breakers that are part of barrier P4-E (Oil Storage and Offloading)</t>
  </si>
  <si>
    <t>Vacuum breakers in hazardous or toxic duty</t>
  </si>
  <si>
    <t>Other Vacuum breakers not covered by the descriptions above.</t>
  </si>
  <si>
    <t>Isolation valves where sealing integrity is essential to ensure planned maintenance of Equipment can be performed.</t>
  </si>
  <si>
    <t>Same criticality as Equipment being isolated.</t>
  </si>
  <si>
    <t>P5-B</t>
  </si>
  <si>
    <t>Blowdown vent and flare</t>
  </si>
  <si>
    <t>Blowdown valves in hazardous or toxic duty</t>
  </si>
  <si>
    <t>Blowdown valves in non-hazardous, nontoxic duty</t>
  </si>
  <si>
    <t>Bursting disks provided as an alternative means to relieve back pressure in the event of FOV failure. For example, bursting disks in flare XXV bypass lines</t>
  </si>
  <si>
    <t>FOVs in hazardous and non-toxic duty required to react within 2 seconds to prevent an overpressure ratio of &gt;=1.3</t>
  </si>
  <si>
    <t>All other FOVs</t>
  </si>
  <si>
    <t>HP Flare KO Drum</t>
  </si>
  <si>
    <t>HP Flare KO Drum Pumps (at a component level, align with P4-D)</t>
  </si>
  <si>
    <t>HP Flare KO Drum Heaters</t>
  </si>
  <si>
    <t>LP Flare KO Drum</t>
  </si>
  <si>
    <t>LP Flare KO Drum Pumps  (at a component level, align with P4-D)</t>
  </si>
  <si>
    <t>KO Drum systems that ensure that liquid droplets larger than 300 microns cannot carry to flare</t>
  </si>
  <si>
    <t>Flare tip ignition systems</t>
  </si>
  <si>
    <t>Flare system XXVs that are not covered under FOVs</t>
  </si>
  <si>
    <t>Flare tips</t>
  </si>
  <si>
    <t>Any Equipment that maintains the barrier between wet and dry fluids</t>
  </si>
  <si>
    <t>Vents in hazardous or toxic duty that are required to prevent overpressure ratio &gt;=1.3</t>
  </si>
  <si>
    <t>Other vents</t>
  </si>
  <si>
    <t>Equipment providing early indication of blockages within flare header</t>
  </si>
  <si>
    <t>Flare pipework and headers (align with barrier P4-C)</t>
  </si>
  <si>
    <t>P6-A</t>
  </si>
  <si>
    <t>Digital security</t>
  </si>
  <si>
    <t>Fire walls</t>
  </si>
  <si>
    <t>Remote access servers</t>
  </si>
  <si>
    <t>Architecture</t>
  </si>
  <si>
    <t>Staging servers for Anti-virus and OS patches</t>
  </si>
  <si>
    <t>Control systems - LoPs</t>
  </si>
  <si>
    <t>Transmitter, pressure and level switches, barrier, junction box, I/O card, controller card, communications card, Wiring Panels, system cable, motor/compressor/heater contactors and relays, control valves, Anti-surge valve, positioners, solenoids on control valves, ccc controller cards, network switches, HMI screens, UPS, Power cables, power supplies and power distribution.</t>
  </si>
  <si>
    <t xml:space="preserve">Control systems - non LoPs, LOPA initiating causes </t>
  </si>
  <si>
    <t>Transmitter, pressure and level switches, barrier, junction box, I/O card, controller card, communications card, Wiring Panels, system cable, control valves, positioners, network switches, HMI screens, UPS, Power cables, power supplies and power distribution.</t>
  </si>
  <si>
    <t>Control systems - all others</t>
  </si>
  <si>
    <t>P7-A</t>
  </si>
  <si>
    <t>SIS - LoP Components</t>
  </si>
  <si>
    <t>LoP Components:</t>
  </si>
  <si>
    <t>Transmitter, barrier, junction box, I/O card, communications card, logic solvers, system cable, motor/compressor contactors/heater and relays, shutdown valves, actuators, solenoids, XV valve HPU units, partial stroke testing Equipment, HMI screens, Wiring Panels, network switches, UPS, Power cables, power supplies and power distribution.</t>
  </si>
  <si>
    <t>Testing Equipment</t>
  </si>
  <si>
    <t>Shutdown Components: XXV valves, blow down valves, switches/push buttons</t>
  </si>
  <si>
    <t>SIS - Non LoP Components</t>
  </si>
  <si>
    <t>Transmitter, barrier, junction box, I/O card, communications card, logic solvers, system cable, motor/compressor contactors/heater and relays, shutdown valves, solenoids, XV valve HPU units, partial stroke testing Equipment, HMI screens, Wiring Panels, Shutdown switches, network switches, UPS, Power cables, power supplies and power distribution.</t>
  </si>
  <si>
    <t>P8</t>
  </si>
  <si>
    <t>Alarms &amp; operator response</t>
  </si>
  <si>
    <t>Transmitter, barrier, junction box, I/O card, controller card, system cable, network switches, VDU screens, Wiring Panels, UPS, power supplies and power distribution.</t>
  </si>
  <si>
    <t>P9-A</t>
  </si>
  <si>
    <t>Collision Prevention</t>
  </si>
  <si>
    <t>Nav Aids lights, sounders &amp; UPS systems</t>
  </si>
  <si>
    <t>P9-B</t>
  </si>
  <si>
    <t>Export tanker birthing and position monitoring</t>
  </si>
  <si>
    <t>Mooring Hawser and Load Monitoring</t>
  </si>
  <si>
    <t>Berthing System (TAOMS)</t>
  </si>
  <si>
    <t xml:space="preserve">M1-A </t>
  </si>
  <si>
    <t xml:space="preserve">Bunding, Open and Closed Hazardous Drains </t>
  </si>
  <si>
    <t xml:space="preserve">Tunn dishes / Drain Pans/Drip trays / Isolation valves / Bunds </t>
  </si>
  <si>
    <t xml:space="preserve">B </t>
  </si>
  <si>
    <t xml:space="preserve">Main Deck Coaming </t>
  </si>
  <si>
    <t xml:space="preserve">Open Hazardous Drains Water seals </t>
  </si>
  <si>
    <t xml:space="preserve">A </t>
  </si>
  <si>
    <t xml:space="preserve">Close drain Drum Alarms </t>
  </si>
  <si>
    <t xml:space="preserve">Close drain Drum heating system (heating Coil, instrumentation, insulation) </t>
  </si>
  <si>
    <t xml:space="preserve">Secondary containments </t>
  </si>
  <si>
    <t xml:space="preserve">Helideck Drainage </t>
  </si>
  <si>
    <t xml:space="preserve">Rodding </t>
  </si>
  <si>
    <t xml:space="preserve">M2-A </t>
  </si>
  <si>
    <t xml:space="preserve">Passive Fire Protection </t>
  </si>
  <si>
    <t xml:space="preserve">PFP where applied </t>
  </si>
  <si>
    <t xml:space="preserve">M2-B </t>
  </si>
  <si>
    <t xml:space="preserve">Blast Overpressure Protection </t>
  </si>
  <si>
    <t xml:space="preserve">Blast Walls </t>
  </si>
  <si>
    <t xml:space="preserve">Blast Doors </t>
  </si>
  <si>
    <t xml:space="preserve">M2-C </t>
  </si>
  <si>
    <t xml:space="preserve">Temporary refuge integrity </t>
  </si>
  <si>
    <t xml:space="preserve">External Temporary Refuge doors </t>
  </si>
  <si>
    <t xml:space="preserve">Internal Temporary Fire Refuge doors </t>
  </si>
  <si>
    <t xml:space="preserve">M3-A </t>
  </si>
  <si>
    <t xml:space="preserve">Alarm Annunciation System:  </t>
  </si>
  <si>
    <t xml:space="preserve">External Speakers 
Internal Speakers, 
Strobe Lights 
Indicator Lights
Alarm interface with Fire &amp; Gas 
Controllers </t>
  </si>
  <si>
    <t xml:space="preserve">Personnel Address (PA) System </t>
  </si>
  <si>
    <t xml:space="preserve">Amplifiers 
Controllers 
External Speakers 
Internal Speakers 
Beacons / Strobe Lights 
Indicator Lights </t>
  </si>
  <si>
    <t>M3-B</t>
  </si>
  <si>
    <t>Marine, Aircraft and Helicopter Radio System</t>
  </si>
  <si>
    <t>Antenna
Receiver/transmitter
Batteries Sat comms</t>
  </si>
  <si>
    <t>M3-C</t>
  </si>
  <si>
    <t>Emergency Power</t>
  </si>
  <si>
    <t xml:space="preserve">Emergency Generator </t>
  </si>
  <si>
    <t xml:space="preserve">Hull Generators </t>
  </si>
  <si>
    <t>Hull Generators (2 out of 3)</t>
  </si>
  <si>
    <t>UPS Systems</t>
  </si>
  <si>
    <t>M3-D</t>
  </si>
  <si>
    <t>Emergency Lighting</t>
  </si>
  <si>
    <t>Emergency Lighting - battery backed</t>
  </si>
  <si>
    <t>Emergency Lighting - supplied from Emergency Generator Switchboard</t>
  </si>
  <si>
    <t>Emergency Lighting - Emergency Hand Torches in switchgear rooms</t>
  </si>
  <si>
    <t>M4-A</t>
  </si>
  <si>
    <t>Ignition Prevention</t>
  </si>
  <si>
    <t>For Equipment in Zone 0 and Zone 1</t>
  </si>
  <si>
    <t>For Equipment in Zone 2</t>
  </si>
  <si>
    <t>Equipment that is required to remain energized in the event of an incident (e.g. Tannoy and beacon systems, emergency lighting, emergency generation etc).</t>
  </si>
  <si>
    <t>M4-B</t>
  </si>
  <si>
    <t>Inert Gas Blanketing</t>
  </si>
  <si>
    <t>IGG Generator</t>
  </si>
  <si>
    <t>IGG Generator Diesel Oil Supply Pumps</t>
  </si>
  <si>
    <t>Isolation valves on locked valve register</t>
  </si>
  <si>
    <t>M5-A</t>
  </si>
  <si>
    <t>Lifesaving Equipment</t>
  </si>
  <si>
    <t>Emergency escape breathing devices</t>
  </si>
  <si>
    <t>Grab bags and smoke hoods</t>
  </si>
  <si>
    <t>Lifejackets</t>
  </si>
  <si>
    <t>Lifebuoys</t>
  </si>
  <si>
    <t>Line-throwing Device</t>
  </si>
  <si>
    <t>Helicopter Crash Equipment</t>
  </si>
  <si>
    <t>Fireman Outfits</t>
  </si>
  <si>
    <t>Emergency Breathing Air Compressor</t>
  </si>
  <si>
    <t>Storage Containers</t>
  </si>
  <si>
    <t>M5-B</t>
  </si>
  <si>
    <t>Muster areas, escape and evacuation routes</t>
  </si>
  <si>
    <t>Station Bill</t>
  </si>
  <si>
    <t>Escape Routes</t>
  </si>
  <si>
    <t>Escape Route Doors</t>
  </si>
  <si>
    <t>Primary Muster Area</t>
  </si>
  <si>
    <t>Egress Routes</t>
  </si>
  <si>
    <t xml:space="preserve">Temporary Refuge Facilities - HVAC Equipment and Fire / Blast Dampers </t>
  </si>
  <si>
    <t>Alternative Muster Areas</t>
  </si>
  <si>
    <t>M5-C</t>
  </si>
  <si>
    <t>Lifeboats</t>
  </si>
  <si>
    <t>Hull, hatch seals, penetrations, shaft, shaft seals, cable glance or window seals, Structural and watertight integrity</t>
  </si>
  <si>
    <t>Clutch, steering, internal lighting, fuel tank, air bottles, emergency provisions and survival Equipment</t>
  </si>
  <si>
    <t>Release Mechanism</t>
  </si>
  <si>
    <t>Deluge, Engine</t>
  </si>
  <si>
    <t>VHF Radio</t>
  </si>
  <si>
    <t>Emergency Beacons</t>
  </si>
  <si>
    <t>M5-D</t>
  </si>
  <si>
    <t>Means of escape to sea</t>
  </si>
  <si>
    <t>Life-rafts</t>
  </si>
  <si>
    <t>Personal Davit Descent devices</t>
  </si>
  <si>
    <t>Embarkation Rope Ladders to Sea</t>
  </si>
  <si>
    <t>M5-E</t>
  </si>
  <si>
    <t>Helideck</t>
  </si>
  <si>
    <t>Helideck Landing Area Net  (as required)</t>
  </si>
  <si>
    <t>Perimeter Net - (Integrity inspections)</t>
  </si>
  <si>
    <t xml:space="preserve">Helideck Lights - Heliport Identification Lights (H) / Floodlights / Obstruction Lighting  </t>
  </si>
  <si>
    <t xml:space="preserve">Refueling Equipment - Aviation Fuel System &amp; Equipment (Heli-fuel transfer pumps /nozzles) / Fuel testing / inspections </t>
  </si>
  <si>
    <t>Firefighting Equipment (System) - including Foam  (as required)</t>
  </si>
  <si>
    <t>Helideck Equipment - Deck crew duties and helicopter Ops support</t>
  </si>
  <si>
    <t>Emergency Equipment - Helideck emergency response Equipment</t>
  </si>
  <si>
    <t>MET System (Meteorological Equipment) - On-board IMMS System</t>
  </si>
  <si>
    <t>M5-F</t>
  </si>
  <si>
    <t>Rescue &amp; Recovery Systems</t>
  </si>
  <si>
    <t>Place of Safety</t>
  </si>
  <si>
    <t>Man Overboard Alarm</t>
  </si>
  <si>
    <t>Fast Rescue craft</t>
  </si>
  <si>
    <t>M5-G</t>
  </si>
  <si>
    <t>Cranes</t>
  </si>
  <si>
    <t>Hoisting system</t>
  </si>
  <si>
    <t>Boom system</t>
  </si>
  <si>
    <t>Warning, recording &amp; measuring systems</t>
  </si>
  <si>
    <t>Structure</t>
  </si>
  <si>
    <t>Slewing system</t>
  </si>
  <si>
    <t>Hydraulic system</t>
  </si>
  <si>
    <t>Prime mover system</t>
  </si>
  <si>
    <t>Access &amp;  walkways</t>
  </si>
  <si>
    <t>Maintenance Equipment</t>
  </si>
  <si>
    <t>Lifting system</t>
  </si>
  <si>
    <t xml:space="preserve">Runway beams </t>
  </si>
  <si>
    <t xml:space="preserve">Gantry crane </t>
  </si>
  <si>
    <t>Lifeboat davit</t>
  </si>
  <si>
    <t>Life-raft davit</t>
  </si>
  <si>
    <t>General purpose/maintenance davit</t>
  </si>
  <si>
    <t>Winch (for lifting personnel)</t>
  </si>
  <si>
    <t>Winch (general purpose - not for lifting personnel)</t>
  </si>
  <si>
    <t>M6-A</t>
  </si>
  <si>
    <t xml:space="preserve"> Fire &amp; Gas systems</t>
  </si>
  <si>
    <t xml:space="preserve">Barrier, junction box, I/O card, communications card, logic solvers, system cable, shutdown valves,  solenoids, HMI screens, Wiring Panels, network switches, UPS, Power cables, power supplies and power distribution. </t>
  </si>
  <si>
    <t>Detectors: Flame, Flammable Gas, Heat, Oil Mist, Smoke, Personal Gas Detector
Manual call point
Testing Equipment
F&amp;G mimic panel</t>
  </si>
  <si>
    <t>M6-C</t>
  </si>
  <si>
    <t>Emergency Shutdown Systems</t>
  </si>
  <si>
    <t>XV/XXVs on emergency shutdown duty</t>
  </si>
  <si>
    <t>M6-D</t>
  </si>
  <si>
    <t>Riser ESDVs &amp; EIVs</t>
  </si>
  <si>
    <t>Export/Import/Injection Riser ESDVs (XXVs) &amp; actuators</t>
  </si>
  <si>
    <t>Umbilical emergency ESDVs (XXVs) &amp; actuators</t>
  </si>
  <si>
    <t>Injection Flowline EIVs (XV) &amp; actuators</t>
  </si>
  <si>
    <t xml:space="preserve">M7 </t>
  </si>
  <si>
    <t>Fire protection</t>
  </si>
  <si>
    <t>Firewater pumps (main and jockey), drivers, their controls and control panels</t>
  </si>
  <si>
    <t>Fixed firewater /foam monitors/hydrants/hose stations (supplementary fire-fighting system)</t>
  </si>
  <si>
    <t>Fixed firewater /foam monitors/hydrants/hose stations (primary fire-fighting system)</t>
  </si>
  <si>
    <t>Zone isolation valves</t>
  </si>
  <si>
    <r>
      <t>Sprinkler / Deluge Nozzle (</t>
    </r>
    <r>
      <rPr>
        <sz val="11"/>
        <color theme="1"/>
        <rFont val="Times New Roman"/>
        <family val="1"/>
      </rPr>
      <t>≥</t>
    </r>
    <r>
      <rPr>
        <sz val="11"/>
        <color theme="1"/>
        <rFont val="Calibri"/>
        <family val="2"/>
        <scheme val="minor"/>
      </rPr>
      <t>10 per zone)</t>
    </r>
  </si>
  <si>
    <t>Sprinkler / Deluge Nozzle (&lt;10 per zone)</t>
  </si>
  <si>
    <t>Pressure / level / flow instruments</t>
  </si>
  <si>
    <t>Control Valves</t>
  </si>
  <si>
    <t>Logic solvers</t>
  </si>
  <si>
    <t>Accommodation hydrants (main fire-fighting mechanism)</t>
  </si>
  <si>
    <t>Accommodation hydrants (if sprinkler system present)</t>
  </si>
  <si>
    <r>
      <t>Fusible plug / fusible loop (</t>
    </r>
    <r>
      <rPr>
        <sz val="11"/>
        <color theme="1"/>
        <rFont val="Times New Roman"/>
        <family val="1"/>
      </rPr>
      <t>≥</t>
    </r>
    <r>
      <rPr>
        <sz val="11"/>
        <color theme="1"/>
        <rFont val="Calibri"/>
        <family val="2"/>
        <scheme val="minor"/>
      </rPr>
      <t>3 per fire zone)</t>
    </r>
  </si>
  <si>
    <t>Fusible plug / fusible loop (&lt;3 per zone)</t>
  </si>
  <si>
    <t>M7-B</t>
  </si>
  <si>
    <t>Miscellaneous fire protection systems</t>
  </si>
  <si>
    <t>Hose reels, nozzles and portable fire monitors</t>
  </si>
  <si>
    <t>Mobile (wheeled) fire extinguishers</t>
  </si>
  <si>
    <t>Fixed CO2 Fire Extinguishing Systems</t>
  </si>
  <si>
    <t>Galley Fire Suppression System</t>
  </si>
  <si>
    <t>Water Mist Systems</t>
  </si>
  <si>
    <t>FailureCode</t>
  </si>
  <si>
    <t>Number found in ASSET-C WND</t>
  </si>
  <si>
    <t>SC_Impact</t>
  </si>
  <si>
    <t>EC_Impact</t>
  </si>
  <si>
    <t>PC_impact</t>
  </si>
  <si>
    <t>BC_Impact</t>
  </si>
  <si>
    <t>SC_Likelihood</t>
  </si>
  <si>
    <t>EC_Likelihood</t>
  </si>
  <si>
    <t>PC_Likelihood</t>
  </si>
  <si>
    <t>BC_Likelihood</t>
  </si>
  <si>
    <t>1-10</t>
  </si>
  <si>
    <t>Basis</t>
  </si>
  <si>
    <t>FA_CFBC</t>
  </si>
  <si>
    <t>CONTROL ROOM</t>
  </si>
  <si>
    <t>AGT</t>
  </si>
  <si>
    <t>FA_CFSGA</t>
  </si>
  <si>
    <t>ACCESS CONTROL GATE</t>
  </si>
  <si>
    <t>E08</t>
  </si>
  <si>
    <t>H02</t>
  </si>
  <si>
    <t>G04</t>
  </si>
  <si>
    <t>Final Criticality Code</t>
  </si>
  <si>
    <t>Calculation has been overriden?</t>
  </si>
  <si>
    <t>Replace this text with some comments if overriding the calculated code.  This cell is locked until the code is changed fromm the derived value below</t>
  </si>
  <si>
    <t>This can be manually overidden, by overwriting</t>
  </si>
  <si>
    <t>formula in K1, but comments to be supplied as justification</t>
  </si>
  <si>
    <t>Is this equipment an IPL in a LOPA?</t>
  </si>
  <si>
    <t xml:space="preserve">Telecommunications </t>
  </si>
  <si>
    <t xml:space="preserve">Class A Telecommunication UPS &amp; Shut down </t>
  </si>
  <si>
    <t xml:space="preserve">Electronic Muster System </t>
  </si>
  <si>
    <t>Locations sensors / badge readers 
Controllers &amp; Software
 Interconnecting cable plant and network 
Display screen and printers 
Personnel RFID badge devices</t>
  </si>
  <si>
    <t xml:space="preserve">Facility Emergency Telephone &amp; Hot line systems </t>
  </si>
  <si>
    <t xml:space="preserve">Facility radio system </t>
  </si>
  <si>
    <t xml:space="preserve">Telecommunication towers 
Hand held radios 
Base Stations 
Antennas 
Radio Repeaters 
System Controllers </t>
  </si>
  <si>
    <r>
      <t>All pressure retaining Equipment and pipework for hydrocarbons with flash point less than 52</t>
    </r>
    <r>
      <rPr>
        <vertAlign val="super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 xml:space="preserve"> C</t>
    </r>
  </si>
  <si>
    <r>
      <t>All pressure retaining Equipment and pipework operating at temperature greater than 120</t>
    </r>
    <r>
      <rPr>
        <vertAlign val="super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 xml:space="preserve"> C</t>
    </r>
  </si>
  <si>
    <t>a</t>
  </si>
  <si>
    <t>Number of Locations in failure code when defaults assigned:</t>
  </si>
  <si>
    <t>Comment on barrier selection</t>
  </si>
  <si>
    <t>Risk Matrix Assessment</t>
  </si>
  <si>
    <t>Criticality for CMMS Rules</t>
  </si>
  <si>
    <t>ABC Allocation Rules</t>
  </si>
  <si>
    <t>Risk Matrix Population Inputs</t>
  </si>
  <si>
    <t>Comment</t>
  </si>
  <si>
    <t>Functional location</t>
  </si>
  <si>
    <t>Function Location Description</t>
  </si>
  <si>
    <t>System No</t>
  </si>
  <si>
    <t>Tag Abbreviation</t>
  </si>
  <si>
    <t>Utilities System YorN</t>
  </si>
  <si>
    <t>E-SYSTEM-00</t>
  </si>
  <si>
    <t>GENERAL / NON SPECIFIC SYSTEM SYS 00</t>
  </si>
  <si>
    <t>00</t>
  </si>
  <si>
    <t>SYS</t>
  </si>
  <si>
    <t>E-SYSTEM-01</t>
  </si>
  <si>
    <t>RESERVED FOR SUBSEA USE</t>
  </si>
  <si>
    <t>01</t>
  </si>
  <si>
    <t>System Not in Use</t>
  </si>
  <si>
    <t>E-SYSTEM-02</t>
  </si>
  <si>
    <t>02</t>
  </si>
  <si>
    <t>E-SYSTEM-03</t>
  </si>
  <si>
    <t>03</t>
  </si>
  <si>
    <t>E-SYSTEM-04</t>
  </si>
  <si>
    <t>04</t>
  </si>
  <si>
    <t>E-SYSTEM-05</t>
  </si>
  <si>
    <t>CONTROL UMBILICALS AND HPU SYS 05</t>
  </si>
  <si>
    <t>05</t>
  </si>
  <si>
    <t>E-SYSTEM-06</t>
  </si>
  <si>
    <t>06</t>
  </si>
  <si>
    <t>E-SYSTEM-07</t>
  </si>
  <si>
    <t>07</t>
  </si>
  <si>
    <t>E-SYSTEM-08</t>
  </si>
  <si>
    <t>08</t>
  </si>
  <si>
    <t>E-SYSTEM-09</t>
  </si>
  <si>
    <t>09</t>
  </si>
  <si>
    <t>E-SYSTEM-10</t>
  </si>
  <si>
    <t>10</t>
  </si>
  <si>
    <t>E-SYSTEM-11</t>
  </si>
  <si>
    <t>11</t>
  </si>
  <si>
    <t>E-SYSTEM-12</t>
  </si>
  <si>
    <t>12</t>
  </si>
  <si>
    <t>E-SYSTEM-13</t>
  </si>
  <si>
    <t>SUBSEA - WELLHEAD AND TEST SEPARATOR</t>
  </si>
  <si>
    <t>13</t>
  </si>
  <si>
    <t>E-SYSTEM-14</t>
  </si>
  <si>
    <t>14</t>
  </si>
  <si>
    <t>E-SYSTEM-15</t>
  </si>
  <si>
    <t>15</t>
  </si>
  <si>
    <t>E-SYSTEM-16</t>
  </si>
  <si>
    <t>16</t>
  </si>
  <si>
    <t>E-SYSTEM-17</t>
  </si>
  <si>
    <t>17</t>
  </si>
  <si>
    <t>E-SYSTEM-18</t>
  </si>
  <si>
    <t>18</t>
  </si>
  <si>
    <t>E-SYSTEM-19</t>
  </si>
  <si>
    <t>19</t>
  </si>
  <si>
    <t>E-SYSTEM-20</t>
  </si>
  <si>
    <t>PROCESS SEPARATION SYS 20</t>
  </si>
  <si>
    <t>20</t>
  </si>
  <si>
    <t>E-SYSTEM-21</t>
  </si>
  <si>
    <t>PROCESS CONDENSATE HANDLING SYS 21</t>
  </si>
  <si>
    <t>21</t>
  </si>
  <si>
    <t>E-SYSTEM-22</t>
  </si>
  <si>
    <t>PROCESS RECEPTION SYS 22</t>
  </si>
  <si>
    <t>22</t>
  </si>
  <si>
    <t>E-SYSTEM-23</t>
  </si>
  <si>
    <t>PROCESS COMPRESSION MAIN</t>
  </si>
  <si>
    <t>23</t>
  </si>
  <si>
    <t>E-SYSTEM-24</t>
  </si>
  <si>
    <t>FLASH GAS COMPRESSION SYS 24</t>
  </si>
  <si>
    <t>24</t>
  </si>
  <si>
    <t>E-SYSTEM-25</t>
  </si>
  <si>
    <t>GAS TREATMENT SYS 25</t>
  </si>
  <si>
    <t>25</t>
  </si>
  <si>
    <t>E-SYSTEM-26</t>
  </si>
  <si>
    <t>RESERVED FOR ONSHORE USE</t>
  </si>
  <si>
    <t>26</t>
  </si>
  <si>
    <t>E-SYSTEM-27</t>
  </si>
  <si>
    <t>GAS EXPORT SYS 27</t>
  </si>
  <si>
    <t>27</t>
  </si>
  <si>
    <t>E-SYSTEM-28</t>
  </si>
  <si>
    <t>RICH MEG SYS 28</t>
  </si>
  <si>
    <t>28</t>
  </si>
  <si>
    <t>E-SYSTEM-29</t>
  </si>
  <si>
    <t>LEAN MEG SYS 29</t>
  </si>
  <si>
    <t>29</t>
  </si>
  <si>
    <t>E-SYSTEM-30</t>
  </si>
  <si>
    <t>MEG REGENERATION SYS 30</t>
  </si>
  <si>
    <t>30</t>
  </si>
  <si>
    <t>E-SYSTEM-31</t>
  </si>
  <si>
    <t>31</t>
  </si>
  <si>
    <t>E-SYSTEM-32</t>
  </si>
  <si>
    <t>32</t>
  </si>
  <si>
    <t>E-SYSTEM-33</t>
  </si>
  <si>
    <t>33</t>
  </si>
  <si>
    <t>E-SYSTEM-34</t>
  </si>
  <si>
    <t>34</t>
  </si>
  <si>
    <t>E-SYSTEM-35</t>
  </si>
  <si>
    <t>35</t>
  </si>
  <si>
    <t>E-SYSTEM-36</t>
  </si>
  <si>
    <t>36</t>
  </si>
  <si>
    <t>E-SYSTEM-37</t>
  </si>
  <si>
    <t>37</t>
  </si>
  <si>
    <t>E-SYSTEM-38</t>
  </si>
  <si>
    <t>38</t>
  </si>
  <si>
    <t>E-SYSTEM-39</t>
  </si>
  <si>
    <t>39</t>
  </si>
  <si>
    <t>E-SYSTEM-40</t>
  </si>
  <si>
    <t>LP FUEL GAS SYS 40</t>
  </si>
  <si>
    <t>40</t>
  </si>
  <si>
    <t>E-SYSTEM-41</t>
  </si>
  <si>
    <t>PROCESS - HP WET FLARE</t>
  </si>
  <si>
    <t>41</t>
  </si>
  <si>
    <t>E-SYSTEM-42</t>
  </si>
  <si>
    <t>PROCESS - HP FLARE</t>
  </si>
  <si>
    <t>42</t>
  </si>
  <si>
    <t>E-SYSTEM-43</t>
  </si>
  <si>
    <t>PROCESS - VENT AND BLOW DOWN</t>
  </si>
  <si>
    <t>43</t>
  </si>
  <si>
    <t>E-SYSTEM-44</t>
  </si>
  <si>
    <t>PROCESS - LP FLARE</t>
  </si>
  <si>
    <t>44</t>
  </si>
  <si>
    <t>E-SYSTEM-45</t>
  </si>
  <si>
    <t>UTILITIES - FUEL GAS</t>
  </si>
  <si>
    <t>45</t>
  </si>
  <si>
    <t>E-SYSTEM-46</t>
  </si>
  <si>
    <t>UTILITIES - FUEL GAS HP</t>
  </si>
  <si>
    <t>46</t>
  </si>
  <si>
    <t>E-SYSTEM-47</t>
  </si>
  <si>
    <t>CHEMICALS - METHANOL INJECTION</t>
  </si>
  <si>
    <t>47</t>
  </si>
  <si>
    <t>E-SYSTEM-48</t>
  </si>
  <si>
    <t>CHEMICALS - CORROSION INHIBITOR INJECTION</t>
  </si>
  <si>
    <t>48</t>
  </si>
  <si>
    <t>E-SYSTEM-49</t>
  </si>
  <si>
    <t>CHEMICALS - KINETIC INHIBITOR INJECTION</t>
  </si>
  <si>
    <t>49</t>
  </si>
  <si>
    <t>E-SYSTEM-50</t>
  </si>
  <si>
    <t>CHEMICALS - REVERSE EMULSION BREAKER</t>
  </si>
  <si>
    <t>50</t>
  </si>
  <si>
    <t>E-SYSTEM-51</t>
  </si>
  <si>
    <t>CHEMICAL INJECTION SYS 51</t>
  </si>
  <si>
    <t>51</t>
  </si>
  <si>
    <t>E-SYSTEM-52</t>
  </si>
  <si>
    <t>MEG CHEMICAL INJECTION SYS 52</t>
  </si>
  <si>
    <t>52</t>
  </si>
  <si>
    <t>E-SYSTEM-53</t>
  </si>
  <si>
    <t>POTABLE WATER SYS 53</t>
  </si>
  <si>
    <t>53</t>
  </si>
  <si>
    <t>E-SYSTEM-54</t>
  </si>
  <si>
    <t>UTILITY WATER SYS 54</t>
  </si>
  <si>
    <t>54</t>
  </si>
  <si>
    <t>E-SYSTEM-55</t>
  </si>
  <si>
    <t>CHEMICALS - MISCELLANEOUS</t>
  </si>
  <si>
    <t>55</t>
  </si>
  <si>
    <t>E-SYSTEM-56</t>
  </si>
  <si>
    <t>DRAINS - HAZARDOUS OPEN SYS 56</t>
  </si>
  <si>
    <t>56</t>
  </si>
  <si>
    <t>E-SYSTEM-57</t>
  </si>
  <si>
    <t>CLOSED DRAINS SYS 57</t>
  </si>
  <si>
    <t>57</t>
  </si>
  <si>
    <t>E-SYSTEM-58</t>
  </si>
  <si>
    <t>NON-HAZARDOUS OPEN DRAINS SYS 58</t>
  </si>
  <si>
    <t>58</t>
  </si>
  <si>
    <t>E-SYSTEM-59</t>
  </si>
  <si>
    <t>SANITARY WATER SYS 59</t>
  </si>
  <si>
    <t>59</t>
  </si>
  <si>
    <t>E-SYSTEM-60</t>
  </si>
  <si>
    <t>HOT OIL SYS 60</t>
  </si>
  <si>
    <t>60</t>
  </si>
  <si>
    <t>E-SYSTEM-61</t>
  </si>
  <si>
    <t>OXYGEN SCAVENGER SYS 61</t>
  </si>
  <si>
    <t>61</t>
  </si>
  <si>
    <t>E-SYSTEM-62</t>
  </si>
  <si>
    <t>DIESEL SYS 62</t>
  </si>
  <si>
    <t>62</t>
  </si>
  <si>
    <t>E-SYSTEM-63</t>
  </si>
  <si>
    <t>INSTRUMENT AIR SYS 63</t>
  </si>
  <si>
    <t>63</t>
  </si>
  <si>
    <t>E-SYSTEM-64</t>
  </si>
  <si>
    <t>INERT GAS SYS 64</t>
  </si>
  <si>
    <t>64</t>
  </si>
  <si>
    <t>E-SYSTEM-65</t>
  </si>
  <si>
    <t>PLANT/UTILITY AIR SYS 65</t>
  </si>
  <si>
    <t>65</t>
  </si>
  <si>
    <t>E-SYSTEM-66</t>
  </si>
  <si>
    <t>THERMAL OXIDIZER SYS 66</t>
  </si>
  <si>
    <t>66</t>
  </si>
  <si>
    <t>E-SYSTEM-67</t>
  </si>
  <si>
    <t>PRODUCED WATER SYS 67</t>
  </si>
  <si>
    <t>67</t>
  </si>
  <si>
    <t>E-SYSTEM-68</t>
  </si>
  <si>
    <t>68</t>
  </si>
  <si>
    <t>E-SYSTEM-69</t>
  </si>
  <si>
    <t>69</t>
  </si>
  <si>
    <t>E-SYSTEM-70</t>
  </si>
  <si>
    <t>70</t>
  </si>
  <si>
    <t>E-SYSTEM-71</t>
  </si>
  <si>
    <t>71</t>
  </si>
  <si>
    <t>E-SYSTEM-72</t>
  </si>
  <si>
    <t>72</t>
  </si>
  <si>
    <t>E-SYSTEM-73</t>
  </si>
  <si>
    <t>73</t>
  </si>
  <si>
    <t>E-SYSTEM-74</t>
  </si>
  <si>
    <t>74</t>
  </si>
  <si>
    <t>E-SYSTEM-75</t>
  </si>
  <si>
    <t>75</t>
  </si>
  <si>
    <t>E-SYSTEM-76</t>
  </si>
  <si>
    <t>ICSS - PROCESS AUTOMATION SYSTEM</t>
  </si>
  <si>
    <t>76</t>
  </si>
  <si>
    <t>E-SYSTEM-77</t>
  </si>
  <si>
    <t>ICSS - SAFETY INSTRUMENTED SYSTEM ESD</t>
  </si>
  <si>
    <t>77</t>
  </si>
  <si>
    <t>E-SYSTEM-78</t>
  </si>
  <si>
    <t>FIRE AND GAS DETECTION</t>
  </si>
  <si>
    <t>78</t>
  </si>
  <si>
    <t>E-SYSTEM-79</t>
  </si>
  <si>
    <t>SAFETY - FIRE FIGHTING</t>
  </si>
  <si>
    <t>79</t>
  </si>
  <si>
    <t>E-SYSTEM-80</t>
  </si>
  <si>
    <t>NORMAL POWER</t>
  </si>
  <si>
    <t>80</t>
  </si>
  <si>
    <t>E-SYSTEM-81</t>
  </si>
  <si>
    <t>FIRE WATER SYS 81</t>
  </si>
  <si>
    <t>81</t>
  </si>
  <si>
    <t>E-SYSTEM-82</t>
  </si>
  <si>
    <t>UTILITIES - SEWAGE SYSTEM</t>
  </si>
  <si>
    <t>82</t>
  </si>
  <si>
    <t>E-SYSTEM-83</t>
  </si>
  <si>
    <t>TELECOMS (GENERAL)</t>
  </si>
  <si>
    <t>83</t>
  </si>
  <si>
    <t>E-SYSTEM-84</t>
  </si>
  <si>
    <t>ESSENTIAL POWER</t>
  </si>
  <si>
    <t>84</t>
  </si>
  <si>
    <t>E-SYSTEM-85</t>
  </si>
  <si>
    <t>ESSENTIAL LIGTING AND SMALL POWER</t>
  </si>
  <si>
    <t>85</t>
  </si>
  <si>
    <t>E-SYSTEM-86</t>
  </si>
  <si>
    <t>TRACE HEATING</t>
  </si>
  <si>
    <t>86</t>
  </si>
  <si>
    <t>E-SYSTEM-87</t>
  </si>
  <si>
    <t>EMERGENCY POWER</t>
  </si>
  <si>
    <t>87</t>
  </si>
  <si>
    <t>E-SYSTEM-88</t>
  </si>
  <si>
    <t>UPS POWER</t>
  </si>
  <si>
    <t>88</t>
  </si>
  <si>
    <t>E-SYSTEM-89</t>
  </si>
  <si>
    <t>NORMAL LIGHTING AND SMALL POWER</t>
  </si>
  <si>
    <t>89</t>
  </si>
  <si>
    <t>E-SYSTEM-90</t>
  </si>
  <si>
    <t>EARTHING AND LIGHTING PROTECTION</t>
  </si>
  <si>
    <t>90</t>
  </si>
  <si>
    <t>E-SYSTEM-91</t>
  </si>
  <si>
    <t>POWER - MAIN GENERATION SYS 91</t>
  </si>
  <si>
    <t>91</t>
  </si>
  <si>
    <t>E-SYSTEM-92</t>
  </si>
  <si>
    <t>CATHODIC PROTECTION</t>
  </si>
  <si>
    <t>92</t>
  </si>
  <si>
    <t>E-SYSTEM-93</t>
  </si>
  <si>
    <t>POWER MANAGEMENT SYSTEM</t>
  </si>
  <si>
    <t>93</t>
  </si>
  <si>
    <t>E-SYSTEM-94</t>
  </si>
  <si>
    <t>UTILITIES - HVAC</t>
  </si>
  <si>
    <t>94</t>
  </si>
  <si>
    <t>E-SYSTEM-95</t>
  </si>
  <si>
    <t>ACCESS CONTROL</t>
  </si>
  <si>
    <t>95</t>
  </si>
  <si>
    <t>E-SYSTEM-96</t>
  </si>
  <si>
    <t>CCTV - SECURITY</t>
  </si>
  <si>
    <t>96</t>
  </si>
  <si>
    <t>E-SYSTEM-97</t>
  </si>
  <si>
    <t>LAN - VOIP</t>
  </si>
  <si>
    <t>97</t>
  </si>
  <si>
    <t>E-SYSTEM-98</t>
  </si>
  <si>
    <t>PAGA</t>
  </si>
  <si>
    <t>98</t>
  </si>
  <si>
    <t>E-SYSTEM-99</t>
  </si>
  <si>
    <t>RADIO SYSTEMS (INCLUDING SAT COM)</t>
  </si>
  <si>
    <t>99</t>
  </si>
  <si>
    <t>R-SYSTEM-00</t>
  </si>
  <si>
    <t>R-SYSTEM-01</t>
  </si>
  <si>
    <t>R-SYSTEM-02</t>
  </si>
  <si>
    <t>R-SYSTEM-03</t>
  </si>
  <si>
    <t>R-SYSTEM-04</t>
  </si>
  <si>
    <t>R-SYSTEM-05</t>
  </si>
  <si>
    <t>R-SYSTEM-06</t>
  </si>
  <si>
    <t>R-SYSTEM-07</t>
  </si>
  <si>
    <t>R-SYSTEM-08</t>
  </si>
  <si>
    <t>R-SYSTEM-09</t>
  </si>
  <si>
    <t>9</t>
  </si>
  <si>
    <t>R-SYSTEM-10</t>
  </si>
  <si>
    <t>R-SYSTEM-11</t>
  </si>
  <si>
    <t>R-SYSTEM-12</t>
  </si>
  <si>
    <t>R-SYSTEM-13</t>
  </si>
  <si>
    <t>R-SYSTEM-14</t>
  </si>
  <si>
    <t>R-SYSTEM-15</t>
  </si>
  <si>
    <t>R-SYSTEM-16</t>
  </si>
  <si>
    <t>R-SYSTEM-17</t>
  </si>
  <si>
    <t>R-SYSTEM-18</t>
  </si>
  <si>
    <t>R-SYSTEM-19</t>
  </si>
  <si>
    <t>R-SYSTEM-20</t>
  </si>
  <si>
    <t>R-SYSTEM-21</t>
  </si>
  <si>
    <t>R-SYSTEM-22</t>
  </si>
  <si>
    <t>R-SYSTEM-23</t>
  </si>
  <si>
    <t>R-SYSTEM-24</t>
  </si>
  <si>
    <t>R-SYSTEM-25</t>
  </si>
  <si>
    <t>R-SYSTEM-26</t>
  </si>
  <si>
    <t>R-SYSTEM-27</t>
  </si>
  <si>
    <t>R-SYSTEM-28</t>
  </si>
  <si>
    <t>R-SYSTEM-29</t>
  </si>
  <si>
    <t>R-SYSTEM-30</t>
  </si>
  <si>
    <t>R-SYSTEM-31</t>
  </si>
  <si>
    <t>R-SYSTEM-32</t>
  </si>
  <si>
    <t>R-SYSTEM-33</t>
  </si>
  <si>
    <t>R-SYSTEM-34</t>
  </si>
  <si>
    <t>R-SYSTEM-35</t>
  </si>
  <si>
    <t>R-SYSTEM-36</t>
  </si>
  <si>
    <t>R-SYSTEM-37</t>
  </si>
  <si>
    <t>R-SYSTEM-38</t>
  </si>
  <si>
    <t>R-SYSTEM-39</t>
  </si>
  <si>
    <t>R-SYSTEM-40</t>
  </si>
  <si>
    <t>R-SYSTEM-41</t>
  </si>
  <si>
    <t>R-SYSTEM-42</t>
  </si>
  <si>
    <t>R-SYSTEM-43</t>
  </si>
  <si>
    <t>R-SYSTEM-44</t>
  </si>
  <si>
    <t>R-SYSTEM-45</t>
  </si>
  <si>
    <t>R-SYSTEM-46</t>
  </si>
  <si>
    <t>R-SYSTEM-47</t>
  </si>
  <si>
    <t>R-SYSTEM-48</t>
  </si>
  <si>
    <t>R-SYSTEM-49</t>
  </si>
  <si>
    <t>R-SYSTEM-50</t>
  </si>
  <si>
    <t>R-SYSTEM-51</t>
  </si>
  <si>
    <t>R-SYSTEM-52</t>
  </si>
  <si>
    <t>R-SYSTEM-53</t>
  </si>
  <si>
    <t>R-SYSTEM-54</t>
  </si>
  <si>
    <t>R-SYSTEM-55</t>
  </si>
  <si>
    <t>R-SYSTEM-56</t>
  </si>
  <si>
    <t>R-SYSTEM-57</t>
  </si>
  <si>
    <t>R-SYSTEM-58</t>
  </si>
  <si>
    <t>R-SYSTEM-59</t>
  </si>
  <si>
    <t>R-SYSTEM-60</t>
  </si>
  <si>
    <t>R-SYSTEM-61</t>
  </si>
  <si>
    <t>R-SYSTEM-62</t>
  </si>
  <si>
    <t>R-SYSTEM-63</t>
  </si>
  <si>
    <t>R-SYSTEM-64</t>
  </si>
  <si>
    <t>R-SYSTEM-65</t>
  </si>
  <si>
    <t>R-SYSTEM-66</t>
  </si>
  <si>
    <t>R-SYSTEM-67</t>
  </si>
  <si>
    <t>R-SYSTEM-68</t>
  </si>
  <si>
    <t>R-SYSTEM-69</t>
  </si>
  <si>
    <t>R-SYSTEM-70</t>
  </si>
  <si>
    <t>R-SYSTEM-71</t>
  </si>
  <si>
    <t>R-SYSTEM-72</t>
  </si>
  <si>
    <t>R-SYSTEM-73</t>
  </si>
  <si>
    <t>R-SYSTEM-74</t>
  </si>
  <si>
    <t>R-SYSTEM-75</t>
  </si>
  <si>
    <t>R-SYSTEM-76</t>
  </si>
  <si>
    <t>R-SYSTEM-77</t>
  </si>
  <si>
    <t>R-SYSTEM-78</t>
  </si>
  <si>
    <t>R-SYSTEM-79</t>
  </si>
  <si>
    <t>R-SYSTEM-80</t>
  </si>
  <si>
    <t>R-SYSTEM-81</t>
  </si>
  <si>
    <t>R-SYSTEM-82</t>
  </si>
  <si>
    <t>R-SYSTEM-83</t>
  </si>
  <si>
    <t>R-SYSTEM-84</t>
  </si>
  <si>
    <t>R-SYSTEM-85</t>
  </si>
  <si>
    <t>R-SYSTEM-86</t>
  </si>
  <si>
    <t>R-SYSTEM-87</t>
  </si>
  <si>
    <t>R-SYSTEM-88</t>
  </si>
  <si>
    <t>R-SYSTEM-89</t>
  </si>
  <si>
    <t>R-SYSTEM-90</t>
  </si>
  <si>
    <t>R-SYSTEM-91</t>
  </si>
  <si>
    <t>R-SYSTEM-92</t>
  </si>
  <si>
    <t>R-SYSTEM-93</t>
  </si>
  <si>
    <t>R-SYSTEM-94</t>
  </si>
  <si>
    <t>R-SYSTEM-95</t>
  </si>
  <si>
    <t>R-SYSTEM-96</t>
  </si>
  <si>
    <t>R-SYSTEM-97</t>
  </si>
  <si>
    <t>R-SYSTEM-98</t>
  </si>
  <si>
    <t>R-SYSTEM-99</t>
  </si>
  <si>
    <t>Object type2</t>
  </si>
  <si>
    <t>UMCL PLUS</t>
  </si>
  <si>
    <t>ISO CODE</t>
  </si>
  <si>
    <t>SIL Input</t>
  </si>
  <si>
    <t>SIL Output</t>
  </si>
  <si>
    <t>SIS Tag Abbreviation</t>
  </si>
  <si>
    <t>Discipline</t>
  </si>
  <si>
    <t>E-VG-29-069</t>
  </si>
  <si>
    <t>RELIEF</t>
  </si>
  <si>
    <t>FA_PEG</t>
  </si>
  <si>
    <t>VALID</t>
  </si>
  <si>
    <t>2114</t>
  </si>
  <si>
    <t>PICA</t>
  </si>
  <si>
    <t>PIPING</t>
  </si>
  <si>
    <t>R-27-HV-1458</t>
  </si>
  <si>
    <t>16IN BALL VALVE PROCESS CONDENSATE FOR PRESSURE DIFFERENTIAL TRANSMITTER BRIDLE R27PDT110A FROM A2721A ONSHORE GAS COMP AIR COOLER TO SUCTION DISCHARGE INTERCHANGER E2721</t>
  </si>
  <si>
    <t>FA_PEVB</t>
  </si>
  <si>
    <t>1722</t>
  </si>
  <si>
    <t>VABA</t>
  </si>
  <si>
    <t>MECH</t>
  </si>
  <si>
    <t>R-27-HV-1462</t>
  </si>
  <si>
    <t>E-VG-29-005</t>
  </si>
  <si>
    <t>E47XZV055</t>
  </si>
  <si>
    <t>2IN SIS ON-OFF VALVE WITH DVC METHANOL FROM OFFSHORE METHANOL INJECTION PUMPS P-4703A/B ON OFFSHORE METHANOL INJECTION PACKAGE E-X-4703 TO GIZA-FAYOUM UMBILICAL TERMINATION UNIT</t>
  </si>
  <si>
    <t>1731</t>
  </si>
  <si>
    <t>VCGN</t>
  </si>
  <si>
    <t>X</t>
  </si>
  <si>
    <t>INST</t>
  </si>
  <si>
    <t>E21TZT083</t>
  </si>
  <si>
    <t>TEMPERATURE SAFETY TRANSMITTER HYDROCARBON GAS FROM CONDENSATE STABILISER COLUMN E-V-2103 TO LP FLASH GAS COMPRESSOR SUCTION DRUM E-V-2411/2</t>
  </si>
  <si>
    <t>FA_INDMT</t>
  </si>
  <si>
    <t>1905</t>
  </si>
  <si>
    <t>PSTT</t>
  </si>
  <si>
    <t>ELEC</t>
  </si>
  <si>
    <t>F&amp;G</t>
  </si>
  <si>
    <t>HVAC</t>
  </si>
  <si>
    <t>N/A</t>
  </si>
  <si>
    <t>SAFETY</t>
  </si>
  <si>
    <t>STRUCTURE</t>
  </si>
  <si>
    <t>TBC</t>
  </si>
  <si>
    <t>TELE</t>
  </si>
  <si>
    <t>Test table for loading disciplines</t>
  </si>
  <si>
    <t>GES only allows for high criticality control rooms.  Monthlycomfort check &amp; 4yrly inspection</t>
  </si>
  <si>
    <t>E-60-HV-6115</t>
  </si>
  <si>
    <t>2IN GATE VALVE HOT OIL FROM HOT OIL CIRCULATION PUMPS E-P-6002A AND HOT OIL START UP PUMP E-P-6001 TO HOT OIL UNDERGROUND DRAIN DRUM E-V-6003 (NC)</t>
  </si>
  <si>
    <t>FA_PEVG</t>
  </si>
  <si>
    <t>1729</t>
  </si>
  <si>
    <t>VAGA</t>
  </si>
  <si>
    <t>E24TT532A</t>
  </si>
  <si>
    <t>TEMPERATURE TRANSMITTER ON COMPRESSOR MOTOR WINDING W PHASE E-KM-2411 IN LP FLASH GAS COMPRESSOR PACKAGE TRAIN 1-COMPRESSOR AND ACCESSORY E-X-2411</t>
  </si>
  <si>
    <t>E24TT530A</t>
  </si>
  <si>
    <t>TEMPERATURE TRANSMITTER ON COMPRESSOR MOTOR WINDING V PHASE E-KM-2411 IN LP FLASH GAS COMPRESSOR PACKAGE TRAIN 1-COMPRESSOR AND ACCESSORY E-X-2411</t>
  </si>
  <si>
    <t>E24TT528A</t>
  </si>
  <si>
    <t>TEMPERATURE TRANSMITTER ON COMPRESSOR MOTOR WINDING U PHASE E-KM-2411 IN LP FLASH GAS COMPRESSOR PACKAGE TRAIN 1-COMPRESSOR AND ACCESSORY E-X-2411</t>
  </si>
  <si>
    <t>E24TT528B</t>
  </si>
  <si>
    <t>TEMPERATURE TRANSMITTER ON COMPRESSOR MOTOR WINDING U PHASE E-KM-2421 IN LP FLASH GAS COMPRESSOR PACKAGE TRAIN 2-COMPRESSOR AND ACCESSORY E-X-2421</t>
  </si>
  <si>
    <t>E-24-HV-6539-DUP1</t>
  </si>
  <si>
    <t>2IN BALL VALVE ON LEAKAGE TANK DRAIN AND VENT DISTANCE PIECE E-TK-2414 FOR LEVEL GAUGE E24LG222A IN FLASH GAS COMPRESSOR PACKAGE TRAIN 1-PURGE AND VENT GAS SYSTEM DISTANCE PIECE E-X-2411</t>
  </si>
  <si>
    <t>DUP</t>
  </si>
  <si>
    <t>E-24-HV-6539-DUP2</t>
  </si>
  <si>
    <t>2IN BALL VALVE ON LEAKAGE TANK DRAIN AND VENT DISTANCE PIECE E-TK-2424 FOR LEVEL GAUGE E24LG222A IN FLASH GAS COMPRESSOR PACKAGE TRAIN 2-PURGE AND VENT GAS SYSTEM DISTANCE PIECE E-X-2421</t>
  </si>
  <si>
    <t>E-24-HV-6538-DUP1</t>
  </si>
  <si>
    <t>E-24-HV-6538-DUP2</t>
  </si>
  <si>
    <t>E24PDT153B</t>
  </si>
  <si>
    <t>PRESSURE DIFFERENTIAL TRANSMITTER WITH MANIFOLD ON LUBE OIL FILTER E-FL-2421A/B IN LP FLASH GAS COMPRESSOR PACKAGE TRAIN 2-LUBE OIL SYSTEM E-X-2421</t>
  </si>
  <si>
    <t>PSPT</t>
  </si>
  <si>
    <t>R-27-HV-1279</t>
  </si>
  <si>
    <t>BALL VALVE HYDROCARBON GAS FROM ONSHORE GAS COMPRESSOR SUCTION DRUM V-2721B TO ONSHORE GAS COMPRESSOR AIR COOLER A-2721B FOR PRESSURE TRANSMITTER ISOLATION R27PT119B2 (LO)</t>
  </si>
  <si>
    <t>R-27-HV-1280</t>
  </si>
  <si>
    <t>BALL VALVE HYDROCARBON GAS FROM ONSHORE GAS COMPRESSOR SUCTION DRUM V-2721B TO ONSHORE GAS COMPRESSOR AIR COOLER A-2721B FOR PRESSURE TRANSMITTER ISOLATION R27PT119B3 (LO)</t>
  </si>
  <si>
    <t>E-VG-30-048</t>
  </si>
  <si>
    <t>E-DO-81-020</t>
  </si>
  <si>
    <t>DRAINS</t>
  </si>
  <si>
    <t>E-VG-30-049</t>
  </si>
  <si>
    <t>E46PV020B</t>
  </si>
  <si>
    <t>3IN PRESSURE CONTROL VALVE WITH FF POSITIONER FUEL GAS FROM RAVEN TREATED GAS FILTERS E-FL-2512A/B, E-FL-2522A/B, BUY BACK GAS SYSTEM TO HP FUEL GAS KO DRUM E-V-4601 (FLDO)</t>
  </si>
  <si>
    <t>FA_PEVL</t>
  </si>
  <si>
    <t>1730</t>
  </si>
  <si>
    <t>VAGL</t>
  </si>
  <si>
    <t>E21PZT084</t>
  </si>
  <si>
    <t>PRESSURE SAFETY TRANSMITTER HYDROCARBON GAS FROM CONDENSATE STABILISER COLUMN E-V-2103 TO LP FLASH GAS COMPRESSOR SUCTION DRUM E-V-2411/2</t>
  </si>
  <si>
    <t>TXGA</t>
  </si>
  <si>
    <t>E30TZT370</t>
  </si>
  <si>
    <t>TEMPERATURE SAFETY TRANSMITTER FROM MEG FLASH SEPARATOR CIRCULATION PUMP E-P-3005A/B TO MEG FLASH SEPARATOR HEATER E-HX-3002</t>
  </si>
  <si>
    <t>Functional Location</t>
  </si>
  <si>
    <t>Functional Loccation Description</t>
  </si>
  <si>
    <t>Status</t>
  </si>
  <si>
    <t>UMCLplus</t>
  </si>
  <si>
    <t>ISOcode</t>
  </si>
  <si>
    <t>isSIL</t>
  </si>
  <si>
    <t>isSIS</t>
  </si>
  <si>
    <t>discipline</t>
  </si>
  <si>
    <t>SystemID</t>
  </si>
  <si>
    <t>Risks(Safety)</t>
  </si>
  <si>
    <t>Risks(Environment)</t>
  </si>
  <si>
    <t>Risks(Production)</t>
  </si>
  <si>
    <t>Risks(Business)</t>
  </si>
  <si>
    <t>Justification</t>
  </si>
  <si>
    <t>GFR-SUBSEA-SSCS</t>
  </si>
  <si>
    <t>SUBSEA CONTROL SYSTEMS</t>
  </si>
  <si>
    <t>FA_SYLH</t>
  </si>
  <si>
    <t>GFR-GAS-PR-GTT1</t>
  </si>
  <si>
    <t>GAS TREATMENT TRAIN 1 RAVEN</t>
  </si>
  <si>
    <t>GFR-GAS-PR-GTT2</t>
  </si>
  <si>
    <t>GAS TREATMENT TRAIN 2 RAVEN</t>
  </si>
  <si>
    <t>GFR-GAS-PR-GEA</t>
  </si>
  <si>
    <t>GAS EXPORT TRAIN A GIZA FAYOUM</t>
  </si>
  <si>
    <t>GFR-GAS-PR-GEB</t>
  </si>
  <si>
    <t>GAS EXPORT TRAIN B GIZA FAYOUM</t>
  </si>
  <si>
    <t>GFR-COMMS-TELE-RS</t>
  </si>
  <si>
    <t>RADIO SYSTEM (INCLUDING SAT COM)</t>
  </si>
  <si>
    <t>GFR-COMMS-TELE-CCTV</t>
  </si>
  <si>
    <t>GFR-COMMS-TELE-AC</t>
  </si>
  <si>
    <t>GFR-COMMS-TELE-NW</t>
  </si>
  <si>
    <t>LAN - VOIP NETWORK</t>
  </si>
  <si>
    <t>GFR-COMMS-TELE-PA</t>
  </si>
  <si>
    <t>PUBLIC ADDRESS AND GENERAL ALARM (PAGA)</t>
  </si>
  <si>
    <t>GFR-RELIEF-HPWF</t>
  </si>
  <si>
    <t>HP WET FLARE</t>
  </si>
  <si>
    <t>GFR-UTIL-FGLP</t>
  </si>
  <si>
    <t>FUEL GAS LP</t>
  </si>
  <si>
    <t>GFR-UTIL-FGHP</t>
  </si>
  <si>
    <t>FUEL GAS HP</t>
  </si>
  <si>
    <t>GFR-UTIL-MPM</t>
  </si>
  <si>
    <t>MAIN POWER MANAGEMENT SYSTEM</t>
  </si>
  <si>
    <t>GFR-SAFETY-EMPL</t>
  </si>
  <si>
    <t>EMERGENCY POWER AND LIGHTING</t>
  </si>
  <si>
    <t>GFR-SAFETY-ESPL</t>
  </si>
  <si>
    <t>ESSENTIAL POWER AND LIGHTING</t>
  </si>
  <si>
    <t>GFR-UTIL-MRSI-RICH</t>
  </si>
  <si>
    <t>RICH MEG REGEN, STORAGE AND INJECTION</t>
  </si>
  <si>
    <t>GFR-UTIL-MRSI-LEAN</t>
  </si>
  <si>
    <t>LEAN MEG REGEN, STORAGE AND INJECTION</t>
  </si>
  <si>
    <t>GFR-UTIL-CHEM-MEIN</t>
  </si>
  <si>
    <t>CHEMICAL METHANOL INJECTION</t>
  </si>
  <si>
    <t>GFR-UTIL-CHEM-REBR</t>
  </si>
  <si>
    <t>CHEMICAL REVERSE EMULSION BREAKER</t>
  </si>
  <si>
    <t>GFR-UTIL-CHEM-OXSC</t>
  </si>
  <si>
    <t>CHEMICAL OXYGEN SCAVENGER</t>
  </si>
  <si>
    <t>GFR-UTIL-CHEM-MCIN</t>
  </si>
  <si>
    <t>MEG CHEMICAL INJECTION</t>
  </si>
  <si>
    <t>GFR-UTIL-CHEM-KIIN</t>
  </si>
  <si>
    <t>KINETIC INHIBITOR INJECTION</t>
  </si>
  <si>
    <t>GFR-UTIL-CHEM-CIIN</t>
  </si>
  <si>
    <t>CORROSION INHIBITOR INJECTION</t>
  </si>
  <si>
    <t>GFR-UTIL-CHEM-MISC</t>
  </si>
  <si>
    <t>E-KAM-2411</t>
  </si>
  <si>
    <t>FLASH GAS COMPRESSOR BARRING DEVICE ELECTRIC MOTOR IN LP FLASH GAS COMPRESSOR PACKAGE TRAIN 1-COMPRESSOR AND ACCESSORY E-X-2411</t>
  </si>
  <si>
    <t>FA_EECMI</t>
  </si>
  <si>
    <t>EMAC</t>
  </si>
  <si>
    <t>E6</t>
  </si>
  <si>
    <t>H6</t>
  </si>
  <si>
    <t>F6</t>
  </si>
  <si>
    <t>MAH Barrier: For Equipment in Zone 2; MAH comment: Assumed to be zone 2 until indicated otherwise; IPL/LOPA = No; Regulatory override = No</t>
  </si>
  <si>
    <t>R-ETR-8003A</t>
  </si>
  <si>
    <t>690V/420V TRANSFORMER 800 KVA DZN0 Z=4% OFF-CIRCUIT TAP CHANGER +-5% IN 2.5% STEPS, KNAN (SILICONE OIL) HERMAT SEALED TYPE</t>
  </si>
  <si>
    <t>FA_EETFW</t>
  </si>
  <si>
    <t>PTOT</t>
  </si>
  <si>
    <t>H4</t>
  </si>
  <si>
    <t>F4</t>
  </si>
  <si>
    <t>MAH Barrier: For Equipment in Zone 2; MAH comment: De-escalate outside Hazardous zones; IPL/LOPA = No; Regulatory override = No</t>
  </si>
  <si>
    <t>R-ETR-8003B</t>
  </si>
  <si>
    <t>E-PM-2101A-ECS01</t>
  </si>
  <si>
    <t>EMERGENCY STOP SWITCH CONTROL STATION IN CONDENSATE TREATMENT AND FLASH GAS COMPRESSOR AREA ABOVE GROUND CABLE ROUTING LAYOUT</t>
  </si>
  <si>
    <t>FA_EEPS</t>
  </si>
  <si>
    <t>SWSS</t>
  </si>
  <si>
    <t>MAH Barrier: Transmitter, pressure and level switches, barrier, junction box, I/O card, controller card, communications card, Wiring Panels, system cable, control valves, positioners, network switches, HMI screens, UPS, Power cables, power supplies and power distribution.; MAH comment: None allocated, tested each time you use it, so fix on fail in practice?; IPL/LOPA = No; Regulatory override = No</t>
  </si>
  <si>
    <t>E-PM-2101B-ECS01</t>
  </si>
  <si>
    <t>E-PM-2102A-ECS01</t>
  </si>
  <si>
    <t>E-PM-2102B-ECS01</t>
  </si>
  <si>
    <t>E-PM-2103A-ECS01</t>
  </si>
  <si>
    <t>E-PM-2103B-ECS01</t>
  </si>
  <si>
    <t>R-ETR-8002A</t>
  </si>
  <si>
    <t>3.3KV/720V TRANSFORMER 2500KVA, DUN11,Z6%, OFF-CIRCUIT TAP CHANGER +-5% IN 2.5% STEPS, KNAN(SILICONE OIL), HERM SEALED TYPE</t>
  </si>
  <si>
    <t>R-ETR-8002B</t>
  </si>
  <si>
    <t>E-PM-4704B-ECS01</t>
  </si>
  <si>
    <t>EMERGENCY STOP SWITCH CONTROL STATION IN BUTU/HPU, METHANOL STORAGE AND INTERCONNECTING PIPERACK A/G CABLE ROUTING LAYOUT</t>
  </si>
  <si>
    <t>E-PM-4703B-ECS01</t>
  </si>
  <si>
    <t>E-PM-4704A-ECS01</t>
  </si>
  <si>
    <t>E-PM-4703A-ECS01</t>
  </si>
  <si>
    <t>E-PM-5101B-ECS01</t>
  </si>
  <si>
    <t>E-PM-5101A-ECS01</t>
  </si>
  <si>
    <t>E-PM-5107A-ECS01</t>
  </si>
  <si>
    <t>E-PM-5107B-ECS01</t>
  </si>
  <si>
    <t>E-PM-5105A-ECS01</t>
  </si>
  <si>
    <t>E-PM-5105B-ECS01</t>
  </si>
  <si>
    <t>E-PM-5110A-ECS01</t>
  </si>
  <si>
    <t>E-PM-5110B-ECS01</t>
  </si>
  <si>
    <t>E-PM-4702B-ECS01</t>
  </si>
  <si>
    <t>E-PM-4702A-ECS01</t>
  </si>
  <si>
    <t>E-PM-4705B-ECS01</t>
  </si>
  <si>
    <t>E-PM-4705A-ECS01</t>
  </si>
  <si>
    <t>E-EEP-012</t>
  </si>
  <si>
    <t>EARTH ELECTRODE WITH INSPECTION PIT IN BUTU/HPU, METHANOL STORAGE AND INTERCONNECTING PIPERACK A/G CABLE ROUTING LAYOUT</t>
  </si>
  <si>
    <t>FA_EEPNE</t>
  </si>
  <si>
    <t>EBEL</t>
  </si>
  <si>
    <t>G6</t>
  </si>
  <si>
    <t>MAH Barrier: Transmitter, pressure and level switches, barrier, junction box, I/O card, controller card, communications card, Wiring Panels, system cable, control valves, positioners, network switches, HMI screens, UPS, Power cables, power supplies and power distribution.; MAH comment: Criticality makes no difference to GES task scehduling; IPL/LOPA = No; Regulatory override = No</t>
  </si>
  <si>
    <t>E-EEH-9112A</t>
  </si>
  <si>
    <t>IMMERSION HEATER FOR EXTINGUISHANT CABINET HEATER 1 IN SGT-200 SINGLE SHAFT E-X-9111 EXTINGUISHANT BOTTLE RACK SYSTEM</t>
  </si>
  <si>
    <t>FA_EECH</t>
  </si>
  <si>
    <t>HBEH</t>
  </si>
  <si>
    <t>MAH Barrier: All pressure retaining Equipment and pipework for hydrocarbons with flash point less than 52o C; MAH comment: For Process heaters; IPL/LOPA = No; Regulatory override = No</t>
  </si>
  <si>
    <t>E-EEH-9122A</t>
  </si>
  <si>
    <t>IMMERSION HEATER FOR EXTINGUISHANT CABINET HEATER 1 IN SGT-200 SINGLE SHAFT E-X-9121 EXTINGUISHANT BOTTLE RACK SYSTEM</t>
  </si>
  <si>
    <t>E-EEH-9132A</t>
  </si>
  <si>
    <t>IMMERSION HEATER FOR EXTINGUISHANT CABINET HEATER 1 IN SGT-200 SINGLE SHAFT E-X-9131 EXTINGUISHANT BOTTLE RACK SYSTEM</t>
  </si>
  <si>
    <t>E-EEH-9142A</t>
  </si>
  <si>
    <t>IMMERSION HEATER FOR EXTINGUISHANT CABINET HEATER 1 IN SGT-200 SINGLE SHAFT E-X-9141 EXTINGUISHANT BOTTLE RACK SYSTEM</t>
  </si>
  <si>
    <t>E-EDB-8509</t>
  </si>
  <si>
    <t>ESSENTIAL DISTRIBUTION BOARD IN CONDENSATE TREATMENT AND FLASH GAS COMPRESSOR AREA ABOVE GROUND CABLE ROUTING LAYOUT</t>
  </si>
  <si>
    <t>FA_EETW</t>
  </si>
  <si>
    <t>SG__</t>
  </si>
  <si>
    <t>MAH Barrier: Transmitter, pressure and level switches, barrier, junction box, I/O card, controller card, communications card, Wiring Panels, system cable, control valves, positioners, network switches, HMI screens, UPS, Power cables, power supplies and power distribution.; MAH comment: None allocated, escalate for any emergency systems; IPL/LOPA = No; Regulatory override = No</t>
  </si>
  <si>
    <t>E-ECB-8802C</t>
  </si>
  <si>
    <t>MCCB FOR CONNECTING BATTERY BANK E-EBA-8802A/B IN CCB/LER 1 ELECTRICAL SWITCHROOM/UPS AND BATTERY ROOM ARRANGEMENT</t>
  </si>
  <si>
    <t>FA_EEPBA</t>
  </si>
  <si>
    <t>ESCB</t>
  </si>
  <si>
    <t>MAH Barrier: Equipment that is required to remain energized in the event of an incident (e.g. Tannoy and beacon systems, emergency lighting, emergency generation etc).; MAH comment: Emergency circuits; IPL/LOPA = No; Regulatory override = No</t>
  </si>
  <si>
    <t>E-ECB-8804C</t>
  </si>
  <si>
    <t>MCCB FOR CONNECTING BATTERY BANK E-EBA-8804A/B IN CCB/LER 1 ELECTRICAL SWITCHROOM/UPS AND BATTERY ROOM ARRANGEMENT</t>
  </si>
  <si>
    <t>E-KEM-2414A</t>
  </si>
  <si>
    <t>LUBE OIL AND COOLING WATER COOLER FAN A MOTOR TRAIN 1 IN FLASH GAS COMPRESSOR PACKAGE-AIR COOLER SYSTEM E-X-2411</t>
  </si>
  <si>
    <t>E-KEM-2414B</t>
  </si>
  <si>
    <t>LUBE OIL AND COOLING WATER COOLER FAN B MOTOR TRAIN 1 IN FLASH GAS COMPRESSOR PACKAGE-AIR COOLER SYSTEM E-X-2411</t>
  </si>
  <si>
    <t>E-KEM-2414C</t>
  </si>
  <si>
    <t>LUBE OIL AND COOLING WATER COOLER FAN C MOTOR TRAIN 1 IN FLASH GAS COMPRESSOR PACKAGE-AIR COOLER SYSTEM E-X-2411</t>
  </si>
  <si>
    <t>E-KEM-2424A</t>
  </si>
  <si>
    <t>LUBE OIL AND COOLING WATER COOLER FAN A MOTOR TRAIN 2 IN FLASH GAS COMPRESSOR PACKAGE-AIR COOLER SYSTEM E-X-2421</t>
  </si>
  <si>
    <t>E-KEM-2424B</t>
  </si>
  <si>
    <t>LUBE OIL AND COOLING WATER COOLER FAN B MOTOR TRAIN 2 IN FLASH GAS COMPRESSOR PACKAGE-AIR COOLER SYSTEM E-X-2421</t>
  </si>
  <si>
    <t>E-KEM-2424C</t>
  </si>
  <si>
    <t>LUBE OIL AND COOLING WATER COOLER FAN C MOTOR TRAIN 2 IN FLASH GAS COMPRESSOR PACKAGE-AIR COOLER SYSTEM E-X-2421</t>
  </si>
  <si>
    <t>E-KFM-6001-ECS01</t>
  </si>
  <si>
    <t>EMERGENCY STOP SWITCH CONTROL STATION IN UTILITY AREA HOT OIL THERMAL OXIDISER FUEL GAS A/G CABLE ROUTING LAYOUT</t>
  </si>
  <si>
    <t>E-PM-6001-ECS01</t>
  </si>
  <si>
    <t>E-PM-6002A-ECS01</t>
  </si>
  <si>
    <t>E-PM-6002B-ECS01</t>
  </si>
  <si>
    <t>E-KEM-6001C-ECS02</t>
  </si>
  <si>
    <t>E-KEM-6001B-ECS02</t>
  </si>
  <si>
    <t>E-KEM-6001A-ECS02</t>
  </si>
  <si>
    <t>E-KEM-6001C-ECS01</t>
  </si>
  <si>
    <t>E-KEM-6001B-ECS01</t>
  </si>
  <si>
    <t>E-KEM-6001A-ECS01</t>
  </si>
  <si>
    <t>E-KEM-6602A-ECS01</t>
  </si>
  <si>
    <t>E-KEM-6602B-ECS01</t>
  </si>
  <si>
    <t>E-PM-6004B-ECS01</t>
  </si>
  <si>
    <t>E-PM-6004C-ECS01</t>
  </si>
  <si>
    <t>E-KFM-6002-ECS01</t>
  </si>
  <si>
    <t>E-PM-6004A-ECS01</t>
  </si>
  <si>
    <t>E-PM-6006-ECS01</t>
  </si>
  <si>
    <t>E-EDB-8504</t>
  </si>
  <si>
    <t>ESSENTIAL DISTRIBUTION BOARD IN BUTU/HPU, METHANOL STORAGE AND INTERCONNECTION PIPERACK A/G CABLE ROUTING LAYOUT</t>
  </si>
  <si>
    <t>E-ESB-8003-A04-C</t>
  </si>
  <si>
    <t>LEAN MEG STORAGE TANKS AND EXPORT PUMPS STORAGE TANKS AND TRANSFER PUMPS NORMAL LIGHTING E-EDB-8916 21.3KW/39.7A</t>
  </si>
  <si>
    <t>E-PM-5604A-ECS01</t>
  </si>
  <si>
    <t>EMERGENCY STOP SWITCH CONTROL STATION IN MATERIAL HANDLING AND LOGISTICS AREA ABOVE GROUND CABLE ROUTING LAYOUT</t>
  </si>
  <si>
    <t>E-PM-5604B-ECS01</t>
  </si>
  <si>
    <t>E-PM-4701-ECS01</t>
  </si>
  <si>
    <t>STOP SWITCH CONTROL STATION IN BUTU/HPU, METHANOL STORAGE AND INTERCONNECTING PIPERACK A/G CABLE ROUTING LAYOUT</t>
  </si>
  <si>
    <t>E-EEP-014</t>
  </si>
  <si>
    <t>EARTH ELECTRODE WITH INSPECTION PIT IN BUTU/HPU, METHANOL STORAGE AND INTERCONNECTING PIPERACK EARTHING LAYOUT</t>
  </si>
  <si>
    <t>E-EEP-013</t>
  </si>
  <si>
    <t>E-EPU-0502B1</t>
  </si>
  <si>
    <t>ELECTRICAL POWER UNIT B1 FOR GIZA FAYOUM IN CCB/LER 1 ELECTRICAL SWITCHROOM/UPS AND BATTERY ROOM ARRANGEMENT</t>
  </si>
  <si>
    <t>FA_EETO</t>
  </si>
  <si>
    <t>MAH Barrier: #N/A; MAH comment: None allocated, escalate for any emergency systems; IPL/LOPA = No; Regulatory override = No</t>
  </si>
  <si>
    <t>E-EPU-0502B2</t>
  </si>
  <si>
    <t>E-EEP-231</t>
  </si>
  <si>
    <t>EARTH ELECTRODE WITH INSPECTION PIT FOR LIGHTNING PROTECTION IN ELECTRICAL SUBSTATION 1 AREA EARTHING LAYOUT</t>
  </si>
  <si>
    <t>E-EEP-242</t>
  </si>
  <si>
    <t>E-EEP-241</t>
  </si>
  <si>
    <t>E-EEP-240</t>
  </si>
  <si>
    <t>E-EEP-239</t>
  </si>
  <si>
    <t>E-EEP-238</t>
  </si>
  <si>
    <t>E-EEP-232</t>
  </si>
  <si>
    <t>E-EEP-234</t>
  </si>
  <si>
    <t>E-EEP-235</t>
  </si>
  <si>
    <t>E-EEP-236</t>
  </si>
  <si>
    <t>E-EEP-237</t>
  </si>
  <si>
    <t>E-EEP-243</t>
  </si>
  <si>
    <t>E-EEP-244</t>
  </si>
  <si>
    <t>E-EEP-245</t>
  </si>
  <si>
    <t>E-EEP-247</t>
  </si>
  <si>
    <t>E-EEP-246</t>
  </si>
  <si>
    <t>E-EEP-088</t>
  </si>
  <si>
    <t>EARTH ELECTRODE WITH INSPECTION PIT IN UTILITIES AREA HOT OIL, THERMAL OXIDISER AND FUEL GAS EARTHING LAYOUT</t>
  </si>
  <si>
    <t>E-EEP-086</t>
  </si>
  <si>
    <t>E-EEP-089</t>
  </si>
  <si>
    <t>E-EEP-251</t>
  </si>
  <si>
    <t>EARTH ELECTRODE WITH INSPECTION PIT FOR LIGHTNING PROTECTION IN ELECTRICAL SUBSTATION 2 AREA EARTHING LAYOUT</t>
  </si>
  <si>
    <t>E-EEP-252</t>
  </si>
  <si>
    <t>E-EEP-253</t>
  </si>
  <si>
    <t>E-EEP-254</t>
  </si>
  <si>
    <t>E-EEP-255</t>
  </si>
  <si>
    <t>E-EEP-256</t>
  </si>
  <si>
    <t>E-EEP-262</t>
  </si>
  <si>
    <t>E-EEP-261</t>
  </si>
  <si>
    <t>E-EEP-260</t>
  </si>
  <si>
    <t>E-EEP-259</t>
  </si>
  <si>
    <t>E-EEP-258</t>
  </si>
  <si>
    <t>E-EEP-257</t>
  </si>
  <si>
    <t>E-EEP-087</t>
  </si>
  <si>
    <t>E-PM-5702A-ECS01</t>
  </si>
  <si>
    <t>EMERGENCY STOP SWITCH CONTROL STATION IN CONDENSATE TREATMENT AND FLASH GAS COMPRESSOR AREA EARTHING LAYOUT</t>
  </si>
  <si>
    <t>E-PM-5702B-ECS01</t>
  </si>
  <si>
    <t>E-PM-5602A-ECS01</t>
  </si>
  <si>
    <t>E-PM-5602B-ECS01</t>
  </si>
  <si>
    <t>E-EEH-9116</t>
  </si>
  <si>
    <t>HEATER-ANTI CONDENSATION HEATER GENERATOR TERMINAL BOX IN SGT-200 SINGLE SHAFT E-X-9111 DRIVEN UNIT PACKAGE</t>
  </si>
  <si>
    <t>E-EEH-9126</t>
  </si>
  <si>
    <t>HEATER-ANTI CONDENSATION HEATER GENERATOR TERMINAL BOX IN SGT-200 SINGLE SHAFT E-X-9121 DRIVEN UNIT PACKAGE</t>
  </si>
  <si>
    <t>E-EEH-9136</t>
  </si>
  <si>
    <t>HEATER-ANTI CONDENSATION HEATER GENERATOR TERMINAL BOX IN SGT-200 SINGLE SHAFT E-X-9131 DRIVEN UNIT PACKAGE</t>
  </si>
  <si>
    <t>E-EEH-9146</t>
  </si>
  <si>
    <t>HEATER-ANTI CONDENSATION HEATER GENERATOR TERMINAL BOX IN SGT-200 SINGLE SHAFT E-X-9141 DRIVEN UNIT PACKAGE</t>
  </si>
  <si>
    <t>A15-UTA-02-EJB-001</t>
  </si>
  <si>
    <t>ELECTRICAL JUNCTION BOX IN BUTU/HPU, METHANOL STORAGE AND INTERCONNECTING PIPERACK A/G CABLE ROUTING LAYOUT</t>
  </si>
  <si>
    <t>FA_INSJ</t>
  </si>
  <si>
    <t>JBGE</t>
  </si>
  <si>
    <t>A15-UTA-02-EJB-002</t>
  </si>
  <si>
    <t>A15-UTA-02-EJB-003</t>
  </si>
  <si>
    <t>A15-UTA-02-EJB-004</t>
  </si>
  <si>
    <t>A15-UTA-02-EJB-005</t>
  </si>
  <si>
    <t>A15-UTA-02-EJB-006</t>
  </si>
  <si>
    <t>E-X-6511-ECS01</t>
  </si>
  <si>
    <t>EMERGENCY STOP SWITCH CONTROL STATION IN UTILITIES AREA AIR AND NITROGEN ABOVE GROUND CABLE ROUTING LAYOUT</t>
  </si>
  <si>
    <t>E-KM-6511-ECS01</t>
  </si>
  <si>
    <t>E-KEM-6511-ECS01</t>
  </si>
  <si>
    <t>E-KEM-6512-ECS01</t>
  </si>
  <si>
    <t>E-KEM-6513-ECS01</t>
  </si>
  <si>
    <t>E-KEM-6523-ECS01</t>
  </si>
  <si>
    <t>E-KEM-6533-ECS01</t>
  </si>
  <si>
    <t>E-KEM-6543-ECS01</t>
  </si>
  <si>
    <t>E-X-6521-ECS01</t>
  </si>
  <si>
    <t>E-KM-6521-ECS01</t>
  </si>
  <si>
    <t>E-KEM-6521-ECS01</t>
  </si>
  <si>
    <t>E-KEM-6522-ECS01</t>
  </si>
  <si>
    <t>E-X-6531-ECS01</t>
  </si>
  <si>
    <t>E-KM-6531-ECS01</t>
  </si>
  <si>
    <t>E-KEM-6531-ECS01</t>
  </si>
  <si>
    <t>E-KEM-6532-ECS01</t>
  </si>
  <si>
    <t>E-X-6541-ECS01</t>
  </si>
  <si>
    <t>E-KM-6541-ECS01</t>
  </si>
  <si>
    <t>E-KEM-6541-ECS01</t>
  </si>
  <si>
    <t>E-KEM-6542-ECS01</t>
  </si>
  <si>
    <t>E-KEM-6551-ECS01</t>
  </si>
  <si>
    <t>E-KEM-6552-ECS01</t>
  </si>
  <si>
    <t>E-KEM-6553-ECS01</t>
  </si>
  <si>
    <t>E-KM-6551-ECS01</t>
  </si>
  <si>
    <t>E-X-6551-ECS01</t>
  </si>
  <si>
    <t>E-PM-2807-ECS01</t>
  </si>
  <si>
    <t>EMERGENCY STOP SWITCH CONTROL STATION IN MEG RECOVERY &amp; PROCESSING AREA ABOVE GROUND CABLE ROUTING LAYOUT</t>
  </si>
  <si>
    <t>E-PM-3004A-ECS01</t>
  </si>
  <si>
    <t>E-PM-3004B-ECS01</t>
  </si>
  <si>
    <t>E-PM-3006A-ECS01</t>
  </si>
  <si>
    <t>E-PM-3006B-ECS01</t>
  </si>
  <si>
    <t>E-PM-5217A-ECS01</t>
  </si>
  <si>
    <t>E-PM-5217B-ECS01</t>
  </si>
  <si>
    <t>E-EEP-083</t>
  </si>
  <si>
    <t>EARTH ELECTRODE WITH INSPECTION PIT IN CONDENSATE TREATMENT AND FLASH GAS COMPRESSOR AREA EARTHING LAYOUT</t>
  </si>
  <si>
    <t>E-PM-2412A</t>
  </si>
  <si>
    <t>COOLING WATER A PUMP ELECTRIC MOTOR IN LP FLASH GAS COMPRESSOR PACKAGE TRAIN 1-COOLANT CONSOLE E-X-2411</t>
  </si>
  <si>
    <t>E-PM-2412B</t>
  </si>
  <si>
    <t>E-PM-2422A</t>
  </si>
  <si>
    <t>COOLING WATER A PUMP ELECTRIC MOTOR IN LP FLASH GAS COMPRESSOR PACKAGE TRAIN 2-COOLANT CONSOLE E-X-2421</t>
  </si>
  <si>
    <t>E-PM-2422B</t>
  </si>
  <si>
    <t>E-PM-2904A-ECS01</t>
  </si>
  <si>
    <t>ELECTRICAL CONTROL STATION IN LEAN MEG STORAGE TANKS AND EXPORT PUMPS ABOVE GROUND CABLE ROUTING LAYOUT</t>
  </si>
  <si>
    <t>E-PM-2904B-ECS01</t>
  </si>
  <si>
    <t>E-PM-2904C-ECS01</t>
  </si>
  <si>
    <t>E-PM-5605B-ECS01</t>
  </si>
  <si>
    <t>EMERGENCY STOP SWITCH CONTROL STATION IN PRODUCED WATER STRIPPER AREA ABOVE GROUND CABLE ROUTING LAYOUT</t>
  </si>
  <si>
    <t>E-PM-5605A-ECS01</t>
  </si>
  <si>
    <t>E-PM-6701B-ECS01</t>
  </si>
  <si>
    <t>E-PM-6701A-ECS01</t>
  </si>
  <si>
    <t>E-PM-6702B-ECS01</t>
  </si>
  <si>
    <t>E-PM-6702A-ECS01</t>
  </si>
  <si>
    <t>E-PM-6703C-ECS01</t>
  </si>
  <si>
    <t>E-PM-6707A-ECS01</t>
  </si>
  <si>
    <t>E-PM-6707B-ECS01</t>
  </si>
  <si>
    <t>E-KM-2411</t>
  </si>
  <si>
    <t>FLASH GAS COMPRESSOR MOTOR IN LP FLASH GAS COMPRESSOR PACKAGE TRAIN 1-COMPRESSOR AND ACCESSORY E-X-2411</t>
  </si>
  <si>
    <t>E-KM-2421</t>
  </si>
  <si>
    <t>E-EEH-9113</t>
  </si>
  <si>
    <t>HEATER-ANTI CONDENSATION HEATER GENERATOR WINDINGS IN SGT-200 SINGLE SHAFT E-X-9111 DRIVEN UNIT PACKAGE</t>
  </si>
  <si>
    <t>E-EEH-9114</t>
  </si>
  <si>
    <t>E-EEH-9123</t>
  </si>
  <si>
    <t>HEATER-ANTI CONDENSATION HEATER GENERATOR WINDINGS IN SGT-200 SINGLE SHAFT E-X-9121 DRIVEN UNIT PACKAGE</t>
  </si>
  <si>
    <t>E-EEH-9124</t>
  </si>
  <si>
    <t>E-EEH-9133</t>
  </si>
  <si>
    <t>HEATER-ANTI CONDENSATION HEATER GENERATOR WINDINGS IN SGT-200 SINGLE SHAFT E-X-9131 DRIVEN UNIT PACKAGE</t>
  </si>
  <si>
    <t>E-EEH-9134</t>
  </si>
  <si>
    <t>E-EEH-9143</t>
  </si>
  <si>
    <t>HEATER-ANTI CONDENSATION HEATER GENERATOR WINDINGS IN SGT-200 SINGLE SHAFT E-X-9141 DRIVEN UNIT PACKAGE</t>
  </si>
  <si>
    <t>E-EEH-9144</t>
  </si>
  <si>
    <t>E-PM-2413</t>
  </si>
  <si>
    <t>CYLINDER LUBRICATOR PUMP MOTOR IN LP FLASH GAS COMPRESSOR PACKAGE TRAIN 1-CYLINDER LUBRICATOR E-X-2411</t>
  </si>
  <si>
    <t>E-PM-2423</t>
  </si>
  <si>
    <t>CYLINDER LUBRICATOR PUMP MOTOR IN LP FLASH GAS COMPRESSOR PACKAGE TRAIN 2-CYLINDER LUBRICATOR E-X-2421</t>
  </si>
  <si>
    <t>E-EPU-0501A1</t>
  </si>
  <si>
    <t>ELECTRICAL POWER UNIT A1 FOR RAVEN IN CCB/LER 1 ELECTRICAL SWITCHROOM/UPS AND BATTERY ROOM ARRANGEMENT</t>
  </si>
  <si>
    <t>E-EPU-0501A2</t>
  </si>
  <si>
    <t>ELECTRICAL POWER UNIT A2 FOR RAVEN IN CCB/LER 1 ELECTRICAL SWITCHROOM/UPS AND BATTERY ROOM ARRANGEMENT</t>
  </si>
  <si>
    <t>E-EEH-9115</t>
  </si>
  <si>
    <t>HEATER-ANTI CONDENSATION HEATER GENERATOR EXCITER IN SGT-200 SINGLE SHAFT E-X-9111 DRIVEN UNIT PACKAGE</t>
  </si>
  <si>
    <t>E-EEH-9125</t>
  </si>
  <si>
    <t>HEATER-ANTI CONDENSATION HEATER GENERATOR EXCITER IN SGT-200 SINGLE SHAFT E-X-9121 DRIVEN UNIT PACKAGE</t>
  </si>
  <si>
    <t>E-EEH-9135</t>
  </si>
  <si>
    <t>HEATER-ANTI CONDENSATION HEATER GENERATOR EXCITER IN SGT-200 SINGLE SHAFT E-X-9131 DRIVEN UNIT PACKAGE</t>
  </si>
  <si>
    <t>E-EEH-9145</t>
  </si>
  <si>
    <t>HEATER-ANTI CONDENSATION HEATER GENERATOR EXCITER IN SGT-200 SINGLE SHAFT E-X-9141 DRIVEN UNIT PACKAGE</t>
  </si>
  <si>
    <t>E-EMS-012</t>
  </si>
  <si>
    <t>WALL MOUNTED CONTROL SWITCH IN BUTU/HPU, METHANOL STORAGE AND INTERCONNECTING PIPERACK EARTHING LAYOUT</t>
  </si>
  <si>
    <t>FA_INDS</t>
  </si>
  <si>
    <t>PSSG</t>
  </si>
  <si>
    <t>E-EMS-8012</t>
  </si>
  <si>
    <t>MAH Barrier: Transmitter, pressure and level switches, barrier, junction box, I/O card, controller card, communications card, Wiring Panels, system cable, control valves, positioners, network switches, HMI screens, UPS, Power cables, power supplies and power distribution.; MAH comment: Escalate if system / SIL requires; IPL/LOPA = No; Regulatory override = No</t>
  </si>
  <si>
    <t>E-PM-2411</t>
  </si>
  <si>
    <t>AUXILIARY OIL PUMP ELECTRIC MOTOR IN LP FLASH GAS COMPRESSOR PACKAGE TRAIN 1-LUBE OIL SYSTEM E-X-2411</t>
  </si>
  <si>
    <t>E-PM-2421</t>
  </si>
  <si>
    <t>AUXILIARY OIL PUMP ELECTRIC MOTOR IN LP FLASH GAS COMPRESSOR PACKAGE TRAIN 2-LUBE OIL SYSTEM E-X-2421</t>
  </si>
  <si>
    <t>E-PM-6002C-ECS01</t>
  </si>
  <si>
    <t>ELECTRICAL CONTROL STATION IN UTILITY AREA HOT OIL THERMAL OXIDISER FUEL GAS A/G CABLE ROUTING LAYOUT</t>
  </si>
  <si>
    <t>E-ECB-8804A</t>
  </si>
  <si>
    <t>MCCB FOR BATTERY BANK E-EBA-8804A IN CCB/LER 1 ELECTRICAL SWITCHROOM/UPS AND BATTERY ROOM ARRANGEMENT</t>
  </si>
  <si>
    <t>E-ECB-8804B</t>
  </si>
  <si>
    <t>MCCB FOR BATTERY BANK E-EBA-8804B IN CCB/LER 1 ELECTRICAL SWITCHROOM/UPS AND BATTERY ROOM ARRANGEMENT</t>
  </si>
  <si>
    <t>E-EEP-216</t>
  </si>
  <si>
    <t>EARTH ELECTRODE WITH INSPECTION PIT FOR LIGHTNING PROTECTION IN CONTROL BUILDING AREA EARTHING LAYOUT</t>
  </si>
  <si>
    <t>E-EEP-217</t>
  </si>
  <si>
    <t>E-EEP-218</t>
  </si>
  <si>
    <t>E-EEP-219</t>
  </si>
  <si>
    <t>E-EEP-220</t>
  </si>
  <si>
    <t>E-EEP-221</t>
  </si>
  <si>
    <t>E-EEP-222</t>
  </si>
  <si>
    <t>E-EEP-223</t>
  </si>
  <si>
    <t>E-EEP-224</t>
  </si>
  <si>
    <t>E-EEP-225</t>
  </si>
  <si>
    <t>E-PM-2904A-EEH01</t>
  </si>
  <si>
    <t>ELECTRICAL SPACE HEATER IN LEAN MEG STORAGE TANKS AND EXPORT PUMPS ABOVE GROUND CABLE ROUTING LAYOUT</t>
  </si>
  <si>
    <t>E-PM-2904B-EEH01</t>
  </si>
  <si>
    <t>E-PM-2904C-EEH01</t>
  </si>
  <si>
    <t>E-KEM-3009</t>
  </si>
  <si>
    <t>RICH MEG CENTRIFUGE LUBE OIL COOLER FAN MOTOR IN RICH MEG CENTRIFUGE SKID-LUBE OIL SYSTEM B E-X-3006</t>
  </si>
  <si>
    <t>E-KEM-9111A</t>
  </si>
  <si>
    <t>GAS TURBINE LUBE OIL COOLER FAN MOTOR FOR PACKAGE 1 IN SGT-200 SINGLE SHAFT E-X-9111 LUBE OIL SYSTEM</t>
  </si>
  <si>
    <t>E-KEM-9111B</t>
  </si>
  <si>
    <t>E-KEM-9111C</t>
  </si>
  <si>
    <t>E-KEM-9121A</t>
  </si>
  <si>
    <t>GAS TURBINE LUBE OIL COOLER FAN MOTOR FOR PACKAGE 2 IN SGT-200 SINGLE SHAFT E-X-9121 LUBE OIL SYSTEM</t>
  </si>
  <si>
    <t>E-KEM-9121B</t>
  </si>
  <si>
    <t>E-KEM-9121C</t>
  </si>
  <si>
    <t>E-KEM-9131A</t>
  </si>
  <si>
    <t>GAS TURBINE LUBE OIL COOLER FAN MOTOR FOR PACKAGE 3 IN SGT-200 SINGLE SHAFT E-X-9131 LUBE OIL SYSTEM</t>
  </si>
  <si>
    <t>E-KEM-9131B</t>
  </si>
  <si>
    <t>E-KEM-9131C</t>
  </si>
  <si>
    <t>E-KEM-9141A</t>
  </si>
  <si>
    <t>GAS TURBINE LUBE OIL COOLER FAN MOTOR FOR PACKAGE 4 IN SGT-200 SINGLE SHAFT E-X-9141 LUBE OIL SYSTEM</t>
  </si>
  <si>
    <t>E-KEM-9141B</t>
  </si>
  <si>
    <t>E-KEM-9141C</t>
  </si>
  <si>
    <t>E-EDB-8520</t>
  </si>
  <si>
    <t>NORMAL DISTRIBUTION BOARD IN UTILITY AREA HOT OIL THERMAL OXIDISER FUEL GAS A/G CABLE ROUTING LAYOUT</t>
  </si>
  <si>
    <t>E-ESSW-8015</t>
  </si>
  <si>
    <t>POWER OUTLET IN CONDENSATE TREATMENT AND FLASH GAS COMPRESSOR AREA ABOVE GROUND CABLE ROUTING LAYOUT</t>
  </si>
  <si>
    <t>FA_EECO</t>
  </si>
  <si>
    <t>SKEL</t>
  </si>
  <si>
    <t>MAH Barrier: For Equipment in Zone 2; MAH comment: Zone 2 assumed by default; IPL/LOPA = No; Regulatory override = No</t>
  </si>
  <si>
    <t>E-EDB-8810</t>
  </si>
  <si>
    <t>NORMAL DISTRIBUTION BOARD IN MATERIAL HANDLING AND LOGISTICS AREA ABOVE GROUND CABLE ROUTING LAYOUT</t>
  </si>
  <si>
    <t>E-ESB-9402</t>
  </si>
  <si>
    <t>HVAC MCC ESSENTIAL (BY OTHERS) IN CCB/LER 1 ELECTRICAL SWITCHROOM/UPS AND BATTERY ROOM ARRANGEMENT</t>
  </si>
  <si>
    <t>E-EDB-8521</t>
  </si>
  <si>
    <t>NORMAL DISTRIBUTION BOARD IN UTILITIES AREA HOT OIL, THERMAL OXIDISER AND FUEL GAS EARTHING LAYOUT</t>
  </si>
  <si>
    <t>E-PM-5606A-ECS01</t>
  </si>
  <si>
    <t>EMERGENCY STOP SWITCH CONTROL STATION IN HP/LP FLARE (KO DRUMS) ABOVE GROUND CABLE ROUTING LAYOUT</t>
  </si>
  <si>
    <t>E-PM-5606B-ECS01</t>
  </si>
  <si>
    <t>E-PM-5703B-ECS01</t>
  </si>
  <si>
    <t>E-PM-5703A-ECS01</t>
  </si>
  <si>
    <t>E-EMS-016</t>
  </si>
  <si>
    <t>WALL MOUNTED CONTROL SWITCH IN CONDENSATE TREATMENT AND FLASH GAS COMPRESSOR AREA EARTHING LAYOUT</t>
  </si>
  <si>
    <t>E-EDB-8519</t>
  </si>
  <si>
    <t>ESSENTIAL DISTRIBUTION BOARD IN UTILITIES AREA AIR AND NITROGEN ABOVE GROUND CABLE ROUTING LAYOUT</t>
  </si>
  <si>
    <t>E-PM-2805-ECS01</t>
  </si>
  <si>
    <t>EMERGENCY STOP SWITCH CONTROL STATION IN MATERIAL HANDLING AND LOGISTIC AREA ABOVE GROUND LAYOUT</t>
  </si>
  <si>
    <t>E-PM-5223-ECS01</t>
  </si>
  <si>
    <t>E-PM-5224-ECS01</t>
  </si>
  <si>
    <t>E-PM-5221-ECS01</t>
  </si>
  <si>
    <t>E-PM-2902A-ECS01</t>
  </si>
  <si>
    <t>E-PM-2902B-ECS01</t>
  </si>
  <si>
    <t>E-PM-5210A-ECS01</t>
  </si>
  <si>
    <t>E-PM-5211A-ECS01</t>
  </si>
  <si>
    <t>E-PM-5205A-ECS01</t>
  </si>
  <si>
    <t>E-PM-5228A-ECS01</t>
  </si>
  <si>
    <t>E-PM-5206A-ECS01</t>
  </si>
  <si>
    <t>E-PM-5210B-ECS01</t>
  </si>
  <si>
    <t>E-PM-5211B-ECS01</t>
  </si>
  <si>
    <t>E-PM-5205B-ECS01</t>
  </si>
  <si>
    <t>E-PM-5228B-ECS01</t>
  </si>
  <si>
    <t>E-PM-5206B-ECS01</t>
  </si>
  <si>
    <t>E-PM-2803-ECS01</t>
  </si>
  <si>
    <t>EMERGENCY STOP SWITCH CONTROL STATION IN LEAN MEG STORAGE TANKS AND EXPORT PUMPS EARTHING LAYOUT</t>
  </si>
  <si>
    <t>E-EDB-8513</t>
  </si>
  <si>
    <t>ESSENTIAL DISTRIBUTION BOARD IN MEG RECOVERY &amp; PROCESSING AREA ABOVE GROUND CABLE ROUTING LAYOUT</t>
  </si>
  <si>
    <t>E-EDB-8515</t>
  </si>
  <si>
    <t>ESSENTIAL DISTRIBUTION BOARD IN TRUNK LINE - PIG RECEIVING AREA ABOVE GROUND CABLE ROUTING LAYOUT</t>
  </si>
  <si>
    <t>E-ESB-8003-B05-B</t>
  </si>
  <si>
    <t>HP LP KO DRUMS AND INTERCONNECTING PIPERACK SMALL POWER DISTRIBUTION BOARD E-EDB-8910 30KW/50.9A</t>
  </si>
  <si>
    <t>R-N.G.R-1</t>
  </si>
  <si>
    <t>1.9 KV (LINE TO NEUTRAL VOLTAGE), 600 A, 10 SEC, 3.2 OHMS, NEUTRAL EARTHING RESISTOR FOR G-8021</t>
  </si>
  <si>
    <t>FA_EEPNN</t>
  </si>
  <si>
    <t>EREL</t>
  </si>
  <si>
    <t>MAH Barrier: Transmitter, pressure and level switches, barrier, junction box, I/O card, controller card, communications card, Wiring Panels, system cable, control valves, positioners, network switches, HMI screens, UPS, Power cables, power supplies and power distribution.; MAH comment: Same maintenance schedule all criticalities; IPL/LOPA = No; Regulatory override = No</t>
  </si>
  <si>
    <t>R-N.G.R-2</t>
  </si>
  <si>
    <t>1.9 KV (LINE TO NEUTRAL VOLTAGE), 600 A, 10 SEC, 3.2 OHMS, NEUTRAL EARTHING RESISTOR FOR G-8022</t>
  </si>
  <si>
    <t>E-ESB-9401</t>
  </si>
  <si>
    <t>HVAC MCC NORMAL (BY OTHERS) IN CCB/LER 1 ELECTRICAL SWITCHROOM/UPS AND BATTERY ROOM ARRANGEMENT</t>
  </si>
  <si>
    <t>E-ESB-8706-A03-F</t>
  </si>
  <si>
    <t>CONDENSATE TREATMENT AND FLASH GAS COMPRESSION AREA ESSENTIAL LIGHTING E-EDB-8509 E1 22KW 39.7A</t>
  </si>
  <si>
    <t>E-EEP-151</t>
  </si>
  <si>
    <t>EARTH ELECTRODE WITH INSPECTION PIT IN MATERIAL HANDLING AND LOGISTIC AREA ABOVE GROUND LAYOUT</t>
  </si>
  <si>
    <t>E-EEP-152</t>
  </si>
  <si>
    <t>E-EDB-8506</t>
  </si>
  <si>
    <t>ESSENTIAL DISTRIBUTION BOARD IN GAS TREATMENT AREA - TRAIN 2 ABOVE GROUND CABLE ROUTING LAYOUT</t>
  </si>
  <si>
    <t>E-EEP-109</t>
  </si>
  <si>
    <t>EARTH ELECTRODE WITH INSPECTION PIT IN LEAN MEG STORAGE TANKS AND EXPORT PUMPS EARTHING LAYOUT</t>
  </si>
  <si>
    <t>E-EBA-9113A</t>
  </si>
  <si>
    <t>26V DC VRLA (GEL TYPE) BATTERY BANK (HORIZONTAL ARRANGEMENT) WITH BATTERY RACK FOR 26V DC UPS</t>
  </si>
  <si>
    <t>FA_EETB</t>
  </si>
  <si>
    <t>BAEL</t>
  </si>
  <si>
    <t>E7</t>
  </si>
  <si>
    <t>H7</t>
  </si>
  <si>
    <t>F7</t>
  </si>
  <si>
    <t>MAH Barrier: Transmitter, pressure and level switches, barrier, junction box, I/O card, controller card, communications card, Wiring Panels, system cable, control valves, positioners, network switches, HMI screens, UPS, Power cables, power supplies and power distribution.; MAH comment: Escalate by system / location; IPL/LOPA = No; Regulatory override = No</t>
  </si>
  <si>
    <t>E-EBA-9113B</t>
  </si>
  <si>
    <t>E-ESSW-8018</t>
  </si>
  <si>
    <t>WELDING RECEPTACLE IN UTILITY AREA HOT OIL THERMAL OXIDISER FUEL GAS A/G CABLE ROUTING LAYOUT</t>
  </si>
  <si>
    <t>E-ESSW-8017</t>
  </si>
  <si>
    <t>E-EDB-8803A-04</t>
  </si>
  <si>
    <t>CCT-004 E-IPD-8851 LER-2 CONTROL SYSTEM POWER DISTRIBUTION CABINET 2 FEEDER-1 FOR F&amp;G SYSTEM</t>
  </si>
  <si>
    <t>E-EDB-8803B-04</t>
  </si>
  <si>
    <t>CCT-004 E-IPD-8851 LER-2 CONTROL SYSTEM POWER DISTRIBUTION CABINET 2 FEEDER-2 FOR F&amp;G SYSTEM</t>
  </si>
  <si>
    <t>E-EDB-8804A-08</t>
  </si>
  <si>
    <t>CCT-008 E-IPD-8821 LER-1 CONTROL SYSTEM POWER DISTRIBUTION CABINET 2 FEEDER-1 FOR F&amp;G SYSTEM</t>
  </si>
  <si>
    <t>E-EDB-8804B-08</t>
  </si>
  <si>
    <t>CCT-008 E-IPD-8821 LER-1 CONTROL SYSTEM POWER DISTRIBUTION CABINET 2 FEEDER-2 FOR F&amp;G SYSTEM</t>
  </si>
  <si>
    <t>E-EDB-8523</t>
  </si>
  <si>
    <t>ESSENTIAL DISTRIBUTION BOARD IN GAS TREATMENT AREA TRAIN-1 ABOVE GROUND CABLE ROUTING LAYOUT</t>
  </si>
  <si>
    <t>E-PM-6706B-ECS01</t>
  </si>
  <si>
    <t>NORMAL DISTRIBUTION BOARD IN PRODUCED WATER STRIPPER AREA ABOVE GROUND CABLE ROUTING LAYOUT</t>
  </si>
  <si>
    <t>E-EEP-156</t>
  </si>
  <si>
    <t>EARTH ELECTRODE WITH INSPECTION PIT IN MATERIAL HANDLING AND LOGISTICS AREA EARTHING LAYOUT</t>
  </si>
  <si>
    <t>R-ESB-8002-A03-A</t>
  </si>
  <si>
    <t>FEEDER FOR THYRISTOR CONTROL PANEL FOR SLUG CATCHER BOTTOMS ELECTRIC HEATER R-ETP-2001A H2 570KW 478A</t>
  </si>
  <si>
    <t>FA_EETM</t>
  </si>
  <si>
    <t>R-ESB-8002-B04-A</t>
  </si>
  <si>
    <t>FEEDER FOR THYRISTOR CONTROL PANEL FOR SLUG CATCHER BOTTOMS ELECTRIC HEATER R-ETP-2001B H2 570KW 478A</t>
  </si>
  <si>
    <t>E-KEM-9112A</t>
  </si>
  <si>
    <t>MOTOR ON AC GENERATOR COOLING AIR FAN IN SGT-200 SINGLE SHAFT E-X-9111 DRIVEN UNIT PACKAGE</t>
  </si>
  <si>
    <t>E-KEM-9112B</t>
  </si>
  <si>
    <t>E-KEM-9122A</t>
  </si>
  <si>
    <t>MOTOR ON AC GENERATOR COOLING AIR FAN IN SGT-200 SINGLE SHAFT E-X-9121 DRIVEN UNIT PACKAGE</t>
  </si>
  <si>
    <t>E-KEM-9122B</t>
  </si>
  <si>
    <t>E-KEM-9132A</t>
  </si>
  <si>
    <t>MOTOR ON AC GENERATOR COOLING AIR FAN IN SGT-200 SINGLE SHAFT E-X-9131 DRIVEN UNIT PACKAGE</t>
  </si>
  <si>
    <t>E-KEM-9132B</t>
  </si>
  <si>
    <t>E-KEM-9142A</t>
  </si>
  <si>
    <t>MOTOR ON AC GENERATOR COOLING AIR FAN IN SGT-200 SINGLE SHAFT E-X-9141 DRIVEN UNIT PACKAGE</t>
  </si>
  <si>
    <t>E-KEM-9142B</t>
  </si>
  <si>
    <t>E-ESB-8003-A02-E</t>
  </si>
  <si>
    <t>CONDENSATE TREATMENT AND FLASH GAS COMPRESSOR AREA NORMAL LIGHTING E-EDB-8933 90KW/152.8A</t>
  </si>
  <si>
    <t>E-PM-6706A-ECS01</t>
  </si>
  <si>
    <t>LOCAL CONTROL PANEL IN UTILITIES AREA AIR AND NITROGEN ABOVE GROUND CABLE ROUTING LAYOUT</t>
  </si>
  <si>
    <t>E-EDB-8802A-06</t>
  </si>
  <si>
    <t>CCT-006 E-IPD-8801 CCB CONTROL SYSTEM POWER DISTRIBUTION BOARD 2 FEEDER-1 FOR F&amp;G SYSTEM</t>
  </si>
  <si>
    <t>E-EDB-8802B-06</t>
  </si>
  <si>
    <t>CCT-006 E-IPD-8801 CCB CONTROL SYSTEM POWER DISTRIBUTION BOARD 2 FEEDER-2 FOR F&amp;G SYSTEM</t>
  </si>
  <si>
    <t>E-EDB-8606</t>
  </si>
  <si>
    <t>ESSENTIAL DISTRIBUTION BOARD IN HP/LP FLARE (KO DRUMS) ABOVE GROUND CABLE ROUTING LAYOUT</t>
  </si>
  <si>
    <t>E-ESB-8012-C06-E</t>
  </si>
  <si>
    <t>FIRE WATER AND PRODUCED WATER STRIPPER AREA ESSENTIAL LIGHTING E-EDB-8510 E1 8.5KW 15.9A</t>
  </si>
  <si>
    <t>E-ESB-8706-B04-D</t>
  </si>
  <si>
    <t>HP LP KO DRUMS AND INTERCONNECTING PIPERACK ESSENTIAL LIGHTING E-EDB-8504 E1 8.5KW 15.9A</t>
  </si>
  <si>
    <t>E-PM-3010A</t>
  </si>
  <si>
    <t>RICH MEG CENTRIFUGE SLUDGE PUMP MOTOR IN RICH MEG CENTRIFUGE SKID-CENTRIFUGE A E-X-3006</t>
  </si>
  <si>
    <t>E-PM-3010B</t>
  </si>
  <si>
    <t>RICH MEG CENTRIFUGE SLUDGE PUMP MOTOR IN RICH MEG CENTRIFUGE SKID-CENTRIFUGE B E-X-3006</t>
  </si>
  <si>
    <t>E-EEB-034</t>
  </si>
  <si>
    <t>EARTH BUSBAR IN BUTU/HPU, METHANOL STORAGE AND INTERCONNECTING PIPERACK EARTHING LAYOUT</t>
  </si>
  <si>
    <t>FA_EETD</t>
  </si>
  <si>
    <t>BBEL</t>
  </si>
  <si>
    <t>F3</t>
  </si>
  <si>
    <t>H3</t>
  </si>
  <si>
    <t>G3</t>
  </si>
  <si>
    <t>MAH Barrier: Transmitter, pressure and level switches, barrier, junction box, I/O card, controller card, communications card, Wiring Panels, system cable, control valves, positioners, network switches, HMI screens, UPS, Power cables, power supplies and power distribution.; MAH comment: None allocated; IPL/LOPA = No; Regulatory override = No</t>
  </si>
  <si>
    <t>E-EEB-033</t>
  </si>
  <si>
    <t>E-EEB-032</t>
  </si>
  <si>
    <t>E-EEB-031</t>
  </si>
  <si>
    <t>E-ESSW-8012</t>
  </si>
  <si>
    <t>WELDING RECEPTACLE IN UTILITIES AREA AIR AND NITROGEN ABOVE GROUND CABLE ROUTING LAYOUT</t>
  </si>
  <si>
    <t>E-EDB-8505</t>
  </si>
  <si>
    <t>ESSENTIAL DISTRIBUTION BOARD IN MATERIAL HANDLING AND LOGISTIC AREA ABOVE GROUND LAYOUT</t>
  </si>
  <si>
    <t>E-EDB-8511</t>
  </si>
  <si>
    <t>ESSENTIAL DISTRIBUTION BOARD IN LEAN MEG STORAGE TANKS AND EXPORT PUMPS EARTHING LAYOUT</t>
  </si>
  <si>
    <t>E-ESSW-8011</t>
  </si>
  <si>
    <t>E-EJB8901</t>
  </si>
  <si>
    <t>ELECTRICAL JUNCTION BOX IN HP/LP FLARE (FLARE STACKS) ABOVE GROUND CABLE ROUTING LAYOUT</t>
  </si>
  <si>
    <t>E-PM-2905-ECS01</t>
  </si>
  <si>
    <t>STOP SWITCH CONTROL STATION IN MATERIAL HANDLING AND LOGISTIC AREA ABOVE GROUND LAYOUT</t>
  </si>
  <si>
    <t>E-EEH-9101</t>
  </si>
  <si>
    <t>IMMERSION HEATER ON WATER WASH TANK IN SGT-200 SINGLE SHAFT E-X-9111 WATER WASH MODULE</t>
  </si>
  <si>
    <t>E-EEP-041</t>
  </si>
  <si>
    <t>EARTH ELECTRODE WITH INSPECTION PIT IN UTILITIES AREA AIR AND NITROGEN EARTHING LAYOUT</t>
  </si>
  <si>
    <t>E-ESSW-8002</t>
  </si>
  <si>
    <t>WELDING RECEPTACLE IN TRUNK LINE - PIG RECEIVING AREA ABOVE GROUND CABLE ROUTING LAYOUT</t>
  </si>
  <si>
    <t>E-ESSW-8003</t>
  </si>
  <si>
    <t>E-ESSW-8022</t>
  </si>
  <si>
    <t>WELDING RECEPTACLE IN MEG RECOVERY &amp; PROCESSING AREA ABOVE GROUND CABLE ROUTING LAYOUT</t>
  </si>
  <si>
    <t>E-KM-6511</t>
  </si>
  <si>
    <t>COMPRESSOR 1 E-X-6511 MAIN DRIVE MOTOR IN COMPRESSOR 1 E-X-6511 ON COMPRESSOR PACKAGE</t>
  </si>
  <si>
    <t>E-KEMP-2101A</t>
  </si>
  <si>
    <t>FAN MOTOR POWER IN CONDENSATE TREATMENT AND FLASH GAS COMPRESSOR AREA EARTHING LAYOUT</t>
  </si>
  <si>
    <t>E-KEMP-2101B</t>
  </si>
  <si>
    <t>E-KEMP-2101C</t>
  </si>
  <si>
    <t>E-KEMP-2101D</t>
  </si>
  <si>
    <t>E-KEMP-2101E</t>
  </si>
  <si>
    <t>E-KEMP-2101F</t>
  </si>
  <si>
    <t>E-EEB-176</t>
  </si>
  <si>
    <t>EARTH BUSBAR IN UTILITIES AREA HOT OIL, THERMAL OXIDISER AND FUEL GAS EARTHING LAYOUT</t>
  </si>
  <si>
    <t>E-EEB-177</t>
  </si>
  <si>
    <t>E-EEP-017</t>
  </si>
  <si>
    <t>EARTH ELECTRODE WITH INSPECTION PIT IN TRUNK LINE - PIG RECEIVING AREA EARTHING LAYOUT</t>
  </si>
  <si>
    <t>E-EEB-171</t>
  </si>
  <si>
    <t>E-EEB-172</t>
  </si>
  <si>
    <t>E-EEB-178</t>
  </si>
  <si>
    <t>E-EEP-016</t>
  </si>
  <si>
    <t>E-EEB-173</t>
  </si>
  <si>
    <t>E-EEB-174</t>
  </si>
  <si>
    <t>E-EEB-175</t>
  </si>
  <si>
    <t>E-ESB-8002-B06-C</t>
  </si>
  <si>
    <t>FEEDER FOR FLASH GAS COMPRESSOR CRANK CASE LUBRICATION OIL TANK HEATER E-EEH-2421 H1 1.5KW/1.3A</t>
  </si>
  <si>
    <t>E-ESB-8002-B16-A</t>
  </si>
  <si>
    <t>FEEDER FOR AC UPS A MAINTENANCE BYPASS CENTRAL CONTROL BUILDING AND PMS E-EUP-8802A 96KW/100.4A</t>
  </si>
  <si>
    <t>R-ESB-8002-A02-A</t>
  </si>
  <si>
    <t>FEEDER FOR THYRISTOR CONTROL PANEL FOR NEW CONDENSATE ELECTRIC HEATER R-ETP-2022A H2 447KW 375A</t>
  </si>
  <si>
    <t>R-ESB-8002-B05-A</t>
  </si>
  <si>
    <t>FEEDER FOR THYRISTOR CONTROL PANEL FOR NEW CONDENSATE ELECTRIC HEATER R-ETP-2022B H2 447KW 375A</t>
  </si>
  <si>
    <t>E-PM-3018A</t>
  </si>
  <si>
    <t>SEAL SYSTEM CIRCULATION PUMP MOTOR IN RICH MEG CENTRIFUGE SKID-CENTRIFUGE A E-X-3006</t>
  </si>
  <si>
    <t>E-PM-3018B</t>
  </si>
  <si>
    <t>SEAL SYSTEM CIRCULATION PUMP MOTOR IN RICH MEG CENTRIFUGE SKID-CENTRIFUGE B E-X-3006</t>
  </si>
  <si>
    <t>E-PM-9102</t>
  </si>
  <si>
    <t>MOTOR ON AC WATER WASH PUMP DRIVE IN SGT-200 SINGLE SHAFT E-X-9111 WATER WASH MODULE</t>
  </si>
  <si>
    <t>E-ESSW-8026</t>
  </si>
  <si>
    <t>WELDING RECEPTACLE IN PRODUCED WATER STRIPPER AREA ABOVE GROUND CABLE ROUTING LAYOUT</t>
  </si>
  <si>
    <t>E-ESB-8012-A02-E</t>
  </si>
  <si>
    <t>FIRE WATER AND PRODUCED WATER STRIPPER AREA NORMAL LIGHTING E-EDB-8915 E1 30KW 55.6A</t>
  </si>
  <si>
    <t>E-ESB-8706-B03-B</t>
  </si>
  <si>
    <t>RAVEN SLUG CATCHER ESSENTIAL LIGHTING DISTRIBUTION BOARD E-EDB-8514 E1 12.75KW 39.7A</t>
  </si>
  <si>
    <t>E-ECP-4201-01</t>
  </si>
  <si>
    <t>LOCAL CONTROL PANEL IN HP/LP FLARE (FLARE STACKS) ABOVE GROUND CABLE ROUTING LAYOUT</t>
  </si>
  <si>
    <t>FA_INSL</t>
  </si>
  <si>
    <t>CLCP</t>
  </si>
  <si>
    <t>H5</t>
  </si>
  <si>
    <t>F5</t>
  </si>
  <si>
    <t>MAH Barrier: Transmitter, pressure and level switches, barrier, junction box, I/O card, controller card, communications card, Wiring Panels, system cable, control valves, positioners, network switches, HMI screens, UPS, Power cables, power supplies and power distribution.; MAH comment: Escalate where SIS or in SIL; IPL/LOPA = No; Regulatory override = No</t>
  </si>
  <si>
    <t>E-ECP-4201-02</t>
  </si>
  <si>
    <t>E-EMS-005</t>
  </si>
  <si>
    <t>WALL MOUNTED CONTROL SWITCH IN MATERIAL HANDLING AND LOGISTICS AREA EARTHING LAYOUT</t>
  </si>
  <si>
    <t>E-EMS-006</t>
  </si>
  <si>
    <t>E-EMS-007</t>
  </si>
  <si>
    <t>E-EMS-008</t>
  </si>
  <si>
    <t>E-EMS-009</t>
  </si>
  <si>
    <t>E-EEP-061</t>
  </si>
  <si>
    <t>EARTH ELECTRODE WITH INSPECTION PIT IN ELECTRICAL SUBSTATION 1 AREA EARTHING LAYOUT</t>
  </si>
  <si>
    <t>E-EEP-062</t>
  </si>
  <si>
    <t>E-EEP-080</t>
  </si>
  <si>
    <t>E-EEP-079</t>
  </si>
  <si>
    <t>E-EEP-078</t>
  </si>
  <si>
    <t>E-EEP-077</t>
  </si>
  <si>
    <t>E-EEP-076</t>
  </si>
  <si>
    <t>E-EEP-233</t>
  </si>
  <si>
    <t>E-EEP-063</t>
  </si>
  <si>
    <t>E-EEP-064</t>
  </si>
  <si>
    <t>E-EEP-065</t>
  </si>
  <si>
    <t>E-EEP-066</t>
  </si>
  <si>
    <t>E-EEP-067</t>
  </si>
  <si>
    <t>E-EEP-068</t>
  </si>
  <si>
    <t>E-EEP-069</t>
  </si>
  <si>
    <t>E-EEP-070</t>
  </si>
  <si>
    <t>E-EEP-071</t>
  </si>
  <si>
    <t>E-EEP-072</t>
  </si>
  <si>
    <t>E-EEP-073</t>
  </si>
  <si>
    <t>E-EEP-074</t>
  </si>
  <si>
    <t>E-EEP-075</t>
  </si>
  <si>
    <t>E-EEP-116</t>
  </si>
  <si>
    <t>EARTH ELECTRODE WITH INSPECTION PIT IN PRODUCED WATER STRIPPER AREA EARTHING LAYOUT</t>
  </si>
  <si>
    <t>E-EEP-131</t>
  </si>
  <si>
    <t>EARTH ELECTRODE WITH INSPECTION PIT IN ELECTRICAL SUBSTATION 2 AREA EARTHING LAYOUT</t>
  </si>
  <si>
    <t>E-EEP-132</t>
  </si>
  <si>
    <t>E-EEP-133</t>
  </si>
  <si>
    <t>E-EEP-134</t>
  </si>
  <si>
    <t>E-EEP-135</t>
  </si>
  <si>
    <t>E-EEP-136</t>
  </si>
  <si>
    <t>E-EEP-137</t>
  </si>
  <si>
    <t>E-EEP-138</t>
  </si>
  <si>
    <t>E-EEP-141</t>
  </si>
  <si>
    <t>E-EEP-140</t>
  </si>
  <si>
    <t>E-EEP-139</t>
  </si>
  <si>
    <t>E-ESB-8002-B10-D</t>
  </si>
  <si>
    <t>FEEDER FOR FLASH GAS COMPRESSOR CYLINDER LUBRICATION OIL PUMP MOTOR E-PM-2423 A1 0.18KW/0.22A</t>
  </si>
  <si>
    <t>E-ESB-8003-A03-F</t>
  </si>
  <si>
    <t>STREET LIGHTING DISTRIBUTION BOARD E-EDB-8901 ON SWITCHGEAR E-ESB-8003 12.8KW/23.9A</t>
  </si>
  <si>
    <t>E-ESB-8003-B03-F</t>
  </si>
  <si>
    <t>STREET LIGHTING DISTRIBUTION BOARD E-EDB-8902 ON SWITCHGEAR E-ESB-8003 12.8KW/23.9A</t>
  </si>
  <si>
    <t>E-ESB-8003-B04-D</t>
  </si>
  <si>
    <t>STREET LIGHTING DISTRIBUTION BOARD E-EDB-8903 ON SWITCHGEAR E-ESB-8003 12.8KW/23.9A</t>
  </si>
  <si>
    <t>E-EEH-9111A</t>
  </si>
  <si>
    <t>IMMERSION HEATER IN LUBE OIL TANK IN SGT-200 SINGLE SHAFT E-X-9111 LUBE OIL SYSTEM</t>
  </si>
  <si>
    <t>E-EEH-9111B</t>
  </si>
  <si>
    <t>E-EEH-9121A</t>
  </si>
  <si>
    <t>IMMERSION HEATER IN LUBE OIL TANK IN SGT-200 SINGLE SHAFT E-X-9121 LUBE OIL SYSTEM</t>
  </si>
  <si>
    <t>E-EEH-9121B</t>
  </si>
  <si>
    <t>E-EEH-9131A</t>
  </si>
  <si>
    <t>IMMERSION HEATER IN LUBE OIL TANK IN SGT-200 SINGLE SHAFT E-X-9131 LUBE OIL SYSTEM</t>
  </si>
  <si>
    <t>E-EEH-9131B</t>
  </si>
  <si>
    <t>E-EEH-9141A</t>
  </si>
  <si>
    <t>IMMERSION HEATER IN LUBE OIL TANK IN SGT-200 SINGLE SHAFT E-X-9141 LUBE OIL SYSTEM</t>
  </si>
  <si>
    <t>E-EEH-9141B</t>
  </si>
  <si>
    <t>E-ESSW-8001</t>
  </si>
  <si>
    <t>WELDING RECEPTACLE IN HP/LP FLARE (FLARE STACKS) ABOVE GROUND CABLE ROUTING LAYOUT</t>
  </si>
  <si>
    <t>E-EDB-8905-03-ELL09</t>
  </si>
  <si>
    <t>SINGLE STREET LIGHT FIXTURE (250W HPS) IN STREET LIGHT &amp; PERIMETER LIGHTING LAYOUT</t>
  </si>
  <si>
    <t>FA_EECF</t>
  </si>
  <si>
    <t>LIEL</t>
  </si>
  <si>
    <t>MAH Barrier: Emergency Lighting - supplied from Emergency Generator Switchboard; MAH comment: Emergency lighting, Ex non-emergency lighting; IPL/LOPA = No; Regulatory override = No</t>
  </si>
  <si>
    <t>E-EDB-8905-03-ELL10</t>
  </si>
  <si>
    <t>E-EDB-8905-03-ELL11</t>
  </si>
  <si>
    <t>E-EDB-8905-04-ELL05</t>
  </si>
  <si>
    <t>E-EDB-8905-04-ELL06</t>
  </si>
  <si>
    <t>E-EDB-8905-04-ELL07</t>
  </si>
  <si>
    <t>E-EDB-8905-04-ELL08</t>
  </si>
  <si>
    <t>E-EDB-8905-04-ELL09</t>
  </si>
  <si>
    <t>E-EDB-8905-04-ELL10</t>
  </si>
  <si>
    <t>E-EDB-8905-04-ELL11</t>
  </si>
  <si>
    <t>E-EDB-8905-04-ELL12</t>
  </si>
  <si>
    <t>E-EDB-8905-04-ELL13</t>
  </si>
  <si>
    <t>E-EDB-8905-05-ELL01</t>
  </si>
  <si>
    <t>E-EDB-8905-05-ELL02</t>
  </si>
  <si>
    <t>E-EDB-8905-05-ELL03</t>
  </si>
  <si>
    <t>E-EDB-8905-05-ELL04</t>
  </si>
  <si>
    <t>E-EDB-8905-05-ELL05</t>
  </si>
  <si>
    <t>E-EDB-8905-05-ELL06</t>
  </si>
  <si>
    <t>E-EDB-8905-05-ELL07</t>
  </si>
  <si>
    <t>E-EDB-8905-05-ELL08</t>
  </si>
  <si>
    <t>E-EDB-8905-05-ELL09</t>
  </si>
  <si>
    <t>E-EDB-8905-05-ELL10</t>
  </si>
  <si>
    <t>E-EDB-8905-05-ELL11</t>
  </si>
  <si>
    <t>E-EDB-8905-05-ELL12</t>
  </si>
  <si>
    <t>E-EDB-8905-05-ELL13</t>
  </si>
  <si>
    <t>E-EDB-8904-02-ELL12</t>
  </si>
  <si>
    <t>E-EDB-8904-02-ELL13</t>
  </si>
  <si>
    <t>E-EDB-8904-04-ELL12</t>
  </si>
  <si>
    <t>E-EEB-293</t>
  </si>
  <si>
    <t>EARTH BUSBAR IN CONDENSATE TREATMENT AND FLASH GAS COMPRESSOR AREA EARTHING LAYOUT</t>
  </si>
  <si>
    <t>E-EEB-294</t>
  </si>
  <si>
    <t>E-EEB-295</t>
  </si>
  <si>
    <t>E-EEB-296</t>
  </si>
  <si>
    <t>E-EEB-297</t>
  </si>
  <si>
    <t>E-EEB-292</t>
  </si>
  <si>
    <t>E-EDB-8901-01-ELL01</t>
  </si>
  <si>
    <t>E-EDB-8901-01-ELL02</t>
  </si>
  <si>
    <t>E-EDB-8901-01-ELL03</t>
  </si>
  <si>
    <t>E-EDB-8901-01-ELL04</t>
  </si>
  <si>
    <t>E-EDB-8901-01-ELL05</t>
  </si>
  <si>
    <t>E-EDB-8901-01-ELL06</t>
  </si>
  <si>
    <t>E-EDB-8901-01-ELL07</t>
  </si>
  <si>
    <t>E-EDB-8901-01-ELL08</t>
  </si>
  <si>
    <t>E-EDB-8901-01-ELL09</t>
  </si>
  <si>
    <t>E-EDB-8901-01-ELL10</t>
  </si>
  <si>
    <t>E-EDB-8901-01-ELL11</t>
  </si>
  <si>
    <t>E-EDB-8901-01-ELL12</t>
  </si>
  <si>
    <t>E-EDB-8901-01-ELL13</t>
  </si>
  <si>
    <t>E-EDB-8901-02-ELL01</t>
  </si>
  <si>
    <t>E-EDB-8901-02-ELL02</t>
  </si>
  <si>
    <t>E-EDB-8901-02-ELL03</t>
  </si>
  <si>
    <t>E-EDB-8901-02-ELL04</t>
  </si>
  <si>
    <t>E-EDB-8901-02-ELL05</t>
  </si>
  <si>
    <t>E-EDB-8901-02-ELL06</t>
  </si>
  <si>
    <t>E-EDB-8901-02-ELL07</t>
  </si>
  <si>
    <t>E-EDB-8901-02-ELL08</t>
  </si>
  <si>
    <t>E-EDB-8901-02-ELL09</t>
  </si>
  <si>
    <t>E-EDB-8901-02-ELL10</t>
  </si>
  <si>
    <t>E-EDB-8901-02-ELL11</t>
  </si>
  <si>
    <t>E-EDB-8901-02-ELL12</t>
  </si>
  <si>
    <t>E-EDB-8901-03-ELL01</t>
  </si>
  <si>
    <t>E-EDB-8901-03-ELL02</t>
  </si>
  <si>
    <t>E-EDB-8901-03-ELL03</t>
  </si>
  <si>
    <t>E-EDB-8901-03-ELL04</t>
  </si>
  <si>
    <t>E-EDB-8901-03-ELL05</t>
  </si>
  <si>
    <t>E-EDB-8901-03-ELL06</t>
  </si>
  <si>
    <t>E-EDB-8901-03-ELL07</t>
  </si>
  <si>
    <t>E-EDB-8901-03-ELL08</t>
  </si>
  <si>
    <t>E-EDB-8901-03-ELL09</t>
  </si>
  <si>
    <t>E-EDB-8901-03-ELL10</t>
  </si>
  <si>
    <t>E-EDB-8901-03-ELL11</t>
  </si>
  <si>
    <t>E-EDB-8902-01-ELL01</t>
  </si>
  <si>
    <t>E-EDB-8902-01-ELL02</t>
  </si>
  <si>
    <t>E-EDB-8902-01-ELL03</t>
  </si>
  <si>
    <t>E-EDB-8902-01-ELL04</t>
  </si>
  <si>
    <t>E-EDB-8902-01-ELL05</t>
  </si>
  <si>
    <t>E-EDB-8902-01-ELL06</t>
  </si>
  <si>
    <t>E-EDB-8902-01-ELL07</t>
  </si>
  <si>
    <t>E-EDB-8902-01-ELL08</t>
  </si>
  <si>
    <t>E-EDB-8902-01-ELL09</t>
  </si>
  <si>
    <t>E-EDB-8902-01-ELL10</t>
  </si>
  <si>
    <t>E-EDB-8902-01-ELL11</t>
  </si>
  <si>
    <t>E-EDB-8902-01-ELL12</t>
  </si>
  <si>
    <t>E-EDB-8902-01-ELL13</t>
  </si>
  <si>
    <t>E-EDB-8902-02-ELL01</t>
  </si>
  <si>
    <t>E-EDB-8902-02-ELL02</t>
  </si>
  <si>
    <t>E-EDB-8902-02-ELL03</t>
  </si>
  <si>
    <t>E-EDB-8902-02-ELL04</t>
  </si>
  <si>
    <t>E-EDB-8902-02-ELL05</t>
  </si>
  <si>
    <t>E-EDB-8902-02-ELL06</t>
  </si>
  <si>
    <t>E-EDB-8902-02-ELL07</t>
  </si>
  <si>
    <t>E-EDB-8902-02-ELL08</t>
  </si>
  <si>
    <t>E-EDB-8902-02-ELL09</t>
  </si>
  <si>
    <t>E-EDB-8902-02-ELL10</t>
  </si>
  <si>
    <t>E-EDB-8902-02-ELL11</t>
  </si>
  <si>
    <t>E-EDB-8902-02-ELL12</t>
  </si>
  <si>
    <t>E-EDB-8902-02-ELL13</t>
  </si>
  <si>
    <t>E-EDB-8902-03-ELL01</t>
  </si>
  <si>
    <t>E-EDB-8902-03-ELL02</t>
  </si>
  <si>
    <t>E-EDB-8902-03-ELL03</t>
  </si>
  <si>
    <t>E-EDB-8902-03-ELL04</t>
  </si>
  <si>
    <t>E-EDB-8902-03-ELL05</t>
  </si>
  <si>
    <t>E-EDB-8902-03-ELL06</t>
  </si>
  <si>
    <t>E-EDB-8902-03-ELL07</t>
  </si>
  <si>
    <t>E-EDB-8902-03-ELL08</t>
  </si>
  <si>
    <t>E-EDB-8902-03-ELL09</t>
  </si>
  <si>
    <t>E-EDB-8902-03-ELL10</t>
  </si>
  <si>
    <t>E-EDB-8902-03-ELL11</t>
  </si>
  <si>
    <t>E-EDB-8902-03-ELL12</t>
  </si>
  <si>
    <t>E-EDB-8902-04-ELL01</t>
  </si>
  <si>
    <t>E-EDB-8902-04-ELL02</t>
  </si>
  <si>
    <t>E-EDB-8902-04-ELL03</t>
  </si>
  <si>
    <t>E-EDB-8902-04-ELL05</t>
  </si>
  <si>
    <t>E-EDB-8902-04-ELL06</t>
  </si>
  <si>
    <t>E-EDB-8903-01-ELL01</t>
  </si>
  <si>
    <t>E-EDB-8903-01-ELL02</t>
  </si>
  <si>
    <t>E-EDB-8903-01-ELL03</t>
  </si>
  <si>
    <t>E-EDB-8903-01-ELL04</t>
  </si>
  <si>
    <t>E-EDB-8903-01-ELL05</t>
  </si>
  <si>
    <t>E-EDB-8903-01-ELL06</t>
  </si>
  <si>
    <t>E-EDB-8903-01-ELL07</t>
  </si>
  <si>
    <t>E-EDB-8903-01-ELL08</t>
  </si>
  <si>
    <t>E-EDB-8903-01-ELL09</t>
  </si>
  <si>
    <t>E-EDB-8903-02-ELL01</t>
  </si>
  <si>
    <t>E-EDB-8903-02-ELL02</t>
  </si>
  <si>
    <t>E-EDB-8903-02-ELL03</t>
  </si>
  <si>
    <t>E-EDB-8903-02-ELL04</t>
  </si>
  <si>
    <t>E-EDB-8903-02-ELL05</t>
  </si>
  <si>
    <t>E-EDB-8903-02-ELL06</t>
  </si>
  <si>
    <t>E-EDB-8903-02-ELL07</t>
  </si>
  <si>
    <t>E-EDB-8903-02-ELL08</t>
  </si>
  <si>
    <t>E-EDB-8903-02-ELL09</t>
  </si>
  <si>
    <t>E-EDB-8903-03-ELL01</t>
  </si>
  <si>
    <t>E-EDB-8903-03-ELL02</t>
  </si>
  <si>
    <t>E-EDB-8903-03-ELL03</t>
  </si>
  <si>
    <t>E-EDB-8903-03-ELL04</t>
  </si>
  <si>
    <t>E-EDB-8903-03-ELL05</t>
  </si>
  <si>
    <t>E-EDB-8903-03-ELL06</t>
  </si>
  <si>
    <t>E-EDB-8903-03-ELL07</t>
  </si>
  <si>
    <t>E-EDB-8903-03-ELL08</t>
  </si>
  <si>
    <t>E-EDB-8903-03-ELL09</t>
  </si>
  <si>
    <t>E-EDB-8904-01-ELL01</t>
  </si>
  <si>
    <t>E-EDB-8904-01-ELL02</t>
  </si>
  <si>
    <t>E-EDB-8904-01-ELL03</t>
  </si>
  <si>
    <t>E-EDB-8904-01-ELL04</t>
  </si>
  <si>
    <t>E-EDB-8904-01-ELL05</t>
  </si>
  <si>
    <t>E-EDB-8904-01-ELL06</t>
  </si>
  <si>
    <t>E-EDB-8904-01-ELL07</t>
  </si>
  <si>
    <t>E-EDB-8904-01-ELL08</t>
  </si>
  <si>
    <t>E-EDB-8904-01-ELL09</t>
  </si>
  <si>
    <t>E-EDB-8904-02-ELL01</t>
  </si>
  <si>
    <t>E-EDB-8904-02-ELL02</t>
  </si>
  <si>
    <t>E-EDB-8904-02-ELL03</t>
  </si>
  <si>
    <t>E-EDB-8904-02-ELL04</t>
  </si>
  <si>
    <t>E-EDB-8904-03-ELL01</t>
  </si>
  <si>
    <t>E-EDB-8904-03-ELL02</t>
  </si>
  <si>
    <t>E-EDB-8904-03-ELL03</t>
  </si>
  <si>
    <t>E-EDB-8904-03-ELL04</t>
  </si>
  <si>
    <t>E-EDB-8904-03-ELL05</t>
  </si>
  <si>
    <t>E-EDB-8904-03-ELL06</t>
  </si>
  <si>
    <t>E-EDB-8904-04-ELL01</t>
  </si>
  <si>
    <t>E-EDB-8904-04-ELL02</t>
  </si>
  <si>
    <t>E-EDB-8904-04-ELL03</t>
  </si>
  <si>
    <t>E-EDB-8904-04-ELL04</t>
  </si>
  <si>
    <t>E-EDB-8904-04-ELL05</t>
  </si>
  <si>
    <t>E-EDB-8904-04-ELL06</t>
  </si>
  <si>
    <t>E-EDB-8904-04-ELL07</t>
  </si>
  <si>
    <t>E-EDB-8904-04-ELL08</t>
  </si>
  <si>
    <t>E-EDB-8904-04-ELL09</t>
  </si>
  <si>
    <t>E-EDB-8904-04-ELL10</t>
  </si>
  <si>
    <t>E-EDB-8905-01-ELL01</t>
  </si>
  <si>
    <t>E-EDB-8905-01-ELL02</t>
  </si>
  <si>
    <t>E-EDB-8905-01-ELL03</t>
  </si>
  <si>
    <t>E-EDB-8905-01-ELL04</t>
  </si>
  <si>
    <t>E-EDB-8905-01-ELL05</t>
  </si>
  <si>
    <t>E-EDB-8905-01-ELL06</t>
  </si>
  <si>
    <t>E-EDB-8905-01-ELL07</t>
  </si>
  <si>
    <t>E-EDB-8905-01-ELL08</t>
  </si>
  <si>
    <t>E-EDB-8905-01-ELL09</t>
  </si>
  <si>
    <t>E-EDB-8905-01-ELL10</t>
  </si>
  <si>
    <t>E-EDB-8905-01-ELL11</t>
  </si>
  <si>
    <t>E-EDB-8905-01-ELL12</t>
  </si>
  <si>
    <t>E-EDB-8905-01-ELL13</t>
  </si>
  <si>
    <t>E-EDB-8905-02-ELL01</t>
  </si>
  <si>
    <t>E-EDB-8905-02-ELL02</t>
  </si>
  <si>
    <t>E-EDB-8905-02-ELL03</t>
  </si>
  <si>
    <t>E-EDB-8905-02-ELL04</t>
  </si>
  <si>
    <t>E-EDB-8905-02-ELL05</t>
  </si>
  <si>
    <t>E-EDB-8905-02-ELL06</t>
  </si>
  <si>
    <t>E-EDB-8905-02-ELL07</t>
  </si>
  <si>
    <t>E-EDB-8905-02-ELL08</t>
  </si>
  <si>
    <t>E-EDB-8905-02-ELL09</t>
  </si>
  <si>
    <t>E-EDB-8905-02-ELL10</t>
  </si>
  <si>
    <t>E-EDB-8905-02-ELL11</t>
  </si>
  <si>
    <t>E-EDB-8905-03-ELL01</t>
  </si>
  <si>
    <t>E-EDB-8905-03-ELL02</t>
  </si>
  <si>
    <t>E-EDB-8905-03-ELL03</t>
  </si>
  <si>
    <t>E-EDB-8905-03-ELL04</t>
  </si>
  <si>
    <t>E-EDB-8905-03-ELL05</t>
  </si>
  <si>
    <t>E-EDB-8905-03-ELL06</t>
  </si>
  <si>
    <t>E-EDB-8905-03-ELL07</t>
  </si>
  <si>
    <t>E-EDB-8905-03-ELL08</t>
  </si>
  <si>
    <t>E-EDB-8905-04-ELL01</t>
  </si>
  <si>
    <t>E-EDB-8905-04-ELL02</t>
  </si>
  <si>
    <t>E-EDB-8905-04-ELL04</t>
  </si>
  <si>
    <t>E-ESSW-8032</t>
  </si>
  <si>
    <t>WELDING RECEPTACLE IN GAS TREATMENT AREA TRAIN-1 ABOVE GROUND CABLE ROUTING LAYOUT</t>
  </si>
  <si>
    <t>E-ESB-8003-A05-C</t>
  </si>
  <si>
    <t>CONDENSATE TREATMENT AND FLASH GAS COMPRESSOR AREA SMALL POWER E-EDB-8922 4.5KW/8A</t>
  </si>
  <si>
    <t>R-ETP-2022A</t>
  </si>
  <si>
    <t>THYRISTOR CONTROL PANEL FOR 400 V, 340 KW, 50 HZ - NEW CONDENSATE ELECTRIC HEATER</t>
  </si>
  <si>
    <t>E-PM-9113</t>
  </si>
  <si>
    <t>EMERGENCY LUBE OIL PUMP DC MOTOR IN SGT-200 SINGLE SHAFT E-X-9111 LUBE OIL SYSTEM</t>
  </si>
  <si>
    <t>E-PM-9123</t>
  </si>
  <si>
    <t>EMERGENCY LUBE OIL PUMP DC MOTOR IN SGT-200 SINGLE SHAFT E-X-9121 LUBE OIL SYSTEM</t>
  </si>
  <si>
    <t>E-PM-9133</t>
  </si>
  <si>
    <t>EMERGENCY LUBE OIL PUMP DC MOTOR IN SGT-200 SINGLE SHAFT E-X-9131 LUBE OIL SYSTEM</t>
  </si>
  <si>
    <t>E-PM-9143</t>
  </si>
  <si>
    <t>EMERGENCY LUBE OIL PUMP DC MOTOR IN SGT-200 SINGLE SHAFT E-X-9141 LUBE OIL SYSTEM</t>
  </si>
  <si>
    <t>R-ETP-2022B</t>
  </si>
  <si>
    <t>E-EEP-007</t>
  </si>
  <si>
    <t>EARTH ELECTRODE WITH INSPECTION PIT IN HP/LP FLARE (FLARE STACKS) EARTHING LAYOUT</t>
  </si>
  <si>
    <t>E-EEP-006</t>
  </si>
  <si>
    <t>E-ESB-8003-B05-C</t>
  </si>
  <si>
    <t>HP LP KO DRUMS AND INTERCONNECTING PIPERACK NORMAL LIGHTING E-EDB-8917 45KW/76.4A</t>
  </si>
  <si>
    <t>E-ESB-8012-C03-C</t>
  </si>
  <si>
    <t>MATERIAL HANDLING AND LOGISTICS AREA ESSENTIAL LIGHTING E-EDB-8505 E1 8.5KW 15.9A</t>
  </si>
  <si>
    <t>E-ESB-8002-B17-A</t>
  </si>
  <si>
    <t>FEEDER FOR FLASH GAS COMPRESSOR CRANK CASE LUBE OIL TANK HEATER E-EUP-8804A C1 160KW/167.4A</t>
  </si>
  <si>
    <t>E-KEM-9113A</t>
  </si>
  <si>
    <t>ENCLOSURE VENTILATION FAN MOTOR IN SGT-200 SINGLE SHAFT E-X-9111 TURBINE PACKAGE</t>
  </si>
  <si>
    <t>E-KEM-9113B</t>
  </si>
  <si>
    <t>E-KEM-9123A</t>
  </si>
  <si>
    <t>ENCLOSURE VENTILATION FAN MOTOR IN SGT-200 SINGLE SHAFT E-X-9121 TURBINE PACKAGE</t>
  </si>
  <si>
    <t>E-KEM-9123B</t>
  </si>
  <si>
    <t>E-KEM-9133A</t>
  </si>
  <si>
    <t>ENCLOSURE VENTILATION FAN MOTOR IN SGT-200 SINGLE SHAFT E-X-9131 TURBINE PACKAGE</t>
  </si>
  <si>
    <t>E-KEM-9133B</t>
  </si>
  <si>
    <t>E-KEM-9143A</t>
  </si>
  <si>
    <t>ENCLOSURE VENTILATION FAN MOTOR IN SGT-200 SINGLE SHAFT E-X-9141 TURBINE PACKAGE</t>
  </si>
  <si>
    <t>E-KEM-9143B</t>
  </si>
  <si>
    <t>E-EDB-8502-02</t>
  </si>
  <si>
    <t>CCT-02 02-ELL01 TO 02-ELL18 FENCE LIGHT FOR NORTH AND EAST PERIMETER FENCE AREAS</t>
  </si>
  <si>
    <t>E-EDB-8502-03</t>
  </si>
  <si>
    <t>CCT-03 03-ELL01 TO 03-ELL18 FENCE LIGHT FOR NORTH AND EAST PERIMETER FENCE AREAS</t>
  </si>
  <si>
    <t>E-EDB-8503-01</t>
  </si>
  <si>
    <t>CCT-01 01-ELL01 TO 01-ELL18 FENCE LIGHT FOR EAST AND SOUTH PERIMETER FENCE AREAS</t>
  </si>
  <si>
    <t>E-EDB-8813-02</t>
  </si>
  <si>
    <t>CCT-002 E28FT060 FLOW-TRANSMITTER-CORIOLIS REMOTE MTD (FF) FLOW AT PAJB AREA UPS</t>
  </si>
  <si>
    <t>E-EDB-8813-03</t>
  </si>
  <si>
    <t>CCT-003 E66FT020 FLOW-TRANSMITTER-CORIOLIS REMOTE MTD (FF) FLOW AT PAJB AREA UPS</t>
  </si>
  <si>
    <t>E-EDB-8813-05</t>
  </si>
  <si>
    <t>CCT-005 E21AT069 ANALYSIS-TRANSMITTER-REID VAPOUR PRES ANALYZER AT PAGA AREA UPS</t>
  </si>
  <si>
    <t>E-ESB-8003-A03-C</t>
  </si>
  <si>
    <t>TSA REGENERATION GAS FIRED HEATER PILOT DISTRIBUTION BOARD E-EDB-8940 15KW/25.5A</t>
  </si>
  <si>
    <t>E-ESB-8003-B06-C</t>
  </si>
  <si>
    <t>TSA REGENERATION GAS FIRED HEATER PILOT DISTRIBUTION BOARD E-EDB-8941 15KW/25.5A</t>
  </si>
  <si>
    <t>E-ESB-8012-A04-B</t>
  </si>
  <si>
    <t>FIRE WATER AND PRODUCED WATER STRIPPER AREA SMALL POWER E-EDB-8923 B2 4.3KW 7.9A</t>
  </si>
  <si>
    <t>E-ETP-5212</t>
  </si>
  <si>
    <t>THYRISTOR CONTROL PANEL FOR 690 V, 180 KW, 50 HZ - MEG CHEMICAL CLEANING HEATER</t>
  </si>
  <si>
    <t>E-ETP-5203</t>
  </si>
  <si>
    <t>E-EDB-8813-04</t>
  </si>
  <si>
    <t>CCT-004 E21FT064 FLOW-TRANSMITTER-CORIOLIS REMOTE MTD (FF)FLOW AT PAGA AREA UPS</t>
  </si>
  <si>
    <t>E-EDB-8813-08</t>
  </si>
  <si>
    <t>CCT-008 E21FT088 FLOW-TRANSMITTER-ULTRASONIC REM MTD (FF) FLOW AT PAGA AREA UPS</t>
  </si>
  <si>
    <t>E-EDB-8813-09</t>
  </si>
  <si>
    <t>CCT-009 E21FT092 FLOW-TRANSMITTER-ULTRASONIC REM MTD (FF) FLOW AT PAGA AREA UPS</t>
  </si>
  <si>
    <t>E-EDB-8813-10</t>
  </si>
  <si>
    <t>CCT-010 E21FT119 FLOW-TRANSMITTER-ULTRASONIC REM MTD (FF) FLOW AT PAGA AREA UPS</t>
  </si>
  <si>
    <t>E-ESB-8001-D03</t>
  </si>
  <si>
    <t>FEEDER FOR DUMMY PANEL AND BUSBAR EARTHING KEY EXCHANGE BOX BUS-B ON SWITCHGEAR E-ESB-8001</t>
  </si>
  <si>
    <t>E-ESB-8001-A04</t>
  </si>
  <si>
    <t>6.6KV/720V TRANSFORMER CUBICLE FOR E-ETR-8002A ON SWITCHGEAR E-ESB-8001 4000KVA</t>
  </si>
  <si>
    <t>FA_EEPBV</t>
  </si>
  <si>
    <t>VACB</t>
  </si>
  <si>
    <t>MAH Barrier: Equipment that is required to remain energized in the event of an incident (e.g. Tannoy and beacon systems, emergency lighting, emergency generation etc).; MAH comment: Assumed part of emergency curcuit until reviewed otherwise; IPL/LOPA = No; Regulatory override = No</t>
  </si>
  <si>
    <t>E-ESB-8001-A05</t>
  </si>
  <si>
    <t>6.6KV/720V TRANSFORMER CUBICLE FOR E-ETR-8011A ON SWITCHGEAR E-ESB-8001 4000KVA</t>
  </si>
  <si>
    <t>E-ESB-8001-A06</t>
  </si>
  <si>
    <t>6.6KV/720V TRANSFORMER CUBICLE FOR E-ETR-8701A ON SWITCHGEAR E-ESB-8001 3150KVA</t>
  </si>
  <si>
    <t>E-ESB-8001-A08</t>
  </si>
  <si>
    <t>6.6KV/420V TRANSFORMER CUBICLE FOR E-ETR-8003A ON SWITCHGEAR E-ESB-8001 1000KVA</t>
  </si>
  <si>
    <t>E-ESB-8012-B02-C</t>
  </si>
  <si>
    <t>MATERIAL HANDLING AND LOGISTICS AREA NORMAL LIGHTING E-EDB-8918 E1 25.5KW 47.6A</t>
  </si>
  <si>
    <t>R-ETP-2001B</t>
  </si>
  <si>
    <t>THYRISTOR CONTROL PANEL FOR 690 V, 605 KW, 50 HZ - SLUG CATCHER BOTTOMS HEATER</t>
  </si>
  <si>
    <t>E-EDB-8813-06</t>
  </si>
  <si>
    <t>CCT-006 E21FT068 FLOW-TRANSMITTER-ULTRASONIC REM MTD (FF)FLOW AT PAGA AREA UPS</t>
  </si>
  <si>
    <t>E-ESB-8002-A07-C</t>
  </si>
  <si>
    <t>FEEDER FOR COMMON OFFSHORE CORROSION INHIBITOR DOSING PUMP MOTOR E-PM-5101A A1 2.2KW/2.6A</t>
  </si>
  <si>
    <t>E-ESB-8002-A09-D</t>
  </si>
  <si>
    <t>FEEDER FOR FLASH GAS COMPRESSOR CYLINDER LUBRICATION PUMP MOTOR E-PM-2413 A1 0.18KW/0.22A</t>
  </si>
  <si>
    <t>E-ESB-8002-B11-D</t>
  </si>
  <si>
    <t>FEEDER FOR COMMON OFFSHORE CORROSION INHIBITOR DOSING PUMP MOTOR E-PM-5101B A1 2.2KW/2.6A</t>
  </si>
  <si>
    <t>E-ESB-8011-B07-G</t>
  </si>
  <si>
    <t>FEEDER FOR RICH MEG PRE-TREATMENT VESSEL SODIUM CARBONATE DOSING PUMP MOTOR E-PM-5207B A1</t>
  </si>
  <si>
    <t>E-EDB-8803A-01</t>
  </si>
  <si>
    <t>CCT-001 E-IPD-8850 LER-2 CONTROL SYSTEM POWER DISTRIBUTION CABINET 1 FEEDER-1</t>
  </si>
  <si>
    <t>E-EDB-8803B-01</t>
  </si>
  <si>
    <t>CCT-001 E-IPD-8850 LER-2 CONTROL SYSTEM POWER DISTRIBUTION CABINET 1 FEEDER-2</t>
  </si>
  <si>
    <t>E-EDB-8804A-01</t>
  </si>
  <si>
    <t>CCT-001 E-IPD-8820 LER-1 CONTROL SYSTEM POWER DISTRIBUTION CABINET 1 FEEDER-1</t>
  </si>
  <si>
    <t>E-EDB-8804A-29</t>
  </si>
  <si>
    <t>CCT-029 SPARE 
HIGH SENSITIVITY SMOKE DETECTOR PANEL (HSSD DB - SUBSTATION-1)</t>
  </si>
  <si>
    <t>E-EDB-8804B-01</t>
  </si>
  <si>
    <t>CCT-001 E-IPD-8820 LER-1 CONTROL SYSTEM POWER DISTRIBUTION CABINET 1 FEEDER-2</t>
  </si>
  <si>
    <t>E-EDB-8804B-26</t>
  </si>
  <si>
    <t>CCT-026 SPARE 
HIGH SENSITIVITY SMOKE DETECTOR PANEL (HSSD DB - SUBSTATION-1)</t>
  </si>
  <si>
    <t>E-ESSW-8020</t>
  </si>
  <si>
    <t>WELDING RECEPTACLE IN MATERIAL HANDLING AND LOGISTIC AREA ABOVE GROUND LAYOUT</t>
  </si>
  <si>
    <t>E-EEP-009</t>
  </si>
  <si>
    <t>EARTH ELECTRODE WITH INSPECTION PIT IN HP/LP FLARE (KO DRUMS) EARTHING LAYOUT</t>
  </si>
  <si>
    <t>E-EEP-008</t>
  </si>
  <si>
    <t>E-ESB-8011-A05-E</t>
  </si>
  <si>
    <t>FEEDER FOR RICH MEG PRE-TREATMENT VESSEL SODIUM CARBONATE DOSING PUMP MOTOR E-PM-5207A A1</t>
  </si>
  <si>
    <t>E-ETP-4602A</t>
  </si>
  <si>
    <t>THYRISTOR CONTROL PANEL FOR 690 V, 460 KW, 50 HZ - FUEL GAS HEATER E-H-4602A</t>
  </si>
  <si>
    <t>E-ETP-4602B</t>
  </si>
  <si>
    <t>THYRISTOR CONTROL PANEL FOR 690 V, 460 KW, 50 HZ - FUEL GAS HEATER E-H-4602B</t>
  </si>
  <si>
    <t>E-KM-6521</t>
  </si>
  <si>
    <t>COMPRESSOR 1 MAIN DRIVE MOTOR IN COMPRESSOR 2 E-X-6521 ON COMPRESSOR PACKAGE</t>
  </si>
  <si>
    <t>E-KM-6531</t>
  </si>
  <si>
    <t>COMPRESSOR 1 MAIN DRIVE MOTOR IN COMPRESSOR 3 E-X-6531 ON COMPRESSOR PACKAGE</t>
  </si>
  <si>
    <t>E-KM-6541</t>
  </si>
  <si>
    <t>COMPRESSOR 1 MAIN DRIVE MOTOR IN COMPRESSOR 4 E-X-6541 ON COMPRESSOR PACKAGE</t>
  </si>
  <si>
    <t>E-KM-6551</t>
  </si>
  <si>
    <t>COMPRESSOR 1 MAIN DRIVE MOTOR IN COMPRESSOR 5 E-X-6551 ON COMPRESSOR PACKAGE</t>
  </si>
  <si>
    <t>E-EEP-051</t>
  </si>
  <si>
    <t>EARTH ELECTRODE WITH INSPECTION PIT IN CONTROL BUILDING AREA EARTHING LAYOUT</t>
  </si>
  <si>
    <t>E-EEP-052</t>
  </si>
  <si>
    <t>E-EEP-053</t>
  </si>
  <si>
    <t>E-EEP-054</t>
  </si>
  <si>
    <t>E-EDB-8510</t>
  </si>
  <si>
    <t>ESSENTIAL DISTRIBUTION BOARD IN PRODUCED WATER STRIPPER AREA EARTHING LAYOUT</t>
  </si>
  <si>
    <t>E-ESB-8002-A02-A</t>
  </si>
  <si>
    <t>INCOMER FROM 6.6KV/720V TRANSFORMER E-ETR-8002A ON LV SWITCHBOARD E-ESB-8002</t>
  </si>
  <si>
    <t>E-ESB-8002-B02-A</t>
  </si>
  <si>
    <t>INCOMER FROM 6.6KV/720V TRANSFORMER E-ETR-8002B ON LV SWITCHBOARD E-ESB-8002</t>
  </si>
  <si>
    <t>E-ESB-8702-A05-C</t>
  </si>
  <si>
    <t>FEEDER FOR GAS TURBINE LUBE OIL COOLER FAN MOTOR E-KEM-9111C FOR E-G-9111 A1 11KW 14.9A</t>
  </si>
  <si>
    <t>E-ESB-8702-A05-E</t>
  </si>
  <si>
    <t>FEEDER FOR GAS TURBINE LUBE OIL COOLER FAN MOTOR E-KEM-9111B FOR E-G-9111 A1 11KW 14.9A</t>
  </si>
  <si>
    <t>E-ESB-8703-A05-C</t>
  </si>
  <si>
    <t>FEEDER FOR GAS TURBINE LUBE OIL COOLER FAN MOTOR E-KEM-9121C FOR E-G-9121 A1 11KW 14.9A</t>
  </si>
  <si>
    <t>E-ESB-8703-A05-E</t>
  </si>
  <si>
    <t>FEEDER FOR GAS TURBINE LUBE OIL COOLER FAN MOTOR E-KEM-9121B FOR E-G-9121 A1 11KW 14.9A</t>
  </si>
  <si>
    <t>E-ESB-8704-A05-C</t>
  </si>
  <si>
    <t>FEEDER FOR GAS TURBINE LUBE OIL COOLER FAN MOTOR E-KEM-9131C FOR E-G-9131 A1 11KW 14.9A</t>
  </si>
  <si>
    <t>E-ESB-8704-A05-E</t>
  </si>
  <si>
    <t>FEEDER FOR GAS TURBINE LUBE OIL COOLER FAN MOTOR E-KEM-9131B FOR E-G-9131 A1 11KW 14.9A</t>
  </si>
  <si>
    <t>E-ESB-8705-A05-C</t>
  </si>
  <si>
    <t>FEEDER FOR GAS TURBINE LUBE OIL COOLER FAN MOTOR E-KEM-9141C FOR E-G-9141 A1 11KW 14.9A</t>
  </si>
  <si>
    <t>E-ESB-8705-A05-E</t>
  </si>
  <si>
    <t>FEEDER FOR GAS TURBINE LUBE OIL COOLER FAN MOTOR E-KEM-9141B FOR E-G-9141 A1 11KW 14.9A</t>
  </si>
  <si>
    <t>E-ESB-8003-B06-F</t>
  </si>
  <si>
    <t>GAS TREATMENT AREA NORMAL LIGHTING DISTRIBUTION BOARD E-EDB-8907 60KW/101.9A</t>
  </si>
  <si>
    <t>E-ESB-8706-B04-B</t>
  </si>
  <si>
    <t>SUBSTATION 1 ESSENTIAL SMALL POWER DISTRIBUTION BOARD E-EDB-8507 C1 10KW 17A</t>
  </si>
  <si>
    <t>E-ESB-8002-A24-A</t>
  </si>
  <si>
    <t>FEEDER FOR AC UPS B MAINTENANCE BYPASS CENTRAL CONTROL BUILDING AND PMS C1 96KW/100.4A</t>
  </si>
  <si>
    <t>E-CEM-3006A</t>
  </si>
  <si>
    <t>RICH MEG CENTRIFUGE MOTOR IN RICH MEG CENTRIFUGE SKID-CENTRIFUGE A E-X-3006</t>
  </si>
  <si>
    <t>E-CEM-3006B</t>
  </si>
  <si>
    <t>RICH MEG CENTRIFUGE MOTOR IN RICH MEG CENTRIFUGE SKID-CENTRIFUGE B E-X-3006</t>
  </si>
  <si>
    <t>E-EDB-8813-11</t>
  </si>
  <si>
    <t>CCT-011 E21FZT182 FLOW-TRANSMITTER-ULTRASONIC REM MTD FLOW AT PAGA AREA UPS</t>
  </si>
  <si>
    <t>E-ESB-8001-B03</t>
  </si>
  <si>
    <t>6.6KV/3.3KV TRANSFORMER INTERCONNECTION WITH GIZA-FAYOUM R-ETR-8020 7500KVA</t>
  </si>
  <si>
    <t>E-ESB-8012-B03-E</t>
  </si>
  <si>
    <t>MEG RECOVERY AND PROCESSING AREA NORMAL LIGHTING E-EDB-8912 E1 12.8KW 23.8A</t>
  </si>
  <si>
    <t>E-ESB-8012-A06-D</t>
  </si>
  <si>
    <t>SUBSTATION 2 NORMAL SMALL POWER DISTRIBUTION BOARD E-EDB-8943 E1 10KW 16.9A</t>
  </si>
  <si>
    <t>E-PM-3014</t>
  </si>
  <si>
    <t>LUBE OIL PUMP MOTOR IN RICH MEG CENTRIFUGE SKID-LUBE OIL SYSTEM B E-X-3006</t>
  </si>
  <si>
    <t>E-ESB-8003-B03-E</t>
  </si>
  <si>
    <t>HP LP FLARE AND PIG RECEIVING AREA NORMAL LIGHTING E-EDB-8920 21.3KW/39.7A</t>
  </si>
  <si>
    <t>E-ESB-8003-B06-G</t>
  </si>
  <si>
    <t>LEAN MEG STORAGE TANKS AND EXPORT PUMPS SMALL POWER E-EDB-8924 8.5KW/15.9A</t>
  </si>
  <si>
    <t>E-ESB-8002-A15-G</t>
  </si>
  <si>
    <t>FEEDER FOR FLASH GAS COMPRESSOR CRANK CASE LUBRICATION OIL TANK HEATER H1 1.5KW/1.3A</t>
  </si>
  <si>
    <t>E-EDB-8802A-01</t>
  </si>
  <si>
    <t>CCT-001 E-IPD-8800 CCB CONTROL SYSTEM POWER DISTRIBUTION BOARD 1 FEEDER-1</t>
  </si>
  <si>
    <t>E-EDB-8802B-01</t>
  </si>
  <si>
    <t>CCT-001 E-IPD-8800 CCB CONTROL SYSTEM POWER DISTRIBUTION BOARD 1 FEEDER-2</t>
  </si>
  <si>
    <t>E-EDB-8503-02-ELL01</t>
  </si>
  <si>
    <t>FLOOD LIGHT FIXTURE (70W HPS) IN STREET LIGHT &amp; PERIMETER LIGHTING LAYOUT</t>
  </si>
  <si>
    <t>E-EDB-8503-02-ELL02</t>
  </si>
  <si>
    <t>E-EDB-8503-02-ELL03</t>
  </si>
  <si>
    <t>E-EDB-8503-02-ELL04</t>
  </si>
  <si>
    <t>E-EDB-8503-02-ELL05</t>
  </si>
  <si>
    <t>E-EDB-8503-02-ELL06</t>
  </si>
  <si>
    <t>E-EDB-8503-02-ELL07</t>
  </si>
  <si>
    <t>E-EDB-8503-03-ELL01</t>
  </si>
  <si>
    <t>E-EDB-8503-03-ELL02</t>
  </si>
  <si>
    <t>E-EDB-8503-03-ELL03</t>
  </si>
  <si>
    <t>E-EDB-8503-03-ELL04</t>
  </si>
  <si>
    <t>E-EDB-8503-03-ELL05</t>
  </si>
  <si>
    <t>E-EDB-8503-03-ELL06</t>
  </si>
  <si>
    <t>E-EDB-8503-03-ELL07</t>
  </si>
  <si>
    <t>E-EDB-8503-03-ELL08</t>
  </si>
  <si>
    <t>E-EDB-8503-03-ELL09</t>
  </si>
  <si>
    <t>E-EDB-8503-03-ELL10</t>
  </si>
  <si>
    <t>E-EDB-8503-03-ELL11</t>
  </si>
  <si>
    <t>E-EDB-8503-03-ELL12</t>
  </si>
  <si>
    <t>E-EDB-8503-04-ELL01</t>
  </si>
  <si>
    <t>E-EDB-8503-04-ELL02</t>
  </si>
  <si>
    <t>E-EDB-8503-04-ELL03</t>
  </si>
  <si>
    <t>E-EDB-8503-04-ELL04</t>
  </si>
  <si>
    <t>E-EDB-8503-04-ELL05</t>
  </si>
  <si>
    <t>E-EDB-8503-04-ELL06</t>
  </si>
  <si>
    <t>E-EDB-8503-04-ELL07</t>
  </si>
  <si>
    <t>E-EDB-8503-04-ELL08</t>
  </si>
  <si>
    <t>E-EDB-8503-04-ELL09</t>
  </si>
  <si>
    <t>E-EDB-8503-04-ELL10</t>
  </si>
  <si>
    <t>E-EDB-8501-01-ELL01</t>
  </si>
  <si>
    <t>E-EDB-8501-01-ELL02</t>
  </si>
  <si>
    <t>E-EDB-8501-01-ELL03</t>
  </si>
  <si>
    <t>E-EDB-8501-01-ELL04</t>
  </si>
  <si>
    <t>E-EDB-8501-01-ELL05</t>
  </si>
  <si>
    <t>E-EDB-8501-01-ELL06</t>
  </si>
  <si>
    <t>E-EDB-8501-01-ELL07</t>
  </si>
  <si>
    <t>E-EDB-8501-01-ELL08</t>
  </si>
  <si>
    <t>E-EDB-8501-01-ELL09</t>
  </si>
  <si>
    <t>E-EDB-8501-01-ELL10</t>
  </si>
  <si>
    <t>E-EDB-8501-01-ELL11</t>
  </si>
  <si>
    <t>E-EDB-8501-01-ELL12</t>
  </si>
  <si>
    <t>E-EDB-8501-01-ELL13</t>
  </si>
  <si>
    <t>E-EDB-8501-01-ELL14</t>
  </si>
  <si>
    <t>E-EDB-8501-01-ELL15</t>
  </si>
  <si>
    <t>E-EDB-8501-01-ELL16</t>
  </si>
  <si>
    <t>E-EDB-8501-01-ELL17</t>
  </si>
  <si>
    <t>E-EDB-8501-01-ELL18</t>
  </si>
  <si>
    <t>E-EDB-8501-02-ELL01</t>
  </si>
  <si>
    <t>E-EDB-8501-02-ELL02</t>
  </si>
  <si>
    <t>E-EDB-8501-02-ELL03</t>
  </si>
  <si>
    <t>E-EDB-8501-02-ELL04</t>
  </si>
  <si>
    <t>E-EDB-8501-02-ELL05</t>
  </si>
  <si>
    <t>E-EDB-8501-02-ELL06</t>
  </si>
  <si>
    <t>E-EDB-8501-02-ELL07</t>
  </si>
  <si>
    <t>E-EDB-8501-02-ELL08</t>
  </si>
  <si>
    <t>E-EDB-8501-02-ELL09</t>
  </si>
  <si>
    <t>E-EDB-8501-02-ELL10</t>
  </si>
  <si>
    <t>E-EDB-8501-02-ELL11</t>
  </si>
  <si>
    <t>E-EDB-8501-02-ELL12</t>
  </si>
  <si>
    <t>E-EDB-8501-02-ELL13</t>
  </si>
  <si>
    <t>E-EDB-8501-02-ELL14</t>
  </si>
  <si>
    <t>E-EDB-8501-02-ELL15</t>
  </si>
  <si>
    <t>E-EDB-8501-02-ELL16</t>
  </si>
  <si>
    <t>E-EDB-8501-02-ELL17</t>
  </si>
  <si>
    <t>E-EDB-8501-02-ELL18</t>
  </si>
  <si>
    <t>E-EDB-8501-03-ELL01</t>
  </si>
  <si>
    <t>E-EDB-8501-03-ELL02</t>
  </si>
  <si>
    <t>E-EDB-8501-03-ELL03</t>
  </si>
  <si>
    <t>E-EDB-8501-03-ELL04</t>
  </si>
  <si>
    <t>E-EDB-8501-03-ELL05</t>
  </si>
  <si>
    <t>E-EDB-8501-03-ELL06</t>
  </si>
  <si>
    <t>E-EDB-8501-03-ELL07</t>
  </si>
  <si>
    <t>E-EDB-8501-03-ELL08</t>
  </si>
  <si>
    <t>E-EDB-8501-03-ELL09</t>
  </si>
  <si>
    <t>E-EDB-8501-03-ELL10</t>
  </si>
  <si>
    <t>E-EDB-8501-03-ELL11</t>
  </si>
  <si>
    <t>E-EDB-8501-03-ELL12</t>
  </si>
  <si>
    <t>E-EDB-8501-03-ELL13</t>
  </si>
  <si>
    <t>E-EDB-8501-03-ELL14</t>
  </si>
  <si>
    <t>E-EDB-8501-03-ELL15</t>
  </si>
  <si>
    <t>E-EDB-8501-03-ELL16</t>
  </si>
  <si>
    <t>E-EDB-8501-03-ELL17</t>
  </si>
  <si>
    <t>E-EDB-8501-03-ELL18</t>
  </si>
  <si>
    <t>E-EDB-8501-04-ELL01</t>
  </si>
  <si>
    <t>E-EDB-8501-04-ELL02</t>
  </si>
  <si>
    <t>E-EDB-8501-04-ELL03</t>
  </si>
  <si>
    <t>E-EDB-8501-04-ELL04</t>
  </si>
  <si>
    <t>E-EDB-8501-04-ELL05</t>
  </si>
  <si>
    <t>E-EDB-8501-04-ELL06</t>
  </si>
  <si>
    <t>E-EDB-8501-04-ELL07</t>
  </si>
  <si>
    <t>E-EDB-8501-04-ELL08</t>
  </si>
  <si>
    <t>E-EDB-8501-04-ELL09</t>
  </si>
  <si>
    <t>E-EDB-8501-04-ELL10</t>
  </si>
  <si>
    <t>E-EDB-8501-04-ELL11</t>
  </si>
  <si>
    <t>E-EDB-8501-04-ELL12</t>
  </si>
  <si>
    <t>E-EDB-8501-04-ELL13</t>
  </si>
  <si>
    <t>E-EDB-8501-04-ELL14</t>
  </si>
  <si>
    <t>E-EDB-8501-04-ELL15</t>
  </si>
  <si>
    <t>E-EDB-8501-04-ELL16</t>
  </si>
  <si>
    <t>E-EDB-8501-04-ELL17</t>
  </si>
  <si>
    <t>E-EDB-8501-04-ELL18</t>
  </si>
  <si>
    <t>E-EDB-8502-01-ELL01</t>
  </si>
  <si>
    <t>E-EDB-8502-01-ELL02</t>
  </si>
  <si>
    <t>E-EDB-8502-01-ELL03</t>
  </si>
  <si>
    <t>E-EDB-8502-01-ELL04</t>
  </si>
  <si>
    <t>E-EDB-8502-01-ELL05</t>
  </si>
  <si>
    <t>E-EDB-8502-01-ELL06</t>
  </si>
  <si>
    <t>E-EDB-8502-01-ELL07</t>
  </si>
  <si>
    <t>E-EDB-8502-01-ELL08</t>
  </si>
  <si>
    <t>E-EDB-8502-01-ELL09</t>
  </si>
  <si>
    <t>E-EDB-8502-01-ELL10</t>
  </si>
  <si>
    <t>E-EDB-8502-01-ELL11</t>
  </si>
  <si>
    <t>E-EDB-8502-01-ELL12</t>
  </si>
  <si>
    <t>E-EDB-8502-01-ELL13</t>
  </si>
  <si>
    <t>E-EDB-8502-01-ELL14</t>
  </si>
  <si>
    <t>E-EDB-8502-01-ELL15</t>
  </si>
  <si>
    <t>E-EDB-8502-01-ELL16</t>
  </si>
  <si>
    <t>E-EDB-8502-01-ELL17</t>
  </si>
  <si>
    <t>E-EDB-8502-01-ELL18</t>
  </si>
  <si>
    <t>E-EDB-8502-02-ELL01</t>
  </si>
  <si>
    <t>E-EDB-8502-02-ELL02</t>
  </si>
  <si>
    <t>E-EDB-8502-02-ELL03</t>
  </si>
  <si>
    <t>E-EDB-8502-02-ELL04</t>
  </si>
  <si>
    <t>E-EDB-8502-02-ELL05</t>
  </si>
  <si>
    <t>E-EDB-8502-02-ELL06</t>
  </si>
  <si>
    <t>E-EDB-8502-02-ELL07</t>
  </si>
  <si>
    <t>E-EDB-8502-02-ELL08</t>
  </si>
  <si>
    <t>E-EDB-8502-02-ELL09</t>
  </si>
  <si>
    <t>E-EDB-8502-02-ELL10</t>
  </si>
  <si>
    <t>E-EDB-8502-02-ELL11</t>
  </si>
  <si>
    <t>E-EDB-8502-02-ELL12</t>
  </si>
  <si>
    <t>E-EDB-8502-02-ELL13</t>
  </si>
  <si>
    <t>E-EDB-8502-02-ELL14</t>
  </si>
  <si>
    <t>E-EDB-8502-02-ELL15</t>
  </si>
  <si>
    <t>E-EDB-8502-02-ELL16</t>
  </si>
  <si>
    <t>E-EDB-8502-02-ELL17</t>
  </si>
  <si>
    <t>E-EDB-8502-02-ELL18</t>
  </si>
  <si>
    <t>E-EDB-8502-03-ELL01</t>
  </si>
  <si>
    <t>E-EDB-8502-03-ELL02</t>
  </si>
  <si>
    <t>E-EDB-8502-03-ELL03</t>
  </si>
  <si>
    <t>E-EDB-8502-03-ELL04</t>
  </si>
  <si>
    <t>E-EDB-8502-03-ELL05</t>
  </si>
  <si>
    <t>E-EDB-8502-03-ELL06</t>
  </si>
  <si>
    <t>E-EDB-8502-03-ELL07</t>
  </si>
  <si>
    <t>E-EDB-8502-03-ELL08</t>
  </si>
  <si>
    <t>E-EDB-8502-03-ELL09</t>
  </si>
  <si>
    <t>E-EDB-8502-03-ELL10</t>
  </si>
  <si>
    <t>E-EDB-8502-03-ELL11</t>
  </si>
  <si>
    <t>E-EDB-8502-03-ELL12</t>
  </si>
  <si>
    <t>E-EDB-8502-03-ELL13</t>
  </si>
  <si>
    <t>E-EDB-8502-03-ELL14</t>
  </si>
  <si>
    <t>E-EDB-8502-03-ELL15</t>
  </si>
  <si>
    <t>E-EDB-8502-03-ELL16</t>
  </si>
  <si>
    <t>E-EDB-8502-03-ELL17</t>
  </si>
  <si>
    <t>E-EDB-8502-03-ELL18</t>
  </si>
  <si>
    <t>E-EDB-8502-04-ELL01</t>
  </si>
  <si>
    <t>E-EDB-8502-04-ELL02</t>
  </si>
  <si>
    <t>E-EDB-8502-04-ELL03</t>
  </si>
  <si>
    <t>E-EDB-8502-04-ELL04</t>
  </si>
  <si>
    <t>E-EDB-8502-04-ELL05</t>
  </si>
  <si>
    <t>E-EDB-8502-04-ELL06</t>
  </si>
  <si>
    <t>E-EDB-8502-04-ELL07</t>
  </si>
  <si>
    <t>E-EDB-8502-04-ELL08</t>
  </si>
  <si>
    <t>E-EDB-8502-04-ELL09</t>
  </si>
  <si>
    <t>E-EDB-8502-04-ELL10</t>
  </si>
  <si>
    <t>E-EDB-8502-04-ELL11</t>
  </si>
  <si>
    <t>E-EDB-8502-04-ELL12</t>
  </si>
  <si>
    <t>E-EDB-8502-04-ELL13</t>
  </si>
  <si>
    <t>E-EDB-8502-04-ELL14</t>
  </si>
  <si>
    <t>E-EDB-8502-04-ELL15</t>
  </si>
  <si>
    <t>E-EDB-8502-04-ELL16</t>
  </si>
  <si>
    <t>E-EDB-8502-04-ELL17</t>
  </si>
  <si>
    <t>E-EDB-8502-04-ELL18</t>
  </si>
  <si>
    <t>E-EDB-8502-05-ELL01</t>
  </si>
  <si>
    <t>E-EDB-8502-05-ELL02</t>
  </si>
  <si>
    <t>E-EDB-8502-05-ELL03</t>
  </si>
  <si>
    <t>E-EDB-8502-05-ELL04</t>
  </si>
  <si>
    <t>E-EDB-8502-05-ELL05</t>
  </si>
  <si>
    <t>E-EDB-8502-05-ELL06</t>
  </si>
  <si>
    <t>E-EDB-8502-05-ELL07</t>
  </si>
  <si>
    <t>E-EDB-8502-05-ELL08</t>
  </si>
  <si>
    <t>E-EDB-8502-05-ELL09</t>
  </si>
  <si>
    <t>E-EDB-8502-05-ELL10</t>
  </si>
  <si>
    <t>E-EDB-8502-05-ELL11</t>
  </si>
  <si>
    <t>E-EDB-8502-05-ELL12</t>
  </si>
  <si>
    <t>E-EDB-8502-05-ELL13</t>
  </si>
  <si>
    <t>E-EDB-8502-05-ELL14</t>
  </si>
  <si>
    <t>E-EDB-8502-05-ELL15</t>
  </si>
  <si>
    <t>E-ESB-8002-A06-C</t>
  </si>
  <si>
    <t>FEEDER FOR GAS TREATMENT AREA CLOSED DRAINS DRUM PUMP MOTOR E-PM-5702A A1 7.5KW/9.4A</t>
  </si>
  <si>
    <t>E-ESB-8002-B08-C</t>
  </si>
  <si>
    <t>FEEDER FOR FLASH GAS COMPRESSOR RECYCLE COOLER FAN MOTOR B E-VFD-2424B A1 7.5KW/8.2A</t>
  </si>
  <si>
    <t>E-ESB-8002-B12-G</t>
  </si>
  <si>
    <t>FEEDER FOR GAS TREATMENT AREA CLOSED DRAINS DRUM PUMP MOTOR E-PM-5702B A1 7.5KW/9.4A</t>
  </si>
  <si>
    <t>E-ESB-8002-B14-B</t>
  </si>
  <si>
    <t>FEEDER FOR FLASH GAS COMPRESSOR CYLINDER LUBE OIL PUMP MOTOR E-PM-2424 A1 5.5KW/5.7A</t>
  </si>
  <si>
    <t>E-ESB-8002-B19-E</t>
  </si>
  <si>
    <t>FEEDER FOR VALVE MOTOR OPERATED R20MOV024 ON LV SWITCHBOARD E-ESB-8002 A1 15KW/17.4A</t>
  </si>
  <si>
    <t>E-ESB-8003-A06-D</t>
  </si>
  <si>
    <t>SUBSTATION 1 NORMAL SMALL POWER DISTRIBUTION BOARD E-EDB-8942 40KW/75.47A</t>
  </si>
  <si>
    <t>E-ESB-8012-B04-B</t>
  </si>
  <si>
    <t>MATERIAL HANDLING AND LOGISTICS AREA SMALL POWER E-EDB-8926 C1 4.3KW 7.9A</t>
  </si>
  <si>
    <t>E-PM-9112</t>
  </si>
  <si>
    <t>AUX LUBE OIL PUMP MOTOR IN SGT-200 SINGLE SHAFT E-X-9111 LUBE OIL SYSTEM</t>
  </si>
  <si>
    <t>E-PM-9122</t>
  </si>
  <si>
    <t>AUX LUBE OIL PUMP MOTOR IN SGT-200 SINGLE SHAFT E-X-9121 LUBE OIL SYSTEM</t>
  </si>
  <si>
    <t>E-PM-9132</t>
  </si>
  <si>
    <t>AUX LUBE OIL PUMP MOTOR IN SGT-200 SINGLE SHAFT E-X-9131 LUBE OIL SYSTEM</t>
  </si>
  <si>
    <t>E-PM-9142</t>
  </si>
  <si>
    <t>AUX LUBE OIL PUMP MOTOR IN SGT-200 SINGLE SHAFT E-X-9141 LUBE OIL SYSTEM</t>
  </si>
  <si>
    <t>E-EDB-8813-12</t>
  </si>
  <si>
    <t>CCT-012 E24FT312A FLOW-TRANSMITTER-ULTRASONIC (FF) FLOW AT PAGA AREA UPS</t>
  </si>
  <si>
    <t>E-EDB-8502</t>
  </si>
  <si>
    <t>ESSENTIAL DISTRIBUTION BOARD IN STREET LIGHT &amp; PERIMETER LIGHTING LAYOUT</t>
  </si>
  <si>
    <t>E-EDB-8503</t>
  </si>
  <si>
    <t>E-ESB-8002-A06-D</t>
  </si>
  <si>
    <t>FEEDER FOR HP LP FLARE KOD CLOSED DRAINS DRUM PUMP MOTOR E-PM-5703B A1 18.5KW/19.2A</t>
  </si>
  <si>
    <t>E-ESB-8002-A10-E</t>
  </si>
  <si>
    <t>FEEDER FOR TSA REGENERATION FIRED HEATER PURGE FAN MOTOR E-KFM-2521 A1 18.5KW/22.7A</t>
  </si>
  <si>
    <t>E-ESB-8002-A22-A</t>
  </si>
  <si>
    <t>FEEDER FOR AIR COMPRESSOR MOTOR CUBICLE FOR E-ECP-6511 ON LV SWITCHBOARD E-ESB-8002</t>
  </si>
  <si>
    <t>E-ESB-8002-B04-A</t>
  </si>
  <si>
    <t>FEEDER FOR AIR COMPRESSOR MOTOR CUBICLE FOR E-ECP-6521 ON LV SWITCHBOARD E-ESB-8002</t>
  </si>
  <si>
    <t>E-ESB-8002-B13-B</t>
  </si>
  <si>
    <t>FEEDER FOR HP LP FLARE KOD CLOSED DRAINS DRUM PUMP MOTOR E-PM-5703A A1 18.5KW/19.2A</t>
  </si>
  <si>
    <t>E-ESB-8702-A04-C</t>
  </si>
  <si>
    <t>FEEDER FOR GAS TURBINE E-G-9111 LUBE OIL COOLER FAN MOTOR E-KEM-9111A A1 11KW 14.9A</t>
  </si>
  <si>
    <t>E-ESB-8703-A04-C</t>
  </si>
  <si>
    <t>FEEDER FOR GAS TURBINE E-G-9111 LUBE OIL COOLER FAN MOTOR E-KEM-9121A A1 11KW 14.9A</t>
  </si>
  <si>
    <t>E-ESB-8704-A04-C</t>
  </si>
  <si>
    <t>FEEDER FOR GAS TURBINE E-G-9111 LUBE OIL COOLER FAN MOTOR E-KEM-9131A A1 11KW 14.9A</t>
  </si>
  <si>
    <t>E-ESB-8705-A04-C</t>
  </si>
  <si>
    <t>FEEDER FOR GAS TURBINE E-G-9111 LUBE OIL COOLER FAN MOTOR E-KEM-9141A A1 11KW 14.9A</t>
  </si>
  <si>
    <t>E-ESB-8002-A14-B</t>
  </si>
  <si>
    <t>FEEDER FOR FLASH GAS COMPRESSOR CYLINDER LUBRICATION OIL TANK HEATER H1 1.5KW/1.4A</t>
  </si>
  <si>
    <t>E-EDB-8807-14</t>
  </si>
  <si>
    <t>CCT-14 E28FT023 FLOW-TRANSMITTER-CORIOLIS REMOTE MTD(FF)FLOW POWER SUPPLY</t>
  </si>
  <si>
    <t>E-EDB-8903-02</t>
  </si>
  <si>
    <t>CCT-02 02-ELL01 TO 02-ELL-09 STREET LIGHTS IN GAAA/PAQB/PAUA/PAUC AREAS</t>
  </si>
  <si>
    <t>E-EDB-8501-03</t>
  </si>
  <si>
    <t>CCT-03 03-ELL-01 TO 03-ELL18 FENCE LIGHT FOR NORTH PERIMETER FENCE AREA</t>
  </si>
  <si>
    <t>E-EDB-8501-04</t>
  </si>
  <si>
    <t>CCT-04 04-ELL-01 TO 04-ELL18 FENCE LIGHT FOR NORTH PERIMETER FENCE AREA</t>
  </si>
  <si>
    <t>E-EDB-8802A-29</t>
  </si>
  <si>
    <t>CCT-029 TBA OPERATOR CONTROL MONITORS AND LARGE SCREEN MONITOR FEEDER-1</t>
  </si>
  <si>
    <t>E-EDB-8802B-29</t>
  </si>
  <si>
    <t>CCT-029 TBA OPERATOR CONTROL MONITORS AND LARGE SCREEN MONITOR FEEDER-2</t>
  </si>
  <si>
    <t>E-EDB-8804A-22</t>
  </si>
  <si>
    <t>CCT-022 E-ICP-8706 FLASH GAS COMPRESSOR UCP PACKAGE CABINET -1 FEEDER-1</t>
  </si>
  <si>
    <t>E-EDB-8804A-23</t>
  </si>
  <si>
    <t>CCT-023 E-ICP-8707 FLASH GAS COMPRESSOR UCP PACKAGE CABINET -2 FEEDER-1</t>
  </si>
  <si>
    <t>E-EDB-8804B-22</t>
  </si>
  <si>
    <t>CCT-022 E-ICP-8706 FLASH GAS COMPRESSOR UCP PACKAGE CABINET -1 FEEDER-2</t>
  </si>
  <si>
    <t>E-EDB-8804B-23</t>
  </si>
  <si>
    <t>CCT-023 E-ICP-8707 FLASH GAS COMPRESSOR UCP PACKAGE CABINET -2 FEEDER-2</t>
  </si>
  <si>
    <t>E-EDB-8813-07</t>
  </si>
  <si>
    <t>CCT-007 E21FT085 FLOW-TRANSMITTER-ULTRASONIC (FF) FLOW AT PAGA AREA UPS</t>
  </si>
  <si>
    <t>E-EEB-261</t>
  </si>
  <si>
    <t>EARTH BUSBAR IN MATERIAL HANDLING AND LOGISTIC AREA ABOVE GROUND LAYOUT</t>
  </si>
  <si>
    <t>E-EEB-262</t>
  </si>
  <si>
    <t>E-EEB-192</t>
  </si>
  <si>
    <t>EARTH BUSBAR IN LEAN MEG STORAGE TANKS AND EXPORT PUMPS EARTHING LAYOUT</t>
  </si>
  <si>
    <t>E-ESB-8002-A04-C</t>
  </si>
  <si>
    <t>FEEDER FOR LP FLASH GAS COMPRESSOR AFTERCOOLER FAN MOTOR E-VFD-2411C V1 7.5KW/8.2A</t>
  </si>
  <si>
    <t>E-ESB-8002-A04-D</t>
  </si>
  <si>
    <t>FEEDER FOR FLASH GAS COMPRESSOR RECYCLE COOLER FAN MOTOR E-VFD-2413C V1 7.5KW/8.2A</t>
  </si>
  <si>
    <t>E-ESB-8002-A04-F</t>
  </si>
  <si>
    <t>FEEDER FOR LP FLASH GAS COMPRESSOR AFTERCOOLER FAN MOTOR E-VFD-2421C V1 7.5KW/8.2A</t>
  </si>
  <si>
    <t>E-ESB-8002-A04-G</t>
  </si>
  <si>
    <t>FEEDER FOR MP FLASH GAS COMPRESSOR AFTERCOOLER FAN MOTOR E-KEM-2422C A1 7.5KW/8.2A</t>
  </si>
  <si>
    <t>E-ESB-8002-A04-H</t>
  </si>
  <si>
    <t>FEEDER FOR FLASH GAS COMPRESSOR RECYCLE COOLER FAN MOTOR E-VFD-2423C V1 7.5KW/8.2A</t>
  </si>
  <si>
    <t>E-ESB-8002-A05-B</t>
  </si>
  <si>
    <t>FEEDER FOR MP FLASH GAS COMPRESSOR AFTERCOOLER FAN MOTOR E-VFD-2412C V1 7.5KW/8.2A</t>
  </si>
  <si>
    <t>E-ESB-8002-A05-H</t>
  </si>
  <si>
    <t>FEEDER FOR HP FLASH GAS COMPRESSOR AFTERCOOLER FAN MOTOR E-VSD-2401C V1 7.5KW/8.2A</t>
  </si>
  <si>
    <t>E-ESB-8002-A12-B</t>
  </si>
  <si>
    <t>FEEDER FOR MP FLASH GAS COMPRESSOR AFTERCOOLER FAN MOTOR E-KEM-2422A A1 7.5KW/8.2A</t>
  </si>
  <si>
    <t>E-ESB-8002-A12-C</t>
  </si>
  <si>
    <t>FEEDER FOR FLASH GAS COMPRESSOR RECYCLE COOLER FAN MOTOR E-VFD-2423A V1 7.5KW/8.2A</t>
  </si>
  <si>
    <t>E-ESB-8002-A13-D</t>
  </si>
  <si>
    <t>FEEDER FOR HP FLASH GAS COMPRESSOR AFTERCOOLER FAN MOTOR E-VFD-2401A A1 7.5KW/8.2A</t>
  </si>
  <si>
    <t>E-ESB-8002-A13-E</t>
  </si>
  <si>
    <t>FEEDER FOR LP FLASH GAS COMPRESSOR AFTERCOOLER FAN MOTOR E-VFD-2411A A1 7.5KW/8.2A</t>
  </si>
  <si>
    <t>E-ESB-8002-A13-F</t>
  </si>
  <si>
    <t>FEEDER FOR MP FLASH GAS COMPRESSOR AFTERCOOLER FAN MOTOR E-VFD-2412A A1 7.5KW/8.2A</t>
  </si>
  <si>
    <t>E-ESB-8002-A13-I</t>
  </si>
  <si>
    <t>FEEDER FOR LP FLASH GAS COMPRESSOR AFTERCOOLER FAN MOTOR E-VFD-2421A A1 7.5KW/8.2A</t>
  </si>
  <si>
    <t>E-ESB-8002-B07-C</t>
  </si>
  <si>
    <t>FEEDER FOR HP FLASH GAS COMPRESSOR AFTERCOOLER FAN MOTOR E-VFD-2401B VA 7.5KW/8.2A</t>
  </si>
  <si>
    <t>E-ESB-8002-B07-D</t>
  </si>
  <si>
    <t>FEEDER FOR LP FLASH GAS COMPRESSOR AFTERCOOLER FAN MOTOR E-VFD-2411B V1 7.5KW/8.2A</t>
  </si>
  <si>
    <t>E-ESB-8002-B07-E</t>
  </si>
  <si>
    <t>FEEDER FOR MP FLASH GAS COMPRESSOR AFTERCOOLER FAN MOTOR E-VFD-2412B V1 7.5KW/8.2A</t>
  </si>
  <si>
    <t>E-ESB-8002-B07-F</t>
  </si>
  <si>
    <t>FEEDER FOR FLASH GAS COMPRESSOR RECYCLE COOLER FAN MOTOR E-VFD-2413B V1 7.5KW/8.2A</t>
  </si>
  <si>
    <t>E-ESB-8002-B07-G</t>
  </si>
  <si>
    <t>FEEDER FOR FLASH GAS COMPRESSOR RECYCLE COOLER FAN MOTOR E-VFD-2414B V1 7.5KW/8.2A</t>
  </si>
  <si>
    <t>E-ESB-8002-B07-H</t>
  </si>
  <si>
    <t>FEEDER FOR LP FLASH GAS COMPRESSOR AFTERCOOLER FAN MOTOR E-VFD-2421B V1 7.5KW/8.2A</t>
  </si>
  <si>
    <t>E-ESB-8002-B07-I</t>
  </si>
  <si>
    <t>FEEDER FOR LP FLASH GAS COMPRESSOR AFTERCOOLER FAN MOTOR E-VFD-2422B V1 7.5KW/8.2A</t>
  </si>
  <si>
    <t>E-ESB-8002-B08-B</t>
  </si>
  <si>
    <t>FEEDER FOR FLASH GAS COMPRESSOR RECYCLE COOLER FAN MOTOR E-VFD-2423B V1 7.5KW/8.2A</t>
  </si>
  <si>
    <t>E-ESB-8003-B06-E</t>
  </si>
  <si>
    <t>GAS TREATMENT AREA SMALL POWER DISTRIBUTION BOARD E-EDB-8908 30KW/50.9A</t>
  </si>
  <si>
    <t>E-ESB-8012-C04-F</t>
  </si>
  <si>
    <t>MEG RECOVERY AND PROCESSING ESSENTIAL LIGHTING E-EDB-8513 E1 17KW 31.8A</t>
  </si>
  <si>
    <t>R-L-8023-18F-A</t>
  </si>
  <si>
    <t>FEEDER FOR CIRCUIT CONTROL PANEL 24V DC BATTERY CHARGER A1 R-BCH-2721-A1 10KW 20A</t>
  </si>
  <si>
    <t>R-L-8023-18F-B</t>
  </si>
  <si>
    <t>FEEDER FOR CIRCUIT CONTROL PANEL 24V DC BATTERY CHARGER A2 R-BCH-2721-A2 10KW 20A</t>
  </si>
  <si>
    <t>E-EDB-8807-01</t>
  </si>
  <si>
    <t>CCT-01 E20FT039 FLOW-TRANSMITTER-ULTRASONIC REM MTD(FF)FLOW POWER SUPPLY</t>
  </si>
  <si>
    <t>E-EDB-8807-12</t>
  </si>
  <si>
    <t>CCT-12 E27FT055 FLOW-TRANSMITTER-ULTRASONIC REM MTD(FF)FLOW POWER SUPPLY</t>
  </si>
  <si>
    <t>E-EDB-8904-01</t>
  </si>
  <si>
    <t>CCT-01 01-ELL01 TO 01-ELL09 STREET LIGHTS IN PAJA/PAJB/ABGA/PAUC AREAS</t>
  </si>
  <si>
    <t>E-EDB-8905-01</t>
  </si>
  <si>
    <t>CCT-01 01-ELL01 TO 01-ELL13 STREET LIGHTS IN PAGA/PAPA/PAKA/PAQA AREAS</t>
  </si>
  <si>
    <t>E-EDB-8905-04</t>
  </si>
  <si>
    <t>CCT-04 04-ELL01 TO 04-ELL13 STREET LIGHTS IN PAPA/PASA/PASB/PASC AREAS</t>
  </si>
  <si>
    <t>E-EDB-8501-01</t>
  </si>
  <si>
    <t>CCT-01 01-ELL-01 TO 01-ELL18 FENCE LIGHT FOR WEST PERIMETER FENCE AREA</t>
  </si>
  <si>
    <t>E-EDB-8501-02</t>
  </si>
  <si>
    <t>CCT-02 02-ELL-01 TO 02-ELL18 FENCE LIGHT FOR WEST PERIMETER FENCE AREA</t>
  </si>
  <si>
    <t>E-EDB-8502-01</t>
  </si>
  <si>
    <t>CCT-01 01-ELL01 TO 01-ELL18 FENCE LIGHT FOR NORTH PERIMETER FENCE AREA</t>
  </si>
  <si>
    <t>E-EDB-8503-02</t>
  </si>
  <si>
    <t>CCT-02 02-ELL01 TO 02-ELL18 FENCE LIGHT FOR SOUTH PERIMETER FENCE AREA</t>
  </si>
  <si>
    <t>E-EDB-8503-03</t>
  </si>
  <si>
    <t>CCT-03 03-ELL01 TO 03-ELL12 FENCE LIGHT FOR SOUTH PERIMETER FENCE AREA</t>
  </si>
  <si>
    <t>E-EDB-8503-04</t>
  </si>
  <si>
    <t>CCT-04 04-ELL01 TO 04-ELL10 FENCE LIGHT FOR SOUTH PERIMETER FENCE AREA</t>
  </si>
  <si>
    <t>E-ESB-8002-A07-D</t>
  </si>
  <si>
    <t>FEEDER FOR ONSHORE CORROSION INHIBITOR DOSING PUMP MOTOR E-PM-5105B A1 2.2KW/2.6A</t>
  </si>
  <si>
    <t>E-ESB-8002-A07-G</t>
  </si>
  <si>
    <t>FEEDER FOR AIR COMPRESSOR INTEGRAL AIR COOLER FAN MOTOR E-KEM-6511A A1 7.5KW/8.2A</t>
  </si>
  <si>
    <t>E-ESB-8002-B09-B</t>
  </si>
  <si>
    <t>FEEDER FOR AIR COMPRESSOR INTEGRAL AIR COOLER FAN MOTOR E-KEM-6511B A1 7.5KW/8.2A</t>
  </si>
  <si>
    <t>E-ESB-8002-B09-C</t>
  </si>
  <si>
    <t>FEEDER FOR AIR COMPRESSOR INTEGRAL AIR COOLER FAN MOTOR E-KEM-6521B A1 7.5KW/8.2A</t>
  </si>
  <si>
    <t>E-ESB-8002-B12-C</t>
  </si>
  <si>
    <t>FEEDER FOR ONSHORE CORROSION INHIBITOR DOSING PUMP MOTOR E-PM-5107A A1 2.2KW/2.6A</t>
  </si>
  <si>
    <t>E-ESB-8012-A02-D</t>
  </si>
  <si>
    <t>HOT OIL FIRED HEATERS PLOT DISTRIBUTION BOARD E-EDB-8938 C1 30KW 50.9A</t>
  </si>
  <si>
    <t>E-ESB-8706-B05-G</t>
  </si>
  <si>
    <t>HEAT TRACING DISTRIBUTION BOARD IN PAGA AREA E-EDB-8601 C1 15KW 21.65A</t>
  </si>
  <si>
    <t>R-ETP-2001A</t>
  </si>
  <si>
    <t>THYRISTOR CONTROL PANEL FOR 690 V, 605 KW SLUG CATCHER BOTTOMS HEATER</t>
  </si>
  <si>
    <t>E-ESB-8002-B14-E</t>
  </si>
  <si>
    <t>FEEDER FOR HVAC CENTRAL CONTROL BUILDING NON ESSENTIAL E-ESB-9401A C1 75KW/82.0A</t>
  </si>
  <si>
    <t>E-EMS-010</t>
  </si>
  <si>
    <t>WALL MOUNTED CONTROL SWITCH IN HP/LP FLARE (KO DRUMS) EARTHING LAYOUT</t>
  </si>
  <si>
    <t>E-EDB-8502-04</t>
  </si>
  <si>
    <t>CCT-04 04-ELL01 TO 04-ELL18 FENCE LIGHT FOR EAST PERIMETER FENCE AREA</t>
  </si>
  <si>
    <t>E-EDB-8502-05</t>
  </si>
  <si>
    <t>CCT-05 05-ELL01 TO 05-ELL18 FENCE LIGHT FOR EAST PERIMETER FENCE AREA</t>
  </si>
  <si>
    <t>E-EDB-9121-07</t>
  </si>
  <si>
    <t>CCT-007 E-EER-9121 NEUTRAL EARTHING RESISTOR ANTI-CONDENSATION HEATER</t>
  </si>
  <si>
    <t>E-EDB-9131-07</t>
  </si>
  <si>
    <t>CCT-007 E-EER-9131 NEUTRAL EARTHING RESISTOR ANTI-CONDENSATION HEATER</t>
  </si>
  <si>
    <t>E-EDB-9141-07</t>
  </si>
  <si>
    <t>CCT-007 E-EER-9141 NEUTRAL EARTHING RESISTOR ANTI-CONDENSATION HEATER</t>
  </si>
  <si>
    <t>E-EDB-8813-01</t>
  </si>
  <si>
    <t>CCT-001 E67FT335 FLOW-TRANSMITTER-MAGNETIC (FF) FLOW AT PAJA AREA UPS</t>
  </si>
  <si>
    <t>E-EDB-8905</t>
  </si>
  <si>
    <t>NORMAL DISTRIBUTION BOARD IN STREET LIGHT &amp; PERIMETER LIGHTING LAYOUT</t>
  </si>
  <si>
    <t>E-ESB-8002-A05-C</t>
  </si>
  <si>
    <t>FEEDER FOR FLASH GAS COMPRESSOR AIR COOLER FAN MOTOR C E-KEM-2414C A1 7.5KW/8.2A</t>
  </si>
  <si>
    <t>E-ESB-8002-A05-D</t>
  </si>
  <si>
    <t>E-ESB-8002-A06-B</t>
  </si>
  <si>
    <t>FEEDER FOR RECEPTION AREA CLOSED DRAINS DRUM PUMP MOTOR E-PM-5701A A1 11KW/12.7A</t>
  </si>
  <si>
    <t>E-ESB-8002-A12-D</t>
  </si>
  <si>
    <t>FEEDER FOR FLASH GAS COMPRESSOR AIR COOLER FAN MOTOR A E-KEM-2424A A1 7.5KW/8.2A</t>
  </si>
  <si>
    <t>E-ESB-8002-B12-F</t>
  </si>
  <si>
    <t>FEEDER FOR RECEPTION AREA CLOSED DRAINS DRUM PUMP MOTOR E-PM-5701B A1 11KW/12.7A</t>
  </si>
  <si>
    <t>E-ESB-8012-A02-B</t>
  </si>
  <si>
    <t>MEG RECOVERY AND PROCESSING AREA SMALL POWER E-EDB-8934 C1 4.3KW 7.9A</t>
  </si>
  <si>
    <t>E-ESB-8012-C03-E</t>
  </si>
  <si>
    <t>PERIMETER FENCE LIGHTING DISTRIBUTION BOARD E-EDB-8502 E1 8.5KW 15.9A</t>
  </si>
  <si>
    <t>E-ESB-8706-A04-D</t>
  </si>
  <si>
    <t>LEAN MEG STORAGE TANKS ESSENTIAL LIGHTING E-EDB-8511 E1 12.75KW 23.9A</t>
  </si>
  <si>
    <t>E-ESB-8706-B03-F</t>
  </si>
  <si>
    <t>PERIMETER FENCE LIGHTING DISTRIBUTION BOARD E-EDB-8501 E1 8.5KW 15.9A</t>
  </si>
  <si>
    <t>E-ESB-8706-B04-C</t>
  </si>
  <si>
    <t>GTG ESSENTIAL LIGHTING DISTRIBUTION BOARD E-EDB-8512 E1 12.75KW 23.9A</t>
  </si>
  <si>
    <t>R-ESB-8002-A05-C</t>
  </si>
  <si>
    <t>INCOMER 1 CONTROL NW32H1-3P FOR TRANSFORMER R-ETR-8002A ON R-ESB-8002</t>
  </si>
  <si>
    <t>R-ESB-8002-B02-C</t>
  </si>
  <si>
    <t>INCOMER 2 CONTROL NW32H1-3P FOR TRANSFORMER R-ETR-8002B ON R-ESB-8002</t>
  </si>
  <si>
    <t>E-EDB-9111-07</t>
  </si>
  <si>
    <t>CCT-07 NEUTRAL EARTHING RESISTOR ANTI-CONDENSATION HEATER E-EER-9111</t>
  </si>
  <si>
    <t>E-EDB-8804B-46</t>
  </si>
  <si>
    <t>CCT-046 E-ECP-6602 OXIDIZING TOWERS AIRCRAFT WARNING LIGHTING FEEDER</t>
  </si>
  <si>
    <t>E-EDB-8813-13</t>
  </si>
  <si>
    <t>CCT-013 E24FT312B FLOW-TRANSMITTER-ULTRASONIC(FF)FLOW AT PAGA AREA</t>
  </si>
  <si>
    <t>E-EEB-271</t>
  </si>
  <si>
    <t>EARTH BUSBAR IN MATERIAL HANDLING AND LOGISTICS AREA EARTHING LAYOUT</t>
  </si>
  <si>
    <t>E-ESB-8002-A03-D</t>
  </si>
  <si>
    <t>FEEDER FOR OFFSHORE SCALE INHIBITOR DOSING PUMP MOTOR E-PM-5105A A1 0.75KW/0.6A</t>
  </si>
  <si>
    <t>E-ESB-8002-A13-G</t>
  </si>
  <si>
    <t>FEEDER FOR FLASH GAS COMPRESSOR AFTERCOOLER FAN MOTOR E-VFD-2413A A1 7.5KW/8.2A</t>
  </si>
  <si>
    <t>E-ESB-8002-A13-H</t>
  </si>
  <si>
    <t>FEEDER FOR FLASH GAS COMPRESSOR AFTERCOOLER FAN MOTOR E-VFD-2414A A1 7.5KW/8.2A</t>
  </si>
  <si>
    <t>E-ESB-8011-A02-F</t>
  </si>
  <si>
    <t>FEEDER FOR MEG FLASH SEPARATOR SODIUM CARBONATE DOSING PUMP MOTOR E-PM-5215A A1</t>
  </si>
  <si>
    <t>E-ESB-8011-A04-B</t>
  </si>
  <si>
    <t>FEEDER FOR MEG FLASH SEPARATOR SODIUM CARBONATE DOSING PUMP MOTOR E-PM-5214A A1</t>
  </si>
  <si>
    <t>E-ESB-8011-B08-D</t>
  </si>
  <si>
    <t>FEEDER FOR MEG FLASH SEPARATOR SODIUM CARBONATE DOSING PUMP MOTOR E-PM-5214B A1</t>
  </si>
  <si>
    <t>E-ESB-8011-B12-D</t>
  </si>
  <si>
    <t>FEEDER FOR MEG FLASH SEPARATOR SODIUM CARBONATE DOSING PUMP MOTOR E-PM-5215B A1</t>
  </si>
  <si>
    <t>E-ESB-8012-B03-B</t>
  </si>
  <si>
    <t>HOT OIL FIRED HEATERS PLOT DISTRIBUTION BOARD E-EDB-8939 C1 30KW 51A</t>
  </si>
  <si>
    <t>E-ESB-8706-A05-E</t>
  </si>
  <si>
    <t>CCR ESSENTIAL SMALL POWER DISTRIBUTION BOARD E-EDB-8521 C1 45KW 76.4A</t>
  </si>
  <si>
    <t>R-L-8023-14C</t>
  </si>
  <si>
    <t>FEEDER FOR CIRCUIT CONTROL PANEL 24VDC BATTERY CHARGER R-BCH-2721B-A1 10KW 20A</t>
  </si>
  <si>
    <t>R-L-8023-14D</t>
  </si>
  <si>
    <t>E-EDB-8904-02</t>
  </si>
  <si>
    <t>CCT-02 02-ELL01 TO 02-ELL13 STREET LIGHTS IN ABGA/FUTURE PLOT AREAS</t>
  </si>
  <si>
    <t>E-EDB-8809-13</t>
  </si>
  <si>
    <t>CCT-013 E30FT515-L01 FLOW-TRANSMITTER-CORIOLIS REMOTE MTD (FF) FLOW</t>
  </si>
  <si>
    <t>E-EDB-8809-14</t>
  </si>
  <si>
    <t>CCT-014 E30FT516-L01 FLOW-TRANSMITTER-CORIOLIS REMOTE MTD (FF) FLOW</t>
  </si>
  <si>
    <t>E-EDB-8809-15</t>
  </si>
  <si>
    <t>CCT-015 E30FT586-L01 FLOW-TRANSMITTER-CORIOLIS REMOTE MTD (FF) FLOW</t>
  </si>
  <si>
    <t>E-EDB-8809-19</t>
  </si>
  <si>
    <t>CCT-019 E30FT674-L01 FLOW-TRANSMITTER-CORIOLIS REMOTE MTD (FF) FLOW</t>
  </si>
  <si>
    <t>E-ESB-8002-A15-H</t>
  </si>
  <si>
    <t>FEEDER FOR FLASH GAS COMPRESSOR CYLINDER LUBRICATION OIL PUMP MOTOR 5.5KW/6.7A</t>
  </si>
  <si>
    <t>E-ESB-8002-B12-B</t>
  </si>
  <si>
    <t>FEEDER FOR OFFSHORE SCALE INHIBITOR DOSING PUMP MOTOR E-PM-5105B A1 2.2KW/2.6A</t>
  </si>
  <si>
    <t>E-ESB-8003-B06-B</t>
  </si>
  <si>
    <t>SUBSTATION 1 SMALL POWER DISTRIBUTION BOARD E-EDB-8930 90KW/152.83A</t>
  </si>
  <si>
    <t>E-ESB-8706-A03-E</t>
  </si>
  <si>
    <t>PERIMETER FENCE LIGHTING DISTRIBUTION BOARD E-EDB-8502 E1 8.5KW 16A</t>
  </si>
  <si>
    <t>R-ESB-8002-B03-C</t>
  </si>
  <si>
    <t>INCOMER CONTROL NW32H1-3P FOR TRANSFORMER R-ETR-8003B ON R-ESB-8002</t>
  </si>
  <si>
    <t>E-KEM-3006</t>
  </si>
  <si>
    <t>MEG CENTRIFUGE ENCLOSURE FAN MOTOR IN MEG CENTRIFUGE SKID E-X-3002</t>
  </si>
  <si>
    <t>E-KEM-3007</t>
  </si>
  <si>
    <t>MEG CENTRIFUGE ENCLOSURE FAN MOTOR IN MEG CENTRIFUGE SKID E-X-3003</t>
  </si>
  <si>
    <t>E-KEM-6511</t>
  </si>
  <si>
    <t>COOLING FAN MOTOR 1 IN COMPRESSOR 1 E-X-6511 ON COMPRESSOR PACKAGE</t>
  </si>
  <si>
    <t>E-KEM-6512</t>
  </si>
  <si>
    <t>COOLING FAN MOTOR 2 IN COMPRESSOR 1 E-X-6511 ON COMPRESSOR PACKAGE</t>
  </si>
  <si>
    <t>E-KEM-6521</t>
  </si>
  <si>
    <t>COOLING FAN MOTOR 1 IN COMPRESSOR 2 E-X-6521 ON COMPRESSOR PACKAGE</t>
  </si>
  <si>
    <t>E-KEM-6522</t>
  </si>
  <si>
    <t>COOLING FAN MOTOR 2 IN COMPRESSOR 2 E-X-6521 ON COMPRESSOR PACKAGE</t>
  </si>
  <si>
    <t>E-KEM-6531</t>
  </si>
  <si>
    <t>COOLING FAN MOTOR 1 IN COMPRESSOR 3 E-X-6531 ON COMPRESSOR PACKAGE</t>
  </si>
  <si>
    <t>E-KEM-6532</t>
  </si>
  <si>
    <t>COOLING FAN MOTOR 2 IN COMPRESSOR 3 E-X-6531 ON COMPRESSOR PACKAGE</t>
  </si>
  <si>
    <t>E-KEM-6541</t>
  </si>
  <si>
    <t>COOLING FAN MOTOR 1 IN COMPRESSOR 4 E-X-6541 ON COMPRESSOR PACKAGE</t>
  </si>
  <si>
    <t>E-KEM-6542</t>
  </si>
  <si>
    <t>COOLING FAN MOTOR 2 IN COMPRESSOR 4 E-X-6541 ON COMPRESSOR PACKAGE</t>
  </si>
  <si>
    <t>E-KEM-6551</t>
  </si>
  <si>
    <t>COOLING FAN MOTOR 1 IN COMPRESSOR 5 E-X-6551 ON COMPRESSOR PACKAGE</t>
  </si>
  <si>
    <t>E-KEM-6552</t>
  </si>
  <si>
    <t>COOLING FAN MOTOR 2 IN COMPRESSOR 5 E-X-6551 ON COMPRESSOR PACKAGE</t>
  </si>
  <si>
    <t>E-EDB-8807-06</t>
  </si>
  <si>
    <t>CCT-06 E22LT022A LEVEL-TRANSMITTER-NUCLEONIC(FF)LEVEL POWER SUPPLY</t>
  </si>
  <si>
    <t>E-EDB-8807-07</t>
  </si>
  <si>
    <t>CCT-07 E22LT022B LEVEL-TRANSMITTER-NUCLEONIC(FF)LEVEL POWER SUPPLY</t>
  </si>
  <si>
    <t>E-EDB-8807-08</t>
  </si>
  <si>
    <t>CCT-08 E22LT022C LEVEL-TRANSMITTER-NUCLEONIC(FF)LEVEL POWER SUPPLY</t>
  </si>
  <si>
    <t>E-EDB-8903-03</t>
  </si>
  <si>
    <t>CCT-03 03-ELL01 TO 03-ELL-09 STREET LIGHTS IN GAAA/PAQB/PAUA AREAS</t>
  </si>
  <si>
    <t>E-EDB-8803A-09</t>
  </si>
  <si>
    <t>CCT-009 TBA HIGH SENSITIVITY SMOKE DETECTOR PANEL (HSSD DB - LER2)</t>
  </si>
  <si>
    <t>E-EDB-8803B-09</t>
  </si>
  <si>
    <t>E-EDB-8804A-75</t>
  </si>
  <si>
    <t>CCT-075 E-ECP-4201-1 HP/LP FLARE IGNITION TRANSFORMER PANEL FEEDER</t>
  </si>
  <si>
    <t>E-EDB-8813-14</t>
  </si>
  <si>
    <t>CCT-014 E29AT620 AT ANALYSIS-TRANSMITTER-DISSOLVED O2 AT PAJA AREA</t>
  </si>
  <si>
    <t>E-ESSW-8014</t>
  </si>
  <si>
    <t>WELDING RECEPTACLE IN ELECTRICAL SUBSTATION 1 AREA EARTHING LAYOUT</t>
  </si>
  <si>
    <t>E-ESSW-8023</t>
  </si>
  <si>
    <t>WELDING RECEPTACLE IN ELECTRICAL SUBSTATION 2 AREA EARTHING LAYOUT</t>
  </si>
  <si>
    <t>E-ESB-8002-A08-B</t>
  </si>
  <si>
    <t>FEEDER FOR FLASH GAS COMPRESSOR COOLANT PUMP MOTOR B E-PM-2422B A1 7.5KW/9.4A</t>
  </si>
  <si>
    <t>E-ESB-8002-A09-C</t>
  </si>
  <si>
    <t>FEEDER FOR FLASH GAS COMPRESSOR COOLANT PUMP MOTOR A E-PM-2412A A1 5.5KW/6.2A</t>
  </si>
  <si>
    <t>E-ESB-8003-A05-F</t>
  </si>
  <si>
    <t>HP LP FLARE AND PIG RECEIVING AREA SMALL POWER E-EDB-8928 4.5KW/8A</t>
  </si>
  <si>
    <t>E-ESB-8702-A05-D</t>
  </si>
  <si>
    <t>AUXILIARY DISTRIBUTION BOARD E-ES-9111 FOR E-G-9111 B2 10KW 11.58A</t>
  </si>
  <si>
    <t>E-ESB-8703-A05-D</t>
  </si>
  <si>
    <t>AUXILIARY DISTRIBUTION BOARD E-ES-9121 FOR E-G-9121 B2 10KW 11.58A</t>
  </si>
  <si>
    <t>E-ESB-8704-A05-D</t>
  </si>
  <si>
    <t>AUXILIARY DISTRIBUTION BOARD E-ES-9131 FOR E-G-9131 B2 10KW 11.58A</t>
  </si>
  <si>
    <t>E-ESB-8705-A05-D</t>
  </si>
  <si>
    <t>AUXILIARY DISTRIBUTION BOARD E-ES-9141 FOR E-G-9141 B2 10KW 11.58A</t>
  </si>
  <si>
    <t>E-ESB-8011-B07-F</t>
  </si>
  <si>
    <t>FEEDER FOR MEG REGENERATION OXYGEN SCAVENGER DOSING PUMP MOTOR E-PM-5206B A1</t>
  </si>
  <si>
    <t>E-KEM-3004A</t>
  </si>
  <si>
    <t>MEG LIQUID RING COOLER FAN MOTOR IN MEG VACUUM PUMP SKID E-X-3001</t>
  </si>
  <si>
    <t>E-KEM-3004B</t>
  </si>
  <si>
    <t>E-EDB-8901-01</t>
  </si>
  <si>
    <t>CCT-01 01-ELL01 TO 01-ELL13 STREET LIGHTS IN PAZA/PAAA/PAAB AREAS</t>
  </si>
  <si>
    <t>E-EDB-8901-02</t>
  </si>
  <si>
    <t>CCT-02 02-ELL01 TO 02-ELL12 STREET LIGHTS IN PAZA/PAAA/PAAB AREAS</t>
  </si>
  <si>
    <t>E-EDB-8901-03</t>
  </si>
  <si>
    <t>CCT-03 03-ELL01 TO 03-ELL12 STREET LIGHTS IN PAZA/PAAA/PAAB AREAS</t>
  </si>
  <si>
    <t>E-EDB-8902-01</t>
  </si>
  <si>
    <t>CCT-01 01-ELL01 TO 01-ELL12 STREET LIGHTS IN PAFA/PACA/GAAA AREAS</t>
  </si>
  <si>
    <t>E-EDB-8904-03</t>
  </si>
  <si>
    <t>CCT-03 03-ELL01 TO 03-ELL12 STREET LIGHTS IN PARA/ABGA/PAUB AREAS</t>
  </si>
  <si>
    <t>E-EDB-8905-03</t>
  </si>
  <si>
    <t>CCT-03 03-ELL01 TO 03-ELL11 STREET LIGHTS IN PAPA/PASA/PASB AREAS</t>
  </si>
  <si>
    <t>E-EDB-8905-05</t>
  </si>
  <si>
    <t>CCT-05 05-ELL01 TO 05-ELL13 STREET LIGHTS IN PASA/PASB/PASC AREAS</t>
  </si>
  <si>
    <t>E-EDB-8802A-02</t>
  </si>
  <si>
    <t>CCT-002 TBA HIGH SENSITIVITY SMOKE DETECTOR PANEL (HSSD DB - CCB)</t>
  </si>
  <si>
    <t>E-EDB-8802B-02</t>
  </si>
  <si>
    <t>E-EDB-8812-10</t>
  </si>
  <si>
    <t>CCT-010 E-ECP-6001 AWL PANEL IN TSA REGENERATION GAS FIRED HEATER</t>
  </si>
  <si>
    <t>E-EDB-8812-11</t>
  </si>
  <si>
    <t>CCT-011 E-ECP-6002 AWL PANEL IN TSA REGENERATION GAS FIRED HEATER</t>
  </si>
  <si>
    <t>E-EDB-8806-16</t>
  </si>
  <si>
    <t>CCT-016 E-ECP-2511 AWL PANEL IN TSA REGENERATION GAS FIRED HEATER</t>
  </si>
  <si>
    <t>E-EDB-8806-17</t>
  </si>
  <si>
    <t>CCT-017 E-ECP-2521 AWL PANEL IN TSA REGENERATION GAS FIRED HEATER</t>
  </si>
  <si>
    <t>E-ESB-8002-A09-G</t>
  </si>
  <si>
    <t>FEEDER FOR CONDENSATE STABILISER BOTTOMS PUMP MOTOR E-PM-2103A A1 132KW/133A</t>
  </si>
  <si>
    <t>E-ESB-8002-B10-G</t>
  </si>
  <si>
    <t>FEEDER FOR CONDENSATE STABILISER BOTTOMS PUMP MOTOR E-PM-2103B A1 132KW/133A</t>
  </si>
  <si>
    <t>E-ESB-8011-A05-D</t>
  </si>
  <si>
    <t>FEEDER FOR MEG REGENERATION OXYGEN SCAVENGER DOSING PUMP MOTOR E-PM-5206A A1</t>
  </si>
  <si>
    <t>E-ESB-8011-A05-F</t>
  </si>
  <si>
    <t>FEEDER FOR MEG REGENERATION SODIUM HYDROXIDE DOSING PUMP MOTOR E-PM-5208A A1</t>
  </si>
  <si>
    <t>E-ESB-8011-A05-I</t>
  </si>
  <si>
    <t>FEEDER FOR LEAN MEG COOLER HYDROCHLORIC ACID DOSING PUMP MOTOR E-PM-5213A A1</t>
  </si>
  <si>
    <t>E-ESB-8011-B07-H</t>
  </si>
  <si>
    <t>FEEDER FOR MEG REGENERATION SODIUM HYDROXIDE DOSING PUMP MOTOR E-PM-5208B A1</t>
  </si>
  <si>
    <t>E-ESB-8011-B08-C</t>
  </si>
  <si>
    <t>FEEDER FOR LEAN MEG COOLER HYDROCHLORIC ACID DOSING PUMP MOTOR E-PM-5213B A1</t>
  </si>
  <si>
    <t>E-ESB-8706-B03-E</t>
  </si>
  <si>
    <t>GAS TREATMENT AREA ESSENTIAL LIGHTING E-EDB-8506 E1 12.75KW 23.9A</t>
  </si>
  <si>
    <t>E-ESB-8011-B07-E</t>
  </si>
  <si>
    <t>FEEDER FOR MEG DISTILLATION COLUMN ANTIFOAM DOSING PUMP MOTOR E-PM-5205B A1</t>
  </si>
  <si>
    <t>E-PM-5207A</t>
  </si>
  <si>
    <t>RICH MEG PRE-TREATMENT VESSEL SODIUM CARBONATE DOSING PUMP MOTOR</t>
  </si>
  <si>
    <t>E-PM-5207B</t>
  </si>
  <si>
    <t>E-EDB-8807-02</t>
  </si>
  <si>
    <t>CCT-02 E20FT055 FLOW-TRANSMITTER-ULTRASONIC(FF)FLOW POWER SUPPLY</t>
  </si>
  <si>
    <t>E-EDB-8807-03</t>
  </si>
  <si>
    <t>CCT-03 E20FT074 FLOW-TRANSMITTER-ULTRASONIC(FF)FLOW POWER SUPPLY</t>
  </si>
  <si>
    <t>E-EDB-8807-04</t>
  </si>
  <si>
    <t>CCT-04 E22FT014 FLOW-TRANSMITTER-ULTRASONIC(FF)FLOW POWER SUPPLY</t>
  </si>
  <si>
    <t>E-EDB-8807-05</t>
  </si>
  <si>
    <t>CCT-05 E22FT019 FLOW-TRANSMITTER-ULTRASONIC(FF)FLOW POWER SUPPLY</t>
  </si>
  <si>
    <t>E-EDB-8807-15</t>
  </si>
  <si>
    <t>CCT-15 E28FT067 FLOW-TRANSMITTER-ULTRASONIC(FF)FLOW POWER SUPPLY</t>
  </si>
  <si>
    <t>E-ESB-8002-B09-G</t>
  </si>
  <si>
    <t>FEEDER FOR FLASH GAS COMPRESSOR COOLANT PUMP MOTOR E-PM-2412B A1 6.3KW/6.2A</t>
  </si>
  <si>
    <t>E-ESB-8002-B10-C</t>
  </si>
  <si>
    <t>FEEDER FOR FLASH GAS COMPRESSOR COOLANT PUMP MOTOR E-PM-2422A A1 5.5KW/6.2A</t>
  </si>
  <si>
    <t>E-ESB-8011-A05-C</t>
  </si>
  <si>
    <t>FEEDER FOR MEG DISTILLATION COLUMN ANTIFOAM DOSING PUMP MOTOR E-PM-5205A A1</t>
  </si>
  <si>
    <t>E-ESB-8701-A16-B</t>
  </si>
  <si>
    <t>FEEDER FOR GIZA FAYOUM OFFSHORE METHANOL INJECTION PUMP MOTOR E-PM-4703A A1</t>
  </si>
  <si>
    <t>E-ESB-8003-B07-F</t>
  </si>
  <si>
    <t>CCR SMALL POWER NORMAL DISTRIBUTION BOARD E-EDB-8944 40KW/75.47A</t>
  </si>
  <si>
    <t>E-ESB-8706-B05-E</t>
  </si>
  <si>
    <t>GAS TREATMENT AREA ESSENTIAL LIGHTING E-EDB-8523 E1 12.8KW 13.9A</t>
  </si>
  <si>
    <t>E-CDM-3002</t>
  </si>
  <si>
    <t>MEG CENTRIFUGE BACK DRIVE MOTOR IN MEG CENTRIFUGE SKID E-X-3002</t>
  </si>
  <si>
    <t>E-CDM-3003</t>
  </si>
  <si>
    <t>MEG CENTRIFUGE BACK DRIVE MOTOR IN MEG CENTRIFUGE SKID E-X-3003</t>
  </si>
  <si>
    <t>E-ESB-8002-B18-C</t>
  </si>
  <si>
    <t>FEEDER FOR FLASH GAS COMPRESSOR COOLANT TANK HEATER E-EEH-2423 H1 9KW/7.6A</t>
  </si>
  <si>
    <t>E-CEM-3002</t>
  </si>
  <si>
    <t>MEG CENTRIFUGE MAIN DRIVE MOTOR IN MEG CENTRIFUGE SKID E-X-3002</t>
  </si>
  <si>
    <t>E-CEM-3003</t>
  </si>
  <si>
    <t>MEG CENTRIFUGE MAIN DRIVE MOTOR IN MEG CENTRIFUGE SKID E-X-3003</t>
  </si>
  <si>
    <t>E-PM-3017A</t>
  </si>
  <si>
    <t>MEG VACUUM PUMP SCRUBBER MOTOR IN MEG VACUUM PUMP SKID E-X-3001</t>
  </si>
  <si>
    <t>E-PM-3017B</t>
  </si>
  <si>
    <t>E-EDB-8807-09</t>
  </si>
  <si>
    <t>CCT-09 E22LZT010A LEVEL-TRANSMITTER-NUCLEONIC LEVEL POWER SUPPLY</t>
  </si>
  <si>
    <t>E-EDB-8807-10</t>
  </si>
  <si>
    <t>CCT-10 E22LZT010B LEVEL-TRANSMITTER-NUCLEONIC LEVEL POWER SUPPLY</t>
  </si>
  <si>
    <t>E-EDB-8807-11</t>
  </si>
  <si>
    <t>CCT-11 E22LZT010C LEVEL-TRANSMITTER-NUCLEONIC LEVEL POWER SUPPLY</t>
  </si>
  <si>
    <t>E-EDB-8807-16</t>
  </si>
  <si>
    <t>CCT-16 GFR TPSU A GFR TPSU B POWER SUPPLY FEEDER-2 POWER SUPPLY</t>
  </si>
  <si>
    <t>E-EDB-8809-01</t>
  </si>
  <si>
    <t>CCT-001 E28FT087 FLOW-TRANSMITTER-CORIOLIS REMOTE MTD (FF) FLOW</t>
  </si>
  <si>
    <t>E-EDB-8809-02</t>
  </si>
  <si>
    <t>CCT-002 E28FT154 FLOW-TRANSMITTER-CORIOLIS REMOTE MTD (FF) FLOW</t>
  </si>
  <si>
    <t>E-EDB-8809-04</t>
  </si>
  <si>
    <t>CCT-004 E30FT020 FLOW-TRANSMITTER-CORIOLIS REMOTE MTD (FF) FLOW</t>
  </si>
  <si>
    <t>E-EDB-8809-07</t>
  </si>
  <si>
    <t>CCT-007 E30FT254 FLOW-TRANSMITTER-CORIOLIS REMOTE MTD (FF) FLOW</t>
  </si>
  <si>
    <t>E-EDB-8809-10</t>
  </si>
  <si>
    <t>CCT-010 E30FT301 FLOW-TRANSMITTER-CORIOLIS REMOTE MTD (FF) FLOW</t>
  </si>
  <si>
    <t>E-EDB-8812-01</t>
  </si>
  <si>
    <t>CCT-001 E44FT008 FLOW-TRANSMITTER-CORIOLIS REMOTE MTD (FF )FLOW</t>
  </si>
  <si>
    <t>E-EDB-8812-02</t>
  </si>
  <si>
    <t>CCT-002 E44FT012 FLOW-TRANSMITTER-CORIOLIS REMOTE MTD (FF) FLOW</t>
  </si>
  <si>
    <t>E-ESB-8002-A07-E</t>
  </si>
  <si>
    <t>FEEDER FOR ONSHORE DEMULSIFIER DOSING PUMP MOTOR E-PM-5110B A1 0.55KW/0.8A</t>
  </si>
  <si>
    <t>E-ESB-8002-A08-C</t>
  </si>
  <si>
    <t>FEEDER FOR RICH MEG FLASH DRUM CONDENSATE PUMP MOTOR E-PM-2802 A1 4KW/4.6A</t>
  </si>
  <si>
    <t>E-ESB-8002-B04-B</t>
  </si>
  <si>
    <t>FEEDER FOR SPARE AIR COMPRESSOR MOTOR CUBICLE ON LV SWITCHBOARD E-ESB-8002</t>
  </si>
  <si>
    <t>E-ESB-8002-B12-E</t>
  </si>
  <si>
    <t>FEEDER FOR ONSHORE DEMULSIFIER DOSING PUMP MOTOR E-PM-5110A A1 0.55KW/0.8A</t>
  </si>
  <si>
    <t>E-ESB-8706-A03-C</t>
  </si>
  <si>
    <t>HP LP FLARE AREA ESSENTIAL LIGHTING E-EDB-8515 E1 12.75KW 23.9A</t>
  </si>
  <si>
    <t>E-ESB-8011-B03-I</t>
  </si>
  <si>
    <t>FEEDER FOR MEG CENTRIFUGE PACKAGE LUBE OIL COOLER FAN MOTOR E-KEM-3010 A1</t>
  </si>
  <si>
    <t>E-EDB-8807-13</t>
  </si>
  <si>
    <t>CCT-13 E28AT028 ANALYSIS-TRANSMITTER-OIL IN WATER POWER SUPPLY</t>
  </si>
  <si>
    <t>E-EDB-8809-05</t>
  </si>
  <si>
    <t>CCT-005 E30FT034 FLOW-TRANSMITTER-ULTRASONIC REM MTD (FF) FLOW</t>
  </si>
  <si>
    <t>E-EDB-8806-04</t>
  </si>
  <si>
    <t>CCT-004 E25FT315 FLOW-TRANSMITTER-ULTRASONIC REM MTD (FF) FLOW</t>
  </si>
  <si>
    <t>E-EDB-8806-10</t>
  </si>
  <si>
    <t>CCT-010 E25FT015 FLOW-TRANSMITTER-ULTRASONIC REM MTD (FF) FLOW</t>
  </si>
  <si>
    <t>E-ESB-8002-A04-B</t>
  </si>
  <si>
    <t>FEEDER FOR CONDENSATE RUN DOWN COOLER FAN MOTOR E-KEM-2101C A1 15KW/16.4A</t>
  </si>
  <si>
    <t>E-ESB-8002-A06-E</t>
  </si>
  <si>
    <t>FEEDER FOR CONTAMINATED WATER DRAINS PUMPS MOTOR E-PM-5802A A1 7.5KW/8.2A</t>
  </si>
  <si>
    <t>E-ESB-8002-A12-G</t>
  </si>
  <si>
    <t>FEEDER FOR CONDENSATE RUN DOWN COOLER FAN MOTOR E-KEM-2101A A1 15KW/16.4A</t>
  </si>
  <si>
    <t>E-ESB-8002-A13-B</t>
  </si>
  <si>
    <t>FEEDER FOR CONDENSATE RUN DOWN COOLER FAN MOTOR E-KEM-2101E A1 15KW/16.4A</t>
  </si>
  <si>
    <t>E-ESB-8002-A13-C</t>
  </si>
  <si>
    <t>FEEDER FOR CONDENSATE RUN DOWN COOLER FAN MOTOR E-KEM-2101F A1 15KW/16.4A</t>
  </si>
  <si>
    <t>E-ESB-8002-B07-B</t>
  </si>
  <si>
    <t>FEEDER FOR CONDENSATE RUN DOWN COOLER FAN MOTOR E-KEM-2101D A1 15KW/16.4A</t>
  </si>
  <si>
    <t>E-ESB-8002-B13-C</t>
  </si>
  <si>
    <t>FEEDER FOR CONTAMINATED WATER DRAINS PUMPS MOTOR E-PM-5802B A1 7.5KW/8.2A</t>
  </si>
  <si>
    <t>E-ESB-8003-A04-F</t>
  </si>
  <si>
    <t>ANALYSER HOUSE E25AT248 DISTRIBUTION BOARD E-EDB-8951 2.5KW/5A</t>
  </si>
  <si>
    <t>E-ESB-8003-A06-C</t>
  </si>
  <si>
    <t>HEAT TRACING DISTRIBUTION BOARD IN PACA E-EDB-8603 35KW/50.52A</t>
  </si>
  <si>
    <t>E-ESB-8003-A06-E</t>
  </si>
  <si>
    <t>HEAT TRACING DISTRIBUTION BOARD IN PAFB E-EDB-8604 45KW/64.95A</t>
  </si>
  <si>
    <t>E-ESB-8003-A07-C</t>
  </si>
  <si>
    <t>ANALYSER HOUSE E25AT549 DISTRIBUTION BOARD E-EDB-8950 2.5KW/5A</t>
  </si>
  <si>
    <t>E-ESB-8003-A07-D</t>
  </si>
  <si>
    <t>HEAT TRACING DISTRIBUTION BOARD IN PAGA E-EDB-8605 37KW/53.40A</t>
  </si>
  <si>
    <t>E-ESB-8003-A07-E</t>
  </si>
  <si>
    <t>HEAT TRACING DISTRIBUTION BOARD IN PAZA E-EDB-8602 15KW/21.65A</t>
  </si>
  <si>
    <t>R-ESB-8003-A03-C</t>
  </si>
  <si>
    <t>ANALYSER HOUSE DISTRIBUTION BOARD NON ESSENTIAL R-ESSW-8904 C1</t>
  </si>
  <si>
    <t>R-ESB-8003-A03-D</t>
  </si>
  <si>
    <t>ANALYSER HOUSE DISTRIBUTION BOARD NON ESSENTIAL R-ESSW-8905 C1</t>
  </si>
  <si>
    <t>E-ESB-8002-A03-C</t>
  </si>
  <si>
    <t>FEEDER FOR HVAC CONTROL BUILDING NON ESSENTIAL E-ESB-9401B C1 75KW/82.0A</t>
  </si>
  <si>
    <t>E-ESB-8702-A05-F</t>
  </si>
  <si>
    <t>FEEDER FOR LUBE OIL TANK HEATER B E-EEH-9111B FOR E-G-9111 H1 4.5KW 3.8A</t>
  </si>
  <si>
    <t>E-ESB-8703-A05-F</t>
  </si>
  <si>
    <t>FEEDER FOR LUBE OIL TANK HEATER B E-EEH-9121B FOR E-G-9121 H1 4.5KW 3.8A</t>
  </si>
  <si>
    <t>E-ESB-8704-A05-F</t>
  </si>
  <si>
    <t>FEEDER FOR LUBE OIL TANK HEATER B E-EEH-9131B FOR E-G-9131 H1 4.5KW 3.8A</t>
  </si>
  <si>
    <t>E-ESB-8705-A05-F</t>
  </si>
  <si>
    <t>FEEDER FOR LUBE OIL TANK HEATER B E-EEH-9141B FOR E-G-9141 H1 4.5KW 3.8A</t>
  </si>
  <si>
    <t>E-EDB-8807-17</t>
  </si>
  <si>
    <t>CCT-17 GFR MCS A GFR MCS B POWER SUPPLY FEEDER-2 POWER SUPPLY</t>
  </si>
  <si>
    <t>E-EDB-8903-01</t>
  </si>
  <si>
    <t>CCT-01 01-ELL01 TO 01-ELL-09 STREET LIGHTS IN PAVA/PAUC AREAS</t>
  </si>
  <si>
    <t>E-EDB-8804A-47</t>
  </si>
  <si>
    <t>CCT-047 TBA TELECOMS TOWER AIRCRAFT WARNING LIGHTING FEEDER-1</t>
  </si>
  <si>
    <t>E-EDB-8804A-48</t>
  </si>
  <si>
    <t>CCT-048 E-ECP-4201-02 FLARES AIRCRAFT WARNING LIGHTING FEEDER</t>
  </si>
  <si>
    <t>E-EDB-8811-10</t>
  </si>
  <si>
    <t>CCT-010 E66FT012 FLOW-TRANSMITTER-CORIOLIS REMOTE MTD(FF)FLOW</t>
  </si>
  <si>
    <t>E-EDB-8811-11</t>
  </si>
  <si>
    <t>CCT-011 E66FT013 FLOW-TRANSMITTER-CORIOLIS REMOTE MTD(FF)FLOW</t>
  </si>
  <si>
    <t>E-EDB-8811-12</t>
  </si>
  <si>
    <t>CCT-012 E66FT021 FLOW-TRANSMITTER-CORIOLIS REMOTE MTD(FF)FLOW</t>
  </si>
  <si>
    <t>E-EDB-8514</t>
  </si>
  <si>
    <t>ESSENTIAL DISTRIBUTION BOARD IN HP SEPARATION EARTHING LAYOUT</t>
  </si>
  <si>
    <t>E-ESB-8001-A10</t>
  </si>
  <si>
    <t>FEEDER FOR HOT OIL CIRCULATION PUMP MOTOR A CUBICLE FOR E-PM-6002A 514KW</t>
  </si>
  <si>
    <t>E-ESB-8001-A11</t>
  </si>
  <si>
    <t>FEEDER FOR HOT OIL CIRCULATION PUMP MOTOR C CUBICLE FOR E-PM-6002C 514KW</t>
  </si>
  <si>
    <t>E-ESB-8001-B09</t>
  </si>
  <si>
    <t>FEEDER FOR HOT OIL CIRCULATION PUMP MOTOR B CUBICLE FOR E-PM-6002B 514KW</t>
  </si>
  <si>
    <t>E-ESB-8002-A05-G</t>
  </si>
  <si>
    <t>FEEDER FOR AIR COMPRESSOR AFTERCOOLER FAN MOTOR E-AEM-6511 A1 2.2KW/2.9A</t>
  </si>
  <si>
    <t>E-ESB-8002-A09-B</t>
  </si>
  <si>
    <t>FEEDER FOR FLASH GAS COMPRESSOR AUX OIL PUMP MOTOR E-PM-2411 A1 3KW/3.5A</t>
  </si>
  <si>
    <t>E-ESB-8002-B10-B</t>
  </si>
  <si>
    <t>FEEDER FOR FLASH GAS COMPRESSOR AUX OIL PUMP MOTOR E-PM-2421 A1 3KW/3.5A</t>
  </si>
  <si>
    <t>E-ESB-8002-B13-G</t>
  </si>
  <si>
    <t>FEEDER FOR AIR COMPRESSOR AFTERCOOLER FAN MOTOR E-AEM-6521 A1 2.2KW/2.9A</t>
  </si>
  <si>
    <t>E-ESB-8001-BB01</t>
  </si>
  <si>
    <t>BUS RISER AND VT AND BBCT-B CUBICLE FOR SWITCHGEAR E-ESB-8001</t>
  </si>
  <si>
    <t>E-ESB-8003-B08-B</t>
  </si>
  <si>
    <t>ANALYSER HOUSE E28AT027 DISTRIBUTION BOARD E-EDB-8952 5KW/10A</t>
  </si>
  <si>
    <t>R-L-8023-15R-A</t>
  </si>
  <si>
    <t>FEEDER FOR COMPRESSOR DISCHARGE AIR COOLER MOTOR A1 R-AM-2721A1 37KW 72A</t>
  </si>
  <si>
    <t>R-L-8023-15R-B</t>
  </si>
  <si>
    <t>FEEDER FOR COMPRESSOR DISCHARGE AIR COOLER MOTOR A2 R-AM-2721A2 37KW 72A</t>
  </si>
  <si>
    <t>R-L-8023-15R-C</t>
  </si>
  <si>
    <t>FEEDER FOR COMPRESSOR DISCHARGE AIR COOLER MOTOR A3 R-AM-2721A3 37KW 72A</t>
  </si>
  <si>
    <t>R-L-8023-15R-D</t>
  </si>
  <si>
    <t>FEEDER FOR COMPRESSOR DISCHARGE AIR COOLER MOTOR B1 R-AM-2721B1 37KW 72A</t>
  </si>
  <si>
    <t>R-L-8023-15R-E</t>
  </si>
  <si>
    <t>FEEDER FOR COMPRESSOR DISCHARGE AIR COOLER MOTOR B2 R-AM-2721B2 37KW 72A</t>
  </si>
  <si>
    <t>R-L-8023-16F-A</t>
  </si>
  <si>
    <t>FEEDER FOR COMPRESSOR DISCHARGE AIR COOLER MOTOR B3 R-MA-2721B3 37KW 72A</t>
  </si>
  <si>
    <t>E-ESB-8012-B02-B</t>
  </si>
  <si>
    <t>STREET LIGHTING DISTRIBUTION BOARD E-EDB-8905 E1 25.5KW 47.6A</t>
  </si>
  <si>
    <t>E-ESB-8011-B06-G</t>
  </si>
  <si>
    <t>FEEDER FOR RICH MEG RECYCLE HEATER CIRCULATION PUMP MOTOR E-PM-3009B A1</t>
  </si>
  <si>
    <t>E-ESB-8011-B07-D</t>
  </si>
  <si>
    <t>FEEDER FOR RICH MEG CENTRIFUGE PACKAGE LUBE OIL PUMP MOTOR E-PM-3013 A1</t>
  </si>
  <si>
    <t>E-ESB-8701-A19-E</t>
  </si>
  <si>
    <t>FEEDER FOR HVAC CENTRAL CONTROL BUILDING ESSENTIAL POWER E-ESB-9402A C1</t>
  </si>
  <si>
    <t>E-EBC-8703</t>
  </si>
  <si>
    <t>24VDC SUPPLY BATTERY CHARGER-1 FOR DIESEL GENERATOR E-X-8731</t>
  </si>
  <si>
    <t>FA_EETC</t>
  </si>
  <si>
    <t>BCEL</t>
  </si>
  <si>
    <t>E-EBC-8704</t>
  </si>
  <si>
    <t>24VDC SUPPLY BATTERY CHARGER-2 FOR DIESEL GENERATOR E-X-8731</t>
  </si>
  <si>
    <t>E-KAM-2421</t>
  </si>
  <si>
    <t>FLASH GAS COMPRESSOR BARRING DEVICE ELECTRIC MOTOR (TRAIN 2)</t>
  </si>
  <si>
    <t>E-EMS-011</t>
  </si>
  <si>
    <t>WALL MOUNTED CONTROL SWITCH IN HP SEPARATION EARTHING LAYOUT</t>
  </si>
  <si>
    <t>E-EDB-8902-02</t>
  </si>
  <si>
    <t>CCT-02 02-ELL01 TO 02-ELL12 STREET LIGHTS IN PACA/GAAA AREAS</t>
  </si>
  <si>
    <t>E-EDB-8904-04</t>
  </si>
  <si>
    <t>CCT-04 04-ELL01 TO 04-ELL12 STREET LIGHTS IN PARA/GAAD AREAS</t>
  </si>
  <si>
    <t>E-EDB-8905-02</t>
  </si>
  <si>
    <t>CCT-02 02-ELL01 TO 02-ELL11 STREET LIGHTS IN PAGA/PAQA AREAS</t>
  </si>
  <si>
    <t>E-EDB-8802A-10</t>
  </si>
  <si>
    <t>CCT-010 E-ECP-9302 PMS SERVER PANEL IN SUBSTATION 1 FEEDER-1</t>
  </si>
  <si>
    <t>E-EDB-8802B-10</t>
  </si>
  <si>
    <t>CCT-010 E-ECP-9302 PMS SERVER PANEL IN SUBSTATION 1 FEEDER-2</t>
  </si>
  <si>
    <t>E-EDB-8803A-06</t>
  </si>
  <si>
    <t>CCT-006 TBA LER-2 MACHINE CONTROL MONITORING SYSTEM FEEDER-1</t>
  </si>
  <si>
    <t>E-EDB-8803B-06</t>
  </si>
  <si>
    <t>CCT-006 TBA LER-2 MACHINE CONTROL MONITORING SYSTEM FEEDER-2</t>
  </si>
  <si>
    <t>E-EEB-131</t>
  </si>
  <si>
    <t>EARTH BUSBAR IN ELECTRICAL SUBSTATION 1 AREA EARTHING LAYOUT</t>
  </si>
  <si>
    <t>E-EEB-132</t>
  </si>
  <si>
    <t>E-EEB-133</t>
  </si>
  <si>
    <t>E-EEB-134</t>
  </si>
  <si>
    <t>E-EEB-135</t>
  </si>
  <si>
    <t>E-EEB-136</t>
  </si>
  <si>
    <t>E-EEB-137</t>
  </si>
  <si>
    <t>E-EEB-138</t>
  </si>
  <si>
    <t>E-EEB-139</t>
  </si>
  <si>
    <t>E-EEB-212</t>
  </si>
  <si>
    <t>EARTH BUSBAR IN PRODUCED WATER STRIPPER AREA EARTHING LAYOUT</t>
  </si>
  <si>
    <t>E-EEB-213</t>
  </si>
  <si>
    <t>E-EEB-214</t>
  </si>
  <si>
    <t>E-EEB-215</t>
  </si>
  <si>
    <t>E-EEB-216</t>
  </si>
  <si>
    <t>E-EEB-231</t>
  </si>
  <si>
    <t>EARTH BUSBAR IN ELECTRICAL SUBSTATION 2 AREA EARTHING LAYOUT</t>
  </si>
  <si>
    <t>E-EEB-232</t>
  </si>
  <si>
    <t>E-EEB-233</t>
  </si>
  <si>
    <t>E-EEB-234</t>
  </si>
  <si>
    <t>E-EEB-235</t>
  </si>
  <si>
    <t>E-EBC-8701</t>
  </si>
  <si>
    <t>24VDC SUPPLY BATTERY CHARGER-1 FOR DIESEL GENERATOR E-X-8711</t>
  </si>
  <si>
    <t>E-EBC-8702</t>
  </si>
  <si>
    <t>24VDC SUPPLY BATTERY CHARGER-2 FOR DIESEL GENERATOR E-X-8711</t>
  </si>
  <si>
    <t>E-ESB-8001-A12</t>
  </si>
  <si>
    <t>FEEDER FOR HOT OIL SPILL BACK PUMP MOTOR A CUBICLE FOR E-PM-6004A 250KW</t>
  </si>
  <si>
    <t>E-ESB-8001-B10</t>
  </si>
  <si>
    <t>FEEDER FOR HOT OIL SPILL BACK PUMP MOTOR B CUBICLE FOR E-PM-6004B 250KW</t>
  </si>
  <si>
    <t>E-ESB-8001-B11</t>
  </si>
  <si>
    <t>FEEDER FOR HOT OIL SPILL BACK PUMP MOTOR C CUBICLE FOR E-PM-6004C 250KW</t>
  </si>
  <si>
    <t>E-ESB-8011-A05-B</t>
  </si>
  <si>
    <t>FEEDER FOR RICH MEG CENTRIFUGE PACKAGE LUBE OIL PUMP MOTOR E-PM-3014 A1</t>
  </si>
  <si>
    <t>E-ESB-8011-A05-G</t>
  </si>
  <si>
    <t>FEEDER FOR RICH MEG FLASH DRUM ANTIFOAM DOSING PUMP MOTOR E-PM-5210A A1</t>
  </si>
  <si>
    <t>E-ESB-8011-A05-H</t>
  </si>
  <si>
    <t>FEEDER FOR MEG FLASH SEPARATOR ANTIFOAM DOSING PUMP MOTOR E-PM-5211A A1</t>
  </si>
  <si>
    <t>E-ESB-8011-A10-E</t>
  </si>
  <si>
    <t>FEEDER FOR RICH MEG RECYCLE HEATER CIRCULATION PUMP MOTOR E-PM-3009A A1</t>
  </si>
  <si>
    <t>E-ESB-8011-A11-C</t>
  </si>
  <si>
    <t>FEEDER FOR MEG TRAIN CONDENSATE COLLECTION DRUM PUMP MOTOR E-PM-2807 A1</t>
  </si>
  <si>
    <t>E-ESB-8011-B07-I</t>
  </si>
  <si>
    <t>FEEDER FOR RICH MEG FLASH DRUM ANTIFOAM DOSING PUMP MOTOR E-PM-5210B A1</t>
  </si>
  <si>
    <t>E-ESB-8011-B08-B</t>
  </si>
  <si>
    <t>FEEDER FOR MEG FLASH SEPARATOR ANTIFOAM DOSING PUMP MOTOR E-PM-5211B A1</t>
  </si>
  <si>
    <t>E-ESB-8701-A14-G</t>
  </si>
  <si>
    <t>FEEDER FOR JW HEATER CIRCULATION PUMP MOTOR E-GE-8711 FOR E-KEM-6551 A1</t>
  </si>
  <si>
    <t>E-ESB-8012-C06-C</t>
  </si>
  <si>
    <t>SUBSTATION 2 LER 2 ESSENTIAL POWER E-EDB-8517 B2 55KW 83.56A</t>
  </si>
  <si>
    <t>R-ESB-8001-AA01</t>
  </si>
  <si>
    <t>BBVT AND ES BUS A AND BUSBAR EARTHING KEY EXCHANGE BOX BUS B</t>
  </si>
  <si>
    <t>R-ESB-8001-AA02</t>
  </si>
  <si>
    <t>BBVT AND ES BUS A AND BUSBAR EARTHING KEY EXCHANGE BOX BUS A</t>
  </si>
  <si>
    <t>E-ESB-8011-B03-H</t>
  </si>
  <si>
    <t>FEEDER FOR RICH MEG CENTRIFUGE LUBE OIL COOLER FAN MOTOR E-KEM-3008 A1</t>
  </si>
  <si>
    <t>E-ESB-8011-B07-B</t>
  </si>
  <si>
    <t>FEEDER FOR RICH MEG CENTRIFUGE PACKAGE SLUDGE PUMP MOTOR E-PM-3010B A1</t>
  </si>
  <si>
    <t>E-ESB-8706-A05-D</t>
  </si>
  <si>
    <t>FEEDER FOR CONTROL PANEL E-ECP-8711 FOR EDG E-G-8711 C1 25.26KW 40.51A</t>
  </si>
  <si>
    <t>E-PM-3015A</t>
  </si>
  <si>
    <t>PUMP MOTOR FOR MEG SALT DISSOLVER A TRANSFER PUMP E-P-3015A</t>
  </si>
  <si>
    <t>E-PM-3015B</t>
  </si>
  <si>
    <t>PUMP MOTOR FOR MEG SALT DISSOLVER A TRANSFER PUMP E-P-3015B</t>
  </si>
  <si>
    <t>E-PM-3016A</t>
  </si>
  <si>
    <t>PUMP MOTOR FOR MEG SALT DISSOLVER B TRANSFER PUMP E-P-3016A</t>
  </si>
  <si>
    <t>E-PM-3016B</t>
  </si>
  <si>
    <t>E-EDB-8802A-16</t>
  </si>
  <si>
    <t>CCT-016 TBA ACCESS CONTROL SYSTEM / CCTV EQUIPMENT FEEDER-1</t>
  </si>
  <si>
    <t>E-EDB-8802B-16</t>
  </si>
  <si>
    <t>CCT-016 TBA ACCESS CONTROL SYSTEM / CCTV EQUIPMENT FEEDER-2</t>
  </si>
  <si>
    <t>E-EDB-8804B-24</t>
  </si>
  <si>
    <t>CCT-024 LATER MACHINE CONDITION MONITORING CABINET FEEDER-2</t>
  </si>
  <si>
    <t>E-ESSW-8013</t>
  </si>
  <si>
    <t>WELDING RECEPTACLE IN POWER GENERATION AREA EARTHING LAYOUT</t>
  </si>
  <si>
    <t>E-ESB-8002-A05-F</t>
  </si>
  <si>
    <t>FEEDER FOR FLASH GAS COMPRESSOR BARRING MOTOR E-KAM-2411 A1 11KW/12.7A</t>
  </si>
  <si>
    <t>E-ESB-8002-A10-B</t>
  </si>
  <si>
    <t>FEEDER FOR TSA REGENERATION COOLER FAN MOTOR E-VFD-2521E V1 15KW/16.4A</t>
  </si>
  <si>
    <t>E-ESB-8002-A10-C</t>
  </si>
  <si>
    <t>FEEDER FOR TSA REGENERATION COOLER FAN MOTOR E-VFD-2521F V1 15KW/16.4A</t>
  </si>
  <si>
    <t>E-ESB-8002-A12-F</t>
  </si>
  <si>
    <t>FEEDER FOR TSA REGENERATION COOLER FAN MOTOR E-KEM-2511A A1 15KW/16.4A</t>
  </si>
  <si>
    <t>E-ESB-8002-A12-H</t>
  </si>
  <si>
    <t>FEEDER FOR TSA REGENERATION COOLER FAN MOTOR E-KEM-2521A A1 15KW/16.4A</t>
  </si>
  <si>
    <t>E-ESB-8002-B03-B</t>
  </si>
  <si>
    <t>FEEDER FOR DATA CONCENTRATOR FA2-MICOM-132 ON LV SWITCHGEAR E-ESB-8002</t>
  </si>
  <si>
    <t>E-ESB-8002-B06-B</t>
  </si>
  <si>
    <t>FEEDER FOR CONDENSATE RUN DOWN COOLER FAN MOTOR E-EEH-2421 H1 8KW/8.7A</t>
  </si>
  <si>
    <t>E-ESB-8002-B08-D</t>
  </si>
  <si>
    <t>FEEDER FOR TSA REGENERATION COOLER FAN MOTOR E-VFD-2511C V1 15KW/16.4A</t>
  </si>
  <si>
    <t>E-ESB-8002-B08-E</t>
  </si>
  <si>
    <t>FEEDER FOR TSA REGENERATION COOLER FAN MOTOR E-VFD-2511D A1 15KW/16.4A</t>
  </si>
  <si>
    <t>E-ESB-8002-B08-F</t>
  </si>
  <si>
    <t>FEEDER FOR TSA REGENERATION COOLER FAN MOTOR E-VFD-2521B V1 15KW/16.4A</t>
  </si>
  <si>
    <t>E-ESB-8002-B08-H</t>
  </si>
  <si>
    <t>FEEDER FOR TSA REGENERATION COOLER FAN MOTOR E-KEM-2521D A1 15KW/16.4A</t>
  </si>
  <si>
    <t>E-ESB-8002-B11-G</t>
  </si>
  <si>
    <t>FEEDER FOR TSA REGENERATION COOLER FAN MOTOR E-VFD-2511B V1 15KW/16.4A</t>
  </si>
  <si>
    <t>E-ESB-8002-B21-G</t>
  </si>
  <si>
    <t>FEEDER FOR TSA REGENERATION COOLER FAN MOTOR E-VFD-2521C VA 15KW/16.4A</t>
  </si>
  <si>
    <t>E-ESB-8011-A12-C</t>
  </si>
  <si>
    <t>FEEDER FOR RICH MEG CENTRIFUGE LUBE OIL COOLER FAN MOTOR E-KEM-3009 A1</t>
  </si>
  <si>
    <t>R-ESB-8003-A04-B</t>
  </si>
  <si>
    <t>FEEDER FOR RICH MEG FLASH DRUM CONDENSATE HEAT PUMP MOTOR R-PM-2801 A1</t>
  </si>
  <si>
    <t>E-ESB-8003-A02-D</t>
  </si>
  <si>
    <t>GAS TREATMENT AREA NORMAL LIGHTING E-EDB-8911 42.5KW/72.17A</t>
  </si>
  <si>
    <t>E-ESB-8012-A04-C</t>
  </si>
  <si>
    <t>STREET LIGHTING DISTRIBUTION BOARD E-EDB-8904 E1 17KW 31.8A</t>
  </si>
  <si>
    <t>R-ESB-8002-B02-B</t>
  </si>
  <si>
    <t>INCOMER 2 CONTROL FOR TRANSFORMER R-ETR-8002B ON R-ESB-8002</t>
  </si>
  <si>
    <t>E-ESB-8011-A22-A</t>
  </si>
  <si>
    <t>FEEDER FOR FORCED DRAFT FAN FOR THERMAL OXIDISER MOTOR E-KEM-6602B A2</t>
  </si>
  <si>
    <t>R-ESB-8003-B07-F</t>
  </si>
  <si>
    <t>FEEDER FOR THYRISTOR CONTROL PANEL AUXILIARY GAS HEATER E-ETP-4601 H2</t>
  </si>
  <si>
    <t>R-EUP-8802</t>
  </si>
  <si>
    <t>230V AC, 50HZ, 30KVA SINGLE UPS FOR GIZA FAYOUM (LIGHTING)</t>
  </si>
  <si>
    <t>FA_EEPU</t>
  </si>
  <si>
    <t>UPUB</t>
  </si>
  <si>
    <t>D7</t>
  </si>
  <si>
    <t>MAH Barrier: UPS Systems; MAH comment: De-escalate for non-critical units; IPL/LOPA = No; Regulatory override = No</t>
  </si>
  <si>
    <t>E-GE-8711-EEH01</t>
  </si>
  <si>
    <t>GENERATOR SYSTEM ANTI CONDENSATION HEATER EM GEN E-GE-8711</t>
  </si>
  <si>
    <t>E-EDB-9121-01</t>
  </si>
  <si>
    <t>CCT-001 E-EJB-9121-12 AC LIGHTING FILTER COMBUSTION PLENUM</t>
  </si>
  <si>
    <t>E-EDB-9131-01</t>
  </si>
  <si>
    <t>CCT-001 E-EJB-9111-12 AC LIGHTING FILTER COMBUSTION PLENUM</t>
  </si>
  <si>
    <t>E-EDB-9141-01</t>
  </si>
  <si>
    <t>CCT-001 E-EJB-9141-12 AC LIGHTING FILTER COMBUSTION PLENUM</t>
  </si>
  <si>
    <t>E-EDB-8803A-23</t>
  </si>
  <si>
    <t>CCT-023 E-EDB-8812 UPS SUB DISTRIBUTION BOARD AT PAQA AREA</t>
  </si>
  <si>
    <t>E-EDB-8803A-24</t>
  </si>
  <si>
    <t>CCT-024 E-EDB-8811 UPS SUB DISTRIBUTION BOARD AT PARA AREA</t>
  </si>
  <si>
    <t>E-EDB-8803B-23</t>
  </si>
  <si>
    <t>CCT-023 E-EDB-8809 UPS SUB DISTRIBUTION BOARD AT PAQA AREA</t>
  </si>
  <si>
    <t>E-EDB-8803B-24</t>
  </si>
  <si>
    <t>CCT-024 E-EDB-8810 UPS SUB DISTRIBUTION BOARD AT PARA AREA</t>
  </si>
  <si>
    <t>E-EDB-8804A-25</t>
  </si>
  <si>
    <t>CCT-025 E-EDB-8806 UPS SUB DISTRIBUTION BOARD IN PAQB AREA</t>
  </si>
  <si>
    <t>E-EDB-8804A-26</t>
  </si>
  <si>
    <t>CCT-026 E-EDB-8807 UPS SUB DISTRIBUTION BOARD IN PACA AREA</t>
  </si>
  <si>
    <t>E-EDB-8804A-27</t>
  </si>
  <si>
    <t>CCT-027 E-EDB-8813 UPS SUB DISTRIBUTION BOARD IN PAGA AREA</t>
  </si>
  <si>
    <t>E-EDB-8804B-25</t>
  </si>
  <si>
    <t>CCT-025 E-EDB-8808 UPS SUB DISTRIBUTION BOARD IN PAAA AREA</t>
  </si>
  <si>
    <t>E-ESB-8002-A08-F</t>
  </si>
  <si>
    <t>FEEDER FOR ONSHORE LEAN MEG INJECTION PUMP MOTOR E-PM-2901A A1 4KW/4A</t>
  </si>
  <si>
    <t>E-ESB-8002-B06-D</t>
  </si>
  <si>
    <t>FEEDER FOR CONDENSATE RUN DOWN COOLER MOTOR E-KEM-2101B H1 15KW/16.4A</t>
  </si>
  <si>
    <t>E-ESB-8002-B09-D</t>
  </si>
  <si>
    <t>FEEDER FOR SPARE CUBICLE ON LV SWITCHBOARD E-ESB-8002 A1 18.5KW/22.7A</t>
  </si>
  <si>
    <t>E-ESB-8002-B11-C</t>
  </si>
  <si>
    <t>FEEDER FOR ONSHORE LEAN MEG INJECTION PUMP MOTOR E-PM-2901B A1 4KW/4A</t>
  </si>
  <si>
    <t>E-ESB-8002-B20-C</t>
  </si>
  <si>
    <t>E-ESB-8011-B20-A</t>
  </si>
  <si>
    <t>FEEDER FOR FORCED DRAFT FAN FOR THERMAL OXIDISER MOTOR E-KEM-6602A A2</t>
  </si>
  <si>
    <t>E-ESB-8001-AB</t>
  </si>
  <si>
    <t>BUS COUPLER AND ES BUS B CUBICLE FOR SWITCHGEAR E-ESB-8001</t>
  </si>
  <si>
    <t>E-ESB-8701-A16-C</t>
  </si>
  <si>
    <t>FEEDER FOR RAVEN OFFSHORE METHANOL INJECTION PUMP MOTOR E-PM-4704A A1</t>
  </si>
  <si>
    <t>E-ESB-8701-A17-C</t>
  </si>
  <si>
    <t>FEEDER FOR AIR COMPRESSOR INTEGRAL AIR COOLER FAN MOTOR E-KEM-6531 A1</t>
  </si>
  <si>
    <t>E-ESB-8701-A17-D</t>
  </si>
  <si>
    <t>FEEDER FOR AIR COMPRESSOR INTEGRAL AIR COOLER FAN MOTOR E-KEM-6541 A1</t>
  </si>
  <si>
    <t>E-ESB-8701-B03-G</t>
  </si>
  <si>
    <t>FEEDER FOR AIR COMPRESSOR INTEGRAL AIR COOLER FAN MOTOR E-KEM-6552 A1</t>
  </si>
  <si>
    <t>E-ESB-8701-B08-B</t>
  </si>
  <si>
    <t>FEEDER FOR AIR COMPRESSOR INTEGRAL AIR COOLER FAN MOTOR E-KEM-6532 A1</t>
  </si>
  <si>
    <t>E-ESB-8701-B08-C</t>
  </si>
  <si>
    <t>FEEDER FOR AIR COMPRESSOR INTEGRAL AIR COOLER FAN MOTOR E-KEM-6542 A1</t>
  </si>
  <si>
    <t>E-ESB-8701-B08-E</t>
  </si>
  <si>
    <t>FEEDER FOR RAVEN OFFSHORE METHANOL INJECTION PUMP MOTOR E-PM-4704B A1</t>
  </si>
  <si>
    <t>E-ESB-8003-A03-B</t>
  </si>
  <si>
    <t>GAS TREATMENT AREA NORMAL LIGHTING E-EDB-8936 42.5KW/79.4A</t>
  </si>
  <si>
    <t>R-L-8023-15F-C</t>
  </si>
  <si>
    <t>FEEDER FOR LUBE OIL VAPOR SEPARATOR FAN MOTOR R-OVFM-2721A 1.5KW 3.5A</t>
  </si>
  <si>
    <t>R-L-8023-15F-D</t>
  </si>
  <si>
    <t>FEEDER FOR LUBE OIL VAPOR SEPARATOR FAN MOTOR R-OVFM-2721B 1.5KW 3.5A</t>
  </si>
  <si>
    <t>R-L-8023-16F-D</t>
  </si>
  <si>
    <t>FEEDER FOR GAS TURBINE VENTILATION FAN MOTOR A2 R-VFM-2721A2 21KW 42A</t>
  </si>
  <si>
    <t>R-L-8023-16F-E</t>
  </si>
  <si>
    <t>FEEDER FOR GAS TURBINE VENTILATION FAN MOTOR A1 R-VFM-2721A1 21KW 42A</t>
  </si>
  <si>
    <t>R-L-8023-16R-A</t>
  </si>
  <si>
    <t>FEEDER FOR GAS TURBINE VENTILATION FAN MOTOR B1 R-VFM-2721B1 21KW 42A</t>
  </si>
  <si>
    <t>R-L-8023-16R-B</t>
  </si>
  <si>
    <t>FEEDER FOR GAS TURBINE VENTILATION FAN MOTOR B2 R-VFM-2721B2 21KW 42A</t>
  </si>
  <si>
    <t>E-ESB-8012-C03-F</t>
  </si>
  <si>
    <t>UTILITIES PLOT ESSENTIAL LIGHTING E-EDB-8520 E1 17KW 31.8A</t>
  </si>
  <si>
    <t>E-ESB-8706-A04-E</t>
  </si>
  <si>
    <t>UTILITIES PLOT ESSENTIAL LIGHTING E-EDB-8519 E1 22KW 23.9A</t>
  </si>
  <si>
    <t>R-ESB-8002-A05-B</t>
  </si>
  <si>
    <t>KEY LOCK FOR TRANSFORMER INCOMER R-ETR-8002A ON R-ESB-8002</t>
  </si>
  <si>
    <t>E-ESB-8011-B06-C</t>
  </si>
  <si>
    <t>FEEDER FOR MEG FLASH SEPARATOR CIRCULATION PUMP MOTOR E-VFD-3005B A1</t>
  </si>
  <si>
    <t>E-ESB-8002-A03-B</t>
  </si>
  <si>
    <t>FEEDER FOR HVAC SUBSTATION 1 NON ESSENTIAL E-ESP-9404A C1 70KW/76.6A</t>
  </si>
  <si>
    <t>E-ESB-8002-B18-D</t>
  </si>
  <si>
    <t>FEEDER FOR HVAC SUBSTATION 1 NON ESSENTIAL E-ESP-9404B C1 70KW/76.6A</t>
  </si>
  <si>
    <t>E-ESB-8701-B13-D</t>
  </si>
  <si>
    <t>FEEDER FOR HVAC CENTRAL CONTROL BUILDING ESSENTIAL POWER E-ESB-9402B</t>
  </si>
  <si>
    <t>E-ECP-6511</t>
  </si>
  <si>
    <t>SOFT START IN COMPRESSOR 1 E-X-6511 ON COMPRESSOR PACKAGE</t>
  </si>
  <si>
    <t>MAH Barrier: All other pressure Equipment and pipework; MAH comment: Escalate where SIS or in SIL; IPL/LOPA = No; Regulatory override = No</t>
  </si>
  <si>
    <t>E-ECP-6521</t>
  </si>
  <si>
    <t>SOFT START IN COMPRESSOR 2 E-X-6521 ON COMPRESSOR PACKAGE</t>
  </si>
  <si>
    <t>E-ECP-6531</t>
  </si>
  <si>
    <t>SOFT START IN COMPRESSOR 3 E-X-6531 ON COMPRESSOR PACKAGE</t>
  </si>
  <si>
    <t>E-ECP-6541</t>
  </si>
  <si>
    <t>SOFT START IN COMPRESSOR 4 E-X-6541 ON COMPRESSOR PACKAGE</t>
  </si>
  <si>
    <t>E-ECP-6551</t>
  </si>
  <si>
    <t>SOFT START IN COMPRESSOR 5 E-X-6551 ON COMPRESSOR PACKAGE</t>
  </si>
  <si>
    <t>E-PAUB-RJA01</t>
  </si>
  <si>
    <t>MULTI-CABLE TRANSIT IN ELECTRICAL SUBSTATION 2 E-ZSS-0002</t>
  </si>
  <si>
    <t>FA_EETY</t>
  </si>
  <si>
    <t>E4</t>
  </si>
  <si>
    <t>MAH Barrier: #N/A; MAH comment: None allocated, All multi-cable transits; IPL/LOPA = No; Regulatory override = No</t>
  </si>
  <si>
    <t>E-PAUB-RJC01</t>
  </si>
  <si>
    <t>E-PAUB-RJD01</t>
  </si>
  <si>
    <t>E-PAUB-RJE01</t>
  </si>
  <si>
    <t>E-PAUB-RJF01</t>
  </si>
  <si>
    <t>E-PAUB-RJG01</t>
  </si>
  <si>
    <t>E-PAUB-RJH01</t>
  </si>
  <si>
    <t>E-PAUB-RJJ01</t>
  </si>
  <si>
    <t>E-PAUB-RJK01</t>
  </si>
  <si>
    <t>E-PAUB-RJL01</t>
  </si>
  <si>
    <t>E-PAUB-RJM01</t>
  </si>
  <si>
    <t>E-PAUB-RJN01</t>
  </si>
  <si>
    <t>E-PAUB-RJN02</t>
  </si>
  <si>
    <t>E-PAUB-RJP01</t>
  </si>
  <si>
    <t>E-PAUB-RJP02</t>
  </si>
  <si>
    <t>E-PAUB-RJQ01</t>
  </si>
  <si>
    <t>E-PAUB-RJQ02</t>
  </si>
  <si>
    <t>E-EDB-9111-01</t>
  </si>
  <si>
    <t>CCT-01 E-EJB-9111-12 AC LIGHTING FILTER COMBUSTION PLENUM</t>
  </si>
  <si>
    <t>E-EDB-8804A-24</t>
  </si>
  <si>
    <t>CCT-024 TBA MACHINE CONDITION MONITORING CABINET FEEDER-1</t>
  </si>
  <si>
    <t>E-EDB-8809-17</t>
  </si>
  <si>
    <t>CCT-017 E30AT269-L01 ANALYSIS-TRANSMITTER-DISSOLVED O2   </t>
  </si>
  <si>
    <t>E-EDB-8811-13</t>
  </si>
  <si>
    <t>CCT-013 E67AT365-L01 AT ANALYSIS-TRANSMITTER-OIL-IN-WATER</t>
  </si>
  <si>
    <t>E-EDB-8811-14</t>
  </si>
  <si>
    <t>CCT-014 E67AT132-L01 AT ANALYSIS-TRANSMITTER-OIL-IN-WATER</t>
  </si>
  <si>
    <t>E-EDB-8812-05</t>
  </si>
  <si>
    <t>CCT-005 E-EJB-6002-11 JUNCTION BOX FOR FLAME SWITCH/RELAY</t>
  </si>
  <si>
    <t>E-EDB-8812-07</t>
  </si>
  <si>
    <t>CCT-007 E-EJB-6001-11 JUNCTION BOX FOR FLAME SWITCH/RELAY</t>
  </si>
  <si>
    <t>E-EDB-8806-06</t>
  </si>
  <si>
    <t>CCT-006 E-EJB-2511-11 JUNCTION BOX FOR FLAME SWITCH/RELAY</t>
  </si>
  <si>
    <t>E-EDB-8806-12</t>
  </si>
  <si>
    <t>CCT-012 E-EJB-2521-11 JUNCTION BOX FOR FLAME SWITCH/RELAY</t>
  </si>
  <si>
    <t>E-ESB-8002-A16-E</t>
  </si>
  <si>
    <t>FEEDER FOR SPARE CUBICLE ON LV SWITCHGEAR E-ESB-8002 V2 160KW/167.4A</t>
  </si>
  <si>
    <t>E-ESB-8002-A17-F</t>
  </si>
  <si>
    <t>FEEDER FOR SPARE CUBICLE ON LV SWITCHGEAR E-ESB-8002 C1 241KW/201.7A</t>
  </si>
  <si>
    <t>E-ESB-8002-B06-F</t>
  </si>
  <si>
    <t>FEEDER FOR SPARE CUBICLE ON LV SWITCHBOARD E-ESB-8002 A1 0.37KW/0.6A</t>
  </si>
  <si>
    <t>E-ESB-8002-B09-F</t>
  </si>
  <si>
    <t>FEEDER FOR FLASH GAS COMPRESSOR BRIDGE CRANE E-LG-2402 A1 5.5KW/6.7A</t>
  </si>
  <si>
    <t>E-ESB-8002-B22-B</t>
  </si>
  <si>
    <t>FEEDER FOR FLASH GAS COMPRESSOR BARRING MOTOR E-KAM-2421 A1 3KW/3.7A</t>
  </si>
  <si>
    <t>E-ESB-8011-A02-E</t>
  </si>
  <si>
    <t>FEEDER FOR LEAN MEG OXYGEN SCAVENGER DOSING PUMP MOTOR E-PM-5228B A1</t>
  </si>
  <si>
    <t>E-ESB-8011-A10-B</t>
  </si>
  <si>
    <t>FEEDER FOR MEG FLASH SEPARATOR CIRCULATION PUMP MOTOR E-VFD-3005A V1</t>
  </si>
  <si>
    <t>E-ESB-8011-B13-F</t>
  </si>
  <si>
    <t>FEEDER FOR LEAN MEG OXYGEN SCAVENGER DOSING PUMP MOTOR E-PM-5228A A1</t>
  </si>
  <si>
    <t>E-ESB-8001-A07</t>
  </si>
  <si>
    <t>SPARE TRANSFORMER FEEDER CUBICLE ON SWITCHGEAR E-ESB-8001</t>
  </si>
  <si>
    <t>E-ESB-8001-B13</t>
  </si>
  <si>
    <t>E-ESB-8702-A05-B</t>
  </si>
  <si>
    <t>FEEDER FOR ENCLOSURE VENT FAN A E-KEM-9113A FOR E-G-9111 A1 37KW 39A</t>
  </si>
  <si>
    <t>E-ESB-8703-A05-B</t>
  </si>
  <si>
    <t>FEEDER FOR ENCLOSURE VENT FAN A E-KEM-9123A FOR E-G-9121 A1 37KW 39A</t>
  </si>
  <si>
    <t>E-ESB-8704-A05-B</t>
  </si>
  <si>
    <t>FEEDER FOR ENCLOSURE VENT FAN A E-KEM-9133A FOR E-G-9131 A1 37KW 39A</t>
  </si>
  <si>
    <t>E-ESB-8705-A05-B</t>
  </si>
  <si>
    <t>FEEDER FOR ENCLOSURE VENT FAN A E-KEM-9143A FOR E-G-9141 A1 37KW 39A</t>
  </si>
  <si>
    <t>R-L-8021-11F-B</t>
  </si>
  <si>
    <t>FEEDER FOR OPEN DRAIN FLOTATION CIRCULATION PUMP R-PM-5627A 2.2KW 5A</t>
  </si>
  <si>
    <t>E-ESB-8012-A03-B</t>
  </si>
  <si>
    <t>SUBSTATION 2 LER 2 SMALL POWER E-EDB-8931 B2 90KW 152.83A</t>
  </si>
  <si>
    <t>E-ESB-8012-C06-B</t>
  </si>
  <si>
    <t>SUBSTATION 2 ESSENTIAL SMALL POWER E-EDB-8508 B2 10KW 17A</t>
  </si>
  <si>
    <t>E-ESB-8012-A03-E</t>
  </si>
  <si>
    <t>UTILITIES AREA NORMAL LIGHTING E-EDB-8921 E1 48.6KW 87.3A</t>
  </si>
  <si>
    <t>E-ESB-8012-A05-C</t>
  </si>
  <si>
    <t>HEAT TRACING DISTRIBUTION BOARD E-EDB-8607 C1 63KW 90.94A</t>
  </si>
  <si>
    <t>E-ESB-8012-A05-D</t>
  </si>
  <si>
    <t>HEAT TRACING DISTRIBUTION BOARD E-EDB-8608 C1 63KW 90.94A</t>
  </si>
  <si>
    <t>R-ESB-8001-A05</t>
  </si>
  <si>
    <t>SPARE TRANSFORMER FEEDER CUBICLE ON SWITCHGEAR R-ESB-8001</t>
  </si>
  <si>
    <t>R-ESB-8001-B04</t>
  </si>
  <si>
    <t>EECSPM5606A</t>
  </si>
  <si>
    <t>NO DESCRIPTION IN HP/LP FLARE (KO DRUMS) EARTHING LAYOUT</t>
  </si>
  <si>
    <t>EECSPM5606B</t>
  </si>
  <si>
    <t>E-ESB-8701-A18-B</t>
  </si>
  <si>
    <t>FEEDER FOR AC UPS B CENTRAL CONTROL BUILDING AND PMS E-EUP-8802B C1</t>
  </si>
  <si>
    <t>E-ESB-8701-B07-E</t>
  </si>
  <si>
    <t>FEEDER FOR AC UPS A CENTRAL CONTROL BUILDING AND PMS E-EUP-8802A C1</t>
  </si>
  <si>
    <t>R-L-8023-14B</t>
  </si>
  <si>
    <t>FEEDER FOR AUXILIARIES 110V DC BATTERY CHARGER R-BCH-8023B 20KW 40A</t>
  </si>
  <si>
    <t>E-PM-8701</t>
  </si>
  <si>
    <t>LUBE OIL SYSTEM PRE-LUBE OIL PUMP MOTOR EM GEN E-GE-8711</t>
  </si>
  <si>
    <t>FA_EECMD</t>
  </si>
  <si>
    <t>EMDC</t>
  </si>
  <si>
    <t>MAH Barrier: Firewater pumps (main and jockey), drivers, their controls and control panels; MAH comment: Motors for emergency systems; IPL/LOPA = No; Regulatory override = No</t>
  </si>
  <si>
    <t>E-EDB-8809-20</t>
  </si>
  <si>
    <t>CCT-020 E52FT109-L01 FLOW-TRANSMITTER-MAGNETIC (FF) FLOW</t>
  </si>
  <si>
    <t>E-EDB-8809-21</t>
  </si>
  <si>
    <t>CCT-021 E52FT114-L01 FLOW-TRANSMITTER-MAGNETIC (FF) FLOW</t>
  </si>
  <si>
    <t>E-ESB-8002-A10-F</t>
  </si>
  <si>
    <t>FEEDER FOR FLASH GAS COMPRESSOR BRIDGE CRANE E-LG-2401 A1 15KW/6.7A</t>
  </si>
  <si>
    <t>E-ESB-8002-A16-F</t>
  </si>
  <si>
    <t>FEEDER FOR SPARE CUBICLE ON LV SWITCHGEAR E-ESB-8002 A1 0.37KW/0.6A</t>
  </si>
  <si>
    <t>E-ESB-8002-B06-G</t>
  </si>
  <si>
    <t>FEEDER FOR SPARE CUBICLE ON LV SWITCHBOARD E-ESB-8002 A1 15KW/15.4A</t>
  </si>
  <si>
    <t>E-ESB-8002-B06-H</t>
  </si>
  <si>
    <t>FEEDER FOR SPARE CUBICLE ON LV SWITCHBOARD E-ESB-8002 A1 90KW/84.2A</t>
  </si>
  <si>
    <t>E-ESB-8002-B08-G</t>
  </si>
  <si>
    <t>FEEDER FOR SPARE CUBICLE ON LV SWITCHBOARD E-ESB-8002 V1 15KW/15.4A</t>
  </si>
  <si>
    <t>E-ESB-8002-B19-F</t>
  </si>
  <si>
    <t>FEEDER FOR SPARE CUBICLE ON LV SWITCHBOARD E-ESB-8002 A1 7.5KW/9.4A</t>
  </si>
  <si>
    <t>E-ESB-8002-B19-G</t>
  </si>
  <si>
    <t>FEEDER FOR SPARE CUBICLE ON LV SWITCHBOARD E-ESB-8002 A1 11KW/10.8A</t>
  </si>
  <si>
    <t>E-ESB-8002-B19-H</t>
  </si>
  <si>
    <t>E-ESB-8002-B19-I</t>
  </si>
  <si>
    <t>FEEDER FOR SPARE CUBICLE ON LV SWITCHBOARD E-ESB-8002 A1 15KW/16.8A</t>
  </si>
  <si>
    <t>E-ESB-8002-B20-B</t>
  </si>
  <si>
    <t>E-ESB-8002-B20-D</t>
  </si>
  <si>
    <t>FEEDER FOR SPARE CUBICLE ON LV SWITCHBOARD E-ESB-8002 A1 22KW/25.5A</t>
  </si>
  <si>
    <t>E-ESB-8002-B20-E</t>
  </si>
  <si>
    <t>FEEDER FOR SPARE CUBICLE ON LV SWITCHBOARD E-ESB-8002 A1 37KW/37.8A</t>
  </si>
  <si>
    <t>E-ESB-8002-B21-C</t>
  </si>
  <si>
    <t>FEEDER FOR SPARE CUBICLE ON LV SWITCHBOARD E-ESB-8002 V1 5.5KW/5.8A</t>
  </si>
  <si>
    <t>E-ESB-8002-B21-D</t>
  </si>
  <si>
    <t>E-ESB-8002-B21-E</t>
  </si>
  <si>
    <t>FEEDER FOR SPARE CUBICLE ON LV SWITCHBOARD E-ESB-8002 V1 7.5KW/7.9A</t>
  </si>
  <si>
    <t>E-ESB-8002-AB-A</t>
  </si>
  <si>
    <t>BUS COUPLER 690V BUS COUPLER ON LV SWITCHGEAR E-ESB-8002</t>
  </si>
  <si>
    <t>E-ESB-8003-B03-C</t>
  </si>
  <si>
    <t>CCR SMALL POWER DISTRIBUTION BOARD E-EDB-8932 25KW/42.5A</t>
  </si>
  <si>
    <t>E-ESB-8003-B04-F</t>
  </si>
  <si>
    <t>GTG SMALL POWER DISTRIBUTION BOARD E-EDB-8925 15KW/25.5A</t>
  </si>
  <si>
    <t>R-L-8021-11F-D</t>
  </si>
  <si>
    <t>FEEDER FOR OPEN DRAIN FLOTATION CIRCULATION PUMP R-PM-5627A 6KW 13A</t>
  </si>
  <si>
    <t>R-L-8021-28F-A</t>
  </si>
  <si>
    <t>FEEDER FOR OPEN DRAIN FLOTATION CIRCULATION PUMP R-PM-5627B 6KW 13A</t>
  </si>
  <si>
    <t>R-ESB-8002-A04-A</t>
  </si>
  <si>
    <t>690V/420V TRANSFORMER FEEDER R-ETR-8003A C3 1000KVA 837A</t>
  </si>
  <si>
    <t>R-ESB-8002-B03-B</t>
  </si>
  <si>
    <t>690V/420V TRANSFORMER FEEDER R-ETR-8003B C3 1000KVA 837A</t>
  </si>
  <si>
    <t>R-ESB-8003-A04-D</t>
  </si>
  <si>
    <t>LIGHTING DISTRIBUTION BOARD NON ESSENTIAL R-ESSW-8903 C1</t>
  </si>
  <si>
    <t>E-ESB-8011-B04-H</t>
  </si>
  <si>
    <t>FEEDER FOR RICH MEG PRE-TREATMENT RECYCLE PUMP MOTOR E-PM-3003B A1</t>
  </si>
  <si>
    <t>E-ESB-8011-B07-C</t>
  </si>
  <si>
    <t>FEEDER FOR MEG CENTRIFUGE PACKAGE LUBE OIL PUMP MOTOR E-PM-3012 A1</t>
  </si>
  <si>
    <t>E-ESB-8011-B06-B</t>
  </si>
  <si>
    <t>FEEDER FOR MEG DISTILLATION COLUMN REFLUX PUMP MOTOR E-PM-3004B A1</t>
  </si>
  <si>
    <t>E-KEM-2411A</t>
  </si>
  <si>
    <t>LP FLASH GAS COMPRESSOR AFTERCOOLER TRAIN 1 FAN A MOTOR</t>
  </si>
  <si>
    <t>E-KEM-2411B</t>
  </si>
  <si>
    <t>LP FLASH GAS COMPRESSOR AFTERCOOLER TRAIN 1 FAN B MOTOR</t>
  </si>
  <si>
    <t>E-KEM-2411C</t>
  </si>
  <si>
    <t>LP FLASH GAS COMPRESSOR AFTERCOOLER TRAIN 2 FAN C MOTOR</t>
  </si>
  <si>
    <t>E-KEM-2421A</t>
  </si>
  <si>
    <t>LP FLASH GAS COMPRESSOR AFTERCOOLER TRAIN 2 FAN A MOTOR</t>
  </si>
  <si>
    <t>E-KEM-2421B</t>
  </si>
  <si>
    <t>LP FLASH GAS COMPRESSOR AFTERCOOLER TRAIN 2 FAN B MOTOR</t>
  </si>
  <si>
    <t>E-KEM-2421C</t>
  </si>
  <si>
    <t>LP FLASH GAS COMPRESSOR AFTERCOOLER TRAIN 1 FAN C MOTOR</t>
  </si>
  <si>
    <t>R-ESB-8003-A03-F</t>
  </si>
  <si>
    <t>FEEDER FOR NEW LER UPS MAINTENANCE BYPASS SUPPLY B R-EUP-8801BB C1</t>
  </si>
  <si>
    <t>R-ESB-8003-A04-F</t>
  </si>
  <si>
    <t>FEEDER FOR NEW LER UPS MAINTENANCE BYPASS SUPPLY A R-EUP-8801AB C1</t>
  </si>
  <si>
    <t>R-L-8021-11F-E</t>
  </si>
  <si>
    <t>FEEDER FOR REGENERATION GAS HEATER AIR BLOWER R-BLM-2521A 2.2KW 5A</t>
  </si>
  <si>
    <t>R-L-8023-14A</t>
  </si>
  <si>
    <t>FEEDER FOR CIRCUIT 110V DC BATTERY CHARGER R-BCH-2721B-B1 25KW 50A</t>
  </si>
  <si>
    <t>R-L-8023-17R-C</t>
  </si>
  <si>
    <t>FEEDER FOR CIRCUIT 110V DC BATTERY CHARGER R-BCH-2721A-B1 25KW 50A</t>
  </si>
  <si>
    <t>R-L-8023-17R-D</t>
  </si>
  <si>
    <t>FEEDER FOR CIRCUIT 110V DC BATTERY CHARGER R-BCH-2721A-B2 25KW 50A</t>
  </si>
  <si>
    <t>R-L-8023-17R-E</t>
  </si>
  <si>
    <t>E-EDB-8806-01</t>
  </si>
  <si>
    <t>CCT-001 E25AT548 ANALYSIS-TRANSMITTER-DEW POINT ANALYZER</t>
  </si>
  <si>
    <t>E-EDB-8806-02</t>
  </si>
  <si>
    <t>CCT-002 E25AT549 ANALYSIS-TRANSMITTER-DEW POINT ANALYZER</t>
  </si>
  <si>
    <t>E-EDB-8806-07</t>
  </si>
  <si>
    <t>CCT-007 E25AT248 ANALYSIS-TRANSMITTER-DEW POINT ANALYZER</t>
  </si>
  <si>
    <t>E-EDB-8806-08</t>
  </si>
  <si>
    <t>CCT-008 E25AT249 ANALYSIS-TRANSMITTER-DEW POINT ANALYZER</t>
  </si>
  <si>
    <t>E-EDB-8701</t>
  </si>
  <si>
    <t>EMERGENCY DIESEL GENERATOR AUXILIARY DISTRIBUTION BOARD</t>
  </si>
  <si>
    <t>E-EDB-8702</t>
  </si>
  <si>
    <t>E-ESB-8001-A09</t>
  </si>
  <si>
    <t>FEEDER FOR FLASH GAS COMPRESSOR MOTOR CUBICLE FOR E-KM-2411 1300KW</t>
  </si>
  <si>
    <t>E-ESB-8001-B08</t>
  </si>
  <si>
    <t>FEEDER FOR FLASH GAS COMPRESSOR MOTOR CUBICLE FOR E-KM-2421 1300KW</t>
  </si>
  <si>
    <t>E-ESB-8002-A08-H</t>
  </si>
  <si>
    <t>FEEDER FOR RICH MEG FLASH DRUM PUMP MOTOR E-PM-2801B A1 132KW/133A</t>
  </si>
  <si>
    <t>E-ESB-8002-A10-D</t>
  </si>
  <si>
    <t>FEEDER FOR SPARE CUBICLE ON LV SWITCHGEAR E-ESB-8002 AQ 7.5KW/8.2A</t>
  </si>
  <si>
    <t>E-ESB-8002-A16-C</t>
  </si>
  <si>
    <t>FEEDER FOR SPARE CUBICLE ON LV SWITCHGEAR E-ESB-8002 V1 15KW/15.4A</t>
  </si>
  <si>
    <t>E-ESB-8002-A16-D</t>
  </si>
  <si>
    <t>E-ESB-8002-A17-B</t>
  </si>
  <si>
    <t>FEEDER FOR SPARE CUBICLE ON LV SWITCHGEAR E-ESB-8002 H1 7.5KW/9.4A</t>
  </si>
  <si>
    <t>E-ESB-8002-A17-C</t>
  </si>
  <si>
    <t>FEEDER FOR SPARE CUBICLE ON LV SWITCHGEAR E-ESB-8002 V1 5.5KW/5.8A</t>
  </si>
  <si>
    <t>E-ESB-8002-A17-D</t>
  </si>
  <si>
    <t>E-ESB-8002-A17-E</t>
  </si>
  <si>
    <t>FEEDER FOR SPARE CUBICLE ON LV SWITCHGEAR E-ESB-8002 C1 75KW/82.0A</t>
  </si>
  <si>
    <t>E-ESB-8002-A18-H</t>
  </si>
  <si>
    <t>FEEDER FOR SPARE CUBICLE ON LV SWITCHBOARD E-ESB-8002 160KW/154.9A</t>
  </si>
  <si>
    <t>E-ESB-8002-A19-B</t>
  </si>
  <si>
    <t>FEEDER FOR SPARE CUBICLE ON LV SWITCHBOARD E-ESB-8002 18.5KW/22.7A</t>
  </si>
  <si>
    <t>E-ESB-8002-A19-E</t>
  </si>
  <si>
    <t>FEEDER FOR SPARE CUBICLE ON LV SWITCHBOARD E-ESB-8002 132KW/132.1A</t>
  </si>
  <si>
    <t>E-ESB-8002-A20-B</t>
  </si>
  <si>
    <t>FEEDER FOR FLASH GAS COMPRESSOR AUXILIARIES E-X-2412 B2 7.5KW/8.2A</t>
  </si>
  <si>
    <t>E-ESB-8002-B11-F</t>
  </si>
  <si>
    <t>FEEDER FOR RICH MEG FLASH DRUM PUMP MOTOR E-PM-2801A A1 132KW/133A</t>
  </si>
  <si>
    <t>E-ESB-8011-A10-F</t>
  </si>
  <si>
    <t>FEEDER FOR RICH MEG CENTRIFUGE MEG SLUDGE PUMP MOTOR E-PM-3010A A1</t>
  </si>
  <si>
    <t>E-ESB-8011-A11-F</t>
  </si>
  <si>
    <t>FEEDER FOR RICH MEG PRE-TREATMENT RECYCLE PUMP MOTOR E-PM-3003A A1</t>
  </si>
  <si>
    <t>E-ESB-8011-A11-G</t>
  </si>
  <si>
    <t>FEEDER FOR MEG DISTILLATION COLUMN REFLUX PUMP MOTOR E-PM-3004A A1</t>
  </si>
  <si>
    <t>E-ESB-8012-B02-D</t>
  </si>
  <si>
    <t>FEEDER FOR SPARE CUBICLE ON SWITCHBOARD E-ESB-8012 C1 25.5KW 47.6A</t>
  </si>
  <si>
    <t>E-ESB-8701-B09-E</t>
  </si>
  <si>
    <t>FEEDER FOR GF OFFSHORE METHANOL INJECTION PUMP MOTOR E-PM-4703B A1</t>
  </si>
  <si>
    <t>E-ESB-8011-B03-B</t>
  </si>
  <si>
    <t>FEEDER FOR MEG DISTILLATION COLUMN CONDENSER MOTOR E-VFD-3001B V1</t>
  </si>
  <si>
    <t>E-ESB-8011-A16-E</t>
  </si>
  <si>
    <t>FEEDER FOR MEG DISTILLATION COLUMN CONDENSER MOTOR E-KEM-3001D A1</t>
  </si>
  <si>
    <t>E-ESB-8011-A16-F</t>
  </si>
  <si>
    <t>FEEDER FOR MEG DISTILLATION COLUMN CONDENSER MOTOR E-KEM-3001E A1</t>
  </si>
  <si>
    <t>E-ESB-8011-A16-H</t>
  </si>
  <si>
    <t>FEEDER FOR LEAN MEG COOLER FAN E-KE-3003B MOTOR B E-VFD-3003BB V1</t>
  </si>
  <si>
    <t>E-PM-3001A</t>
  </si>
  <si>
    <t>MEG VACUUM PUMP MOTOR IN MEG VACUUM PUMP SKID E-X-3001</t>
  </si>
  <si>
    <t>E-PM-3001B</t>
  </si>
  <si>
    <t>E-PM-5214A</t>
  </si>
  <si>
    <t>MEG FLASH SEPARATOR SODIUM CARBONATE DOSING PUMP MOTOR</t>
  </si>
  <si>
    <t>E-PM-5214B</t>
  </si>
  <si>
    <t>E-EBD-8002A</t>
  </si>
  <si>
    <t>690 V SOLID BUSBAR INSULATION OF HIGH GRADE CAST RESIN</t>
  </si>
  <si>
    <t>E-EBD-8002B</t>
  </si>
  <si>
    <t>E-EBD-8011A</t>
  </si>
  <si>
    <t>E-EBD-8011B</t>
  </si>
  <si>
    <t>E-EBD-8701A</t>
  </si>
  <si>
    <t>E-EBD-8701B</t>
  </si>
  <si>
    <t>E-EDB-8902-03</t>
  </si>
  <si>
    <t>CCT-03 03-ELL01 TO 03-ELL12 STREET LIGHTS IN PAFA AREA</t>
  </si>
  <si>
    <t>E-EDB-8902-04</t>
  </si>
  <si>
    <t>CCT-04 04-ELL01 TO 04-ELL06 STREET LIGHTS IN PAFA AREA</t>
  </si>
  <si>
    <t>E-EDB-8812-03</t>
  </si>
  <si>
    <t>CCT-003 E66FT004 FLOW-TRANSMITTER-ULTRASONIC (FF) FLOW</t>
  </si>
  <si>
    <t>E-EDB-8812-04</t>
  </si>
  <si>
    <t>CCT-004 E-EJB-6002-10 JUNCTION BOX FOR IGNITION MODULE</t>
  </si>
  <si>
    <t>E-EDB-8812-06</t>
  </si>
  <si>
    <t>CCT-006 E-EJB-6001-10 JUNCTION BOX FOR IGNITION MODULE</t>
  </si>
  <si>
    <t>E-EDB-8812-08</t>
  </si>
  <si>
    <t>CCT-008 E66FT005 FLOW-TRANSMITTER-ULTRASONIC (FF) FLOW</t>
  </si>
  <si>
    <t>E-EDB-8806-05</t>
  </si>
  <si>
    <t>CCT-005 E-EJB-2511-10 JUNCTION BOX FOR IGNITION MODULE</t>
  </si>
  <si>
    <t>E-EDB-8806-11</t>
  </si>
  <si>
    <t>CCT-011 E-EJB-2521-10 JUNCTION BOX FOR IGNITION MODULE</t>
  </si>
  <si>
    <t>E-EEB-021</t>
  </si>
  <si>
    <t>EARTH BUSBAR IN HP/LP FLARE (KO DRUMS) EARTHING LAYOUT</t>
  </si>
  <si>
    <t>E-EEB-023</t>
  </si>
  <si>
    <t>E-EEB-022</t>
  </si>
  <si>
    <t>E-ESB-8002-A16-B</t>
  </si>
  <si>
    <t>FEEDER FOR SPARE CUBICLE ON LV SWITCHGEAR E-ESB-8002 V1 7.5KW/7.9</t>
  </si>
  <si>
    <t>E-ESB-8002-A20-C</t>
  </si>
  <si>
    <t>FEEDER FOR SPARE CUBICLE ON LV SWITCHBOARD E-ESB-8002 0.37KW/0.6A</t>
  </si>
  <si>
    <t>E-ESB-8002-A20-D</t>
  </si>
  <si>
    <t>E-ESB-8002-A20-E</t>
  </si>
  <si>
    <t>FEEDER FOR SPARE CUBICLE ON LV SWITCHBOARD E-ESB-8002 0.75KW/0.6A</t>
  </si>
  <si>
    <t>E-ESB-8002-B10-F</t>
  </si>
  <si>
    <t>FEEDER FOR CONDENSATE BOOSTER PUMP MOTOR E-PM-2102A A1 55KW/60.2A</t>
  </si>
  <si>
    <t>E-ESB-8002-B20-F</t>
  </si>
  <si>
    <t>FEEDER FOR SPARE CUBICLE ON LV SWITCHBOARD E-ESB-8002 A1 45KW/49A</t>
  </si>
  <si>
    <t>E-ESB-8002-B20-G</t>
  </si>
  <si>
    <t>FEEDER FOR SPARE CUBICLE ON LV SWITCHBOARD E-ESB-8002 B1 8KW/8.8A</t>
  </si>
  <si>
    <t>E-ESB-8002-B20-H</t>
  </si>
  <si>
    <t>FEEDER FOR SPARE CUBICLE ON LV SWITCHBOARD E-ESB-8002 B1 22KW/25A</t>
  </si>
  <si>
    <t>E-ESB-8002-B20-I</t>
  </si>
  <si>
    <t>E-ESB-8002-B21-B</t>
  </si>
  <si>
    <t>FEEDER FOR SPARE CUBICLE ON LV SWITCHBOARD E-ESB-8002 C1 45KW/49A</t>
  </si>
  <si>
    <t>E-ESB-8002-B21-F</t>
  </si>
  <si>
    <t>E-ESB-8011-A01-H</t>
  </si>
  <si>
    <t>FEEDER FOR MEG SALT DISSOLVER A TRANSFER PUMP MOTOR E-PM-3015A A1</t>
  </si>
  <si>
    <t>E-ESB-8011-A01-I</t>
  </si>
  <si>
    <t>FEEDER FOR MEG SALT DISSOLVER B TRANSFER PUMP MOTOR E-PM-3016B A1</t>
  </si>
  <si>
    <t>E-ESB-8011-A12-D</t>
  </si>
  <si>
    <t>FEEDER FOR MEG CENTRIFUGE LUBE OIL COOLER FAN MOTOR E-KEM-3011 A1</t>
  </si>
  <si>
    <t>E-ESB-8011-A13-C</t>
  </si>
  <si>
    <t>FEEDER FOR MEG DISTILLATION COLUMN CONDENSER MOTOR E-KEM-3001A A1</t>
  </si>
  <si>
    <t>E-ESB-8011-A14-C</t>
  </si>
  <si>
    <t>FEEDER FOR MEG DISTILLATION COLUMN CONDENSER MOTOR E-VFD-3001H V1</t>
  </si>
  <si>
    <t>E-ESB-8011-B11-F</t>
  </si>
  <si>
    <t>FEEDER FOR MEG DISTILLATION COLUMN CONDENSER MOTOR E-VFD-3001C V1</t>
  </si>
  <si>
    <t>E-ESB-8011-B12-B</t>
  </si>
  <si>
    <t>FEEDER FOR MEG DISTILLATION COLUMN CONDENSER MOTOR E-KEM-3001F A1</t>
  </si>
  <si>
    <t>E-ESB-8011-B12-C</t>
  </si>
  <si>
    <t>FEEDER FOR MEG DISTILLATION COLUMN CONDENSER MOTOR E-KEM-3001G A1</t>
  </si>
  <si>
    <t>E-ESB-8011-B13-C</t>
  </si>
  <si>
    <t>FEEDER FOR MEG SALT DISSOLVER A TRANSFER PUMP MOTOR E-PM-3015B A1</t>
  </si>
  <si>
    <t>E-ESB-8011-B13-D</t>
  </si>
  <si>
    <t>FEEDER FOR MEG SALT DISSOLVER B TRANSFER PUMP MOTOR E-PM-3016A A1</t>
  </si>
  <si>
    <t>E-ESB-8001-B04</t>
  </si>
  <si>
    <t>6.6KV/720V TRANSFORMER CUBICLE FOR E-ETR-8002B 4000KVA</t>
  </si>
  <si>
    <t>E-ESB-8001-B05</t>
  </si>
  <si>
    <t>6.6KV/720V TRANSFORMER CUBICLE FOR E-ETR-8011B 4000KVA</t>
  </si>
  <si>
    <t>E-ESB-8001-B06</t>
  </si>
  <si>
    <t>6.6KV/720V TRANSFORMER CUBICLE FOR E-ETR-8701B 3150KVA</t>
  </si>
  <si>
    <t>E-ESB-8001-B07</t>
  </si>
  <si>
    <t>6.6KV/420V TRANSFORMER CUBICLE FOR R-ETR-8003B 1000KVA</t>
  </si>
  <si>
    <t>E-ESB-8012-A06-F</t>
  </si>
  <si>
    <t>FEEDER FOR SPARE CUBICLE ON SWITCHBOARD E-ESB-8012 E1 90KW 152.8A</t>
  </si>
  <si>
    <t>E-ESB-8012-C04-C</t>
  </si>
  <si>
    <t>FEEDER FOR SPARE CUBICLE ON SWITCHBOARD E-ESB-8012 B2 8.5KW 15.9A</t>
  </si>
  <si>
    <t>E-ESB-8012-C07-E</t>
  </si>
  <si>
    <t>FEEDER FOR SPARE CUBICLE ON SWITCHBOARD E-ESB-8012 C1 90KW 152.8A</t>
  </si>
  <si>
    <t>E-ESB-8701-A16-D</t>
  </si>
  <si>
    <t>FEEDER FOR ONSHORE LP METHANOL INJECTION PUMP MOTOR E-PM-4705B A1</t>
  </si>
  <si>
    <t>E-ESB-8701-A17-F</t>
  </si>
  <si>
    <t>FEEDER FOR ONSHORE HP METHANOL INJECTION PUMP MOTOR E-PM-4702B A1</t>
  </si>
  <si>
    <t>E-ESB-8701-B08-D</t>
  </si>
  <si>
    <t>FEEDER FOR ONSHORE HP METHANOL INJECTION PUMP MOTOR E-PM-4702A A1</t>
  </si>
  <si>
    <t>E-ESB-8706-B03-G</t>
  </si>
  <si>
    <t>FEEDER FOR FILL RECIRCULATION PUMP MOTOR E-PM-0505 A1 0.55KW 1.8A</t>
  </si>
  <si>
    <t>E-ESB-8003-A03-D</t>
  </si>
  <si>
    <t>UTILITIES PLOT NORMAL LIGHTING E-EDB-8913 12.8KW/23.9A</t>
  </si>
  <si>
    <t>E-ESB-8003-AB-B</t>
  </si>
  <si>
    <t>BUS COUPLER 1600A BUS COUPLER ON SWITCHGEAR E-ESB-8003</t>
  </si>
  <si>
    <t>E-ESB-8003-B04-B</t>
  </si>
  <si>
    <t>RAVEN SLUG CATCHER NORMAL LIGHTING E-EDB-8919 39KW/72A</t>
  </si>
  <si>
    <t>R-L-8021-11F-C</t>
  </si>
  <si>
    <t>FEEDER FOR DEMULSIFIER STORAGE TANK MIXER R-MXM-5621 0.37KW 1.25A</t>
  </si>
  <si>
    <t>R-L-8021-11R-C</t>
  </si>
  <si>
    <t>FEEDER FOR POLYELECTROLYTE INJECTION PUMP R-PM-5626A 0.37KW 1.25A</t>
  </si>
  <si>
    <t>R-L-8021-23F-B</t>
  </si>
  <si>
    <t>FEEDER FOR STARTING ELECTRIC MOTOR VDF PANEL R-VDF-8021 75KW 150A</t>
  </si>
  <si>
    <t>R-L-8021-25F-A</t>
  </si>
  <si>
    <t>FEEDER FOR STARTING ELECTRIC MOTOR VDF PANEL R-VFD-8022 75KW 150A</t>
  </si>
  <si>
    <t>R-L-8021-26R-C</t>
  </si>
  <si>
    <t>FEEDER FOR POLYELECTROLYTE INJECTION PUMP R-PM-5626B 0.37KW 1.25A</t>
  </si>
  <si>
    <t>R-L-8021-29F-G</t>
  </si>
  <si>
    <t>FEEDER FOR DEMULSIFIER STORAGE TANK MIXER R-MXM-5622 0.37KW 1.25A</t>
  </si>
  <si>
    <t>E-ESB-8011-A16-G</t>
  </si>
  <si>
    <t>FEEDER FOR MEG DISTILLATION COLUMN CONDENSER MOTOR E-KEM-3005 A1</t>
  </si>
  <si>
    <t>E-ESB-8701-A20-H</t>
  </si>
  <si>
    <t>FEEDER FOR 24V DC UPS FEEDER A COMMON FOR ALL GTG E-EUP-9112A C1</t>
  </si>
  <si>
    <t>E-ESB-8701-B13-B</t>
  </si>
  <si>
    <t>FEEDER FOR 24V DC UPS FEEDER A COMMON FOR ALL GTG E-EUP-9113A B1</t>
  </si>
  <si>
    <t>R-ESB-8003-A06-F</t>
  </si>
  <si>
    <t>FEEDER FOR LIGHTING UPS MAINTENANCE BYPASS SUPPLY R-EUP-8802A C1</t>
  </si>
  <si>
    <t>R-L-8023-17R-F</t>
  </si>
  <si>
    <t>FEEDER FOR CIRCUIT 110V DC BATTERY CHARGER R-BCH-80231A 20KW 40A</t>
  </si>
  <si>
    <t>E-PM-5101A</t>
  </si>
  <si>
    <t>COMMON OFFSHORE CORROSION INHIBITOR DOSING PUMP MOTOR</t>
  </si>
  <si>
    <t>E-PM-5101B</t>
  </si>
  <si>
    <t>E-KEM-8702</t>
  </si>
  <si>
    <t>FUEL SYSTEM HEAT EXCHANGER FAN MOTOR EM GEN E-GE-8711</t>
  </si>
  <si>
    <t>E-KM-8701</t>
  </si>
  <si>
    <t>STARTING SYSTEM AIR COMPRESSOR MOTOR EM GEN E-GE-8711</t>
  </si>
  <si>
    <t>E-EDB-9112A</t>
  </si>
  <si>
    <t>DC DISTRIBUTION BOARD (DCDB) FOR 26V DC UPS FOR GTG'S</t>
  </si>
  <si>
    <t>E-EDB-9112B</t>
  </si>
  <si>
    <t>E-EDB-9113A</t>
  </si>
  <si>
    <t>E-EDB-9113B</t>
  </si>
  <si>
    <t>E-EDB-8807-18</t>
  </si>
  <si>
    <t>CCT-18 HPU A HPU B POWER SUPPLY FEEDER-2 POWER SUPPLY</t>
  </si>
  <si>
    <t>E-EDB-8802A-09</t>
  </si>
  <si>
    <t>CCT-009 E-ECP-9301 PMS PANEL IN SUBSTATION 1 FEEDER-1</t>
  </si>
  <si>
    <t>E-EDB-8802A-20</t>
  </si>
  <si>
    <t>CCT-020 TBA TELEPHONE/VOICE RECORDER CABINET FEEDER-1</t>
  </si>
  <si>
    <t>E-EDB-8802B-09</t>
  </si>
  <si>
    <t>CCT-009 E-ECP-9301 PMS PANEL IN SUBSTATION 1 FEEDER-2</t>
  </si>
  <si>
    <t>E-EDB-8802B-20</t>
  </si>
  <si>
    <t>CCT-020 TBA TELEPHONE/VOICE RECORDER CABINET FEEDER-2</t>
  </si>
  <si>
    <t>E-EDB-8803A-17</t>
  </si>
  <si>
    <t>CCT-017 E-ECP-9302 PMS PANEL IN SUBSTATION 2 FEEDER-1</t>
  </si>
  <si>
    <t>E-EDB-8813-15</t>
  </si>
  <si>
    <t>CCT-015 E-TCCA-76006 PROCESS CCTV CAMERA IN PAGA AREA</t>
  </si>
  <si>
    <t>E-EDB-8813-16</t>
  </si>
  <si>
    <t>CCT-016 E-TCCA-76008 PROCESS CCTV CAMERA IN PAJA AREA</t>
  </si>
  <si>
    <t>E-EEB-111</t>
  </si>
  <si>
    <t>EARTH BUSBAR IN CONTROL BUILDING AREA EARTHING LAYOUT</t>
  </si>
  <si>
    <t>E-EEB-105</t>
  </si>
  <si>
    <t>EARTH BUSBAR IN POWER GENERATION AREA EARTHING LAYOUT</t>
  </si>
  <si>
    <t>E-EEB-101</t>
  </si>
  <si>
    <t>E-EEB-102</t>
  </si>
  <si>
    <t>E-EEB-107</t>
  </si>
  <si>
    <t>E-EEB-108</t>
  </si>
  <si>
    <t>E-EEB-103</t>
  </si>
  <si>
    <t>E-EEB-109</t>
  </si>
  <si>
    <t>E-EEB-110</t>
  </si>
  <si>
    <t>E-EEB-104</t>
  </si>
  <si>
    <t>E-EEB-112</t>
  </si>
  <si>
    <t>E-EEB-106</t>
  </si>
  <si>
    <t>E-ESB-8002-A18-C</t>
  </si>
  <si>
    <t>FEEDER FOR SPARE CUBICLE ON LV SWITCHBOARD E-ESB-8002 22KW/25.5A</t>
  </si>
  <si>
    <t>E-ESB-8002-A18-G</t>
  </si>
  <si>
    <t>FEEDER FOR SPARE CUBICLE ON LV SWITCHBOARD E-ESB-8002 37KW/37.8A</t>
  </si>
  <si>
    <t>E-ESB-8002-A19-C</t>
  </si>
  <si>
    <t>FEEDER FOR SPARE CUBICLE ON LV SWITCHBOARD E-ESB-8002 22KW/25.2A</t>
  </si>
  <si>
    <t>E-ESB-8002-A19-D</t>
  </si>
  <si>
    <t>FEEDER FOR SPARE CUBICLE ON LV SWITCHBOARD E-ESB-8002 75KW/82.0A</t>
  </si>
  <si>
    <t>E-ESB-8002-A19-F</t>
  </si>
  <si>
    <t>FEEDER FOR SPARE CUBICLE ON LV SWITCHBOARD E-ESB-8002 90KW/84.2A</t>
  </si>
  <si>
    <t>E-ESB-8002-B13-E</t>
  </si>
  <si>
    <t>FEEDER FOR FLASH GAS COMPRESSOR AUXILIARIES E-X-2422 B2 4KW/4.6A</t>
  </si>
  <si>
    <t>E-ESB-8012-A03-C</t>
  </si>
  <si>
    <t>FEEDER FOR SPARE CUBICLE ON SWITCHBOARD E-ESB-8012 C1 37KW 62.8A</t>
  </si>
  <si>
    <t>E-ESB-8012-A04-D</t>
  </si>
  <si>
    <t>FEEDER FOR SPARE CUBICLE ON SWITCHBOARD E-ESB-8012 E1 37KW 62.8A</t>
  </si>
  <si>
    <t>E-ESB-8012-A06-B</t>
  </si>
  <si>
    <t>FEEDER FOR SPARE CUBICLE ON SWITCHBOARD E-ESB-8012 B1 15KW 25.5A</t>
  </si>
  <si>
    <t>E-ESB-8012-A06-C</t>
  </si>
  <si>
    <t>FEEDER FOR SPARE CUBICLE ON SWITCHBOARD E-ESB-8012 B2 15KW 25.5A</t>
  </si>
  <si>
    <t>E-ESB-8012-A06-E</t>
  </si>
  <si>
    <t>FEEDER FOR SPARE CUBICLE ON SWITCHBOARD E-ESB-8012 C1 45KW 76.4A</t>
  </si>
  <si>
    <t>E-ESB-8012-B03-C</t>
  </si>
  <si>
    <t>E-ESB-8012-B03-D</t>
  </si>
  <si>
    <t>FEEDER FOR SPARE CUBICLE ON SWITCHBOARD E-ESB-8012 E1 45KW 76.4A</t>
  </si>
  <si>
    <t>E-ESB-8012-C04-D</t>
  </si>
  <si>
    <t>FEEDER FOR SPARE CUBICLE ON SWITCHBOARD E-ESB-8012 E1 30KW 50.9A</t>
  </si>
  <si>
    <t>E-ESB-8012-C06-F</t>
  </si>
  <si>
    <t>E-ESB-8012-C07-B</t>
  </si>
  <si>
    <t>E-ESB-8012-C07-C</t>
  </si>
  <si>
    <t>FEEDER FOR SPARE CUBICLE ON SWITCHBOARD E-ESB-8012 C1 30KW 50.9A</t>
  </si>
  <si>
    <t>E-ESB-8012-C07-D</t>
  </si>
  <si>
    <t>E-ESB-8702-A07-B</t>
  </si>
  <si>
    <t>FEEDER FOR SPARE CUBICLE ON SWITCHBOARD E-ESB-8702 H1 4.5KW 3.8A</t>
  </si>
  <si>
    <t>E-ESB-8702-A07-C</t>
  </si>
  <si>
    <t>FEEDER FOR SPARE CUBICLE ON SWITCHBOARD E-ESB-8702 A1 11KW 12.7A</t>
  </si>
  <si>
    <t>E-ESB-8702-A07-D</t>
  </si>
  <si>
    <t>E-ESB-8703-A07-B</t>
  </si>
  <si>
    <t>FEEDER FOR SPARE CUBICLE ON SWITCHBOARD E-ESB-8703 H1 4.5KW 3.8A</t>
  </si>
  <si>
    <t>E-ESB-8703-A07-C</t>
  </si>
  <si>
    <t>FEEDER FOR SPARE CUBICLE ON SWITCHBOARD E-ESB-8703 A1 11KW 12.7A</t>
  </si>
  <si>
    <t>E-ESB-8703-A07-D</t>
  </si>
  <si>
    <t>E-ESB-8704-A07-B</t>
  </si>
  <si>
    <t>FEEDER FOR SPARE CUBICLE ON SWITCHBOARD E-ESB-8704 H1 4.5KW 3.8A</t>
  </si>
  <si>
    <t>E-ESB-8704-A07-C</t>
  </si>
  <si>
    <t>FEEDER FOR SPARE CUBICLE ON SWITCHBOARD E-ESB-8704 A1 11KW 12.7A</t>
  </si>
  <si>
    <t>E-ESB-8704-A07-D</t>
  </si>
  <si>
    <t>E-ESB-8705-A07-B</t>
  </si>
  <si>
    <t>FEEDER FOR SPARE CUBICLE ON SWITCHBOARD E-ESB-8705 H1 4.5KW 3.8A</t>
  </si>
  <si>
    <t>E-ESB-8705-A07-C</t>
  </si>
  <si>
    <t>FEEDER FOR SPARE CUBICLE ON SWITCHBOARD E-ESB-8705 A1 11KW 12.7A</t>
  </si>
  <si>
    <t>E-ESB-8705-A07-D</t>
  </si>
  <si>
    <t>E-ESB-8706-A04-B</t>
  </si>
  <si>
    <t>FEEDER FOR SPARE CUBICLE ON SWITCHBOARD E-ESB-8706 B1 15KW 25.5A</t>
  </si>
  <si>
    <t>E-ESB-8706-A04-C</t>
  </si>
  <si>
    <t>FEEDER FOR SPARE CUBICLE ON SWITCHBOARD E-ESB-8706 B2 15KW 25.5A</t>
  </si>
  <si>
    <t>E-ESB-8706-A04-F</t>
  </si>
  <si>
    <t>FEEDER FOR SPARE CUBICLE ON SWITCHBOARD E-ESB-8706 E1 30KW 50.9A</t>
  </si>
  <si>
    <t>E-ESB-8706-A05-B</t>
  </si>
  <si>
    <t>E-ESB-8706-B04-E</t>
  </si>
  <si>
    <t>E-ESB-8706-B05-B</t>
  </si>
  <si>
    <t>E-ESB-8706-B05-C</t>
  </si>
  <si>
    <t>E-ESB-8706-B05-D</t>
  </si>
  <si>
    <t>E-ESB-8706-B05-F</t>
  </si>
  <si>
    <t>FEEDER FOR SPARE CUBICLE ON SWITCHBOARD E-ESB-8706 C1 37KW 62.8A</t>
  </si>
  <si>
    <t>R-ESB-8002-B06-A</t>
  </si>
  <si>
    <t>FEEDER FOR SPARE CUBICLE ON SWITCHBOARD R-ESB-8002 H2 570KW 425A</t>
  </si>
  <si>
    <t>E-ESB-8003-A01-B</t>
  </si>
  <si>
    <t>INCOMER FROM 6.6KV/420V TRANSFORMER E-ETR-8003A 1600A</t>
  </si>
  <si>
    <t>E-ESB-8003-B02-B</t>
  </si>
  <si>
    <t>INCOMER FROM 6.6KV/420V TRANSFORMER E-ETR-8003B 1600A</t>
  </si>
  <si>
    <t>E-ESB-8003-B03-B</t>
  </si>
  <si>
    <t>GTG LIGHTING DISTRIBUTION BOARD E-EDB-8935 15KW/25.5A</t>
  </si>
  <si>
    <t>E-ESB-8003-B04-C</t>
  </si>
  <si>
    <t>HEAT TRACING DISTRIBUTION BOARD E-EDB-8937 35KW/59.4A</t>
  </si>
  <si>
    <t>R-L-8023-15F-F</t>
  </si>
  <si>
    <t>FEEDER FOR LUBE OIL COOLER FAN MOTOR A1 R-LOAM-2721A1 18.5KW 37A</t>
  </si>
  <si>
    <t>R-L-8023-15F-G</t>
  </si>
  <si>
    <t>FEEDER FOR LUBE OIL COOLER FAN MOTOR A2 R-LOAM-2721A2 18.5KW 37A</t>
  </si>
  <si>
    <t>R-L-8023-15F-H</t>
  </si>
  <si>
    <t>FEEDER FOR LUBE OIL COOLER FAN MOTOR B1 R-LOAM-2721B1 18.5KW 37A</t>
  </si>
  <si>
    <t>R-L-8023-15F-I</t>
  </si>
  <si>
    <t>FEEDER FOR LUBE OIL COOLER FAN MOTOR B2 R-LOAM-2721B2 18.5KW 37A</t>
  </si>
  <si>
    <t>E-ESB-8002-A15-I</t>
  </si>
  <si>
    <t>FEEDER FOR FLASH GAS COMPRESSOR COOLANT TANK HEATER H1 9KW/7.6A</t>
  </si>
  <si>
    <t>E-ESB-8002-B14-C</t>
  </si>
  <si>
    <t>FEEDER FOR CATHODIC PROTECTION RECTIFIER E-CPS-9202 B2 8KW/8.3A</t>
  </si>
  <si>
    <t>E-ESB-8002-B14-F</t>
  </si>
  <si>
    <t>FEEDER FOR CATHODIC PROTECTION RECTIFIER E-CPS-9204 B2 8KW/8.3A</t>
  </si>
  <si>
    <t>E-ESB-8002-B14-G</t>
  </si>
  <si>
    <t>FEEDER FOR CATHODIC PROTECTION RECTIFIER E-CPS-9206 B2 8KW/8.3A</t>
  </si>
  <si>
    <t>E-ESB-8002-B18-B</t>
  </si>
  <si>
    <t>FEEDER FOR CATHODIC PROTECTION RECTIFIER E-CPS-9208 B2 8KW/8.3A</t>
  </si>
  <si>
    <t>E-ESB-8003-A03-E</t>
  </si>
  <si>
    <t>FEEDER FOR WELDING OUTLET E-ESSW-8009 ON SWITCHBOARD E-ESB-8003</t>
  </si>
  <si>
    <t>E-ESB-8003-A04-D</t>
  </si>
  <si>
    <t>FEEDER FOR WELDING OUTLET E-ESSW-8012 ON SWITCHBOARD E-ESB-8003</t>
  </si>
  <si>
    <t>E-ESB-8003-A04-E</t>
  </si>
  <si>
    <t>FEEDER FOR WELDING OUTLET E-ESSW-8008 ON SWITCHBOARD E-ESB-8003</t>
  </si>
  <si>
    <t>E-ESB-8003-A05-B</t>
  </si>
  <si>
    <t>FEEDER FOR WELDING OUTLET E-ESSW-8031 ON SWITCHBOARD E-ESB-8003</t>
  </si>
  <si>
    <t>E-KEM-8703</t>
  </si>
  <si>
    <t>COOLING SYSTEM AIR COOLER FAN MOTOR EM GEN E-GE-8711</t>
  </si>
  <si>
    <t>E-KEM-8704</t>
  </si>
  <si>
    <t>E-EDB-8807-19</t>
  </si>
  <si>
    <t>CCT-19 E-TCCA-76003 PROCESS CCTV CAMERA POWER SUPPLY</t>
  </si>
  <si>
    <t>E-EDB-9121-05</t>
  </si>
  <si>
    <t>CCT-005 E-EJB-9121-04 ON SKID GAS FUEL TRACE HEATING</t>
  </si>
  <si>
    <t>E-EDB-9131-05</t>
  </si>
  <si>
    <t>CCT-005 E-EJB-9131-04 ON SKID GAS FUEL TRACE HEATING</t>
  </si>
  <si>
    <t>E-EDB-9141-05</t>
  </si>
  <si>
    <t>CCT-005 E-EJB-9141-04 ON SKID GAS FUEL TRACE HEATING</t>
  </si>
  <si>
    <t>E-EDB-8804A-52</t>
  </si>
  <si>
    <t>CCT-052 E-ICP-6511 AIR COMPRESSOR PACKAGE-1 FEEDER-1</t>
  </si>
  <si>
    <t>E-EDB-8804A-53</t>
  </si>
  <si>
    <t>CCT-053 E-ICP-6521 AIR COMPRESSOR PACKAGE-2 FEEDER-1</t>
  </si>
  <si>
    <t>E-EDB-8804A-54</t>
  </si>
  <si>
    <t>CCT-054 E-ICP-6531 AIR COMPRESSOR PACKAGE-3 FEEDER-1</t>
  </si>
  <si>
    <t>E-EDB-8804B-10</t>
  </si>
  <si>
    <t>CCT-010 LATER LER-1 ANALYSER SYSTEM CABINET FEEDER-2</t>
  </si>
  <si>
    <t>E-EDB-8804B-55</t>
  </si>
  <si>
    <t>CCT-055 E-ICP-6541 AIR COMPRESSOR PACKAGE-4 FEEDER-1</t>
  </si>
  <si>
    <t>E-EDB-8804B-56</t>
  </si>
  <si>
    <t>CCT-056 E-ICP-6551 AIR COMPRESSOR PACKAGE-5 FEEDER-1</t>
  </si>
  <si>
    <t>E-EDB-8809-03</t>
  </si>
  <si>
    <t>CCT-003 E30FT002 FLOW-TRANSMITTER-CORIOLIS (FF) FLOW</t>
  </si>
  <si>
    <t>E-EDB-8809-06</t>
  </si>
  <si>
    <t>CCT-006 E30FT169 FLOW-TRANSMITTER-CORIOLIS (FF) FLOW</t>
  </si>
  <si>
    <t>E-EDB-8809-08</t>
  </si>
  <si>
    <t>CCT-008 E30FT279 FLOW-TRANSMITTER-CORIOLIS (FF) FLOW</t>
  </si>
  <si>
    <t>E-EDB-8809-09</t>
  </si>
  <si>
    <t>CCT-009 E30FT288 FLOW-TRANSMITTER-CORIOLIS (FF) FLOW</t>
  </si>
  <si>
    <t>E-EDB-8809-11</t>
  </si>
  <si>
    <t>CCT-011 E30FT434 FLOW-TRANSMITTER-CORIOLIS (FF) FLOW</t>
  </si>
  <si>
    <t>E-EDB-8809-12</t>
  </si>
  <si>
    <t>CCT-012 E30FT467 FLOW-TRANSMITTER-CORIOLIS (FF) FLOW</t>
  </si>
  <si>
    <t>E-EDB-8809-18</t>
  </si>
  <si>
    <t>CCT-018 E30AT287-L01 ANALYSIS-TRANSMITTER-ALKALINITY</t>
  </si>
  <si>
    <t>E-EDB-8811-04</t>
  </si>
  <si>
    <t>CCT-004 E67FT036 FLOW-TRANSMITTER-MAGNETIC(FF)FLOW</t>
  </si>
  <si>
    <t>E-EDB-8811-05</t>
  </si>
  <si>
    <t>CCT-005 E67FT062 FLOW-TRANSMITTER-MAGNETIC(FF)FLOW</t>
  </si>
  <si>
    <t>E-EDB-8811-06</t>
  </si>
  <si>
    <t>CCT-006 E67FT226 FLOW-TRANSMITTER-MAGNETIC(FF)FLOW</t>
  </si>
  <si>
    <t>E-EDB-8811-07</t>
  </si>
  <si>
    <t>CCT-007 E67FT310 FLOW-TRANSMITTER-MAGNETIC(FF)FLOW</t>
  </si>
  <si>
    <t>E-EDB-8811-08</t>
  </si>
  <si>
    <t>CCT-008 E67FT312 FLOW-TRANSMITTER-MAGNETIC(FF)FLOW</t>
  </si>
  <si>
    <t>E-EDB-8811-09</t>
  </si>
  <si>
    <t>CCT-009 E67FT366 FLOW-TRANSMITTER-MAGNETIC(FF)FLOW</t>
  </si>
  <si>
    <t>E-EDB-8806-03</t>
  </si>
  <si>
    <t>CCT-003 E25FT647 FLOW-TRANSMITTER-CORIOLIS (FF) FLOW</t>
  </si>
  <si>
    <t>E-EDB-8806-09</t>
  </si>
  <si>
    <t>CCT-009 E25FT147 FLOW-TRANSMITTER-CORIOLIS (FF) FLOW</t>
  </si>
  <si>
    <t>E-ESB-8002-A05-E</t>
  </si>
  <si>
    <t>FEEDER FOR LEAN MEG BOOSTER PUMP MOTOR E-PM-2903C A1 30KW/30.0A</t>
  </si>
  <si>
    <t>E-ESB-8002-A07-B</t>
  </si>
  <si>
    <t>FEEDER FOR LEAN MEG BOOSTER PUMP MOTOR E-PM-2903B A1 30KW/30.0A</t>
  </si>
  <si>
    <t>E-ESB-8002-A08-G</t>
  </si>
  <si>
    <t>FEEDER FOR METHANOL OFFLOADING PUMP MOTOR E-PM-4701 A1 4KW/4.3A</t>
  </si>
  <si>
    <t>E-ESB-8002-A09-F</t>
  </si>
  <si>
    <t>FEEDER FOR CONDENSATE BOOSTER PUMP MOTOR E-PM-2102B A1 55KW/55A</t>
  </si>
  <si>
    <t>E-ESB-8002-B11-E</t>
  </si>
  <si>
    <t>FEEDER FOR LEAN MEG BOOSTER PUMP MOTOR E-PM-2903A A1 30KW/30.0A</t>
  </si>
  <si>
    <t>E-ESB-8011-A02-B</t>
  </si>
  <si>
    <t>FEEDER FOR HYDROCHLORIC ACID OFFLOADING PUMP MOTOR E-PM-5221 A1</t>
  </si>
  <si>
    <t>E-ESB-8001-A13</t>
  </si>
  <si>
    <t>SPARE MOTOR FEEDER CUBICLE ON SWITCHBOARD E-ESB-8001</t>
  </si>
  <si>
    <t>E-ESB-8001-B12</t>
  </si>
  <si>
    <t>E-ESB-8702-A03-B</t>
  </si>
  <si>
    <t>FEEDER FOR STARTER MOTOR VFD PANEL FOR E-ECP-9113 V2 200KW 271A</t>
  </si>
  <si>
    <t>E-ESB-8703-A03-B</t>
  </si>
  <si>
    <t>FEEDER FOR STARTER MOTOR VFD PANEL FOR E-ECP-9123 V2 200KW 271A</t>
  </si>
  <si>
    <t>E-ESB-8704-A03-B</t>
  </si>
  <si>
    <t>FEEDER FOR STARTER MOTOR VFD PANEL FOR E-ECP-9133 V2 200KW 271A</t>
  </si>
  <si>
    <t>E-ESB-8705-A03-B</t>
  </si>
  <si>
    <t>FEEDER FOR STARTER MOTOR VFD PANEL FOR E-ECP-9143 V2 200KW 271A</t>
  </si>
  <si>
    <t>R-ESB-8002-A04-C</t>
  </si>
  <si>
    <t>OUTGOING 4 PTS TRANSFORMER R-ETR-8003A ON R-ESB-8002</t>
  </si>
  <si>
    <t>R-ESB-8002-B03-D</t>
  </si>
  <si>
    <t>OUTGOING 6 PTS TRANSFORMER R-ETR-8003B ON R-ESB-8002</t>
  </si>
  <si>
    <t>E-ESB-8011-C07-B</t>
  </si>
  <si>
    <t>FEEDER FOR TANK HEATER E-GE-8731 ON SWITCHBOARD E-ESB-9405B C1</t>
  </si>
  <si>
    <t>R-L-8023-17R-B</t>
  </si>
  <si>
    <t>FEEDER FOR LIGHTING AND POWER INTERNAL PANEL R-L-8023 10KW 20A</t>
  </si>
  <si>
    <t>E-ECB-8801C</t>
  </si>
  <si>
    <t>MCCB FOR INTERCONNECTOR BATTERY BANK E-EBA-8801A &amp;B</t>
  </si>
  <si>
    <t>E-ECB-9112C</t>
  </si>
  <si>
    <t>MCCB FOR INTERCONNECTOR BATTERY BANK E-EBA-9112A &amp;B</t>
  </si>
  <si>
    <t>E-ECB-9113C</t>
  </si>
  <si>
    <t>MCCB FOR INTERCONNECTOR BATTERY BANK E-EBA-9113A &amp;B</t>
  </si>
  <si>
    <t>E-PM-5107A</t>
  </si>
  <si>
    <t>RAVEN ONSHORE CORROSION INHIBITOR DOSING PUMP MOTOR</t>
  </si>
  <si>
    <t>E-PM-5107B</t>
  </si>
  <si>
    <t>E-PM-5206A</t>
  </si>
  <si>
    <t>MEG REGENERATION OXYGEN SCAVENGER DOSING PUMP MOTOR</t>
  </si>
  <si>
    <t>E-PM-5206B</t>
  </si>
  <si>
    <t>E-PM-5208A</t>
  </si>
  <si>
    <t>MEG REGENERATION SODIUM HYDROXIDE DOSING PUMP MOTOR</t>
  </si>
  <si>
    <t>E-PM-5208B</t>
  </si>
  <si>
    <t>E-PM-5213A</t>
  </si>
  <si>
    <t>LEAN MEG COOLER HYDROCHLORIC ACID DOSING PUMP MOTOR</t>
  </si>
  <si>
    <t>E-PM-5213B</t>
  </si>
  <si>
    <t>E-KEM-8701</t>
  </si>
  <si>
    <t>GENERATOR SYSTEM COOLING FAN MOTOR EM GEN E-GE-8711</t>
  </si>
  <si>
    <t>E-PAVA-RJA01</t>
  </si>
  <si>
    <t>MULTI-CABLE TRANSIT IN CONTROL BUILDING E-ZCCB-0001</t>
  </si>
  <si>
    <t>E-PAVA-RJB01</t>
  </si>
  <si>
    <t>E-PAVA-RJC01</t>
  </si>
  <si>
    <t>E-PAVA-RJD01</t>
  </si>
  <si>
    <t>E-PAVA-RJE01</t>
  </si>
  <si>
    <t>E-PAVA-RJF01</t>
  </si>
  <si>
    <t>E-PAVA-RJG01</t>
  </si>
  <si>
    <t>E-PAVA-RJH01</t>
  </si>
  <si>
    <t>E-PAVA-RJJ01</t>
  </si>
  <si>
    <t>E-PAVA-RJK01</t>
  </si>
  <si>
    <t>E-PAVA-RJL01</t>
  </si>
  <si>
    <t>E-EDB-9111-05</t>
  </si>
  <si>
    <t>CCT-05 ON SKID GAS FUEL TRACE HEATING E-EJB-9111-04</t>
  </si>
  <si>
    <t>E-EDB-8804B-12</t>
  </si>
  <si>
    <t>CCT-012 LATER LER-1 CORROSION MONITORING-1 FEEDER-2</t>
  </si>
  <si>
    <t>E-EDB-8804B-13</t>
  </si>
  <si>
    <t>CCT-013 LATER LER-1 CORROSION MONITORING-2 FEEDER-2</t>
  </si>
  <si>
    <t>E-EDB-8804B-14</t>
  </si>
  <si>
    <t>CCT-014 LATER LER-1 CCTV-1 F&amp;G AND PROCESS FEEDER-2</t>
  </si>
  <si>
    <t>E-EDB-8804B-15</t>
  </si>
  <si>
    <t>CCT-015 LATER LER-1 CCTV-2 F&amp;G AND PROCESS FEEDER-2</t>
  </si>
  <si>
    <t>E-EDB-8804B-16</t>
  </si>
  <si>
    <t>CCT-016 LATER LER-1 CCTV-3 F&amp;G AND PROCESS FEEDER-2</t>
  </si>
  <si>
    <t>E-EDB-8804B-17</t>
  </si>
  <si>
    <t>CCT-017 LATER LER-1 CCTV-4 F&amp;G AND PROCESS FEEDER-2</t>
  </si>
  <si>
    <t>E-ESSW-8006</t>
  </si>
  <si>
    <t>WELDING RECEPTACLE IN HP SEPARATION EARTHING LAYOUT</t>
  </si>
  <si>
    <t>E-ESB-8002-A18-B</t>
  </si>
  <si>
    <t>FEEDER FOR SPARE CUBICLE ON LV SWITCHBOARD E-ESB-8002 8KW/8.8A</t>
  </si>
  <si>
    <t>E-ESB-8002-A18-D</t>
  </si>
  <si>
    <t>FEEDER FOR SPARE CUBICLE ON LV SWITCHBOARD E-ESB-8002 22KW/25A</t>
  </si>
  <si>
    <t>E-ESB-8002-A18-F</t>
  </si>
  <si>
    <t>E-ESB-8002-A20-I</t>
  </si>
  <si>
    <t>FEEDER FOR SPARE CUBICLE ON LV SWITCHBOARD E-ESB-8002 3KW/3.6A</t>
  </si>
  <si>
    <t>E-ESB-8011-A02-C</t>
  </si>
  <si>
    <t>FEEDER FOR SODIUM CARBONATE OFFLOADING PUMP MOTOR E-PM-5223 A1</t>
  </si>
  <si>
    <t>E-ESB-8011-A02-D</t>
  </si>
  <si>
    <t>FEEDER FOR SODIUM CARBONATE OFFLOADING PUMP MOTOR E-PM-5224 A1</t>
  </si>
  <si>
    <t>E-ESB-8011-A11-B</t>
  </si>
  <si>
    <t>FEEDER FOR MEG REGENERATION DRAIN DRUM PUMP MOTOR E-PM-2808 A1</t>
  </si>
  <si>
    <t>E-ESB-8701-B10-D</t>
  </si>
  <si>
    <t>FEEDER FOR ONSHORE METHANOL INJECTION PUMP MOTOR E-PM-4705A A1</t>
  </si>
  <si>
    <t>E-ESB-8702-A07-E</t>
  </si>
  <si>
    <t>FEEDER FOR SPARE CUBICLE ON SWITCHBOARD E-ESB-8702 A1 37KW 39A</t>
  </si>
  <si>
    <t>E-ESB-8702-A07-F</t>
  </si>
  <si>
    <t>FEEDER FOR SPARE CUBICLE ON SWITCHBOARD E-ESB-8702 B2 22KW 25A</t>
  </si>
  <si>
    <t>E-ESB-8703-A07-E</t>
  </si>
  <si>
    <t>FEEDER FOR SPARE CUBICLE ON SWITCHBOARD E-ESB-8703 A1 37KW 39A</t>
  </si>
  <si>
    <t>E-ESB-8703-A07-F</t>
  </si>
  <si>
    <t>FEEDER FOR SPARE CUBICLE ON SWITCHBOARD E-ESB-8703 B2 22KW 25A</t>
  </si>
  <si>
    <t>E-ESB-8704-A07-E</t>
  </si>
  <si>
    <t>FEEDER FOR SPARE CUBICLE ON SWITCHBOARD E-ESB-8704 A1 37KW 39A</t>
  </si>
  <si>
    <t>E-ESB-8704-A07-F</t>
  </si>
  <si>
    <t>FEEDER FOR SPARE CUBICLE ON SWITCHBOARD E-ESB-8704 B2 22KW 25A</t>
  </si>
  <si>
    <t>E-ESB-8705-A07-E</t>
  </si>
  <si>
    <t>FEEDER FOR SPARE CUBICLE ON SWITCHBOARD E-ESB-8705 A1 37KW 39A</t>
  </si>
  <si>
    <t>E-ESB-8705-A07-F</t>
  </si>
  <si>
    <t>FEEDER FOR SPARE CUBICLE ON SWITCHBOARD E-ESB-8705 B2 22KW 25A</t>
  </si>
  <si>
    <t>R-L-8021-30F-C</t>
  </si>
  <si>
    <t>FEEDER FOR CONDENSATE OFF GAS COOLER 1 R-AM-4521-1 5.5KW 11.5A</t>
  </si>
  <si>
    <t>R-L-8023-15F-A</t>
  </si>
  <si>
    <t>FEEDER FOR HYDRAULIC RATCHET PUMP MOTOR R-PM-2721A5 1.5KW 3.5A</t>
  </si>
  <si>
    <t>R-L-8023-15F-B</t>
  </si>
  <si>
    <t>FEEDER FOR HYDRAULIC RATCHET PUMP MOTOR R-PM-2721B5 1.5KW 3.5A</t>
  </si>
  <si>
    <t>R-L-8023-16R-E</t>
  </si>
  <si>
    <t>FEEDER FOR AUXILIARY LUBE OIL PUMP MOTOR B R-PM-2721B 30KW 60A</t>
  </si>
  <si>
    <t>R-L-8023-17F-D</t>
  </si>
  <si>
    <t>FEEDER FOR AUXILIARY LUBE OIL PUMP MOTOR A R-PM-2721A 30KW 60A</t>
  </si>
  <si>
    <t>E-ESB-8012-B04-C</t>
  </si>
  <si>
    <t>UTILITIES AREA SMALL POWER E-EDB-8914 C1 4.3KW 7.9A</t>
  </si>
  <si>
    <t>R-ESB-8001-A02</t>
  </si>
  <si>
    <t>INTER TIE TRANSFORMER WITH RAVEN R-ETR-8020 7500KVA</t>
  </si>
  <si>
    <t>E-ESB-8011-B05-C</t>
  </si>
  <si>
    <t>FEEDER FOR HOT OIL CLOSED DRAIN DRUM PUMP MOTOR E-PM-6006B A1</t>
  </si>
  <si>
    <t>E-ESB-8011-B04-B</t>
  </si>
  <si>
    <t>FEEDER FOR PRODUCED WATER AIR COOLER FAN MOTOR E-KEM-6701B A1</t>
  </si>
  <si>
    <t>E-ESB-8011-C07-C</t>
  </si>
  <si>
    <t>FEEDER FOR TANK HEATER E-GE-8731 ON SWITCHBOARD E-ESB-8011 H1</t>
  </si>
  <si>
    <t>E-ESB-8012-C04-B</t>
  </si>
  <si>
    <t>FEEDER FOR LER 2 SMALL POWER EMERGENCY E-EDB-8522 B2 1KW 1.7A</t>
  </si>
  <si>
    <t>E-ESB-8012-C04-E</t>
  </si>
  <si>
    <t>FEEDER FOR E-G-8731 CONTROL PANEL E-ECP-8731 C1 25.2KW 40.41A</t>
  </si>
  <si>
    <t>E-ESB-8701-B07-C</t>
  </si>
  <si>
    <t>FEEDER FOR ARC FLASH PROTECTION RELAY VAM4C VAM10L E-ESB-8701</t>
  </si>
  <si>
    <t>E-PM-5205A</t>
  </si>
  <si>
    <t>MEG DISTILLATION COLUMN ANTIFOAM DOSING PUMP MOTOR</t>
  </si>
  <si>
    <t>E-PM-5205B</t>
  </si>
  <si>
    <t>R-EUP-8803B</t>
  </si>
  <si>
    <t>110V DC, BATTERY CHARGER/DC UPS FOR NEW SUBSTATION</t>
  </si>
  <si>
    <t>E-EDB-8803A-05</t>
  </si>
  <si>
    <t>CCT-005 TBA LER-2 ANALYSER SYSTEM CABINET FEEDER-1</t>
  </si>
  <si>
    <t>E-EDB-8803A-13</t>
  </si>
  <si>
    <t>CCT-013 E-TCRA-83201 LER-2 PAGA CABINET-A FEEDER-1</t>
  </si>
  <si>
    <t>E-EDB-8803A-14</t>
  </si>
  <si>
    <t>CCT-014 E-TCRA-83203 LER-2 PAGA CABINET-B FEEDER-1</t>
  </si>
  <si>
    <t>E-EDB-8803B-05</t>
  </si>
  <si>
    <t>CCT-005 TBA LER-2 ANALYSER SYSTEM CABINET FEEDER-2</t>
  </si>
  <si>
    <t>E-EDB-8803B-13</t>
  </si>
  <si>
    <t>CCT-013 E-TCRA-83201 LER-2 PAGA CABINET-A FEEDER-2</t>
  </si>
  <si>
    <t>E-EDB-8803B-14</t>
  </si>
  <si>
    <t>CCT-014 E-TCRA-83203 LER-2 PAGA CABINET-B FEEDER-2</t>
  </si>
  <si>
    <t>E-EDB-8804A-10</t>
  </si>
  <si>
    <t>CCT-010 TBA LER-1 ANALYSER SYSTEM CABINET FEEDER-1</t>
  </si>
  <si>
    <t>E-EDB-8810-01</t>
  </si>
  <si>
    <t>CCT-001 E67FT048 FLOW-TRANSMITTER-MAGNETIC(FF)FLOW</t>
  </si>
  <si>
    <t>E-EDB-8810-02</t>
  </si>
  <si>
    <t>CCT-002 E67FT049 FLOW-TRANSMITTER-MAGNETIC(FF)FLOW</t>
  </si>
  <si>
    <t>E-EDB-8810-03</t>
  </si>
  <si>
    <t>CCT-003 E67FT052 FLOW-TRANSMITTER-MAGNETIC(FF)FLOW</t>
  </si>
  <si>
    <t>E-EDB-8810-04</t>
  </si>
  <si>
    <t>CCT-004 E67FT053 FLOW-TRANSMITTER-MAGNETIC(FF)FLOW</t>
  </si>
  <si>
    <t>E-EDB-8810-05</t>
  </si>
  <si>
    <t>CCT-005 E67FT054 FLOW-TRANSMITTER-MAGNETIC(FF)FLOW</t>
  </si>
  <si>
    <t>E-EDB-8810-06</t>
  </si>
  <si>
    <t>CCT-006 E29AT018 ANALYSIS-TRANSMITTER-DISSOLVED O2</t>
  </si>
  <si>
    <t>E-ESB-8002-B12-H</t>
  </si>
  <si>
    <t>FEEDER FOR LEAN MEG BOOSTER PUMP MOTOR E-PM-2904B A1 90KW/97A</t>
  </si>
  <si>
    <t>E-ESB-8011-A04-I</t>
  </si>
  <si>
    <t>FEEDER FOR HOT OIL CLOSED DRAIN DRUM PUMP MOTOR E-PM-6006A A1</t>
  </si>
  <si>
    <t>E-ESB-8011-A12-F</t>
  </si>
  <si>
    <t>FEEDER FOR PRODUCED WATER AIR COOLER FAN MOTOR E-KEM-6701A A1</t>
  </si>
  <si>
    <t>E-ESB-8011-A12-G</t>
  </si>
  <si>
    <t>FEEDER FOR PRODUCED WATER AIR COOLER FAN MOTOR E-KEM-6701C A1</t>
  </si>
  <si>
    <t>E-ESB-8701-A14-B</t>
  </si>
  <si>
    <t>FEEDER FOR AIR COMPRESSOR AFTERCOOLER FAN MOTOR E-AEM-6531 A1</t>
  </si>
  <si>
    <t>E-ESB-8003-A02-B</t>
  </si>
  <si>
    <t>GAS TREATMENT AREA SMALL POWER E-EDB-8909 4.5KW/8A</t>
  </si>
  <si>
    <t>E-ESB-8003-A05-E</t>
  </si>
  <si>
    <t>RAVEN SLUG CATCHER SMALL POWER E-EDB-8927 4.5KW/8A</t>
  </si>
  <si>
    <t>R-L-8021-11R-A</t>
  </si>
  <si>
    <t>FEEDER FOR DEMULSIFIER INJECTION PUMP R-PM-5625A 0.37KW 1.25A</t>
  </si>
  <si>
    <t>R-L-8021-26R-B</t>
  </si>
  <si>
    <t>FEEDER FOR DEMULSIFIER INJECTION PUMP R-PM-5625B 0.37KW 1.25A</t>
  </si>
  <si>
    <t>R-L-8021-27R-C</t>
  </si>
  <si>
    <t>SPARE CUBICLE FOR SWITCHGEAR R-L-8021 0.37KW 1.25A</t>
  </si>
  <si>
    <t>R-L-8021-27R-D</t>
  </si>
  <si>
    <t>R-L-8023-13A</t>
  </si>
  <si>
    <t>FEEDER FOR GAS TURBINE STARTER MOTOR A R-GSM-2721A 200KW 370A</t>
  </si>
  <si>
    <t>R-L-8023-13B</t>
  </si>
  <si>
    <t>FEEDER FOR GAS TURBINE STARTER MOTOR B R-GSM-2721A 200KW 370A</t>
  </si>
  <si>
    <t>E-ESB-8011-B09-A</t>
  </si>
  <si>
    <t>INCOMER FROM 6.6KV/720V TRANSFORMER E-ETR-8011B A1</t>
  </si>
  <si>
    <t>E-ESB-8701-B16-A</t>
  </si>
  <si>
    <t>INCOMER FROM 6.6KV/420V TRANSFORMER E-ETR-8706B C2</t>
  </si>
  <si>
    <t>R-ESB-8003-A04-E</t>
  </si>
  <si>
    <t>MOV DISTRIBUTION BOARD NON ESSENTIAL R-EDB-8002 C1</t>
  </si>
  <si>
    <t>R-ESB-8003-A05-D</t>
  </si>
  <si>
    <t>MOV DISTRIBUTION BOARD NON ESSENTIAL R-EDB-8001 C1</t>
  </si>
  <si>
    <t>E-ESB-8011-A23-B</t>
  </si>
  <si>
    <t>FEEDER FOR HOT OIL CLOSED DRAIN DRUM PUMP MOTOR E-PM-6006 A1</t>
  </si>
  <si>
    <t>E-ESB-8701-A03-A</t>
  </si>
  <si>
    <t>INCOMER 1 FROM 6.6KV/720V TRANSFORMER E-ETR-8701A</t>
  </si>
  <si>
    <t>E-ESB-8011-A14-D</t>
  </si>
  <si>
    <t>FEEDER FOR AC UPS B MAINTENANCE BYPASS LER 2 E-EUP-8803BB C1</t>
  </si>
  <si>
    <t>E-ESB-8011-A16-I</t>
  </si>
  <si>
    <t>FEEDER FOR SODIUM CARBONATE STORAGE TANK HEATER E-H-5203A H1</t>
  </si>
  <si>
    <t>E-ESB-8011-B02-E</t>
  </si>
  <si>
    <t>FEEDER FOR SODIUM CARBONATE STORAGE TANK HEATER E-H-5203B H1</t>
  </si>
  <si>
    <t>E-ESB-8011-B02-F</t>
  </si>
  <si>
    <t>FEEDER FOR AC UPS A MAINTENANCE BYPASS LER 2 E-EUP-8803AB C1</t>
  </si>
  <si>
    <t>E-PM-5802A</t>
  </si>
  <si>
    <t>CONTAMINATED WATER DRAIN PUMP MOTOR FOR E-P-5802A</t>
  </si>
  <si>
    <t>E-PM-5802B</t>
  </si>
  <si>
    <t>CONTAMINATED WATER DRAIN PUMP MOTOR FOR E-P-5802B</t>
  </si>
  <si>
    <t>R-LCP-2521</t>
  </si>
  <si>
    <t>REGENERATION GAS FIRED HEATER LOCAL CONTROL PANEL</t>
  </si>
  <si>
    <t>E-EDB-8803A-07</t>
  </si>
  <si>
    <t>CCT-007 TBA LER-2 CCTV-1 F&amp;G AND PROCESS FEEDER-1</t>
  </si>
  <si>
    <t>E-EDB-8803A-08</t>
  </si>
  <si>
    <t>CCT-008 TBA LER-2 CCTV-2 F&amp;G AND PROCESS FEEDER-1</t>
  </si>
  <si>
    <t>E-EDB-8803B-07</t>
  </si>
  <si>
    <t>CCT-007 TBA LER-2 CCTV-1 F&amp;G AND PROCESS FEEDER-2</t>
  </si>
  <si>
    <t>E-EDB-8803B-08</t>
  </si>
  <si>
    <t>CCT-008 TBA LER-2 CCTV-2 F&amp;G AND PROCESS FEEDER-2</t>
  </si>
  <si>
    <t>E-EDB-8804A-12</t>
  </si>
  <si>
    <t>CCT-012 TBA LER-1 CORROSION MONITORING-1 FEEDER-1</t>
  </si>
  <si>
    <t>E-EDB-8804A-13</t>
  </si>
  <si>
    <t>CCT-013 TBA LER-1 CORROSION MONITORING-2 FEEDER-1</t>
  </si>
  <si>
    <t>E-EDB-8804A-14</t>
  </si>
  <si>
    <t>CCT-014 TBA LER-1 CCTV-1 F&amp;G AND PROCESS FEEDER-1</t>
  </si>
  <si>
    <t>E-EDB-8804A-15</t>
  </si>
  <si>
    <t>CCT-015 TBA LER-1 CCTV-2 F&amp;G AND PROCESS FEEDER-1</t>
  </si>
  <si>
    <t>E-EDB-8804A-16</t>
  </si>
  <si>
    <t>CCT-016 TBA LER-1 CCTV-3 F&amp;G AND PROCESS FEEDER-1</t>
  </si>
  <si>
    <t>E-EDB-8804A-17</t>
  </si>
  <si>
    <t>CCT-017 TBA LER-1 CCTV-4 F&amp;G AND PROCESS FEEDER-1</t>
  </si>
  <si>
    <t>E-EDB-8804B-31</t>
  </si>
  <si>
    <t>CCT-031 LATER SUBSEA INTERFACE CABINET-1 FEEDER-2</t>
  </si>
  <si>
    <t>E-EDB-8804B-32</t>
  </si>
  <si>
    <t>CCT-032 LATER SUBSEA INTERFACE CABINET-2 FEEDER-2</t>
  </si>
  <si>
    <t>E-EDB-8804B-33</t>
  </si>
  <si>
    <t>CCT-033 LATER SUBSEA INTERFACE CABINET-3 FEEDER-2</t>
  </si>
  <si>
    <t>E-EDB-8804B-51</t>
  </si>
  <si>
    <t>CCT-051 LATER NUCLEONIC PROFILER CABINET FEEDER-1</t>
  </si>
  <si>
    <t>E-EDB-8517</t>
  </si>
  <si>
    <t>ESSENTIAL LIGHTING DISTRIBUTION BOARD (BY OTHER)</t>
  </si>
  <si>
    <t>E-ESB-8002-A07-F</t>
  </si>
  <si>
    <t>FEEDER FOR LEAN MEG EXPORT PUMP MOTOR E-PM-2904A A1 90KW/97A</t>
  </si>
  <si>
    <t>E-ESB-8002-A08-D</t>
  </si>
  <si>
    <t>FEEDER FOR MEG DRAIN DRUM PUMP MOTOR E-PM-2803 A1 11KW/12.7A</t>
  </si>
  <si>
    <t>E-ESB-8002-A08-E</t>
  </si>
  <si>
    <t>FEEDER FOR RICH MEG FEED PUMP MOTOR E-PM-2804A A1 22KW/22.1A</t>
  </si>
  <si>
    <t>E-ESB-8002-B11-B</t>
  </si>
  <si>
    <t>FEEDER FOR RICH MEG FEED PUMP MOTOR E-PM-2804C A1 22KW/22.1A</t>
  </si>
  <si>
    <t>E-ESB-8002-B14-D</t>
  </si>
  <si>
    <t>FEEDER FOR LEAN MEG EXPORT PUMP MOTOR E-PM-2904C A1 90KW/97A</t>
  </si>
  <si>
    <t>E-ESB-8003-A06-B</t>
  </si>
  <si>
    <t>FEEDER FOR SPARE CUBICLE ON SWITCHGEAR E-ESB-8003 45KW/76.4A</t>
  </si>
  <si>
    <t>E-ESB-8003-A07-B</t>
  </si>
  <si>
    <t>FEEDER FOR SPARE CUBICLE ON SWITCHGEAR E-ESB-8003 15KW/25.5A</t>
  </si>
  <si>
    <t>R-L-8021-11F-H</t>
  </si>
  <si>
    <t>SPARE CUBICLE ON SWITCHBOARD R-L-8021 5.5KW 11.5A</t>
  </si>
  <si>
    <t>R-L-8021-11R-F</t>
  </si>
  <si>
    <t>FEEDER FOR REGENERATION GAS COOLER A R-AM-2521A 37.5KW 72.5A</t>
  </si>
  <si>
    <t>R-L-8021-12R-C</t>
  </si>
  <si>
    <t>SPARE CUBICLE ON SWITCHBOARD R-L-8021 0.55KW 1.6A</t>
  </si>
  <si>
    <t>R-L-8021-28F-D</t>
  </si>
  <si>
    <t>SPARE CUBICLE FOR SWITCHGEAR R-L-8021 0.55KW 1.6A</t>
  </si>
  <si>
    <t>R-L-8021-28F-F</t>
  </si>
  <si>
    <t>SPARE CUBICLE FOR SWITCHGEAR R-L-8021 5.5KW 11.5A</t>
  </si>
  <si>
    <t>R-L-8021-28F-G</t>
  </si>
  <si>
    <t>SPARE CUBICLE FOR SWITCHGEAR R-L-8021 7.5KW 15.5A</t>
  </si>
  <si>
    <t>R-L-8021-28R-B</t>
  </si>
  <si>
    <t>R-L-8021-30F-D</t>
  </si>
  <si>
    <t>R-L-8021-30R-I</t>
  </si>
  <si>
    <t>FEEDER FOR REGENERATION GAS COOLER B R-AM-2521B 37.5KW 72.5A</t>
  </si>
  <si>
    <t>E-ECP-8711</t>
  </si>
  <si>
    <t>UNIT CONTROL PANEL FOR GENERATOR EM GEN E-GE-8711</t>
  </si>
  <si>
    <t>FA_INSC</t>
  </si>
  <si>
    <t>CLLC</t>
  </si>
  <si>
    <t>G7</t>
  </si>
  <si>
    <t>E-ESB-8012-A01-A</t>
  </si>
  <si>
    <t>INCOMER FROM 690V/420V TRANSFORMER IC E-ETR-8012A</t>
  </si>
  <si>
    <t>R-ESB-8003-B03-D</t>
  </si>
  <si>
    <t>INCOMING FROM ESSENTIAL DIESEL GENERATOR R-G-8402</t>
  </si>
  <si>
    <t>E-ESB-8011-B03-C</t>
  </si>
  <si>
    <t>FEEDER FOR RECLAIMED MEG CONDENSER FAN MOTOR E-KEM-3002B A1</t>
  </si>
  <si>
    <t>E-ESB-8011-B02-C</t>
  </si>
  <si>
    <t>FEEDER FOR RICH MEG CENTRIFUGE PACKAGE MOTOR E-VFD-3006B V1</t>
  </si>
  <si>
    <t>E-ESB-8011-B03-G</t>
  </si>
  <si>
    <t>FEEDER FOR MEG CENTRIFUGE ENCLOSURE FAN MOTOR E-KEM-3006 A1</t>
  </si>
  <si>
    <t>E-ESB-8701-A17-B</t>
  </si>
  <si>
    <t>FEEDER FOR HVAC SUBSTATION 1 ESSENTIAL POWER E-ESB-9403A C1</t>
  </si>
  <si>
    <t>E-ESB-8701-B12-G</t>
  </si>
  <si>
    <t>FEEDER FOR HVAC SUBSTATION 1 ESSENTIAL POWER E-ESB-9403B C1</t>
  </si>
  <si>
    <t>E-ESB-8702-A04-B</t>
  </si>
  <si>
    <t>FEEDER FOR LUBE OIL TANK HEATER A E-EEH-9111A H1 4.5KW 3.8A</t>
  </si>
  <si>
    <t>E-ESB-8703-A04-B</t>
  </si>
  <si>
    <t>FEEDER FOR LUBE OIL TANK HEATER A E-EEH-9121A H1 4.5KW 3.8A</t>
  </si>
  <si>
    <t>E-ESB-8704-A04-B</t>
  </si>
  <si>
    <t>FEEDER FOR LUBE OIL TANK HEATER A E-EEH-9131A H1 4.5KW 3.8A</t>
  </si>
  <si>
    <t>E-ESB-8705-A04-B</t>
  </si>
  <si>
    <t>FEEDER FOR LUBE OIL TANK HEATER A E-EEH-9141A H1 4.5KW 3.8A</t>
  </si>
  <si>
    <t>R-L-8021-26F-C</t>
  </si>
  <si>
    <t>FEEDER FOR SWITCHGEAR L8021 BATTERY CHARGER R-BCH-8020A 40A</t>
  </si>
  <si>
    <t>R-L-8021-26F-D</t>
  </si>
  <si>
    <t>E-ECB-8701</t>
  </si>
  <si>
    <t>BATTERY ISOLATOR-1 FOR DIESEL GENERATOR E-X-8711</t>
  </si>
  <si>
    <t>FA_EETI</t>
  </si>
  <si>
    <t>ISEL</t>
  </si>
  <si>
    <t>MAH Barrier: #N/A; MAH comment: None allocated; IPL/LOPA = No; Regulatory override = No</t>
  </si>
  <si>
    <t>E-ECB-8703</t>
  </si>
  <si>
    <t>BATTERY ISOLATOR-1 FOR DIESEL GENERATOR E-X-8731</t>
  </si>
  <si>
    <t>E-PM-3009A</t>
  </si>
  <si>
    <t>RICH MEG RECYCLE HEATER CIRCULATION PUMP MOTOR A</t>
  </si>
  <si>
    <t>E-PM-3009B</t>
  </si>
  <si>
    <t>RICH MEG RECYCLE HEATER CIRCULATION PUMP MOTOR B</t>
  </si>
  <si>
    <t>E-PM-5105A</t>
  </si>
  <si>
    <t>RAVEN OFFSHORE SCALE INHIBITOR DOSING PUMP MOTOR</t>
  </si>
  <si>
    <t>E-PM-5105B</t>
  </si>
  <si>
    <t>E-EEH-9112B</t>
  </si>
  <si>
    <t>IMMERSION HEATER: EXTINGUISHANT CABINET HEATER 2</t>
  </si>
  <si>
    <t>E-EEH-9112C</t>
  </si>
  <si>
    <t>IMMERSION HEATER: EXTINGUISHANT CABINET HEATER 3</t>
  </si>
  <si>
    <t>E-EEH-9112D</t>
  </si>
  <si>
    <t>IMMERSION HEATER: EXTINGUISHANT CABINET HEATER 4</t>
  </si>
  <si>
    <t>E-EEH-9112E</t>
  </si>
  <si>
    <t>IMMERSION HEATER: EXTINGUISHANT CABINET HEATER 5</t>
  </si>
  <si>
    <t>E-EEH-9122B</t>
  </si>
  <si>
    <t>E-EEH-9122C</t>
  </si>
  <si>
    <t>E-EEH-9122D</t>
  </si>
  <si>
    <t>E-EEH-9122E</t>
  </si>
  <si>
    <t>E-EEH-9132B</t>
  </si>
  <si>
    <t>E-EEH-9132C</t>
  </si>
  <si>
    <t>E-EEH-9132D</t>
  </si>
  <si>
    <t>E-EEH-9132E</t>
  </si>
  <si>
    <t>E-EEH-9142B</t>
  </si>
  <si>
    <t>E-EEH-9142C</t>
  </si>
  <si>
    <t>E-EEH-9142D</t>
  </si>
  <si>
    <t>E-EEH-9142E</t>
  </si>
  <si>
    <t>E-EDB-9121-03</t>
  </si>
  <si>
    <t>CCT-003 E-EJB-9121-12 TURBINE ENCLOSURE LIGHTING</t>
  </si>
  <si>
    <t>E-EDB-9121-06</t>
  </si>
  <si>
    <t>CCT-006 E-EJB-9121-13 WATER MIST CABINET HEATERS</t>
  </si>
  <si>
    <t>E-EDB-9131-03</t>
  </si>
  <si>
    <t>CCT-003 E-EJB-9131-12 TURBINE ENCLOSURE LIGHTING</t>
  </si>
  <si>
    <t>E-EDB-9131-06</t>
  </si>
  <si>
    <t>CCT-006 E-EJB-9131-13 WATER MIST CABINET HEATERS</t>
  </si>
  <si>
    <t>E-EDB-9141-03</t>
  </si>
  <si>
    <t>CCT-003 E-EJB-9141-12 TURBINE ENCLOSURE LIGHTING</t>
  </si>
  <si>
    <t>E-EDB-9141-06</t>
  </si>
  <si>
    <t>CCT-006 E-EJB-9141-13 WATER MIST CABINET HEATERS</t>
  </si>
  <si>
    <t>E-EDB-8802A-22</t>
  </si>
  <si>
    <t>CCT-022 TBA COMPANY IT SERVER CABINET 1 FEEDER-1</t>
  </si>
  <si>
    <t>E-EDB-8802A-23</t>
  </si>
  <si>
    <t>CCT-023 TBA COMPANY IT SERVER CABINET 2 FEEDER-1</t>
  </si>
  <si>
    <t>E-EDB-8802B-22</t>
  </si>
  <si>
    <t>CCT-022 TBA COMPANY IT SERVER CABINET 1 FEEDER-2</t>
  </si>
  <si>
    <t>E-EDB-8802B-23</t>
  </si>
  <si>
    <t>CCT-023 TBA COMPANY IT SERVER CABINET 2 FEEDER-2</t>
  </si>
  <si>
    <t>E-ECB-8702</t>
  </si>
  <si>
    <t>BATTERY ISOLATOR-2 FOR DIESEL GENERATOR E-X-8711</t>
  </si>
  <si>
    <t>E-ECB-8704</t>
  </si>
  <si>
    <t>BATTERY ISOLATOR-2 FOR DIESEL GENERATOR E-X-8731</t>
  </si>
  <si>
    <t>E-ESB-8002-A06-F</t>
  </si>
  <si>
    <t>FEEDER FOR SURGE POND PUMP MOTOR E-PM-8201A A1 18.5KW/19.2A</t>
  </si>
  <si>
    <t>E-ESB-8002-B10-E</t>
  </si>
  <si>
    <t>FEEDER FOR RICH MEG FEED PUMP MOTOR E-P-2804B A1 22KW/22.1A</t>
  </si>
  <si>
    <t>E-ESB-8002-B13-D</t>
  </si>
  <si>
    <t>FEEDER FOR SURGE POND PUMP MOTOR E-PM-8201B A1 18.5KW/19.2A</t>
  </si>
  <si>
    <t>E-ESB-8011-A12-B</t>
  </si>
  <si>
    <t>FEEDER FOR MEG CENTRIFUGE ENCLOSURE FAN MOTOR E-KEM-3007 A1</t>
  </si>
  <si>
    <t>E-ESB-8011-A13-D</t>
  </si>
  <si>
    <t>FEEDER FOR RECLAIMED MEG CONDENSER FAN MOTOR E-VFD-3002A V1</t>
  </si>
  <si>
    <t>E-ESB-8001-A01</t>
  </si>
  <si>
    <t>INCOMER 1 6.6KV GTG CUBICLE FOR E-G-9111 8.92MVA</t>
  </si>
  <si>
    <t>E-ESB-8001-A02</t>
  </si>
  <si>
    <t>INCOMER 2 6.6KV GTG CUBICLE FOR E-G-9121 8.92MVA</t>
  </si>
  <si>
    <t>E-ESB-8001-B01</t>
  </si>
  <si>
    <t>INCOMER 3 6.6KV GTG CUBICLE FOR E-G-9131 8.92MVA</t>
  </si>
  <si>
    <t>E-ESB-8001-B02</t>
  </si>
  <si>
    <t>INCOMER 4 6.6KV GTG CUBICLE FOR E-G-9141 8.92MVA</t>
  </si>
  <si>
    <t>E-ESB-8701-A15-F</t>
  </si>
  <si>
    <t>FEEDER FOR FILL RECIRCULATION PUMP MOTOR RAVEN E-PM-0506 A1</t>
  </si>
  <si>
    <t>R-L-8021-26R-F</t>
  </si>
  <si>
    <t>FEEDER FOR NO2 FILLING BOTTLE COMPRESSOR R-KM-6421 45KW 85A</t>
  </si>
  <si>
    <t>R-L-8023-14F</t>
  </si>
  <si>
    <t>SPARE CUBICLE ON SWITCHBOARD R-L-8023 200KW 370A</t>
  </si>
  <si>
    <t>R-L-8023-15F-E</t>
  </si>
  <si>
    <t>SPARE CUBICLE ON SWITCHBOARD R-L-8023 1.5KW 3.5A</t>
  </si>
  <si>
    <t>R-L-8023-15F-J</t>
  </si>
  <si>
    <t>SPARE CUBICLE ON SWITCHBOARD R-L-8023 18.5KW 37A</t>
  </si>
  <si>
    <t>R-L-8023-17R-A</t>
  </si>
  <si>
    <t>FEEDER FOR COMPRESSOR OVERHEAD CRANE 2 R-CR-2721-2 12KW 24A</t>
  </si>
  <si>
    <t>E-ESB-8012-C02-A</t>
  </si>
  <si>
    <t>INCOMER FROM 690V/420V TRANSFORMER IC E-ESB-8012</t>
  </si>
  <si>
    <t>E-ESB-8702-A06-E</t>
  </si>
  <si>
    <t>WASH SKID SOCKET OUTLET E-EDB-9111 B2 12KW 13.9A</t>
  </si>
  <si>
    <t>E-ESB-8703-A06-E</t>
  </si>
  <si>
    <t>WASH SKID SOCKET OUTLET E-EDB-9121 B2 12KW 13.9A</t>
  </si>
  <si>
    <t>E-ESB-8704-A06-E</t>
  </si>
  <si>
    <t>WASH SKID SOCKET OUTLET E-EDB-9131 B2 12KW 13.9A</t>
  </si>
  <si>
    <t>E-ESB-8705-A06-E</t>
  </si>
  <si>
    <t>WASH SKID SOCKET OUTLET E-EDB-9141 B2 12KW 13.9A</t>
  </si>
  <si>
    <t>E-ESB-8706-A03-B</t>
  </si>
  <si>
    <t>CCR SMALL POWER EMERGENCY E-EDB-8521 B1 10KW 17A</t>
  </si>
  <si>
    <t>E-ESB-8011-A23-E</t>
  </si>
  <si>
    <t>FEEDER FOR MEG LIQUID RING COOLER FAN MOTOR E-KEM-3004A A1</t>
  </si>
  <si>
    <t>E-ESB-8011-A23-F</t>
  </si>
  <si>
    <t>FEEDER FOR MEG LIQUID RING COOLER FAN MOTOR E-KEM-3004B A1</t>
  </si>
  <si>
    <t>E-KEM-2401A</t>
  </si>
  <si>
    <t>HP FLASH GAS COMPRESSOR AFTERCOOLER FAN A MOTOR</t>
  </si>
  <si>
    <t>E-KEM-2401B</t>
  </si>
  <si>
    <t>HP FLASH GAS COMPRESSOR AFTERCOOLER FAN B MOTOR</t>
  </si>
  <si>
    <t>E-KEM-2401C</t>
  </si>
  <si>
    <t>HP FLASH GAS COMPRESSOR AFTERCOOLER FAN C MOTOR</t>
  </si>
  <si>
    <t>E-KEM-2412A</t>
  </si>
  <si>
    <t>MP FLASH GAS COMPRESSOR AFTERCOOLER FAN A MOTOR</t>
  </si>
  <si>
    <t>E-KEM-2412B</t>
  </si>
  <si>
    <t>MP FLASH GAS COMPRESSOR AFTERCOOLER FAN B MOTOR</t>
  </si>
  <si>
    <t>E-KEM-2412C</t>
  </si>
  <si>
    <t>MP FLASH GAS COMPRESSOR AFTERCOOLER FAN C MOTOR</t>
  </si>
  <si>
    <t>E-KEM-2413A</t>
  </si>
  <si>
    <t>FLASH GAS COMPRESSOR RECYCLE COOLER FAN A MOTOR</t>
  </si>
  <si>
    <t>E-KEM-2413B</t>
  </si>
  <si>
    <t>FLASH GAS COMPRESSOR RECYCLE COOLER FAN B MOTOR</t>
  </si>
  <si>
    <t>E-KEM-2413C</t>
  </si>
  <si>
    <t>FLASH GAS COMPRESSOR RECYCLE COOLER FAN C MOTOR</t>
  </si>
  <si>
    <t>E-KEM-2422A</t>
  </si>
  <si>
    <t>E-KEM-2422B</t>
  </si>
  <si>
    <t>E-KEM-2422C</t>
  </si>
  <si>
    <t>E-KEM-2423A</t>
  </si>
  <si>
    <t>E-KEM-2423B</t>
  </si>
  <si>
    <t>E-KEM-2423C</t>
  </si>
  <si>
    <t>E-KEM-2511</t>
  </si>
  <si>
    <t>PURGING FAN MOTOR IN REGEN GAS HEATER E-HF-2511</t>
  </si>
  <si>
    <t>E-ESB-8002-A23-A</t>
  </si>
  <si>
    <t>FEEDER FOR AC UPS B MAINTENANCE BYPASS LER 1 C1 200KW/257A</t>
  </si>
  <si>
    <t>E-PM-5703A</t>
  </si>
  <si>
    <t>HP/LP FLARE KOD CLOSED DRAINS DRUM PUMP MOTOR A</t>
  </si>
  <si>
    <t>E-PM-5703B</t>
  </si>
  <si>
    <t>HP/LP FLARE KOD CLOSED DRAINS DRUM PUMP MOTOR B</t>
  </si>
  <si>
    <t>R-EER-8020A</t>
  </si>
  <si>
    <t>1.9 KV NEUTRAL EARTHING RESISTOR FOR R-ETR-8020</t>
  </si>
  <si>
    <t>MAH Barrier: #N/A; MAH comment: Same maintenance schedule all criticalities; IPL/LOPA = No; Regulatory override = No</t>
  </si>
  <si>
    <t>R-EER-8020B</t>
  </si>
  <si>
    <t>3.8 KV NEUTRAL EARTHING RESISTOR FOR R-ETR-8020</t>
  </si>
  <si>
    <t>E-EDB-9111-03</t>
  </si>
  <si>
    <t>CCT-03 TURBINE ENCLOSURE LIGHTING E-EJB-9111-12</t>
  </si>
  <si>
    <t>E-EDB-9111-06</t>
  </si>
  <si>
    <t>CCT-06 WATER MIST CABINET HEATERS E-EJB-9111-13</t>
  </si>
  <si>
    <t>E-EDB-8803A-16</t>
  </si>
  <si>
    <t>CCT-016 TBA GUARDHOUSE TELECOM CABINET FEEDER-1</t>
  </si>
  <si>
    <t>E-EDB-8803B-16</t>
  </si>
  <si>
    <t>CCT-016 TBA GUARDHOUSE TELECOM CABINET FEEDER-2</t>
  </si>
  <si>
    <t>E-EDB-8804A-31</t>
  </si>
  <si>
    <t>CCT-031 TBA SUBSEA INTERFACE CABINET-1 FEEDER-1</t>
  </si>
  <si>
    <t>E-EDB-8804A-32</t>
  </si>
  <si>
    <t>CCT-032 TBA SUBSEA INTERFACE CABINET-2 FEEDER-1</t>
  </si>
  <si>
    <t>E-EDB-8804A-33</t>
  </si>
  <si>
    <t>CCT-033 TBA SUBSEA INTERFACE CABINET-3 FEEDER-1</t>
  </si>
  <si>
    <t>E-EDB-8804A-51</t>
  </si>
  <si>
    <t>CCT-051 TBA NUCLEONIC PROFILER CABINET FEEDER-1</t>
  </si>
  <si>
    <t>E-EDB-8806-13</t>
  </si>
  <si>
    <t>CCT-013 E-ICP-6506 SEQUENCER PANEL IN PAQB AREA</t>
  </si>
  <si>
    <t>E-ELL-4201-01</t>
  </si>
  <si>
    <t>LIGHT FIXTURE IN E-EJB-2401-01 ON HP &amp; LP FLARE</t>
  </si>
  <si>
    <t>E-ELL-4201-04</t>
  </si>
  <si>
    <t>E-ELL-4201-07</t>
  </si>
  <si>
    <t>E-ELL-4201-10</t>
  </si>
  <si>
    <t>E-ELL-4201-02</t>
  </si>
  <si>
    <t>LIGHT FIXTURE IN E-EJB-2401-02 ON HP &amp; LP FLARE</t>
  </si>
  <si>
    <t>E-ELL-4201-08</t>
  </si>
  <si>
    <t>E-ELL-4201-11</t>
  </si>
  <si>
    <t>E-ELL-4201-03</t>
  </si>
  <si>
    <t>LIGHT FIXTURE IN E-EJB-2401-03 ON HP &amp; LP FLARE</t>
  </si>
  <si>
    <t>E-ELL-4201-09</t>
  </si>
  <si>
    <t>E-ELL-4201-12</t>
  </si>
  <si>
    <t>E-ELL-4201-06</t>
  </si>
  <si>
    <t>E-ESB-8002-A14-C</t>
  </si>
  <si>
    <t>FEEDER FOR TSA REGENERATION COOLER FAN MOTOR V1 15KW/16.4A</t>
  </si>
  <si>
    <t>E-ESB-8002-A14-D</t>
  </si>
  <si>
    <t>E-ESB-8011-A02-G</t>
  </si>
  <si>
    <t>FEEDER FOR MEG CENTRIFUGE PACKAGE MAIN MOTOR E-VFD-3003 V1</t>
  </si>
  <si>
    <t>E-ESB-8011-A10-G</t>
  </si>
  <si>
    <t>FEEDER FOR MEG CENTRIFUGE LUBE OIL PUMP MOTOR E-PM-3011 A1</t>
  </si>
  <si>
    <t>E-ESB-8702-A06-D</t>
  </si>
  <si>
    <t>FEEDER FOR AUX LUBE OIL PUMP MOTOR E-PM-9112 A1 15KW 16.4A</t>
  </si>
  <si>
    <t>E-ESB-8703-A06-D</t>
  </si>
  <si>
    <t>FEEDER FOR AUX LUBE OIL PUMP MOTOR E-PM-9122 A1 15KW 16.4A</t>
  </si>
  <si>
    <t>E-ESB-8704-A06-D</t>
  </si>
  <si>
    <t>FEEDER FOR AUX LUBE OIL PUMP MOTOR E-PM-9132 A1 15KW 16.4A</t>
  </si>
  <si>
    <t>E-ESB-8705-A06-D</t>
  </si>
  <si>
    <t>FEEDER FOR AUX LUBE OIL PUMP MOTOR E-PM-9142 A1 15KW 16.4A</t>
  </si>
  <si>
    <t>R-L-8021-11F-F</t>
  </si>
  <si>
    <t>FEEDER FOR CORROSION INHIBITOR PUMP R-PM-4221A 0.55KW 1.6A</t>
  </si>
  <si>
    <t>R-L-8021-22F-A</t>
  </si>
  <si>
    <t>SPARE CUBICLE ON SWITCHBOARD R-L-8021 75KW 150A</t>
  </si>
  <si>
    <t>R-L-8021-24F-B</t>
  </si>
  <si>
    <t>R-L-8021-27R-A</t>
  </si>
  <si>
    <t>SPARE CUBICLE FOR SWITCHGEAR R-L-8021 0.25KW 1A</t>
  </si>
  <si>
    <t>E-ESB-8011-A08-A</t>
  </si>
  <si>
    <t>INCOMER FROM 6.6KV/720V TRANSFORMER E-ETR-8011A</t>
  </si>
  <si>
    <t>R-L-8021-27R-B</t>
  </si>
  <si>
    <t>R-L-8021-27R-E</t>
  </si>
  <si>
    <t>FEEDER FOR CORROSION INHIBITOR MIXER R-MXM-4221 1.1KW 2.6A</t>
  </si>
  <si>
    <t>R-L-8021-28F-C</t>
  </si>
  <si>
    <t>FEEDER FOR CORROSION INHIBITOR PUMP R-PM-4221B 0.55KW 1.6A</t>
  </si>
  <si>
    <t>R-L-8021-29R-A</t>
  </si>
  <si>
    <t>FEEDER FOR POTABLE WATER TRANSFER PUMP R-PM-5325A 15KW 30A</t>
  </si>
  <si>
    <t>R-L-8021-29R-E</t>
  </si>
  <si>
    <t>SPARE CUBICLE FOR SWITCHGEAR R-L-8021 0.75KW 2A</t>
  </si>
  <si>
    <t>R-L-8021-29R-I</t>
  </si>
  <si>
    <t>SPARE CUBICLE FOR SWITCHGEAR R-L-8021 7.5KW 15A</t>
  </si>
  <si>
    <t>R-L-8021-29R-J</t>
  </si>
  <si>
    <t>FEEDER FOR WATER POTABLE TRANSFER PUMP R-PM-5325B 11KW 22A</t>
  </si>
  <si>
    <t>R-L-8021-30R-F</t>
  </si>
  <si>
    <t>FEEDER FOR TREATED WATER TRANSFER PUMP R-PM-5623B 4KW 8.5A</t>
  </si>
  <si>
    <t>R-L-8021-31F-A</t>
  </si>
  <si>
    <t>FEEDER FOR TREATED WATER TRANSFER PUMP R-PM-5623A 4KW 8.5A</t>
  </si>
  <si>
    <t>R-L-8021-31F-I</t>
  </si>
  <si>
    <t>FEEDER FOR REGENERATION GAS COOLER A R-AM-2521C 37KW 72.5A</t>
  </si>
  <si>
    <t>R-L-8023-14E</t>
  </si>
  <si>
    <t>FEEDER FOR GAS TURBINE OVERHEAD CRANE R-CR-2721A-1 6KW 12A</t>
  </si>
  <si>
    <t>E-ESB-8012-A02-G</t>
  </si>
  <si>
    <t>GATE HOUSE SMALL POWER E-EDB-8906 B2 1.5KW 2.5A</t>
  </si>
  <si>
    <t>E-ESB-8701-B06-A</t>
  </si>
  <si>
    <t>INCOMER FROM 6.6KV/720V TRANSFORMER E-ETR-8017B</t>
  </si>
  <si>
    <t>E-ESB-8701-B15-A</t>
  </si>
  <si>
    <t>R-ESB-8001-BB01</t>
  </si>
  <si>
    <t>BUS RISER AND BBCT-B FOR SWITCHBOARD R-ESB-8001</t>
  </si>
  <si>
    <t>R-ESB-8003-A06-G</t>
  </si>
  <si>
    <t>NEW LER SMALL POWER NON ESSENTIAL R-EDB-8901 B1</t>
  </si>
  <si>
    <t>E-ESB-8011-B05-B</t>
  </si>
  <si>
    <t>FEEDER FOR HAZARDOUS OILY WATER DRAINS PUMP E-PM-5605B A1</t>
  </si>
  <si>
    <t>E-ESB-8011-B03-F</t>
  </si>
  <si>
    <t>FEEDER FOR MEG LIQUID RING COOLER FAN MOTOR E-KEM-3004 A1</t>
  </si>
  <si>
    <t>E-ESB-8011-A14-E</t>
  </si>
  <si>
    <t>FEEDER FOR HVAC SUBSTATION 2 NON ESSENTIAL E-ESB-9406A C1</t>
  </si>
  <si>
    <t>E-ESB-8011-B02-B</t>
  </si>
  <si>
    <t>FEEDER FOR HVAC SUBSTATION 2 NON ESSENTIAL E-ESB-9406B C1</t>
  </si>
  <si>
    <t>R-L-8021-25F-D</t>
  </si>
  <si>
    <t>FEEDER FOR INDOOR AND EXTERNAL LIGHTING CIRCUITS R-L-8021</t>
  </si>
  <si>
    <t>R-L-8023-17F-F</t>
  </si>
  <si>
    <t>FEEDER FOR INDOOR AND OUTDOOR LIGHT CIRCUITS R-L-8023 20A</t>
  </si>
  <si>
    <t>R-L-8023-17R-I</t>
  </si>
  <si>
    <t>FEEDER FOR HVAC CUBICLE ON SWITCHBOARD R-L-8023 80KW 146A</t>
  </si>
  <si>
    <t>E-PM-5210A</t>
  </si>
  <si>
    <t>RICH MEG FLASH DRUM ANTIFOAM DOSING PUMP MOTOR</t>
  </si>
  <si>
    <t>E-PM-5210B</t>
  </si>
  <si>
    <t>E-PM-5211A</t>
  </si>
  <si>
    <t>MEG FLASH SEPARATOR ANTIFOAM DOSING PUMP MOTOR</t>
  </si>
  <si>
    <t>E-PM-5211B</t>
  </si>
  <si>
    <t>E-PM-5701A</t>
  </si>
  <si>
    <t>RECEPTION AREA CLOSED DRAINS DRUM PUMP MOTOR A</t>
  </si>
  <si>
    <t>E-PM-5701B</t>
  </si>
  <si>
    <t>RECEPTION AREA CLOSED DRAINS DRUM PUMP MOTOR B</t>
  </si>
  <si>
    <t>E-EDB-8803B-17</t>
  </si>
  <si>
    <t>CCT-017 TBA PMS PANEL IN SUBSTATION 2 FEEDER-2</t>
  </si>
  <si>
    <t>E-EDB-8801A-02</t>
  </si>
  <si>
    <t>CCT-002 E-ESB-8002 690V LV SWITCHGEAR FEEDER-1</t>
  </si>
  <si>
    <t>E-EDB-8801A-03</t>
  </si>
  <si>
    <t>CCT-003 E-ESB-8003 400V LV SWITCHGEAR FEEDER-1</t>
  </si>
  <si>
    <t>E-EDB-8801A-04</t>
  </si>
  <si>
    <t>CCT-004 E-ESB-8701 690V LV SWITCHGEAR FEEDER-1</t>
  </si>
  <si>
    <t>E-EDB-8801A-05</t>
  </si>
  <si>
    <t>CCT-005 E-ESB-8706 400V LV SWITCHGEAR FEEDER-1</t>
  </si>
  <si>
    <t>E-EDB-8801A-06</t>
  </si>
  <si>
    <t>CCT-006 E-ESB-8702 690V LV SWITCHGEAR FEEDER-1</t>
  </si>
  <si>
    <t>E-EDB-8801A-07</t>
  </si>
  <si>
    <t>CCT-007 E-ESB-8703 690V LV SWITCHGEAR FEEDER-1</t>
  </si>
  <si>
    <t>E-EDB-8801A-08</t>
  </si>
  <si>
    <t>CCT-008 E-ESB-8704 690V LV SWITCHGEAR FEEDER-1</t>
  </si>
  <si>
    <t>E-EDB-8801A-09</t>
  </si>
  <si>
    <t>CCT-009 E-ESB-8705 690V LV SWITCHGEAR FEEDER-1</t>
  </si>
  <si>
    <t>E-EDB-8801B-02</t>
  </si>
  <si>
    <t>CCT-002 E-ESB-8002 690V LV SWITCHGEAR FEEDER-2</t>
  </si>
  <si>
    <t>E-EDB-8801B-03</t>
  </si>
  <si>
    <t>CCT-003 E-ESB-8003 400V LV SWITCHGEAR FEEDER-2</t>
  </si>
  <si>
    <t>E-EDB-8801B-04</t>
  </si>
  <si>
    <t>CCT-004 E-ESB-8701 690V LV SWITCHGEAR FEEDER-2</t>
  </si>
  <si>
    <t>E-EDB-8801B-05</t>
  </si>
  <si>
    <t>CCT-005 E-ESB-8706 400V LV SWITCHGEAR FEEDER-2</t>
  </si>
  <si>
    <t>E-EDB-8801B-06</t>
  </si>
  <si>
    <t>CCT-006 E-ESB-8702 690V LV SWITCHGEAR FEEDER-2</t>
  </si>
  <si>
    <t>E-EDB-8801B-07</t>
  </si>
  <si>
    <t>CCT-007 E-ESB-8703 690V LV SWITCHGEAR FEEDER-2</t>
  </si>
  <si>
    <t>E-EDB-8801B-08</t>
  </si>
  <si>
    <t>CCT-008 E-ESB-8704 690V LV SWITCHGEAR FEEDER-2</t>
  </si>
  <si>
    <t>E-EDB-8801B-09</t>
  </si>
  <si>
    <t>CCT-009 E-ESB-8705 690V LV SWITCHGEAR FEEDER-2</t>
  </si>
  <si>
    <t>E-EDB-8805A-01</t>
  </si>
  <si>
    <t>CCT-001 E-ESB-8011 690V LV SWITCHGEAR FEEDER-1</t>
  </si>
  <si>
    <t>E-EDB-8805A-02</t>
  </si>
  <si>
    <t>CCT-002 E-ESB-8012 690V LV SWITCHGEAR FEEDER-1</t>
  </si>
  <si>
    <t>E-EDB-8805B-01</t>
  </si>
  <si>
    <t>CCT-001 E-ESB-8011 690V LV SWITCHGEAR FEEDER-2</t>
  </si>
  <si>
    <t>E-EDB-8805B-02</t>
  </si>
  <si>
    <t>CCT-002 E-ESB-8012 690V LV SWITCHGEAR FEEDER-2</t>
  </si>
  <si>
    <t>E-EDB-8810-11</t>
  </si>
  <si>
    <t>CCT-011 E58LAHH128 LEVEL-ALARM HIGH HIGH LOCAL</t>
  </si>
  <si>
    <t>E-ESB-8002-A10-G</t>
  </si>
  <si>
    <t>FEEDER FOR RERUN DRUM PUMP MOTOR E-PM-2101A A2 132KW/129A</t>
  </si>
  <si>
    <t>E-ESB-8002-B09-H</t>
  </si>
  <si>
    <t>FEEDER FOR RERUN DRUM PUMP MOTOR E-PM-2101B A2 132KW/129A</t>
  </si>
  <si>
    <t>E-ESB-8011-A01-D</t>
  </si>
  <si>
    <t>FEEDER FOR HAZARDOUS OILY WATER DRAINS PUMP E-PM-5602A A1</t>
  </si>
  <si>
    <t>E-ESB-8011-A01-F</t>
  </si>
  <si>
    <t>FEEDER FOR HAZARDOUS OILY WATER DRAINS PUMP E-PM-5606A A1</t>
  </si>
  <si>
    <t>E-ESB-8011-A01-G</t>
  </si>
  <si>
    <t>FEEDER FOR MEG VACUUM SCRUBBER PUMP MOTOR A E-PM-3017A A1</t>
  </si>
  <si>
    <t>E-ESB-8011-A03-H</t>
  </si>
  <si>
    <t>FEEDER FOR FIRE WATER OFFLOADING PUMP MOTOR E-PM-8103B A1</t>
  </si>
  <si>
    <t>E-ESB-8011-A03-I</t>
  </si>
  <si>
    <t>FEEDER FOR FIRE WATER OFFLOADING PUMP MOTOR E-PM-8103D A1</t>
  </si>
  <si>
    <t>E-ESB-8011-A04-F</t>
  </si>
  <si>
    <t>FEEDER FOR HAZARDOUS OILY WATER DRAINS PUMP E-PM-5603A A1</t>
  </si>
  <si>
    <t>E-ESB-8011-A04-G</t>
  </si>
  <si>
    <t>FEEDER FOR HAZARDOUS OILY WATER DRAINS PUMP E-PM-5604A A1</t>
  </si>
  <si>
    <t>E-ESB-8011-A04-H</t>
  </si>
  <si>
    <t>FEEDER FOR HAZARDOUS OILY WATER DRAINS PUMP E-PM-5605A A1</t>
  </si>
  <si>
    <t>E-ESB-8011-A10-D</t>
  </si>
  <si>
    <t>FEEDER FOR RECLAIMED MEG PRODUCT PUMP MOTOR E-PM-3008A A1</t>
  </si>
  <si>
    <t>E-ESB-8011-B08-H</t>
  </si>
  <si>
    <t>FEEDER FOR HAZARDOUS OILY WATER DRAINS PUMP E-PM-5603B A1</t>
  </si>
  <si>
    <t>E-ESB-8011-B08-I</t>
  </si>
  <si>
    <t>FEEDER FOR HAZARDOUS OILY WATER DRAINS PUMP E-PM-5604B A1</t>
  </si>
  <si>
    <t>E-ESB-8011-B11-B</t>
  </si>
  <si>
    <t>FEEDER FOR FIRE WATER OFFLOADING PUMP MOTOR E-PM-8103A A1</t>
  </si>
  <si>
    <t>E-ESB-8011-B11-C</t>
  </si>
  <si>
    <t>FEEDER FOR FIRE WATER OFFLOADING PUMP MOTOR E-PM-8103C A1</t>
  </si>
  <si>
    <t>E-ESB-8011-B12-G</t>
  </si>
  <si>
    <t>FEEDER FOR HAZARDOUS OILY WATER DRAINS PUMP E-PM-5202B A1</t>
  </si>
  <si>
    <t>E-ESB-8011-B12-H</t>
  </si>
  <si>
    <t>FEEDER FOR HAZARDOUS OILY WATER DRAINS PUMP E-PM-5606B A1</t>
  </si>
  <si>
    <t>E-ESB-8011-B13-B</t>
  </si>
  <si>
    <t>FEEDER FOR MEG VACUUM SCRUBBER PUMP MOTOR B E-PM-3017B A1</t>
  </si>
  <si>
    <t>E-ESB-8001-A03</t>
  </si>
  <si>
    <t>SPARE INCOMER CUBICLE ON SWITCHGEAR E-ESB-8001</t>
  </si>
  <si>
    <t>E-ESB-8702-A06-B</t>
  </si>
  <si>
    <t>FEEDER FOR GENERATOR CACA FAN A E-KEM-9112A A1 11KW 12.3A</t>
  </si>
  <si>
    <t>E-ESB-8702-A06-C</t>
  </si>
  <si>
    <t>FEEDER FOR GENERATOR CACA FAN B E-KEM-9112B A1 11KW 12.3A</t>
  </si>
  <si>
    <t>E-ESB-8703-A06-B</t>
  </si>
  <si>
    <t>FEEDER FOR GENERATOR CACA FAN A E-KEM-9122A A1 11KW 12.3A</t>
  </si>
  <si>
    <t>E-ESB-8703-A06-C</t>
  </si>
  <si>
    <t>FEEDER FOR GENERATOR CACA FAN B E-KEM-9122B A1 11KW 12.3A</t>
  </si>
  <si>
    <t>E-ESB-8704-A06-B</t>
  </si>
  <si>
    <t>FEEDER FOR GENERATOR CACA FAN A E-KEM-9132A A1 11KW 12.3A</t>
  </si>
  <si>
    <t>E-ESB-8704-A06-C</t>
  </si>
  <si>
    <t>FEEDER FOR GENERATOR CACA FAN B E-KEM-9132B A1 11KW 12.3A</t>
  </si>
  <si>
    <t>E-ESB-8705-A06-B</t>
  </si>
  <si>
    <t>FEEDER FOR GENERATOR CACA FAN A E-KEM-9142A A1 11KW 12.3A</t>
  </si>
  <si>
    <t>E-ESB-8705-A06-C</t>
  </si>
  <si>
    <t>FEEDER FOR GENERATOR CACA FAN B E-KEM-9142B A1 11KW 12.3A</t>
  </si>
  <si>
    <t>E-ESB-8003-A04-B</t>
  </si>
  <si>
    <t>UTILITIES PLOT SMALL POWER E-EDB-8929 4.5KW/8A</t>
  </si>
  <si>
    <t>R-L-8021-11R-B</t>
  </si>
  <si>
    <t>SPARE CUBICLE ON SWITCHBOARD R-L-8021 2.2KW 5A</t>
  </si>
  <si>
    <t>R-L-8021-12R-A</t>
  </si>
  <si>
    <t>SPARE CUBICLE ON SWITCHBOARD R-L-8021 4KW 8.5A</t>
  </si>
  <si>
    <t>R-L-8021-12R-D</t>
  </si>
  <si>
    <t>SPARE CUBICLE ON SWITCHBOARD R-L-8021 32KW 60A</t>
  </si>
  <si>
    <t>R-L-8021-22F-E</t>
  </si>
  <si>
    <t>SPARE CUBICLE ON SWITCHBOARD R-L-8021 13KW 26A</t>
  </si>
  <si>
    <t>R-L-8021-26F-B</t>
  </si>
  <si>
    <t>SPARE CUBICLE FOR SWITCHGEAR R-L-8021 3KW 6.6A</t>
  </si>
  <si>
    <t>R-L-8021-26R-A</t>
  </si>
  <si>
    <t>SPARE CUBICLE FOR SWITCHGEAR R-L-8021 2.2KW 5A</t>
  </si>
  <si>
    <t>R-L-8021-26R-D</t>
  </si>
  <si>
    <t>SPARE CUBICLE FOR SWITCHGEAR R-L-8021 4KW 8.5A</t>
  </si>
  <si>
    <t>R-L-8021-27R-G</t>
  </si>
  <si>
    <t>FEEDER FOR I&amp;U AIR COMPRESSOR MOTOR R-KM-6321B 132KW 245A</t>
  </si>
  <si>
    <t>R-L-8021-28F-B</t>
  </si>
  <si>
    <t>R-L-8021-28F-I</t>
  </si>
  <si>
    <t>SPARE CUBICLE FOR SWITCHGEAR R-L-8021 32KW 60A</t>
  </si>
  <si>
    <t>R-L-8021-28R-E</t>
  </si>
  <si>
    <t>FEEDER FOR COMMON FINAL DRY AIR COOLER R-AM-6323 2.2KW 5A</t>
  </si>
  <si>
    <t>R-L-8021-28R-G</t>
  </si>
  <si>
    <t>FEEDER FOR I&amp;U AIR COMPRESSOR MOTOR R-KM-6321A 132KW 245A</t>
  </si>
  <si>
    <t>R-L-8021-29F-C</t>
  </si>
  <si>
    <t>R-L-8021-29R-D</t>
  </si>
  <si>
    <t>R-L-8021-29R-H</t>
  </si>
  <si>
    <t>R-L-8021-30F-A</t>
  </si>
  <si>
    <t>FEEDER FOR GAS TURBINE ENCLOSURE FAN R-VFM-8021A 15KW 30A</t>
  </si>
  <si>
    <t>R-L-8021-30F-B</t>
  </si>
  <si>
    <t>FEEDER FOR GAS TURBINE ENCLOSURE FAN R-VFM-8021B 15KW 30A</t>
  </si>
  <si>
    <t>R-L-8021-30F-E</t>
  </si>
  <si>
    <t>R-L-8021-30F-F</t>
  </si>
  <si>
    <t>R-L-8021-30F-I</t>
  </si>
  <si>
    <t>R-L-8021-30R-A</t>
  </si>
  <si>
    <t>R-L-8021-30R-C</t>
  </si>
  <si>
    <t>R-L-8021-30R-D</t>
  </si>
  <si>
    <t>FEEDER FOR GAS TURBINE ENCLOSURE FAN R-VFM-8022A 15KW 30A</t>
  </si>
  <si>
    <t>R-L-8021-30R-E</t>
  </si>
  <si>
    <t>FEEDER FOR GAS TURBINE ENCLOSURE FAN R-VFM-8022B 15KW 30A</t>
  </si>
  <si>
    <t>R-L-8021-30R-G</t>
  </si>
  <si>
    <t>SPARE CUBICLE FOR SWITCHGEAR R-L-8021 4.5KW 9A</t>
  </si>
  <si>
    <t>R-L-8021-31F-E</t>
  </si>
  <si>
    <t>R-L-8023-16F-B</t>
  </si>
  <si>
    <t>SPARE CUBICLE ON SWITCHBOARD R-L-8023 37KW 72A</t>
  </si>
  <si>
    <t>R-L-8023-16F-C</t>
  </si>
  <si>
    <t>R-L-8023-16R-D</t>
  </si>
  <si>
    <t>SPARE CUBICLE ON SWITCHBOARD R-L-8023 30KW 60A</t>
  </si>
  <si>
    <t>R-L-8023-17F-B</t>
  </si>
  <si>
    <t>SPARE CUBICLE ON SWITCHBOARD R-L-8023 15KW 30A</t>
  </si>
  <si>
    <t>R-L-8023-17R-G</t>
  </si>
  <si>
    <t>SPARE CUBICLE ON SWITCHBOARD R-L-8023 25KW 50A</t>
  </si>
  <si>
    <t>R-L-8023-17R-H</t>
  </si>
  <si>
    <t>R-ESB-8002-AB-A</t>
  </si>
  <si>
    <t>BUS COUPLER KEY LOCK ON SWITCHBOARD R-ESB-8002</t>
  </si>
  <si>
    <t>R-ESB-8003-A01-D</t>
  </si>
  <si>
    <t>INCOMER FROM 720V/400V TRANSFORMER R-ETR-8003A</t>
  </si>
  <si>
    <t>R-ESB-8003-B01-D</t>
  </si>
  <si>
    <t>R-ESB-8003-B05-B</t>
  </si>
  <si>
    <t>MOV DISTRIBUTION BOARD ESSENTIAL R-EDB-8701 C1</t>
  </si>
  <si>
    <t>R-ESB-8003-B06-G</t>
  </si>
  <si>
    <t>MOV DISTRIBUTION BOARD ESSENTIAL R-EDB-8702 C1</t>
  </si>
  <si>
    <t>E-ESB-8011-B06-E</t>
  </si>
  <si>
    <t>FEEDER FOR RECOVERED MEG RETURN PUMP MOTOR E-PM-3007B A1</t>
  </si>
  <si>
    <t>E-ESB-8011-B06-F</t>
  </si>
  <si>
    <t>FEEDER FOR RECLAIMED MEG RETURN PUMP MOTOR E-PM-3008B A1</t>
  </si>
  <si>
    <t>E-KEM-2511A</t>
  </si>
  <si>
    <t>TSA REGENERATION GAS COOLER MOTOR A (TRAIN 1)</t>
  </si>
  <si>
    <t>E-KEM-2511B</t>
  </si>
  <si>
    <t>TSA REGENERATION GAS COOLER MOTOR B (TRAIN 1)</t>
  </si>
  <si>
    <t>E-KEM-2511C</t>
  </si>
  <si>
    <t>TSA REGENERATION GAS COOLER MOTOR C (TRAIN 1)</t>
  </si>
  <si>
    <t>E-KEM-2511D</t>
  </si>
  <si>
    <t>TSA REGENERATION GAS COOLER MOTOR D (TRAIN 1)</t>
  </si>
  <si>
    <t>E-KEM-2511E</t>
  </si>
  <si>
    <t>TSA REGENERATION GAS COOLER MOTOR E (TRAIN 1)</t>
  </si>
  <si>
    <t>E-KEM-2511F</t>
  </si>
  <si>
    <t>TSA REGENERATION GAS COOLER MOTOR F (TRAIN 1)</t>
  </si>
  <si>
    <t>E-KEM-2521A</t>
  </si>
  <si>
    <t>TSA REGENERATION GAS COOLER MOTOR A (TRAIN 2)</t>
  </si>
  <si>
    <t>E-KEM-2521B</t>
  </si>
  <si>
    <t>TSA REGENERATION GAS COOLER MOTOR B (TRAIN 2)</t>
  </si>
  <si>
    <t>E-KEM-2521C</t>
  </si>
  <si>
    <t>TSA REGENERATION GAS COOLER MOTOR C (TRAIN 2)</t>
  </si>
  <si>
    <t>E-KEM-2521D</t>
  </si>
  <si>
    <t>TSA REGENERATION GAS COOLER MOTOR D (TRAIN 2)</t>
  </si>
  <si>
    <t>E-KEM-2521E</t>
  </si>
  <si>
    <t>TSA REGENERATION GAS COOLER MOTOR E (TRAIN 2)</t>
  </si>
  <si>
    <t>E-KEM-2521F</t>
  </si>
  <si>
    <t>TSA REGENERATION GAS COOLER MOTOR F (TRAIN 2)</t>
  </si>
  <si>
    <t>E-ESB-8012-C03-B</t>
  </si>
  <si>
    <t>FEEDER FOR GATE HOUSE LIGHTING E-EDB-8522 C1 8.5KW 15.9A</t>
  </si>
  <si>
    <t>R-L-8021-13F-A</t>
  </si>
  <si>
    <t>FEEDER FOR OUTLET SOCKET HEATER CONDENSATE R-L-8021 160A</t>
  </si>
  <si>
    <t>E-KEM-3001A</t>
  </si>
  <si>
    <t>MEG DISTILLATION COLUMN CONDENSER FAN A MOTOR</t>
  </si>
  <si>
    <t>E-KEM-3001B</t>
  </si>
  <si>
    <t>MEG DISTILLATION COLUMN CONDENSER FAN B MOTOR</t>
  </si>
  <si>
    <t>E-KEM-3001C</t>
  </si>
  <si>
    <t>MEG DISTILLATION COLUMN CONDENSER FAN C MOTOR</t>
  </si>
  <si>
    <t>E-KEM-3001D</t>
  </si>
  <si>
    <t>MEG DISTILLATION COLUMN CONDENSER FAN D MOTOR</t>
  </si>
  <si>
    <t>E-KEM-3001E</t>
  </si>
  <si>
    <t>MEG DISTILLATION COLUMN CONDENSER FAN E MOTOR</t>
  </si>
  <si>
    <t>E-KEM-3001F</t>
  </si>
  <si>
    <t>MEG DISTILLATION COLUMN CONDENSER FAN F MOTOR</t>
  </si>
  <si>
    <t>E-KEM-3001G</t>
  </si>
  <si>
    <t>MEG DISTILLATION COLUMN CONDENSER FAN G MOTOR</t>
  </si>
  <si>
    <t>E-KEM-3001H</t>
  </si>
  <si>
    <t>MEG DISTILLATION COLUMN CONDENSER FAN H MOTOR</t>
  </si>
  <si>
    <t>E-PM-5702A</t>
  </si>
  <si>
    <t>GAS TREATMENT CLOSED DRAINS DRUM PUMP MOTOR A</t>
  </si>
  <si>
    <t>E-PM-5702B</t>
  </si>
  <si>
    <t>GAS TREATMENT CLOSED DRAINS DRUM PUMP MOTOR B</t>
  </si>
  <si>
    <t>E-KEM-6001</t>
  </si>
  <si>
    <t>PURGING FAN MOTOR IN HOT OIL HEATER E-HF-6001</t>
  </si>
  <si>
    <t>E-EEB-061</t>
  </si>
  <si>
    <t>EARTH BUSBAR IN HP SEPARATION EARTHING LAYOUT</t>
  </si>
  <si>
    <t>E-EEB-062</t>
  </si>
  <si>
    <t>E-EEB-063</t>
  </si>
  <si>
    <t>E-EEB-064</t>
  </si>
  <si>
    <t>E-ESB-8011-A10-C</t>
  </si>
  <si>
    <t>FEEDER FOR RECOVERED MEG RETURN PUMP MOTOR E-PM-3007A A1</t>
  </si>
  <si>
    <t>R-L-8021-12F-A</t>
  </si>
  <si>
    <t>SPARE CUBICLE ON SWITCHBOARD R-L-8021 5KW 10A</t>
  </si>
  <si>
    <t>R-L-8021-14F-A</t>
  </si>
  <si>
    <t>FEEDER FOR GAS TURBINE DRIVEN PACKAGE R-K-2721 75KW 150A</t>
  </si>
  <si>
    <t>R-L-8021-22F-C</t>
  </si>
  <si>
    <t>SPARE CUBICLE ON SWITCHBOARD R-L-8021 7KW 14A</t>
  </si>
  <si>
    <t>R-L-8021-28R-F</t>
  </si>
  <si>
    <t>FEEDER FOR AFTERCOOLER DRY AIR MOTOR R-AM-6322A 4KW 8.5A</t>
  </si>
  <si>
    <t>R-L-8021-29F-D</t>
  </si>
  <si>
    <t>FEEDER FOR AUXILIARY LUBE OIL PUMP R-PM-8021A 1.5KW 3.5A</t>
  </si>
  <si>
    <t>R-L-8021-29R-G</t>
  </si>
  <si>
    <t>FEEDER FOR AUXILIARY LUBE OIL PUMP R-PM-8022A 1.5KW 3.5A</t>
  </si>
  <si>
    <t>E-ETP-4601</t>
  </si>
  <si>
    <t>HEATER CONTROL PANEL FOR 143KW PROCESS HEATER</t>
  </si>
  <si>
    <t>E-ESB-8011-A23-C</t>
  </si>
  <si>
    <t>FEEDER FOR CATHODIC PROTECTION RECTIFIER E-ERC-9205E B2</t>
  </si>
  <si>
    <t>E-ESB-8012-A02-F</t>
  </si>
  <si>
    <t>FEEDER FOR MEG LUBE OIL HEATER E-H-3005 H1 2.5KW 10.87A</t>
  </si>
  <si>
    <t>R-L-8021-24F-E</t>
  </si>
  <si>
    <t>FEEDER FOR OUTLET SOCKET HEATER CONDENSER R-L-8021 100A</t>
  </si>
  <si>
    <t>E-PM-4704A</t>
  </si>
  <si>
    <t>RAVEN OFFSHORE METHANOL INJECTION PUMP MOTOR</t>
  </si>
  <si>
    <t>E-PM-4704B</t>
  </si>
  <si>
    <t>R-L-8021</t>
  </si>
  <si>
    <t>400V MAIN SWITCHBOARD IN EXISTING SUBSTATION</t>
  </si>
  <si>
    <t>E-ESB-8702</t>
  </si>
  <si>
    <t>690V SWITCHBOARD SUBSTATION 1 E-G-9111 LOADS</t>
  </si>
  <si>
    <t>E-ESB-8703</t>
  </si>
  <si>
    <t>690V SWITCHBOARD SUBSTATION 1 E-G-9121 LOADS</t>
  </si>
  <si>
    <t>E-ESB-8704</t>
  </si>
  <si>
    <t>690V SWITCHBOARD SUBSTATION 1 E-G-9131 LOADS</t>
  </si>
  <si>
    <t>E-ESB-8705</t>
  </si>
  <si>
    <t>690V SWITCHBOARD SUBSTATION 1 E-G-9141 LOADS</t>
  </si>
  <si>
    <t>E-EDB-8801A</t>
  </si>
  <si>
    <t>DC DISTRIBUTION BOARD (DCDB) FOR 110V DC UPS</t>
  </si>
  <si>
    <t>E-EDB-8801B</t>
  </si>
  <si>
    <t>E-EDB-8805A</t>
  </si>
  <si>
    <t>E-EDB-8805B</t>
  </si>
  <si>
    <t>E-EDB-8802A-07</t>
  </si>
  <si>
    <t>CCT-007 E-ECP-9304 PMS PANEL IN CCB FEEDER-1</t>
  </si>
  <si>
    <t>E-EDB-8802A-11</t>
  </si>
  <si>
    <t>CCT-011 TBA PMS OWS IN SUBSTATION 1 FEEDER-1</t>
  </si>
  <si>
    <t>E-EDB-8802B-07</t>
  </si>
  <si>
    <t>CCT-007 E-ECP-9304 PMS PANEL IN CCB FEEDER-2</t>
  </si>
  <si>
    <t>E-EDB-8802B-11</t>
  </si>
  <si>
    <t>CCT-011 TBA PMS OWS IN SUBSTATION 1 FEEDER-2</t>
  </si>
  <si>
    <t>E-EDB-8803A-18</t>
  </si>
  <si>
    <t>CCT-018 TBA PMS OWS IN SUBSTATION 2 FEEDER-1</t>
  </si>
  <si>
    <t>E-EDB-8803B-18</t>
  </si>
  <si>
    <t>CCT-018 TBA PMS OWS IN SUBSTATION 2 FEEDER-2</t>
  </si>
  <si>
    <t>E-EDB-8801A-01</t>
  </si>
  <si>
    <t>CCT-001 E-ESB-8001 6.6KV SWITCHGEAR FEEDER-1</t>
  </si>
  <si>
    <t>E-EDB-8801B-01</t>
  </si>
  <si>
    <t>CCT-001 E-ESB-8001 6.6KV SWITCHGEAR FEEDER-2</t>
  </si>
  <si>
    <t>E-EDB-8809-16</t>
  </si>
  <si>
    <t>CCT-016 E52LAH102-L01 LEVEL-ALARM HIGH LOCAL</t>
  </si>
  <si>
    <t>E-EDB-8811-15</t>
  </si>
  <si>
    <t>CCT-015 E-TCCA-76210-L01 PROCESS CCTV CAMERA</t>
  </si>
  <si>
    <t>E-EDB-8811-16</t>
  </si>
  <si>
    <t>CCT-016 E-TCCA-76213-L01 PROCESS CCTV CAMERA</t>
  </si>
  <si>
    <t>E-ESB-8002-A16-G</t>
  </si>
  <si>
    <t>FEEDER FOR SPARE CUBICLE ON LV SWITCHGEAR E-ESB-8002 A1</t>
  </si>
  <si>
    <t>E-ESB-8002-A16-H</t>
  </si>
  <si>
    <t>E-ESB-8002-A20-F</t>
  </si>
  <si>
    <t>FEEDER FOR VALVE E22MOV002 MOTOR OPERATED A1 15KW/17.4A</t>
  </si>
  <si>
    <t>E-ESB-8002-A20-G</t>
  </si>
  <si>
    <t>FEEDER FOR VALVE E22MOV035 MOTOR OPERATED A1 15KW/17.4A</t>
  </si>
  <si>
    <t>E-ESB-8002-A20-H</t>
  </si>
  <si>
    <t>FEEDER FOR VALVE E22MOV003 MOTOR OPERATED A1 15KW/17.4A</t>
  </si>
  <si>
    <t>E-ESB-8002-B19-B</t>
  </si>
  <si>
    <t>FEEDER FOR VALVE MOTOR OPERATED R20MOV022 A1 15KW/17.4A</t>
  </si>
  <si>
    <t>E-ESB-8002-B19-C</t>
  </si>
  <si>
    <t>FEEDER FOR VALVE MOTOR OPERATED R20MOV023 A1 15KW/17.4A</t>
  </si>
  <si>
    <t>E-ESB-8011-A14-B</t>
  </si>
  <si>
    <t>FEEDER FOR RICH MEG CENTRIFUGE E-X-3006A E-VFD-3006A V1</t>
  </si>
  <si>
    <t>E-ESB-8011-B16-G</t>
  </si>
  <si>
    <t>FEEDER FOR FRESH MEG OFFLOADING PUMP MOTOR E-PM-2905 A1</t>
  </si>
  <si>
    <t>E-ESB-8011-C12-B</t>
  </si>
  <si>
    <t>FEEDER FOR HOT OIL TRIM COOLER FAN MOTOR E-VFD-6001B V1</t>
  </si>
  <si>
    <t>E-ESB-8703-A06-F</t>
  </si>
  <si>
    <t>FEEDER FOR ENCLOSURE VENT FAN B E-EDB-9123B A1 37KW 39A</t>
  </si>
  <si>
    <t>E-ESB-8704-A06-F</t>
  </si>
  <si>
    <t>FEEDER FOR ENCLOSURE VENT FAN B E-EDB-9133B A1 37KW 39A</t>
  </si>
  <si>
    <t>E-ESB-8705-A06-F</t>
  </si>
  <si>
    <t>FEEDER FOR ENCLOSURE VENT FAN B E-EDB-9143B A1 37KW 39A</t>
  </si>
  <si>
    <t>R-ESB-8003-A03-E</t>
  </si>
  <si>
    <t>FEEDER FOR RICH MEG FLASH DRUM PUMP MOTOR R-PM-2802A A1</t>
  </si>
  <si>
    <t>R-ESB-8003-B07-E</t>
  </si>
  <si>
    <t>FEEDER FOR RICH MEG FLASH DRUM PUMP MOTOR R-PM-2802B A1</t>
  </si>
  <si>
    <t>R-L-8021-23F-E</t>
  </si>
  <si>
    <t>FEEDER FOR JOCKEY FIRE WATER PUMP A R-PM-8122A 37KW 74A</t>
  </si>
  <si>
    <t>R-L-8021-23F-F</t>
  </si>
  <si>
    <t>FEEDER FOR JOCKEY FIRE WATER PUMP B R-PM-8122B 37KW 74A</t>
  </si>
  <si>
    <t>E-ESB-8702-A06-F</t>
  </si>
  <si>
    <t>ENCLOSURE VENT FAN B E-EDB-9113B A1 37KW 39A</t>
  </si>
  <si>
    <t>E-ESB-8706-B04-F</t>
  </si>
  <si>
    <t>SUBSTATION 1 LIGHTING E-EDB-8516 C1 15KW 28A</t>
  </si>
  <si>
    <t>E-ESB-8011-B03-D</t>
  </si>
  <si>
    <t>FEEDER FOR LEAN MEG COOLER FAN MOTOR B E-VFD-3003AB V1</t>
  </si>
  <si>
    <t>E-ESB-8011-B03-E</t>
  </si>
  <si>
    <t>FEEDER FOR LEAN MEG COOLER FAN MOTOR A E-VFD-3003BA A1</t>
  </si>
  <si>
    <t>E-ESB-8701-A05-A</t>
  </si>
  <si>
    <t>690V/420V TRANSFORMER FEEDER E-ETR-8706A C2</t>
  </si>
  <si>
    <t>E-ESB-8002-A15-B</t>
  </si>
  <si>
    <t>FEEDER FOR CATHODIC PROTECTION RECTIFIER B2 - 6KW/6.2A</t>
  </si>
  <si>
    <t>E-ESB-8002-A15-C</t>
  </si>
  <si>
    <t>E-ESB-8002-A15-D</t>
  </si>
  <si>
    <t>E-ESB-8011-A13-B</t>
  </si>
  <si>
    <t>FEEDER FOR HVAC GATEHOUSE NON ESSENTIAL E-ESB-9407A B1</t>
  </si>
  <si>
    <t>E-ESB-8011-A16-C</t>
  </si>
  <si>
    <t>FEEDER FOR CATHODIC PROTECTION RECTIFIER E-ERC-9201 B2</t>
  </si>
  <si>
    <t>E-ESB-8011-B02-D</t>
  </si>
  <si>
    <t>FEEDER FOR CATHODIC PROTECTION RECTIFIER E-ERC-9211 B2</t>
  </si>
  <si>
    <t>E-ESB-8011-B17-F</t>
  </si>
  <si>
    <t>FEEDER FOR CATHODIC PROTECTION RECTIFIER E-ERC-9209 B2</t>
  </si>
  <si>
    <t>E-ESB-8011-B17-G</t>
  </si>
  <si>
    <t>FEEDER FOR HVAC GATEHOUSE NON ESSENTIAL E-ESB-9407B B1</t>
  </si>
  <si>
    <t>R-ESB-8003-B06-C</t>
  </si>
  <si>
    <t>FEEDER FOR NEW LER SMALL POWER ESSENTIAL R-EDB-9502 B1</t>
  </si>
  <si>
    <t>R-L-8021-26F-A</t>
  </si>
  <si>
    <t>FEEDER FOR DG-1 BATTERY CHARGER 2 R-BCH-8401A 3KW 6.6A</t>
  </si>
  <si>
    <t>E-PM-5110A</t>
  </si>
  <si>
    <t>RAVEN ONSHORE DEMULSIFIER DOSING PUMP MOTOR</t>
  </si>
  <si>
    <t>E-PM-5110B</t>
  </si>
  <si>
    <t>E-EDB-8804A</t>
  </si>
  <si>
    <t>AC DISTRIBUTION BOARD (ACDB) FOR 200KVA UPS</t>
  </si>
  <si>
    <t>E-EDB-8804B</t>
  </si>
  <si>
    <t>E-EDB-8802B-08</t>
  </si>
  <si>
    <t>CCT-008 TBA PEDESTRIAN TURNSTILE CCTV CAMERA</t>
  </si>
  <si>
    <t>E-EDB-8804B-11</t>
  </si>
  <si>
    <t>CCT-011 LATER LER-1 ANALYSER HOUSE FEEDER-2</t>
  </si>
  <si>
    <t>E-EDB-8804B-49</t>
  </si>
  <si>
    <t>CCT-049 LATER FIRED HEATERS TOWERS FEEDER-2</t>
  </si>
  <si>
    <t>E-EDB-8812-09</t>
  </si>
  <si>
    <t>CCT-009 EILP6602 IGNITION BOX CONTROL PANEL</t>
  </si>
  <si>
    <t>E-ESB-8011-A01-B</t>
  </si>
  <si>
    <t>FEEDER FOR LEAN MEG COOLER FAN MOTOR C E-VFD-3003BC V1</t>
  </si>
  <si>
    <t>E-ESB-8011-A13-E</t>
  </si>
  <si>
    <t>FEEDER FOR LEAN MEG COOLER FAN MOTOR A E-KEM-3003AA A1</t>
  </si>
  <si>
    <t>E-ESB-8011-A13-F</t>
  </si>
  <si>
    <t>FEEDER FOR LEAN MEG COOLER FAN MOTOR B E-KEM-3003BB A1</t>
  </si>
  <si>
    <t>E-ESB-8011-B12-E</t>
  </si>
  <si>
    <t>FEEDER FOR LEAN MEG COOLER FAN MOTOR C E-VFD-3003AC V1</t>
  </si>
  <si>
    <t>R-L-8021-11F-I</t>
  </si>
  <si>
    <t>FEEDER FOR OPEN DRAIN WIPER MOTOR R-WM-5621B 0.75KW 2A</t>
  </si>
  <si>
    <t>R-L-8021-11R-G</t>
  </si>
  <si>
    <t>FEEDER FOR CONDENSATE EXPORT PUMP R-PM-2121A 56KW 105A</t>
  </si>
  <si>
    <t>R-L-8021-29F-A</t>
  </si>
  <si>
    <t>FEEDER FOR TURBINE LUBE OIL COOLER R-AM-8021A 3.7KW 8A</t>
  </si>
  <si>
    <t>R-L-8021-29F-B</t>
  </si>
  <si>
    <t>FEEDER FOR TURBINE LUBE OIL COOLER R-AM-8021B 3.7KW 8A</t>
  </si>
  <si>
    <t>R-L-8021-29F-H</t>
  </si>
  <si>
    <t>FEEDER FOR CONDENSATE EXPORT PUMP R-PM-2121B 56KW 110A</t>
  </si>
  <si>
    <t>R-L-8021-29R-B</t>
  </si>
  <si>
    <t>FEEDER FOR TURBINE LUBE OIL COOLER R-AM-8022A 3.7KW 8A</t>
  </si>
  <si>
    <t>R-L-8021-29R-C</t>
  </si>
  <si>
    <t>FEEDER FOR TURBINE LUBE OIL COOLER R-AM-8022B 3.7KW 8A</t>
  </si>
  <si>
    <t>E-ESB-8011-A20-A</t>
  </si>
  <si>
    <t>690V/420V TRANSFORMER FEEDER E-ETR-8012A C3</t>
  </si>
  <si>
    <t>E-ESB-8011-C14-A</t>
  </si>
  <si>
    <t>690V/420V TRANSFORMER FEEDER E-ETR-8012B C3</t>
  </si>
  <si>
    <t>E-ESB-8706-AB-B</t>
  </si>
  <si>
    <t>800A BUS COUPLER FOR SWITCHBOARD E-ESB-8706</t>
  </si>
  <si>
    <t>E-ESB-8011-A23-G</t>
  </si>
  <si>
    <t>FEEDER FOR SEAL SYSTEM CIRCULATION PUMP E-PM-3018A A1</t>
  </si>
  <si>
    <t>E-ESB-8011-A23-H</t>
  </si>
  <si>
    <t>FEEDER FOR SEAL SYSTEM CIRCULATION PUMP E-PM-3018B A1</t>
  </si>
  <si>
    <t>E-ESB-8011-A16-B</t>
  </si>
  <si>
    <t>FEEDER FOR SPARE CUBICLE ON SWITCHBOARD E-ESB-8011 V1</t>
  </si>
  <si>
    <t>E-ESB-8011-A16-D</t>
  </si>
  <si>
    <t>FEEDER FOR SPARE CUBICLE ON SWITCHBOARD E-ESB-8011 H1</t>
  </si>
  <si>
    <t>E-ESB-8011-A15-F</t>
  </si>
  <si>
    <t>FEEDER FOR SPARE CUBICLE ON SWITCHBOARD E-ESB-8011 A1</t>
  </si>
  <si>
    <t>E-ESB-8011-A15-G</t>
  </si>
  <si>
    <t>FEEDER FOR SPARE CUBICLE ON SWITCHBOARD E-ESB-8011 H2</t>
  </si>
  <si>
    <t>E-ESB-8011-A18-B</t>
  </si>
  <si>
    <t>E-ESB-8011-A18-C</t>
  </si>
  <si>
    <t>E-ESB-8011-A18-D</t>
  </si>
  <si>
    <t>E-ESB-8011-A18-E</t>
  </si>
  <si>
    <t>E-ESB-8011-A18-F</t>
  </si>
  <si>
    <t>FEEDER FOR SPARE CUBICLE ON SWITCHBOARD E-ESB-8011 B1</t>
  </si>
  <si>
    <t>E-ESB-8011-A18-G</t>
  </si>
  <si>
    <t>FEEDER FOR SPARE CUBICLE ON SWITCHBOARD E-ESB-8011 B2</t>
  </si>
  <si>
    <t>E-ESB-8011-A22-B</t>
  </si>
  <si>
    <t>FEEDER FOR SPARE CUBICLE ON SWITCHBOARD E-ESB-8011 A2</t>
  </si>
  <si>
    <t>E-ESB-8011-A17-B</t>
  </si>
  <si>
    <t>FEEDER FOR SPARE CUBICLE ON SWITCHBOARD E-ESB-8011 C1</t>
  </si>
  <si>
    <t>E-ESB-8011-A17-C</t>
  </si>
  <si>
    <t>E-ESB-8011-A17-D</t>
  </si>
  <si>
    <t>E-ESB-8011-B05-I</t>
  </si>
  <si>
    <t>E-ESB-8011-B04-D</t>
  </si>
  <si>
    <t>E-ESB-8011-B04-C</t>
  </si>
  <si>
    <t>E-PM-2807</t>
  </si>
  <si>
    <t>MEG REGENERATION-MEG DRAIN DRUM PUMP MOTOR</t>
  </si>
  <si>
    <t>E-ESB-8012-A03-D</t>
  </si>
  <si>
    <t>FEEDER FOR WELDING OUTLETS E-ESSW-8023 C1 65KW 110.4A</t>
  </si>
  <si>
    <t>E-ESB-8012-A04-E</t>
  </si>
  <si>
    <t>FEEDER FOR WELDING OUTLETS E-ESSW-8018 C1 65KW 110.4A</t>
  </si>
  <si>
    <t>E-ESB-8012-A05-E</t>
  </si>
  <si>
    <t>FEEDER FOR WELDING OUTLETS E-ESSW-8020 C1 65KW 110.4A</t>
  </si>
  <si>
    <t>E-ESB-8012-B04-E</t>
  </si>
  <si>
    <t>FEEDER FOR WELDING OUTLETS E-ESSW-8026 C1 65KW 110.4A</t>
  </si>
  <si>
    <t>E-ESB-8701-B19-B</t>
  </si>
  <si>
    <t>FEEDER FOR SPARE CUBICLE ON SWITCHBOARD E-ESB-8701 V4</t>
  </si>
  <si>
    <t>E-KEM-3004</t>
  </si>
  <si>
    <t>FAN MOTOR MEG LIQUID RING COOLER FAN MOTOR</t>
  </si>
  <si>
    <t>E-PM-3005A</t>
  </si>
  <si>
    <t>MEG FLASH SEPARATOR CIRCULATION PUMP MOTOR</t>
  </si>
  <si>
    <t>E-PM-3005B</t>
  </si>
  <si>
    <t>E-PM-4703A</t>
  </si>
  <si>
    <t>G F OFFSHORE METHANOL INJECTION PUMP MOTOR</t>
  </si>
  <si>
    <t>E-PM-4703B</t>
  </si>
  <si>
    <t>E-EDB-8803A</t>
  </si>
  <si>
    <t>AC DISTRIBUTION BOARD (ACDB) FOR 60KVA UPS</t>
  </si>
  <si>
    <t>E-EDB-8803B</t>
  </si>
  <si>
    <t>E-EDB-9121-02</t>
  </si>
  <si>
    <t>CCT-002 E-ECP-9122 GENERATOR CONTROL PANEL</t>
  </si>
  <si>
    <t>E-EDB-9131-02</t>
  </si>
  <si>
    <t>CCT-002 E-ECP-9132 GENERATOR CONTROL PANEL</t>
  </si>
  <si>
    <t>E-EDB-9141-02</t>
  </si>
  <si>
    <t>CCT-002 E-ECP-9142 GENERATOR CONTROL PANEL</t>
  </si>
  <si>
    <t>E-EDB-8804B-57</t>
  </si>
  <si>
    <t>CCT-057 LATER AIR DRIER PACKAGE-1 FEEDER-1</t>
  </si>
  <si>
    <t>E-ESB-8002-A06-G</t>
  </si>
  <si>
    <t>FEEDER FOR EXPORT PUMP MOTOR E-PM-6705B A1 132KW/133A</t>
  </si>
  <si>
    <t>E-ESB-8002-B13-F</t>
  </si>
  <si>
    <t>FEEDER FOR EXPORT PUMP MOTOR E-PM-6705A A1 132KW/133A</t>
  </si>
  <si>
    <t>E-ESB-8011-A01-C</t>
  </si>
  <si>
    <t>E-ESB-8011-A03-G</t>
  </si>
  <si>
    <t>E-ESB-8011-A04-C</t>
  </si>
  <si>
    <t>FEEDER FOR CHEMICAL CLEANING PUMP MOTOR E-PM-5217A A1</t>
  </si>
  <si>
    <t>E-ESB-8011-A04-D</t>
  </si>
  <si>
    <t>FEEDER FOR HYDROCHLORIC ACID PUMP MOTOR E-PM-5226A A1</t>
  </si>
  <si>
    <t>E-ESB-8011-A06-B</t>
  </si>
  <si>
    <t>E-ESB-8011-A06-C</t>
  </si>
  <si>
    <t>E-ESB-8011-A06-D</t>
  </si>
  <si>
    <t>E-ESB-8011-A06-F</t>
  </si>
  <si>
    <t>E-ESB-8011-A06-G</t>
  </si>
  <si>
    <t>E-ESB-8011-A07-B</t>
  </si>
  <si>
    <t>E-ESB-8011-A07-C</t>
  </si>
  <si>
    <t>E-ESB-8011-A07-D</t>
  </si>
  <si>
    <t>E-ESB-8011-A07-E</t>
  </si>
  <si>
    <t>E-ESB-8011-A07-F</t>
  </si>
  <si>
    <t>E-ESB-8011-A07-G</t>
  </si>
  <si>
    <t>E-ESB-8011-A07-H</t>
  </si>
  <si>
    <t>E-ESB-8011-A07-I</t>
  </si>
  <si>
    <t>E-ESB-8011-A08-B</t>
  </si>
  <si>
    <t>E-ESB-8011-A15-B</t>
  </si>
  <si>
    <t>E-ESB-8011-A15-C</t>
  </si>
  <si>
    <t>E-ESB-8011-A15-E</t>
  </si>
  <si>
    <t>E-ESB-8011-B08-E</t>
  </si>
  <si>
    <t>FEEDER FOR CHEMICAL CLEANING PUMP MOTOR E-PM-5217B A1</t>
  </si>
  <si>
    <t>E-ESB-8011-B08-F</t>
  </si>
  <si>
    <t>FEEDER FOR HYDROCHLORIC ACID PUMP MOTOR E-PM-5226B A1</t>
  </si>
  <si>
    <t>E-ESB-8011-B11-D</t>
  </si>
  <si>
    <t>E-ESB-8011-B11-E</t>
  </si>
  <si>
    <t>E-ESB-8011-B12-F</t>
  </si>
  <si>
    <t>E-ESB-8011-B13-H</t>
  </si>
  <si>
    <t>E-ESB-8011-B13-I</t>
  </si>
  <si>
    <t>E-ESB-8011-B14-B</t>
  </si>
  <si>
    <t>E-ESB-8011-B14-C</t>
  </si>
  <si>
    <t>E-ESB-8011-B14-D</t>
  </si>
  <si>
    <t>E-ESB-8011-B14-E</t>
  </si>
  <si>
    <t>E-ESB-8011-B14-F</t>
  </si>
  <si>
    <t>E-ESB-8011-B14-G</t>
  </si>
  <si>
    <t>E-ESB-8011-B14-H</t>
  </si>
  <si>
    <t>E-ESB-8011-B14-I</t>
  </si>
  <si>
    <t>E-ESB-8011-B15-B</t>
  </si>
  <si>
    <t>E-ESB-8011-B15-C</t>
  </si>
  <si>
    <t>E-ESB-8011-B15-D</t>
  </si>
  <si>
    <t>E-ESB-8011-B15-E</t>
  </si>
  <si>
    <t>E-ESB-8011-B15-F</t>
  </si>
  <si>
    <t>E-ESB-8011-B15-G</t>
  </si>
  <si>
    <t>E-ESB-8011-B16-B</t>
  </si>
  <si>
    <t>E-ESB-8011-B16-C</t>
  </si>
  <si>
    <t>E-ESB-8011-B16-D</t>
  </si>
  <si>
    <t>E-ESB-8011-B16-E</t>
  </si>
  <si>
    <t>E-ESB-8011-B16-F</t>
  </si>
  <si>
    <t>E-ESB-8011-B17-B</t>
  </si>
  <si>
    <t>E-ESB-8011-B17-C</t>
  </si>
  <si>
    <t>E-ESB-8011-B17-E</t>
  </si>
  <si>
    <t>E-ESB-8011-C07-D</t>
  </si>
  <si>
    <t>E-ESB-8011-C07-E</t>
  </si>
  <si>
    <t>E-ESB-8011-C07-F</t>
  </si>
  <si>
    <t>E-ESB-8011-C07-G</t>
  </si>
  <si>
    <t>E-ESB-8011-C08-B</t>
  </si>
  <si>
    <t>E-ESB-8011-C08-C</t>
  </si>
  <si>
    <t>E-ESB-8011-C08-D</t>
  </si>
  <si>
    <t>E-ESB-8011-C08-F</t>
  </si>
  <si>
    <t>E-ESB-8011-C08-G</t>
  </si>
  <si>
    <t>E-ESB-8011-C08-H</t>
  </si>
  <si>
    <t>E-ESB-8011-C09-B</t>
  </si>
  <si>
    <t>E-ESB-8011-C09-C</t>
  </si>
  <si>
    <t>E-ESB-8011-C09-D</t>
  </si>
  <si>
    <t>E-ESB-8011-C09-E</t>
  </si>
  <si>
    <t>E-ESB-8011-C09-F</t>
  </si>
  <si>
    <t>E-ESB-8011-C10-B</t>
  </si>
  <si>
    <t>E-ESB-8011-C10-C</t>
  </si>
  <si>
    <t>E-ESB-8011-C12-C</t>
  </si>
  <si>
    <t>E-ESB-8011-C12-D</t>
  </si>
  <si>
    <t>E-ESB-8011-C12-E</t>
  </si>
  <si>
    <t>E-ESB-8011-C12-H</t>
  </si>
  <si>
    <t>E-ESB-8011-C12-I</t>
  </si>
  <si>
    <t>E-ESB-8011-C15-A</t>
  </si>
  <si>
    <t>FEEDER FOR SPARE CUBICLE ON SWITCHBOARD E-ESB-8011 C3</t>
  </si>
  <si>
    <t>E-ESB-8701-A06-A</t>
  </si>
  <si>
    <t>FEEDER FOR SPARE CUBICLE ON SWITCHBOARD E-ESB-8701 C4</t>
  </si>
  <si>
    <t>E-ESB-8701-A13-B</t>
  </si>
  <si>
    <t>FEEDER FOR SPARE CUBICLE ON SWITCHBOARD E-ESB-8701 C1</t>
  </si>
  <si>
    <t>E-ESB-8701-A14-E</t>
  </si>
  <si>
    <t>FEEDER FOR SPARE CUBICLE ON SWITCHBOARD E-ESB-8701 A1</t>
  </si>
  <si>
    <t>E-ESB-8701-A14-F</t>
  </si>
  <si>
    <t>E-ESB-8701-A15-B</t>
  </si>
  <si>
    <t>E-ESB-8701-A15-C</t>
  </si>
  <si>
    <t>E-ESB-8701-A15-E</t>
  </si>
  <si>
    <t>FEEDER FOR HP HYDRAULIC PUMP MOTOR RAVEN E-PM-0504 A1</t>
  </si>
  <si>
    <t>E-ESB-8701-A15-G</t>
  </si>
  <si>
    <t>E-ESB-8701-A15-H</t>
  </si>
  <si>
    <t>E-ESB-8701-A16-F</t>
  </si>
  <si>
    <t>E-ESB-8701-A17-E</t>
  </si>
  <si>
    <t>FEEDER FOR LP HYDRAULIC PUMP MOTOR RAVEN E-PM-0502 A1</t>
  </si>
  <si>
    <t>E-ESB-8701-A18-D</t>
  </si>
  <si>
    <t>E-ESB-8701-A19-B</t>
  </si>
  <si>
    <t>E-ESB-8701-A19-C</t>
  </si>
  <si>
    <t>FEEDER FOR SPARE CUBICLE ON SWITCHBOARD E-ESB-8701 H2</t>
  </si>
  <si>
    <t>E-ESB-8701-A20-B</t>
  </si>
  <si>
    <t>FEEDER FOR SPARE CUBICLE ON SWITCHBOARD E-ESB-8701 B1</t>
  </si>
  <si>
    <t>E-ESB-8701-A20-C</t>
  </si>
  <si>
    <t>FEEDER FOR SPARE CUBICLE ON SWITCHBOARD E-ESB-8701 H1</t>
  </si>
  <si>
    <t>E-ESB-8701-A20-D</t>
  </si>
  <si>
    <t>E-ESB-8701-A20-E</t>
  </si>
  <si>
    <t>E-ESB-8701-A20-F</t>
  </si>
  <si>
    <t>E-ESB-8701-A20-G</t>
  </si>
  <si>
    <t>E-ESB-8701-B03-B</t>
  </si>
  <si>
    <t>E-ESB-8701-B03-C</t>
  </si>
  <si>
    <t>E-ESB-8701-B03-D</t>
  </si>
  <si>
    <t>E-ESB-8701-B03-E</t>
  </si>
  <si>
    <t>E-ESB-8701-B03-F</t>
  </si>
  <si>
    <t>E-ESB-8701-B08-F</t>
  </si>
  <si>
    <t>E-ESB-8701-B09-D</t>
  </si>
  <si>
    <t>E-ESB-8701-B10-E</t>
  </si>
  <si>
    <t>E-ESB-8701-B10-F</t>
  </si>
  <si>
    <t>E-ESB-8701-B11-B</t>
  </si>
  <si>
    <t>E-ESB-8701-B11-D</t>
  </si>
  <si>
    <t>E-ESB-8701-B11-E</t>
  </si>
  <si>
    <t>E-ESB-8701-B12-B</t>
  </si>
  <si>
    <t>E-ESB-8701-B12-C</t>
  </si>
  <si>
    <t>E-ESB-8701-B12-D</t>
  </si>
  <si>
    <t>E-ESB-8701-B12-E</t>
  </si>
  <si>
    <t>E-ESB-8701-B12-F</t>
  </si>
  <si>
    <t>E-ESB-8701-B13-C</t>
  </si>
  <si>
    <t>E-ESB-8701-B13-E</t>
  </si>
  <si>
    <t>E-ESB-8701-B13-F</t>
  </si>
  <si>
    <t>E-ESB-8701-B13-G</t>
  </si>
  <si>
    <t>E-ESB-8701-B17-A</t>
  </si>
  <si>
    <t>E-ESB-8701-B19-A</t>
  </si>
  <si>
    <t>R-ESB-8003-A06-B</t>
  </si>
  <si>
    <t>FEEDER FOR SPARE CUBICLE ON SWITCHBOARD E-ESB-8003 B1</t>
  </si>
  <si>
    <t>R-ESB-8003-A06-C</t>
  </si>
  <si>
    <t>FEEDER FOR SPARE CUBICLE ON SWITCHBOARD E-ESB-8003 C1</t>
  </si>
  <si>
    <t>R-ESB-8003-A06-D</t>
  </si>
  <si>
    <t>FEEDER FOR SPARE CUBICLE ON SWITCHBOARD E-ESB-8003 A1</t>
  </si>
  <si>
    <t>R-ESB-8003-A06-E</t>
  </si>
  <si>
    <t>R-ESB-8003-B08-B</t>
  </si>
  <si>
    <t>FEEDER FOR SPARE CUBICLE ON SWITCHBOARD R-ESB-8003 B1</t>
  </si>
  <si>
    <t>R-ESB-8003-B08-C</t>
  </si>
  <si>
    <t>FEEDER FOR SPARE CUBICLE ON SWITCHBOARD R-ESB-8003 A1</t>
  </si>
  <si>
    <t>R-ESB-8003-B08-D</t>
  </si>
  <si>
    <t>R-ESB-8003-B08-E</t>
  </si>
  <si>
    <t>R-ESB-8003-B08-F</t>
  </si>
  <si>
    <t>FEEDER FOR SPARE CUBICLE ON SWITCHBOARD R-ESB-8003 H2</t>
  </si>
  <si>
    <t>E-ESB-8012-AB-C</t>
  </si>
  <si>
    <t>BUS COUPLER BUS A FA7-MICOM-143 E-ESB-8012</t>
  </si>
  <si>
    <t>R-ESB-8001-A03</t>
  </si>
  <si>
    <t>3.3KV/420V TRANSFORMER R-ETR-8002A 2500KVA</t>
  </si>
  <si>
    <t>R-ESB-8001-B02</t>
  </si>
  <si>
    <t>3.3KV/420V TRANSFORMER R-ETR-8002B 2500KVA</t>
  </si>
  <si>
    <t>R-ESB-8002-A04-B</t>
  </si>
  <si>
    <t>TRANSFORMER FEEDER NW10H1-3P ON R-ESB-8002</t>
  </si>
  <si>
    <t>R-ESB-8002-A05-A</t>
  </si>
  <si>
    <t>690V TRANSFORMER INCOMER 2092A R-ETR-8002A</t>
  </si>
  <si>
    <t>R-ESB-8002-B02-A</t>
  </si>
  <si>
    <t>690V TRANSFORMER INCOMER 2092A R-ETR-8002B</t>
  </si>
  <si>
    <t>E-ESB-8011-B06-D</t>
  </si>
  <si>
    <t>FEEDER FOR LEAN MEG PRODUCT PUMP MOTOR E-PM-3006B A1</t>
  </si>
  <si>
    <t>E-PM-2802</t>
  </si>
  <si>
    <t>RICH MEG FLASH DRUM CONDENSATE PUMP MOTOR</t>
  </si>
  <si>
    <t>E-PM-2808</t>
  </si>
  <si>
    <t>MEG CONDENSATE COLLECTION DRUM PUMP MOTOR</t>
  </si>
  <si>
    <t>R-PM-2801</t>
  </si>
  <si>
    <t>E-ESB-8002-A15-F</t>
  </si>
  <si>
    <t>FEEDER FOR CATHODIC PROTECTION RECTIFIER B2 8KW/8.3A</t>
  </si>
  <si>
    <t>E-ESB-8012-A05-B</t>
  </si>
  <si>
    <t>FEEDER FOR WELDING OUTLETS E-ESSW-8022 C1 30KW 50.9A</t>
  </si>
  <si>
    <t>R-ESB-8003-B05-D</t>
  </si>
  <si>
    <t>FEEDER FOR NEW LER UPS MAIN SUPPLY A R-EUP-8801AA C1</t>
  </si>
  <si>
    <t>R-ESB-8003-B06-F</t>
  </si>
  <si>
    <t>FEEDER FOR NEW LER UPS MAIN SUPPLY B R-EUP-8801BA C1</t>
  </si>
  <si>
    <t>R-L-8021-24F-C</t>
  </si>
  <si>
    <t>FEEDER FOR HVAC CONTROL BUILDING R-L-8021 85KW 150AA</t>
  </si>
  <si>
    <t>E-EEH-8111</t>
  </si>
  <si>
    <t>3KW JACKET WATER HEATER FIRE PUMP E-P-8111</t>
  </si>
  <si>
    <t>E-EEH-8121</t>
  </si>
  <si>
    <t>3KW JACKET WATER HEATER FIRE PUMP E-P-8121</t>
  </si>
  <si>
    <t>E-EEH-8131</t>
  </si>
  <si>
    <t>3KW JACKET WATER HEATER FIRE PUMP E-P-8131</t>
  </si>
  <si>
    <t>E-PM-3003A</t>
  </si>
  <si>
    <t>RICH MEG PRE-TREATMENT RECYCLE PUMP MOTOR</t>
  </si>
  <si>
    <t>E-PM-3003B</t>
  </si>
  <si>
    <t>E-PM-3004A</t>
  </si>
  <si>
    <t>MEG DISTILLATION COLUMN REFLUX PUMP MOTOR</t>
  </si>
  <si>
    <t>E-PM-3004B</t>
  </si>
  <si>
    <t>R-L-8023</t>
  </si>
  <si>
    <t>400V SWITCHBOARD IN EXISTING POWER MODULE</t>
  </si>
  <si>
    <t>E-EEH-8701</t>
  </si>
  <si>
    <t>COOLING SYSTEM JW HEATER EM GEN E-GE-8711</t>
  </si>
  <si>
    <t>E-ERC-9205C</t>
  </si>
  <si>
    <t>CATHODIC PROTECTION TRANSFORMER RECTIFIER</t>
  </si>
  <si>
    <t>FA_EETR</t>
  </si>
  <si>
    <t>RCEL</t>
  </si>
  <si>
    <t>E-ERC-9205D</t>
  </si>
  <si>
    <t>E-EDB-9111-02</t>
  </si>
  <si>
    <t>CCT-02 GENERATOR CONTROL PANEL E-ECP-9112</t>
  </si>
  <si>
    <t>E-EDB-8804A-11</t>
  </si>
  <si>
    <t>CCT-011 TBA LER-1 ANALYSER HOUSE FEEDER-1</t>
  </si>
  <si>
    <t>E-EDB-8804A-49</t>
  </si>
  <si>
    <t>CCT-049 TBA FIRED HEATERS TOWERS FEEDER-1</t>
  </si>
  <si>
    <t>E-ESB-8011-A04-E</t>
  </si>
  <si>
    <t>FEEDER FOR SODIUM HYDROXIDE PUMP MOTOR E-PM-5227B A1</t>
  </si>
  <si>
    <t>E-ESB-8011-A11-H</t>
  </si>
  <si>
    <t>FEEDER FOR LEAN MEG PRODUCT PUMP MOTOR E-PM-3006A A1</t>
  </si>
  <si>
    <t>E-ESB-8011-B08-G</t>
  </si>
  <si>
    <t>FEEDER FOR SODIUM HYDROXIDE PUMP MOTOR E-PM-5227A A1</t>
  </si>
  <si>
    <t>E-ESB-8011-C02-G</t>
  </si>
  <si>
    <t>FEEDER FOR HOT OIL TRIM COOLER FAN MOTOR E-KEM-6001A</t>
  </si>
  <si>
    <t>E-ESB-8011-C11-F</t>
  </si>
  <si>
    <t>FEEDER FOR FIRE WATER JOCKEY PUMP MOTOR E-PM-8101 A1</t>
  </si>
  <si>
    <t>E-ESB-8011-C11-G</t>
  </si>
  <si>
    <t>FEEDER FOR FIRE WATER JOCKEY PUMP MOTOR E-PM-8102 A1</t>
  </si>
  <si>
    <t>R-L-8021-11F-J</t>
  </si>
  <si>
    <t>FEEDER FOR WASTE OILY WATER PUMP R-PM-5632A 15KW 30A</t>
  </si>
  <si>
    <t>R-L-8021-11R-D</t>
  </si>
  <si>
    <t>FEEDER FOR WASTE OILY WATER PUMP R-PM-5632B 15KW 30A</t>
  </si>
  <si>
    <t>R-L-8021-12F-C</t>
  </si>
  <si>
    <t>SPARE CUBICLE ON SWITCHBOARD R-L-8021 20A</t>
  </si>
  <si>
    <t>R-L-8021-27R-F</t>
  </si>
  <si>
    <t>FEEDER FOR AFTERCOOLER AIR MOTOR R-AM-6322B 4KW 8.5A</t>
  </si>
  <si>
    <t>R-L-8021-30R-H</t>
  </si>
  <si>
    <t>FEEDER FOR SEPARATED OIL PUMP R-PM-5722B 7.5KW 15.5A</t>
  </si>
  <si>
    <t>R-L-8021-31F-H</t>
  </si>
  <si>
    <t>FEEDER FOR SEPARATED OIL PUMP R-PM-5722A 7.5KW 15.5A</t>
  </si>
  <si>
    <t>E-ESB-8011-C05-A</t>
  </si>
  <si>
    <t>INCOMER FROM 690V DG 8731 2092A E-GE-8731</t>
  </si>
  <si>
    <t>R-ESB-8001-A04</t>
  </si>
  <si>
    <t>3.3KV/420V TRANSFORMER R-ETR-8021 2000KVA</t>
  </si>
  <si>
    <t>R-ESB-8001-AB</t>
  </si>
  <si>
    <t>AB BUS COUPLER FOR SWITCHBOARD R-ESB-8001</t>
  </si>
  <si>
    <t>R-ESB-8001-B03</t>
  </si>
  <si>
    <t>3.3KV/420V TRANSFORMER R-ETR-8022 2000KVA</t>
  </si>
  <si>
    <t>E-ECB-8111</t>
  </si>
  <si>
    <t>START BATTERY ISOLATOR FIRE PUMP E-P-8111</t>
  </si>
  <si>
    <t>E-ESB-8011-B04-E</t>
  </si>
  <si>
    <t>FEEDER FOR SLURRY TRANSFER PUMP MOTOR E-PM-2806B A1</t>
  </si>
  <si>
    <t>E-ESB-8011-B04-F</t>
  </si>
  <si>
    <t>FEEDER FOR LEAN MEG MAKEUP PUMP MOTOR E-PM-2902B A1</t>
  </si>
  <si>
    <t>E-ECB-8131</t>
  </si>
  <si>
    <t>START BATTERY ISOLATOR FIRE PUMP E-P-8131</t>
  </si>
  <si>
    <t>E-ECB-8121</t>
  </si>
  <si>
    <t>START BATTERY ISOLATOR FIRE PUMP E-P-8121</t>
  </si>
  <si>
    <t>E-PM-2103A</t>
  </si>
  <si>
    <t>CONDENSATE STABILISER BOTTOMS PUMP MOTOR</t>
  </si>
  <si>
    <t>E-PM-2103B</t>
  </si>
  <si>
    <t>E-ESB-8011-A13-G</t>
  </si>
  <si>
    <t>FEEDER FOR MEG CHEMICAL CLEANING HEATER E-H-5212 H2</t>
  </si>
  <si>
    <t>R-ESB-8003-A04-C</t>
  </si>
  <si>
    <t>FEEDER FOR SMALL POWER NON ESSENTIAL R-ESSW-8902 C1</t>
  </si>
  <si>
    <t>R-ESB-8003-A05-F</t>
  </si>
  <si>
    <t>FEEDER FOR NEW LER HVAC NON ESSENTIAL R-ESB-9401 C1</t>
  </si>
  <si>
    <t>R-ESB-8003-B06-B</t>
  </si>
  <si>
    <t>FEEDER FOR NEW LER LIGHTING ESSENTIAL R-EDB-9501 B1</t>
  </si>
  <si>
    <t>R-L-8021-22F-B</t>
  </si>
  <si>
    <t>FEEDER FOR HVAC CONTROL BUILDING R-L-8021 85KW 170A</t>
  </si>
  <si>
    <t>E-KEM-3010</t>
  </si>
  <si>
    <t>MEG CENTRIFUGE LUBE OIL COOLER FAN MOTOR</t>
  </si>
  <si>
    <t>E-KEM-3011</t>
  </si>
  <si>
    <t>E-EMOT-8111</t>
  </si>
  <si>
    <t>24V DUAL STARTER MOTOR FIRE PUMP E-P-8111</t>
  </si>
  <si>
    <t>E-EMOT-8121</t>
  </si>
  <si>
    <t>24V DUAL STARTER MOTOR FIRE PUMP E-P-8121</t>
  </si>
  <si>
    <t>E-EMOT-8131</t>
  </si>
  <si>
    <t>24V DUAL STARTER MOTOR FIRE PUMP E-P-8131</t>
  </si>
  <si>
    <t>E-PM-4702A</t>
  </si>
  <si>
    <t>ONSHORE METHANOL HP INJECTION PUMP MOTOR</t>
  </si>
  <si>
    <t>E-PM-4702B</t>
  </si>
  <si>
    <t>E-PM-4705A</t>
  </si>
  <si>
    <t>ONSHORE METHANOL LP INJECTION PUMP MOTOR</t>
  </si>
  <si>
    <t>E-PM-4705B</t>
  </si>
  <si>
    <t>E-PM-5221</t>
  </si>
  <si>
    <t>HYDROCHLORIC ACID OFF-LOADING PUMP MOTOR</t>
  </si>
  <si>
    <t>E-EEH-5201A</t>
  </si>
  <si>
    <t>SODIUM HYDROXIDE OFF-LOADING TANK HEATER</t>
  </si>
  <si>
    <t>E-EEH-5201B</t>
  </si>
  <si>
    <t>E-EEH-5202A</t>
  </si>
  <si>
    <t>SODIUM CARBONATE OFF-LOADING TANK HEATER</t>
  </si>
  <si>
    <t>E-EEH-5202B</t>
  </si>
  <si>
    <t>E-EEH-5204</t>
  </si>
  <si>
    <t>E-EEH-5205</t>
  </si>
  <si>
    <t>E-EDB-8802A-19</t>
  </si>
  <si>
    <t>CCT-019 TBA CCTV SERVER CABINET FEEDER-1</t>
  </si>
  <si>
    <t>E-EDB-8802A-30</t>
  </si>
  <si>
    <t>CCT-030 SPARE FOR TELECOM SYSTEM CABINET</t>
  </si>
  <si>
    <t>E-EDB-8802A-31</t>
  </si>
  <si>
    <t>CCT-031 SPARE FOR TELECOM SYSTEM CABINET</t>
  </si>
  <si>
    <t>E-EDB-8802A-32</t>
  </si>
  <si>
    <t>CCT-032 SPARE FOR TELECOM SYSTEM CABINET</t>
  </si>
  <si>
    <t>E-EDB-8802A-33</t>
  </si>
  <si>
    <t>CCT-033 SPARE FOR TELECOM SYSTEM CABINET</t>
  </si>
  <si>
    <t>E-EDB-8802B-19</t>
  </si>
  <si>
    <t>CCT-019 TBA CCTV SERVER CABINET FEEDER-2</t>
  </si>
  <si>
    <t>E-EDB-8802B-30</t>
  </si>
  <si>
    <t>E-EDB-8802B-31</t>
  </si>
  <si>
    <t>E-EDB-8802B-32</t>
  </si>
  <si>
    <t>E-EDB-8802B-33</t>
  </si>
  <si>
    <t>E-EDB-8803A-22</t>
  </si>
  <si>
    <t>CCT-022 SPARE FOR TELECOM SYSTEM CABINET</t>
  </si>
  <si>
    <t>E-EDB-8803B-22</t>
  </si>
  <si>
    <t>E-EDB-8804A-57</t>
  </si>
  <si>
    <t>CCT-057 TBA AIR DRIER PACKAGE-1 FEEDER-1</t>
  </si>
  <si>
    <t>E-EDB-9112A-01</t>
  </si>
  <si>
    <t>CCT-001 E-EDB-9114 GTG-1 UPS DB FEEDER-1</t>
  </si>
  <si>
    <t>E-EDB-9112A-02</t>
  </si>
  <si>
    <t>CCT-002 E-EDB-9115 GTG-2 UPS DB FEEDER-2</t>
  </si>
  <si>
    <t>E-EDB-9112B-01</t>
  </si>
  <si>
    <t>CCT-001 E-EDB-9114 GTG-1 UPS DB FEEDER-2</t>
  </si>
  <si>
    <t>E-EDB-9112B-02</t>
  </si>
  <si>
    <t>CCT-002 E-EDB-9115 GTG-2 UPS DB FEEDER-1</t>
  </si>
  <si>
    <t>E-EDB-9113A-01</t>
  </si>
  <si>
    <t>CCT-001 E-EDB-9116 GTG-3 UPS DB FEEDER-1</t>
  </si>
  <si>
    <t>E-EDB-9113A-02</t>
  </si>
  <si>
    <t>CCT-002 E-EDB-9117 GTG-4 UPS DB FEEDER-2</t>
  </si>
  <si>
    <t>E-EDB-9113B-01</t>
  </si>
  <si>
    <t>CCT-001 E-EDB-9116 GTG-3 UPS DB FEEDER-2</t>
  </si>
  <si>
    <t>E-EDB-9113B-02</t>
  </si>
  <si>
    <t>CCT-002 E-EDB-9117 GTG-4 UPS DB FEEDER-1</t>
  </si>
  <si>
    <t>E-EDB-8810-07</t>
  </si>
  <si>
    <t>CCT-007 E-TCCA-76216 PROCESS CCTV CAMERA</t>
  </si>
  <si>
    <t>E-EDB-8810-08</t>
  </si>
  <si>
    <t>CCT-008 E-TCCA-76218 PROCESS CCTV CAMERA</t>
  </si>
  <si>
    <t>E-EDB-8810-09</t>
  </si>
  <si>
    <t>CCT-009 E-TCCA-76219 PROCESS CCTV CAMERA</t>
  </si>
  <si>
    <t>E-EDB-8810-10</t>
  </si>
  <si>
    <t>CCT-010 E29LAH001 LEVEL-ALARM HIGH LOCAL</t>
  </si>
  <si>
    <t>E-EDB-8810-12</t>
  </si>
  <si>
    <t>CCT-012 E52LAH076 LEVEL-ALARM HIGH LOCAL</t>
  </si>
  <si>
    <t>E-EDB-8806-14</t>
  </si>
  <si>
    <t>CCT-014 E-TCCA-76004 PROCESS CCTV CAMERA</t>
  </si>
  <si>
    <t>E-EDB-8806-15</t>
  </si>
  <si>
    <t>CCT-015 E-TCCA-76005 PROCESS CCTV CAMERA</t>
  </si>
  <si>
    <t>E-EDB-8508</t>
  </si>
  <si>
    <t>ESSENTIAL SMALL POWER DISTRIBUTION BOARD</t>
  </si>
  <si>
    <t>E-ESB-8011-A11-D</t>
  </si>
  <si>
    <t>FEEDER FOR LEAN MEG MAKEUP PUMP MOTOR E-PM-2902A A1</t>
  </si>
  <si>
    <t>E-ESB-8011-A12-H</t>
  </si>
  <si>
    <t>FEEDER FOR SLOP MEG LOADING PUMP MOTOR E-PM-2805 A1</t>
  </si>
  <si>
    <t>E-ESB-8011-A12-I</t>
  </si>
  <si>
    <t>FEEDER FOR SLURRY TRANSFER PUMP MOTOR E-PM-2806A A1</t>
  </si>
  <si>
    <t>E-ESB-8011-B13-G</t>
  </si>
  <si>
    <t>FEEDER FOR HOT OIL START UP PUMP MOTOR E-PM-6005 A1</t>
  </si>
  <si>
    <t>E-ESB-8011-C11-C</t>
  </si>
  <si>
    <t>FEEDER FOR HOT OIL TRIM COOLER MOTOR E-KEM-6001C A1</t>
  </si>
  <si>
    <t>E-ESB-8011-C11-E</t>
  </si>
  <si>
    <t>FEEDER FOR HOT OIL START UP PUMP MOTOR E-PM-6001 A1</t>
  </si>
  <si>
    <t>R-L-8021-12F-B</t>
  </si>
  <si>
    <t>FEEDER FOR PROJECT CARAVANS AND SEWAGE R-L-8021 20A</t>
  </si>
  <si>
    <t>R-L-8021-12R-E</t>
  </si>
  <si>
    <t>FEEDER FOR BLOWER FLARE FAN 1 R-43-BLM-01A 20KW 38A</t>
  </si>
  <si>
    <t>R-L-8021-30F-G</t>
  </si>
  <si>
    <t>FEEDER FOR OPEN DRAIN SUMP PUMP R-PM-5621A 4KW 8.5A</t>
  </si>
  <si>
    <t>R-L-8021-31F-C</t>
  </si>
  <si>
    <t>FEEDER FOR OPEN DRAIN SUMP PUMP R-PM-5621B 4KW 8.5A</t>
  </si>
  <si>
    <t>R-L-8021-31R-C</t>
  </si>
  <si>
    <t>FEEDER FOR BLOWER FLARE FAN 2 R-43-BLM-01A 20KW 38A</t>
  </si>
  <si>
    <t>R-ESB-8001-B05</t>
  </si>
  <si>
    <t>3.3KV/400V TRANSFORMER R-ETR-8023 800KVA</t>
  </si>
  <si>
    <t>R-L-8021-19F</t>
  </si>
  <si>
    <t>INCOMING DIESEL GENERATOR R-G-8401 1000A</t>
  </si>
  <si>
    <t>R-L-8021-20F</t>
  </si>
  <si>
    <t>INCOMING DIESEL GENERATOR R-G-8402 1000A</t>
  </si>
  <si>
    <t>R-L-8023-17F-E</t>
  </si>
  <si>
    <t>LIGHTING DISTRIBUTION PANEL R-LDP-1 160A</t>
  </si>
  <si>
    <t>E-EBA-8121A</t>
  </si>
  <si>
    <t>24V STARTER BATTERY A FIRE PUMP E-P-8121</t>
  </si>
  <si>
    <t>E-EBA-8121B</t>
  </si>
  <si>
    <t>24V STARTER BATTERY B FIRE PUMP E-P-8121</t>
  </si>
  <si>
    <t>E-EBA-8131A</t>
  </si>
  <si>
    <t>24V STARTER BATTERY A FIRE PUMP E-P-8131</t>
  </si>
  <si>
    <t>E-EBA-8111A</t>
  </si>
  <si>
    <t>24V STARTER BATTERY A FIRE PUMP E-P-8111</t>
  </si>
  <si>
    <t>E-EBA-8131B</t>
  </si>
  <si>
    <t>24V STARTER BATTERY B FIRE PUMP E-P-8131</t>
  </si>
  <si>
    <t>E-EBA-8111B</t>
  </si>
  <si>
    <t>24V STARTER BATTERY B FIRE PUMP E-P-8111</t>
  </si>
  <si>
    <t>E-PM-2901A</t>
  </si>
  <si>
    <t>ONSHORE LEAN MEG INJECTION PUMP MOTOR A</t>
  </si>
  <si>
    <t>E-PM-2901B</t>
  </si>
  <si>
    <t>ONSHORE LEAN MEG INJECTION PUMP MOTOR B</t>
  </si>
  <si>
    <t>E-ESB-8011-C03-E</t>
  </si>
  <si>
    <t>FEEDER FOR HVAC SUBSTATION 2 ESSENTIAL E-ESB-9405A</t>
  </si>
  <si>
    <t>E-ESB-8012-B02-E</t>
  </si>
  <si>
    <t>FEEDER FOR HEATER CONTROL E-H-3004 H1 2.5KW 10.87A</t>
  </si>
  <si>
    <t>R-ESB-8003-B06-D</t>
  </si>
  <si>
    <t>FEEDER FOR LIGHTING UPS MAIN SUPPLY R-EUP-8802B C1</t>
  </si>
  <si>
    <t>R-L-8021-28F-E</t>
  </si>
  <si>
    <t>FEEDER FOR METER ON SWITCHGEAR R-L-8021 1.1KW 2.6A</t>
  </si>
  <si>
    <t>R-ERTCC-8020</t>
  </si>
  <si>
    <t>6.6KV/3.3KV 7.5MVA TRANSFORMER OLTC PANEL</t>
  </si>
  <si>
    <t>E-PM-5223</t>
  </si>
  <si>
    <t>SODIUM CARBONATE OFF-LOADING PUMP MOTOR</t>
  </si>
  <si>
    <t>E-PM-5224</t>
  </si>
  <si>
    <t>SODIUM HYDROXIDE OFF-LOADING PUMP MOTOR</t>
  </si>
  <si>
    <t>R-EBD-8002A</t>
  </si>
  <si>
    <t>BUS DUCT FROM R-ETR-8002A TO R-ESB-8002</t>
  </si>
  <si>
    <t>R-EBD-8002B</t>
  </si>
  <si>
    <t>BUS DUCT FROM R-ETR-8002B TO R-ESB-8002</t>
  </si>
  <si>
    <t>R-ESB-8001</t>
  </si>
  <si>
    <t>3.3KV GIZA FAYOUM MAIN SWITCHBOARD LER3</t>
  </si>
  <si>
    <t>R-PM-8122A</t>
  </si>
  <si>
    <t>MOTOR, R-P-8122A FIRE WATER JOCKEY PUMP</t>
  </si>
  <si>
    <t>R-PM-8122B</t>
  </si>
  <si>
    <t>MOTOR, R-P-8122B FIRE WATER JOCKEY PUMP</t>
  </si>
  <si>
    <t>E-EDB-8802A</t>
  </si>
  <si>
    <t>AC DISTRIBUTION BOARD (ACDB) FOR 120KVA</t>
  </si>
  <si>
    <t>E-EDB-8802B</t>
  </si>
  <si>
    <t>E-EDB-8802A-28</t>
  </si>
  <si>
    <t>CCT-028 TBA MCM SYSTEM CABINET FEEDER-1</t>
  </si>
  <si>
    <t>E-EDB-8802B-28</t>
  </si>
  <si>
    <t>CCT-028 TBA MCM SYSTEM CABINET FEEDER-2</t>
  </si>
  <si>
    <t>E-ESB-8011-B11-G</t>
  </si>
  <si>
    <t>FEEDER FOR MEG CENTRIFUGE MAIN MOTOR E-VFD-3002 V1</t>
  </si>
  <si>
    <t>E-ESB-8701-A15-D</t>
  </si>
  <si>
    <t>FEEDER FOR HP HYDRAULIC PUMP MOTOR GF E-PM-0503 A1</t>
  </si>
  <si>
    <t>E-ESB-8701-A16-E</t>
  </si>
  <si>
    <t>FEEDER FOR NITROGEN GENERATION PACKAGE E-X-6401 H2</t>
  </si>
  <si>
    <t>E-ESB-8701-B07-B</t>
  </si>
  <si>
    <t>FEEDER FOR LP HYDRAULIC PUMP MOTOR GF E-PM-0501 A1</t>
  </si>
  <si>
    <t>E-ESB-8701-B09-B</t>
  </si>
  <si>
    <t>R-ESB-8002-A01-A</t>
  </si>
  <si>
    <t>FEEDER FOR SPARE CUBICLE ON SWITCHBOARD R-ESB-8002</t>
  </si>
  <si>
    <t>R-ESB-8002-B01-A</t>
  </si>
  <si>
    <t>R-ESB-8002-B01-B</t>
  </si>
  <si>
    <t>R-L-8021-27F-B</t>
  </si>
  <si>
    <t>FEEDER FOR BATTERY ROOM FAN CONTROL PANEL R-L-8021</t>
  </si>
  <si>
    <t>R-L-8021-27F-D</t>
  </si>
  <si>
    <t>FEEDER FOR BATTERY ROOM FAN PANEL FOR SWG R-L-8021</t>
  </si>
  <si>
    <t>R-ESB-8003-B04-A</t>
  </si>
  <si>
    <t>INTERCONNECTING FEEDER WITH R-L-8021 C1</t>
  </si>
  <si>
    <t>E-ESB-8011-B05-E</t>
  </si>
  <si>
    <t>FEEDER FOR STRIPPER FEED PUMP MOTOR E-PM-6702B A1</t>
  </si>
  <si>
    <t>E-KEM-2101A</t>
  </si>
  <si>
    <t>CONDENSATE RUN DOWN COOLER FAN A MOTOR</t>
  </si>
  <si>
    <t>E-KEM-2101B</t>
  </si>
  <si>
    <t>CONDENSATE RUN DOWN COOLER FAN B MOTOR</t>
  </si>
  <si>
    <t>E-KEM-2101C</t>
  </si>
  <si>
    <t>CONDENSATE RUN DOWN COOLER FAN C MOTOR</t>
  </si>
  <si>
    <t>E-KEM-2101D</t>
  </si>
  <si>
    <t>CONDENSATE RUN DOWN COOLER FAN D MOTOR</t>
  </si>
  <si>
    <t>E-KEM-2101E</t>
  </si>
  <si>
    <t>CONDENSATE RUN DOWN COOLER FAN E MOTOR</t>
  </si>
  <si>
    <t>E-KEM-2101F</t>
  </si>
  <si>
    <t>CONDENSATE RUN DOWN COOLER FAN F MOTOR</t>
  </si>
  <si>
    <t>E-EH-5203A</t>
  </si>
  <si>
    <t>SODIUM CARBONATE STORAGE TANK HEATER A</t>
  </si>
  <si>
    <t>E-EH-5203B</t>
  </si>
  <si>
    <t>SODIUM CARBONATE STORAGE TANK HEATER B</t>
  </si>
  <si>
    <t>R-L-8021-15F-B</t>
  </si>
  <si>
    <t>FEEDER FOR CONDENSATE HEATER R-H-2021A 208KW 416A</t>
  </si>
  <si>
    <t>R-L-8021-23F-A</t>
  </si>
  <si>
    <t>FEEDER FOR HP FUEL GAS HEATER R-H-4522 177KW 350A</t>
  </si>
  <si>
    <t>R-L-8021-24F-G</t>
  </si>
  <si>
    <t>FEEDER FOR AIR DRYER ELECTRIC HEATER R-L-8021 40A</t>
  </si>
  <si>
    <t>E-PM-5216</t>
  </si>
  <si>
    <t>ANTIFOAM TRANSFER DIAPHRAGM PUMP MOTOR</t>
  </si>
  <si>
    <t>E-PM-5602A</t>
  </si>
  <si>
    <t>HAZARDOUS OILY WATER DRAINS PUMP MOTOR</t>
  </si>
  <si>
    <t>E-PM-5602B</t>
  </si>
  <si>
    <t>E-PM-5606A</t>
  </si>
  <si>
    <t>E-PM-5606B</t>
  </si>
  <si>
    <t>R-ESB-8002</t>
  </si>
  <si>
    <t>690V GIZA FAYOUM MAIN SWITCHBOARD LER3</t>
  </si>
  <si>
    <t>R-ESB-8003</t>
  </si>
  <si>
    <t>400V GIZA FAYOUM MAIN SWITCHBOARD LER3</t>
  </si>
  <si>
    <t>E-KEM-8701A</t>
  </si>
  <si>
    <t>VENTILATION FAN MOTOR EM GEN E-GE-8711</t>
  </si>
  <si>
    <t>E-KEM-8701B</t>
  </si>
  <si>
    <t>E-KEM-8701C</t>
  </si>
  <si>
    <t>E-KEM-8701D</t>
  </si>
  <si>
    <t>E-EER-9111</t>
  </si>
  <si>
    <t>NEUTRAL EARTHING RESISTOR FOR E-G-9111</t>
  </si>
  <si>
    <t>E-EER-9121</t>
  </si>
  <si>
    <t>NEUTRAL EARTHING RESISTOR FOR E-G-9121</t>
  </si>
  <si>
    <t>E-EER-9131</t>
  </si>
  <si>
    <t>NEUTRAL EARTHING RESISTOR FOR E-G-9131</t>
  </si>
  <si>
    <t>E-EER-9141</t>
  </si>
  <si>
    <t>NEUTRAL EARTHING RESISTOR FOR E-G-9141</t>
  </si>
  <si>
    <t>E-EDB-8802A-18</t>
  </si>
  <si>
    <t>CCT-018 TBA VHF RADIO CABINET FEEDER-1</t>
  </si>
  <si>
    <t>E-EDB-8802B-18</t>
  </si>
  <si>
    <t>CCT-018 TBA VHF RADIO CABINET FEEDER-2</t>
  </si>
  <si>
    <t>E-EDB-8803A-12</t>
  </si>
  <si>
    <t>CCT-012 TBA TELECOM CABINET-1 FEEDER-1</t>
  </si>
  <si>
    <t>E-EDB-8803A-15</t>
  </si>
  <si>
    <t>CCT-015 TBA TELECOM CABINET-2 FEEDER-1</t>
  </si>
  <si>
    <t>E-EDB-8803B-12</t>
  </si>
  <si>
    <t>CCT-012 TBA TELECOM CABINET-1 FEEDER-2</t>
  </si>
  <si>
    <t>E-EDB-8803B-15</t>
  </si>
  <si>
    <t>CCT-015 TBA TELECOM CABINET-2 FEEDER-2</t>
  </si>
  <si>
    <t>E-EDB-8804B-50</t>
  </si>
  <si>
    <t>CCT-050 LATER TELECOM CABINET FEEDER-1</t>
  </si>
  <si>
    <t>R-EDB-8905</t>
  </si>
  <si>
    <t>OUTDOOR SMALL POWER DISTRIBUTION BOARD</t>
  </si>
  <si>
    <t>E-ESB-8003-B07-B</t>
  </si>
  <si>
    <t>FEEDER FOR SPARE CUBICLE ON E-ESB-8003 15KW/25.5A</t>
  </si>
  <si>
    <t>E-ESB-8003-B07-C</t>
  </si>
  <si>
    <t>E-ESB-8003-B07-D</t>
  </si>
  <si>
    <t>E-ESB-8003-B07-E</t>
  </si>
  <si>
    <t>FEEDER FOR SPARE CUBICLE ON E-ESB-8003 30KW/50.9A</t>
  </si>
  <si>
    <t>E-ESB-8003-B08-C</t>
  </si>
  <si>
    <t>E-ESB-8003-B08-D</t>
  </si>
  <si>
    <t>FEEDER FOR SPARE CUBICLE ON E-ESB-8003 35KW/59.4A</t>
  </si>
  <si>
    <t>E-ESB-8003-B08-E</t>
  </si>
  <si>
    <t>FEEDER FOR SPARE CUBICLE ON E-ESB-8003 45KW/76.4A</t>
  </si>
  <si>
    <t>E-ESB-8011-A03-C</t>
  </si>
  <si>
    <t>FEEDER FOR STRIPPER FEED PUMP MOTOR E-PM-6702A A1</t>
  </si>
  <si>
    <t>R-L-8021-11F-A</t>
  </si>
  <si>
    <t>FEEDER FOR OPEN DRAIN PUMP R-WM-5621A 0.75KW 1.6A</t>
  </si>
  <si>
    <t>E-ESB-8701-B14-A</t>
  </si>
  <si>
    <t>KEY CONSOLE SEC 1 AND SEC 2 E-ESB-8701</t>
  </si>
  <si>
    <t>R-27-CAB-101A</t>
  </si>
  <si>
    <t>ONSHORE COMPRESSOR LOCAL CONTROL UNIT</t>
  </si>
  <si>
    <t>R-27-CAB-101B</t>
  </si>
  <si>
    <t>E-ESB-8706-B03-C</t>
  </si>
  <si>
    <t>FEEDER FOR CCR LIGHTING E-EDB-8518 C1 30KW 50.9A</t>
  </si>
  <si>
    <t>R-L-8021-14F-F</t>
  </si>
  <si>
    <t>FEEDER FOR UPS CONTROL IT COMPUTER R-L-8021 100A</t>
  </si>
  <si>
    <t>R-L-8021-21F-B</t>
  </si>
  <si>
    <t>FEEDER FOR CONDENSATE HEATER R-H-2021B 20KW 416A</t>
  </si>
  <si>
    <t>E-PM-5601A</t>
  </si>
  <si>
    <t>COMBINED OILY WATER DRAINS PUMP MOTOR</t>
  </si>
  <si>
    <t>E-PM-5601B</t>
  </si>
  <si>
    <t>E-PM-5604A</t>
  </si>
  <si>
    <t>E-PM-5604B</t>
  </si>
  <si>
    <t>E-PM-5605A</t>
  </si>
  <si>
    <t>E-PM-5605B</t>
  </si>
  <si>
    <t>E-KEM-6533</t>
  </si>
  <si>
    <t>COMPRESSOR 3 AFTER COOLER FAN MOTOR 3</t>
  </si>
  <si>
    <t>E-KEM-6543</t>
  </si>
  <si>
    <t>COMPRESSOR 4 AFTER COOLER FAN MOTOR 3</t>
  </si>
  <si>
    <t>E-KEM-6701A</t>
  </si>
  <si>
    <t>PRODUCED WATER AIR COOLER FAN A MOTOR</t>
  </si>
  <si>
    <t>E-KEM-6701B</t>
  </si>
  <si>
    <t>PRODUCED WATER AIR COOLER FAN B MOTOR</t>
  </si>
  <si>
    <t>E-KEM-6701C</t>
  </si>
  <si>
    <t>PRODUCED WATER AIR COOLER FAN C MOTOR</t>
  </si>
  <si>
    <t>E-EDB-8802A-08</t>
  </si>
  <si>
    <t>CCT-008 TBA CAR PARK AREA CCTV CAMERA</t>
  </si>
  <si>
    <t>E-EDB-8802A-26</t>
  </si>
  <si>
    <t>CCT-026 TBA CAR PARK AREA CCTV CAMERA</t>
  </si>
  <si>
    <t>E-EDB-8516</t>
  </si>
  <si>
    <t>ESSENTIAL LTG DIST. BOARD (BY OTHERS)</t>
  </si>
  <si>
    <t>R-ESB-8001-D01</t>
  </si>
  <si>
    <t>FEEDER FOR DUMMY PANEL ON SWITCHBOARD R-ESB-8001</t>
  </si>
  <si>
    <t>R-ESB-8003-A05-C</t>
  </si>
  <si>
    <t>FEEDER FOR CONDENSATE COOLER MOTOR R-AM-2121B A1</t>
  </si>
  <si>
    <t>R-ESB-8003-B07-C</t>
  </si>
  <si>
    <t>FEEDER FOR CONDENSATE COOLER MOTOR R-AM-2121A A1</t>
  </si>
  <si>
    <t>R-ESB-8003-B07-D</t>
  </si>
  <si>
    <t>FEEDER FOR CONDENSATE COOLER MOTOR R-AM-2121C A1</t>
  </si>
  <si>
    <t>R-L-8021-11R-E</t>
  </si>
  <si>
    <t>FEEDER FOR WATER UTILITY PUMP R-P-5322B 11KW 22A</t>
  </si>
  <si>
    <t>R-L-8021-27F-E</t>
  </si>
  <si>
    <t>SPARE CUBICLE FOR SWITCHGEAR R-L-8021</t>
  </si>
  <si>
    <t>R-L-8021-28F-H</t>
  </si>
  <si>
    <t>FEEDER FOR WATER UTILITY PUMP R-P-5322A 15KW 30A</t>
  </si>
  <si>
    <t>R-L-8021-30R-B</t>
  </si>
  <si>
    <t>FEEDER FOR DIESEL PUMP MOTOR R-PM-6221B 2.2KW 5A</t>
  </si>
  <si>
    <t>R-L-8021-31F-D</t>
  </si>
  <si>
    <t>FEEDER FOR CLOSED DRAIN PUMP R-PM-5721A 2.2KW 5A</t>
  </si>
  <si>
    <t>R-L-8021-31F-G</t>
  </si>
  <si>
    <t>FEEDER FOR CLOSED DRAIN PUMP R-PM-5721B 2.2KW 5A</t>
  </si>
  <si>
    <t>E-ESB-8011-C14-C</t>
  </si>
  <si>
    <t>TRANSFORMER FEEDER CONTROL E-ESB-8011</t>
  </si>
  <si>
    <t>E-ESB-8011-C15-C</t>
  </si>
  <si>
    <t>R-ESB-8001-A01</t>
  </si>
  <si>
    <t>INCOMER 1 3.3KV GTG R-G-8021 4.375MVA</t>
  </si>
  <si>
    <t>R-ESB-8001-B01</t>
  </si>
  <si>
    <t>INCOMER 2 3.3KV GTG R-G-8022 4.375MVA</t>
  </si>
  <si>
    <t>R-L-8021-13F-D</t>
  </si>
  <si>
    <t>POWER DISTRIBUTION PANEL R-PDP-1 160A</t>
  </si>
  <si>
    <t>R-L-8023-18F-D</t>
  </si>
  <si>
    <t>E-ESB-8011-B05-D</t>
  </si>
  <si>
    <t>FEEDER FOR SKIMMED OIL PUMP MOTOR E-PM-6701B A1</t>
  </si>
  <si>
    <t>E-ESB-8003-A07-F</t>
  </si>
  <si>
    <t>FEEDER FOR WELDING OUTLETS E-ESSW-8014 45KW/90A</t>
  </si>
  <si>
    <t>E-ESB-8003-B04-E</t>
  </si>
  <si>
    <t>FEEDER FOR WELDING OUTLETS E-ESSW-8003 45KW/90A</t>
  </si>
  <si>
    <t>E-ESB-8003-B05-E</t>
  </si>
  <si>
    <t>FEEDER FOR WELDING OUTLETS E-ESSW-8006 45KW/90A</t>
  </si>
  <si>
    <t>E-ESB-8003-B07-G</t>
  </si>
  <si>
    <t>FEEDER FOR WELDING OUTLETS E-ESSW-8016 45KW/90A</t>
  </si>
  <si>
    <t>E-ESB-8003-B08-F</t>
  </si>
  <si>
    <t>FEEDER FOR WELDING OUTLETS E-ESSW-8024 45KW/90A</t>
  </si>
  <si>
    <t>E-ESB-8011-C08-I</t>
  </si>
  <si>
    <t>FEEDER FOR DC UPS A SUBSTATION 2 E-EUP-8805A C1</t>
  </si>
  <si>
    <t>E-ESB-8701-A19-D</t>
  </si>
  <si>
    <t>FEEDER FOR DC UPS B SUBSTATION 1 E-EUP-8801B C1</t>
  </si>
  <si>
    <t>E-ESB-8701-B09-G</t>
  </si>
  <si>
    <t>FEEDER FOR DC UPS A SUBSTATION 1 E-EUP-8801A C1</t>
  </si>
  <si>
    <t>R-ESB-8003-B06-E</t>
  </si>
  <si>
    <t>FEEDER FOR NEW LER HVAC ESSENTIAL R-ESB-9402 C1</t>
  </si>
  <si>
    <t>R-L-8021-22F-D</t>
  </si>
  <si>
    <t>FEEDER FOR SEA POLES LIGHTING R-L-8021 15KW 30A</t>
  </si>
  <si>
    <t>R-L-8021-23F-C</t>
  </si>
  <si>
    <t>FEEDER FOR LP FUEL GAS HEATER R-H-4521 28KW 55A</t>
  </si>
  <si>
    <t>R-L-8021-23F-G</t>
  </si>
  <si>
    <t>FEEDER FOR CONTROL BUILDING LDP 1 R-L-8021 100A</t>
  </si>
  <si>
    <t>E-PM-5220</t>
  </si>
  <si>
    <t>OXYGEN SCAVENGER TRANSFER PUMP MOTOR</t>
  </si>
  <si>
    <t>E-KM-8731</t>
  </si>
  <si>
    <t>ELECTRIC DRIVEN AIR COMPRESSOR MOTOR</t>
  </si>
  <si>
    <t>E-PM-6006</t>
  </si>
  <si>
    <t>HOT OIL CLOSED DRAIN DRUM PUMP MOTOR</t>
  </si>
  <si>
    <t>E-EEH-5203A</t>
  </si>
  <si>
    <t>SODIUM CARBONATE STORAGE TANK HEATER</t>
  </si>
  <si>
    <t>E-EEH-5203B</t>
  </si>
  <si>
    <t>E-KEM-6513</t>
  </si>
  <si>
    <t>COMPRESSOR 1 AFTERCOOLER FAN MOTOR 3</t>
  </si>
  <si>
    <t>E-KEM-6523</t>
  </si>
  <si>
    <t>COMPRESSOR 2 AFTERCOOLER FAN MOTOR 3</t>
  </si>
  <si>
    <t>E-KEM-6553</t>
  </si>
  <si>
    <t>COMPRESSOR 5 AFTERCOOLER FAN MOTOR 3</t>
  </si>
  <si>
    <t>R-25-LCP-2521</t>
  </si>
  <si>
    <t>LOCAL CONTROL PANEL (FIELD) LCP-2521</t>
  </si>
  <si>
    <t>E-EDB-8804A-50</t>
  </si>
  <si>
    <t>CCT-050 TBA TELECOM CABINET FEEDER-1</t>
  </si>
  <si>
    <t>E-EDB-8811-01</t>
  </si>
  <si>
    <t>CCT-001 E81FT050 MAGNETIC FLOW METER</t>
  </si>
  <si>
    <t>E-EDB-8811-02</t>
  </si>
  <si>
    <t>CCT-002 E81FT072 MAGNETIC FLOW METER</t>
  </si>
  <si>
    <t>E-EDB-8811-03</t>
  </si>
  <si>
    <t>CCT-003 E81FT073 MAGNETIC FLOW METER</t>
  </si>
  <si>
    <t>R-EMS-8001</t>
  </si>
  <si>
    <t>BREAKER CONTROL PANEL FOR R-ESB-8001</t>
  </si>
  <si>
    <t>R-EMS-8002</t>
  </si>
  <si>
    <t>BREAKER CONTROL PANEL FOR R-ESB-8002</t>
  </si>
  <si>
    <t>R-EMS-8003</t>
  </si>
  <si>
    <t>BREAKER CONTROL PANEL FOR R-ESB-8003</t>
  </si>
  <si>
    <t>E-ESB-8001-D01</t>
  </si>
  <si>
    <t>FEEDER FOR DUMMY PANEL ON SWITCHGEAR E-ESB-8001</t>
  </si>
  <si>
    <t>E-ESB-8001-D02</t>
  </si>
  <si>
    <t>E-ESB-8001-D04</t>
  </si>
  <si>
    <t>E-ESB-8011-A03-B</t>
  </si>
  <si>
    <t>FEEDER FOR SKIMMED OIL PUMP MOTOR E-PM-6701A A1</t>
  </si>
  <si>
    <t>E-ESB-8011-C11-B</t>
  </si>
  <si>
    <t>FEEDER FOR DIESEL FUEL COOLER FAN E-ESB-8011 A1</t>
  </si>
  <si>
    <t>E-ESB-8701-B09-F</t>
  </si>
  <si>
    <t>FEEDER FOR AIR OUTLET ROOM FAN C E-KEM-8701C A1</t>
  </si>
  <si>
    <t>R-ESB-8003-A05-B</t>
  </si>
  <si>
    <t>FEEDER FOR FLASH GAS COOLER MOTOR R-AM-4521B A1</t>
  </si>
  <si>
    <t>E-ESB-8003-B05-D</t>
  </si>
  <si>
    <t>WELDING OUTLETS E-ESSW-8004 45KW/90A</t>
  </si>
  <si>
    <t>R-ESB-8003-B05-F</t>
  </si>
  <si>
    <t>FEEDER FOR FLASH GAS COOLER MOTOR R-AM-4521A A1</t>
  </si>
  <si>
    <t>R-ESB-8003-B05-G</t>
  </si>
  <si>
    <t>FEEDER FOR FLASH GAS COOLER MOTOR R-AM-4521C A1</t>
  </si>
  <si>
    <t>R-L-8021-28R-C</t>
  </si>
  <si>
    <t>FEEDER FOR OIL SKIMMER PUMP R-PM-5631A 15KW 30A</t>
  </si>
  <si>
    <t>R-L-8021-28R-D</t>
  </si>
  <si>
    <t>FEEDER FOR OIL SKIMMER PUMP R-PM-5631B 15KW 30A</t>
  </si>
  <si>
    <t>R-L-8021-30F-H</t>
  </si>
  <si>
    <t>FEEDER FOR SKIMMED OIL PUMP R-PM-5622A 2.2KW 5A</t>
  </si>
  <si>
    <t>R-L-8021-31F-F</t>
  </si>
  <si>
    <t>R-L-8021-16F</t>
  </si>
  <si>
    <t>INCOMING TRANSFORMER R-TE-8021 4000A</t>
  </si>
  <si>
    <t>R-L-8021-18F</t>
  </si>
  <si>
    <t>INCOMING TRANSFORMER R-TR-8022 4000A</t>
  </si>
  <si>
    <t>R-L-8021-25F-C</t>
  </si>
  <si>
    <t>LIGHTING DISTRIBUTION PANEL R-L-8021</t>
  </si>
  <si>
    <t>E-ESB-8011-B04-G</t>
  </si>
  <si>
    <t>FEEDER FOR MEG VACUUM PUMP MOTOR E-PM-3001B A1</t>
  </si>
  <si>
    <t>E-ESB-8011-B05-G</t>
  </si>
  <si>
    <t>FEEDER FOR CPI OUTLET PUMP MOTOR E-PM-6706B A1</t>
  </si>
  <si>
    <t>R-EBD-8021</t>
  </si>
  <si>
    <t>BUS DUCT FROM R-TR-8021 TO R-L-8021</t>
  </si>
  <si>
    <t>E-ESB-8701-B07-D</t>
  </si>
  <si>
    <t>FEEDER FOR HP FLARE KO DRUM HEATER E-H-4201 H2</t>
  </si>
  <si>
    <t>E-ESB-8701-B20-A</t>
  </si>
  <si>
    <t>FEEDER FOR LP FLARE KO DRUM HEATER E-H-4401 C1</t>
  </si>
  <si>
    <t>R-L-8021-12F-D</t>
  </si>
  <si>
    <t>FEEDER FOR N2 LOCAL CONTROL PANEL R-L-8021 20A</t>
  </si>
  <si>
    <t>R-L-8021-24F-D</t>
  </si>
  <si>
    <t>FEEDER FOR WELDING OUTLET FEEDER R-P-WO-2 100A</t>
  </si>
  <si>
    <t>R-L-8021-29F-E</t>
  </si>
  <si>
    <t>FEEDER FOR GEN SPACE HEATER R-GH-8021 2KW 8.5A</t>
  </si>
  <si>
    <t>R-L-8021-29F-F</t>
  </si>
  <si>
    <t>FEEDER FOR LUBE OIL HEATER R-H-8021 4.5KW 8.5A</t>
  </si>
  <si>
    <t>R-L-8021-30F-L</t>
  </si>
  <si>
    <t>FEEDER FOR GEN SPACE HEATER R-GH-8022 2KW 8.5A</t>
  </si>
  <si>
    <t>E-KEM-3002A</t>
  </si>
  <si>
    <t>RECLAIMED MEG CONDENSER FAN A MOTOR</t>
  </si>
  <si>
    <t>E-KEM-3002B</t>
  </si>
  <si>
    <t>RECLAIMED MEG CONDENSER FAN B MOTOR</t>
  </si>
  <si>
    <t>E-PM-5227A</t>
  </si>
  <si>
    <t>HYDROCHLORIC ACID DOSING PUMP MOTOR</t>
  </si>
  <si>
    <t>E-PM-5227B</t>
  </si>
  <si>
    <t>E-ESB-8001</t>
  </si>
  <si>
    <t>6.6KV MAIN SWITCHBOARD SUBSTATION 1</t>
  </si>
  <si>
    <t>E-EDB-8802A-12</t>
  </si>
  <si>
    <t>CCT-012 TBA PAGA CABINET A FEEDER-1</t>
  </si>
  <si>
    <t>E-EDB-8802A-13</t>
  </si>
  <si>
    <t>CCT-013 TBA PAGA CABINET B FEEDER-1</t>
  </si>
  <si>
    <t>E-EDB-8802A-14</t>
  </si>
  <si>
    <t>CCT-014 TBA DATA CABINET-1 FEEDER-1</t>
  </si>
  <si>
    <t>E-EDB-8802A-15</t>
  </si>
  <si>
    <t>CCT-015 TBA DATA CABINET-2 FEEDER-1</t>
  </si>
  <si>
    <t>E-EDB-8802A-21</t>
  </si>
  <si>
    <t>CCT-021 TBA REMOTE DESK SET RADIO-1</t>
  </si>
  <si>
    <t>E-EDB-8802B-12</t>
  </si>
  <si>
    <t>CCT-012 TBA PAGA CABINET A FEEDER-2</t>
  </si>
  <si>
    <t>E-EDB-8802B-13</t>
  </si>
  <si>
    <t>CCT-013 TBA PAGA CABINET B FEEDER-2</t>
  </si>
  <si>
    <t>E-EDB-8802B-14</t>
  </si>
  <si>
    <t>CCT-014 TBA DATA CABINET-1 FEEDER-2</t>
  </si>
  <si>
    <t>E-EDB-8802B-15</t>
  </si>
  <si>
    <t>CCT-015 TBA DATA CABINET-2 FEEDER-2</t>
  </si>
  <si>
    <t>R-EEP-004</t>
  </si>
  <si>
    <t>EARTH ELECTRODE WITH INSPECTION PIT</t>
  </si>
  <si>
    <t>R-EEP-005</t>
  </si>
  <si>
    <t>R-EEP-007</t>
  </si>
  <si>
    <t>R-EEP-006</t>
  </si>
  <si>
    <t>E-ESB-8011-A03-E</t>
  </si>
  <si>
    <t>FEEDER FOR CPI OUTLET PUMP MOTOR E-PM-6706A A1</t>
  </si>
  <si>
    <t>E-ESB-8011-A11-E</t>
  </si>
  <si>
    <t>FEEDER FOR MEG VACUUM PUMP MOTOR E-PM-3001A A1</t>
  </si>
  <si>
    <t>E-ESB-8011-C12-F</t>
  </si>
  <si>
    <t>FEEDER FOR AIR INLET ROOM FAN C E-KEM-8733C A1</t>
  </si>
  <si>
    <t>E-ESB-8011-C12-G</t>
  </si>
  <si>
    <t>FEEDER FOR AIR INLET ROOM FAN D E-KEM-8700D A1</t>
  </si>
  <si>
    <t>E-ESB-8701-B10-B</t>
  </si>
  <si>
    <t>FEEDER FOR AIR INLET ROOM FAN D E-KEM-8701D A1</t>
  </si>
  <si>
    <t>E-ECP-9302</t>
  </si>
  <si>
    <t>RAVEN SUBSTATION 1 PMS SERVER PANEL</t>
  </si>
  <si>
    <t>R-EBD-8022</t>
  </si>
  <si>
    <t>BUS DUCT FROM R-TR-8022 TO R-L-8021</t>
  </si>
  <si>
    <t>E-PM-0505</t>
  </si>
  <si>
    <t>FILL/RECIRCULATION PUMP MOTOR FOR PUMP E-P-0505</t>
  </si>
  <si>
    <t>E-ESB-8701-A15-I</t>
  </si>
  <si>
    <t>FEEDER FOR 24V DC UPS FEEDER B E-EUP-9113B C1</t>
  </si>
  <si>
    <t>R-L-8021-14F-B</t>
  </si>
  <si>
    <t>FEEDER FOR CONTROL BUILDING PDP R-L-8021 160A</t>
  </si>
  <si>
    <t>R-L-8021-27F-A</t>
  </si>
  <si>
    <t>FEEDER FOR DG-1 BATTERY CHARGER 1 R-BCH-8401A</t>
  </si>
  <si>
    <t>R-L-8021-27F-C</t>
  </si>
  <si>
    <t>FEEDER FOR DG-2 BATTERY CHARGER 1 R-BCH-8402A</t>
  </si>
  <si>
    <t>R-L-8023-17F-A</t>
  </si>
  <si>
    <t>FEEDER FOR LUBE OIL HEATER R-H-2721B 15KW 30A</t>
  </si>
  <si>
    <t>R-L-8023-17F-C</t>
  </si>
  <si>
    <t>FEEDER FOR LUBE OIL HEATER R-H-2721A 15KW 30A</t>
  </si>
  <si>
    <t>E-PM-5222</t>
  </si>
  <si>
    <t>CITRIC ACID OFF-LOADING PUMP MOTOR</t>
  </si>
  <si>
    <t>E-PM-5226A</t>
  </si>
  <si>
    <t>SODIUM HYDROXIDE DOSING PUMP MOTOR</t>
  </si>
  <si>
    <t>E-PM-5226B</t>
  </si>
  <si>
    <t>E-PM-5228A</t>
  </si>
  <si>
    <t>OXYGEN SCAVENGER DOSING PUMP MOTOR</t>
  </si>
  <si>
    <t>E-PM-5228B</t>
  </si>
  <si>
    <t>R-PM-5322A</t>
  </si>
  <si>
    <t>MOTOR, UTILITY WATER TRANSFER PUMP</t>
  </si>
  <si>
    <t>R-PM-5322B</t>
  </si>
  <si>
    <t>E-EDB-8802A-17</t>
  </si>
  <si>
    <t>CCT-017 TBA SCS CABINET-2 FEEDER-1</t>
  </si>
  <si>
    <t>E-EDB-8802A-41</t>
  </si>
  <si>
    <t>CCT-041 TBA DESKTOP SERVER CABINET</t>
  </si>
  <si>
    <t>E-EDB-8802B-17</t>
  </si>
  <si>
    <t>CCT-017 TBA SCS CABINET-2 FEEDER-2</t>
  </si>
  <si>
    <t>E-EDB-8802B-21</t>
  </si>
  <si>
    <t>CCT-021 TBA REMOTE DESK SET RADIO-2</t>
  </si>
  <si>
    <t>E-ESB-8701-A13-A</t>
  </si>
  <si>
    <t>FEEDER FOR AIR COMPRESSOR MOTOR E-ECP-6531 V4</t>
  </si>
  <si>
    <t>E-ESB-8701-B18-A</t>
  </si>
  <si>
    <t>FEEDER FOR AIR COMPRESSOR MOTOR E-ECP-6541 V4</t>
  </si>
  <si>
    <t>E-ESB-8701-B18-B</t>
  </si>
  <si>
    <t>FEEDER FOR AIR COMPRESSOR MOTOR E-ECP-6551 V4</t>
  </si>
  <si>
    <t>E-ESB-8011-C14-B</t>
  </si>
  <si>
    <t>Q204 TRANSFORMER FEEDER E-ESB-8011</t>
  </si>
  <si>
    <t>E-ESB-8011-C15-B</t>
  </si>
  <si>
    <t>Q240 TRANSFORMER FEEDER E-ESB-8011</t>
  </si>
  <si>
    <t>E-ESB-8011-A23-D</t>
  </si>
  <si>
    <t>FEEDER FOR VALVE MOTOR OPERATED E81MOV075 A1</t>
  </si>
  <si>
    <t>E-ESB-8011-C03-D</t>
  </si>
  <si>
    <t>FEEDER FOR DC UPS B SUBSTATION 2 E-EUP-8805B</t>
  </si>
  <si>
    <t>R-L-8021-29R-F</t>
  </si>
  <si>
    <t>FEEDER FOR LUBE OIL HEATER R-H-8022 4.5KW 9A</t>
  </si>
  <si>
    <t>E-ECB-8803C</t>
  </si>
  <si>
    <t>MCCB FOR BATTERY BANK E-EBA-8803C</t>
  </si>
  <si>
    <t>E-ECB-8805C</t>
  </si>
  <si>
    <t>MCCB FOR BATTERY BANK E-EBA-8805C</t>
  </si>
  <si>
    <t>E-ECB-9112A</t>
  </si>
  <si>
    <t>MCCB FOR BATTERY BANK E-EBA-9112A</t>
  </si>
  <si>
    <t>E-ECB-9112B</t>
  </si>
  <si>
    <t>MCCB FOR BATTERY BANK E-EBA-9112B</t>
  </si>
  <si>
    <t>E-ECB-9113A</t>
  </si>
  <si>
    <t>MCCB FOR BATTERY BANK E-EBA-9113A</t>
  </si>
  <si>
    <t>E-ECB-9113B</t>
  </si>
  <si>
    <t>MCCB FOR BATTERY BANK E-EBA-9113B</t>
  </si>
  <si>
    <t>R-PM-5325A</t>
  </si>
  <si>
    <t>MOTOR POTABLE WATER TRANSFER PUMP</t>
  </si>
  <si>
    <t>R-PM-5325B</t>
  </si>
  <si>
    <t>E-KFM-6001</t>
  </si>
  <si>
    <t>HOT OIL FIRED HEATER BLOWER MOTOR</t>
  </si>
  <si>
    <t>E-KFM-6002</t>
  </si>
  <si>
    <t>R-GCP-8021</t>
  </si>
  <si>
    <t>UNIT CONTROL PANEL FOR GTG G-8021</t>
  </si>
  <si>
    <t>R-GCP-8022</t>
  </si>
  <si>
    <t>UNIT CONTROL PANEL FOR GTG G-8022</t>
  </si>
  <si>
    <t>E-PM-8103A</t>
  </si>
  <si>
    <t>FIRE WATER OFF-LOADING PUMP MOTOR</t>
  </si>
  <si>
    <t>E-PM-8103B</t>
  </si>
  <si>
    <t>E-PM-8103C</t>
  </si>
  <si>
    <t>E-PM-8103D</t>
  </si>
  <si>
    <t>R-ECB-8801A</t>
  </si>
  <si>
    <t>MCCB FOR BATTERY BANK R-ECB-8801A</t>
  </si>
  <si>
    <t>R-ECB-8801B</t>
  </si>
  <si>
    <t>MCCB FOR BATTERY BANK R-ECB-8801B</t>
  </si>
  <si>
    <t>E-EDB-9121-04</t>
  </si>
  <si>
    <t>CCT-004 E-EJB-9121-01 AC IGNITORS</t>
  </si>
  <si>
    <t>E-EDB-9131-04</t>
  </si>
  <si>
    <t>CCT-004 E-EJB-9131-01 AC IGNITORS</t>
  </si>
  <si>
    <t>E-EDB-9141-04</t>
  </si>
  <si>
    <t>CCT-004 E-EJB-9141-01 AC IGNITORS</t>
  </si>
  <si>
    <t>E-EDB-8804B-41</t>
  </si>
  <si>
    <t>CCT-041 LATER EPU LOAD-A FEEDER-1</t>
  </si>
  <si>
    <t>E-EDB-8804B-42</t>
  </si>
  <si>
    <t>CCT-042 LATER EPU LOAD-B FEEDER-1</t>
  </si>
  <si>
    <t>R-EDB-8904</t>
  </si>
  <si>
    <t>ANALYSER HOUSE DISTRIBUTION BOARD</t>
  </si>
  <si>
    <t>E-EDB-8507</t>
  </si>
  <si>
    <t>ESSENTIAL SMALL POWER DIST. BOARD</t>
  </si>
  <si>
    <t>E-ESB-8011-C02-B</t>
  </si>
  <si>
    <t>FEEDER FOR VALVE MOTOR OPERATED E81MOV074 B2</t>
  </si>
  <si>
    <t>E-ESB-8011-C02-C</t>
  </si>
  <si>
    <t>FEEDER FOR VALVE MOTOR OPERATED E81MOV075 B2</t>
  </si>
  <si>
    <t>E-ESB-8701-B10-C</t>
  </si>
  <si>
    <t>FEEDER FOR AIR COMPRESSOR MOTOR E-KM-8701 A1</t>
  </si>
  <si>
    <t>E-ESB-8012-C01-A</t>
  </si>
  <si>
    <t>COUPLER CONNECTION FOR E-ESB-8012</t>
  </si>
  <si>
    <t>E-ESB-8012-C01-B</t>
  </si>
  <si>
    <t>E-ESB-8012-B01-A</t>
  </si>
  <si>
    <t>E-ESB-8012-B01-B</t>
  </si>
  <si>
    <t>E-ESB-8706-B01-B</t>
  </si>
  <si>
    <t>COUPLER CONNECTION FOR E-ESB-8706</t>
  </si>
  <si>
    <t>E-ESB-8011-B05-H</t>
  </si>
  <si>
    <t>FEEDER FOR CPI OIL PUMP MOTOR E-PM-6707B A1</t>
  </si>
  <si>
    <t>E-ESB-8011-B05-F</t>
  </si>
  <si>
    <t>FEEDER FOR BOTTOMS PUMP MOTOR E-PM-6703B A1</t>
  </si>
  <si>
    <t>R-L-8021-22F-G</t>
  </si>
  <si>
    <t>FEEDER FOR ENCLOSURE AC PANEL R-DG-8401 80A</t>
  </si>
  <si>
    <t>R-L-8021-25F-B</t>
  </si>
  <si>
    <t>FEEDER FOR ENCLOSURE AC PANEL R-DG-8402 63A</t>
  </si>
  <si>
    <t>R-L-8021-31R-F</t>
  </si>
  <si>
    <t>FEEDER FOR UPS2 LIGHTING EMERGENCY R-L-8021</t>
  </si>
  <si>
    <t>E-ECB-8807</t>
  </si>
  <si>
    <t>MCCB FOR BATTERY BANK E-EBA-8807</t>
  </si>
  <si>
    <t>E-PM-3008A</t>
  </si>
  <si>
    <t>RECLAIMED MEG PRODUCT PUMP MOTOR</t>
  </si>
  <si>
    <t>E-PM-3008B</t>
  </si>
  <si>
    <t>E-EDB-9111-04</t>
  </si>
  <si>
    <t>CCT-04 AC IGNITORS E-EJB-9111-01</t>
  </si>
  <si>
    <t>E-EDB-8802A-24</t>
  </si>
  <si>
    <t>CCT-024 TBA SCS CABINET FEEDER-1</t>
  </si>
  <si>
    <t>E-EDB-8802A-25</t>
  </si>
  <si>
    <t>CCT-025 TBA PERIMETER CCTV HUB 1</t>
  </si>
  <si>
    <t>E-EDB-8802B-24</t>
  </si>
  <si>
    <t>E-EDB-8802B-25</t>
  </si>
  <si>
    <t>CCT-025 TBA PERIMETER CCTV HUB 2</t>
  </si>
  <si>
    <t>E-EDB-8802B-26</t>
  </si>
  <si>
    <t>CCT-026 TBA REMOTE DESK SET RADIO</t>
  </si>
  <si>
    <t>E-EDB-8803A-20</t>
  </si>
  <si>
    <t>CCT-020 TBA PERIMETER CCTV HUB 3</t>
  </si>
  <si>
    <t>E-EDB-8803B-19</t>
  </si>
  <si>
    <t>CCT-019 TBA REMOTE DESK SET RADIO</t>
  </si>
  <si>
    <t>E-EDB-8803B-20</t>
  </si>
  <si>
    <t>E-ESB-8011-A03-D</t>
  </si>
  <si>
    <t>FEEDER FOR BOTTOMS PUMP MOTOR E-PM-6703A A1</t>
  </si>
  <si>
    <t>E-ESB-8011-A03-F</t>
  </si>
  <si>
    <t>FEEDER FOR CPI OIL PUMP MOTOR E-PM-6707A A1</t>
  </si>
  <si>
    <t>R-ECP-9301</t>
  </si>
  <si>
    <t>GIZA FAYOUM SUBSTATION PMS PANEL</t>
  </si>
  <si>
    <t>W-E-PM-4701</t>
  </si>
  <si>
    <t>METHANOL OFF-LOADING PUMP MOTOR</t>
  </si>
  <si>
    <t>E-PM-0502</t>
  </si>
  <si>
    <t>LP HYDRAULIC PUMP MOTOR FOR PUMP E-P-0502</t>
  </si>
  <si>
    <t>E-PM-0504</t>
  </si>
  <si>
    <t>HP HYDRAULIC PUMP MOTOR FOR PUMP E-P-0504</t>
  </si>
  <si>
    <t>E-PM-2905</t>
  </si>
  <si>
    <t>LEAN MEG OFF-LOADING PUMP MOTOR</t>
  </si>
  <si>
    <t>E-ESB-8706-A05-C</t>
  </si>
  <si>
    <t>FEEDER FOR HPU HVAC E-HVCP-050 C1 14KW 28A</t>
  </si>
  <si>
    <t>R-L-8021-14F-D</t>
  </si>
  <si>
    <t>FEEDER FOR FIRE HOUSE LDP R-FIRE-LDP-1 60A</t>
  </si>
  <si>
    <t>R-L-8021-23F-D</t>
  </si>
  <si>
    <t>FEEDER FOR UPS RESERVE SUPPLY R-L-8021 80A</t>
  </si>
  <si>
    <t>E-PM-3007A</t>
  </si>
  <si>
    <t>RECOVERED MEG RETURN PUMP MOTOR</t>
  </si>
  <si>
    <t>E-PM-3007B</t>
  </si>
  <si>
    <t>E-PM-4701</t>
  </si>
  <si>
    <t>E-KEM-6001A</t>
  </si>
  <si>
    <t>HOT OIL TRIM COOLER FAN A MOTOR</t>
  </si>
  <si>
    <t>E-KEM-6001B</t>
  </si>
  <si>
    <t>HOT OIL TRIM COOLER FAN B MOTOR</t>
  </si>
  <si>
    <t>E-KEM-6001C</t>
  </si>
  <si>
    <t>HOT OIL TRIM COOLER FAN C MOTOR</t>
  </si>
  <si>
    <t>E-EDB-8802A-27</t>
  </si>
  <si>
    <t>CCT-027 TBA VSAT CABINET FEEDER</t>
  </si>
  <si>
    <t>E-EDB-8802B-27</t>
  </si>
  <si>
    <t>E-EDB-8804A-41</t>
  </si>
  <si>
    <t>CCT-041 TBA EPU LOAD-A FEEDER-1</t>
  </si>
  <si>
    <t>E-EDB-8804A-42</t>
  </si>
  <si>
    <t>CCT-042 TBA EPU LOAD-B FEEDER-1</t>
  </si>
  <si>
    <t>R-L-8021-12R-B</t>
  </si>
  <si>
    <t>FEEDER FOR DIESEL PUMP R-PM-6221A 2.2KW 5A</t>
  </si>
  <si>
    <t>E-ESB-8012-BC-A</t>
  </si>
  <si>
    <t>BUS COUPLER KEY LOCK E-ESB-8012</t>
  </si>
  <si>
    <t>E-ESB-8012-AB-A</t>
  </si>
  <si>
    <t>E-ESB-8701-A01-A</t>
  </si>
  <si>
    <t>INCOMER FROM 690V DC E-GE-8731</t>
  </si>
  <si>
    <t>E-ESB-8701-A01-B</t>
  </si>
  <si>
    <t>INCOMER 5 NW40H1-3P E-ESB-8701</t>
  </si>
  <si>
    <t>E-ESB-8701-A04-B</t>
  </si>
  <si>
    <t>INCOMER 4 NW32H1-3P E-ESB-8701</t>
  </si>
  <si>
    <t>E-PM-2801A</t>
  </si>
  <si>
    <t>RICH MEG FLASH DRUM PUMP MOTOR</t>
  </si>
  <si>
    <t>E-PM-2801B</t>
  </si>
  <si>
    <t>R-PM-2802A</t>
  </si>
  <si>
    <t>R-PM-2802B</t>
  </si>
  <si>
    <t>E-ESB-8701-A07-A</t>
  </si>
  <si>
    <t>FEEDER FOR 690V SWITCHBOARD E-ESB-8705 C4</t>
  </si>
  <si>
    <t>E-ESB-8701-A08-A</t>
  </si>
  <si>
    <t>E-ESB-8701-A09-A</t>
  </si>
  <si>
    <t>FEEDER FOR 690V SWITCHBOARD E-ESB-8703 C4</t>
  </si>
  <si>
    <t>E-ESB-8701-A10-A</t>
  </si>
  <si>
    <t>FEEDER FOR 690V SWITCHBOARD E-ESB-8702 C4</t>
  </si>
  <si>
    <t>E-ESB-8701-B02-A</t>
  </si>
  <si>
    <t>E-ESB-8701-B10-G</t>
  </si>
  <si>
    <t>FEEDER FOR 24V DC FEEDER B E-EUP-9112B C1</t>
  </si>
  <si>
    <t>E-ESB-8701-B21-A</t>
  </si>
  <si>
    <t>FEEDER FOR 690V SWITCHBOARD E-ESB-8704 C4</t>
  </si>
  <si>
    <t>E-ESB-8701-B22-A</t>
  </si>
  <si>
    <t>E-ESB-8701-B24-A</t>
  </si>
  <si>
    <t>R-ESB-8003-A05-E</t>
  </si>
  <si>
    <t>FEEDER FOR WELDING OUTLETS R-ESSW-8901 C1</t>
  </si>
  <si>
    <t>E-PM-5217A</t>
  </si>
  <si>
    <t>CHEMICAL CLEANING PUMP MOTOR A</t>
  </si>
  <si>
    <t>E-PM-5217B</t>
  </si>
  <si>
    <t>CHEMICAL CLEANING PUMP MOTOR B</t>
  </si>
  <si>
    <t>E-PM-6002A</t>
  </si>
  <si>
    <t>HOT OIL CIRCULATION PUMP MOTOR</t>
  </si>
  <si>
    <t>E-PM-6002B</t>
  </si>
  <si>
    <t>E-PM-6002C</t>
  </si>
  <si>
    <t>E-PM-6717A</t>
  </si>
  <si>
    <t>SALT DISSOLVER FEED PUMP MOTOR</t>
  </si>
  <si>
    <t>E-PM-6717B</t>
  </si>
  <si>
    <t>R-PM-2101B</t>
  </si>
  <si>
    <t>CONDENSATE SAMPLING PUMP MOTOR</t>
  </si>
  <si>
    <t>R-PM-2101A</t>
  </si>
  <si>
    <t>E-EDB-8804A-28</t>
  </si>
  <si>
    <t>CCT-028 E28AT027 ANALYSER LOAD</t>
  </si>
  <si>
    <t>E-EDB-8943</t>
  </si>
  <si>
    <t>SMALL POWER DISTRIBUTION BOARD</t>
  </si>
  <si>
    <t>E-ESB-8011-C05-B</t>
  </si>
  <si>
    <t>INCOMER 3 NW32H1-3P E-ESB-8011</t>
  </si>
  <si>
    <t>E-ESB-8012-A01-B</t>
  </si>
  <si>
    <t>INCOMER 1 NW20H1-4P E-ESB-8012</t>
  </si>
  <si>
    <t>E-ESB-8012-C02-B</t>
  </si>
  <si>
    <t>INCOMER 2 NW20H1-4P E-ESB-8012</t>
  </si>
  <si>
    <t>E-ESB-8701-AB-A</t>
  </si>
  <si>
    <t>4000A BUS COUPLER-1 E-ESB-8701</t>
  </si>
  <si>
    <t>E-ESB-8701-B15-B</t>
  </si>
  <si>
    <t>INCOMER 3 NW40H2-3P E-ESB-8701</t>
  </si>
  <si>
    <t>E-ESB-8706-A01-B</t>
  </si>
  <si>
    <t>INCOMER 1 NW08H1-4P E-ESB-8706</t>
  </si>
  <si>
    <t>E-ESB-8706-B02-B</t>
  </si>
  <si>
    <t>INCOMER 2 NW08H1-4P E-ESB-8706</t>
  </si>
  <si>
    <t>R-ESB-8002-AB-B</t>
  </si>
  <si>
    <t>BUS COUPLER 1 2500A R-ESB-8002</t>
  </si>
  <si>
    <t>E-PM-2102A</t>
  </si>
  <si>
    <t>CONDENSATE BOOSTER PUMP MOTOR</t>
  </si>
  <si>
    <t>E-PM-2102B</t>
  </si>
  <si>
    <t>E-PM-2903A</t>
  </si>
  <si>
    <t>LEAN MEG BOOSTER PUMP MOTOR A</t>
  </si>
  <si>
    <t>E-PM-2903B</t>
  </si>
  <si>
    <t>LEAN MEG BOOSTER PUMP MOTOR B</t>
  </si>
  <si>
    <t>E-PM-2903C</t>
  </si>
  <si>
    <t>LEAN MEG BOOSTER PUMP MOTOR C</t>
  </si>
  <si>
    <t>E-ESB-8011-B19-A</t>
  </si>
  <si>
    <t>FEEDER FOR FUEL GAS HEATER E-H-4602AA H2</t>
  </si>
  <si>
    <t>E-ESB-8011-C02-E</t>
  </si>
  <si>
    <t>FEEDER FOR FUEL GAS HEATER E-H-4602AB H2</t>
  </si>
  <si>
    <t>E-ESB-8701-B25-A</t>
  </si>
  <si>
    <t>FEEDER FOR AC UPS B LER 1 E-EUP-8804B C1</t>
  </si>
  <si>
    <t>R-L-8021-12F-E</t>
  </si>
  <si>
    <t>FEEDER FOR GATE HOUSE 1 LDP R-L-8021 40A</t>
  </si>
  <si>
    <t>R-L-8021-22F-H</t>
  </si>
  <si>
    <t>FEEDER FOR GATE HOUSE 2 LDP R-L-8021 40A</t>
  </si>
  <si>
    <t>E-KEM-3003AA</t>
  </si>
  <si>
    <t>LEAN MEG COOLER A FAN A MOTOR</t>
  </si>
  <si>
    <t>E-KEM-3003AB</t>
  </si>
  <si>
    <t>LEAN MEG COOLER A FAN B MOTOR</t>
  </si>
  <si>
    <t>E-KEM-3003AC</t>
  </si>
  <si>
    <t>LEAN MEG COOLER A FAN C MOTOR</t>
  </si>
  <si>
    <t>E-KEM-3003BA</t>
  </si>
  <si>
    <t>LEAN MEG COOLER B FAN A MOTOR</t>
  </si>
  <si>
    <t>E-KEM-3003BB</t>
  </si>
  <si>
    <t>LEAN MEG COOLER B FAN B MOTOR</t>
  </si>
  <si>
    <t>E-KEM-3003BC</t>
  </si>
  <si>
    <t>LEAN MEG COOLER B FAN C MOTOR</t>
  </si>
  <si>
    <t>E-PM-3006A</t>
  </si>
  <si>
    <t>LEAN MEG PRODUCT PUMP MOTOR A</t>
  </si>
  <si>
    <t>E-PM-3006B</t>
  </si>
  <si>
    <t>LEAN MEG PRODUCT PUMP MOTOR B</t>
  </si>
  <si>
    <t>E-ECP-9112</t>
  </si>
  <si>
    <t>GTG DC MOTOR CONTRACTOR PANEL</t>
  </si>
  <si>
    <t>E-ESB-8002</t>
  </si>
  <si>
    <t>690V SWITCHBOARD SUBSTATION 1</t>
  </si>
  <si>
    <t>E-ESB-8003</t>
  </si>
  <si>
    <t>400V SWITCHBOARD SUBSTATION 1</t>
  </si>
  <si>
    <t>E-ESB-8011</t>
  </si>
  <si>
    <t>690V SWITCHBOARD SUBSTATION 2</t>
  </si>
  <si>
    <t>E-ESB-8012</t>
  </si>
  <si>
    <t>400V SWITCHBOARD SUBSTATION 2</t>
  </si>
  <si>
    <t>E-ESB-8701</t>
  </si>
  <si>
    <t>E-ESB-8706</t>
  </si>
  <si>
    <t>R-EUP-8803A</t>
  </si>
  <si>
    <t>DC UPS AND DISTRIBUTION BOARD</t>
  </si>
  <si>
    <t>R-EBA-8803B-DUP1</t>
  </si>
  <si>
    <t>AC UPS AND DISTRIBUTION BOARD</t>
  </si>
  <si>
    <t>E-PM-0501</t>
  </si>
  <si>
    <t>LP HYDRAULIC PUMP MOTOR FOR PUMP E-P-0501</t>
  </si>
  <si>
    <t>E-PM-0503</t>
  </si>
  <si>
    <t>HP HYDRAULIC PUMP MOTORFOR PUMP E-P-0503</t>
  </si>
  <si>
    <t>E-ESB-8011-A21-A</t>
  </si>
  <si>
    <t>FEEDER FOR FUEL GAS HEATER E-H-4602B H2</t>
  </si>
  <si>
    <t>R-L-8021-14F-E</t>
  </si>
  <si>
    <t>FEEDER FOR WORKSHOP LDP R-WS-LDP-1 100A</t>
  </si>
  <si>
    <t>R-L-8021-24F-A</t>
  </si>
  <si>
    <t>FEEDER FOR WORKSHOP PDP R-WS-PDP-1 200A</t>
  </si>
  <si>
    <t>E-PM-5217</t>
  </si>
  <si>
    <t>CHEMICAL CLEANING PUMP MOTOR</t>
  </si>
  <si>
    <t>E-PM-5219</t>
  </si>
  <si>
    <t>E-PM-6004A</t>
  </si>
  <si>
    <t>HOT OIL SPILLBACK PUMP MOTOR</t>
  </si>
  <si>
    <t>E-PM-6004B</t>
  </si>
  <si>
    <t>E-PM-6004C</t>
  </si>
  <si>
    <t>E-ETR-8701A</t>
  </si>
  <si>
    <t>6.6KV/720V POWER TRANSFORMER</t>
  </si>
  <si>
    <t>E-ETR-8701B</t>
  </si>
  <si>
    <t>E-EMS-9111</t>
  </si>
  <si>
    <t>GTG CASTELL KEY EXCHANGE BOX</t>
  </si>
  <si>
    <t>E-EMS-9121</t>
  </si>
  <si>
    <t>E-EMS-9131</t>
  </si>
  <si>
    <t>E-EMS-9141</t>
  </si>
  <si>
    <t>E-EDB-8501</t>
  </si>
  <si>
    <t>ESSENTIAL DISTRIBUTION BOARD</t>
  </si>
  <si>
    <t>E-EDB-8906</t>
  </si>
  <si>
    <t>R-L-8021-11F-G</t>
  </si>
  <si>
    <t>FEEDER FOR MT MOTOR R-L-8021 1.1KW 2.6A</t>
  </si>
  <si>
    <t>E-ESB-8011-AB-A</t>
  </si>
  <si>
    <t>BUS COUPLER 4000A E-ESB-8011</t>
  </si>
  <si>
    <t>E-ECP-9303</t>
  </si>
  <si>
    <t>RAVEN SUBSTATION 2 PMS PANEL</t>
  </si>
  <si>
    <t>E-ESB-8011-BC-A</t>
  </si>
  <si>
    <t>E-ESB-8012-BC-B</t>
  </si>
  <si>
    <t>1600A BUS COUPLER E-ESB-8012</t>
  </si>
  <si>
    <t>E-ESB-8012-BC-C</t>
  </si>
  <si>
    <t>BUS COUPLER BUS B E-ESB-8012</t>
  </si>
  <si>
    <t>E-ESB-8012-AB-B</t>
  </si>
  <si>
    <t>E-ESB-8702-A01-B</t>
  </si>
  <si>
    <t>INCOMER NW08H1-3P E-ESB-8702</t>
  </si>
  <si>
    <t>E-ESB-8702-A02-B</t>
  </si>
  <si>
    <t>E-ESB-8703-A01-B</t>
  </si>
  <si>
    <t>INCOMER NW08H1-3P E-ESB-8703</t>
  </si>
  <si>
    <t>E-ESB-8703-A02-B</t>
  </si>
  <si>
    <t>E-ESB-8704-A01-B</t>
  </si>
  <si>
    <t>E-ESB-8704-A02-B</t>
  </si>
  <si>
    <t>INCOMER NW08H1-3P E-ESB-8704</t>
  </si>
  <si>
    <t>E-ESB-8705-A01-B</t>
  </si>
  <si>
    <t>E-ESB-8705-A02-B</t>
  </si>
  <si>
    <t>INCOMER NW08H1-3P E-ESB-8705</t>
  </si>
  <si>
    <t>R-ESB-8003-AB-B</t>
  </si>
  <si>
    <t>BUS COUPLER 2500A R-ESB-8003</t>
  </si>
  <si>
    <t>E-VFD-2512A</t>
  </si>
  <si>
    <t>VSD CABINET FOR E-KEM-2512A</t>
  </si>
  <si>
    <t>E-VFD-2512B</t>
  </si>
  <si>
    <t>VSD CABINET FOR E-KEM-2512B</t>
  </si>
  <si>
    <t>E-VFD-2512D</t>
  </si>
  <si>
    <t>VSD CABINET FOR E-KEM-2512D</t>
  </si>
  <si>
    <t>E-VFD-2512E</t>
  </si>
  <si>
    <t>VSD CABINET FOR E-KEM-2512E</t>
  </si>
  <si>
    <t>E-PM-2805</t>
  </si>
  <si>
    <t>SLOP MEG LOADING PUMP MOTOR</t>
  </si>
  <si>
    <t>E-ESB-8011-C03-B</t>
  </si>
  <si>
    <t>FEEDER FOR AC UPS A LER 2 E-EUP-8803AA</t>
  </si>
  <si>
    <t>E-ESB-8011-C03-C</t>
  </si>
  <si>
    <t>FEEDER FOR AC UPS A LER 2 E-EUP-8803BA</t>
  </si>
  <si>
    <t>R-ESB-8003-B05-E</t>
  </si>
  <si>
    <t>FEEDER FOR DC UPS LER 3 R-EUP-8803A B1</t>
  </si>
  <si>
    <t>R-ESB-8003-B07-B</t>
  </si>
  <si>
    <t>FEEDER FOR DC UPS LER 3 R-EUP-8803B B1</t>
  </si>
  <si>
    <t>R-PM-5621A</t>
  </si>
  <si>
    <t>MOTOR, OILY WATER SUMP PUMP</t>
  </si>
  <si>
    <t>R-PM-5621B</t>
  </si>
  <si>
    <t>R-PM-5632A</t>
  </si>
  <si>
    <t>MOTOR WASTE OILY WATER PUMP</t>
  </si>
  <si>
    <t>R-PM-5632B</t>
  </si>
  <si>
    <t>E-PM-6001</t>
  </si>
  <si>
    <t>HOT OIL START UP PUMP MOTOR</t>
  </si>
  <si>
    <t>E-KEM-6602A</t>
  </si>
  <si>
    <t>COMBUSTION AIR BLOWER MOTOR</t>
  </si>
  <si>
    <t>E-KEM-6602B</t>
  </si>
  <si>
    <t>E-ETR-8002A</t>
  </si>
  <si>
    <t>E-ETR-8002B</t>
  </si>
  <si>
    <t>E-ETR-8003A</t>
  </si>
  <si>
    <t>6.6KV/420V POWER TRANSFORMER</t>
  </si>
  <si>
    <t>E-ETR-8003B</t>
  </si>
  <si>
    <t>E-ETR-8011A</t>
  </si>
  <si>
    <t>E-ETR-8011B</t>
  </si>
  <si>
    <t>E-ETR-8012A</t>
  </si>
  <si>
    <t>690V/420V POWER TRANSFORMER</t>
  </si>
  <si>
    <t>E-ETR-8012B</t>
  </si>
  <si>
    <t>E-ETR-8706A</t>
  </si>
  <si>
    <t>E-ETR-8706B</t>
  </si>
  <si>
    <t>E-ESB-8701-B16-B</t>
  </si>
  <si>
    <t>Q50 NW08H2-3P ON E-ESB-8701</t>
  </si>
  <si>
    <t>E-VFD-6001D</t>
  </si>
  <si>
    <t>VFD CABINET FOR E-KEM6001E</t>
  </si>
  <si>
    <t>R-PM-4521C-ESC01</t>
  </si>
  <si>
    <t>ELECTRICAL CONTROL STATION FOR MEG RECOVERY PUMP MOTOR</t>
  </si>
  <si>
    <t>R-PM-4521B-ESC01</t>
  </si>
  <si>
    <t>R-PM-4521A-ESC01</t>
  </si>
  <si>
    <t>R-PM-2802A-ESC01</t>
  </si>
  <si>
    <t>ELECTRICAL CONTROL STATION FOR RICH MEG FLASH DRUM PUMP MOTOR</t>
  </si>
  <si>
    <t>R-PM-2802B-ESC01</t>
  </si>
  <si>
    <t>R-PM-2801-ESC01</t>
  </si>
  <si>
    <t>ELECTRICAL CONTROL STATION FOR RICH MEG FLASH DRUM CONDENSATE PUMP MOTOR</t>
  </si>
  <si>
    <t>R-H-2001A-ECS01</t>
  </si>
  <si>
    <t>ELECTRICAL CONTROL STATION FOR SLUG CATCHER BOTTOMS ELECTRIC HEATER</t>
  </si>
  <si>
    <t>R-H-2001B-ECS01</t>
  </si>
  <si>
    <t>R-AM-2121A-ECS02</t>
  </si>
  <si>
    <t>ELECTRICAL CONTROL STATION FOR CONDENSATE COOLER FAN A MOTOR</t>
  </si>
  <si>
    <t>R-AM-2121B-ECS02</t>
  </si>
  <si>
    <t>ELECTRICAL CONTROL STATION FOR CONDENSATE COOLER FAN B MOTOR</t>
  </si>
  <si>
    <t>R-AM-2121C-ECS02</t>
  </si>
  <si>
    <t>ELECTRICAL CONTROL STATION FOR CONDENSATE COOLER FAN C MOTOR</t>
  </si>
  <si>
    <t>R-AM-2121A-ECS01</t>
  </si>
  <si>
    <t>R-AM-2121B-ECS01</t>
  </si>
  <si>
    <t>R-AM-2121C-ECS01</t>
  </si>
  <si>
    <t>R-H-2022A-ECS01</t>
  </si>
  <si>
    <t>ELECTRICAL CONTROL STATION FOR CONDENSATE ELECTRIC HEATER</t>
  </si>
  <si>
    <t>R-H-2022B-ECS01</t>
  </si>
  <si>
    <t>E-PM-2806A</t>
  </si>
  <si>
    <t>SLURRY TRANSFER PUMP MOTOR</t>
  </si>
  <si>
    <t>E-PM-2806B</t>
  </si>
  <si>
    <t>E-PM-2902A</t>
  </si>
  <si>
    <t>LEAN MEG MAKEUP PUMP MOTOR</t>
  </si>
  <si>
    <t>E-PM-2902B</t>
  </si>
  <si>
    <t>E-PM-2904A</t>
  </si>
  <si>
    <t>LEAN MEG EXPORT PUMP MOTOR</t>
  </si>
  <si>
    <t>E-PM-2904B</t>
  </si>
  <si>
    <t>E-PM-2904C</t>
  </si>
  <si>
    <t>E-ESB-8011-C02-F</t>
  </si>
  <si>
    <t>FEEDER FOR FUEL GAS HEATER E-H-4602BB</t>
  </si>
  <si>
    <t>E-ESB-8701-A11-A</t>
  </si>
  <si>
    <t>FEEDER FOR AC UPS A LER 1 E-EUP-8804A</t>
  </si>
  <si>
    <t>R-L-8021-13F-B</t>
  </si>
  <si>
    <t>FEEDER FOR WORKSHOP PDP R-L-8021 200A</t>
  </si>
  <si>
    <t>R-L-8021-22F-F</t>
  </si>
  <si>
    <t>FEEDER FOR HVAC BUILDING R-L-8021 80A</t>
  </si>
  <si>
    <t>E-EDB-8807</t>
  </si>
  <si>
    <t>UPS SUB DISTRIBUTION BOARD</t>
  </si>
  <si>
    <t>E-EDB-8813</t>
  </si>
  <si>
    <t>E-EDB-8809</t>
  </si>
  <si>
    <t>E-EDB-8811</t>
  </si>
  <si>
    <t>E-EDB-8812</t>
  </si>
  <si>
    <t>E-EDB-8806</t>
  </si>
  <si>
    <t>E-ESB-8012-C01-D</t>
  </si>
  <si>
    <t>COUPLER CONTROL E-ESB-8012</t>
  </si>
  <si>
    <t>E-ESB-8012-C01-E</t>
  </si>
  <si>
    <t>E-PM-2803</t>
  </si>
  <si>
    <t>MEG DRAIN DRUM PUMP MOTOR</t>
  </si>
  <si>
    <t>R-L-8021-24F-F</t>
  </si>
  <si>
    <t>FEEDER FOR UPS FEEDER 2 R-L-8021 80A</t>
  </si>
  <si>
    <t>R-L-8021-26F-E</t>
  </si>
  <si>
    <t>FEEDER FOR UPS FEEDER 1 R-L-8021 80A</t>
  </si>
  <si>
    <t>R-PM-5722</t>
  </si>
  <si>
    <t>MOTOR, SEPARATED OIL PUMP</t>
  </si>
  <si>
    <t>R-EBA-8802</t>
  </si>
  <si>
    <t>LIGHTING UPS BATTERY BANK</t>
  </si>
  <si>
    <t>E-EDB-8802B-41</t>
  </si>
  <si>
    <t>CCT-041 TBA ACS TURNSTILE</t>
  </si>
  <si>
    <t>E-EDB-8901</t>
  </si>
  <si>
    <t>NORMAL DISTRIBUTION BOARD</t>
  </si>
  <si>
    <t>E-EDB-8902</t>
  </si>
  <si>
    <t>E-EDB-8903</t>
  </si>
  <si>
    <t>E-EDB-8904</t>
  </si>
  <si>
    <t>E-EDB-9111</t>
  </si>
  <si>
    <t>E-EDB-9121</t>
  </si>
  <si>
    <t>E-EDB-9131</t>
  </si>
  <si>
    <t>E-EDB-9141</t>
  </si>
  <si>
    <t>E-EDB-8919</t>
  </si>
  <si>
    <t>E-EDB-8927</t>
  </si>
  <si>
    <t>E-EDB-8908</t>
  </si>
  <si>
    <t>E-EDB-8911</t>
  </si>
  <si>
    <t>E-EDB-8909</t>
  </si>
  <si>
    <t>E-EDB-8936</t>
  </si>
  <si>
    <t>E-EDB-8922</t>
  </si>
  <si>
    <t>E-EDB-8933</t>
  </si>
  <si>
    <t>E-EDB-8931</t>
  </si>
  <si>
    <t>E-EDB-8916</t>
  </si>
  <si>
    <t>E-EDB-8924</t>
  </si>
  <si>
    <t>E-EDB-8912</t>
  </si>
  <si>
    <t>E-EDB-8934</t>
  </si>
  <si>
    <t>E-EDB-8910</t>
  </si>
  <si>
    <t>E-EDB-8917</t>
  </si>
  <si>
    <t>E-EDB-8914</t>
  </si>
  <si>
    <t>E-EDB-8921</t>
  </si>
  <si>
    <t>E-EDB-8929</t>
  </si>
  <si>
    <t>E-EDB-8913</t>
  </si>
  <si>
    <t>E-EDB-8915</t>
  </si>
  <si>
    <t>E-EDB-8923</t>
  </si>
  <si>
    <t>E-EDB-8926</t>
  </si>
  <si>
    <t>E-EDB-8918</t>
  </si>
  <si>
    <t>E-EDB-8920</t>
  </si>
  <si>
    <t>E-EDB-8928</t>
  </si>
  <si>
    <t>E-EDB-8930</t>
  </si>
  <si>
    <t>E-EDB-8939</t>
  </si>
  <si>
    <t>NORMAL DISTRIBUTION PANEL</t>
  </si>
  <si>
    <t>E-EDB-9502</t>
  </si>
  <si>
    <t>E-EDB-9503</t>
  </si>
  <si>
    <t>E-EDB-9505</t>
  </si>
  <si>
    <t>E-EDB-9508</t>
  </si>
  <si>
    <t>E-EDB-9510</t>
  </si>
  <si>
    <t>E-EDB-9513</t>
  </si>
  <si>
    <t>E-EDB-9517</t>
  </si>
  <si>
    <t>E-EDB-9520</t>
  </si>
  <si>
    <t>R-EDB-8701</t>
  </si>
  <si>
    <t>R-EDB-8001</t>
  </si>
  <si>
    <t>R-EDB-8501</t>
  </si>
  <si>
    <t>R-EDB-8502</t>
  </si>
  <si>
    <t>R-EDB-8901</t>
  </si>
  <si>
    <t>E-EDB-8907</t>
  </si>
  <si>
    <t>E-EDB-8925</t>
  </si>
  <si>
    <t>E-EDB-8932</t>
  </si>
  <si>
    <t>E-EDB-8935</t>
  </si>
  <si>
    <t>E-EDB-8937</t>
  </si>
  <si>
    <t>E-EDB-8940</t>
  </si>
  <si>
    <t>E-EDB-8941</t>
  </si>
  <si>
    <t>E-EDB-9500</t>
  </si>
  <si>
    <t>E-EDB-9501</t>
  </si>
  <si>
    <t>E-EDB-9504</t>
  </si>
  <si>
    <t>E-EDB-9506</t>
  </si>
  <si>
    <t>E-EDB-9507</t>
  </si>
  <si>
    <t>E-EDB-9509</t>
  </si>
  <si>
    <t>E-EDB-9511</t>
  </si>
  <si>
    <t>E-EDB-9512</t>
  </si>
  <si>
    <t>E-EDB-9514</t>
  </si>
  <si>
    <t>E-EDB-9515</t>
  </si>
  <si>
    <t>E-EDB-9516</t>
  </si>
  <si>
    <t>E-EDB-9518</t>
  </si>
  <si>
    <t>E-EDB-9519</t>
  </si>
  <si>
    <t>R20EJB06</t>
  </si>
  <si>
    <t>JUNCTION BOX - ELECTRICAL</t>
  </si>
  <si>
    <t>E-PM-2804A</t>
  </si>
  <si>
    <t>RICH MEG FEED PUMP MOTOR</t>
  </si>
  <si>
    <t>E-PM-2804B</t>
  </si>
  <si>
    <t>E-PM-2804C</t>
  </si>
  <si>
    <t>R-L-8021-15F-A</t>
  </si>
  <si>
    <t>FEEDER FOR AUXILIARY PANEL R-L-8021</t>
  </si>
  <si>
    <t>R-L-8021-21F-A</t>
  </si>
  <si>
    <t>R-PM-5721A</t>
  </si>
  <si>
    <t>MOTOR, CLOSED DRAIN PUMP</t>
  </si>
  <si>
    <t>R-PM-5721B</t>
  </si>
  <si>
    <t>E-PM-6702A</t>
  </si>
  <si>
    <t>STRIPPER FEED PUMP MOTOR</t>
  </si>
  <si>
    <t>E-PM-6702B</t>
  </si>
  <si>
    <t>R-EDB-8802</t>
  </si>
  <si>
    <t>POWER DISTRIBUTION BOARD</t>
  </si>
  <si>
    <t>E-GE-8731-EEH01</t>
  </si>
  <si>
    <t>ANTI CONDENSATION HEATER</t>
  </si>
  <si>
    <t>E-ESB-8701-A04-A</t>
  </si>
  <si>
    <t>LOAD BANK FOR E-GE-8731</t>
  </si>
  <si>
    <t>R-ETR-8020</t>
  </si>
  <si>
    <t>6.6KV/3.3KV TRANSFORMER</t>
  </si>
  <si>
    <t>E-ESB-8011-C06-D</t>
  </si>
  <si>
    <t>SPARE INCOMER E-GE-8731</t>
  </si>
  <si>
    <t>E-ETP-6401</t>
  </si>
  <si>
    <t>HEATER THYRISTOR PANEL</t>
  </si>
  <si>
    <t>R-PM-5631A</t>
  </si>
  <si>
    <t>MOTOR OIL SKIMMER PUMP</t>
  </si>
  <si>
    <t>R-PM-5631B</t>
  </si>
  <si>
    <t>E-PM-6701A</t>
  </si>
  <si>
    <t>SKIMMED OIL PUMP MOTOR</t>
  </si>
  <si>
    <t>E-PM-6701B</t>
  </si>
  <si>
    <t>R-TR-8021</t>
  </si>
  <si>
    <t>3.3KV/400V TRANSFORMER</t>
  </si>
  <si>
    <t>R-TR-8022</t>
  </si>
  <si>
    <t>R-TR-8023</t>
  </si>
  <si>
    <t>E-PM-2101A</t>
  </si>
  <si>
    <t>RERUN DRUM PUMP MOTOR</t>
  </si>
  <si>
    <t>E-PM-2101B</t>
  </si>
  <si>
    <t>R-L-8021-31R-D</t>
  </si>
  <si>
    <t>FEEDER FOR LIGHTING UPS R-L-8021</t>
  </si>
  <si>
    <t>R-L-8021-31R-E</t>
  </si>
  <si>
    <t>E-EBA-8807</t>
  </si>
  <si>
    <t>AC UPS BATTERY (HVAC)</t>
  </si>
  <si>
    <t>E-PM-6706A</t>
  </si>
  <si>
    <t>CPI OUTLET PUMP MOTOR</t>
  </si>
  <si>
    <t>E-PM-6706B</t>
  </si>
  <si>
    <t>E-KEM-8733A</t>
  </si>
  <si>
    <t>VENTILATION FAN MOTOR</t>
  </si>
  <si>
    <t>E-KEM-8733B</t>
  </si>
  <si>
    <t>E-KEM-8733C</t>
  </si>
  <si>
    <t>E-KEM-8733D</t>
  </si>
  <si>
    <t>E-EDB-8803A-19</t>
  </si>
  <si>
    <t>CCT-019 TBA TURNSTILE</t>
  </si>
  <si>
    <t>R-EBA-8801A</t>
  </si>
  <si>
    <t>AC UPS BATTERY BANKS</t>
  </si>
  <si>
    <t>R-EBA-8803A</t>
  </si>
  <si>
    <t>DC UPS BATTERY BANKS</t>
  </si>
  <si>
    <t>R-EBA-8803B-DUP2</t>
  </si>
  <si>
    <t>E-PM-3011</t>
  </si>
  <si>
    <t>LUBE OIL PUMP MOTOR</t>
  </si>
  <si>
    <t>E-PM-3012</t>
  </si>
  <si>
    <t>E-PM-8731</t>
  </si>
  <si>
    <t>PRE-LUBE PUMP MOTOR</t>
  </si>
  <si>
    <t>E-ECP-9304</t>
  </si>
  <si>
    <t>RAVEN CCB PMS PANEL</t>
  </si>
  <si>
    <t>E-ECP-9113</t>
  </si>
  <si>
    <t>GTG VSD (E-G-9111)</t>
  </si>
  <si>
    <t>E-ECP-9123</t>
  </si>
  <si>
    <t>GTG VSD (E-G-9121)</t>
  </si>
  <si>
    <t>E-ECP-9133</t>
  </si>
  <si>
    <t>GTG VSD (E-G-9131)</t>
  </si>
  <si>
    <t>E-ECP-9143</t>
  </si>
  <si>
    <t>GTG VSD (E-G-9141)</t>
  </si>
  <si>
    <t>E-EUP-8807</t>
  </si>
  <si>
    <t>AC UPS &amp; DB (HVAC)</t>
  </si>
  <si>
    <t>E-PM-6707A</t>
  </si>
  <si>
    <t>CPI OIL PUMP MOTOR</t>
  </si>
  <si>
    <t>E-PM-6707B</t>
  </si>
  <si>
    <t>E-ESSW-8004</t>
  </si>
  <si>
    <t>WELDING RECEPTACLE</t>
  </si>
  <si>
    <t>R-EDB-8002</t>
  </si>
  <si>
    <t>DISTRIBUTION BOARD</t>
  </si>
  <si>
    <t>R-EDB-8503</t>
  </si>
  <si>
    <t>R-EDB-8902</t>
  </si>
  <si>
    <t>R-EDB-8903</t>
  </si>
  <si>
    <t>E-PM-6703A</t>
  </si>
  <si>
    <t>BOTTOM PUMP MOTOR</t>
  </si>
  <si>
    <t>E-PM-6703B</t>
  </si>
  <si>
    <t>E-PM-6705A</t>
  </si>
  <si>
    <t>EXPORT PUMP MOTOR</t>
  </si>
  <si>
    <t>E-PM-6705B</t>
  </si>
  <si>
    <t>E-KEM-8732A</t>
  </si>
  <si>
    <t>FUEL COOLER MOTOR</t>
  </si>
  <si>
    <t>E-EJB-4201-01</t>
  </si>
  <si>
    <t>ACWL JUNCTION BOX</t>
  </si>
  <si>
    <t>E-EJB-4201-02</t>
  </si>
  <si>
    <t>E-EJB-4201-03</t>
  </si>
  <si>
    <t>E-KEM-8732B</t>
  </si>
  <si>
    <t>E-ECP-8731</t>
  </si>
  <si>
    <t>UCP FOR E-GE-8731</t>
  </si>
  <si>
    <t>E-EDB-8805B-03</t>
  </si>
  <si>
    <t>CCT-003 - SPARE</t>
  </si>
  <si>
    <t>E-EDB-8805B-04</t>
  </si>
  <si>
    <t>CCT-004 - SPARE</t>
  </si>
  <si>
    <t>E-KEM-8731</t>
  </si>
  <si>
    <t>ELECTRIC MOTOR</t>
  </si>
  <si>
    <t>R-ESSW-8003</t>
  </si>
  <si>
    <t>WELDING OUTLET</t>
  </si>
  <si>
    <t>E-PM-3005A-EEH01</t>
  </si>
  <si>
    <t>SPACE HEATERS</t>
  </si>
  <si>
    <t>E-PM-3005B-EEH01</t>
  </si>
  <si>
    <t>E-EDB-8802A-03</t>
  </si>
  <si>
    <t>CCT-003 SPARE</t>
  </si>
  <si>
    <t>E-EDB-8802A-04</t>
  </si>
  <si>
    <t>CCT-004 SPARE</t>
  </si>
  <si>
    <t>E-EDB-8802A-05</t>
  </si>
  <si>
    <t>CCT-005 SPARE</t>
  </si>
  <si>
    <t>E-EDB-8802A-34</t>
  </si>
  <si>
    <t>CCT-034 SPARE</t>
  </si>
  <si>
    <t>E-EDB-8802A-35</t>
  </si>
  <si>
    <t>CCT-035 SPARE</t>
  </si>
  <si>
    <t>E-EDB-8802A-36</t>
  </si>
  <si>
    <t>CCT-036 SPARE</t>
  </si>
  <si>
    <t>E-EDB-8802A-37</t>
  </si>
  <si>
    <t>CCT-037 SPARE</t>
  </si>
  <si>
    <t>E-EDB-8802A-38</t>
  </si>
  <si>
    <t>CCT-038 SPARE</t>
  </si>
  <si>
    <t>E-EDB-8802A-39</t>
  </si>
  <si>
    <t>CCT-039 SPARE</t>
  </si>
  <si>
    <t>E-EDB-8802A-40</t>
  </si>
  <si>
    <t>CCT-040 SPARE</t>
  </si>
  <si>
    <t>E-EDB-8802A-42</t>
  </si>
  <si>
    <t>CCT-042 SPARE</t>
  </si>
  <si>
    <t>E-EDB-8802A-43</t>
  </si>
  <si>
    <t>CCT-043 SPARE</t>
  </si>
  <si>
    <t>E-EDB-8802A-44</t>
  </si>
  <si>
    <t>CCT-044 SPARE</t>
  </si>
  <si>
    <t>E-EDB-8802A-45</t>
  </si>
  <si>
    <t>CCT-045 SPARE</t>
  </si>
  <si>
    <t>E-EDB-8802B-03</t>
  </si>
  <si>
    <t>E-EDB-8802B-04</t>
  </si>
  <si>
    <t>E-EDB-8802B-05</t>
  </si>
  <si>
    <t>E-EDB-8802B-34</t>
  </si>
  <si>
    <t>E-EDB-8802B-35</t>
  </si>
  <si>
    <t>E-EDB-8802B-36</t>
  </si>
  <si>
    <t>E-EDB-8802B-37</t>
  </si>
  <si>
    <t>E-EDB-8802B-38</t>
  </si>
  <si>
    <t>E-EDB-8802B-39</t>
  </si>
  <si>
    <t>E-EDB-8802B-40</t>
  </si>
  <si>
    <t>E-EDB-8802B-42</t>
  </si>
  <si>
    <t>E-EDB-8802B-43</t>
  </si>
  <si>
    <t>E-EDB-8802B-44</t>
  </si>
  <si>
    <t>E-EDB-8802B-45</t>
  </si>
  <si>
    <t>E-EDB-8803A-02</t>
  </si>
  <si>
    <t>CCT-002 SPARE</t>
  </si>
  <si>
    <t>E-EDB-8803A-03</t>
  </si>
  <si>
    <t>E-EDB-8803A-10</t>
  </si>
  <si>
    <t>CCT-010 SPARE</t>
  </si>
  <si>
    <t>E-EDB-8803A-11</t>
  </si>
  <si>
    <t>CCT-011 SPARE</t>
  </si>
  <si>
    <t>E-EDB-8803A-21</t>
  </si>
  <si>
    <t>CCT-021 SPARE</t>
  </si>
  <si>
    <t>E-EDB-8803A-25</t>
  </si>
  <si>
    <t>CCT-025 SPARE</t>
  </si>
  <si>
    <t>E-EDB-8803A-26</t>
  </si>
  <si>
    <t>CCT-026 SPARE</t>
  </si>
  <si>
    <t>E-EDB-8803A-27</t>
  </si>
  <si>
    <t>CCT-027 SPARE</t>
  </si>
  <si>
    <t>E-EDB-8803A-28</t>
  </si>
  <si>
    <t>CCT-028 SPARE</t>
  </si>
  <si>
    <t>E-EDB-8803A-29</t>
  </si>
  <si>
    <t>CCT-029 SPARE</t>
  </si>
  <si>
    <t>E-EDB-8803A-30</t>
  </si>
  <si>
    <t>CCT-030 SPARE</t>
  </si>
  <si>
    <t>E-EDB-8803A-31</t>
  </si>
  <si>
    <t>CCT-031 SPARE</t>
  </si>
  <si>
    <t>E-EDB-8803A-32</t>
  </si>
  <si>
    <t>CCT-032 SPARE</t>
  </si>
  <si>
    <t>E-EDB-8803A-33</t>
  </si>
  <si>
    <t>CCT-033 SPARE</t>
  </si>
  <si>
    <t>E-EDB-8803A-34</t>
  </si>
  <si>
    <t>E-EDB-8803A-35</t>
  </si>
  <si>
    <t>E-EDB-8803A-36</t>
  </si>
  <si>
    <t>E-EDB-8803B-02</t>
  </si>
  <si>
    <t>E-EDB-8803B-03</t>
  </si>
  <si>
    <t>E-EDB-8803B-10</t>
  </si>
  <si>
    <t>E-EDB-8803B-11</t>
  </si>
  <si>
    <t>E-EDB-8803B-21</t>
  </si>
  <si>
    <t>E-EDB-8803B-25</t>
  </si>
  <si>
    <t>E-EDB-8803B-26</t>
  </si>
  <si>
    <t>E-EDB-8803B-27</t>
  </si>
  <si>
    <t>E-EDB-8803B-28</t>
  </si>
  <si>
    <t>E-EDB-8803B-29</t>
  </si>
  <si>
    <t>E-EDB-8803B-30</t>
  </si>
  <si>
    <t>E-EDB-8803B-31</t>
  </si>
  <si>
    <t>E-EDB-8803B-32</t>
  </si>
  <si>
    <t>E-EDB-8803B-33</t>
  </si>
  <si>
    <t>E-EDB-8803B-34</t>
  </si>
  <si>
    <t>E-EDB-8803B-35</t>
  </si>
  <si>
    <t>E-EDB-8803B-36</t>
  </si>
  <si>
    <t>E-EDB-8804A-02</t>
  </si>
  <si>
    <t>E-EDB-8804A-03</t>
  </si>
  <si>
    <t>E-EDB-8804A-04</t>
  </si>
  <si>
    <t>E-EDB-8804A-05</t>
  </si>
  <si>
    <t>E-EDB-8804A-06</t>
  </si>
  <si>
    <t>CCT-006 SPARE</t>
  </si>
  <si>
    <t>E-EDB-8804A-07</t>
  </si>
  <si>
    <t>CCT-007 SPARE</t>
  </si>
  <si>
    <t>E-EDB-8804A-09</t>
  </si>
  <si>
    <t>CCT-009 SPARE</t>
  </si>
  <si>
    <t>E-EDB-8804A-18</t>
  </si>
  <si>
    <t>CCT-018 SPARE</t>
  </si>
  <si>
    <t>E-EDB-8804A-19</t>
  </si>
  <si>
    <t>CCT-019 SPARE</t>
  </si>
  <si>
    <t>E-EDB-8804A-20</t>
  </si>
  <si>
    <t>CCT-020 SPARE</t>
  </si>
  <si>
    <t>E-EDB-8804A-21</t>
  </si>
  <si>
    <t>E-EDB-8804A-30</t>
  </si>
  <si>
    <t>E-EDB-8804A-34</t>
  </si>
  <si>
    <t>E-EDB-8804A-35</t>
  </si>
  <si>
    <t>E-EDB-8804A-36</t>
  </si>
  <si>
    <t>E-EDB-8804A-37</t>
  </si>
  <si>
    <t>E-EDB-8804A-38</t>
  </si>
  <si>
    <t>E-EDB-8804A-39</t>
  </si>
  <si>
    <t>E-EDB-8804A-40</t>
  </si>
  <si>
    <t>E-EDB-8804A-43</t>
  </si>
  <si>
    <t>E-EDB-8804A-44</t>
  </si>
  <si>
    <t>E-EDB-8804A-45</t>
  </si>
  <si>
    <t>E-EDB-8804A-46</t>
  </si>
  <si>
    <t>CCT-046 SPARE</t>
  </si>
  <si>
    <t>E-EDB-8804A-55</t>
  </si>
  <si>
    <t>CCT-055 SPARE</t>
  </si>
  <si>
    <t>E-EDB-8804A-56</t>
  </si>
  <si>
    <t>CCT-056 SPARE</t>
  </si>
  <si>
    <t>E-EDB-8804A-58</t>
  </si>
  <si>
    <t>CCT-058 SPARE</t>
  </si>
  <si>
    <t>E-EDB-8804A-59</t>
  </si>
  <si>
    <t>CCT-059 SPARE</t>
  </si>
  <si>
    <t>E-EDB-8804A-60</t>
  </si>
  <si>
    <t>CCT-060 SPARE</t>
  </si>
  <si>
    <t>E-EDB-8804A-61</t>
  </si>
  <si>
    <t>CCT-061 SPARE</t>
  </si>
  <si>
    <t>E-EDB-8804A-62</t>
  </si>
  <si>
    <t>CCT-062 SPARE</t>
  </si>
  <si>
    <t>E-EDB-8804A-63</t>
  </si>
  <si>
    <t>CCT-063 SPARE</t>
  </si>
  <si>
    <t>E-EDB-8804A-64</t>
  </si>
  <si>
    <t>CCT-064 SPARE</t>
  </si>
  <si>
    <t>E-EDB-8804A-65</t>
  </si>
  <si>
    <t>CCT-065 SPARE</t>
  </si>
  <si>
    <t>E-EDB-8804A-66</t>
  </si>
  <si>
    <t>CCT-066 SPARE</t>
  </si>
  <si>
    <t>E-EDB-8804A-67</t>
  </si>
  <si>
    <t>CCT-067 SPARE</t>
  </si>
  <si>
    <t>E-EDB-8804A-68</t>
  </si>
  <si>
    <t>CCT-068 SPARE</t>
  </si>
  <si>
    <t>E-EDB-8804A-69</t>
  </si>
  <si>
    <t>CCT-069 SPARE</t>
  </si>
  <si>
    <t>E-EDB-8804A-70</t>
  </si>
  <si>
    <t>CCT-070 SPARE</t>
  </si>
  <si>
    <t>E-EDB-8804A-71</t>
  </si>
  <si>
    <t>CCT-071 SPARE</t>
  </si>
  <si>
    <t>E-EDB-8804A-72</t>
  </si>
  <si>
    <t>CCT-072 SPARE</t>
  </si>
  <si>
    <t>E-EDB-8804A-73</t>
  </si>
  <si>
    <t>CCT-073 SPARE</t>
  </si>
  <si>
    <t>E-EDB-8804A-74</t>
  </si>
  <si>
    <t>CCT-074 SPARE</t>
  </si>
  <si>
    <t>E-EDB-8804A-76</t>
  </si>
  <si>
    <t>CCT-076 SPARE</t>
  </si>
  <si>
    <t>E-EDB-8804A-77</t>
  </si>
  <si>
    <t>CCT-077 SPARE</t>
  </si>
  <si>
    <t>E-EDB-8804B-02</t>
  </si>
  <si>
    <t>E-EDB-8804B-03</t>
  </si>
  <si>
    <t>E-EDB-8804B-04</t>
  </si>
  <si>
    <t>E-EDB-8804B-05</t>
  </si>
  <si>
    <t>E-EDB-8804B-06</t>
  </si>
  <si>
    <t>E-EDB-8804B-07</t>
  </si>
  <si>
    <t>E-EDB-8804B-09</t>
  </si>
  <si>
    <t>E-EDB-8804B-18</t>
  </si>
  <si>
    <t>E-EDB-8804B-19</t>
  </si>
  <si>
    <t>E-EDB-8804B-20</t>
  </si>
  <si>
    <t>E-EDB-8804B-21</t>
  </si>
  <si>
    <t>E-EDB-8804B-27</t>
  </si>
  <si>
    <t>E-EDB-8804B-28</t>
  </si>
  <si>
    <t>E-EDB-8804B-29</t>
  </si>
  <si>
    <t>E-EDB-8804B-30</t>
  </si>
  <si>
    <t>E-EDB-8804B-34</t>
  </si>
  <si>
    <t>E-EDB-8804B-35</t>
  </si>
  <si>
    <t>E-EDB-8804B-36</t>
  </si>
  <si>
    <t>E-EDB-8804B-37</t>
  </si>
  <si>
    <t>E-EDB-8804B-38</t>
  </si>
  <si>
    <t>E-EDB-8804B-39</t>
  </si>
  <si>
    <t>E-EDB-8804B-40</t>
  </si>
  <si>
    <t>E-EDB-8804B-43</t>
  </si>
  <si>
    <t>E-EDB-8804B-44</t>
  </si>
  <si>
    <t>E-EDB-8804B-45</t>
  </si>
  <si>
    <t>E-EDB-8804B-47</t>
  </si>
  <si>
    <t>CCT-047 SPARE</t>
  </si>
  <si>
    <t>E-EDB-8804B-48</t>
  </si>
  <si>
    <t>CCT-048 SPARE</t>
  </si>
  <si>
    <t>E-EDB-8804B-52</t>
  </si>
  <si>
    <t>CCT-052 SPARE</t>
  </si>
  <si>
    <t>E-EDB-8804B-53</t>
  </si>
  <si>
    <t>CCT-053 SPARE</t>
  </si>
  <si>
    <t>E-EDB-8804B-54</t>
  </si>
  <si>
    <t>CCT-054 SPARE</t>
  </si>
  <si>
    <t>E-EDB-8804B-58</t>
  </si>
  <si>
    <t>E-EDB-8804B-59</t>
  </si>
  <si>
    <t>E-EDB-8804B-60</t>
  </si>
  <si>
    <t>E-EDB-8804B-61</t>
  </si>
  <si>
    <t>E-EDB-8804B-62</t>
  </si>
  <si>
    <t>E-EDB-8804B-63</t>
  </si>
  <si>
    <t>E-EDB-8804B-64</t>
  </si>
  <si>
    <t>E-EDB-8804B-65</t>
  </si>
  <si>
    <t>E-EDB-8804B-66</t>
  </si>
  <si>
    <t>E-EDB-8804B-67</t>
  </si>
  <si>
    <t>E-EDB-8804B-68</t>
  </si>
  <si>
    <t>E-EDB-8804B-69</t>
  </si>
  <si>
    <t>E-EDB-8804B-70</t>
  </si>
  <si>
    <t>E-EDB-8804B-71</t>
  </si>
  <si>
    <t>E-EDB-8804B-72</t>
  </si>
  <si>
    <t>E-EDB-8804B-73</t>
  </si>
  <si>
    <t>E-EDB-8804B-74</t>
  </si>
  <si>
    <t>E-EDB-8804B-75</t>
  </si>
  <si>
    <t>CCT-075 SPARE</t>
  </si>
  <si>
    <t>E-EDB-8804B-76</t>
  </si>
  <si>
    <t>E-EDB-8804B-77</t>
  </si>
  <si>
    <t>E-EDB-8801A-10</t>
  </si>
  <si>
    <t>E-EDB-8801A-11</t>
  </si>
  <si>
    <t>E-EDB-8801A-12</t>
  </si>
  <si>
    <t>CCT-012 SPARE</t>
  </si>
  <si>
    <t>E-EDB-8801A-13</t>
  </si>
  <si>
    <t>CCT-013 SPARE</t>
  </si>
  <si>
    <t>E-EDB-8801B-10</t>
  </si>
  <si>
    <t>E-EDB-8801B-11</t>
  </si>
  <si>
    <t>E-EDB-8801B-12</t>
  </si>
  <si>
    <t>E-EDB-8801B-13</t>
  </si>
  <si>
    <t>E-EDB-8805A-03</t>
  </si>
  <si>
    <t>E-EDB-8805A-04</t>
  </si>
  <si>
    <t>E-EDB-9112A-03</t>
  </si>
  <si>
    <t>E-EDB-9112A-04</t>
  </si>
  <si>
    <t>E-EDB-9112A-05</t>
  </si>
  <si>
    <t>E-EDB-9112A-06</t>
  </si>
  <si>
    <t>E-EDB-9112B-03</t>
  </si>
  <si>
    <t>E-EDB-9112B-04</t>
  </si>
  <si>
    <t>E-EDB-9112B-05</t>
  </si>
  <si>
    <t>E-EDB-9112B-06</t>
  </si>
  <si>
    <t>E-EDB-9113A-03</t>
  </si>
  <si>
    <t>E-EDB-9113A-04</t>
  </si>
  <si>
    <t>E-EDB-9113A-05</t>
  </si>
  <si>
    <t>E-EDB-9113A-06</t>
  </si>
  <si>
    <t>E-EDB-9113B-03</t>
  </si>
  <si>
    <t>E-EDB-9113B-04</t>
  </si>
  <si>
    <t>E-EDB-9113B-05</t>
  </si>
  <si>
    <t>E-EDB-9113B-06</t>
  </si>
  <si>
    <t>E-EDB-8813-17</t>
  </si>
  <si>
    <t>CCT-017 SPARE</t>
  </si>
  <si>
    <t>E-EDB-8813-18</t>
  </si>
  <si>
    <t>E-EDB-8813-19</t>
  </si>
  <si>
    <t>E-EDB-8813-20</t>
  </si>
  <si>
    <t>E-EDB-8813-21</t>
  </si>
  <si>
    <t>E-EDB-8813-22</t>
  </si>
  <si>
    <t>CCT-022 SPARE</t>
  </si>
  <si>
    <t>E-EDB-8813-23</t>
  </si>
  <si>
    <t>CCT-023 SPARE</t>
  </si>
  <si>
    <t>E-EDB-8813-24</t>
  </si>
  <si>
    <t>CCT-024 SPARE</t>
  </si>
  <si>
    <t>E-EDB-8809-22</t>
  </si>
  <si>
    <t>E-EDB-8809-23</t>
  </si>
  <si>
    <t>E-EDB-8809-24</t>
  </si>
  <si>
    <t>E-EDB-8810-13</t>
  </si>
  <si>
    <t>E-EDB-8810-14</t>
  </si>
  <si>
    <t>CCT-014 SPARE</t>
  </si>
  <si>
    <t>E-EDB-8810-15</t>
  </si>
  <si>
    <t>CCT-015 SPARE</t>
  </si>
  <si>
    <t>E-EDB-8810-16</t>
  </si>
  <si>
    <t>CCT-016 SPARE</t>
  </si>
  <si>
    <t>E-EDB-8810-17</t>
  </si>
  <si>
    <t>E-EDB-8810-18</t>
  </si>
  <si>
    <t>E-EDB-8810-19</t>
  </si>
  <si>
    <t>E-EDB-8810-20</t>
  </si>
  <si>
    <t>E-EDB-8810-21</t>
  </si>
  <si>
    <t>E-EDB-8810-22</t>
  </si>
  <si>
    <t>E-EDB-8810-23</t>
  </si>
  <si>
    <t>E-EDB-8810-24</t>
  </si>
  <si>
    <t>E-EDB-8811-17</t>
  </si>
  <si>
    <t>E-EDB-8811-18</t>
  </si>
  <si>
    <t>E-EDB-8811-19</t>
  </si>
  <si>
    <t>E-EDB-8811-20</t>
  </si>
  <si>
    <t>E-EDB-8811-21</t>
  </si>
  <si>
    <t>E-EDB-8811-22</t>
  </si>
  <si>
    <t>E-EDB-8811-23</t>
  </si>
  <si>
    <t>E-EDB-8811-24</t>
  </si>
  <si>
    <t>E-EDB-8812-12</t>
  </si>
  <si>
    <t>E-EDB-8812-13</t>
  </si>
  <si>
    <t>E-EDB-8812-14</t>
  </si>
  <si>
    <t>E-EDB-8812-15</t>
  </si>
  <si>
    <t>E-EDB-8812-16</t>
  </si>
  <si>
    <t>E-EDB-8812-17</t>
  </si>
  <si>
    <t>E-EDB-8812-18</t>
  </si>
  <si>
    <t>E-EDB-8812-19</t>
  </si>
  <si>
    <t>E-EDB-8812-20</t>
  </si>
  <si>
    <t>E-EDB-8812-21</t>
  </si>
  <si>
    <t>E-EDB-8812-22</t>
  </si>
  <si>
    <t>E-EDB-8812-23</t>
  </si>
  <si>
    <t>E-EDB-8812-24</t>
  </si>
  <si>
    <t>E-EDB-8806-18</t>
  </si>
  <si>
    <t>E-EDB-8806-19</t>
  </si>
  <si>
    <t>E-EDB-8806-20</t>
  </si>
  <si>
    <t>E-EDB-8806-21</t>
  </si>
  <si>
    <t>E-EDB-8806-22</t>
  </si>
  <si>
    <t>E-EDB-8806-23</t>
  </si>
  <si>
    <t>E-EDB-8806-24</t>
  </si>
  <si>
    <t>E-EDB-8807-20</t>
  </si>
  <si>
    <t>CCT-20 SPARE</t>
  </si>
  <si>
    <t>E-EDB-8807-21</t>
  </si>
  <si>
    <t>CCT-21 SPARE</t>
  </si>
  <si>
    <t>E-EDB-8807-22</t>
  </si>
  <si>
    <t>CCT-22 SPARE</t>
  </si>
  <si>
    <t>E-EDB-8807-23</t>
  </si>
  <si>
    <t>CCT-23 SPARE</t>
  </si>
  <si>
    <t>E-EDB-8807-24</t>
  </si>
  <si>
    <t>CCT-24 SPARE</t>
  </si>
  <si>
    <t>E-EDB-8901-04</t>
  </si>
  <si>
    <t>CCT-04 SPARE</t>
  </si>
  <si>
    <t>E-EDB-8901-05</t>
  </si>
  <si>
    <t>CCT-05 SPARE</t>
  </si>
  <si>
    <t>E-EDB-8901-06</t>
  </si>
  <si>
    <t>CCT-06 SPARE</t>
  </si>
  <si>
    <t>E-EDB-8901-07</t>
  </si>
  <si>
    <t>CCT-07 SPARE</t>
  </si>
  <si>
    <t>E-EDB-8901-08</t>
  </si>
  <si>
    <t>CCT-08 SPARE</t>
  </si>
  <si>
    <t>E-EDB-8901-09</t>
  </si>
  <si>
    <t>CCT-09 SPARE</t>
  </si>
  <si>
    <t>E-EDB-8901-10</t>
  </si>
  <si>
    <t>CCT-10 SPARE</t>
  </si>
  <si>
    <t>E-EDB-8901-11</t>
  </si>
  <si>
    <t>CCT-11 SPARE</t>
  </si>
  <si>
    <t>E-EDB-8901-12</t>
  </si>
  <si>
    <t>CCT-12 SPARE</t>
  </si>
  <si>
    <t>E-EDB-8902-05</t>
  </si>
  <si>
    <t>E-EDB-8902-06</t>
  </si>
  <si>
    <t>E-EDB-8902-07</t>
  </si>
  <si>
    <t>E-EDB-8902-08</t>
  </si>
  <si>
    <t>E-EDB-8902-09</t>
  </si>
  <si>
    <t>E-EDB-8902-10</t>
  </si>
  <si>
    <t>E-EDB-8902-11</t>
  </si>
  <si>
    <t>E-EDB-8902-12</t>
  </si>
  <si>
    <t>E-EDB-8903-04</t>
  </si>
  <si>
    <t>E-EDB-8903-05</t>
  </si>
  <si>
    <t>E-EDB-8903-06</t>
  </si>
  <si>
    <t>E-EDB-8903-07</t>
  </si>
  <si>
    <t>E-EDB-8903-08</t>
  </si>
  <si>
    <t>E-EDB-8903-09</t>
  </si>
  <si>
    <t>E-EDB-8903-10</t>
  </si>
  <si>
    <t>E-EDB-8903-11</t>
  </si>
  <si>
    <t>E-EDB-8903-12</t>
  </si>
  <si>
    <t>E-EDB-8904-05</t>
  </si>
  <si>
    <t>E-EDB-8904-06</t>
  </si>
  <si>
    <t>E-EDB-8904-07</t>
  </si>
  <si>
    <t>E-EDB-8904-08</t>
  </si>
  <si>
    <t>E-EDB-8904-09</t>
  </si>
  <si>
    <t>E-EDB-8904-10</t>
  </si>
  <si>
    <t>E-EDB-8904-11</t>
  </si>
  <si>
    <t>E-EDB-8904-12</t>
  </si>
  <si>
    <t>E-EDB-8905-06</t>
  </si>
  <si>
    <t>E-EDB-8905-07</t>
  </si>
  <si>
    <t>E-EDB-8905-08</t>
  </si>
  <si>
    <t>E-EDB-8905-09</t>
  </si>
  <si>
    <t>E-EDB-8905-10</t>
  </si>
  <si>
    <t>E-EDB-8905-11</t>
  </si>
  <si>
    <t>E-EDB-8905-12</t>
  </si>
  <si>
    <t>E-EDB-8501-05</t>
  </si>
  <si>
    <t>E-EDB-8501-06</t>
  </si>
  <si>
    <t>E-EDB-8501-07</t>
  </si>
  <si>
    <t>E-EDB-8501-08</t>
  </si>
  <si>
    <t>E-EDB-8501-09</t>
  </si>
  <si>
    <t>E-EDB-8501-10</t>
  </si>
  <si>
    <t>E-EDB-8501-11</t>
  </si>
  <si>
    <t>E-EDB-8501-12</t>
  </si>
  <si>
    <t>E-EDB-8502-06</t>
  </si>
  <si>
    <t>E-EDB-8502-07</t>
  </si>
  <si>
    <t>E-EDB-8502-08</t>
  </si>
  <si>
    <t>E-EDB-8502-09</t>
  </si>
  <si>
    <t>E-EDB-8502-10</t>
  </si>
  <si>
    <t>E-EDB-8502-11</t>
  </si>
  <si>
    <t>E-EDB-8502-12</t>
  </si>
  <si>
    <t>E-EDB-8503-05</t>
  </si>
  <si>
    <t>E-EDB-8503-06</t>
  </si>
  <si>
    <t>E-EDB-8503-07</t>
  </si>
  <si>
    <t>E-EDB-8503-08</t>
  </si>
  <si>
    <t>E-EDB-8503-09</t>
  </si>
  <si>
    <t>E-EDB-8503-10</t>
  </si>
  <si>
    <t>E-EDB-8503-11</t>
  </si>
  <si>
    <t>E-EDB-8503-12</t>
  </si>
  <si>
    <t>E-EDB-9111-08</t>
  </si>
  <si>
    <t>E-EDB-9111-09</t>
  </si>
  <si>
    <t>E-EDB-9111-10</t>
  </si>
  <si>
    <t>E-EDB-9111-11</t>
  </si>
  <si>
    <t>E-EDB-9111-12</t>
  </si>
  <si>
    <t>E-EDB-9121-08</t>
  </si>
  <si>
    <t>E-EDB-9121-09</t>
  </si>
  <si>
    <t>E-EDB-9121-10</t>
  </si>
  <si>
    <t>E-EDB-9121-11</t>
  </si>
  <si>
    <t>E-EDB-9121-12</t>
  </si>
  <si>
    <t>E-EDB-9131-08</t>
  </si>
  <si>
    <t>E-EDB-9131-09</t>
  </si>
  <si>
    <t>E-EDB-9131-10</t>
  </si>
  <si>
    <t>E-EDB-9131-11</t>
  </si>
  <si>
    <t>E-EDB-9131-12</t>
  </si>
  <si>
    <t>E-EDB-9141-08</t>
  </si>
  <si>
    <t>E-EDB-9141-09</t>
  </si>
  <si>
    <t>E-EDB-9141-10</t>
  </si>
  <si>
    <t>E-EDB-9141-11</t>
  </si>
  <si>
    <t>E-EDB-9141-12</t>
  </si>
  <si>
    <t>R53EJBXX2</t>
  </si>
  <si>
    <t>JUNCTION BOX</t>
  </si>
  <si>
    <t>R45EJB01</t>
  </si>
  <si>
    <t>R45EJB02</t>
  </si>
  <si>
    <t>R45EJB03</t>
  </si>
  <si>
    <t>R45EJB04</t>
  </si>
  <si>
    <t>R45EJB05</t>
  </si>
  <si>
    <t>R45EJB06</t>
  </si>
  <si>
    <t>R53EJBXX</t>
  </si>
  <si>
    <t>R53EJB07</t>
  </si>
  <si>
    <t>E-ECP-9301</t>
  </si>
  <si>
    <t>PMS CABINET</t>
  </si>
  <si>
    <t>E-EEH-8732</t>
  </si>
  <si>
    <t>JW HEATER</t>
  </si>
  <si>
    <t>E-EEH-8731</t>
  </si>
  <si>
    <t>R-EEB-001</t>
  </si>
  <si>
    <t>EARTH BAR</t>
  </si>
  <si>
    <t>R-EEB-002</t>
  </si>
  <si>
    <t>R-PM-4521C</t>
  </si>
  <si>
    <t>MOTOR</t>
  </si>
  <si>
    <t>R-PM-4521B</t>
  </si>
  <si>
    <t>R-PM-4521A</t>
  </si>
  <si>
    <t>E-ENC-0501</t>
  </si>
  <si>
    <t>ELECTRICAL APPARATUS ENCLOSURE FOR HPU PLC CONTROL SYSTEM</t>
  </si>
  <si>
    <t>E-ENC-0502</t>
  </si>
  <si>
    <t>E-ELL-4201-05</t>
  </si>
  <si>
    <t>E91DGR147A</t>
  </si>
  <si>
    <t>GAS DETECTOR IN TURBINE ACOUSTIC ENCLOSURE VENTILATION OUTLET IN SGT-200 SINGLE SHAFT E-X-9111 FIRE AND GAS SYSTEM</t>
  </si>
  <si>
    <t>FA_SQFDG</t>
  </si>
  <si>
    <t>FGBH</t>
  </si>
  <si>
    <t>MAH Barrier: Detectors: Flame, Flammable Gas, Heat, Oil Mist, Smoke, Personal Gas Detector
Manual call point
Testing Equipment
F&amp;G mimic panel; MAH comment: Gonna be an A…; IPL/LOPA = No; Regulatory override = No</t>
  </si>
  <si>
    <t>E91DGR147B</t>
  </si>
  <si>
    <t>GAS DETECTOR IN TURBINE ACOUSTIC ENCLOSURE VENTILATION OUTLET IN SGT-200 SINGLE SHAFT E-X-9121 FIRE AND GAS SYSTEM</t>
  </si>
  <si>
    <t>E91DGR147C</t>
  </si>
  <si>
    <t>GAS DETECTOR IN TURBINE ACOUSTIC ENCLOSURE VENTILATION OUTLET IN SGT-200 SINGLE SHAFT E-X-9131 FIRE AND GAS SYSTEM</t>
  </si>
  <si>
    <t>E91DGR147D</t>
  </si>
  <si>
    <t>GAS DETECTOR IN TURBINE ACOUSTIC ENCLOSURE VENTILATION OUTLET IN SGT-200 SINGLE SHAFT E-X-9141 FIRE AND GAS SYSTEM</t>
  </si>
  <si>
    <t>E91DGR149A</t>
  </si>
  <si>
    <t>E91DGR149B</t>
  </si>
  <si>
    <t>E91DGR149C</t>
  </si>
  <si>
    <t>E91DGR149D</t>
  </si>
  <si>
    <t>E91DGR150A</t>
  </si>
  <si>
    <t>GAS DETECTOR IN TURBINE ACOUSTIC ENCLOSURE VENTILATION INLET IN SGT-200 SINGLE SHAFT E-X-9111 FIRE AND GAS SYSTEM</t>
  </si>
  <si>
    <t>E91DGR150B</t>
  </si>
  <si>
    <t>GAS DETECTOR IN TURBINE ACOUSTIC ENCLOSURE VENTILATION INLET IN SGT-200 SINGLE SHAFT E-X-9121 FIRE AND GAS SYSTEM</t>
  </si>
  <si>
    <t>E91DGR150C</t>
  </si>
  <si>
    <t>GAS DETECTOR IN TURBINE ACOUSTIC ENCLOSURE VENTILATION INLET IN SGT-200 SINGLE SHAFT E-X-9131 FIRE AND GAS SYSTEM</t>
  </si>
  <si>
    <t>E91DGR150D</t>
  </si>
  <si>
    <t>GAS DETECTOR IN TURBINE ACOUSTIC ENCLOSURE VENTILATION INLET IN SGT-200 SINGLE SHAFT E-X-9141 FIRE AND GAS SYSTEM</t>
  </si>
  <si>
    <t>E91DGR151A</t>
  </si>
  <si>
    <t>E91DGR151B</t>
  </si>
  <si>
    <t>E91DGR151C</t>
  </si>
  <si>
    <t>E91DGR151D</t>
  </si>
  <si>
    <t>E91DFR169A</t>
  </si>
  <si>
    <t>FLAME DETECTOR FOR TURBINE ACOUSTIC ENCLOSURE IN SGT-200 SINGLE SHAFT E-X-9111 FIRE AND GAS SYSTEM</t>
  </si>
  <si>
    <t>FA_SQFDF</t>
  </si>
  <si>
    <t>FGBF</t>
  </si>
  <si>
    <t>E91DFR169B</t>
  </si>
  <si>
    <t>FLAME DETECTOR FOR TURBINE ACOUSTIC ENCLOSURE IN SGT-200 SINGLE SHAFT E-X-9121 FIRE AND GAS SYSTEM</t>
  </si>
  <si>
    <t>E91DFR169C</t>
  </si>
  <si>
    <t>FLAME DETECTOR FOR TURBINE ACOUSTIC ENCLOSURE IN SGT-200 SINGLE SHAFT E-X-9131 FIRE AND GAS SYSTEM</t>
  </si>
  <si>
    <t>E91DFR169D</t>
  </si>
  <si>
    <t>FLAME DETECTOR FOR TURBINE ACOUSTIC ENCLOSURE IN SGT-200 SINGLE SHAFT E-X-9141 FIRE AND GAS SYSTEM</t>
  </si>
  <si>
    <t>E91DFR170A</t>
  </si>
  <si>
    <t>E91DFR170B</t>
  </si>
  <si>
    <t>E91DFR170C</t>
  </si>
  <si>
    <t>E91DFR170D</t>
  </si>
  <si>
    <t>E91DFR171A</t>
  </si>
  <si>
    <t>E91DFR171B</t>
  </si>
  <si>
    <t>E91DFR171C</t>
  </si>
  <si>
    <t>E91DFR171D</t>
  </si>
  <si>
    <t>E91DGR148A</t>
  </si>
  <si>
    <t>GAS DETECTOR IN COMBUSTION AIR INLET FILTER IN SGT-200 SINGLE SHAFT E-X-9111 FIRE AND GAS SYSTEM</t>
  </si>
  <si>
    <t>E91DGR148B</t>
  </si>
  <si>
    <t>GAS DETECTOR IN COMBUSTION AIR INLET FILTER IN SGT-200 SINGLE SHAFT E-X-9121 FIRE AND GAS SYSTEM</t>
  </si>
  <si>
    <t>E91DGR148C</t>
  </si>
  <si>
    <t>GAS DETECTOR IN COMBUSTION AIR INLET FILTER IN SGT-200 SINGLE SHAFT E-X-9131 FIRE AND GAS SYSTEM</t>
  </si>
  <si>
    <t>E91DGR148D</t>
  </si>
  <si>
    <t>GAS DETECTOR IN COMBUSTION AIR INLET FILTER IN SGT-200 SINGLE SHAFT E-X-9141 FIRE AND GAS SYSTEM</t>
  </si>
  <si>
    <t>E91DGR152A</t>
  </si>
  <si>
    <t>E91DGR152B</t>
  </si>
  <si>
    <t>E91DGR152C</t>
  </si>
  <si>
    <t>E91DGR152D</t>
  </si>
  <si>
    <t>E91DMC153A</t>
  </si>
  <si>
    <t>MANUAL CALL POINT FOR BREAK GLASS UNIT IN SGT-200 SINGLE SHAFT E-X-9111 FIRE AND GAS SYSTEM</t>
  </si>
  <si>
    <t>FA_SQFRA</t>
  </si>
  <si>
    <t>FGMA</t>
  </si>
  <si>
    <t>MAH Barrier: External Speakers 
Internal Speakers, 
Strobe Lights 
Indicator Lights
Alarm interface with Fire &amp; Gas 
Controllers ; MAH comment: Mostly Manual alarm call points; IPL/LOPA = No; Regulatory override = No</t>
  </si>
  <si>
    <t>E91DMC153B</t>
  </si>
  <si>
    <t>MANUAL CALL POINT FOR BREAK GLASS UNIT IN SGT-200 SINGLE SHAFT E-X-9121 FIRE AND GAS SYSTEM</t>
  </si>
  <si>
    <t>E91DMC153C</t>
  </si>
  <si>
    <t>MANUAL CALL POINT FOR BREAK GLASS UNIT IN SGT-200 SINGLE SHAFT E-X-9131 FIRE AND GAS SYSTEM</t>
  </si>
  <si>
    <t>E91DMC153D</t>
  </si>
  <si>
    <t>MANUAL CALL POINT FOR BREAK GLASS UNIT IN SGT-200 SINGLE SHAFT E-X-9141 FIRE AND GAS SYSTEM</t>
  </si>
  <si>
    <t>E91DMC154A</t>
  </si>
  <si>
    <t>E91DMC154B</t>
  </si>
  <si>
    <t>E91DMC154C</t>
  </si>
  <si>
    <t>E91DMC154D</t>
  </si>
  <si>
    <t>E78DGRT638-DUP2</t>
  </si>
  <si>
    <t>OPEN PATH GAS DETECTOR TRANSMITTER IN INTERCONNECTING PIPERACK N/S GRADE AND ABOVE</t>
  </si>
  <si>
    <t>E78DGRT601</t>
  </si>
  <si>
    <t>E78DGRT602</t>
  </si>
  <si>
    <t>EFJB2102</t>
  </si>
  <si>
    <t>JUNCTION BOX - FIRE &amp; GAS IN CONDENSATION TREATMENT AND FLASH GAS COMPRESSOR AREA</t>
  </si>
  <si>
    <t>EFJB1104</t>
  </si>
  <si>
    <t>EFJB1101</t>
  </si>
  <si>
    <t>EFJB2101</t>
  </si>
  <si>
    <t>EFJB1107</t>
  </si>
  <si>
    <t>EFJB1103</t>
  </si>
  <si>
    <t>EFJB1102</t>
  </si>
  <si>
    <t>EFJB1111</t>
  </si>
  <si>
    <t>EFJB1105</t>
  </si>
  <si>
    <t>EFJB2100</t>
  </si>
  <si>
    <t>EFJB1109</t>
  </si>
  <si>
    <t>EFJB1100</t>
  </si>
  <si>
    <t>EFJB1106</t>
  </si>
  <si>
    <t>EFJB1108</t>
  </si>
  <si>
    <t>EFJB2121</t>
  </si>
  <si>
    <t>EFJB1121</t>
  </si>
  <si>
    <t>EFJB1125</t>
  </si>
  <si>
    <t>EFJB1122</t>
  </si>
  <si>
    <t>EFJB1123</t>
  </si>
  <si>
    <t>EFJB1124</t>
  </si>
  <si>
    <t>E78DGRR602</t>
  </si>
  <si>
    <t>OPEN PATH GAS DETECTOR RECEIVER IN INTERCONNECTING PIPERACK N/S GRADE AND ABOVE</t>
  </si>
  <si>
    <t>EIFJB0058</t>
  </si>
  <si>
    <t>JUNCTION BOX - FIELDBUS IN CONDENSATION TREATMENT AND FLASH GAS COMPRESSOR AREA</t>
  </si>
  <si>
    <t>EIFJB0056</t>
  </si>
  <si>
    <t>EIFJB0057</t>
  </si>
  <si>
    <t>EIFJB0063</t>
  </si>
  <si>
    <t>EIFJB0064</t>
  </si>
  <si>
    <t>EIFJB0069</t>
  </si>
  <si>
    <t>EIFJB0080</t>
  </si>
  <si>
    <t>EIFJB0079</t>
  </si>
  <si>
    <t>EIFJB0077</t>
  </si>
  <si>
    <t>EIFJB0078</t>
  </si>
  <si>
    <t>EIFJB0059</t>
  </si>
  <si>
    <t>EIFJB0061</t>
  </si>
  <si>
    <t>EIFJB0076</t>
  </si>
  <si>
    <t>EIFJB0068</t>
  </si>
  <si>
    <t>EIFJB0062</t>
  </si>
  <si>
    <t>EIFJB0060</t>
  </si>
  <si>
    <t>EIFJB0065</t>
  </si>
  <si>
    <t>EIFJB0067</t>
  </si>
  <si>
    <t>EIFJB0066</t>
  </si>
  <si>
    <t>EIFJB0072</t>
  </si>
  <si>
    <t>EIFJB0074</t>
  </si>
  <si>
    <t>EIFJB0070</t>
  </si>
  <si>
    <t>EIFJB0071</t>
  </si>
  <si>
    <t>EIFJB0073</t>
  </si>
  <si>
    <t>EIFJB0312</t>
  </si>
  <si>
    <t>EIFJB0315</t>
  </si>
  <si>
    <t>EIFJB0081</t>
  </si>
  <si>
    <t>EIFJB0082</t>
  </si>
  <si>
    <t>EIFJB0313-DUP1</t>
  </si>
  <si>
    <t>EIFJB0314-DUP1</t>
  </si>
  <si>
    <t>EIFJB0313-DUP2</t>
  </si>
  <si>
    <t>EIFJB0314-DUP2</t>
  </si>
  <si>
    <t>E78DGRT682</t>
  </si>
  <si>
    <t>OPEN PATH GAS DETECTOR TRANSMITTER IN RICH MEG STORAGE TANK &amp; TRANSFER PUMPS</t>
  </si>
  <si>
    <t>E78DGRT683</t>
  </si>
  <si>
    <t>E78DGRT685</t>
  </si>
  <si>
    <t>E78DGRT687</t>
  </si>
  <si>
    <t>EFJB1191</t>
  </si>
  <si>
    <t>JUNCTION BOX - FIRE &amp; GAS IN FIRE WATER TANKS GRADE AND ABOVE E-TK-8101/8102</t>
  </si>
  <si>
    <t>EFJB1190</t>
  </si>
  <si>
    <t>EFJB2190</t>
  </si>
  <si>
    <t>E78DGRT621</t>
  </si>
  <si>
    <t>OPEN PATH GAS DETECTOR TRANSMITTER IN HOT OIL, THERMAL OXIDISER &amp; FUEL GAS</t>
  </si>
  <si>
    <t>E78DGRT622</t>
  </si>
  <si>
    <t>E78DGRT623</t>
  </si>
  <si>
    <t>E78DGRT624</t>
  </si>
  <si>
    <t>E78DGRT625</t>
  </si>
  <si>
    <t>E78DGRT626</t>
  </si>
  <si>
    <t>E78DGRT696</t>
  </si>
  <si>
    <t>E78DGRT697</t>
  </si>
  <si>
    <t>E78DGRT698</t>
  </si>
  <si>
    <t>E78DGRT699</t>
  </si>
  <si>
    <t>E78DGRR683</t>
  </si>
  <si>
    <t>OPEN PATH GAS DETECTOR RECEIVER IN RICH MEG STORAGE TANK &amp; TRANSFER PUMPS</t>
  </si>
  <si>
    <t>E78DGRR685</t>
  </si>
  <si>
    <t>E78DGRT676</t>
  </si>
  <si>
    <t>OPEN PATH GAS DETECTOR TRANSMITTER IN LEAN MEG STORAGE TANK &amp; EXPORT PUMP</t>
  </si>
  <si>
    <t>E78DGRT677</t>
  </si>
  <si>
    <t>E78DGRT678</t>
  </si>
  <si>
    <t>E78DGRT680</t>
  </si>
  <si>
    <t>E78DGT701</t>
  </si>
  <si>
    <t>POINT GAS DETECTOR, HYDROGEN SULPHIDE IN SLUG CATCHER/HP SEPARATION AREA</t>
  </si>
  <si>
    <t>FGAS</t>
  </si>
  <si>
    <t>E78DGT702</t>
  </si>
  <si>
    <t>E78DGT703</t>
  </si>
  <si>
    <t>E78DGT704</t>
  </si>
  <si>
    <t>E78DGT705</t>
  </si>
  <si>
    <t>E78DGT706</t>
  </si>
  <si>
    <t>E78DGT707</t>
  </si>
  <si>
    <t>E78DGT708</t>
  </si>
  <si>
    <t>E78DGT709</t>
  </si>
  <si>
    <t>E78DGT710</t>
  </si>
  <si>
    <t>E78DMC053</t>
  </si>
  <si>
    <t>MANUAL ALARM CALL POINT IN INTERCONNECTING PIPERACK N/S GRADE AND ABOVE</t>
  </si>
  <si>
    <t>E78DMC054</t>
  </si>
  <si>
    <t>E78DMC058</t>
  </si>
  <si>
    <t>E78DMC059</t>
  </si>
  <si>
    <t>E78DMC060</t>
  </si>
  <si>
    <t>E78DMC061</t>
  </si>
  <si>
    <t>E78DMC062</t>
  </si>
  <si>
    <t>E78DGRR621</t>
  </si>
  <si>
    <t>OPEN PATH GAS DETECTOR RECEIVER IN HOT OIL, THERMAL OXIDISER &amp; FUEL GAS</t>
  </si>
  <si>
    <t>E78DGRR622</t>
  </si>
  <si>
    <t>E78DGRR623</t>
  </si>
  <si>
    <t>E78DGRR624</t>
  </si>
  <si>
    <t>E78DGRR625</t>
  </si>
  <si>
    <t>E78DGRR626</t>
  </si>
  <si>
    <t>E78DGRR696</t>
  </si>
  <si>
    <t>E78DGRR697</t>
  </si>
  <si>
    <t>E78DGRR698</t>
  </si>
  <si>
    <t>E78DGRR699</t>
  </si>
  <si>
    <t>E78DGT715</t>
  </si>
  <si>
    <t>POINT GAS DETECTOR, HYDROGEN SULPHIDE IN MEG RECOVERY &amp; PROCESSING AREA</t>
  </si>
  <si>
    <t>E78DGT716</t>
  </si>
  <si>
    <t>E78DGT717</t>
  </si>
  <si>
    <t>E78DGT718</t>
  </si>
  <si>
    <t>E78DGT719</t>
  </si>
  <si>
    <t>E78DGT720</t>
  </si>
  <si>
    <t>E78DGT721</t>
  </si>
  <si>
    <t>E78DSH911</t>
  </si>
  <si>
    <t>HIGH SENSITIVITY SMOKE DETECTION PANEL IN RAVEN LOCAL EQUIPMENT ROOM #2</t>
  </si>
  <si>
    <t>FA_SQFDS</t>
  </si>
  <si>
    <t>DESM</t>
  </si>
  <si>
    <t>E78DSH912</t>
  </si>
  <si>
    <t>E78DSH186</t>
  </si>
  <si>
    <t>E78DSH187</t>
  </si>
  <si>
    <t>E78DSH185</t>
  </si>
  <si>
    <t>R78DSH959</t>
  </si>
  <si>
    <t>HIGH SENSITIVITY SMOKE DETECTION PANEL IN RAVEN LOCAL EQUIPMENT ROOM #1</t>
  </si>
  <si>
    <t>R78DSH960</t>
  </si>
  <si>
    <t>R78DSH175</t>
  </si>
  <si>
    <t>R78DSH176</t>
  </si>
  <si>
    <t>R78DSH180</t>
  </si>
  <si>
    <t>EIFJB2001</t>
  </si>
  <si>
    <t>JUNCTION BOX - FIELDBUS IN INTERCONNECTING PIPERACK N/S GRADE AND ABOVE</t>
  </si>
  <si>
    <t>E78DGR411</t>
  </si>
  <si>
    <t>POINT GAS DETECTOR, METHANE IN BUTU/HPU, METHANOL STORAGE AND PIPERACK</t>
  </si>
  <si>
    <t>E78DGR412</t>
  </si>
  <si>
    <t>E78DGR413</t>
  </si>
  <si>
    <t>E78DGR414</t>
  </si>
  <si>
    <t>E78DGR415</t>
  </si>
  <si>
    <t>E78DGR416</t>
  </si>
  <si>
    <t>E78DGR501</t>
  </si>
  <si>
    <t>E78DGR502</t>
  </si>
  <si>
    <t>E78DGR503</t>
  </si>
  <si>
    <t>E78DGR540</t>
  </si>
  <si>
    <t>E78DGR541</t>
  </si>
  <si>
    <t>E78DGR542</t>
  </si>
  <si>
    <t>E78DGRR676</t>
  </si>
  <si>
    <t>OPEN PATH GAS DETECTOR RECEIVER IN LEAN MEG STORAGE TANK &amp; EXPORT PUMP</t>
  </si>
  <si>
    <t>E78DGRR677</t>
  </si>
  <si>
    <t>E78DGRR678</t>
  </si>
  <si>
    <t>E78DGRR679</t>
  </si>
  <si>
    <t>E78DGRR682</t>
  </si>
  <si>
    <t>E78DGRT610</t>
  </si>
  <si>
    <t>OPEN PATH GAS DETECTOR TRANSMITTER IN CNDS TRTMT &amp; FLASH GAS COMP AREA</t>
  </si>
  <si>
    <t>E78DGRT611</t>
  </si>
  <si>
    <t>E78DGRT612</t>
  </si>
  <si>
    <t>E78DGRT613</t>
  </si>
  <si>
    <t>E78DGRT614</t>
  </si>
  <si>
    <t>E78DGRT615</t>
  </si>
  <si>
    <t>E78DGRT616</t>
  </si>
  <si>
    <t>E78DGRT617</t>
  </si>
  <si>
    <t>E78DGRT618</t>
  </si>
  <si>
    <t>E78DGRT619</t>
  </si>
  <si>
    <t>E78DGRT620</t>
  </si>
  <si>
    <t>E78DGRT674</t>
  </si>
  <si>
    <t>E78DGRT675</t>
  </si>
  <si>
    <t>EFJB1133</t>
  </si>
  <si>
    <t>JUNCTION BOX - FIRE &amp; GAS INTERCONNECTING PIPERACK N/S GRADE AND ABOVE</t>
  </si>
  <si>
    <t>EFJB2014</t>
  </si>
  <si>
    <t>EFJB1011</t>
  </si>
  <si>
    <t>EFJB1014</t>
  </si>
  <si>
    <t>EFJB1015</t>
  </si>
  <si>
    <t>EFJB1038</t>
  </si>
  <si>
    <t>EFJB2131</t>
  </si>
  <si>
    <t>JUNCTION BOX - FIRE &amp; GAS IN RICH MEG STORAGE TANK AND TRANSFER PUMPS</t>
  </si>
  <si>
    <t>EFJB1132</t>
  </si>
  <si>
    <t>EFJB1131</t>
  </si>
  <si>
    <t>EFJB1134</t>
  </si>
  <si>
    <t>E78DFV309</t>
  </si>
  <si>
    <t>VIDEO FLAME DETECTOR IN INTERCONNECTING PIPERACK N/S GRADE AND ABOVE</t>
  </si>
  <si>
    <t>E78DFV346</t>
  </si>
  <si>
    <t>E78DGRT688</t>
  </si>
  <si>
    <t>OPEN PATH GAS DETECTOR TRANSMITTER IN MEG RECOVERY &amp; PROCESSING AREA</t>
  </si>
  <si>
    <t>E78DGRT689</t>
  </si>
  <si>
    <t>E78DGRT690</t>
  </si>
  <si>
    <t>E78DGRT691</t>
  </si>
  <si>
    <t>E78DGRT692</t>
  </si>
  <si>
    <t>E78DGRT693</t>
  </si>
  <si>
    <t>E78DGRT694</t>
  </si>
  <si>
    <t>E78DGRT695</t>
  </si>
  <si>
    <t>E78DFV303-DUP2</t>
  </si>
  <si>
    <t>EFJB1022</t>
  </si>
  <si>
    <t>JUNCTION BOX - FIRE &amp; GAS IN BUTU/HPU, METHANOL STORAGE AND PIPERACK</t>
  </si>
  <si>
    <t>EFJB1021</t>
  </si>
  <si>
    <t>EFJB1023</t>
  </si>
  <si>
    <t>EFJB2021</t>
  </si>
  <si>
    <t>EIFJB0113</t>
  </si>
  <si>
    <t>JUNCTION BOX - FIELDBUS INTERCONNECTING PIPERACK N/S GRADE AND ABOVE</t>
  </si>
  <si>
    <t>EIFJB0007</t>
  </si>
  <si>
    <t>JUNCTION BOX - FIELDBUS INTERCONNECTING PIPERACK E/W GRADE AND ABOVE</t>
  </si>
  <si>
    <t>RIFJB0003</t>
  </si>
  <si>
    <t>EIFJB0140</t>
  </si>
  <si>
    <t>EIFJB0141</t>
  </si>
  <si>
    <t>EIFJB0032</t>
  </si>
  <si>
    <t>EIFJB0324</t>
  </si>
  <si>
    <t>JUNCTION BOX - FIELDBUS IN FIRE WATER TANK GRADE AND ABOVE E-TK-8101</t>
  </si>
  <si>
    <t>EIFJB0400</t>
  </si>
  <si>
    <t>EIFJB0300</t>
  </si>
  <si>
    <t>EIFJB0325</t>
  </si>
  <si>
    <t>JUNCTION BOX - FIELDBUS IN FIRE WATER TANK GRADE AND ABOVE E-TK-8102</t>
  </si>
  <si>
    <t>EIFJB0302</t>
  </si>
  <si>
    <t>EIFJB7511</t>
  </si>
  <si>
    <t>JUNCTION BOX - FIELDBUS IN HP/LP FLARE GRADE AND ABOVE E-X-4401/4201</t>
  </si>
  <si>
    <t>EIFJB7521</t>
  </si>
  <si>
    <t>EIFJB0321</t>
  </si>
  <si>
    <t>EIFJB0145</t>
  </si>
  <si>
    <t>EIFJB0111-DUP1</t>
  </si>
  <si>
    <t>E78DGRR673-DUP1</t>
  </si>
  <si>
    <t>OPEN PATH GAS DETECTOR RECEIVER IN CNDS TRTMT &amp; FLASH GAS COMP AREA</t>
  </si>
  <si>
    <t>E78DGRR673-DUP2</t>
  </si>
  <si>
    <t>E78DGR529</t>
  </si>
  <si>
    <t>POINT GAS DETECTOR, METHANE IN HOT OIL, THERMAL OXIDISER &amp; FUEL GAS</t>
  </si>
  <si>
    <t>E78DGR530</t>
  </si>
  <si>
    <t>E78DGR531</t>
  </si>
  <si>
    <t>E78DGR532</t>
  </si>
  <si>
    <t>E78DGR533</t>
  </si>
  <si>
    <t>E78DGR585</t>
  </si>
  <si>
    <t>E78DGR586</t>
  </si>
  <si>
    <t>E78DGR587</t>
  </si>
  <si>
    <t>E78DGR588</t>
  </si>
  <si>
    <t>E78DGR589</t>
  </si>
  <si>
    <t>E78DGR590</t>
  </si>
  <si>
    <t>E78DGR591</t>
  </si>
  <si>
    <t>E78DGR592</t>
  </si>
  <si>
    <t>E78DGR593</t>
  </si>
  <si>
    <t>E78DGR594</t>
  </si>
  <si>
    <t>E78DGR595</t>
  </si>
  <si>
    <t>E78DGR596</t>
  </si>
  <si>
    <t>E78DGR597</t>
  </si>
  <si>
    <t>E78DGR598</t>
  </si>
  <si>
    <t>E78DGR599</t>
  </si>
  <si>
    <t>E78DGRR610</t>
  </si>
  <si>
    <t>E78DGRR611</t>
  </si>
  <si>
    <t>E78DGRR612</t>
  </si>
  <si>
    <t>E78DGRR613</t>
  </si>
  <si>
    <t>E78DGRR614</t>
  </si>
  <si>
    <t>E78DGRR615</t>
  </si>
  <si>
    <t>E78DGRR616</t>
  </si>
  <si>
    <t>E78DGRR617</t>
  </si>
  <si>
    <t>E78DGRR618</t>
  </si>
  <si>
    <t>E78DGRR619</t>
  </si>
  <si>
    <t>E78DGRR620</t>
  </si>
  <si>
    <t>E78DGRR674</t>
  </si>
  <si>
    <t>E78DGRR675</t>
  </si>
  <si>
    <t>E78DGRT627</t>
  </si>
  <si>
    <t>OPEN PATH GAS DETECTOR TRANSMITTER IN TRUNK LINE PIG RECEIVING AREA</t>
  </si>
  <si>
    <t>E78DGRT628</t>
  </si>
  <si>
    <t>E78DGRT629</t>
  </si>
  <si>
    <t>E78DGRT630</t>
  </si>
  <si>
    <t>E78DGRT631</t>
  </si>
  <si>
    <t>E78DGRT632</t>
  </si>
  <si>
    <t>E78DGRT633</t>
  </si>
  <si>
    <t>E78DGRT634</t>
  </si>
  <si>
    <t>EFJB1147</t>
  </si>
  <si>
    <t>JUNCTION BOX - FIRE &amp; GAS IN HOT OIL, THERMAL OXIDISER AND FUEL GAS</t>
  </si>
  <si>
    <t>EFJB1029</t>
  </si>
  <si>
    <t>EFJB1142</t>
  </si>
  <si>
    <t>EFJB1146</t>
  </si>
  <si>
    <t>EFJB1141</t>
  </si>
  <si>
    <t>EFJB1148</t>
  </si>
  <si>
    <t>EFJB2141</t>
  </si>
  <si>
    <t>EFJB1143</t>
  </si>
  <si>
    <t>EFJB1144</t>
  </si>
  <si>
    <t>EFJB1149</t>
  </si>
  <si>
    <t>EFJB1150</t>
  </si>
  <si>
    <t>EFJB1145</t>
  </si>
  <si>
    <t>E78DMC065</t>
  </si>
  <si>
    <t>MANUAL ALARM CALL POINT IN BUTU/HPU, METHANOL STORAGE AND PIPERACK</t>
  </si>
  <si>
    <t>E78DMC066</t>
  </si>
  <si>
    <t>E78DMC067</t>
  </si>
  <si>
    <t>E78DMC134</t>
  </si>
  <si>
    <t>E78DGRT606</t>
  </si>
  <si>
    <t>OPEN PATH GAS DETECTOR TRANSMITTER IN GAS TREATMENT AREA - TRAIN 1</t>
  </si>
  <si>
    <t>E78DGRT607</t>
  </si>
  <si>
    <t>E78DGRT608</t>
  </si>
  <si>
    <t>E78DGRT609</t>
  </si>
  <si>
    <t>E78DGRT649</t>
  </si>
  <si>
    <t>E78DGRT650</t>
  </si>
  <si>
    <t>E78DGRT651</t>
  </si>
  <si>
    <t>E78DGRT652</t>
  </si>
  <si>
    <t>E78DGRT653</t>
  </si>
  <si>
    <t>E78DGRT654</t>
  </si>
  <si>
    <t>E78DGRT655</t>
  </si>
  <si>
    <t>E78DGRT656</t>
  </si>
  <si>
    <t>E78DGRT657</t>
  </si>
  <si>
    <t>E78DGRT658</t>
  </si>
  <si>
    <t>E78DGRT659</t>
  </si>
  <si>
    <t>OPEN PATH GAS DETECTOR TRANSMITTER IN GAS TREATMENT AREA - TRAIN 2</t>
  </si>
  <si>
    <t>E78DGRT663</t>
  </si>
  <si>
    <t>E78DGRT664</t>
  </si>
  <si>
    <t>E78DGRT665</t>
  </si>
  <si>
    <t>E78DGRT666</t>
  </si>
  <si>
    <t>E78DGRT667</t>
  </si>
  <si>
    <t>E78DGRT669</t>
  </si>
  <si>
    <t>E78DGRT670</t>
  </si>
  <si>
    <t>E78DGRT671</t>
  </si>
  <si>
    <t>E78DGRT741</t>
  </si>
  <si>
    <t>OPEN PATH GAS DETECTOR TRANSMITTER IN PRODUCED WATER STRIPPER AREA</t>
  </si>
  <si>
    <t>E78DGRT742</t>
  </si>
  <si>
    <t>E78DGRT743</t>
  </si>
  <si>
    <t>E78DGRT744</t>
  </si>
  <si>
    <t>E78DGRT745</t>
  </si>
  <si>
    <t>E78DGRT746</t>
  </si>
  <si>
    <t>EIFJB0055</t>
  </si>
  <si>
    <t>JUNCTION BOX - FIELDBUS IN BUTU/HPU, METHANOL STORAGE AND PIPERACK</t>
  </si>
  <si>
    <t>EIFJB0053</t>
  </si>
  <si>
    <t>EIFJB0010</t>
  </si>
  <si>
    <t>EIFJB0303</t>
  </si>
  <si>
    <t>EIFJB0054</t>
  </si>
  <si>
    <t>EIFJB0051</t>
  </si>
  <si>
    <t>EIFJB0052</t>
  </si>
  <si>
    <t>EIFJB0011</t>
  </si>
  <si>
    <t>E78DMC085</t>
  </si>
  <si>
    <t>MANUAL ALARM CALL POINT IN RICH MEG STORAGE TANK &amp; TRANSFER PUMPS</t>
  </si>
  <si>
    <t>E78DMC086</t>
  </si>
  <si>
    <t>E78DMC087</t>
  </si>
  <si>
    <t>E78DFR164</t>
  </si>
  <si>
    <t>IR FLAME DETECTOR IN INTERCONNECTING PIPERACK N/S GRADE AND ABOVE</t>
  </si>
  <si>
    <t>E78DGRR688</t>
  </si>
  <si>
    <t>OPEN PATH GAS DETECTOR RECEIVER IN MEG RECOVERY &amp; PROCESSING AREA</t>
  </si>
  <si>
    <t>E78DGRR689</t>
  </si>
  <si>
    <t>E78DGRR690</t>
  </si>
  <si>
    <t>E78DGRR691</t>
  </si>
  <si>
    <t>E78DGRR692</t>
  </si>
  <si>
    <t>E78DGRR693</t>
  </si>
  <si>
    <t>E78DGRR694</t>
  </si>
  <si>
    <t>E78DGRR695</t>
  </si>
  <si>
    <t>E78DGRT660</t>
  </si>
  <si>
    <t>OPEN PATH GAS DETECTOR TRANSMITTER IN GAS TREATMENT AREA -TRAIN 2</t>
  </si>
  <si>
    <t>E78DGRT661</t>
  </si>
  <si>
    <t>E78DGRT662</t>
  </si>
  <si>
    <t>E78DGRT668</t>
  </si>
  <si>
    <t>E78DGRT672</t>
  </si>
  <si>
    <t>E78DFR211-DUP2</t>
  </si>
  <si>
    <t>EFJB2189</t>
  </si>
  <si>
    <t>JUNCTION BOX - FIRE &amp; GAS IN MATERIALS HANDLING AND LOGISTIC AREA</t>
  </si>
  <si>
    <t>EFJB2188</t>
  </si>
  <si>
    <t>EIFJB0157</t>
  </si>
  <si>
    <t>JUNCTION BOX - FIELDBUS IN HOT OIL, THERMAL OXIDISER AND FUEL GAS</t>
  </si>
  <si>
    <t>EIFJB0156</t>
  </si>
  <si>
    <t>EIFJB0158</t>
  </si>
  <si>
    <t>EIFJB0163</t>
  </si>
  <si>
    <t>EIFJB0162</t>
  </si>
  <si>
    <t>EIFJB0166</t>
  </si>
  <si>
    <t>EIFJB0167</t>
  </si>
  <si>
    <t>EIFJB0355</t>
  </si>
  <si>
    <t>EIFJB0170</t>
  </si>
  <si>
    <t>EIFJB0168</t>
  </si>
  <si>
    <t>EIFJB0169</t>
  </si>
  <si>
    <t>EIFJB0176</t>
  </si>
  <si>
    <t>EIFJB0327</t>
  </si>
  <si>
    <t>EIFJB0159</t>
  </si>
  <si>
    <t>EIFJB0171</t>
  </si>
  <si>
    <t>EIFJB0172</t>
  </si>
  <si>
    <t>EIFJB0160</t>
  </si>
  <si>
    <t>EIFJB0161</t>
  </si>
  <si>
    <t>EIFJB0155</t>
  </si>
  <si>
    <t>EIFJB0326</t>
  </si>
  <si>
    <t>EIFJB0164</t>
  </si>
  <si>
    <t>EIFJB0154</t>
  </si>
  <si>
    <t>EIFJB0153</t>
  </si>
  <si>
    <t>EIFJB0173</t>
  </si>
  <si>
    <t>EIFJB0174</t>
  </si>
  <si>
    <t>EIFJB0175</t>
  </si>
  <si>
    <t>EIFJB0328</t>
  </si>
  <si>
    <t>EIFJB0177</t>
  </si>
  <si>
    <t>E78DGRR627</t>
  </si>
  <si>
    <t>OPEN PATH GAS DETECTOR RECEIVER IN TRUNK LINE PIG RECEIVING AREA</t>
  </si>
  <si>
    <t>E78DGRR628</t>
  </si>
  <si>
    <t>E78DGRR629</t>
  </si>
  <si>
    <t>E78DGRR630</t>
  </si>
  <si>
    <t>E78DGRR631</t>
  </si>
  <si>
    <t>E78DGRR632</t>
  </si>
  <si>
    <t>E78DGRR633</t>
  </si>
  <si>
    <t>E78DGRR634</t>
  </si>
  <si>
    <t>E78DGRT603</t>
  </si>
  <si>
    <t>OPEN GAS DETECTOR TRANSMITTER IN SLUG CATCHER/HP SEPARATION AREA</t>
  </si>
  <si>
    <t>E78DGRT604</t>
  </si>
  <si>
    <t>E78DGRT605</t>
  </si>
  <si>
    <t>E78DGRT635</t>
  </si>
  <si>
    <t>E78DGRT636</t>
  </si>
  <si>
    <t>E78DGRT637</t>
  </si>
  <si>
    <t>E78DGRT642</t>
  </si>
  <si>
    <t>E78DGRT643</t>
  </si>
  <si>
    <t>E78DGRT644</t>
  </si>
  <si>
    <t>E78DGRT645</t>
  </si>
  <si>
    <t>E78DGRT646</t>
  </si>
  <si>
    <t>E78DGRT647</t>
  </si>
  <si>
    <t>E78DGRT648</t>
  </si>
  <si>
    <t>EIFJB0098</t>
  </si>
  <si>
    <t>JUNCTION BOX - FIELDBUS IN LEAN MEG STORAGE TANKS &amp; EXPORT PUMPS</t>
  </si>
  <si>
    <t>EIFJB0317</t>
  </si>
  <si>
    <t>EIFJB0091</t>
  </si>
  <si>
    <t>EIFJB0318</t>
  </si>
  <si>
    <t>EIFJB0093</t>
  </si>
  <si>
    <t>EIFJB0092</t>
  </si>
  <si>
    <t>EIFJB0094</t>
  </si>
  <si>
    <t>EIFJB0095</t>
  </si>
  <si>
    <t>EIFJB0096</t>
  </si>
  <si>
    <t>EIFJB0097</t>
  </si>
  <si>
    <t>EIFJB0100</t>
  </si>
  <si>
    <t>EIFJB0099</t>
  </si>
  <si>
    <t>EIFJB0311</t>
  </si>
  <si>
    <t>EIFJB0087</t>
  </si>
  <si>
    <t>EIFJB0112</t>
  </si>
  <si>
    <t>EIFJB0088</t>
  </si>
  <si>
    <t>EIFJB0086</t>
  </si>
  <si>
    <t>EIFJB0089</t>
  </si>
  <si>
    <t>EIFJB0090</t>
  </si>
  <si>
    <t>E78DMC093</t>
  </si>
  <si>
    <t>MANUAL ALARM CALL POINT IN HOT OIL, THERMAL OXIDISER &amp; FUEL GAS</t>
  </si>
  <si>
    <t>E78DMC094</t>
  </si>
  <si>
    <t>E78DMC095</t>
  </si>
  <si>
    <t>E78DMC096</t>
  </si>
  <si>
    <t>E78DMC097</t>
  </si>
  <si>
    <t>E78DMC098</t>
  </si>
  <si>
    <t>E78DMC099</t>
  </si>
  <si>
    <t>E78DMC105</t>
  </si>
  <si>
    <t>MANUAL ALARM CALL POINT IN MATERIAL HANDLING AND LOGISTICS AREA</t>
  </si>
  <si>
    <t>E78DMC106</t>
  </si>
  <si>
    <t>E78DMC107</t>
  </si>
  <si>
    <t>E78DMC108</t>
  </si>
  <si>
    <t>E78DMC109</t>
  </si>
  <si>
    <t>E78DMC114</t>
  </si>
  <si>
    <t>E78DMC116</t>
  </si>
  <si>
    <t>E78DMC115-DUP1</t>
  </si>
  <si>
    <t>E78DFV311</t>
  </si>
  <si>
    <t>VIDEO FLAME DETECTOR IN BUTU/HPU, METHANOL STORAGE AND PIPERACK</t>
  </si>
  <si>
    <t>E78DGRR606</t>
  </si>
  <si>
    <t>OPEN PATH GAS DETECTOR RECEIVER IN GAS TREATMENT AREA - TRAIN 1</t>
  </si>
  <si>
    <t>E78DGRR607</t>
  </si>
  <si>
    <t>E78DGRR608</t>
  </si>
  <si>
    <t>E78DGRR609</t>
  </si>
  <si>
    <t>E78DGRR649</t>
  </si>
  <si>
    <t>E78DGRR650</t>
  </si>
  <si>
    <t>E78DGRR651</t>
  </si>
  <si>
    <t>E78DGRR652</t>
  </si>
  <si>
    <t>E78DGRR653</t>
  </si>
  <si>
    <t>E78DGRR654</t>
  </si>
  <si>
    <t>E78DGRR655</t>
  </si>
  <si>
    <t>E78DGRR656</t>
  </si>
  <si>
    <t>E78DGRR657</t>
  </si>
  <si>
    <t>E78DGRR658</t>
  </si>
  <si>
    <t>E78DGRR659</t>
  </si>
  <si>
    <t>OPEN PATH GAS DETECTOR RECEIVER IN GAS TREATMENT AREA - TRAIN 2</t>
  </si>
  <si>
    <t>E78DGRR660</t>
  </si>
  <si>
    <t>E78DGRR663</t>
  </si>
  <si>
    <t>E78DGRR664</t>
  </si>
  <si>
    <t>E78DGRR665</t>
  </si>
  <si>
    <t>E78DGRR666</t>
  </si>
  <si>
    <t>E78DGRR667</t>
  </si>
  <si>
    <t>E78DGRR668</t>
  </si>
  <si>
    <t>E78DGRR669</t>
  </si>
  <si>
    <t>E78DGRR670</t>
  </si>
  <si>
    <t>E78DGRR671</t>
  </si>
  <si>
    <t>E78DGRR741</t>
  </si>
  <si>
    <t>OPEN PATH GAS DETECTOR RECEIVER IN PRODUCED WATER STRIPPER AREA</t>
  </si>
  <si>
    <t>E78DGRR742</t>
  </si>
  <si>
    <t>E78DGRR743</t>
  </si>
  <si>
    <t>E78DGRR744</t>
  </si>
  <si>
    <t>E78DGRR745</t>
  </si>
  <si>
    <t>E78DGRR746</t>
  </si>
  <si>
    <t>EIFJB0006</t>
  </si>
  <si>
    <t>JUNCTION BOX - FIELDBUS IN HP/LP FLARE GRADE AND ABOVE E-V-5704</t>
  </si>
  <si>
    <t>EIFJB0005</t>
  </si>
  <si>
    <t>EIFJB0115</t>
  </si>
  <si>
    <t>JUNCTION BOX - FIELDBUS IN RICH MEG STORAGE TANKS &amp; TRANS PUMPS</t>
  </si>
  <si>
    <t>EIFJB0116</t>
  </si>
  <si>
    <t>EIFJB0128</t>
  </si>
  <si>
    <t>EIFJB0114</t>
  </si>
  <si>
    <t>EIFJB0329</t>
  </si>
  <si>
    <t>EIFJB0118</t>
  </si>
  <si>
    <t>EIFJB0119</t>
  </si>
  <si>
    <t>EIFJB0319</t>
  </si>
  <si>
    <t>EIFJB0124</t>
  </si>
  <si>
    <t>EIFJB0120</t>
  </si>
  <si>
    <t>EIFJB0117</t>
  </si>
  <si>
    <t>EIFJB0123</t>
  </si>
  <si>
    <t>EIFJB0129</t>
  </si>
  <si>
    <t>EIFJB0127</t>
  </si>
  <si>
    <t>EIFJB0142</t>
  </si>
  <si>
    <t>EIFJB0320</t>
  </si>
  <si>
    <t>EIFJB0121</t>
  </si>
  <si>
    <t>EIFJB0143</t>
  </si>
  <si>
    <t>EIFJB0144</t>
  </si>
  <si>
    <t>EIFJB0122</t>
  </si>
  <si>
    <t>EIFJB0125</t>
  </si>
  <si>
    <t>EIFJB0126</t>
  </si>
  <si>
    <t>EIFJB0336</t>
  </si>
  <si>
    <t>JUNCTION BOX - FIELDBUS IN MATERIALS HANDLING AND LOGISTIC AREA</t>
  </si>
  <si>
    <t>EIFJB0262</t>
  </si>
  <si>
    <t>EIFJB0263</t>
  </si>
  <si>
    <t>EIFJB0227</t>
  </si>
  <si>
    <t>EIFJB0261</t>
  </si>
  <si>
    <t>EIFJB0260</t>
  </si>
  <si>
    <t>EIFJB0264</t>
  </si>
  <si>
    <t>EIFJB0265</t>
  </si>
  <si>
    <t>EIFJB0266</t>
  </si>
  <si>
    <t>EIFJB0268</t>
  </si>
  <si>
    <t>EIFJB0337</t>
  </si>
  <si>
    <t>EIFJB0267</t>
  </si>
  <si>
    <t>EIFJB0410</t>
  </si>
  <si>
    <t>EIFJB0338</t>
  </si>
  <si>
    <t>EIFJB0339</t>
  </si>
  <si>
    <t>EIFJB0341</t>
  </si>
  <si>
    <t>EIFJB0340</t>
  </si>
  <si>
    <t>E78DMC084</t>
  </si>
  <si>
    <t>MANUAL ALARM CALL POINT IN LEAN MEG STORAGE TANK &amp; EXPORT PUMP</t>
  </si>
  <si>
    <t>E78DMC148</t>
  </si>
  <si>
    <t>E78DMC989</t>
  </si>
  <si>
    <t>MANUAL CALL POINT IN VENTILATION AND WATER MIST SYSTEM E-X-8731</t>
  </si>
  <si>
    <t>E78DMC990</t>
  </si>
  <si>
    <t>E78DFV348</t>
  </si>
  <si>
    <t>VIDEO FLAME DETECTOR IN RICH MEG STORAGE TANK &amp; TRANSFER PUMPS</t>
  </si>
  <si>
    <t>E78DFV349</t>
  </si>
  <si>
    <t>E78DFV350</t>
  </si>
  <si>
    <t>E78DFV351</t>
  </si>
  <si>
    <t>E78DFV352</t>
  </si>
  <si>
    <t>E78DFV354</t>
  </si>
  <si>
    <t>E78DGR504</t>
  </si>
  <si>
    <t>POINT GAS DETECTOR, METHANE IN SLUG CATCHER/HP SEPARATION AREA</t>
  </si>
  <si>
    <t>E78DGR505</t>
  </si>
  <si>
    <t>E78DGR506</t>
  </si>
  <si>
    <t>E78DGR507</t>
  </si>
  <si>
    <t>E78DGR508</t>
  </si>
  <si>
    <t>E78DGR509</t>
  </si>
  <si>
    <t>E78DGR510</t>
  </si>
  <si>
    <t>E78DGR511</t>
  </si>
  <si>
    <t>E78DGR512</t>
  </si>
  <si>
    <t>E78DGR513</t>
  </si>
  <si>
    <t>E78DGR514</t>
  </si>
  <si>
    <t>E78DGR515</t>
  </si>
  <si>
    <t>E78DGR516</t>
  </si>
  <si>
    <t>E78DGR517</t>
  </si>
  <si>
    <t>E78DGR518</t>
  </si>
  <si>
    <t>E78DGR519</t>
  </si>
  <si>
    <t>E78DGR520</t>
  </si>
  <si>
    <t>E78DGRR661</t>
  </si>
  <si>
    <t>OPEN PATH GAS DETECTOR RECEIVER IN GAS TREATMENT AREA -TRAIN 2</t>
  </si>
  <si>
    <t>E78DGRR662</t>
  </si>
  <si>
    <t>E78DGRR672</t>
  </si>
  <si>
    <t>E78DFR994</t>
  </si>
  <si>
    <t>IR FLAME DETECTOR IN VENTILATION AND WATER MIST SYSTEM E-X-8731</t>
  </si>
  <si>
    <t>E78DFR995</t>
  </si>
  <si>
    <t>E78DGR438</t>
  </si>
  <si>
    <t>POINT GAS DETECTOR, METHANE IN MEG RECOVERY &amp; PROCESSING AREA</t>
  </si>
  <si>
    <t>E78DGR439</t>
  </si>
  <si>
    <t>E78DGR440</t>
  </si>
  <si>
    <t>E78DGR555</t>
  </si>
  <si>
    <t>E78DGR556</t>
  </si>
  <si>
    <t>E78DGR557</t>
  </si>
  <si>
    <t>E78DGR558</t>
  </si>
  <si>
    <t>E78DGR559</t>
  </si>
  <si>
    <t>E78DGR560</t>
  </si>
  <si>
    <t>E78DGR561</t>
  </si>
  <si>
    <t>E78DGR562</t>
  </si>
  <si>
    <t>E78DGR563</t>
  </si>
  <si>
    <t>E78DGR564</t>
  </si>
  <si>
    <t>E78DGR565</t>
  </si>
  <si>
    <t>E78DGR566</t>
  </si>
  <si>
    <t>E78DGR567</t>
  </si>
  <si>
    <t>E78DGR568</t>
  </si>
  <si>
    <t>E78DGR569</t>
  </si>
  <si>
    <t>E78DGR570</t>
  </si>
  <si>
    <t>E78DGR571</t>
  </si>
  <si>
    <t>E78DGR572</t>
  </si>
  <si>
    <t>E78DGR573</t>
  </si>
  <si>
    <t>E78DGR574</t>
  </si>
  <si>
    <t>E78DGR575</t>
  </si>
  <si>
    <t>E78DGR576</t>
  </si>
  <si>
    <t>E78DGR577</t>
  </si>
  <si>
    <t>E78DGR578</t>
  </si>
  <si>
    <t>E78DGR579</t>
  </si>
  <si>
    <t>E78DGR580</t>
  </si>
  <si>
    <t>E78DGR581</t>
  </si>
  <si>
    <t>E78DGR582</t>
  </si>
  <si>
    <t>E78DGR583</t>
  </si>
  <si>
    <t>E78DGR584</t>
  </si>
  <si>
    <t>E78DGRR603</t>
  </si>
  <si>
    <t>OPEN GAS DETECTOR RECEIVER IN SLUG CATCHER/HP SEPARATION AREA</t>
  </si>
  <si>
    <t>E78DGRR604</t>
  </si>
  <si>
    <t>E78DGRR605</t>
  </si>
  <si>
    <t>E78DGRR635</t>
  </si>
  <si>
    <t>E78DGRR636</t>
  </si>
  <si>
    <t>E78DGRR637</t>
  </si>
  <si>
    <t>E78DGRR642</t>
  </si>
  <si>
    <t>E78DGRR643</t>
  </si>
  <si>
    <t>E78DGRR644</t>
  </si>
  <si>
    <t>E78DGRR645</t>
  </si>
  <si>
    <t>E78DGRR646</t>
  </si>
  <si>
    <t>E78DGRR647</t>
  </si>
  <si>
    <t>E78DGRR648</t>
  </si>
  <si>
    <t>E78DGU781</t>
  </si>
  <si>
    <t>ACOUSTIC GAS DETECTOR IN HOT OIL, THERMAL OXIDISER &amp; FUEL GAS</t>
  </si>
  <si>
    <t>EFJB1163</t>
  </si>
  <si>
    <t>JUNCTION BOX - FIRE &amp; GAS IN MEG RECOVERY AND PROCESSING AREA</t>
  </si>
  <si>
    <t>EFJB1161</t>
  </si>
  <si>
    <t>EFJB1167</t>
  </si>
  <si>
    <t>EFJB1166</t>
  </si>
  <si>
    <t>EFJB1164</t>
  </si>
  <si>
    <t>EFJB1169</t>
  </si>
  <si>
    <t>EFJB1162</t>
  </si>
  <si>
    <t>EFJB2162</t>
  </si>
  <si>
    <t>EFJB1165</t>
  </si>
  <si>
    <t>EFJB1168</t>
  </si>
  <si>
    <t>E78DFR212</t>
  </si>
  <si>
    <t>IR FLAME DETECTOR IN BUTU/HPU, METHANOL STORAGE AND PIPERACK</t>
  </si>
  <si>
    <t>E78DFR213</t>
  </si>
  <si>
    <t>E78DFR216</t>
  </si>
  <si>
    <t>E78DFR217</t>
  </si>
  <si>
    <t>E78DFR218</t>
  </si>
  <si>
    <t>E78DFR219</t>
  </si>
  <si>
    <t>E78DFV370</t>
  </si>
  <si>
    <t>VIDEO FLAME DETECTOR IN HOT OIL, THERMAL OXIDISER &amp; FUEL GAS</t>
  </si>
  <si>
    <t>E78DFV371</t>
  </si>
  <si>
    <t>E78DFV374</t>
  </si>
  <si>
    <t>E78DFV375</t>
  </si>
  <si>
    <t>E78DFV376</t>
  </si>
  <si>
    <t>E78DFV377</t>
  </si>
  <si>
    <t>E78DFV378</t>
  </si>
  <si>
    <t>E78DFV379</t>
  </si>
  <si>
    <t>E78DFV380</t>
  </si>
  <si>
    <t>E78DFV381</t>
  </si>
  <si>
    <t>E78DFV395</t>
  </si>
  <si>
    <t>E78DFV396</t>
  </si>
  <si>
    <t>EFJB1031</t>
  </si>
  <si>
    <t>JUNCTION BOX - FIRE &amp; GAS IN SLUG CATCHER/HP SEPARATION AREA</t>
  </si>
  <si>
    <t>EFJB2032</t>
  </si>
  <si>
    <t>EFJB1037</t>
  </si>
  <si>
    <t>EFJB1041</t>
  </si>
  <si>
    <t>EFJB1040</t>
  </si>
  <si>
    <t>EFJB1032</t>
  </si>
  <si>
    <t>EFJB1039</t>
  </si>
  <si>
    <t>EFJB1033</t>
  </si>
  <si>
    <t>EFJB1034</t>
  </si>
  <si>
    <t>EFJB1035</t>
  </si>
  <si>
    <t>EFJB1036</t>
  </si>
  <si>
    <t>EFJB1042</t>
  </si>
  <si>
    <t>EFJB2031</t>
  </si>
  <si>
    <t>E78DMC077</t>
  </si>
  <si>
    <t>MANUAL ALARM CALL POINT IN CNDS TRTMT &amp; FLASH GAS COMP AREA</t>
  </si>
  <si>
    <t>E78DMC078</t>
  </si>
  <si>
    <t>E78DMC079</t>
  </si>
  <si>
    <t>E78DMC080</t>
  </si>
  <si>
    <t>E78DMC081</t>
  </si>
  <si>
    <t>E78DMC082</t>
  </si>
  <si>
    <t>E78DMC083</t>
  </si>
  <si>
    <t>E78DGRT638-DUP1</t>
  </si>
  <si>
    <t>OPEN PATH GAS DETECTOR TRANSMITTER IN HP/LP FLARE (KO DRUM)</t>
  </si>
  <si>
    <t>E78DFR278</t>
  </si>
  <si>
    <t>IR FLAME DETECTOR IN RICH MEG STORAGE TANK &amp; TRANSFER PUMPS</t>
  </si>
  <si>
    <t>E78DFR279</t>
  </si>
  <si>
    <t>E78DFR280</t>
  </si>
  <si>
    <t>E78DFR282</t>
  </si>
  <si>
    <t>E78DFR285</t>
  </si>
  <si>
    <t>E78DFV343</t>
  </si>
  <si>
    <t>VIDEO FLAME DETECTOR IN LEAN MEG STORAGE TANK &amp; EXPORT PUMP</t>
  </si>
  <si>
    <t>E78DFV344</t>
  </si>
  <si>
    <t>E78DFV345</t>
  </si>
  <si>
    <t>E78DFV347</t>
  </si>
  <si>
    <t>E78DFV353</t>
  </si>
  <si>
    <t>E78DGR417</t>
  </si>
  <si>
    <t>POINT GAS DETECTOR, METHANE IN GAS TREATMENT AREA - TRAIN 2</t>
  </si>
  <si>
    <t>E78DGR418</t>
  </si>
  <si>
    <t>E78DGR419</t>
  </si>
  <si>
    <t>E78DGR420</t>
  </si>
  <si>
    <t>E78DGR421</t>
  </si>
  <si>
    <t>E78DGR422</t>
  </si>
  <si>
    <t>E78DGR521</t>
  </si>
  <si>
    <t>POINT GAS DETECTOR, METHANE IN GAS TREATMENT AREA - TRAIN 1</t>
  </si>
  <si>
    <t>E78DGR522</t>
  </si>
  <si>
    <t>E78DGR523</t>
  </si>
  <si>
    <t>E78DGR524</t>
  </si>
  <si>
    <t>E78DGR525</t>
  </si>
  <si>
    <t>E78DGR526</t>
  </si>
  <si>
    <t>E78DGR527</t>
  </si>
  <si>
    <t>E78DGR528</t>
  </si>
  <si>
    <t>E78DGR534</t>
  </si>
  <si>
    <t>POINT GAS DETECTOR, METHANE IN PRODUCED WATER STRIPPER AREA</t>
  </si>
  <si>
    <t>E78DGR535</t>
  </si>
  <si>
    <t>E78DGR536</t>
  </si>
  <si>
    <t>E78DGR551</t>
  </si>
  <si>
    <t>GAS DETECTOR-METHANE IN LEAN MEG STORAGE TANK &amp; EXPORT PUMP</t>
  </si>
  <si>
    <t>E78DGR552</t>
  </si>
  <si>
    <t>E78DGR553</t>
  </si>
  <si>
    <t>E78DGR554</t>
  </si>
  <si>
    <t>E78DGRT639</t>
  </si>
  <si>
    <t>E78DGRT640</t>
  </si>
  <si>
    <t>E78DGRT641</t>
  </si>
  <si>
    <t>EFJB7201</t>
  </si>
  <si>
    <t>JUNCTION BOX - FIRE &amp; GAS IN HSSD UNIT FOR CONTROL BUILDING</t>
  </si>
  <si>
    <t>EFJB7202</t>
  </si>
  <si>
    <t>EFJB7203</t>
  </si>
  <si>
    <t>EFJB7204</t>
  </si>
  <si>
    <t>EFJB7205</t>
  </si>
  <si>
    <t>EFJB7206</t>
  </si>
  <si>
    <t>EFJB7207</t>
  </si>
  <si>
    <t>EFJB7208</t>
  </si>
  <si>
    <t>EFJB7209</t>
  </si>
  <si>
    <t>EFJB7210</t>
  </si>
  <si>
    <t>EFJB7211</t>
  </si>
  <si>
    <t>EFJB7212</t>
  </si>
  <si>
    <t>EFJB7213</t>
  </si>
  <si>
    <t>EFJB7214</t>
  </si>
  <si>
    <t>EFJB7215</t>
  </si>
  <si>
    <t>EFJB2202</t>
  </si>
  <si>
    <t>EFJB2302</t>
  </si>
  <si>
    <t>EFJB2303</t>
  </si>
  <si>
    <t>EFJB2304</t>
  </si>
  <si>
    <t>EFJB2305</t>
  </si>
  <si>
    <t>EFJB2308</t>
  </si>
  <si>
    <t>EFJB2309</t>
  </si>
  <si>
    <t>EFJB2310</t>
  </si>
  <si>
    <t>EFJB2311</t>
  </si>
  <si>
    <t>EFJB2312</t>
  </si>
  <si>
    <t>EFJB2313</t>
  </si>
  <si>
    <t>EFJB2314</t>
  </si>
  <si>
    <t>EFJB2315</t>
  </si>
  <si>
    <t>EIFJB0185</t>
  </si>
  <si>
    <t>JUNCTION BOX - FIELDBUS IN MEG RECOVERY AND PROCESSING AREA</t>
  </si>
  <si>
    <t>EIFJB0186</t>
  </si>
  <si>
    <t>EIFJB0191</t>
  </si>
  <si>
    <t>EIFJB0226</t>
  </si>
  <si>
    <t>EIFJB0196</t>
  </si>
  <si>
    <t>EIFJB0189</t>
  </si>
  <si>
    <t>EIFJB0225</t>
  </si>
  <si>
    <t>EIFJB0224</t>
  </si>
  <si>
    <t>EIFJB0190</t>
  </si>
  <si>
    <t>EIFJB0184</t>
  </si>
  <si>
    <t>EIFJB0188</t>
  </si>
  <si>
    <t>EIFJB2023</t>
  </si>
  <si>
    <t>EIFJB0187</t>
  </si>
  <si>
    <t>EIFJB0192</t>
  </si>
  <si>
    <t>EIFJB0195</t>
  </si>
  <si>
    <t>EIFJB0183</t>
  </si>
  <si>
    <t>EIFJB0199</t>
  </si>
  <si>
    <t>EIFJB0198</t>
  </si>
  <si>
    <t>EIFJB0194</t>
  </si>
  <si>
    <t>EIFJB0202</t>
  </si>
  <si>
    <t>EIFJB0201</t>
  </si>
  <si>
    <t>EIFJB0205</t>
  </si>
  <si>
    <t>EIFJB0197</t>
  </si>
  <si>
    <t>EIFJB0200</t>
  </si>
  <si>
    <t>EIFJB0204</t>
  </si>
  <si>
    <t>EIFJB0203</t>
  </si>
  <si>
    <t>EIFJB0207</t>
  </si>
  <si>
    <t>EIFJB0206</t>
  </si>
  <si>
    <t>EIFJB0220</t>
  </si>
  <si>
    <t>EIFJB0222</t>
  </si>
  <si>
    <t>EIFJB0228</t>
  </si>
  <si>
    <t>EIFJB0221</t>
  </si>
  <si>
    <t>EIFJB0211</t>
  </si>
  <si>
    <t>EIFJB0210</t>
  </si>
  <si>
    <t>EIFJB0209</t>
  </si>
  <si>
    <t>EIFJB0218</t>
  </si>
  <si>
    <t>EIFJB0212</t>
  </si>
  <si>
    <t>EIFJB0217</t>
  </si>
  <si>
    <t>EIFJB0216</t>
  </si>
  <si>
    <t>EIFJB0215</t>
  </si>
  <si>
    <t>EIFJB0208</t>
  </si>
  <si>
    <t>EIFJB0330</t>
  </si>
  <si>
    <t>EIFJB0332</t>
  </si>
  <si>
    <t>EIFJB0333</t>
  </si>
  <si>
    <t>EIFJB0213</t>
  </si>
  <si>
    <t>EIFJB0214</t>
  </si>
  <si>
    <t>EIFJB0334</t>
  </si>
  <si>
    <t>EIFJB0335</t>
  </si>
  <si>
    <t>EIFJB0331</t>
  </si>
  <si>
    <t>EIFJB0219</t>
  </si>
  <si>
    <t>E78DMC068</t>
  </si>
  <si>
    <t>MANUAL ALARM CALL POINT IN SLUG CATCHER/HP SEPARATION AREA</t>
  </si>
  <si>
    <t>E78DMC069</t>
  </si>
  <si>
    <t>E78DMC070</t>
  </si>
  <si>
    <t>E78DMC071</t>
  </si>
  <si>
    <t>E78DMC072</t>
  </si>
  <si>
    <t>E78DMC135</t>
  </si>
  <si>
    <t>E78DMC136</t>
  </si>
  <si>
    <t>E78DMC137</t>
  </si>
  <si>
    <t>E78DMC964</t>
  </si>
  <si>
    <t>E78DHT997</t>
  </si>
  <si>
    <t>HEAT DETECTOR IN VENTILATION AND WATER MIST SYSTEM E-X-8731</t>
  </si>
  <si>
    <t>E78DHT998</t>
  </si>
  <si>
    <t>E78DGR423</t>
  </si>
  <si>
    <t>POINT GAS DETECTOR, METHANE IN GAS TREATMENT AREA -TRAIN 2</t>
  </si>
  <si>
    <t>E78DGR424</t>
  </si>
  <si>
    <t>EFJB2081</t>
  </si>
  <si>
    <t>JUNCTION BOX - FIRE &amp; GAS IN UTILITY AREA AIR AND NITROGEN</t>
  </si>
  <si>
    <t>EFJB1012</t>
  </si>
  <si>
    <t>JUNCTION BOX - FIRE &amp; GAS IN TRUNK LINE PIG RECEIVING AREA</t>
  </si>
  <si>
    <t>EFJB2011</t>
  </si>
  <si>
    <t>EFJB1013</t>
  </si>
  <si>
    <t>EIFJB0012</t>
  </si>
  <si>
    <t>JUNCTION BOX - FIELDBUS IN SLUG CATCHER/HP SEPARATION AREA</t>
  </si>
  <si>
    <t>EIFJB0014</t>
  </si>
  <si>
    <t>EIFJB0019</t>
  </si>
  <si>
    <t>EIFJB0305</t>
  </si>
  <si>
    <t>EIFJB0020</t>
  </si>
  <si>
    <t>EIFJB2007</t>
  </si>
  <si>
    <t>EIFJB0021</t>
  </si>
  <si>
    <t>EIFJB0009</t>
  </si>
  <si>
    <t>EIFJB0023</t>
  </si>
  <si>
    <t>EIFJB0025</t>
  </si>
  <si>
    <t>EIFJB0024</t>
  </si>
  <si>
    <t>EIFJB0022</t>
  </si>
  <si>
    <t>EIFJB0008</t>
  </si>
  <si>
    <t>EIFJB0016</t>
  </si>
  <si>
    <t>EIFJB0017</t>
  </si>
  <si>
    <t>EIFJB0013</t>
  </si>
  <si>
    <t>EIFJB0018</t>
  </si>
  <si>
    <t>EIFJB0029</t>
  </si>
  <si>
    <t>EIFJB0026</t>
  </si>
  <si>
    <t>EIFJB0015</t>
  </si>
  <si>
    <t>EIFJB0027</t>
  </si>
  <si>
    <t>EIFJB0028</t>
  </si>
  <si>
    <t>EIFJB0030</t>
  </si>
  <si>
    <t>EIFJB0031</t>
  </si>
  <si>
    <t>EIFJB0306</t>
  </si>
  <si>
    <t>E78DMC089</t>
  </si>
  <si>
    <t>MANUAL ALARM CALL POINT IN MEG RECOVERY &amp; PROCESSING AREA</t>
  </si>
  <si>
    <t>E78DMC090</t>
  </si>
  <si>
    <t>E78DMC091</t>
  </si>
  <si>
    <t>E78DMC092</t>
  </si>
  <si>
    <t>E78DMC113</t>
  </si>
  <si>
    <t>E78DMC132</t>
  </si>
  <si>
    <t>MANUAL ALARM CALL POINT IN TRUNK LINE PIG RECEIVING AREA</t>
  </si>
  <si>
    <t>E78DMC133</t>
  </si>
  <si>
    <t>E78DFR221</t>
  </si>
  <si>
    <t>IR FLAME DETECTOR IN HOT OIL, THERMAL OXIDISER &amp; FUEL GAS</t>
  </si>
  <si>
    <t>E78DFR222</t>
  </si>
  <si>
    <t>E78DFR223</t>
  </si>
  <si>
    <t>E78DFR459</t>
  </si>
  <si>
    <t>E78DFR460</t>
  </si>
  <si>
    <t>E78DFR461</t>
  </si>
  <si>
    <t>E78DFR462</t>
  </si>
  <si>
    <t>E78DFR463</t>
  </si>
  <si>
    <t>E78DFR464</t>
  </si>
  <si>
    <t>E78DFR465</t>
  </si>
  <si>
    <t>E78DFR466</t>
  </si>
  <si>
    <t>E78DFR475</t>
  </si>
  <si>
    <t>E78DFR476</t>
  </si>
  <si>
    <t>E78DFR477</t>
  </si>
  <si>
    <t>E78DFR478</t>
  </si>
  <si>
    <t>E78DFR479</t>
  </si>
  <si>
    <t>E78DFR480</t>
  </si>
  <si>
    <t>E78DFR481</t>
  </si>
  <si>
    <t>E78DGU773</t>
  </si>
  <si>
    <t>ACOUSTIC GAS DETECTOR IN CNDS TRTMT &amp; FLASH GAS COMP AREA</t>
  </si>
  <si>
    <t>E78DGU774</t>
  </si>
  <si>
    <t>E78DGU775</t>
  </si>
  <si>
    <t>E78DGU776</t>
  </si>
  <si>
    <t>E78DGU777</t>
  </si>
  <si>
    <t>E78DGU778</t>
  </si>
  <si>
    <t>E78DGU779</t>
  </si>
  <si>
    <t>E78DGU780</t>
  </si>
  <si>
    <t>E78DGR991</t>
  </si>
  <si>
    <t>GAS DETECTOR IN VENTILATION AND WATER MIST SYSTEM E-X-8731</t>
  </si>
  <si>
    <t>E78DGR992</t>
  </si>
  <si>
    <t>E78DFL988</t>
  </si>
  <si>
    <t>VISUAL ALARM IN VENTILATION AND WATER MIST SYSTEM E-X-8731</t>
  </si>
  <si>
    <t>FA_SQTB</t>
  </si>
  <si>
    <t>CMBE</t>
  </si>
  <si>
    <t>MAH Barrier: Amplifiers 
Controllers 
External Speakers 
Internal Speakers 
Beacons / Strobe Lights 
Indicator Lights ; MAH comment: Alarm / status signals; IPL/LOPA = No; Regulatory override = No</t>
  </si>
  <si>
    <t>E78DFL987</t>
  </si>
  <si>
    <t>EFJB1181</t>
  </si>
  <si>
    <t>JUNCTION BOX - FIRE &amp; GAS IN PRODUCED WATER STRIPPER AREA</t>
  </si>
  <si>
    <t>EFJB1182</t>
  </si>
  <si>
    <t>EFJB2181</t>
  </si>
  <si>
    <t>EFJB1183</t>
  </si>
  <si>
    <t>EFJB1184</t>
  </si>
  <si>
    <t>E78DMC115-DUP2</t>
  </si>
  <si>
    <t>E78DFR272</t>
  </si>
  <si>
    <t>IR FLAME DETECTOR IN LEAN MEG STORAGE TANK &amp; EXPORT PUMP</t>
  </si>
  <si>
    <t>E78DFR273</t>
  </si>
  <si>
    <t>E78DFR276</t>
  </si>
  <si>
    <t>E78DFR277</t>
  </si>
  <si>
    <t>E78DFV332</t>
  </si>
  <si>
    <t>VIDEO FLAME DETECTOR IN CNDS TRTMT &amp; FLASH GAS COMP AREA</t>
  </si>
  <si>
    <t>E78DFV333</t>
  </si>
  <si>
    <t>E78DFV334</t>
  </si>
  <si>
    <t>E78DFV335</t>
  </si>
  <si>
    <t>E78DFV336</t>
  </si>
  <si>
    <t>E78DFV337</t>
  </si>
  <si>
    <t>E78DFV338</t>
  </si>
  <si>
    <t>E78DFV339</t>
  </si>
  <si>
    <t>E78DFV340</t>
  </si>
  <si>
    <t>E78DFV341</t>
  </si>
  <si>
    <t>E78DFV342</t>
  </si>
  <si>
    <t>E78DFV372</t>
  </si>
  <si>
    <t>E78DFV373</t>
  </si>
  <si>
    <t>E78DFV390</t>
  </si>
  <si>
    <t>VIDEO FLAME DETECTOR IN PAUB ELECTRICAL SUBSTATION S/S 2</t>
  </si>
  <si>
    <t>E78DFV391</t>
  </si>
  <si>
    <t>VIDEO FLAME DETECTOR IN PAUB ELECTRICAL SUBSTATION S/S 1</t>
  </si>
  <si>
    <t>E78DFV392</t>
  </si>
  <si>
    <t>E78DGR425</t>
  </si>
  <si>
    <t>GAS DETECTOR-METHANE IN CNDS TRTMT &amp; FLASH GAS COMP AREA</t>
  </si>
  <si>
    <t>E78DGR426</t>
  </si>
  <si>
    <t>E78DGR427</t>
  </si>
  <si>
    <t>E78DGR428</t>
  </si>
  <si>
    <t>E78DGR429</t>
  </si>
  <si>
    <t>E78DGR430</t>
  </si>
  <si>
    <t>E78DGR431</t>
  </si>
  <si>
    <t>E78DGR432</t>
  </si>
  <si>
    <t>E78DGR433</t>
  </si>
  <si>
    <t>E78DGR434</t>
  </si>
  <si>
    <t>E78DGR435</t>
  </si>
  <si>
    <t>E78DGR436</t>
  </si>
  <si>
    <t>E78DGR437</t>
  </si>
  <si>
    <t>E78DGR543</t>
  </si>
  <si>
    <t>E78DGR544</t>
  </si>
  <si>
    <t>E78DGR545</t>
  </si>
  <si>
    <t>E78DGR546</t>
  </si>
  <si>
    <t>E78DGR547</t>
  </si>
  <si>
    <t>E78DGR548</t>
  </si>
  <si>
    <t>E78DGR549</t>
  </si>
  <si>
    <t>E78DGR550</t>
  </si>
  <si>
    <t>E78DGRR601</t>
  </si>
  <si>
    <t>OPEN PATH GAS DETECTOR RECEIVER IN HP/LP FLARE (KO DRUM)</t>
  </si>
  <si>
    <t>E78DGRR639</t>
  </si>
  <si>
    <t>E78DGRR640</t>
  </si>
  <si>
    <t>E78DGRR641</t>
  </si>
  <si>
    <t>E78DGU751</t>
  </si>
  <si>
    <t>ACOUSTIC GAS DETECTOR IN SLUG CATCHER/HP SEPARATION AREA</t>
  </si>
  <si>
    <t>E78DGU752</t>
  </si>
  <si>
    <t>E78DGU753</t>
  </si>
  <si>
    <t>E78DGU754</t>
  </si>
  <si>
    <t>E78DGU755</t>
  </si>
  <si>
    <t>E78DGU756</t>
  </si>
  <si>
    <t>E78DGU757</t>
  </si>
  <si>
    <t>E78DGU758</t>
  </si>
  <si>
    <t>EFJB1097</t>
  </si>
  <si>
    <t>JUNCTION BOX - FIRE &amp; GAS IN ELECTRICAL SUBSTATION S/S 2</t>
  </si>
  <si>
    <t>EFJB1096</t>
  </si>
  <si>
    <t>EFJB2095</t>
  </si>
  <si>
    <t>EFJB1093</t>
  </si>
  <si>
    <t>JUNCTION BOX - FIRE &amp; GAS IN ELECTRICAL SUBSTATION S/S 1</t>
  </si>
  <si>
    <t>EFJB1094</t>
  </si>
  <si>
    <t>EFJB2092</t>
  </si>
  <si>
    <t>EFJB2201</t>
  </si>
  <si>
    <t>JUNCTION BOX (ANALOGUE) IN RAVEN LOCAL EQUIPMENT ROOM #1</t>
  </si>
  <si>
    <t>EIFJB0132</t>
  </si>
  <si>
    <t>JUNCTION BOX - FIELDBUS IN UTILITY AREA AIR AND NITROGEN</t>
  </si>
  <si>
    <t>EIFJB5001</t>
  </si>
  <si>
    <t>EIFJB5002</t>
  </si>
  <si>
    <t>EIFJB0322</t>
  </si>
  <si>
    <t>EIFJB0133</t>
  </si>
  <si>
    <t>RIFJB0323</t>
  </si>
  <si>
    <t>JUNCTION BOX - FIELDBUS IN TRUNK LINE PIG RECEIVING AREA</t>
  </si>
  <si>
    <t>RIFJB0005</t>
  </si>
  <si>
    <t>RIFJB0001</t>
  </si>
  <si>
    <t>RIFJB0002</t>
  </si>
  <si>
    <t>RIFJB0004</t>
  </si>
  <si>
    <t>EIFJB0136</t>
  </si>
  <si>
    <t>EIFJB0137</t>
  </si>
  <si>
    <t>EIFJB0138</t>
  </si>
  <si>
    <t>EIFJB0139</t>
  </si>
  <si>
    <t>EIFJB0323</t>
  </si>
  <si>
    <t>E78DMC055</t>
  </si>
  <si>
    <t>MANUAL ALARM CALL POINT IN INTERCONNECTING PIPERACK E/W</t>
  </si>
  <si>
    <t>E78DMC056</t>
  </si>
  <si>
    <t>E78DMC057</t>
  </si>
  <si>
    <t>E78DMC076</t>
  </si>
  <si>
    <t>MANUAL ALARM CALL POINT IN GAS TREATMENT AREA - TRAIN 2</t>
  </si>
  <si>
    <t>E78DMC103</t>
  </si>
  <si>
    <t>MANUAL ALARM CALL POINT IN PRODUCED WATER STRIPPER AREA</t>
  </si>
  <si>
    <t>E78DMC104</t>
  </si>
  <si>
    <t>E78DMC138</t>
  </si>
  <si>
    <t>MANUAL ALARM CALL POINT IN GAS TREATMENT AREA - TRAIN 1</t>
  </si>
  <si>
    <t>E78DMC139</t>
  </si>
  <si>
    <t>E78DMC140</t>
  </si>
  <si>
    <t>E78DMC141</t>
  </si>
  <si>
    <t>E78DMC142</t>
  </si>
  <si>
    <t>E78DMC143</t>
  </si>
  <si>
    <t>E78DMC144</t>
  </si>
  <si>
    <t>E78DMC145</t>
  </si>
  <si>
    <t>E78DMC146</t>
  </si>
  <si>
    <t>E78DFV313</t>
  </si>
  <si>
    <t>VIDEO FLAME DETECTOR IN SLUG CATCHER/HP SEPARATION AREA</t>
  </si>
  <si>
    <t>E78DFV314</t>
  </si>
  <si>
    <t>E78DFV315</t>
  </si>
  <si>
    <t>E78DFV316</t>
  </si>
  <si>
    <t>E78DFV317</t>
  </si>
  <si>
    <t>E78DFV318</t>
  </si>
  <si>
    <t>E78DFV319</t>
  </si>
  <si>
    <t>E78DFV320</t>
  </si>
  <si>
    <t>E78DFV321</t>
  </si>
  <si>
    <t>E78DFV322</t>
  </si>
  <si>
    <t>E78DFV323</t>
  </si>
  <si>
    <t>E78DFV397</t>
  </si>
  <si>
    <t>E78DFV398</t>
  </si>
  <si>
    <t>E78DSH863</t>
  </si>
  <si>
    <t>SMOKE DETECTOR - HSSD IN HSSD UNIT FOR CONTROL BUILDING</t>
  </si>
  <si>
    <t>E78DSH864</t>
  </si>
  <si>
    <t>E78DSH865</t>
  </si>
  <si>
    <t>E78DSH866</t>
  </si>
  <si>
    <t>E78DSH867</t>
  </si>
  <si>
    <t>E78DSH957</t>
  </si>
  <si>
    <t>E78DSH958</t>
  </si>
  <si>
    <t>E78DSH959</t>
  </si>
  <si>
    <t>E78DSH960</t>
  </si>
  <si>
    <t>E78DSH179</t>
  </si>
  <si>
    <t>E78DSH176</t>
  </si>
  <si>
    <t>E78DSH175</t>
  </si>
  <si>
    <t>E78DSH180</t>
  </si>
  <si>
    <t>E78DSH181</t>
  </si>
  <si>
    <t>E78DSH177</t>
  </si>
  <si>
    <t>EFJB2231</t>
  </si>
  <si>
    <t>JUNCTION BOX (DIGITAL) IN RAVEN LOCAL EQUIPMENT ROOM #2</t>
  </si>
  <si>
    <t>EFJB2232</t>
  </si>
  <si>
    <t>EFJB2324</t>
  </si>
  <si>
    <t>EFJB2325</t>
  </si>
  <si>
    <t>EFJB1056</t>
  </si>
  <si>
    <t>JUNCTION BOX - FIRE &amp; GAS IN GAS TREATMENT AREA-TRAIN 1</t>
  </si>
  <si>
    <t>EFJB1057</t>
  </si>
  <si>
    <t>EFJB1052</t>
  </si>
  <si>
    <t>EFJB1053</t>
  </si>
  <si>
    <t>EFJB2051</t>
  </si>
  <si>
    <t>EFJB1051</t>
  </si>
  <si>
    <t>EFJB1054</t>
  </si>
  <si>
    <t>EFJB1055</t>
  </si>
  <si>
    <t>EFJB1063</t>
  </si>
  <si>
    <t>EFJB1073</t>
  </si>
  <si>
    <t>JUNCTION BOX - FIRE &amp; GAS IN GAS TREATMENT AREA-TRAIN 2</t>
  </si>
  <si>
    <t>EFJB1072</t>
  </si>
  <si>
    <t>EFJB1066</t>
  </si>
  <si>
    <t>EFJB1069</t>
  </si>
  <si>
    <t>EFJB1070</t>
  </si>
  <si>
    <t>EFJB1071</t>
  </si>
  <si>
    <t>EFJB1067</t>
  </si>
  <si>
    <t>EFJB1068</t>
  </si>
  <si>
    <t>EFJB2066</t>
  </si>
  <si>
    <t>EFJB1201</t>
  </si>
  <si>
    <t>JUNCTION BOX (DIGITAL) IN RAVEN LOCAL EQUIPMENT ROOM #1</t>
  </si>
  <si>
    <t>EFJB2306</t>
  </si>
  <si>
    <t>EFJB2307</t>
  </si>
  <si>
    <t>EIFJB0248</t>
  </si>
  <si>
    <t>JUNCTION BOX - FIELDBUS IN PRODUCED WATER STRIPPER AREA</t>
  </si>
  <si>
    <t>EIFJB0253</t>
  </si>
  <si>
    <t>EIFJB0252</t>
  </si>
  <si>
    <t>EIFJB0346</t>
  </si>
  <si>
    <t>EIFJB0257</t>
  </si>
  <si>
    <t>EIFJB0347</t>
  </si>
  <si>
    <t>EIFJB0254</t>
  </si>
  <si>
    <t>EIFJB0255</t>
  </si>
  <si>
    <t>EIFJB0251</t>
  </si>
  <si>
    <t>EIFJB0256</t>
  </si>
  <si>
    <t>EIFJB0247</t>
  </si>
  <si>
    <t>EIFJB0258</t>
  </si>
  <si>
    <t>E78DMC073</t>
  </si>
  <si>
    <t>MANUAL ALARM CALL POINT IN GAS TREATMENT AREA -TRAIN 2</t>
  </si>
  <si>
    <t>E78DMC074</t>
  </si>
  <si>
    <t>E78DMC075</t>
  </si>
  <si>
    <t>E78DMC100</t>
  </si>
  <si>
    <t>MANUAL ALARM CALL POINT IN UTILITY AREA AIR &amp; NITROGEN</t>
  </si>
  <si>
    <t>E78DMC101</t>
  </si>
  <si>
    <t>E78DMC102</t>
  </si>
  <si>
    <t>E78DMC126</t>
  </si>
  <si>
    <t>MANUAL ALARM CALL POINT IN ELECTRICAL SUBSTATION S/S 2</t>
  </si>
  <si>
    <t>E78DMC127</t>
  </si>
  <si>
    <t>E78DMC128</t>
  </si>
  <si>
    <t>MANUAL ALARM CALL POINT IN ELECTRICAL SUBSTATION S/S 1</t>
  </si>
  <si>
    <t>E78DMC129</t>
  </si>
  <si>
    <t>E78DMC147</t>
  </si>
  <si>
    <t>R78DMC051</t>
  </si>
  <si>
    <t>EXISTING DRUM STORAGE SHELTER -MANUAL ALARM CALL POINT</t>
  </si>
  <si>
    <t>E78DFV355</t>
  </si>
  <si>
    <t>VIDEO FLAME DETECTOR IN MEG RECOVERY &amp; PROCESSING AREA</t>
  </si>
  <si>
    <t>E78DFV356</t>
  </si>
  <si>
    <t>E78DFV357</t>
  </si>
  <si>
    <t>E78DFV358</t>
  </si>
  <si>
    <t>E78DFV359</t>
  </si>
  <si>
    <t>E78DFV360</t>
  </si>
  <si>
    <t>E78DFV361</t>
  </si>
  <si>
    <t>E78DFV362</t>
  </si>
  <si>
    <t>E78DFV363</t>
  </si>
  <si>
    <t>E78DFV364</t>
  </si>
  <si>
    <t>E78DFV365</t>
  </si>
  <si>
    <t>E78DFV366</t>
  </si>
  <si>
    <t>E78DFV367</t>
  </si>
  <si>
    <t>E78DFV368</t>
  </si>
  <si>
    <t>E78DFV369</t>
  </si>
  <si>
    <t>E78DFV393</t>
  </si>
  <si>
    <t>VIDEO FLAME DETECTOR IN TRUNK LINE PIG RECEIVING AREA</t>
  </si>
  <si>
    <t>E78DFV394</t>
  </si>
  <si>
    <t>E87DMC067</t>
  </si>
  <si>
    <t>VENTILATION SYSTEM MANUAL CALL POINT EM GEN E-GE-8711</t>
  </si>
  <si>
    <t>FA_SQTA</t>
  </si>
  <si>
    <t>MAH Barrier: Amplifiers 
Controllers 
External Speakers 
Internal Speakers 
Beacons / Strobe Lights 
Indicator Lights ; MAH comment: Includes some un-validated MAC points.; IPL/LOPA = No; Regulatory override = No</t>
  </si>
  <si>
    <t>E87DMC068</t>
  </si>
  <si>
    <t>E78DFR214</t>
  </si>
  <si>
    <t>IR FLAME DETECTOR IN CNDS TRTMT &amp; FLASH GAS COMP AREA</t>
  </si>
  <si>
    <t>E78DFR215</t>
  </si>
  <si>
    <t>E78DFR249</t>
  </si>
  <si>
    <t>E78DFR251</t>
  </si>
  <si>
    <t>E78DFR252</t>
  </si>
  <si>
    <t>E78DFR253</t>
  </si>
  <si>
    <t>E78DFR254</t>
  </si>
  <si>
    <t>E78DFR256</t>
  </si>
  <si>
    <t>E78DFR257</t>
  </si>
  <si>
    <t>E78DFR258</t>
  </si>
  <si>
    <t>E78DFR259</t>
  </si>
  <si>
    <t>E78DFR260</t>
  </si>
  <si>
    <t>E78DFR261</t>
  </si>
  <si>
    <t>E78DFR262</t>
  </si>
  <si>
    <t>E78DFR263</t>
  </si>
  <si>
    <t>E78DFR264</t>
  </si>
  <si>
    <t>E78DFR265</t>
  </si>
  <si>
    <t>E78DFR266</t>
  </si>
  <si>
    <t>E78DFR267</t>
  </si>
  <si>
    <t>E78DFR268</t>
  </si>
  <si>
    <t>E78DFR269</t>
  </si>
  <si>
    <t>E78DFR270</t>
  </si>
  <si>
    <t>E78DFR271</t>
  </si>
  <si>
    <t>E78DGU759</t>
  </si>
  <si>
    <t>ACOUSTIC GAS DETECTOR IN GAS TREATMENT AREA - TRAIN 1</t>
  </si>
  <si>
    <t>E78DGU760</t>
  </si>
  <si>
    <t>E78DGU761</t>
  </si>
  <si>
    <t>E78DGU762</t>
  </si>
  <si>
    <t>E78DGU763</t>
  </si>
  <si>
    <t>E78DGU764</t>
  </si>
  <si>
    <t>E78DGU765</t>
  </si>
  <si>
    <t>E78DGU766</t>
  </si>
  <si>
    <t>ACOUSTIC GAS DETECTOR IN GAS TREATMENT AREA - TRAIN 2</t>
  </si>
  <si>
    <t>E78DGU767</t>
  </si>
  <si>
    <t>E78DGU768</t>
  </si>
  <si>
    <t>E78DGU769</t>
  </si>
  <si>
    <t>E78DGU772</t>
  </si>
  <si>
    <t>EIFJB0356</t>
  </si>
  <si>
    <t>JUNCTION BOX - FIELDBUS IN GAS TREATMENT AREA-TRAIN 1</t>
  </si>
  <si>
    <t>EIFJB0357</t>
  </si>
  <si>
    <t>JUNCTION BOX - FIELDBUS IN GAS TREATMENT AREA-TRAIN 2</t>
  </si>
  <si>
    <t>EIFJB0101</t>
  </si>
  <si>
    <t>EIFJB0043</t>
  </si>
  <si>
    <t>EIFJB0046</t>
  </si>
  <si>
    <t>EIFJB0309</t>
  </si>
  <si>
    <t>EIFJB0047</t>
  </si>
  <si>
    <t>EIFJB0039</t>
  </si>
  <si>
    <t>EIFJB0038</t>
  </si>
  <si>
    <t>EIFJB0040</t>
  </si>
  <si>
    <t>EIFJB0308</t>
  </si>
  <si>
    <t>EIFJB0041</t>
  </si>
  <si>
    <t>EIFJB0036</t>
  </si>
  <si>
    <t>EIFJB2017</t>
  </si>
  <si>
    <t>EIFJB0103</t>
  </si>
  <si>
    <t>EIFJB0108</t>
  </si>
  <si>
    <t>EIFJB0110</t>
  </si>
  <si>
    <t>EIFJB0109</t>
  </si>
  <si>
    <t>EIFJB0130</t>
  </si>
  <si>
    <t>EIFJB0316</t>
  </si>
  <si>
    <t>EIFJB0105</t>
  </si>
  <si>
    <t>EIFJB0106</t>
  </si>
  <si>
    <t>EIFJB0104</t>
  </si>
  <si>
    <t>EIFJB0310</t>
  </si>
  <si>
    <t>EIFJB0102</t>
  </si>
  <si>
    <t>EIFJB0107</t>
  </si>
  <si>
    <t>EIFJB0111-DUP2</t>
  </si>
  <si>
    <t>E78DFR220</t>
  </si>
  <si>
    <t>IR FLAME DETECTOR IN SLUG CATCHER/HP SEPARATION AREA</t>
  </si>
  <si>
    <t>E78DFR224</t>
  </si>
  <si>
    <t>E78DFR226</t>
  </si>
  <si>
    <t>E78DFR227</t>
  </si>
  <si>
    <t>E78DFR228</t>
  </si>
  <si>
    <t>E78DFR229</t>
  </si>
  <si>
    <t>E78DFR230</t>
  </si>
  <si>
    <t>E78DFR231</t>
  </si>
  <si>
    <t>E78DFR232</t>
  </si>
  <si>
    <t>E78DFR233</t>
  </si>
  <si>
    <t>E78DFR234</t>
  </si>
  <si>
    <t>E78DFV324</t>
  </si>
  <si>
    <t>VIDEO FLAME DETECTOR IN GAS TREATMENT AREA - TRAIN 1</t>
  </si>
  <si>
    <t>E78DFV325</t>
  </si>
  <si>
    <t>E78DFV326</t>
  </si>
  <si>
    <t>E78DFV327</t>
  </si>
  <si>
    <t>E78DFV328</t>
  </si>
  <si>
    <t>E78DFV329</t>
  </si>
  <si>
    <t>E78DFV330</t>
  </si>
  <si>
    <t>E78DFV331</t>
  </si>
  <si>
    <t>E78DFV382</t>
  </si>
  <si>
    <t>VIDEO FLAME DETECTOR IN PRODUCED WATER STRIPPER AREA</t>
  </si>
  <si>
    <t>E78DFV383</t>
  </si>
  <si>
    <t>E78DFV384</t>
  </si>
  <si>
    <t>E78DFV399</t>
  </si>
  <si>
    <t>VIDEO FLAME DETECTOR IN GAS TREATMENT AREA - TRAIN 2</t>
  </si>
  <si>
    <t>E78DFV400</t>
  </si>
  <si>
    <t>E78DFV401</t>
  </si>
  <si>
    <t>E78DFV402</t>
  </si>
  <si>
    <t>E78DFV403</t>
  </si>
  <si>
    <t>E78DGU770</t>
  </si>
  <si>
    <t>ACOUSTIC GAS DETECTOR IN GAS TREATMENT AREA -TRAIN 2</t>
  </si>
  <si>
    <t>E78DGU771</t>
  </si>
  <si>
    <t>R78DSH863</t>
  </si>
  <si>
    <t>POWER MANAGEMENT SYSTEM ROOM (ELECTRICAL SUBSTATION)</t>
  </si>
  <si>
    <t>E87DFR045</t>
  </si>
  <si>
    <t>VENTILATION SYSTEM IR FIRE DETECTOR EM GEN E-GE-8711</t>
  </si>
  <si>
    <t>E87DFR046</t>
  </si>
  <si>
    <t>E78DFR168</t>
  </si>
  <si>
    <t>IR FLAME DETECTOR IN TRUNK LINE PIG RECEIVING AREA</t>
  </si>
  <si>
    <t>E78DFR169</t>
  </si>
  <si>
    <t>E78DFR170</t>
  </si>
  <si>
    <t>E78DFR171</t>
  </si>
  <si>
    <t>E78DFR286</t>
  </si>
  <si>
    <t>IR FLAME DETECTOR IN MEG RECOVERY &amp; PROCESSING AREA</t>
  </si>
  <si>
    <t>E78DFR287</t>
  </si>
  <si>
    <t>E78DFR288</t>
  </si>
  <si>
    <t>E78DFR289</t>
  </si>
  <si>
    <t>E78DFR290</t>
  </si>
  <si>
    <t>E78DFR291</t>
  </si>
  <si>
    <t>E78DFR292</t>
  </si>
  <si>
    <t>E78DFR293</t>
  </si>
  <si>
    <t>E78DFR294</t>
  </si>
  <si>
    <t>E78DFR295</t>
  </si>
  <si>
    <t>E78DFR296</t>
  </si>
  <si>
    <t>E78DFR297</t>
  </si>
  <si>
    <t>E78DFR298</t>
  </si>
  <si>
    <t>E78DFR299</t>
  </si>
  <si>
    <t>E78DFR451</t>
  </si>
  <si>
    <t>E78DFR452</t>
  </si>
  <si>
    <t>E78DFV404</t>
  </si>
  <si>
    <t>VIDEO FLAME DETECTOR IN GAS TREATMENT AREA -TRAIN 2</t>
  </si>
  <si>
    <t>E78DFV405</t>
  </si>
  <si>
    <t>E78DFV406</t>
  </si>
  <si>
    <t>EFJB2091</t>
  </si>
  <si>
    <t>JUNCTION BOX - FIRE &amp; GAS IN POWER GENERATION AREA</t>
  </si>
  <si>
    <t>EFJB1092</t>
  </si>
  <si>
    <t>EFJB1091</t>
  </si>
  <si>
    <t>E87DHT059</t>
  </si>
  <si>
    <t>VENTILATION SYSTEM HEAT DETECTOR EM GEN E-GE-8711</t>
  </si>
  <si>
    <t>E87DHT060</t>
  </si>
  <si>
    <t>E78DFS996</t>
  </si>
  <si>
    <t>HORN IN VENTILATION AND WATER MIST SYSTEM E-X-8731</t>
  </si>
  <si>
    <t>E78DFR151</t>
  </si>
  <si>
    <t>IR FLAME DETECTOR IN GAS TREATMENT AREA - TRAIN 1</t>
  </si>
  <si>
    <t>E78DFR152</t>
  </si>
  <si>
    <t>E78DFR153</t>
  </si>
  <si>
    <t>E78DFR154</t>
  </si>
  <si>
    <t>E78DFR155</t>
  </si>
  <si>
    <t>E78DFR156</t>
  </si>
  <si>
    <t>E78DFR157</t>
  </si>
  <si>
    <t>E78DFR158</t>
  </si>
  <si>
    <t>E78DFR159</t>
  </si>
  <si>
    <t>E78DFR160</t>
  </si>
  <si>
    <t>E78DFR161</t>
  </si>
  <si>
    <t>E78DFR162</t>
  </si>
  <si>
    <t>E78DFR235</t>
  </si>
  <si>
    <t>E78DFR236</t>
  </si>
  <si>
    <t>IR FLAME DETECTOR IN GAS TREATMENT AREA - TRAIN 2</t>
  </si>
  <si>
    <t>E78DFR237</t>
  </si>
  <si>
    <t>E78DFR238</t>
  </si>
  <si>
    <t>E78DFR239</t>
  </si>
  <si>
    <t>E78DFR240</t>
  </si>
  <si>
    <t>E78DFR241</t>
  </si>
  <si>
    <t>E78DFR242</t>
  </si>
  <si>
    <t>E78DFR482</t>
  </si>
  <si>
    <t>IR FLAME DETECTOR IN PRODUCED WATER STRIPPER AREA</t>
  </si>
  <si>
    <t>E78DFR483</t>
  </si>
  <si>
    <t>E78DFR484</t>
  </si>
  <si>
    <t>E78DFR485</t>
  </si>
  <si>
    <t>R78DGRT652</t>
  </si>
  <si>
    <t>MEG RECOVERY - OPEN PATH GAS DETECTOR TRANSMITTER</t>
  </si>
  <si>
    <t>E78DMC064</t>
  </si>
  <si>
    <t>MANUAL ALARM CALL POINT IN HP/LP FLARE (KO DRUM)</t>
  </si>
  <si>
    <t>E78DMC111</t>
  </si>
  <si>
    <t>MANUAL ALARM CALL POINT IN POWER GENERATION AREA</t>
  </si>
  <si>
    <t>E78DMC112</t>
  </si>
  <si>
    <t>E78DMC124</t>
  </si>
  <si>
    <t>E78DMC125</t>
  </si>
  <si>
    <t>E87DFL065</t>
  </si>
  <si>
    <t>VENTILATION SYSTEM VISUAL ALARM EM GEN E-GE-8711</t>
  </si>
  <si>
    <t>E87DFL066</t>
  </si>
  <si>
    <t>E78DFR165</t>
  </si>
  <si>
    <t>IR FLAME DETECTOR IN ELECTRICAL SUBSTATION S/S 2</t>
  </si>
  <si>
    <t>E78DFR166</t>
  </si>
  <si>
    <t>IR FLAME DETECTOR IN ELECTRICAL SUBSTATION S/S 1</t>
  </si>
  <si>
    <t>E78DFR167</t>
  </si>
  <si>
    <t>E78DFR243</t>
  </si>
  <si>
    <t>IR FLAME DETECTOR IN GAS TREATMENT AREA -TRAIN 2</t>
  </si>
  <si>
    <t>E78DFR244</t>
  </si>
  <si>
    <t>E78DFR245</t>
  </si>
  <si>
    <t>E78DFR246</t>
  </si>
  <si>
    <t>E78DFR247</t>
  </si>
  <si>
    <t>E78DFR248</t>
  </si>
  <si>
    <t>E87-GD-069</t>
  </si>
  <si>
    <t>VENTILATION SYSTEM GAS DETECTOR EM GEN E-GE-8711</t>
  </si>
  <si>
    <t>E87-GD-070</t>
  </si>
  <si>
    <t>EIFJB0230</t>
  </si>
  <si>
    <t>JUNCTION BOX - FIELDBUS IN POWER GENERATION AREA</t>
  </si>
  <si>
    <t>EIFJB0348</t>
  </si>
  <si>
    <t>EIFJB0231</t>
  </si>
  <si>
    <t>E78DMC088</t>
  </si>
  <si>
    <t>MANUAL ALARM CALL POINT IN SURGE POND/CWS POND</t>
  </si>
  <si>
    <t>E81DSO747</t>
  </si>
  <si>
    <t>POWER MANAGEMENT SYSTEMS ROOM UNCONFIRMED FIRE</t>
  </si>
  <si>
    <t>E81DFS631</t>
  </si>
  <si>
    <t>CA PRE-REL ALM IN UPS ROOM 1 (RM02) - ACTIVATE</t>
  </si>
  <si>
    <t>E81DFS646</t>
  </si>
  <si>
    <t>CA PRE-REL ALM IN UPS ROOM 2 (RM09) - ACTIVATE</t>
  </si>
  <si>
    <t>E81DFL632B</t>
  </si>
  <si>
    <t>CA SYSTEM ARMED UPS ROOM 1 (RM02) - DEACTIVATE</t>
  </si>
  <si>
    <t>E81DFL647B</t>
  </si>
  <si>
    <t>CA SYSTEM ARMED UPS ROOM 2 (RM09) - DEACTIVATE</t>
  </si>
  <si>
    <t>E78DFV305</t>
  </si>
  <si>
    <t>VIDEO FLAME DETECTOR IN HP/LP FLARE (KO DRUM)</t>
  </si>
  <si>
    <t>E78DFV306</t>
  </si>
  <si>
    <t>E78DFV307</t>
  </si>
  <si>
    <t>E78DFV308</t>
  </si>
  <si>
    <t>E78DFV310</t>
  </si>
  <si>
    <t>E78DFV386</t>
  </si>
  <si>
    <t>VIDEO FLAME DETECTOR IN POWER GENERATION AREA</t>
  </si>
  <si>
    <t>E78DFV387</t>
  </si>
  <si>
    <t>E78DFV388</t>
  </si>
  <si>
    <t>E78DFV389</t>
  </si>
  <si>
    <t>R78DGRT607</t>
  </si>
  <si>
    <t>R-H-2001A -OPEN PATH GAS DETECTOR TRANSMITTER</t>
  </si>
  <si>
    <t>R78DGRT629</t>
  </si>
  <si>
    <t>GT8021/2 - OPEN PATH GAS DETECTOR TRANSMITTER</t>
  </si>
  <si>
    <t>R78DGRT630</t>
  </si>
  <si>
    <t>R78DGRT642</t>
  </si>
  <si>
    <t>E81DFL632A</t>
  </si>
  <si>
    <t>CA REL INHIBITED UPS ROOM 1 (RM02) - ACTIVATE</t>
  </si>
  <si>
    <t>E81DFL647A</t>
  </si>
  <si>
    <t>CA REL INHIBITED UPS ROOM 2 (RM09) - ACTIVATE</t>
  </si>
  <si>
    <t>R78DGRT616</t>
  </si>
  <si>
    <t>E-H-4601 -OPEN PATH GAS DETECTOR TRANSMITTER</t>
  </si>
  <si>
    <t>R78DGRT619</t>
  </si>
  <si>
    <t>R78DGRT620</t>
  </si>
  <si>
    <t>E-X-2701 -OPEN PATH GAS DETECTOR TRANSMITTER</t>
  </si>
  <si>
    <t>R78DGRT621</t>
  </si>
  <si>
    <t>R-X-2701 -OPEN PATH GAS DETECTOR TRANSMITTER</t>
  </si>
  <si>
    <t>R78DGRT622</t>
  </si>
  <si>
    <t>R78DGRT623</t>
  </si>
  <si>
    <t>R78DGRT645</t>
  </si>
  <si>
    <t>TK-2121A -OPEN PATH GAS DETECTOR TRANSMITTER</t>
  </si>
  <si>
    <t>R78DGRT646</t>
  </si>
  <si>
    <t>R78DGRT647</t>
  </si>
  <si>
    <t>TK-2121B -OPEN PATH GAS DETECTOR TRANSMITTER</t>
  </si>
  <si>
    <t>R78DGRT648</t>
  </si>
  <si>
    <t>R78DGRT649</t>
  </si>
  <si>
    <t>EFJB2203</t>
  </si>
  <si>
    <t>JUNCTION BOX (DIGITAL) IN RAVEN SYSTEMS ROOM</t>
  </si>
  <si>
    <t>EFJB2204</t>
  </si>
  <si>
    <t>EFJB2300</t>
  </si>
  <si>
    <t>EFJB2301</t>
  </si>
  <si>
    <t>E78DMC051</t>
  </si>
  <si>
    <t>MANUAL ALARM CALL POINT IN FIRE WATER TANKS</t>
  </si>
  <si>
    <t>E78DMC052</t>
  </si>
  <si>
    <t>E81DFS526</t>
  </si>
  <si>
    <t>CA PRE-REL ALM IN TELECOMMS RM28 - ACTIVATE</t>
  </si>
  <si>
    <t>R78DGRT614</t>
  </si>
  <si>
    <t>V-2721A -OPEN PATH GAS DETECTOR TRANSMITTER</t>
  </si>
  <si>
    <t>R78DGRT615</t>
  </si>
  <si>
    <t>R78DGRT624</t>
  </si>
  <si>
    <t>RA2121 - OPEN PATH GAS DETECTOR TRANSMITTER</t>
  </si>
  <si>
    <t>R78DGRT625</t>
  </si>
  <si>
    <t>RH2022 - OPEN PATH GAS DETECTOR TRANSMITTER</t>
  </si>
  <si>
    <t>R78DGRT626</t>
  </si>
  <si>
    <t>MEG RECOV A - OPEN GAS DETECTOR TRANSMITTER</t>
  </si>
  <si>
    <t>R78DGRT627</t>
  </si>
  <si>
    <t>RV4522 - OPEN PATH GAS DETECTOR TRANSMITTER</t>
  </si>
  <si>
    <t>R78DGRT628</t>
  </si>
  <si>
    <t>R78DGRT650</t>
  </si>
  <si>
    <t>P2121B - OPEN PATH GAS DETECTOR TRANSMITTER</t>
  </si>
  <si>
    <t>R78DGRT653</t>
  </si>
  <si>
    <t>GT8022 - OPEN PATH GAS DETECTOR TRANSMITTER</t>
  </si>
  <si>
    <t>R78DGRT683</t>
  </si>
  <si>
    <t>R78DGRT684</t>
  </si>
  <si>
    <t>R78DGRT685</t>
  </si>
  <si>
    <t>R78DGRT686</t>
  </si>
  <si>
    <t>R78DGRT687</t>
  </si>
  <si>
    <t>E81DFL527B</t>
  </si>
  <si>
    <t>CA SYSTEM ARMED TELECOMMS RM28 - DEACTIVATE</t>
  </si>
  <si>
    <t>R78DMC067</t>
  </si>
  <si>
    <t>CONTROL BUILDING - MANUAL ALARM CALL POINT</t>
  </si>
  <si>
    <t>R78DMC068</t>
  </si>
  <si>
    <t>E87DFS064</t>
  </si>
  <si>
    <t>VENTILATION SYSTEM KLAXON EM GEN E-GE-8711</t>
  </si>
  <si>
    <t>R78DHT101</t>
  </si>
  <si>
    <t>EXPLOSION PROOF HEAT DETECTOR FOR TK-2121B</t>
  </si>
  <si>
    <t>R78DHT102</t>
  </si>
  <si>
    <t>R78DHT103</t>
  </si>
  <si>
    <t>EXPLOSION PROOF HEAT DETECTOR FOR TK-2121A</t>
  </si>
  <si>
    <t>R78DHT104</t>
  </si>
  <si>
    <t>E78DFR206</t>
  </si>
  <si>
    <t>IR FLAME DETECTOR IN HP/LP FLARE (KO DRUM)</t>
  </si>
  <si>
    <t>E78DFR210</t>
  </si>
  <si>
    <t>E78DFR489</t>
  </si>
  <si>
    <t>IR FLAME DETECTOR IN POWER GENERATION AREA</t>
  </si>
  <si>
    <t>E78DFR490</t>
  </si>
  <si>
    <t>E78DFR491</t>
  </si>
  <si>
    <t>E78DFR492</t>
  </si>
  <si>
    <t>E78DFR493</t>
  </si>
  <si>
    <t>E78DFR494</t>
  </si>
  <si>
    <t>E78DFR495</t>
  </si>
  <si>
    <t>E78DFR496</t>
  </si>
  <si>
    <t>E78DGR539</t>
  </si>
  <si>
    <t>POINT GAS DETECTOR, METHANE IN HP/LP FLARE</t>
  </si>
  <si>
    <t>R78DGRR629</t>
  </si>
  <si>
    <t>GT8021/2 - OPEN PATH GAS DETECTOR RECEIVER</t>
  </si>
  <si>
    <t>R78DGRR630</t>
  </si>
  <si>
    <t>R78DGRT602</t>
  </si>
  <si>
    <t>V-2022 -OPEN PATH GAS DETECTOR TRANSMITTER</t>
  </si>
  <si>
    <t>R78DGRT603</t>
  </si>
  <si>
    <t>R78DGRT604</t>
  </si>
  <si>
    <t>X-2521 -OPEN PATH GAS DETECTOR TRANSMITTER</t>
  </si>
  <si>
    <t>R78DGRT605</t>
  </si>
  <si>
    <t>R78DGRT606</t>
  </si>
  <si>
    <t>R78DGRT609</t>
  </si>
  <si>
    <t>V-2024 -OPEN PATH GAS DETECTOR TRANSMITTER</t>
  </si>
  <si>
    <t>R78DGRT610</t>
  </si>
  <si>
    <t>X-4221 -OPEN PATH GAS DETECTOR TRANSMITTER</t>
  </si>
  <si>
    <t>R78DGRT611</t>
  </si>
  <si>
    <t>R78DGRT612</t>
  </si>
  <si>
    <t>R78DGRT613</t>
  </si>
  <si>
    <t>V-2731 -OPEN PATH GAS DETECTOR TRANSMITTER</t>
  </si>
  <si>
    <t>R78DGRT617</t>
  </si>
  <si>
    <t>V-2732 -OPEN PATH GAS DETECTOR TRANSMITTER</t>
  </si>
  <si>
    <t>R78DGRT618</t>
  </si>
  <si>
    <t>R78DGRT631</t>
  </si>
  <si>
    <t>H2521 - OPEN PATH GAS DETECTOR TRANSMITTER</t>
  </si>
  <si>
    <t>R78DGRT632</t>
  </si>
  <si>
    <t>X2521 - OPEN PATH GAS DETECTOR TRANSMITTER</t>
  </si>
  <si>
    <t>R78DGRT633</t>
  </si>
  <si>
    <t>V-4321 -OPEN PATH GAS DETECTOR TRANSMITTER</t>
  </si>
  <si>
    <t>R78DGRT634</t>
  </si>
  <si>
    <t>R78DGRT635</t>
  </si>
  <si>
    <t>R78DGRT636</t>
  </si>
  <si>
    <t>R78DGRT637</t>
  </si>
  <si>
    <t>R78DGRT638</t>
  </si>
  <si>
    <t>R78DGRT641</t>
  </si>
  <si>
    <t>R78DGRT643</t>
  </si>
  <si>
    <t>R78DGRT644</t>
  </si>
  <si>
    <t>R78DGRT651</t>
  </si>
  <si>
    <t>RV2029 -OPEN PATH GAS DETECTOR TRANSMITTER</t>
  </si>
  <si>
    <t>R78DGRT654</t>
  </si>
  <si>
    <t>R78DGRT655</t>
  </si>
  <si>
    <t>R78DGRT656</t>
  </si>
  <si>
    <t>R78DGRT657</t>
  </si>
  <si>
    <t>R78DGRT681</t>
  </si>
  <si>
    <t>R78DGRT688</t>
  </si>
  <si>
    <t>R78DGRT689</t>
  </si>
  <si>
    <t>R78DGRT682</t>
  </si>
  <si>
    <t>E78DFR211-DUP1</t>
  </si>
  <si>
    <t>R78DFL046</t>
  </si>
  <si>
    <t>ANALYSER HOUSE (E-ZAH-2801) BEACON OUTSIDE</t>
  </si>
  <si>
    <t>E81DFL527A</t>
  </si>
  <si>
    <t>CA REL INHIBITED TELECOMMS RM28 - ACTIVATE</t>
  </si>
  <si>
    <t>R78DGRR616</t>
  </si>
  <si>
    <t>E-H-4601 -OPEN PATH GAS DETECTOR RECEIVER</t>
  </si>
  <si>
    <t>R78DGRR618</t>
  </si>
  <si>
    <t>R78DGRR619</t>
  </si>
  <si>
    <t>R78DGRR620</t>
  </si>
  <si>
    <t>E-X-2701 -OPEN PATH GAS DETECTOR RECEIVER</t>
  </si>
  <si>
    <t>R78DGRR621</t>
  </si>
  <si>
    <t>R-X-2701 -OPEN PATH GAS DETECTOR RECEIVER</t>
  </si>
  <si>
    <t>R78DGRR622</t>
  </si>
  <si>
    <t>R78DGRR623</t>
  </si>
  <si>
    <t>R78DGRR645</t>
  </si>
  <si>
    <t>TK-2121A -OPEN PATH GAS DETECTOR RECEIVER</t>
  </si>
  <si>
    <t>R78DGRR646</t>
  </si>
  <si>
    <t>R78DFL039</t>
  </si>
  <si>
    <t>ANALYSER HOUSE (E-ZAH-2801) BEACON INSIDE</t>
  </si>
  <si>
    <t>E81DFS571</t>
  </si>
  <si>
    <t>CA PRE-REL ALM IN UPS 1 RM 36 - ACTIVATE</t>
  </si>
  <si>
    <t>E81DFS586</t>
  </si>
  <si>
    <t>CA PRE-REL ALM IN UPS 2 RM 37 - ACTIVATE</t>
  </si>
  <si>
    <t>E81DFS661A</t>
  </si>
  <si>
    <t>CA PRE-REL ALM IN LER 2 RM 08 - ACTIVATE</t>
  </si>
  <si>
    <t>E81DFS661B</t>
  </si>
  <si>
    <t>E78DFV301</t>
  </si>
  <si>
    <t>VIDEO FLAME DETECTOR IN FIRE WATER TANKS</t>
  </si>
  <si>
    <t>E78DFV302</t>
  </si>
  <si>
    <t>R78DGRR608</t>
  </si>
  <si>
    <t>RV2030 - OPEN PATH GAS DETECTOR RECEIVER</t>
  </si>
  <si>
    <t>R78DGRR613</t>
  </si>
  <si>
    <t>V-2721B -OPEN PATH GAS DETECTOR RECEIVER</t>
  </si>
  <si>
    <t>R78DGRR614</t>
  </si>
  <si>
    <t>R78DGRR615</t>
  </si>
  <si>
    <t>R78DGRR624</t>
  </si>
  <si>
    <t>RA2121 - OPEN PATH GAS DETECTOR RECEIVER</t>
  </si>
  <si>
    <t>R78DGRR625</t>
  </si>
  <si>
    <t>RH2022 - OPEN PATH GAS DETECTOR RECEIVER</t>
  </si>
  <si>
    <t>R78DGRR626</t>
  </si>
  <si>
    <t>MEG RECOV A - OPEN GAS DETECTOR RECEIVER</t>
  </si>
  <si>
    <t>R78DGRR627</t>
  </si>
  <si>
    <t>RV4522 - OPEN PATH GAS DETECTOR RECEIVER</t>
  </si>
  <si>
    <t>R78DGRR628</t>
  </si>
  <si>
    <t>R78DGRR644</t>
  </si>
  <si>
    <t>V-2721A -OPEN PATH GAS DETECTOR RECEIVER</t>
  </si>
  <si>
    <t>R78DGRR647</t>
  </si>
  <si>
    <t>TK-2121B-OPEN PATH GAS DETECTOR RECEIVER</t>
  </si>
  <si>
    <t>R78DGRR648</t>
  </si>
  <si>
    <t>R78DGRR649</t>
  </si>
  <si>
    <t>R78DGRR650</t>
  </si>
  <si>
    <t>P2121B - OPEN PATH GAS DETECTOR RECEIVER</t>
  </si>
  <si>
    <t>R78DGRR651</t>
  </si>
  <si>
    <t>RV2029 - OPEN PATH GAS DETECTOR RECEIVER</t>
  </si>
  <si>
    <t>R78DGRR653</t>
  </si>
  <si>
    <t>GT8022 - OPEN PATH GAS DETECTOR RECEIVER</t>
  </si>
  <si>
    <t>R78DGRR683</t>
  </si>
  <si>
    <t>R78DGRR684</t>
  </si>
  <si>
    <t>R78DGRR685</t>
  </si>
  <si>
    <t>R78DGRR686</t>
  </si>
  <si>
    <t>R78DGRR687</t>
  </si>
  <si>
    <t>E81DFL542B</t>
  </si>
  <si>
    <t>CA SYSTEM ARMED ELECT RM 31 - DEACTIVATE</t>
  </si>
  <si>
    <t>E81DFL572B</t>
  </si>
  <si>
    <t>CA SYSTEM ARMED UPS 1 RM 36 - DEACTIVATE</t>
  </si>
  <si>
    <t>E81DFL573B</t>
  </si>
  <si>
    <t>E81DFL587B</t>
  </si>
  <si>
    <t>CA SYSTEM ARMED UPS 2 RM 37 - DEACTIVATE</t>
  </si>
  <si>
    <t>E81DFL588B</t>
  </si>
  <si>
    <t>E81DFL632C</t>
  </si>
  <si>
    <t>CA RELEASED UPS ROOM 1 (RM02) - ACTIVATE</t>
  </si>
  <si>
    <t>E81DFL647C</t>
  </si>
  <si>
    <t>CA RELEASED UPS ROOM 2 (RM09) - ACTIVATE</t>
  </si>
  <si>
    <t>E81DFL662B</t>
  </si>
  <si>
    <t>CA SYSTEM ARMED LER 2 RM 08 - DEACTIVATE</t>
  </si>
  <si>
    <t>E81DFL663B</t>
  </si>
  <si>
    <t>EFJB1003</t>
  </si>
  <si>
    <t>JUNCTION BOX - FIRE &amp; GAS IN HP/LP FLARE</t>
  </si>
  <si>
    <t>EFJB1001</t>
  </si>
  <si>
    <t>EFJB1005</t>
  </si>
  <si>
    <t>EFJB1004</t>
  </si>
  <si>
    <t>EFJB2002</t>
  </si>
  <si>
    <t>E78DMC130</t>
  </si>
  <si>
    <t>MANUAL ALARM CALL POINT IN CONTROL ROOM</t>
  </si>
  <si>
    <t>E78DMC131</t>
  </si>
  <si>
    <t>E78DFS601A</t>
  </si>
  <si>
    <t>CA PRE-REL ALM IN SWGR RM 02 - ACTIVATE</t>
  </si>
  <si>
    <t>E78DFS601B</t>
  </si>
  <si>
    <t>E81DFS541</t>
  </si>
  <si>
    <t>CA PRE-REL ALM IN ELECT RM31 - ACTIVATE</t>
  </si>
  <si>
    <t>E81DFS616A</t>
  </si>
  <si>
    <t>E81DFS616B</t>
  </si>
  <si>
    <t>R78DGRR600</t>
  </si>
  <si>
    <t>V-4321 -OPEN PATH GAS DETECTOR RECEIVER</t>
  </si>
  <si>
    <t>R78DGRR601</t>
  </si>
  <si>
    <t>R78DGRR602</t>
  </si>
  <si>
    <t>V-2022 -OPEN PATH GAS DETECTOR RECEIVER</t>
  </si>
  <si>
    <t>R78DGRR603</t>
  </si>
  <si>
    <t>V-2021 -OPEN PATH GAS DETECTOR RECEIVER</t>
  </si>
  <si>
    <t>R78DGRR604</t>
  </si>
  <si>
    <t>X-2521 -OPEN PATH GAS DETECTOR RECEIVER</t>
  </si>
  <si>
    <t>R78DGRR605</t>
  </si>
  <si>
    <t>R78DGRR606</t>
  </si>
  <si>
    <t>R78DGRR607</t>
  </si>
  <si>
    <t>RH2001- OPEN PATH GAS DETECTOR RECEIVER</t>
  </si>
  <si>
    <t>R78DGRR609</t>
  </si>
  <si>
    <t>V-2023 -OPEN PATH GAS DETECTOR RECEIVER</t>
  </si>
  <si>
    <t>R78DGRR610</t>
  </si>
  <si>
    <t>R78DGRR611</t>
  </si>
  <si>
    <t>V-2024 -OPEN PATH GAS DETECTOR RECEIVER</t>
  </si>
  <si>
    <t>R78DGRR612</t>
  </si>
  <si>
    <t>X-5721 -OPEN PATH GAS DETECTOR RECEIVER</t>
  </si>
  <si>
    <t>R78DGRR633</t>
  </si>
  <si>
    <t>R78DGRR634</t>
  </si>
  <si>
    <t>R78DGRR635</t>
  </si>
  <si>
    <t>R78DGRR636</t>
  </si>
  <si>
    <t>R78DGRR637</t>
  </si>
  <si>
    <t>R78DGRR638</t>
  </si>
  <si>
    <t>R78DGRR641</t>
  </si>
  <si>
    <t>R78DGRR642</t>
  </si>
  <si>
    <t>V-2026 -OPEN PATH GAS DETECTOR RECEIVER</t>
  </si>
  <si>
    <t>R78DGRR643</t>
  </si>
  <si>
    <t>V-2731 -OPEN PATH GAS DETECTOR RECEIVER</t>
  </si>
  <si>
    <t>R78DGRR654</t>
  </si>
  <si>
    <t>H2521 - OPEN PATH GAS DETECTOR RECEIVER</t>
  </si>
  <si>
    <t>R78DGRR655</t>
  </si>
  <si>
    <t>R78DGRR657</t>
  </si>
  <si>
    <t>R78DGRR681</t>
  </si>
  <si>
    <t>R78DGRR688</t>
  </si>
  <si>
    <t>X-4221 -OPEN PATH GAS DETECTOR RECEIVER</t>
  </si>
  <si>
    <t>R78DGRR689</t>
  </si>
  <si>
    <t>R78DGRT600</t>
  </si>
  <si>
    <t>R78DGRT601</t>
  </si>
  <si>
    <t>R78DSH861</t>
  </si>
  <si>
    <t>SWITCHGEAR ROOM (ELECTRICAL SUBSTATION)</t>
  </si>
  <si>
    <t>R78DGRR682</t>
  </si>
  <si>
    <t>R78DSH105</t>
  </si>
  <si>
    <t>R78DSH106</t>
  </si>
  <si>
    <t>R78DSH107</t>
  </si>
  <si>
    <t>R78DSH108</t>
  </si>
  <si>
    <t>R78DSH109</t>
  </si>
  <si>
    <t>E81DFL542A</t>
  </si>
  <si>
    <t>CA REL INHIBITED ELECT RM 31 - ACTIVATE</t>
  </si>
  <si>
    <t>E81DFL572A</t>
  </si>
  <si>
    <t>CA REL INHIBITED UPS 1 RM 36 - ACTIVATE</t>
  </si>
  <si>
    <t>E81DFL573A</t>
  </si>
  <si>
    <t>E81DFL587A</t>
  </si>
  <si>
    <t>CA REL INHIBITED UPS 2 RM 37 - ACTIVATE</t>
  </si>
  <si>
    <t>E81DFL588A</t>
  </si>
  <si>
    <t>E81DFL617B</t>
  </si>
  <si>
    <t>CA SYSTEM ARMED SWGR RM 02 - DEACTIVATE</t>
  </si>
  <si>
    <t>E81DFL618B</t>
  </si>
  <si>
    <t>E81DFL662A</t>
  </si>
  <si>
    <t>CA REL INHIBITED LER 2 RM 08 - ACTIVATE</t>
  </si>
  <si>
    <t>E81DFL663A</t>
  </si>
  <si>
    <t>E78DMC063</t>
  </si>
  <si>
    <t>MANUAL ALARM CALL POINT IN HP/LP FLARE</t>
  </si>
  <si>
    <t>E78DMC110</t>
  </si>
  <si>
    <t>E78DMC961</t>
  </si>
  <si>
    <t>E78DMC962</t>
  </si>
  <si>
    <t>E81DFS511</t>
  </si>
  <si>
    <t>CA PRE-REL ALM IN SYS RM 27 - ACTIVATE</t>
  </si>
  <si>
    <t>R78DGRR617</t>
  </si>
  <si>
    <t>V-2732-OPEN PATH GAS DETECTOR RECEIVER</t>
  </si>
  <si>
    <t>R78DGRR631</t>
  </si>
  <si>
    <t>H2521 -OPEN PATH GAS DETECTOR RECEIVER</t>
  </si>
  <si>
    <t>R78DGRR656</t>
  </si>
  <si>
    <t>E81DFL617A</t>
  </si>
  <si>
    <t>CA REL INHIBITED SWGR RM 02 - ACTIVATE</t>
  </si>
  <si>
    <t>E81DFL618A</t>
  </si>
  <si>
    <t>EIFJB0004</t>
  </si>
  <si>
    <t>JUNCTION BOX - FIELDBUS IN HP/LP FLARE</t>
  </si>
  <si>
    <t>EIFJB0003</t>
  </si>
  <si>
    <t>EIFJB0001</t>
  </si>
  <si>
    <t>EIFJB0002</t>
  </si>
  <si>
    <t>EIFJB0301</t>
  </si>
  <si>
    <t>E81DFS556</t>
  </si>
  <si>
    <t>CA PRE-REL ALM IN LER RM34 - ACTIVATE</t>
  </si>
  <si>
    <t>E78DFR201</t>
  </si>
  <si>
    <t>IR FLAME DETECTOR IN FIRE WATER TANKS</t>
  </si>
  <si>
    <t>E78DFR203</t>
  </si>
  <si>
    <t>E81DFL527C</t>
  </si>
  <si>
    <t>CA RELEASED TELECOMMS RM28 - ACTIVATE</t>
  </si>
  <si>
    <t>E81DFL557B</t>
  </si>
  <si>
    <t>CA SYSTEM ARMED LER RM34 - DEACTIVATE</t>
  </si>
  <si>
    <t>E81DFL558B</t>
  </si>
  <si>
    <t>EIFJB2043</t>
  </si>
  <si>
    <t>JUNCTION BOX - FIELDBUS IN SURGE POND</t>
  </si>
  <si>
    <t>EIFJB0131</t>
  </si>
  <si>
    <t>R78DGR535</t>
  </si>
  <si>
    <t>E-H-4601 -METHANE POINT GAS DETECTOR</t>
  </si>
  <si>
    <t>R78DGR536</t>
  </si>
  <si>
    <t>R78DGR537</t>
  </si>
  <si>
    <t>E-X-2701 -METHANE POINT GAS DETECTOR</t>
  </si>
  <si>
    <t>R78DGR538</t>
  </si>
  <si>
    <t>R78DGR539</t>
  </si>
  <si>
    <t>R78DGR540</t>
  </si>
  <si>
    <t>R-X-2701 -METHANE POINT GAS DETECTOR</t>
  </si>
  <si>
    <t>R78DGR541</t>
  </si>
  <si>
    <t>R78DGR542</t>
  </si>
  <si>
    <t>R78DGR543</t>
  </si>
  <si>
    <t>E81DFL557A</t>
  </si>
  <si>
    <t>CA REL INHIBITED LER RM34 - ACTIVATE</t>
  </si>
  <si>
    <t>E81DFL558A</t>
  </si>
  <si>
    <t>E78DFV304</t>
  </si>
  <si>
    <t>VIDEO FLAME DETECTOR IN HP/LP FLARE</t>
  </si>
  <si>
    <t>R78DFR214</t>
  </si>
  <si>
    <t>R-H-2001A -INFRA RED FLAME DETECTOR</t>
  </si>
  <si>
    <t>R78DFR278</t>
  </si>
  <si>
    <t>R78DFR279</t>
  </si>
  <si>
    <t>R78DGR522</t>
  </si>
  <si>
    <t>V-2721B -METHANE POINT GAS DETECTOR</t>
  </si>
  <si>
    <t>R78DGR523</t>
  </si>
  <si>
    <t>V-2721A -METHANE POINT GAS DETECTOR</t>
  </si>
  <si>
    <t>R78DGR524</t>
  </si>
  <si>
    <t>R78DGR525</t>
  </si>
  <si>
    <t>R78DGR526</t>
  </si>
  <si>
    <t>R78DGR527</t>
  </si>
  <si>
    <t>R78DGR528</t>
  </si>
  <si>
    <t>R78DGR529</t>
  </si>
  <si>
    <t>R78DGR530</t>
  </si>
  <si>
    <t>R78DGR531</t>
  </si>
  <si>
    <t>R78DGR546</t>
  </si>
  <si>
    <t>RA4521 - METHANE POINT GAS DETECTOR</t>
  </si>
  <si>
    <t>R78DGR547</t>
  </si>
  <si>
    <t>R78DGR548</t>
  </si>
  <si>
    <t>GT8021 - METHANE POINT GAS DETECTOR</t>
  </si>
  <si>
    <t>R78DGR549</t>
  </si>
  <si>
    <t>GT8022 - METHANE POINT GAS DETECTOR</t>
  </si>
  <si>
    <t>R78DGR550</t>
  </si>
  <si>
    <t>R78DGR551</t>
  </si>
  <si>
    <t>R78DGR560</t>
  </si>
  <si>
    <t>R78DGR561</t>
  </si>
  <si>
    <t>E78DFV303-DUP1</t>
  </si>
  <si>
    <t>R78DMC065</t>
  </si>
  <si>
    <t>P5621A/B - MANUAL ALARM CALL POINT</t>
  </si>
  <si>
    <t>E81DMC622</t>
  </si>
  <si>
    <t>CA MAN REL UPS ROOM 1 (RM06) (HMI)</t>
  </si>
  <si>
    <t>E81DMC637</t>
  </si>
  <si>
    <t>CA MAN REL UPS ROOM 2 (RM09) (HMI)</t>
  </si>
  <si>
    <t>R78DFR224</t>
  </si>
  <si>
    <t>E-H-4601 -INFRA RED FLAME DETECTOR</t>
  </si>
  <si>
    <t>R78DFR225</t>
  </si>
  <si>
    <t>R78DFR229</t>
  </si>
  <si>
    <t>E-X-2701 -INFRA RED FLAME DETECTOR</t>
  </si>
  <si>
    <t>R78DFR230</t>
  </si>
  <si>
    <t>R-X-2701 -INFRA RED FLAME DETECTOR</t>
  </si>
  <si>
    <t>R78DFR231</t>
  </si>
  <si>
    <t>R78DGR500</t>
  </si>
  <si>
    <t>V-4321 -METHANE POINT GAS DETECTOR</t>
  </si>
  <si>
    <t>R78DGR501</t>
  </si>
  <si>
    <t>R78DGR502</t>
  </si>
  <si>
    <t>R78DGR503</t>
  </si>
  <si>
    <t>V-2022 -METHANE POINT GAS DETECTOR</t>
  </si>
  <si>
    <t>R78DGR504</t>
  </si>
  <si>
    <t>R78DGR505</t>
  </si>
  <si>
    <t>R78DGR506</t>
  </si>
  <si>
    <t>X-2521 -METHANE POINT GAS DETECTOR</t>
  </si>
  <si>
    <t>R78DGR507</t>
  </si>
  <si>
    <t>R78DGR508</t>
  </si>
  <si>
    <t>R78DGR509</t>
  </si>
  <si>
    <t>R78DGR510</t>
  </si>
  <si>
    <t>R78DGR511</t>
  </si>
  <si>
    <t>R78DGR512</t>
  </si>
  <si>
    <t>R78DGR513</t>
  </si>
  <si>
    <t>R78DGR514</t>
  </si>
  <si>
    <t>R78DGR515</t>
  </si>
  <si>
    <t>R78DGR516</t>
  </si>
  <si>
    <t>R78DGR519</t>
  </si>
  <si>
    <t>X-5721 -METHANE POINT GAS DETECTOR</t>
  </si>
  <si>
    <t>R78DGR520</t>
  </si>
  <si>
    <t>R78DGR521</t>
  </si>
  <si>
    <t>R78DGR532</t>
  </si>
  <si>
    <t>V-2732 -METHANE POINT GAS DETECTOR</t>
  </si>
  <si>
    <t>R78DGR533</t>
  </si>
  <si>
    <t>R78DGR534</t>
  </si>
  <si>
    <t>R78DGR544</t>
  </si>
  <si>
    <t>X4521 - METHANE POINT GAS DETECTOR</t>
  </si>
  <si>
    <t>R78DGR545</t>
  </si>
  <si>
    <t>R78DGR552</t>
  </si>
  <si>
    <t>H2521 - METHANE POINT GAS DETECTOR</t>
  </si>
  <si>
    <t>R78DGR553</t>
  </si>
  <si>
    <t>R78DGR554</t>
  </si>
  <si>
    <t>R78DGR555</t>
  </si>
  <si>
    <t>R78DGR556</t>
  </si>
  <si>
    <t>R78DGR557</t>
  </si>
  <si>
    <t>R78DGR558</t>
  </si>
  <si>
    <t>R78DGR559</t>
  </si>
  <si>
    <t>E81DFL512B</t>
  </si>
  <si>
    <t>CA SYSTEM ARMED RM 27 - DEACTIVATE</t>
  </si>
  <si>
    <t>E81DFL542C</t>
  </si>
  <si>
    <t>CA RELEASED ELECT RM 31 - ACTIVATE</t>
  </si>
  <si>
    <t>E81DFL572C</t>
  </si>
  <si>
    <t>CA RELEASED UPS 1 RM 36 - ACTIVATE</t>
  </si>
  <si>
    <t>E81DFL573C</t>
  </si>
  <si>
    <t>E81DFL587C</t>
  </si>
  <si>
    <t>CA RELEASED UPS 2 RM 37 - ACTIVATE</t>
  </si>
  <si>
    <t>E81DFL588C</t>
  </si>
  <si>
    <t>E81DFL662C</t>
  </si>
  <si>
    <t>CA RELEASED LER 2 RM 08 - ACTIVATE</t>
  </si>
  <si>
    <t>E81DFL663C</t>
  </si>
  <si>
    <t>RFJB2011</t>
  </si>
  <si>
    <t>JUNCTION BOX -FIRE &amp; GAS (DIGITAL)</t>
  </si>
  <si>
    <t>RFJB2302</t>
  </si>
  <si>
    <t>RFJB2303</t>
  </si>
  <si>
    <t>RFJB2304</t>
  </si>
  <si>
    <t>RFJB2305</t>
  </si>
  <si>
    <t>R78DMC058</t>
  </si>
  <si>
    <t>R-V-2030 -MANUAL ALARM CALL POINT</t>
  </si>
  <si>
    <t>R78DMC063</t>
  </si>
  <si>
    <t>TK2121B - MANUAL ALARM CALL POINT</t>
  </si>
  <si>
    <t>R78DMC076</t>
  </si>
  <si>
    <t>E-X-2701 -MANUAL ALARM CALL POINT</t>
  </si>
  <si>
    <t>R78DFR200</t>
  </si>
  <si>
    <t>TK-6222 -INFRA RED FLAME DETECTOR</t>
  </si>
  <si>
    <t>R78DFR201</t>
  </si>
  <si>
    <t>R78DFR220</t>
  </si>
  <si>
    <t>V-2721A -INFRA RED FLAME DETECTOR</t>
  </si>
  <si>
    <t>R78DFR233</t>
  </si>
  <si>
    <t>RX2130 - INFRA RED FLAME DETECTOR</t>
  </si>
  <si>
    <t>R78DFR234</t>
  </si>
  <si>
    <t>R78DFR236</t>
  </si>
  <si>
    <t>P2121B - INFRA RED FLAME DETECTOR</t>
  </si>
  <si>
    <t>R78DFR238</t>
  </si>
  <si>
    <t>RH2022 - INFRA RED FLAME DETECTOR</t>
  </si>
  <si>
    <t>R78DFR239</t>
  </si>
  <si>
    <t>R78DFR242</t>
  </si>
  <si>
    <t>RV4522 - INFRA RED FLAME DETECTOR</t>
  </si>
  <si>
    <t>R78DFR243</t>
  </si>
  <si>
    <t>RP2801 - INFRA RED FLAME DETECTOR</t>
  </si>
  <si>
    <t>R78DFR246</t>
  </si>
  <si>
    <t>GT8021 - INFRA RED FLAME DETECTOR</t>
  </si>
  <si>
    <t>R78DFR247</t>
  </si>
  <si>
    <t>GT8022 - INFRA RED FLAME DETECTOR</t>
  </si>
  <si>
    <t>R78DFR276</t>
  </si>
  <si>
    <t>RE2021 - INFRA RED FLAME DETECTOR</t>
  </si>
  <si>
    <t>R78DFR277</t>
  </si>
  <si>
    <t>R78DFR288</t>
  </si>
  <si>
    <t>R78DFR293</t>
  </si>
  <si>
    <t>RA4521 - INFRA RED FLAME DETECTOR</t>
  </si>
  <si>
    <t>E81DFL512A</t>
  </si>
  <si>
    <t>CA REL INHIBITED RM 27 - ACTIVATE</t>
  </si>
  <si>
    <t>E81DFL617C</t>
  </si>
  <si>
    <t>CA RELEASED SWGR RM 02 - ACTIVATE</t>
  </si>
  <si>
    <t>E81DFL618C</t>
  </si>
  <si>
    <t>RFJB1058</t>
  </si>
  <si>
    <t>JUNCTION BOX -FIRE &amp; GAS (ANALOG)</t>
  </si>
  <si>
    <t>R78DMC059</t>
  </si>
  <si>
    <t>X-57212 -MANUAL ALARM CALL POINT</t>
  </si>
  <si>
    <t>R78DMC061</t>
  </si>
  <si>
    <t>RA2121 - MANUAL ALARM CALL POINT</t>
  </si>
  <si>
    <t>R78DMC062</t>
  </si>
  <si>
    <t>TK2121A -MANUAL ALARM CALL POINT</t>
  </si>
  <si>
    <t>R78DMC066</t>
  </si>
  <si>
    <t>TK5630 - MANUAL ALARM CALL POINT</t>
  </si>
  <si>
    <t>R78DMC070</t>
  </si>
  <si>
    <t>GT8021 - MANUAL ALARM CALL POINT</t>
  </si>
  <si>
    <t>R78DMC196</t>
  </si>
  <si>
    <t>V-2721B -MANUAL ALARM CALL POINT</t>
  </si>
  <si>
    <t>E81DMC621A</t>
  </si>
  <si>
    <t>CA LOC MAN REL UPS ROOM 1 (RM06)</t>
  </si>
  <si>
    <t>E81DMC621B</t>
  </si>
  <si>
    <t>E81DMC636A</t>
  </si>
  <si>
    <t>CA LOC MAN REL UPS ROOM 2 (RM09)</t>
  </si>
  <si>
    <t>E81DMC636B</t>
  </si>
  <si>
    <t>R78DFS044</t>
  </si>
  <si>
    <t>ANALYSER HOUSE (E-ZAH-2801) HORN</t>
  </si>
  <si>
    <t>R78DFR202</t>
  </si>
  <si>
    <t>V-4321 -INFRA RED FLAME DETECTOR</t>
  </si>
  <si>
    <t>R78DFR203</t>
  </si>
  <si>
    <t>R78DFR204</t>
  </si>
  <si>
    <t>V-2022 -INFRA RED FLAME DETECTOR</t>
  </si>
  <si>
    <t>R78DFR206</t>
  </si>
  <si>
    <t>R78DFR208</t>
  </si>
  <si>
    <t>X-2521 -INFRA RED FLAME DETECTOR</t>
  </si>
  <si>
    <t>R78DFR209</t>
  </si>
  <si>
    <t>R78DFR215</t>
  </si>
  <si>
    <t>X-4221 -INFRA RED FLAME DETECTOR</t>
  </si>
  <si>
    <t>R78DFR216</t>
  </si>
  <si>
    <t>X-5721 -INFRA RED FLAME DETECTOR</t>
  </si>
  <si>
    <t>R78DFR217</t>
  </si>
  <si>
    <t>R78DFR218</t>
  </si>
  <si>
    <t>V-2731 -INFRA RED FLAME DETECTOR</t>
  </si>
  <si>
    <t>R78DFR219</t>
  </si>
  <si>
    <t>R78DFR222</t>
  </si>
  <si>
    <t>V-2732 -INFRA RED FLAME DETECTOR</t>
  </si>
  <si>
    <t>R78DFR223</t>
  </si>
  <si>
    <t>R78DFR235</t>
  </si>
  <si>
    <t>P2121 - INFRA RED FLAME DETECTOR</t>
  </si>
  <si>
    <t>R78DFR237</t>
  </si>
  <si>
    <t>R78DFR241</t>
  </si>
  <si>
    <t>X4521 - INFRA RED FLAME DETECTOR</t>
  </si>
  <si>
    <t>R78DFR244</t>
  </si>
  <si>
    <t>G8401 - INFRA RED FLAME DETECTOR</t>
  </si>
  <si>
    <t>R78DFR245</t>
  </si>
  <si>
    <t>G8402 - INFRA RED FLAME DETECTOR</t>
  </si>
  <si>
    <t>R78DFR248</t>
  </si>
  <si>
    <t>H2521 - INFRA RED FLAME DETECTOR</t>
  </si>
  <si>
    <t>R78DFR249</t>
  </si>
  <si>
    <t>R78DFR271</t>
  </si>
  <si>
    <t>R78DFR274</t>
  </si>
  <si>
    <t>R78DGU716</t>
  </si>
  <si>
    <t>GT8021/2 - ACOUSTIC GAS DETECTOR</t>
  </si>
  <si>
    <t>R78DMC052</t>
  </si>
  <si>
    <t>V-4321 -MANUAL ALARM CALL POINT</t>
  </si>
  <si>
    <t>R78DMC055</t>
  </si>
  <si>
    <t>V-2022 -MANUAL ALARM CALL POINT</t>
  </si>
  <si>
    <t>R78DMC060</t>
  </si>
  <si>
    <t>V-2723 -MANUAL ALARM CALL POINT</t>
  </si>
  <si>
    <t>R78DMC069</t>
  </si>
  <si>
    <t>G8402 - MANUAL ALARM CALL POINT</t>
  </si>
  <si>
    <t>R78DMC071</t>
  </si>
  <si>
    <t>H2521 - MANUAL ALARM CALL POINT</t>
  </si>
  <si>
    <t>R78DMC072</t>
  </si>
  <si>
    <t>R78DGU708</t>
  </si>
  <si>
    <t>E-H-4601 -ACOUSTIC GAS DETECTOR</t>
  </si>
  <si>
    <t>R78DGU709</t>
  </si>
  <si>
    <t>R-X-2701 -ACOUSTIC GAS DETECTOR</t>
  </si>
  <si>
    <t>E81DFL557C</t>
  </si>
  <si>
    <t>CA RELEASED LER RM34 - ACTIVATE</t>
  </si>
  <si>
    <t>E81DFL558C</t>
  </si>
  <si>
    <t>R78DMC057</t>
  </si>
  <si>
    <t>X2521 -MANUAL ALARM CALL POINT</t>
  </si>
  <si>
    <t>R78DFV313</t>
  </si>
  <si>
    <t>R-V-2030 -VIDEO FLAME DETECTOR</t>
  </si>
  <si>
    <t>R78DFV330</t>
  </si>
  <si>
    <t>E-X-2701 -VIDEO FLAME DETECTOR</t>
  </si>
  <si>
    <t>R78DFV331</t>
  </si>
  <si>
    <t>R-X-2701 -VIDEO FLAME DETECTOR</t>
  </si>
  <si>
    <t>R78DFV333</t>
  </si>
  <si>
    <t>TK-2121B -VIDEO FLAME DETECTOR</t>
  </si>
  <si>
    <t>R78DFV334</t>
  </si>
  <si>
    <t>R78DGRR632</t>
  </si>
  <si>
    <t>X2521 - OPEN PATH GAS DETECTOR</t>
  </si>
  <si>
    <t>R78DGU707</t>
  </si>
  <si>
    <t>V-2721B -ACOUSTIC GAS DETECTOR</t>
  </si>
  <si>
    <t>R78DGU719</t>
  </si>
  <si>
    <t>V-2721A -ACOUSTIC GAS DETECTOR</t>
  </si>
  <si>
    <t>R78DGU720</t>
  </si>
  <si>
    <t>R78DGU721</t>
  </si>
  <si>
    <t>E81DMC532</t>
  </si>
  <si>
    <t>CA MAN REL ELECTR RM 31 (HMI)</t>
  </si>
  <si>
    <t>R78DFV302</t>
  </si>
  <si>
    <t>P-8121B -VIDEO FLAME DETECTOR</t>
  </si>
  <si>
    <t>R78DFV320</t>
  </si>
  <si>
    <t>V-2721B -VIDEO FLAME DETECTOR</t>
  </si>
  <si>
    <t>R78DFV321</t>
  </si>
  <si>
    <t>R78DFV336</t>
  </si>
  <si>
    <t>RX2130 - VIDEO FLAME DETECTOR</t>
  </si>
  <si>
    <t>R78DFV338</t>
  </si>
  <si>
    <t>RA2121 - VIDEO FLAME DETECTOR</t>
  </si>
  <si>
    <t>R78DFV339</t>
  </si>
  <si>
    <t>RH2022 - VIDEO FLAME DETECTOR</t>
  </si>
  <si>
    <t>R78DFV342</t>
  </si>
  <si>
    <t>RX2801 - VIDEO FLAME DETECTOR</t>
  </si>
  <si>
    <t>R78DFV344</t>
  </si>
  <si>
    <t>GT8022 - VIDEO FLAME DETECTOR</t>
  </si>
  <si>
    <t>R78DFV345</t>
  </si>
  <si>
    <t>GT8021 - VIDEO FLAME DETECTOR</t>
  </si>
  <si>
    <t>R78DGU700</t>
  </si>
  <si>
    <t>V-2022 -ACOUSTIC GAS DETECTOR</t>
  </si>
  <si>
    <t>R78DGU701</t>
  </si>
  <si>
    <t>R78DGU702</t>
  </si>
  <si>
    <t>X-2521 -ACOUSTIC GAS DETECTOR</t>
  </si>
  <si>
    <t>R78DGU703</t>
  </si>
  <si>
    <t>R78DGU705</t>
  </si>
  <si>
    <t>V-2023 -ACOUSTIC GAS DETECTOR</t>
  </si>
  <si>
    <t>R78DGU706</t>
  </si>
  <si>
    <t>V-2731 -ACOUSTIC GAS DETECTOR</t>
  </si>
  <si>
    <t>R78DGU710</t>
  </si>
  <si>
    <t>RV4522 -ACOUSTIC GAS DETECTOR</t>
  </si>
  <si>
    <t>R78DGU717</t>
  </si>
  <si>
    <t>H2521 - ACOUSTIC GAS DETECTOR</t>
  </si>
  <si>
    <t>R78DGU718</t>
  </si>
  <si>
    <t>R78DSH862</t>
  </si>
  <si>
    <t>LER 3 NEAR SUBSTATION - SMOKE</t>
  </si>
  <si>
    <t>E81DMC562</t>
  </si>
  <si>
    <t>CA MAN REL UPS 1 RM 36 (HMI)</t>
  </si>
  <si>
    <t>E81DMC577</t>
  </si>
  <si>
    <t>CA MAN REL UPS 2 RM 37 (HMI)</t>
  </si>
  <si>
    <t>R78DFR284</t>
  </si>
  <si>
    <t>V-2731 -VIDEO FLAME DETECTOR</t>
  </si>
  <si>
    <t>R78DFV300</t>
  </si>
  <si>
    <t>X-6221 -VIDEO FLAME DETECTOR</t>
  </si>
  <si>
    <t>R78DFV301</t>
  </si>
  <si>
    <t>P-8121 -VIDEO FLAME DETECTOR</t>
  </si>
  <si>
    <t>R78DFV303</t>
  </si>
  <si>
    <t>V-4321 -VIDEO FLAME DETECTOR</t>
  </si>
  <si>
    <t>R78DFV304</t>
  </si>
  <si>
    <t>R78DFV305</t>
  </si>
  <si>
    <t>V-2022 -VIDEO FLAME DETECTOR</t>
  </si>
  <si>
    <t>R78DFV306</t>
  </si>
  <si>
    <t>R78DFV307</t>
  </si>
  <si>
    <t>R78DFV308</t>
  </si>
  <si>
    <t>R78DFV309</t>
  </si>
  <si>
    <t>X-2521 -VIDEO FLAME DETECTOR</t>
  </si>
  <si>
    <t>R78DFV310</t>
  </si>
  <si>
    <t>R78DFV312</t>
  </si>
  <si>
    <t>R78DFV315</t>
  </si>
  <si>
    <t>V-2023 -VIDEO FLAME DETECTOR</t>
  </si>
  <si>
    <t>R78DFV316</t>
  </si>
  <si>
    <t>X-4221 -VIDEO FLAME DETECTOR</t>
  </si>
  <si>
    <t>R78DFV317</t>
  </si>
  <si>
    <t>R78DFV319</t>
  </si>
  <si>
    <t>R78DFV325</t>
  </si>
  <si>
    <t>V-2732 -VIDEO FLAME DETECTOR</t>
  </si>
  <si>
    <t>R78DFV337</t>
  </si>
  <si>
    <t>P2121 - VIDEO FLAME DETECTOR</t>
  </si>
  <si>
    <t>R78DFV343</t>
  </si>
  <si>
    <t>G8401 - VIDEO FLAME DETECTOR</t>
  </si>
  <si>
    <t>R78DFV346</t>
  </si>
  <si>
    <t>H2521 - VIDEO FLAME DETECTOR</t>
  </si>
  <si>
    <t>R78DFV347</t>
  </si>
  <si>
    <t>X2521 - VIDEO FLAME DETECTOR</t>
  </si>
  <si>
    <t>R78DFV348</t>
  </si>
  <si>
    <t>E81DFL512C</t>
  </si>
  <si>
    <t>CA RELEASED RM 27 - ACTIVATE</t>
  </si>
  <si>
    <t>E81DMC531</t>
  </si>
  <si>
    <t>CA LOC MAN REL ELECTR RM 31</t>
  </si>
  <si>
    <t>E81DMC592</t>
  </si>
  <si>
    <t>CA MAN REL SWGR RM 02 (HMI)</t>
  </si>
  <si>
    <t>E81DMC607</t>
  </si>
  <si>
    <t>E81DMC502</t>
  </si>
  <si>
    <t>CA MAN REL SYS RM 27 (HMI)</t>
  </si>
  <si>
    <t>E81DMC517</t>
  </si>
  <si>
    <t>CA MAN REL SYS RM 28 (HMI)</t>
  </si>
  <si>
    <t>E81DMC547</t>
  </si>
  <si>
    <t>CA MAN REL LER RM 34 (HMI)</t>
  </si>
  <si>
    <t>E81DMC561</t>
  </si>
  <si>
    <t>CA LOC MAN REL UPS 1 RM 36</t>
  </si>
  <si>
    <t>E81DMC576</t>
  </si>
  <si>
    <t>CA LOC MAN REL UPS 2 RM 37</t>
  </si>
  <si>
    <t>E81DMC651A</t>
  </si>
  <si>
    <t>CA LOC MAN REL LER 2 RM 08</t>
  </si>
  <si>
    <t>E81DMC651B</t>
  </si>
  <si>
    <t>E81DMC591A</t>
  </si>
  <si>
    <t>CA LOC MAN REL SWGR RM 02</t>
  </si>
  <si>
    <t>E81DMC591B</t>
  </si>
  <si>
    <t>E81DMC591C</t>
  </si>
  <si>
    <t>E81DMC606A</t>
  </si>
  <si>
    <t>E81DMC606B</t>
  </si>
  <si>
    <t>R21FJB03</t>
  </si>
  <si>
    <t>JUNCTION BOX - FIRE &amp; GAS</t>
  </si>
  <si>
    <t>RFJB1021</t>
  </si>
  <si>
    <t>RFJB1006</t>
  </si>
  <si>
    <t>RFJB2006</t>
  </si>
  <si>
    <t>E81DMC501</t>
  </si>
  <si>
    <t>CA LOC MAN REL SYS RM 27</t>
  </si>
  <si>
    <t>E81DMC516</t>
  </si>
  <si>
    <t>CA LOC MAN REL SYS RM 28</t>
  </si>
  <si>
    <t>E81DMC546A</t>
  </si>
  <si>
    <t>CA LOC MAN REL LER RM 34</t>
  </si>
  <si>
    <t>E81DMC546B</t>
  </si>
  <si>
    <t>E78DMC799</t>
  </si>
  <si>
    <t>MANUAL ALARM CALL POINT</t>
  </si>
  <si>
    <t>E78DMC800</t>
  </si>
  <si>
    <t>E78DMC150</t>
  </si>
  <si>
    <t>E81DMC945</t>
  </si>
  <si>
    <t>E78DMC944</t>
  </si>
  <si>
    <t>E78DMC946</t>
  </si>
  <si>
    <t>E78DMC969</t>
  </si>
  <si>
    <t>E78DMC970</t>
  </si>
  <si>
    <t>E78DMC943</t>
  </si>
  <si>
    <t>E78DMC947</t>
  </si>
  <si>
    <t>E78DMC948</t>
  </si>
  <si>
    <t>E78DMC949</t>
  </si>
  <si>
    <t>E78DMC950</t>
  </si>
  <si>
    <t>E78DMC968</t>
  </si>
  <si>
    <t>E78DMC794</t>
  </si>
  <si>
    <t>E78DMC795</t>
  </si>
  <si>
    <t>E78DMC796</t>
  </si>
  <si>
    <t>E78DMC797</t>
  </si>
  <si>
    <t>R78DSH865</t>
  </si>
  <si>
    <t>LOCAL EQPT ROOM (LER 3)</t>
  </si>
  <si>
    <t>RIFJB0019</t>
  </si>
  <si>
    <t>JUNCTION BOX - FIELDBUS</t>
  </si>
  <si>
    <t>RIFJB0016</t>
  </si>
  <si>
    <t>RIFJB0306</t>
  </si>
  <si>
    <t>RIFJB0020</t>
  </si>
  <si>
    <t>RIFJB0023</t>
  </si>
  <si>
    <t>RIFJB0032</t>
  </si>
  <si>
    <t>RIFJB0050</t>
  </si>
  <si>
    <t>RIFJB0301</t>
  </si>
  <si>
    <t>RIFJB0017</t>
  </si>
  <si>
    <t>RIFJB0307</t>
  </si>
  <si>
    <t>RIFJB0049</t>
  </si>
  <si>
    <t>RIFJB0045</t>
  </si>
  <si>
    <t>RIFJB0044</t>
  </si>
  <si>
    <t>RIFJB0034</t>
  </si>
  <si>
    <t>RIFJB0308</t>
  </si>
  <si>
    <t>RIFJB0047</t>
  </si>
  <si>
    <t>RIFJB0040</t>
  </si>
  <si>
    <t>RIFJB0042</t>
  </si>
  <si>
    <t>RIFJB0041</t>
  </si>
  <si>
    <t>RIFJB0043</t>
  </si>
  <si>
    <t>RIFJB0031</t>
  </si>
  <si>
    <t>RIFJB0303</t>
  </si>
  <si>
    <t>RIFJB0013</t>
  </si>
  <si>
    <t>RIFJB0007</t>
  </si>
  <si>
    <t>RIFJB0006</t>
  </si>
  <si>
    <t>RIFJB0008</t>
  </si>
  <si>
    <t>RIFJB0009</t>
  </si>
  <si>
    <t>RIFJB0010</t>
  </si>
  <si>
    <t>RIFJB0014</t>
  </si>
  <si>
    <t>RIFJB0015</t>
  </si>
  <si>
    <t>RIFJB0302</t>
  </si>
  <si>
    <t>RIFJB0011</t>
  </si>
  <si>
    <t>RIFJB0012</t>
  </si>
  <si>
    <t>RIFJB0018</t>
  </si>
  <si>
    <t>RIFJB0030</t>
  </si>
  <si>
    <t>RIFJB0027</t>
  </si>
  <si>
    <t>RIFJB0025</t>
  </si>
  <si>
    <t>RIFJB0024</t>
  </si>
  <si>
    <t>RIFJB0026</t>
  </si>
  <si>
    <t>RIFJB0046</t>
  </si>
  <si>
    <t>E81DMC652</t>
  </si>
  <si>
    <t>CA MAN REL LER 2 RM 08</t>
  </si>
  <si>
    <t>E78DFR360</t>
  </si>
  <si>
    <t>FLAME DETECTOR</t>
  </si>
  <si>
    <t>R78DSH864</t>
  </si>
  <si>
    <t>LER 3 - SMOKE</t>
  </si>
  <si>
    <t>RFJB2004</t>
  </si>
  <si>
    <t>RFJB1013</t>
  </si>
  <si>
    <t>RFJB1045</t>
  </si>
  <si>
    <t>RFJB1046</t>
  </si>
  <si>
    <t>RFJB1014</t>
  </si>
  <si>
    <t>RFJB1024</t>
  </si>
  <si>
    <t>RFJB1005</t>
  </si>
  <si>
    <t>RFJB2005</t>
  </si>
  <si>
    <t>RFJB1039</t>
  </si>
  <si>
    <t>RFJB1040</t>
  </si>
  <si>
    <t>RFJB1041</t>
  </si>
  <si>
    <t>RFJB1042</t>
  </si>
  <si>
    <t>RFJB1020</t>
  </si>
  <si>
    <t>RFJB1003</t>
  </si>
  <si>
    <t>RFJB1002</t>
  </si>
  <si>
    <t>RFJB1004</t>
  </si>
  <si>
    <t>RFJB1043</t>
  </si>
  <si>
    <t>RFJB1019</t>
  </si>
  <si>
    <t>RFJB1029</t>
  </si>
  <si>
    <t>RFJB1030</t>
  </si>
  <si>
    <t>RFJB1044</t>
  </si>
  <si>
    <t>RFJB2003</t>
  </si>
  <si>
    <t>RFJB1033</t>
  </si>
  <si>
    <t>RFJB1036</t>
  </si>
  <si>
    <t>RFJB1011</t>
  </si>
  <si>
    <t>RFJB1012</t>
  </si>
  <si>
    <t>RFJB1035</t>
  </si>
  <si>
    <t>RFJB1038</t>
  </si>
  <si>
    <t>RFJB1022</t>
  </si>
  <si>
    <t>RFJB1009</t>
  </si>
  <si>
    <t>RFJB1034</t>
  </si>
  <si>
    <t>RFJB1037</t>
  </si>
  <si>
    <t>RFJB1007</t>
  </si>
  <si>
    <t>RFJB1008</t>
  </si>
  <si>
    <t>RFJB1001</t>
  </si>
  <si>
    <t>RFJB1018</t>
  </si>
  <si>
    <t>RFJB1031</t>
  </si>
  <si>
    <t>RFJB1032</t>
  </si>
  <si>
    <t>RFJB1028</t>
  </si>
  <si>
    <t>RFJB1027</t>
  </si>
  <si>
    <t>RFJB1017</t>
  </si>
  <si>
    <t>RFJB1000</t>
  </si>
  <si>
    <t>RFJB2002</t>
  </si>
  <si>
    <t>RFJB1010</t>
  </si>
  <si>
    <t>RFJB1023</t>
  </si>
  <si>
    <t>RFJB1026</t>
  </si>
  <si>
    <t>RFJB1025</t>
  </si>
  <si>
    <t>RFJB1016</t>
  </si>
  <si>
    <t>RFJB1015</t>
  </si>
  <si>
    <t>RFJB2007</t>
  </si>
  <si>
    <t>RFJB2001</t>
  </si>
  <si>
    <t>R21FJB07</t>
  </si>
  <si>
    <t>RIFJB0038</t>
  </si>
  <si>
    <t>RIFJB4002</t>
  </si>
  <si>
    <t>RIFJB0033</t>
  </si>
  <si>
    <t>E-91-HVDG-104</t>
  </si>
  <si>
    <t>TURBINE VENTILATION OUTLET FIRE DAMPER IN SGT-200 SINGLE SHAFT E-X-9111 FIRE AND GAS SYSTEM</t>
  </si>
  <si>
    <t>FA_INDFD</t>
  </si>
  <si>
    <t>DAWD</t>
  </si>
  <si>
    <t>E8</t>
  </si>
  <si>
    <t>H8</t>
  </si>
  <si>
    <t>MAH Barrier: Fire &amp; Gas System; MAH comment: Treat as executive element in F&amp;G protection, all on generatr / em-gen packages; IPL/LOPA = No; Regulatory override = No</t>
  </si>
  <si>
    <t>E-91-HVDG-204</t>
  </si>
  <si>
    <t>TURBINE VENTILATION OUTLET FIRE DAMPER IN SGT-200 SINGLE SHAFT E-X-9121 FIRE AND GAS SYSTEM</t>
  </si>
  <si>
    <t>E-91-HVDG-304</t>
  </si>
  <si>
    <t>TURBINE VENTILATION OUTLET FIRE DAMPER IN SGT-200 SINGLE SHAFT E-X-9131 FIRE AND GAS SYSTEM</t>
  </si>
  <si>
    <t>E-91-HVDG-404</t>
  </si>
  <si>
    <t>TURBINE VENTILATION OUTLET FIRE DAMPER IN SGT-200 SINGLE SHAFT E-X-9141 FIRE AND GAS SYSTEM</t>
  </si>
  <si>
    <t>E-91-HVDG-103</t>
  </si>
  <si>
    <t>TURBINE VENTILATION INLET FIRE DAMPER IN SGT-200 SINGLE SHAFT E-X-9111 FIRE AND GAS SYSTEM</t>
  </si>
  <si>
    <t>E-91-HVDG-203</t>
  </si>
  <si>
    <t>TURBINE VENTILATION INLET FIRE DAMPER IN SGT-200 SINGLE SHAFT E-X-9121 FIRE AND GAS SYSTEM</t>
  </si>
  <si>
    <t>E-91-HVDG-303</t>
  </si>
  <si>
    <t>TURBINE VENTILATION INLET FIRE DAMPER IN SGT-200 SINGLE SHAFT E-X-9131 FIRE AND GAS SYSTEM</t>
  </si>
  <si>
    <t>E-91-HVDG-403</t>
  </si>
  <si>
    <t>TURBINE VENTILATION INLET FIRE DAMPER IN SGT-200 SINGLE SHAFT E-X-9141 FIRE AND GAS SYSTEM</t>
  </si>
  <si>
    <t>E-HVZ-9401A</t>
  </si>
  <si>
    <t>HVAC EQUIPMENT PACKAGE IN MATERIALS HANDLING AND LOGISTICS AREA</t>
  </si>
  <si>
    <t>MAH Barrier: #N/A; MAH comment: None allocated - Assumed non-physically meaningful or pending proper classification; IPL/LOPA = No; Regulatory override = No</t>
  </si>
  <si>
    <t>E-HVZ-9401B</t>
  </si>
  <si>
    <t>E-HCL-6510</t>
  </si>
  <si>
    <t>VORTEX COOLER IN COMPRESSOR 1 E-X-6511 ON COMPRESSOR PACKAGE</t>
  </si>
  <si>
    <t>FA_SEC</t>
  </si>
  <si>
    <t>VEHY</t>
  </si>
  <si>
    <t>G5</t>
  </si>
  <si>
    <t>MAH Barrier: #N/A; MAH comment: Vortex coolers to air compressor panels, no MAH role; IPL/LOPA = No; Regulatory override = No</t>
  </si>
  <si>
    <t>E-HCL-6511</t>
  </si>
  <si>
    <t>E-HCL-6520</t>
  </si>
  <si>
    <t>VORTEX COOLER IN COMPRESSOR 2 E-X-6521 ON COMPRESSOR PACKAGE</t>
  </si>
  <si>
    <t>E-HCL-6530</t>
  </si>
  <si>
    <t>VORTEX COOLER IN COMPRESSOR 3 E-X-6531 ON COMPRESSOR PACKAGE</t>
  </si>
  <si>
    <t>E-HCL-6540</t>
  </si>
  <si>
    <t>VORTEX COOLER IN COMPRESSOR 4 E-X-6541 ON COMPRESSOR PACKAGE</t>
  </si>
  <si>
    <t>E-HCL-6550</t>
  </si>
  <si>
    <t>VORTEX COOLER IN COMPRESSOR 5 E-X-6551 ON COMPRESSOR PACKAGE</t>
  </si>
  <si>
    <t>E-HVDF-8701A</t>
  </si>
  <si>
    <t>FIRE &amp; GAS DAMPER EM GEN E-GE-8711</t>
  </si>
  <si>
    <t>E-HVDF-8701B</t>
  </si>
  <si>
    <t>E-HVDF-8701C</t>
  </si>
  <si>
    <t>E-HVDF-8701D</t>
  </si>
  <si>
    <t>E-HVDF-8702A</t>
  </si>
  <si>
    <t>E-HVDF-8702B</t>
  </si>
  <si>
    <t>E-HVDF-8731</t>
  </si>
  <si>
    <t>FIRE &amp; GAS DAMPER</t>
  </si>
  <si>
    <t>E-HVDF-8732</t>
  </si>
  <si>
    <t>E-HVDF-8733A</t>
  </si>
  <si>
    <t>E-HVDF-8733B</t>
  </si>
  <si>
    <t>E-HVDF-8733C</t>
  </si>
  <si>
    <t>E-HVDF-8733D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</si>
</sst>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5"/>
      <color theme="3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9"/>
      <color indexed="81"/>
      <name val="Tahoma"/>
      <family val="2"/>
    </font>
    <font>
      <b/>
      <u/>
      <sz val="11"/>
      <color rgb="FF3F3F76"/>
      <name val="Calibri"/>
      <family val="2"/>
      <scheme val="minor"/>
    </font>
    <font>
      <b/>
      <u/>
      <sz val="11"/>
      <color rgb="FFFA7D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FA7D00"/>
      <name val="Calibri"/>
      <family val="2"/>
      <scheme val="minor"/>
    </font>
    <font>
      <b/>
      <sz val="16"/>
      <color rgb="FFFA7D0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rgb="FFFFFFFF"/>
      <name val="Calibri"/>
      <family val="2"/>
    </font>
    <font>
      <b/>
      <sz val="8"/>
      <name val="Calibri"/>
      <family val="2"/>
    </font>
    <font>
      <sz val="11"/>
      <color theme="1"/>
      <name val="Calibri"/>
      <family val="2"/>
    </font>
    <font>
      <sz val="9"/>
      <color rgb="FF000000"/>
      <name val="Tahoma"/>
      <family val="2"/>
    </font>
    <font>
      <b/>
      <sz val="20"/>
      <color rgb="FFFA7D0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0"/>
      <color indexed="8"/>
      <name val="Arial"/>
    </font>
    <font>
      <sz val="11"/>
      <color indexed="8"/>
      <name val="Calibri"/>
    </font>
    <font>
      <sz val="11"/>
      <name val="Calibri"/>
      <family val="2"/>
    </font>
    <font>
      <sz val="11"/>
      <name val="Calibri"/>
      <family val="2"/>
      <scheme val="minor"/>
    </font>
    <font>
      <sz val="11"/>
      <color indexed="8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FFCC"/>
      </patternFill>
    </fill>
    <fill>
      <patternFill patternType="solid">
        <fgColor theme="9"/>
      </patternFill>
    </fill>
    <fill>
      <patternFill patternType="solid">
        <fgColor theme="6"/>
        <bgColor theme="6"/>
      </patternFill>
    </fill>
    <fill>
      <patternFill patternType="solid">
        <fgColor theme="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5B9BD5"/>
        <bgColor rgb="FF5B9BD5"/>
      </patternFill>
    </fill>
    <fill>
      <patternFill patternType="solid">
        <fgColor rgb="FFD9D9D9"/>
        <bgColor rgb="FF000000"/>
      </patternFill>
    </fill>
    <fill>
      <patternFill patternType="solid">
        <fgColor rgb="FFDDEBF7"/>
        <bgColor rgb="FFDDEBF7"/>
      </patternFill>
    </fill>
    <fill>
      <patternFill patternType="solid">
        <fgColor indexed="22"/>
        <bgColor indexed="0"/>
      </patternFill>
    </fill>
  </fills>
  <borders count="4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6"/>
      </top>
      <bottom/>
      <diagonal/>
    </border>
    <border>
      <left style="thin">
        <color theme="9"/>
      </left>
      <right/>
      <top/>
      <bottom/>
      <diagonal/>
    </border>
    <border>
      <left/>
      <right style="thin">
        <color theme="9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  <border>
      <left style="double">
        <color rgb="FF3F3F3F"/>
      </left>
      <right style="double">
        <color rgb="FF3F3F3F"/>
      </right>
      <top/>
      <bottom/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9BC2E6"/>
      </top>
      <bottom style="thin">
        <color rgb="FF9BC2E6"/>
      </bottom>
      <diagonal/>
    </border>
    <border>
      <left/>
      <right style="thin">
        <color rgb="FF9BC2E6"/>
      </right>
      <top style="thin">
        <color rgb="FF9BC2E6"/>
      </top>
      <bottom style="thin">
        <color rgb="FF9BC2E6"/>
      </bottom>
      <diagonal/>
    </border>
    <border>
      <left/>
      <right/>
      <top style="thin">
        <color rgb="FF9BC2E6"/>
      </top>
      <bottom/>
      <diagonal/>
    </border>
    <border>
      <left/>
      <right style="thin">
        <color rgb="FF9BC2E6"/>
      </right>
      <top style="thin">
        <color rgb="FF9BC2E6"/>
      </top>
      <bottom/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9" tint="0.39997558519241921"/>
      </left>
      <right/>
      <top/>
      <bottom style="thin">
        <color theme="9" tint="0.39997558519241921"/>
      </bottom>
      <diagonal/>
    </border>
    <border>
      <left/>
      <right/>
      <top/>
      <bottom style="thin">
        <color theme="9" tint="0.39997558519241921"/>
      </bottom>
      <diagonal/>
    </border>
    <border>
      <left/>
      <right style="thin">
        <color theme="9" tint="0.39997558519241921"/>
      </right>
      <top/>
      <bottom style="thin">
        <color theme="9" tint="0.39997558519241921"/>
      </bottom>
      <diagonal/>
    </border>
  </borders>
  <cellStyleXfs count="15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0" fontId="5" fillId="5" borderId="1" applyNumberFormat="0" applyAlignment="0" applyProtection="0"/>
    <xf numFmtId="0" fontId="6" fillId="6" borderId="1" applyNumberFormat="0" applyAlignment="0" applyProtection="0"/>
    <xf numFmtId="0" fontId="7" fillId="7" borderId="2" applyNumberFormat="0" applyAlignment="0" applyProtection="0"/>
    <xf numFmtId="0" fontId="1" fillId="8" borderId="0" applyNumberFormat="0" applyBorder="0" applyAlignment="0" applyProtection="0"/>
    <xf numFmtId="0" fontId="8" fillId="0" borderId="3" applyNumberFormat="0" applyFill="0" applyAlignment="0" applyProtection="0"/>
    <xf numFmtId="0" fontId="1" fillId="9" borderId="4" applyNumberFormat="0" applyFont="0" applyAlignment="0" applyProtection="0"/>
    <xf numFmtId="0" fontId="9" fillId="0" borderId="0" applyNumberFormat="0" applyFill="0" applyBorder="0" applyAlignment="0" applyProtection="0"/>
    <xf numFmtId="0" fontId="10" fillId="10" borderId="0" applyNumberFormat="0" applyBorder="0" applyAlignment="0" applyProtection="0"/>
    <xf numFmtId="0" fontId="18" fillId="0" borderId="11" applyNumberFormat="0" applyFill="0" applyAlignment="0" applyProtection="0"/>
    <xf numFmtId="0" fontId="19" fillId="0" borderId="12" applyNumberFormat="0" applyFill="0" applyAlignment="0" applyProtection="0"/>
    <xf numFmtId="0" fontId="33" fillId="0" borderId="0"/>
  </cellStyleXfs>
  <cellXfs count="137">
    <xf numFmtId="0" fontId="0" fillId="0" borderId="0" xfId="0"/>
    <xf numFmtId="0" fontId="7" fillId="7" borderId="2" xfId="6"/>
    <xf numFmtId="0" fontId="0" fillId="0" borderId="0" xfId="0" applyAlignment="1">
      <alignment horizontal="center" vertical="center"/>
    </xf>
    <xf numFmtId="0" fontId="3" fillId="3" borderId="0" xfId="2" applyAlignment="1">
      <alignment horizontal="center" vertical="center"/>
    </xf>
    <xf numFmtId="0" fontId="5" fillId="5" borderId="1" xfId="4" applyAlignment="1">
      <alignment horizontal="center" vertical="center"/>
    </xf>
    <xf numFmtId="0" fontId="1" fillId="8" borderId="0" xfId="7" applyAlignment="1">
      <alignment horizontal="center" vertical="center"/>
    </xf>
    <xf numFmtId="0" fontId="5" fillId="5" borderId="1" xfId="4"/>
    <xf numFmtId="0" fontId="6" fillId="6" borderId="1" xfId="5" applyAlignment="1">
      <alignment horizontal="center" vertical="center"/>
    </xf>
    <xf numFmtId="0" fontId="0" fillId="0" borderId="0" xfId="0" applyAlignment="1">
      <alignment horizontal="centerContinuous"/>
    </xf>
    <xf numFmtId="0" fontId="0" fillId="0" borderId="0" xfId="0" quotePrefix="1"/>
    <xf numFmtId="0" fontId="2" fillId="2" borderId="0" xfId="1" applyAlignment="1">
      <alignment horizontal="centerContinuous"/>
    </xf>
    <xf numFmtId="0" fontId="4" fillId="4" borderId="0" xfId="3" applyAlignment="1">
      <alignment horizontal="centerContinuous"/>
    </xf>
    <xf numFmtId="0" fontId="6" fillId="6" borderId="1" xfId="5" quotePrefix="1" applyAlignment="1">
      <alignment horizontal="center" vertical="center"/>
    </xf>
    <xf numFmtId="0" fontId="10" fillId="10" borderId="5" xfId="11" applyFont="1" applyFill="1" applyBorder="1" applyAlignment="1">
      <alignment horizontal="center" vertical="center"/>
    </xf>
    <xf numFmtId="0" fontId="7" fillId="11" borderId="0" xfId="0" applyFont="1" applyFill="1" applyBorder="1" applyAlignment="1">
      <alignment horizontal="center" vertical="center"/>
    </xf>
    <xf numFmtId="0" fontId="7" fillId="8" borderId="0" xfId="7" applyFont="1" applyFill="1" applyBorder="1" applyAlignment="1">
      <alignment horizontal="center" vertical="center"/>
    </xf>
    <xf numFmtId="0" fontId="10" fillId="12" borderId="5" xfId="11" applyFont="1" applyFill="1" applyBorder="1" applyAlignment="1">
      <alignment horizontal="center" vertical="center"/>
    </xf>
    <xf numFmtId="0" fontId="9" fillId="0" borderId="0" xfId="10"/>
    <xf numFmtId="0" fontId="0" fillId="0" borderId="0" xfId="0" applyAlignment="1">
      <alignment horizontal="center"/>
    </xf>
    <xf numFmtId="0" fontId="4" fillId="4" borderId="0" xfId="3"/>
    <xf numFmtId="0" fontId="2" fillId="2" borderId="0" xfId="1"/>
    <xf numFmtId="0" fontId="6" fillId="6" borderId="1" xfId="5"/>
    <xf numFmtId="0" fontId="6" fillId="6" borderId="1" xfId="5" applyAlignment="1">
      <alignment horizontal="center"/>
    </xf>
    <xf numFmtId="0" fontId="0" fillId="9" borderId="4" xfId="9" applyFont="1"/>
    <xf numFmtId="0" fontId="0" fillId="14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7" fillId="13" borderId="7" xfId="0" applyFont="1" applyFill="1" applyBorder="1"/>
    <xf numFmtId="0" fontId="14" fillId="5" borderId="1" xfId="4" applyFont="1"/>
    <xf numFmtId="0" fontId="15" fillId="6" borderId="1" xfId="5" applyFont="1"/>
    <xf numFmtId="0" fontId="16" fillId="0" borderId="0" xfId="0" applyFont="1"/>
    <xf numFmtId="16" fontId="5" fillId="5" borderId="1" xfId="4" quotePrefix="1" applyNumberFormat="1"/>
    <xf numFmtId="0" fontId="7" fillId="13" borderId="6" xfId="0" applyFont="1" applyFill="1" applyBorder="1" applyAlignment="1"/>
    <xf numFmtId="0" fontId="8" fillId="0" borderId="3" xfId="8"/>
    <xf numFmtId="0" fontId="0" fillId="0" borderId="0" xfId="0" applyAlignment="1"/>
    <xf numFmtId="0" fontId="5" fillId="5" borderId="1" xfId="4" quotePrefix="1"/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right" vertical="center"/>
    </xf>
    <xf numFmtId="0" fontId="3" fillId="3" borderId="0" xfId="2"/>
    <xf numFmtId="0" fontId="22" fillId="0" borderId="0" xfId="0" applyFont="1" applyAlignment="1" applyProtection="1">
      <alignment wrapText="1"/>
      <protection locked="0"/>
    </xf>
    <xf numFmtId="0" fontId="18" fillId="0" borderId="11" xfId="12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>
      <alignment vertical="center"/>
    </xf>
    <xf numFmtId="0" fontId="19" fillId="0" borderId="12" xfId="13" applyProtection="1">
      <protection locked="0"/>
    </xf>
    <xf numFmtId="0" fontId="0" fillId="0" borderId="0" xfId="0" applyAlignment="1" applyProtection="1">
      <alignment wrapText="1"/>
      <protection locked="0"/>
    </xf>
    <xf numFmtId="0" fontId="23" fillId="6" borderId="1" xfId="5" applyFont="1" applyAlignment="1">
      <alignment horizontal="center" vertical="center"/>
    </xf>
    <xf numFmtId="0" fontId="24" fillId="6" borderId="1" xfId="5" applyFont="1" applyAlignment="1">
      <alignment horizontal="center" vertical="center"/>
    </xf>
    <xf numFmtId="0" fontId="0" fillId="9" borderId="4" xfId="9" applyFont="1" applyAlignment="1">
      <alignment horizontal="right" vertical="center"/>
    </xf>
    <xf numFmtId="0" fontId="0" fillId="0" borderId="0" xfId="0" applyAlignment="1" applyProtection="1">
      <alignment vertical="center" wrapText="1"/>
      <protection locked="0"/>
    </xf>
    <xf numFmtId="0" fontId="6" fillId="6" borderId="1" xfId="5" applyFont="1" applyAlignment="1" applyProtection="1">
      <alignment horizontal="center" vertical="center"/>
    </xf>
    <xf numFmtId="0" fontId="6" fillId="6" borderId="1" xfId="5" applyAlignment="1" applyProtection="1">
      <alignment horizontal="center" vertical="center"/>
    </xf>
    <xf numFmtId="0" fontId="0" fillId="0" borderId="0" xfId="0" applyAlignment="1">
      <alignment horizontal="right"/>
    </xf>
    <xf numFmtId="0" fontId="20" fillId="6" borderId="1" xfId="5" applyFont="1" applyAlignment="1">
      <alignment horizontal="center" vertical="center"/>
    </xf>
    <xf numFmtId="0" fontId="21" fillId="0" borderId="0" xfId="0" applyFont="1" applyAlignment="1" applyProtection="1">
      <alignment horizontal="left" vertical="center"/>
      <protection locked="0"/>
    </xf>
    <xf numFmtId="0" fontId="21" fillId="0" borderId="0" xfId="0" applyFont="1"/>
    <xf numFmtId="0" fontId="5" fillId="5" borderId="1" xfId="4" applyAlignment="1">
      <alignment vertical="top" wrapText="1"/>
    </xf>
    <xf numFmtId="0" fontId="6" fillId="6" borderId="1" xfId="5" applyProtection="1">
      <protection locked="0"/>
    </xf>
    <xf numFmtId="0" fontId="0" fillId="0" borderId="0" xfId="0" applyAlignment="1" applyProtection="1">
      <alignment horizontal="left"/>
      <protection locked="0"/>
    </xf>
    <xf numFmtId="0" fontId="25" fillId="0" borderId="0" xfId="0" applyFont="1" applyAlignment="1">
      <alignment horizontal="center"/>
    </xf>
    <xf numFmtId="0" fontId="5" fillId="5" borderId="1" xfId="4" applyAlignment="1">
      <alignment horizontal="center"/>
    </xf>
    <xf numFmtId="0" fontId="21" fillId="0" borderId="0" xfId="0" applyFont="1" applyProtection="1">
      <protection locked="0"/>
    </xf>
    <xf numFmtId="0" fontId="25" fillId="0" borderId="0" xfId="0" applyFont="1"/>
    <xf numFmtId="0" fontId="6" fillId="6" borderId="1" xfId="5" applyAlignment="1" applyProtection="1">
      <alignment horizontal="center" vertical="center"/>
      <protection locked="0"/>
    </xf>
    <xf numFmtId="0" fontId="6" fillId="6" borderId="1" xfId="5" applyNumberFormat="1" applyProtection="1">
      <protection locked="0"/>
    </xf>
    <xf numFmtId="0" fontId="0" fillId="0" borderId="0" xfId="0" applyAlignment="1">
      <alignment horizontal="center" vertical="top" wrapText="1"/>
    </xf>
    <xf numFmtId="0" fontId="27" fillId="17" borderId="21" xfId="0" applyFont="1" applyFill="1" applyBorder="1"/>
    <xf numFmtId="0" fontId="27" fillId="17" borderId="22" xfId="0" applyFont="1" applyFill="1" applyBorder="1"/>
    <xf numFmtId="0" fontId="28" fillId="18" borderId="17" xfId="0" applyFont="1" applyFill="1" applyBorder="1" applyAlignment="1">
      <alignment horizontal="left" vertical="top" wrapText="1"/>
    </xf>
    <xf numFmtId="0" fontId="28" fillId="18" borderId="18" xfId="0" applyFont="1" applyFill="1" applyBorder="1" applyAlignment="1">
      <alignment horizontal="left" vertical="top" wrapText="1"/>
    </xf>
    <xf numFmtId="0" fontId="28" fillId="18" borderId="19" xfId="0" applyFont="1" applyFill="1" applyBorder="1" applyAlignment="1">
      <alignment horizontal="left" vertical="top" wrapText="1"/>
    </xf>
    <xf numFmtId="0" fontId="28" fillId="18" borderId="20" xfId="0" applyFont="1" applyFill="1" applyBorder="1" applyAlignment="1">
      <alignment horizontal="left" vertical="top" wrapText="1"/>
    </xf>
    <xf numFmtId="1" fontId="28" fillId="18" borderId="18" xfId="0" applyNumberFormat="1" applyFont="1" applyFill="1" applyBorder="1" applyAlignment="1">
      <alignment horizontal="right" vertical="top" wrapText="1"/>
    </xf>
    <xf numFmtId="1" fontId="28" fillId="18" borderId="19" xfId="0" applyNumberFormat="1" applyFont="1" applyFill="1" applyBorder="1" applyAlignment="1">
      <alignment horizontal="right" vertical="top" wrapText="1"/>
    </xf>
    <xf numFmtId="1" fontId="28" fillId="18" borderId="20" xfId="0" applyNumberFormat="1" applyFont="1" applyFill="1" applyBorder="1" applyAlignment="1">
      <alignment horizontal="right" vertical="top" wrapText="1"/>
    </xf>
    <xf numFmtId="1" fontId="28" fillId="18" borderId="16" xfId="0" quotePrefix="1" applyNumberFormat="1" applyFont="1" applyFill="1" applyBorder="1" applyAlignment="1">
      <alignment horizontal="right" vertical="top" wrapText="1"/>
    </xf>
    <xf numFmtId="16" fontId="28" fillId="18" borderId="13" xfId="0" quotePrefix="1" applyNumberFormat="1" applyFont="1" applyFill="1" applyBorder="1" applyAlignment="1">
      <alignment vertical="top" wrapText="1"/>
    </xf>
    <xf numFmtId="0" fontId="29" fillId="19" borderId="21" xfId="0" applyFont="1" applyFill="1" applyBorder="1"/>
    <xf numFmtId="0" fontId="29" fillId="19" borderId="22" xfId="0" applyFont="1" applyFill="1" applyBorder="1"/>
    <xf numFmtId="1" fontId="28" fillId="18" borderId="21" xfId="0" applyNumberFormat="1" applyFont="1" applyFill="1" applyBorder="1" applyAlignment="1">
      <alignment horizontal="right" vertical="top" wrapText="1"/>
    </xf>
    <xf numFmtId="0" fontId="29" fillId="0" borderId="23" xfId="0" applyFont="1" applyFill="1" applyBorder="1"/>
    <xf numFmtId="0" fontId="29" fillId="0" borderId="24" xfId="0" applyFont="1" applyFill="1" applyBorder="1"/>
    <xf numFmtId="0" fontId="31" fillId="6" borderId="1" xfId="5" applyFont="1" applyAlignment="1">
      <alignment horizontal="center" vertical="center"/>
    </xf>
    <xf numFmtId="0" fontId="5" fillId="5" borderId="14" xfId="4" applyBorder="1" applyAlignment="1">
      <alignment horizontal="left" vertical="top"/>
    </xf>
    <xf numFmtId="0" fontId="9" fillId="0" borderId="0" xfId="10" applyAlignment="1">
      <alignment horizontal="right" wrapText="1" indent="1"/>
    </xf>
    <xf numFmtId="0" fontId="19" fillId="0" borderId="12" xfId="13"/>
    <xf numFmtId="0" fontId="21" fillId="9" borderId="4" xfId="9" applyFont="1" applyAlignment="1">
      <alignment horizontal="right" vertical="center"/>
    </xf>
    <xf numFmtId="0" fontId="9" fillId="0" borderId="0" xfId="10" applyAlignment="1">
      <alignment horizontal="right" vertical="center"/>
    </xf>
    <xf numFmtId="0" fontId="5" fillId="5" borderId="15" xfId="4" applyBorder="1" applyAlignment="1">
      <alignment horizontal="left" vertical="top" wrapText="1"/>
    </xf>
    <xf numFmtId="0" fontId="0" fillId="9" borderId="4" xfId="9" applyFont="1" applyAlignment="1">
      <alignment horizontal="center" vertical="center"/>
    </xf>
    <xf numFmtId="0" fontId="34" fillId="0" borderId="13" xfId="14" applyFont="1" applyFill="1" applyBorder="1" applyAlignment="1">
      <alignment horizontal="left" vertical="top" wrapText="1"/>
    </xf>
    <xf numFmtId="0" fontId="35" fillId="0" borderId="13" xfId="14" applyFont="1" applyFill="1" applyBorder="1" applyAlignment="1">
      <alignment horizontal="left" vertical="top" wrapText="1"/>
    </xf>
    <xf numFmtId="0" fontId="36" fillId="0" borderId="0" xfId="0" applyFont="1"/>
    <xf numFmtId="0" fontId="37" fillId="0" borderId="13" xfId="14" applyFont="1" applyFill="1" applyBorder="1" applyAlignment="1">
      <alignment horizontal="left" vertical="top" wrapText="1"/>
    </xf>
    <xf numFmtId="0" fontId="34" fillId="0" borderId="0" xfId="14" applyFont="1" applyFill="1" applyBorder="1" applyAlignment="1">
      <alignment horizontal="left" vertical="top" wrapText="1"/>
    </xf>
    <xf numFmtId="0" fontId="34" fillId="0" borderId="36" xfId="14" applyFont="1" applyFill="1" applyBorder="1" applyAlignment="1">
      <alignment horizontal="left" vertical="top" wrapText="1"/>
    </xf>
    <xf numFmtId="0" fontId="35" fillId="0" borderId="36" xfId="14" applyFont="1" applyFill="1" applyBorder="1" applyAlignment="1">
      <alignment horizontal="left" vertical="top" wrapText="1"/>
    </xf>
    <xf numFmtId="0" fontId="0" fillId="0" borderId="16" xfId="0" applyBorder="1"/>
    <xf numFmtId="0" fontId="36" fillId="0" borderId="16" xfId="0" applyFont="1" applyBorder="1"/>
    <xf numFmtId="0" fontId="34" fillId="20" borderId="37" xfId="14" applyFont="1" applyFill="1" applyBorder="1" applyAlignment="1">
      <alignment horizontal="left" vertical="top"/>
    </xf>
    <xf numFmtId="0" fontId="34" fillId="20" borderId="38" xfId="14" applyFont="1" applyFill="1" applyBorder="1" applyAlignment="1">
      <alignment horizontal="left" vertical="top"/>
    </xf>
    <xf numFmtId="0" fontId="34" fillId="20" borderId="39" xfId="14" applyFont="1" applyFill="1" applyBorder="1" applyAlignment="1">
      <alignment horizontal="left" vertical="top"/>
    </xf>
    <xf numFmtId="0" fontId="34" fillId="0" borderId="40" xfId="14" applyFont="1" applyFill="1" applyBorder="1" applyAlignment="1">
      <alignment horizontal="left" vertical="top" wrapText="1"/>
    </xf>
    <xf numFmtId="0" fontId="34" fillId="0" borderId="41" xfId="14" applyFont="1" applyFill="1" applyBorder="1" applyAlignment="1">
      <alignment horizontal="left" vertical="top" wrapText="1"/>
    </xf>
    <xf numFmtId="0" fontId="0" fillId="0" borderId="42" xfId="0" applyBorder="1"/>
    <xf numFmtId="0" fontId="0" fillId="0" borderId="0" xfId="0" applyNumberFormat="1"/>
    <xf numFmtId="0" fontId="7" fillId="13" borderId="43" xfId="0" applyNumberFormat="1" applyFont="1" applyFill="1" applyBorder="1"/>
    <xf numFmtId="0" fontId="7" fillId="13" borderId="44" xfId="0" applyNumberFormat="1" applyFont="1" applyFill="1" applyBorder="1"/>
    <xf numFmtId="0" fontId="7" fillId="13" borderId="44" xfId="0" applyFont="1" applyFill="1" applyBorder="1"/>
    <xf numFmtId="0" fontId="7" fillId="13" borderId="45" xfId="0" applyFont="1" applyFill="1" applyBorder="1"/>
    <xf numFmtId="0" fontId="7" fillId="7" borderId="2" xfId="6" applyAlignment="1">
      <alignment horizontal="center" vertical="center" textRotation="90"/>
    </xf>
    <xf numFmtId="0" fontId="7" fillId="7" borderId="8" xfId="6" applyBorder="1" applyAlignment="1">
      <alignment horizontal="center" vertical="center" textRotation="90"/>
    </xf>
    <xf numFmtId="0" fontId="7" fillId="7" borderId="9" xfId="6" applyBorder="1" applyAlignment="1">
      <alignment horizontal="center" vertical="center" textRotation="90"/>
    </xf>
    <xf numFmtId="0" fontId="7" fillId="7" borderId="10" xfId="6" applyBorder="1" applyAlignment="1">
      <alignment horizontal="center" vertical="center" textRotation="90"/>
    </xf>
    <xf numFmtId="0" fontId="7" fillId="7" borderId="2" xfId="6" applyAlignment="1">
      <alignment horizontal="center" vertical="center" textRotation="90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textRotation="90" wrapText="1"/>
    </xf>
    <xf numFmtId="0" fontId="21" fillId="0" borderId="33" xfId="0" applyFont="1" applyBorder="1" applyAlignment="1">
      <alignment horizontal="center" wrapText="1"/>
    </xf>
    <xf numFmtId="0" fontId="21" fillId="0" borderId="34" xfId="0" applyFont="1" applyBorder="1" applyAlignment="1">
      <alignment horizontal="center" wrapText="1"/>
    </xf>
    <xf numFmtId="0" fontId="21" fillId="0" borderId="35" xfId="0" applyFont="1" applyBorder="1" applyAlignment="1">
      <alignment horizontal="center" wrapText="1"/>
    </xf>
    <xf numFmtId="0" fontId="0" fillId="0" borderId="0" xfId="0" applyAlignment="1" applyProtection="1">
      <alignment vertical="top" wrapText="1"/>
      <protection locked="0"/>
    </xf>
    <xf numFmtId="0" fontId="5" fillId="5" borderId="25" xfId="4" applyBorder="1" applyAlignment="1">
      <alignment vertical="top" wrapText="1"/>
    </xf>
    <xf numFmtId="0" fontId="5" fillId="5" borderId="26" xfId="4" applyBorder="1" applyAlignment="1">
      <alignment vertical="top" wrapText="1"/>
    </xf>
    <xf numFmtId="0" fontId="5" fillId="5" borderId="27" xfId="4" applyBorder="1" applyAlignment="1">
      <alignment vertical="top" wrapText="1"/>
    </xf>
    <xf numFmtId="0" fontId="5" fillId="5" borderId="28" xfId="4" applyBorder="1" applyAlignment="1">
      <alignment vertical="top" wrapText="1"/>
    </xf>
    <xf numFmtId="0" fontId="5" fillId="5" borderId="0" xfId="4" applyBorder="1" applyAlignment="1">
      <alignment vertical="top" wrapText="1"/>
    </xf>
    <xf numFmtId="0" fontId="5" fillId="5" borderId="29" xfId="4" applyBorder="1" applyAlignment="1">
      <alignment vertical="top" wrapText="1"/>
    </xf>
    <xf numFmtId="0" fontId="5" fillId="5" borderId="30" xfId="4" applyBorder="1" applyAlignment="1">
      <alignment vertical="top" wrapText="1"/>
    </xf>
    <xf numFmtId="0" fontId="5" fillId="5" borderId="31" xfId="4" applyBorder="1" applyAlignment="1">
      <alignment vertical="top" wrapText="1"/>
    </xf>
    <xf numFmtId="0" fontId="5" fillId="5" borderId="32" xfId="4" applyBorder="1" applyAlignment="1">
      <alignment vertical="top" wrapText="1"/>
    </xf>
    <xf numFmtId="0" fontId="21" fillId="0" borderId="33" xfId="0" applyFont="1" applyBorder="1" applyAlignment="1" applyProtection="1">
      <alignment horizontal="center" wrapText="1"/>
      <protection locked="0"/>
    </xf>
    <xf numFmtId="0" fontId="21" fillId="0" borderId="34" xfId="0" applyFont="1" applyBorder="1" applyAlignment="1" applyProtection="1">
      <alignment horizontal="center" wrapText="1"/>
      <protection locked="0"/>
    </xf>
    <xf numFmtId="0" fontId="21" fillId="0" borderId="35" xfId="0" applyFont="1" applyBorder="1" applyAlignment="1" applyProtection="1">
      <alignment horizontal="center" wrapText="1"/>
      <protection locked="0"/>
    </xf>
    <xf numFmtId="0" fontId="21" fillId="0" borderId="33" xfId="0" applyFont="1" applyBorder="1" applyAlignment="1">
      <alignment horizontal="center"/>
    </xf>
    <xf numFmtId="0" fontId="21" fillId="0" borderId="34" xfId="0" applyFont="1" applyBorder="1" applyAlignment="1">
      <alignment horizontal="center"/>
    </xf>
    <xf numFmtId="0" fontId="21" fillId="0" borderId="35" xfId="0" applyFont="1" applyBorder="1" applyAlignment="1">
      <alignment horizontal="center"/>
    </xf>
  </cellXfs>
  <cellStyles count="15">
    <cellStyle name="20% - Accent1" xfId="7" builtinId="30"/>
    <cellStyle name="Accent6" xfId="11" builtinId="49"/>
    <cellStyle name="Bad" xfId="2" builtinId="27"/>
    <cellStyle name="Calculation" xfId="5" builtinId="22"/>
    <cellStyle name="Check Cell" xfId="6" builtinId="23"/>
    <cellStyle name="Explanatory Text" xfId="10" builtinId="53"/>
    <cellStyle name="Good" xfId="1" builtinId="26"/>
    <cellStyle name="Heading 1" xfId="8" builtinId="16"/>
    <cellStyle name="Heading 2" xfId="12" builtinId="17"/>
    <cellStyle name="Heading 3" xfId="13" builtinId="18"/>
    <cellStyle name="Input" xfId="4" builtinId="20"/>
    <cellStyle name="Neutral" xfId="3" builtinId="28"/>
    <cellStyle name="Normal" xfId="0" builtinId="0"/>
    <cellStyle name="Normal_Sheet1" xfId="14"/>
    <cellStyle name="Note" xfId="9" builtinId="10"/>
  </cellStyles>
  <dxfs count="97">
    <dxf>
      <border outline="0">
        <top style="thin">
          <color theme="9" tint="0.39997558519241921"/>
        </top>
      </border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</dxf>
    <dxf>
      <numFmt numFmtId="0" formatCode="General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solid">
          <fgColor indexed="0"/>
          <bgColor indexed="22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medium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alignment horizontal="general" vertical="top" textRotation="0" wrapText="1" indent="0" justifyLastLine="0" shrinkToFit="0" readingOrder="0"/>
    </dxf>
    <dxf>
      <numFmt numFmtId="0" formatCode="General"/>
      <border outline="0">
        <right style="thin">
          <color rgb="FF7F7F7F"/>
        </right>
      </border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outline="0">
        <left style="thin">
          <color rgb="FF7F7F7F"/>
        </left>
      </border>
    </dxf>
    <dxf>
      <alignment horizontal="general" vertical="top" textRotation="0" wrapText="1" indent="0" justifyLastLine="0" shrinkToFit="0" readingOrder="0"/>
    </dxf>
    <dxf>
      <protection locked="0" hidden="0"/>
    </dxf>
    <dxf>
      <alignment horizontal="general" vertical="top" textRotation="0" wrapText="1" indent="0" justifyLastLine="0" shrinkToFit="0" readingOrder="0"/>
    </dxf>
    <dxf>
      <numFmt numFmtId="0" formatCode="General"/>
      <border outline="0">
        <right style="thin">
          <color rgb="FF7F7F7F"/>
        </right>
      </border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outline="0">
        <left style="thin">
          <color rgb="FF7F7F7F"/>
        </left>
      </border>
    </dxf>
    <dxf>
      <alignment horizontal="general" vertical="top" textRotation="0" wrapText="1" indent="0" justifyLastLine="0" shrinkToFit="0" readingOrder="0"/>
    </dxf>
    <dxf>
      <protection locked="0" hidden="0"/>
    </dxf>
    <dxf>
      <alignment horizontal="general" vertical="top" textRotation="0" wrapText="1" indent="0" justifyLastLine="0" shrinkToFit="0" readingOrder="0"/>
    </dxf>
    <dxf>
      <numFmt numFmtId="0" formatCode="General"/>
      <border outline="0">
        <right style="thin">
          <color rgb="FF7F7F7F"/>
        </right>
      </border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outline="0">
        <left style="thin">
          <color rgb="FF7F7F7F"/>
        </left>
      </border>
    </dxf>
    <dxf>
      <alignment horizontal="general" vertical="top" textRotation="0" wrapText="1" indent="0" justifyLastLine="0" shrinkToFit="0" readingOrder="0"/>
    </dxf>
    <dxf>
      <protection locked="0" hidden="0"/>
    </dxf>
    <dxf>
      <alignment horizontal="general" vertical="top" textRotation="0" wrapText="1" indent="0" justifyLastLine="0" shrinkToFit="0" readingOrder="0"/>
    </dxf>
    <dxf>
      <numFmt numFmtId="0" formatCode="General"/>
      <border outline="0">
        <left style="thin">
          <color rgb="FF7F7F7F"/>
        </left>
        <right style="thin">
          <color rgb="FF7F7F7F"/>
        </right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outline="0">
        <right style="thin">
          <color rgb="FF7F7F7F"/>
        </right>
      </border>
    </dxf>
    <dxf>
      <alignment horizontal="center" vertical="center" textRotation="0" wrapText="0" indent="0" justifyLastLine="0" shrinkToFit="0" readingOrder="0"/>
      <border outline="0">
        <left style="thin">
          <color rgb="FF7F7F7F"/>
        </left>
      </border>
    </dxf>
    <dxf>
      <alignment horizontal="general" vertical="top" textRotation="0" wrapText="1" indent="0" justifyLastLine="0" shrinkToFit="0" readingOrder="0"/>
    </dxf>
    <dxf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outline="0">
        <left style="thin">
          <color rgb="FF7F7F7F"/>
        </left>
      </border>
      <protection locked="1" hidden="0"/>
    </dxf>
    <dxf>
      <numFmt numFmtId="0" formatCode="General"/>
      <alignment horizontal="center" vertical="center" textRotation="0" wrapText="0" indent="0" justifyLastLine="0" shrinkToFit="0" readingOrder="0"/>
      <border outline="0">
        <left/>
        <right style="thin">
          <color rgb="FF7F7F7F"/>
        </right>
      </border>
      <protection locked="0" hidden="0"/>
    </dxf>
    <dxf>
      <font>
        <b/>
        <family val="2"/>
      </font>
      <numFmt numFmtId="0" formatCode="General"/>
      <alignment horizontal="center" vertical="center" textRotation="0" wrapText="0" indent="0" justifyLastLine="0" shrinkToFit="0" readingOrder="0"/>
      <border outline="0">
        <right style="thin">
          <color rgb="FF7F7F7F"/>
        </right>
      </border>
      <protection locked="0" hidden="0"/>
    </dxf>
    <dxf>
      <alignment horizontal="general" vertical="center" textRotation="0" wrapText="1" indent="0" justifyLastLine="0" shrinkToFit="0" readingOrder="0"/>
      <protection locked="0" hidden="0"/>
    </dxf>
    <dxf>
      <alignment vertical="center" textRotation="0" indent="0" justifyLastLine="0" shrinkToFit="0" readingOrder="0"/>
      <protection locked="0" hidden="0"/>
    </dxf>
    <dxf>
      <protection locked="0" hidden="0"/>
    </dxf>
    <dxf>
      <fill>
        <patternFill>
          <bgColor theme="6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border outline="0">
        <left style="thin">
          <color rgb="FF9BC2E6"/>
        </left>
        <right style="thin">
          <color rgb="FF9BC2E6"/>
        </right>
        <bottom style="thin">
          <color rgb="FF9BC2E6"/>
        </bottom>
      </border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9"/>
        </top>
      </border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6"/>
        </top>
        <bottom/>
      </border>
    </dxf>
    <dxf>
      <border outline="0">
        <left style="thin">
          <color theme="6"/>
        </left>
        <top style="thin">
          <color theme="6"/>
        </top>
        <bottom style="thin">
          <color theme="6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Ongoing%20Projects\BP\Projects\West%20Nile%20Delta\UMCL%20Criticality%20Guid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addenergygroup-my.sharepoint.com/personal/douglas_crooke_addenergy_no/Documents/CriticalityVBA/WND%20Criticality%20Templat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Methodology"/>
      <sheetName val="UMCL Criticality Guide"/>
      <sheetName val="LookUp"/>
      <sheetName val="AGT - Systems"/>
      <sheetName val="AGT - Rotating Eq."/>
      <sheetName val="AGT - SIF_SIL_Criticality"/>
      <sheetName val="UMCL Class Code Reference"/>
      <sheetName val="Class Code Like"/>
    </sheetNames>
    <sheetDataSet>
      <sheetData sheetId="0"/>
      <sheetData sheetId="1"/>
      <sheetData sheetId="2">
        <row r="3">
          <cell r="C3" t="str">
            <v>Class Code</v>
          </cell>
        </row>
      </sheetData>
      <sheetData sheetId="3">
        <row r="2">
          <cell r="D2" t="str">
            <v>A10</v>
          </cell>
        </row>
        <row r="3">
          <cell r="D3" t="str">
            <v>B10</v>
          </cell>
        </row>
        <row r="4">
          <cell r="D4" t="str">
            <v>C10</v>
          </cell>
        </row>
        <row r="5">
          <cell r="D5" t="str">
            <v>D10</v>
          </cell>
        </row>
        <row r="6">
          <cell r="D6" t="str">
            <v>D09</v>
          </cell>
        </row>
        <row r="7">
          <cell r="D7" t="str">
            <v>E08</v>
          </cell>
        </row>
        <row r="8">
          <cell r="D8" t="str">
            <v>E07</v>
          </cell>
        </row>
        <row r="9">
          <cell r="D9" t="str">
            <v>F06</v>
          </cell>
        </row>
        <row r="10">
          <cell r="D10" t="str">
            <v>F05</v>
          </cell>
        </row>
        <row r="11">
          <cell r="D11" t="str">
            <v>G04</v>
          </cell>
        </row>
        <row r="12">
          <cell r="D12" t="str">
            <v>G03</v>
          </cell>
        </row>
        <row r="13">
          <cell r="D13" t="str">
            <v>H02</v>
          </cell>
        </row>
        <row r="14">
          <cell r="D14" t="str">
            <v>H01</v>
          </cell>
        </row>
        <row r="15">
          <cell r="D15" t="str">
            <v>-</v>
          </cell>
        </row>
      </sheetData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ilureCodes"/>
      <sheetName val="Sheet10"/>
      <sheetName val="SystemDiscCountsbyFCode"/>
      <sheetName val="FCodesBySystemDiscipline"/>
      <sheetName val="FailureCodeDefaultCriticality"/>
      <sheetName val="AssetRegisterDefaultCodeApplied"/>
      <sheetName val="MAHBarrierSetup"/>
      <sheetName val="MAHBarrierSetup (pass 2)"/>
      <sheetName val="MAHBarrierSetup (pass 1)"/>
      <sheetName val="FailureCodeTemplate"/>
      <sheetName val="DataTables"/>
      <sheetName val="SystemsUtilities"/>
      <sheetName val="Systems(Old)"/>
      <sheetName val="FA_CFBC"/>
      <sheetName val="FA_CFSGW"/>
      <sheetName val="FA_CFSSE"/>
      <sheetName val="FA_CFSSF"/>
      <sheetName val="FA_CFSST"/>
      <sheetName val="FA_EECF"/>
      <sheetName val="FA_EECH"/>
      <sheetName val="FA_EECMD"/>
      <sheetName val="FA_EECMI"/>
      <sheetName val="FA_EECMS"/>
      <sheetName val="FA_EECO"/>
      <sheetName val="FA_EECT"/>
      <sheetName val="FA_EEPBA"/>
      <sheetName val="FA_EEPBV"/>
      <sheetName val="FA_EEPCS"/>
      <sheetName val="FA_EEPNE"/>
      <sheetName val="FA_EEPNN"/>
      <sheetName val="FA_EEPS"/>
      <sheetName val="FA_EEPU"/>
      <sheetName val="FA_EETA"/>
      <sheetName val="FA_EETB"/>
      <sheetName val="FA_EETC"/>
      <sheetName val="FA_EETD"/>
      <sheetName val="FA_EETFW"/>
      <sheetName val="FA_EETGA"/>
      <sheetName val="FA_EETI"/>
      <sheetName val="FA_EETM"/>
      <sheetName val="FA_EETO"/>
      <sheetName val="FA_EETP"/>
      <sheetName val="FA_EETQ"/>
      <sheetName val="FA_EETR"/>
      <sheetName val="FA_EETW"/>
      <sheetName val="FA_EETY"/>
      <sheetName val="FA_INAM"/>
      <sheetName val="FA_INAP"/>
      <sheetName val="FA_INDC"/>
      <sheetName val="FA_INDFD"/>
      <sheetName val="FA_INDFS"/>
      <sheetName val="FA_INDI"/>
      <sheetName val="FA_INDMS"/>
      <sheetName val="FA_INDMT"/>
      <sheetName val="FA_INDS"/>
      <sheetName val="FA_INDT"/>
      <sheetName val="FA_INSC"/>
      <sheetName val="FA_INSD"/>
      <sheetName val="FA_INSJ"/>
      <sheetName val="FA_INSL"/>
      <sheetName val="FA_INSS"/>
      <sheetName val="FA_INST"/>
      <sheetName val="FA_INSY"/>
      <sheetName val="FA_PEA"/>
      <sheetName val="FA_PEG"/>
      <sheetName val="FA_PEL"/>
      <sheetName val="FA_PEM"/>
      <sheetName val="FA_PEO"/>
      <sheetName val="FA_PESC"/>
      <sheetName val="FA_PESR"/>
      <sheetName val="FA_PESV"/>
      <sheetName val="FA_PET"/>
      <sheetName val="FA_PEVB"/>
      <sheetName val="FA_PEVC"/>
      <sheetName val="FA_PEVD"/>
      <sheetName val="FA_PEVG"/>
      <sheetName val="FA_PEVL"/>
      <sheetName val="FA_PEVM"/>
      <sheetName val="FA_PEVN"/>
      <sheetName val="FA_PEVX"/>
      <sheetName val="FA_PEVY"/>
      <sheetName val="FA_REBC"/>
      <sheetName val="FA_REC"/>
      <sheetName val="FA_REDH"/>
      <sheetName val="FA_REDP"/>
      <sheetName val="FA_REEL"/>
      <sheetName val="FA_REFA"/>
      <sheetName val="FA_REFC"/>
      <sheetName val="FA_REMC"/>
      <sheetName val="FA_REMR"/>
      <sheetName val="FA_REMT"/>
      <sheetName val="FA_RENG"/>
      <sheetName val="FA_REPC"/>
      <sheetName val="FA_REPD"/>
      <sheetName val="FA_RER"/>
      <sheetName val="FA_RETG"/>
      <sheetName val="FA_RETP"/>
      <sheetName val="FA_REUC"/>
      <sheetName val="FA_SEC"/>
      <sheetName val="FA_SEE"/>
      <sheetName val="FA_SEFB"/>
      <sheetName val="FA_SEFE"/>
      <sheetName val="FA_SEFS"/>
      <sheetName val="FA_SEHF"/>
      <sheetName val="FA_SEHS"/>
      <sheetName val="FA_SEHT"/>
      <sheetName val="FA_SEL"/>
      <sheetName val="FA_SEM"/>
      <sheetName val="FA_SENF"/>
      <sheetName val="FA_SEPA"/>
      <sheetName val="FA_SEPC"/>
      <sheetName val="FA_SEPHC"/>
      <sheetName val="FA_SEPHS"/>
      <sheetName val="FA_SES"/>
      <sheetName val="FA_SETAC"/>
      <sheetName val="FA_SETAP"/>
      <sheetName val="FA_SETPC"/>
      <sheetName val="FA_SEZ"/>
      <sheetName val="FA_SQFC"/>
      <sheetName val="FA_SQFDF"/>
      <sheetName val="FA_SQFDG"/>
      <sheetName val="FA_SQFDS"/>
      <sheetName val="FA_SQFFD"/>
      <sheetName val="FA_SQFFH"/>
      <sheetName val="FA_SQFFM"/>
      <sheetName val="FA_SQFFY"/>
      <sheetName val="FA_SQFRA"/>
      <sheetName val="FA_SQFRE"/>
      <sheetName val="FA_SQMT"/>
      <sheetName val="FA_SQTA"/>
      <sheetName val="FA_SQTB"/>
      <sheetName val="FA_SQTE"/>
      <sheetName val="FA_SQTH"/>
      <sheetName val="FA_SQTL"/>
      <sheetName val="FA_SQTN"/>
      <sheetName val="FA_SQTOF"/>
      <sheetName val="FA_SQTP"/>
      <sheetName val="FA_SQTS"/>
      <sheetName val="FA_SQTV"/>
      <sheetName val="FA_SQTW"/>
      <sheetName val="FA_SQTY"/>
      <sheetName val="FA_SYLH"/>
      <sheetName val="FA_WECO"/>
      <sheetName val="FA_WEHY"/>
      <sheetName val="WND Criticality Templat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 refreshError="1"/>
    </sheetDataSet>
  </externalBook>
</externalLink>
</file>

<file path=xl/queryTables/queryTable1.xml><?xml version="1.0" encoding="utf-8"?>
<queryTable xmlns="http://schemas.openxmlformats.org/spreadsheetml/2006/main" name="ExternalData_1" backgroundRefresh="0" connectionId="1" autoFormatId="16" applyNumberFormats="0" applyBorderFormats="0" applyFontFormats="0" applyPatternFormats="0" applyAlignmentFormats="0" applyWidthHeightFormats="0">
  <queryTableRefresh nextId="2">
    <queryTableFields count="1">
      <queryTableField id="1" name="Discipline" tableColumnId="1"/>
    </queryTableFields>
  </queryTableRefresh>
  <extLst>
    <ext xmlns:x15="http://schemas.microsoft.com/office/spreadsheetml/2010/11/main" uri="{883FBD77-0823-4a55-B5E3-86C4891E6966}">
      <x15:queryTable sourceDataName=" "/>
    </ext>
  </extLst>
</queryTable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RiskManagementMatrix" displayName="RiskManagementMatrix" ref="B4:J12" totalsRowShown="0" headerRowDxfId="91" dataDxfId="90">
  <autoFilter ref="B4:J12"/>
  <tableColumns count="9">
    <tableColumn id="1" name="Impact" dataDxfId="89" dataCellStyle="Bad"/>
    <tableColumn id="2" name="1" dataDxfId="88"/>
    <tableColumn id="3" name="2" dataDxfId="87">
      <calculatedColumnFormula>C5+1</calculatedColumnFormula>
    </tableColumn>
    <tableColumn id="4" name="3" dataDxfId="86">
      <calculatedColumnFormula>D5+1</calculatedColumnFormula>
    </tableColumn>
    <tableColumn id="5" name="4" dataDxfId="85">
      <calculatedColumnFormula>E5+1</calculatedColumnFormula>
    </tableColumn>
    <tableColumn id="6" name="5" dataDxfId="84">
      <calculatedColumnFormula>F5+1</calculatedColumnFormula>
    </tableColumn>
    <tableColumn id="7" name="6" dataDxfId="83">
      <calculatedColumnFormula>G5+1</calculatedColumnFormula>
    </tableColumn>
    <tableColumn id="8" name="7" dataDxfId="82">
      <calculatedColumnFormula>H5+1</calculatedColumnFormula>
    </tableColumn>
    <tableColumn id="9" name="8" dataDxfId="81">
      <calculatedColumnFormula>I5+1</calculatedColumnFormula>
    </tableColumn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id="2" name="ImpacttoCriticality" displayName="ImpacttoCriticality" ref="D5:F13" totalsRowShown="0" headerRowDxfId="80" dataDxfId="79" headerRowCellStyle="Explanatory Text" dataCellStyle="Explanatory Text">
  <autoFilter ref="D5:F13"/>
  <tableColumns count="3">
    <tableColumn id="1" name="Impact Level" dataDxfId="78" dataCellStyle="Normal"/>
    <tableColumn id="2" name="Criticality Unspared" dataDxfId="77" dataCellStyle="Normal"/>
    <tableColumn id="3" name="Criticality If Redundancy" dataDxfId="76" dataCellStyle="Normal"/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id="3" name="RawImpactToCriticality" displayName="RawImpactToCriticality" ref="A5:B18" totalsRowShown="0" tableBorderDxfId="75">
  <autoFilter ref="A5:B18"/>
  <tableColumns count="2">
    <tableColumn id="1" name="Impact Level" dataDxfId="74" dataCellStyle="Accent6"/>
    <tableColumn id="2" name="Criticality Rating of Equipment" dataDxfId="73" dataCellStyle="Normal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5" name="RawCriticalityRatingToLevel" displayName="RawCriticalityRatingToLevel" ref="B6:C9" totalsRowShown="0" dataDxfId="69" headerRowCellStyle="Normal" dataCellStyle="Normal">
  <autoFilter ref="B6:C9"/>
  <tableColumns count="2">
    <tableColumn id="1" name="Criticality Rating" dataDxfId="68" dataCellStyle="Normal"/>
    <tableColumn id="2" name="Criticality Level" dataDxfId="67" dataCellStyle="Normal"/>
  </tableColumns>
  <tableStyleInfo name="TableStyleLight14" showFirstColumn="0" showLastColumn="0" showRowStripes="1" showColumnStripes="0"/>
</table>
</file>

<file path=xl/tables/table5.xml><?xml version="1.0" encoding="utf-8"?>
<table xmlns="http://schemas.openxmlformats.org/spreadsheetml/2006/main" id="6" name="CriticalityRatingToLevel" displayName="CriticalityRatingToLevel" ref="E6:F16" totalsRowShown="0" headerRowDxfId="66" dataDxfId="65" tableBorderDxfId="64">
  <autoFilter ref="E6:F16"/>
  <tableColumns count="2">
    <tableColumn id="1" name="Criticality Rating" dataDxfId="63"/>
    <tableColumn id="2" name="Criticality Level" dataDxfId="6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7" name="Table7" displayName="Table7" ref="A3:E7" totalsRowShown="0">
  <autoFilter ref="A3:E7"/>
  <tableColumns count="5">
    <tableColumn id="1" name="Risk Category"/>
    <tableColumn id="2" name="Impact Threshold"/>
    <tableColumn id="3" name="Maximo threshold" dataDxfId="61"/>
    <tableColumn id="4" name="Maximo Criticality type"/>
    <tableColumn id="5" name="SCE Threshold" dataDxfId="60"/>
  </tableColumns>
  <tableStyleInfo name="TableStyleLight14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B2:G6" totalsRowShown="0">
  <autoFilter ref="B2:G6"/>
  <tableColumns count="6">
    <tableColumn id="1" name="Impact"/>
    <tableColumn id="2" name="3"/>
    <tableColumn id="3" name="4"/>
    <tableColumn id="4" name="5"/>
    <tableColumn id="5" name="6"/>
    <tableColumn id="6" name="7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id="4" name="TagMinimal" displayName="TagMinimal" ref="A1:B3" totalsRowShown="0">
  <autoFilter ref="A1:B3"/>
  <tableColumns count="2">
    <tableColumn id="1" name="TagID"/>
    <tableColumn id="2" name="Descriptio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CriticalityRuleSet" displayName="CriticalityRuleSet" ref="A1:P8" totalsRowShown="0" headerRowDxfId="56">
  <autoFilter ref="A1:P8"/>
  <tableColumns count="16">
    <tableColumn id="1" name="Rule"/>
    <tableColumn id="2" name="Applies to"/>
    <tableColumn id="3" name="What to do with existing data" dataDxfId="55"/>
    <tableColumn id="4" name="Comments to add" dataDxfId="54"/>
    <tableColumn id="5" name="Column1"/>
    <tableColumn id="6" name="Safety Letter"/>
    <tableColumn id="7" name="Environmental Letter"/>
    <tableColumn id="8" name="Production Letter"/>
    <tableColumn id="9" name="Commercial Letter"/>
    <tableColumn id="10" name="Safety Number"/>
    <tableColumn id="11" name="Environment Number"/>
    <tableColumn id="12" name="Production Number"/>
    <tableColumn id="13" name="Commercial Number"/>
    <tableColumn id="14" name="Criticality"/>
    <tableColumn id="15" name="Likelihood"/>
    <tableColumn id="16" name="ABC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2" name="TestTagsTable" displayName="TestTagsTable" ref="B2:L8" totalsRowShown="0" headerRowCellStyle="Normal" dataCellStyle="Normal">
  <autoFilter ref="B2:L8"/>
  <tableColumns count="11">
    <tableColumn id="1" name="Functional location" dataCellStyle="Normal"/>
    <tableColumn id="2" name="Function Location Description" dataCellStyle="Normal"/>
    <tableColumn id="3" name="Object type2" dataCellStyle="Normal"/>
    <tableColumn id="4" name="STATUS" dataCellStyle="Normal"/>
    <tableColumn id="5" name="UMCL PLUS" dataCellStyle="Normal"/>
    <tableColumn id="6" name="ISO CODE" dataCellStyle="Normal"/>
    <tableColumn id="7" name="SIL Input" dataCellStyle="Normal"/>
    <tableColumn id="8" name="SIL Output" dataCellStyle="Normal"/>
    <tableColumn id="9" name="SIS Tag Abbreviation" dataCellStyle="Normal"/>
    <tableColumn id="10" name="Discipline" dataCellStyle="Normal"/>
    <tableColumn id="11" name="SYSTEMID" dataCellStyle="Normal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6" name="TestFailureCodeDefaultCriticalitiesTable" displayName="TestFailureCodeDefaultCriticalitiesTable" ref="A1:O3" totalsRowShown="0" tableBorderDxfId="53">
  <autoFilter ref="A1:O3"/>
  <tableColumns count="15">
    <tableColumn id="1" name="FailureCode"/>
    <tableColumn id="2" name="Description"/>
    <tableColumn id="3" name="Number found in ASSET-C WND"/>
    <tableColumn id="4" name="Likelihood"/>
    <tableColumn id="5" name="SC_Impact"/>
    <tableColumn id="6" name="EC_Impact"/>
    <tableColumn id="7" name="PC_impact"/>
    <tableColumn id="8" name="BC_Impact"/>
    <tableColumn id="9" name="SC_Likelihood"/>
    <tableColumn id="10" name="EC_Likelihood"/>
    <tableColumn id="11" name="PC_Likelihood"/>
    <tableColumn id="12" name="BC_Likelihood"/>
    <tableColumn id="13" name="1-10"/>
    <tableColumn id="14" name="ABC"/>
    <tableColumn id="15" name="Basis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7" name="FAILURE_CODE_template18" displayName="FAILURE_CODE_template18" ref="A8:D12" totalsRowShown="0" headerRowDxfId="50" dataDxfId="49">
  <autoFilter ref="A8:D12"/>
  <tableColumns count="4">
    <tableColumn id="1" name="Category" dataDxfId="48"/>
    <tableColumn id="2" name="Impact" dataDxfId="47" dataCellStyle="Calculation">
      <calculatedColumnFormula>max</calculatedColumnFormula>
    </tableColumn>
    <tableColumn id="3" name="Likelihood" dataDxfId="46" dataCellStyle="Calculation">
      <calculatedColumnFormula array="1">MAX(IF([2]!FAILURE_CODE_Safety_scenarios[Impact]=FAILURE_CODE_template18[[#This Row],[Impact]],[2]!FAILURE_CODE_Safety_scenarios[Likelihood]))</calculatedColumnFormula>
    </tableColumn>
    <tableColumn id="4" name="Rating" dataDxfId="45" dataCellStyle="Calculation">
      <calculatedColumnFormula array="1">MAX(IF([2]!FAILURE_CODE_Non_Financial_scenarios[Impact]=FAILURE_CODE_template18[[#This Row],[Impact]],[2]!FAILURE_CODE_Non_Financial_scenarios[Risk Score]))</calculatedColumnFormula>
    </tableColumn>
  </tableColumns>
  <tableStyleInfo name="TableStyleLight14" showFirstColumn="0" showLastColumn="0" showRowStripes="1" showColumnStripes="0"/>
</table>
</file>

<file path=xl/tables/table13.xml><?xml version="1.0" encoding="utf-8"?>
<table xmlns="http://schemas.openxmlformats.org/spreadsheetml/2006/main" id="18" name="FAILURE_CODE_Safety_scenarios19" displayName="FAILURE_CODE_Safety_scenarios19" ref="A15:F19" totalsRowShown="0" headerRowDxfId="44">
  <autoFilter ref="A15:F19"/>
  <sortState ref="A16:F19">
    <sortCondition descending="1" ref="D15:D19"/>
  </sortState>
  <tableColumns count="6">
    <tableColumn id="1" name="Safety Scenarios" dataDxfId="43" dataCellStyle="Input"/>
    <tableColumn id="3" name="Impact" dataDxfId="42" dataCellStyle="Input"/>
    <tableColumn id="4" name="Likelihood" dataDxfId="41" dataCellStyle="Input"/>
    <tableColumn id="6" name="Risk Score" dataDxfId="40" dataCellStyle="Calculation">
      <calculatedColumnFormula>MATCH(B16,{"H","G","F","E","D","C","B","A"},0)+MATCH(C16, {1,2,3,4,5,6,7,8}, 0) - 1</calculatedColumnFormula>
    </tableColumn>
    <tableColumn id="5" name="Code for Letter" dataDxfId="39" dataCellStyle="Calculation">
      <calculatedColumnFormula>IF(ISERR(CODE(FAILURE_CODE_Safety_scenarios19[[#This Row],[Impact]])), "", CODE(FAILURE_CODE_Safety_scenarios19[[#This Row],[Impact]]))</calculatedColumnFormula>
    </tableColumn>
    <tableColumn id="2" name="Justification / Comment2" dataDxfId="38" dataCellStyle="Input"/>
  </tableColumns>
  <tableStyleInfo name="TableStyleLight10" showFirstColumn="0" showLastColumn="0" showRowStripes="1" showColumnStripes="0"/>
</table>
</file>

<file path=xl/tables/table14.xml><?xml version="1.0" encoding="utf-8"?>
<table xmlns="http://schemas.openxmlformats.org/spreadsheetml/2006/main" id="19" name="FAILURE_CODE_Environmetal_scenarios20" displayName="FAILURE_CODE_Environmetal_scenarios20" ref="A21:F24" totalsRowShown="0" headerRowDxfId="37">
  <autoFilter ref="A21:F24"/>
  <sortState ref="A22:F24">
    <sortCondition descending="1" ref="D21:D24"/>
  </sortState>
  <tableColumns count="6">
    <tableColumn id="1" name="Environmental Scenarios" dataDxfId="36" dataCellStyle="Input"/>
    <tableColumn id="2" name="Impact" dataDxfId="35" dataCellStyle="Input"/>
    <tableColumn id="3" name="Likelihood" dataDxfId="34" dataCellStyle="Input"/>
    <tableColumn id="4" name="Risk Score" dataDxfId="33" dataCellStyle="Calculation">
      <calculatedColumnFormula>MATCH(B22,{"H","G","F","E","D","C","B","A"},0)+MATCH(C22, {1,2,3,4,5,6,7,8}, 0) - 1</calculatedColumnFormula>
    </tableColumn>
    <tableColumn id="5" name="Code for Letter" dataDxfId="32" dataCellStyle="Calculation">
      <calculatedColumnFormula>IF(ISERR(CODE(FAILURE_CODE_Environmetal_scenarios20[Impact])), "", CODE(FAILURE_CODE_Environmetal_scenarios20[Impact]))</calculatedColumnFormula>
    </tableColumn>
    <tableColumn id="6" name="Justification / Comment2" dataDxfId="31" dataCellStyle="Input"/>
  </tableColumns>
  <tableStyleInfo name="TableStyleLight14" showFirstColumn="0" showLastColumn="0" showRowStripes="1" showColumnStripes="0"/>
</table>
</file>

<file path=xl/tables/table15.xml><?xml version="1.0" encoding="utf-8"?>
<table xmlns="http://schemas.openxmlformats.org/spreadsheetml/2006/main" id="20" name="FAILURE_CODE_Financial_scenarios21" displayName="FAILURE_CODE_Financial_scenarios21" ref="A27:F31" totalsRowShown="0" headerRowDxfId="30">
  <autoFilter ref="A27:F31"/>
  <sortState ref="A28:F31">
    <sortCondition descending="1" ref="D27:D31"/>
  </sortState>
  <tableColumns count="6">
    <tableColumn id="1" name="Financial Scenarios" dataDxfId="29" dataCellStyle="Input"/>
    <tableColumn id="2" name="Impact" dataDxfId="28" dataCellStyle="Input"/>
    <tableColumn id="3" name="Likelihood" dataDxfId="27" dataCellStyle="Input"/>
    <tableColumn id="4" name="Risk Score" dataDxfId="26" dataCellStyle="Calculation">
      <calculatedColumnFormula>MATCH(B28,{"H","G","F","E","D","C","B","A"},0)+MATCH(C28, {1,2,3,4,5,6,7,8}, 0) - 1</calculatedColumnFormula>
    </tableColumn>
    <tableColumn id="5" name="Code for Letter" dataDxfId="25" dataCellStyle="Calculation">
      <calculatedColumnFormula>IF(ISERR(CODE(FAILURE_CODE_Financial_scenarios21[Impact])), "", CODE(FAILURE_CODE_Financial_scenarios21[Impact]))</calculatedColumnFormula>
    </tableColumn>
    <tableColumn id="6" name="Justification / Comment2" dataDxfId="24" dataCellStyle="Input"/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id="21" name="FAILURE_CODE_Non_Financial_scenarios22" displayName="FAILURE_CODE_Non_Financial_scenarios22" ref="A33:F36" totalsRowShown="0" headerRowDxfId="23">
  <autoFilter ref="A33:F36"/>
  <sortState ref="A34:F36">
    <sortCondition descending="1" ref="D33:D36"/>
  </sortState>
  <tableColumns count="6">
    <tableColumn id="1" name="Non-Financial Scenarios" dataDxfId="22" dataCellStyle="Input"/>
    <tableColumn id="2" name="Impact" dataDxfId="21" dataCellStyle="Input"/>
    <tableColumn id="3" name="Likelihood" dataDxfId="20" dataCellStyle="Input"/>
    <tableColumn id="4" name="Risk Score" dataDxfId="19" dataCellStyle="Calculation">
      <calculatedColumnFormula>MATCH(B34,{"H","G","F","E","D","C","B","A"},0)+MATCH(C34, {1,2,3,4,5,6,7,8}, 0) - 1</calculatedColumnFormula>
    </tableColumn>
    <tableColumn id="5" name="Code for Letter" dataDxfId="18" dataCellStyle="Calculation">
      <calculatedColumnFormula>IF(ISERR(CODE(FAILURE_CODE_Non_Financial_scenarios22[Impact])), "", CODE(FAILURE_CODE_Non_Financial_scenarios22[Impact]))</calculatedColumnFormula>
    </tableColumn>
    <tableColumn id="6" name="Justification / Comment2" dataDxfId="17" dataCellStyle="Input"/>
  </tableColumns>
  <tableStyleInfo name="TableStyleLight11" showFirstColumn="0" showLastColumn="0" showRowStripes="1" showColumnStripes="0"/>
</table>
</file>

<file path=xl/tables/table17.xml><?xml version="1.0" encoding="utf-8"?>
<table xmlns="http://schemas.openxmlformats.org/spreadsheetml/2006/main" id="22" name="TypicalCriticalitiesMAHBarrier" displayName="TypicalCriticalitiesMAHBarrier" ref="N3:W309" totalsRowShown="0" headerRowBorderDxfId="16" tableBorderDxfId="15" headerRowCellStyle="Normal" dataCellStyle="Normal">
  <autoFilter ref="N3:W309"/>
  <tableColumns count="10">
    <tableColumn id="1" name="Barrier Family" dataCellStyle="Normal"/>
    <tableColumn id="2" name="Barrier Family Description" dataCellStyle="Normal"/>
    <tableColumn id="3" name="Typical Components" dataCellStyle="Normal"/>
    <tableColumn id="4" name="Typical Criticality" dataCellStyle="Normal"/>
    <tableColumn id="5" name="Barrier Family ID" dataCellStyle="Normal"/>
    <tableColumn id="8" name="Column2" dataCellStyle="Normal"/>
    <tableColumn id="6" name="Item No" dataCellStyle="Normal"/>
    <tableColumn id="7" name="FamilyList" dataCellStyle="Normal">
      <calculatedColumnFormula>IF($T4&lt;=Z$4,INDEX(TypicalCriticalitiesMAHBarrier[Barrier Family Description],MATCH($T4,TypicalCriticalitiesMAHBarrier[Barrier Family ID],0)),"")</calculatedColumnFormula>
    </tableColumn>
    <tableColumn id="9" name="ComponentList" dataCellStyle="Normal">
      <calculatedColumnFormula>IF($T4&lt;=AA$4,INDEX(TypicalCriticalitiesMAHBarrier[Typical Components],MATCH($T4,TypicalCriticalitiesMAHBarrier[Column2],0)),"")</calculatedColumnFormula>
    </tableColumn>
    <tableColumn id="10" name="Code" dataCellStyle="Normal">
      <calculatedColumnFormula>IF($T4&lt;=AA$4,INDEX(TypicalCriticalitiesMAHBarrier[Typical Criticality],MATCH($T4,TypicalCriticalitiesMAHBarrier[Column2],0)),"")</calculatedColumnFormula>
    </tableColumn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1" name="TestSystemsList" displayName="TestSystemsList" ref="A1:F201" totalsRowShown="0" headerRowDxfId="14" dataDxfId="12" headerRowBorderDxfId="13" tableBorderDxfId="11" totalsRowBorderDxfId="10" headerRowCellStyle="Normal_Sheet1" dataCellStyle="Normal_Sheet1">
  <autoFilter ref="A1:F201"/>
  <tableColumns count="6">
    <tableColumn id="1" name="Functional location" dataDxfId="9" dataCellStyle="Normal_Sheet1"/>
    <tableColumn id="2" name="Function Location Description" dataDxfId="8" dataCellStyle="Normal_Sheet1"/>
    <tableColumn id="3" name="System No" dataDxfId="7" dataCellStyle="Normal_Sheet1"/>
    <tableColumn id="4" name="Tag Abbreviation" dataDxfId="6" dataCellStyle="Normal_Sheet1"/>
    <tableColumn id="5" name="Utilities System YorN" dataDxfId="5" dataCellStyle="Normal_Sheet1"/>
    <tableColumn id="6" name="Comment" dataDxfId="4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10" name="DisciplinesList" displayName="DisciplinesList" ref="C3:C15" tableType="queryTable" totalsRowShown="0">
  <autoFilter ref="C3:C15"/>
  <tableColumns count="1">
    <tableColumn id="1" uniqueName="1" name="Discipline" queryTableFieldId="1" dataDxfId="3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id="13" name="TestFullTags" displayName="TestFullTags" ref="C2:M25" totalsRowShown="0" headerRowDxfId="2" headerRowBorderDxfId="1" tableBorderDxfId="0">
  <autoFilter ref="C2:M25"/>
  <tableColumns count="11">
    <tableColumn id="1" name="Functional location"/>
    <tableColumn id="2" name="Function Location Description"/>
    <tableColumn id="3" name="Object type2"/>
    <tableColumn id="4" name="STATUS"/>
    <tableColumn id="5" name="UMCL PLUS"/>
    <tableColumn id="6" name="ISO CODE"/>
    <tableColumn id="7" name="SIL Input"/>
    <tableColumn id="8" name="SIL Output"/>
    <tableColumn id="9" name="SIS Tag Abbreviation"/>
    <tableColumn id="10" name="Discipline"/>
    <tableColumn id="11" name="SYSTEMI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table" Target="../tables/table11.xml"/><Relationship Id="rId1" Type="http://schemas.openxmlformats.org/officeDocument/2006/relationships/vmlDrawing" Target="../drawings/vmlDrawing5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X56"/>
  <sheetViews>
    <sheetView workbookViewId="0">
      <selection activeCell="B15" sqref="B15"/>
    </sheetView>
  </sheetViews>
  <sheetFormatPr defaultRowHeight="15" x14ac:dyDescent="0.25"/>
  <cols>
    <col min="2" max="2" width="11" customWidth="1"/>
    <col min="3" max="10" width="6.28515625" customWidth="1"/>
    <col min="11" max="11" width="5" customWidth="1"/>
    <col min="12" max="12" width="10.140625" bestFit="1" customWidth="1"/>
  </cols>
  <sheetData>
    <row r="3" spans="2:24" x14ac:dyDescent="0.25">
      <c r="C3" s="8" t="s">
        <v>17</v>
      </c>
      <c r="D3" s="8"/>
      <c r="E3" s="8"/>
      <c r="F3" s="8"/>
      <c r="G3" s="8"/>
      <c r="H3" s="8"/>
      <c r="I3" s="8"/>
      <c r="J3" s="8"/>
      <c r="L3" s="10" t="s">
        <v>33</v>
      </c>
      <c r="M3" s="10"/>
      <c r="N3" s="10"/>
      <c r="O3" s="10"/>
      <c r="S3" s="11" t="s">
        <v>72</v>
      </c>
      <c r="T3" s="11"/>
      <c r="W3" s="11" t="s">
        <v>34</v>
      </c>
      <c r="X3" s="11"/>
    </row>
    <row r="4" spans="2:24" x14ac:dyDescent="0.25">
      <c r="B4" s="2" t="s">
        <v>8</v>
      </c>
      <c r="C4" s="5" t="s">
        <v>9</v>
      </c>
      <c r="D4" s="5" t="s">
        <v>10</v>
      </c>
      <c r="E4" s="5" t="s">
        <v>11</v>
      </c>
      <c r="F4" s="5" t="s">
        <v>12</v>
      </c>
      <c r="G4" s="5" t="s">
        <v>13</v>
      </c>
      <c r="H4" s="5" t="s">
        <v>14</v>
      </c>
      <c r="I4" s="5" t="s">
        <v>15</v>
      </c>
      <c r="J4" s="5" t="s">
        <v>16</v>
      </c>
      <c r="L4" s="7" t="s">
        <v>21</v>
      </c>
      <c r="M4" s="6" t="s">
        <v>32</v>
      </c>
      <c r="N4" s="6" t="s">
        <v>31</v>
      </c>
      <c r="O4" s="9" t="s">
        <v>37</v>
      </c>
      <c r="S4" s="7" t="s">
        <v>21</v>
      </c>
      <c r="T4" s="9" t="s">
        <v>36</v>
      </c>
      <c r="W4" s="9" t="s">
        <v>35</v>
      </c>
    </row>
    <row r="5" spans="2:24" ht="27" customHeight="1" x14ac:dyDescent="0.25">
      <c r="B5" s="3" t="s">
        <v>0</v>
      </c>
      <c r="C5" s="2">
        <f t="shared" ref="C5:C10" si="0">C6+1</f>
        <v>8</v>
      </c>
      <c r="D5" s="2">
        <f t="shared" ref="D5:J5" si="1">C5+1</f>
        <v>9</v>
      </c>
      <c r="E5" s="2">
        <f t="shared" si="1"/>
        <v>10</v>
      </c>
      <c r="F5" s="2">
        <f t="shared" si="1"/>
        <v>11</v>
      </c>
      <c r="G5" s="2">
        <f t="shared" si="1"/>
        <v>12</v>
      </c>
      <c r="H5" s="2">
        <f t="shared" si="1"/>
        <v>13</v>
      </c>
      <c r="I5" s="2">
        <f t="shared" si="1"/>
        <v>14</v>
      </c>
      <c r="J5" s="2">
        <f t="shared" si="1"/>
        <v>15</v>
      </c>
    </row>
    <row r="6" spans="2:24" ht="27" customHeight="1" thickBot="1" x14ac:dyDescent="0.3">
      <c r="B6" s="3" t="s">
        <v>1</v>
      </c>
      <c r="C6" s="2">
        <f t="shared" si="0"/>
        <v>7</v>
      </c>
      <c r="D6" s="2">
        <f t="shared" ref="D6:J6" si="2">C6+1</f>
        <v>8</v>
      </c>
      <c r="E6" s="2">
        <f t="shared" si="2"/>
        <v>9</v>
      </c>
      <c r="F6" s="2">
        <f t="shared" si="2"/>
        <v>10</v>
      </c>
      <c r="G6" s="2">
        <f t="shared" si="2"/>
        <v>11</v>
      </c>
      <c r="H6" s="2">
        <f t="shared" si="2"/>
        <v>12</v>
      </c>
      <c r="I6" s="2">
        <f t="shared" si="2"/>
        <v>13</v>
      </c>
      <c r="J6" s="2">
        <f t="shared" si="2"/>
        <v>14</v>
      </c>
      <c r="M6" t="s">
        <v>8</v>
      </c>
      <c r="N6" t="s">
        <v>17</v>
      </c>
      <c r="O6" t="s">
        <v>20</v>
      </c>
      <c r="P6" t="s">
        <v>18</v>
      </c>
      <c r="Q6" t="s">
        <v>19</v>
      </c>
      <c r="S6" t="s">
        <v>20</v>
      </c>
      <c r="T6" t="s">
        <v>18</v>
      </c>
      <c r="U6" t="s">
        <v>19</v>
      </c>
      <c r="W6" t="s">
        <v>38</v>
      </c>
      <c r="X6" t="s">
        <v>19</v>
      </c>
    </row>
    <row r="7" spans="2:24" ht="27" customHeight="1" thickTop="1" thickBot="1" x14ac:dyDescent="0.3">
      <c r="B7" s="3" t="s">
        <v>2</v>
      </c>
      <c r="C7" s="2">
        <f t="shared" si="0"/>
        <v>6</v>
      </c>
      <c r="D7" s="2">
        <f t="shared" ref="D7:J7" si="3">C7+1</f>
        <v>7</v>
      </c>
      <c r="E7" s="2">
        <f t="shared" si="3"/>
        <v>8</v>
      </c>
      <c r="F7" s="2">
        <f t="shared" si="3"/>
        <v>9</v>
      </c>
      <c r="G7" s="2">
        <f t="shared" si="3"/>
        <v>10</v>
      </c>
      <c r="H7" s="2">
        <f t="shared" si="3"/>
        <v>11</v>
      </c>
      <c r="I7" s="2">
        <f t="shared" si="3"/>
        <v>12</v>
      </c>
      <c r="J7" s="2">
        <f t="shared" si="3"/>
        <v>13</v>
      </c>
      <c r="L7" s="111" t="s">
        <v>26</v>
      </c>
      <c r="M7" s="4" t="s">
        <v>0</v>
      </c>
      <c r="N7" s="4">
        <v>8</v>
      </c>
      <c r="O7" s="7">
        <f>MATCH(M7,{"H","G","F","E","D","C","B","A"},0)+MATCH(N7, {1,2,3,4,5,6,7,8}, 0) - 1</f>
        <v>15</v>
      </c>
      <c r="P7">
        <f t="shared" ref="P7:P12" si="4">T7</f>
        <v>15</v>
      </c>
      <c r="Q7" s="1" t="str">
        <f t="shared" ref="Q7:Q12" si="5">IF(P7=O7,"pass","fail")</f>
        <v>pass</v>
      </c>
      <c r="S7" s="7">
        <f>MATCH(M7,{"H","G","F","E","D","C","B","A"},0)+N7-1</f>
        <v>15</v>
      </c>
      <c r="T7">
        <v>15</v>
      </c>
      <c r="U7" s="1" t="str">
        <f t="shared" ref="U7:U12" si="6">IF(T7=S7,"pass","fail")</f>
        <v>pass</v>
      </c>
      <c r="W7" s="12">
        <f>VLOOKUP(M7,RiskManagementMatrix[],N7+1,)</f>
        <v>15</v>
      </c>
      <c r="X7" s="1" t="str">
        <f t="shared" ref="X7:X12" si="7">IF(W7=T7,"pass","fail")</f>
        <v>pass</v>
      </c>
    </row>
    <row r="8" spans="2:24" ht="27" customHeight="1" thickTop="1" thickBot="1" x14ac:dyDescent="0.3">
      <c r="B8" s="3" t="s">
        <v>3</v>
      </c>
      <c r="C8" s="2">
        <f t="shared" si="0"/>
        <v>5</v>
      </c>
      <c r="D8" s="2">
        <f t="shared" ref="D8:J8" si="8">C8+1</f>
        <v>6</v>
      </c>
      <c r="E8" s="2">
        <f t="shared" si="8"/>
        <v>7</v>
      </c>
      <c r="F8" s="2">
        <f t="shared" si="8"/>
        <v>8</v>
      </c>
      <c r="G8" s="2">
        <f t="shared" si="8"/>
        <v>9</v>
      </c>
      <c r="H8" s="2">
        <f t="shared" si="8"/>
        <v>10</v>
      </c>
      <c r="I8" s="2">
        <f t="shared" si="8"/>
        <v>11</v>
      </c>
      <c r="J8" s="2">
        <f t="shared" si="8"/>
        <v>12</v>
      </c>
      <c r="L8" s="111"/>
      <c r="M8" s="4" t="s">
        <v>5</v>
      </c>
      <c r="N8" s="4">
        <v>1</v>
      </c>
      <c r="O8" s="7">
        <f>MATCH(M8,{"H","G","F","E","D","C","B","A"},0)+MATCH(N8, {1,2,3,4,5,6,7,8}, 0) - 1</f>
        <v>3</v>
      </c>
      <c r="P8">
        <f t="shared" si="4"/>
        <v>3</v>
      </c>
      <c r="Q8" s="1" t="str">
        <f t="shared" si="5"/>
        <v>pass</v>
      </c>
      <c r="S8" s="7">
        <f>MATCH(M8,{"H","G","F","E","D","C","B","A"},0)+N8-1</f>
        <v>3</v>
      </c>
      <c r="T8">
        <v>3</v>
      </c>
      <c r="U8" s="1" t="str">
        <f t="shared" si="6"/>
        <v>pass</v>
      </c>
      <c r="W8" s="12">
        <f>VLOOKUP(M8,RiskManagementMatrix[],N8+1,)</f>
        <v>3</v>
      </c>
      <c r="X8" s="1" t="str">
        <f t="shared" si="7"/>
        <v>pass</v>
      </c>
    </row>
    <row r="9" spans="2:24" ht="27" customHeight="1" thickTop="1" thickBot="1" x14ac:dyDescent="0.3">
      <c r="B9" s="3" t="s">
        <v>4</v>
      </c>
      <c r="C9" s="2">
        <f t="shared" si="0"/>
        <v>4</v>
      </c>
      <c r="D9" s="2">
        <f t="shared" ref="D9:J9" si="9">C9+1</f>
        <v>5</v>
      </c>
      <c r="E9" s="2">
        <f t="shared" si="9"/>
        <v>6</v>
      </c>
      <c r="F9" s="2">
        <f t="shared" si="9"/>
        <v>7</v>
      </c>
      <c r="G9" s="2">
        <f t="shared" si="9"/>
        <v>8</v>
      </c>
      <c r="H9" s="2">
        <f t="shared" si="9"/>
        <v>9</v>
      </c>
      <c r="I9" s="2">
        <f t="shared" si="9"/>
        <v>10</v>
      </c>
      <c r="J9" s="2">
        <f t="shared" si="9"/>
        <v>11</v>
      </c>
      <c r="L9" s="111"/>
      <c r="M9" s="4" t="s">
        <v>3</v>
      </c>
      <c r="N9" s="4">
        <v>4</v>
      </c>
      <c r="O9" s="7">
        <f>MATCH(M9,{"H","G","F","E","D","C","B","A"},0)+MATCH(N9, {1,2,3,4,5,6,7,8}, 0) - 1</f>
        <v>8</v>
      </c>
      <c r="P9">
        <f t="shared" si="4"/>
        <v>8</v>
      </c>
      <c r="Q9" s="1" t="str">
        <f t="shared" si="5"/>
        <v>pass</v>
      </c>
      <c r="S9" s="7">
        <f>MATCH(M9,{"H","G","F","E","D","C","B","A"},0)+N9-1</f>
        <v>8</v>
      </c>
      <c r="T9">
        <v>8</v>
      </c>
      <c r="U9" s="1" t="str">
        <f t="shared" si="6"/>
        <v>pass</v>
      </c>
      <c r="W9" s="12">
        <f>VLOOKUP(M9,RiskManagementMatrix[],N9+1,)</f>
        <v>8</v>
      </c>
      <c r="X9" s="1" t="str">
        <f t="shared" si="7"/>
        <v>pass</v>
      </c>
    </row>
    <row r="10" spans="2:24" ht="27" customHeight="1" thickTop="1" thickBot="1" x14ac:dyDescent="0.3">
      <c r="B10" s="3" t="s">
        <v>5</v>
      </c>
      <c r="C10" s="2">
        <f t="shared" si="0"/>
        <v>3</v>
      </c>
      <c r="D10" s="2">
        <f t="shared" ref="D10:J10" si="10">C10+1</f>
        <v>4</v>
      </c>
      <c r="E10" s="2">
        <f t="shared" si="10"/>
        <v>5</v>
      </c>
      <c r="F10" s="2">
        <f t="shared" si="10"/>
        <v>6</v>
      </c>
      <c r="G10" s="2">
        <f t="shared" si="10"/>
        <v>7</v>
      </c>
      <c r="H10" s="2">
        <f t="shared" si="10"/>
        <v>8</v>
      </c>
      <c r="I10" s="2">
        <f t="shared" si="10"/>
        <v>9</v>
      </c>
      <c r="J10" s="2">
        <f t="shared" si="10"/>
        <v>10</v>
      </c>
      <c r="L10" s="111"/>
      <c r="M10" s="4" t="s">
        <v>7</v>
      </c>
      <c r="N10" s="4">
        <v>1</v>
      </c>
      <c r="O10" s="7">
        <f>MATCH(M10,{"H","G","F","E","D","C","B","A"},0)+MATCH(N10, {1,2,3,4,5,6,7,8}, 0) - 1</f>
        <v>1</v>
      </c>
      <c r="P10">
        <f t="shared" si="4"/>
        <v>1</v>
      </c>
      <c r="Q10" s="1" t="str">
        <f t="shared" si="5"/>
        <v>pass</v>
      </c>
      <c r="S10" s="7">
        <f>MATCH(M10,{"H","G","F","E","D","C","B","A"},0)+N10-1</f>
        <v>1</v>
      </c>
      <c r="T10">
        <v>1</v>
      </c>
      <c r="U10" s="1" t="str">
        <f t="shared" si="6"/>
        <v>pass</v>
      </c>
      <c r="W10" s="12">
        <f>VLOOKUP(M10,RiskManagementMatrix[],N10+1,)</f>
        <v>1</v>
      </c>
      <c r="X10" s="1" t="str">
        <f t="shared" si="7"/>
        <v>pass</v>
      </c>
    </row>
    <row r="11" spans="2:24" ht="27" customHeight="1" thickTop="1" thickBot="1" x14ac:dyDescent="0.3">
      <c r="B11" s="3" t="s">
        <v>6</v>
      </c>
      <c r="C11" s="2">
        <f>C12+1</f>
        <v>2</v>
      </c>
      <c r="D11" s="2">
        <f t="shared" ref="D11:J11" si="11">C11+1</f>
        <v>3</v>
      </c>
      <c r="E11" s="2">
        <f t="shared" si="11"/>
        <v>4</v>
      </c>
      <c r="F11" s="2">
        <f t="shared" si="11"/>
        <v>5</v>
      </c>
      <c r="G11" s="2">
        <f t="shared" si="11"/>
        <v>6</v>
      </c>
      <c r="H11" s="2">
        <f t="shared" si="11"/>
        <v>7</v>
      </c>
      <c r="I11" s="2">
        <f t="shared" si="11"/>
        <v>8</v>
      </c>
      <c r="J11" s="2">
        <f t="shared" si="11"/>
        <v>9</v>
      </c>
      <c r="L11" s="111"/>
      <c r="M11" s="4" t="s">
        <v>634</v>
      </c>
      <c r="N11" s="4">
        <v>1</v>
      </c>
      <c r="O11" s="7">
        <f>MATCH(M11,{"H","G","F","E","D","C","B","A"},0)+MATCH(N11, {1,2,3,4,5,6,7,8}, 0) - 1</f>
        <v>8</v>
      </c>
      <c r="P11">
        <f t="shared" si="4"/>
        <v>8</v>
      </c>
      <c r="Q11" s="1" t="str">
        <f t="shared" si="5"/>
        <v>pass</v>
      </c>
      <c r="S11" s="7">
        <f>MATCH(M11,{"H","G","F","E","D","C","B","A"},0)+N11-1</f>
        <v>8</v>
      </c>
      <c r="T11">
        <v>8</v>
      </c>
      <c r="U11" s="1" t="str">
        <f t="shared" si="6"/>
        <v>pass</v>
      </c>
      <c r="W11" s="12">
        <f>VLOOKUP(M11,RiskManagementMatrix[],N11+1,)</f>
        <v>8</v>
      </c>
      <c r="X11" s="1" t="str">
        <f t="shared" si="7"/>
        <v>pass</v>
      </c>
    </row>
    <row r="12" spans="2:24" ht="27" customHeight="1" thickTop="1" thickBot="1" x14ac:dyDescent="0.3">
      <c r="B12" s="3" t="s">
        <v>7</v>
      </c>
      <c r="C12" s="2">
        <v>1</v>
      </c>
      <c r="D12" s="2">
        <f>C12+1</f>
        <v>2</v>
      </c>
      <c r="E12" s="2">
        <f t="shared" ref="E12:J12" si="12">D12+1</f>
        <v>3</v>
      </c>
      <c r="F12" s="2">
        <f t="shared" si="12"/>
        <v>4</v>
      </c>
      <c r="G12" s="2">
        <f t="shared" si="12"/>
        <v>5</v>
      </c>
      <c r="H12" s="2">
        <f t="shared" si="12"/>
        <v>6</v>
      </c>
      <c r="I12" s="2">
        <f t="shared" si="12"/>
        <v>7</v>
      </c>
      <c r="J12" s="2">
        <f t="shared" si="12"/>
        <v>8</v>
      </c>
      <c r="L12" s="111"/>
      <c r="M12" s="4" t="s">
        <v>109</v>
      </c>
      <c r="N12" s="4">
        <v>7</v>
      </c>
      <c r="O12" s="7">
        <f>MATCH(M12,{"H","G","F","E","D","C","B","A"},0)+MATCH(N12, {1,2,3,4,5,6,7,8}, 0) - 1</f>
        <v>8</v>
      </c>
      <c r="P12">
        <f t="shared" si="4"/>
        <v>8</v>
      </c>
      <c r="Q12" s="1" t="str">
        <f t="shared" si="5"/>
        <v>pass</v>
      </c>
      <c r="S12" s="7">
        <f>MATCH(M12,{"H","G","F","E","D","C","B","A"},0)+N12-1</f>
        <v>8</v>
      </c>
      <c r="T12">
        <v>8</v>
      </c>
      <c r="U12" s="1" t="str">
        <f t="shared" si="6"/>
        <v>pass</v>
      </c>
      <c r="W12" s="12">
        <f>VLOOKUP(M12,RiskManagementMatrix[],N12+1,)</f>
        <v>8</v>
      </c>
      <c r="X12" s="1" t="str">
        <f t="shared" si="7"/>
        <v>pass</v>
      </c>
    </row>
    <row r="13" spans="2:24" ht="15.75" thickTop="1" x14ac:dyDescent="0.25">
      <c r="L13" t="s">
        <v>24</v>
      </c>
    </row>
    <row r="14" spans="2:24" ht="15.75" thickBot="1" x14ac:dyDescent="0.3">
      <c r="B14" t="s">
        <v>39</v>
      </c>
      <c r="P14" t="s">
        <v>23</v>
      </c>
      <c r="T14" t="s">
        <v>23</v>
      </c>
    </row>
    <row r="15" spans="2:24" ht="16.5" thickTop="1" thickBot="1" x14ac:dyDescent="0.3">
      <c r="B15" t="s">
        <v>151</v>
      </c>
      <c r="L15" s="111" t="s">
        <v>27</v>
      </c>
      <c r="M15" s="4" t="s">
        <v>0</v>
      </c>
      <c r="N15" s="4">
        <v>9</v>
      </c>
      <c r="O15" s="7" t="e">
        <f>MATCH(M15,{"H","G","F","E","D","C","B","A"},0)+MATCH(N15, {1,2,3,4,5,6,7,8}, 0) - 1</f>
        <v>#N/A</v>
      </c>
      <c r="P15" t="e">
        <v>#N/A</v>
      </c>
      <c r="Q15" s="1" t="str">
        <f>IF(ISNA(O15), "OK", "error")</f>
        <v>OK</v>
      </c>
      <c r="S15" s="7">
        <f>MATCH(M15,{"H","G","F","E","D","C","B","A"},0)+N15-1</f>
        <v>16</v>
      </c>
      <c r="T15" t="e">
        <v>#N/A</v>
      </c>
      <c r="U15" s="1" t="str">
        <f>IF(ISNA(S15), "OK", "error")</f>
        <v>error</v>
      </c>
      <c r="W15" s="12" t="e">
        <f>VLOOKUP(M15,RiskManagementMatrix[],N15+1,)</f>
        <v>#REF!</v>
      </c>
      <c r="X15" s="1" t="str">
        <f>IF(ISNA(W15), "OK", "error")</f>
        <v>error</v>
      </c>
    </row>
    <row r="16" spans="2:24" ht="16.5" thickTop="1" thickBot="1" x14ac:dyDescent="0.3">
      <c r="L16" s="111"/>
      <c r="M16" s="4" t="s">
        <v>22</v>
      </c>
      <c r="N16" s="4">
        <v>1</v>
      </c>
      <c r="O16" s="7" t="e">
        <f>MATCH(M16,{"H","G","F","E","D","C","B","A"},0)+MATCH(N16, {1,2,3,4,5,6,7,8}, 0) - 1</f>
        <v>#N/A</v>
      </c>
      <c r="P16" t="e">
        <v>#N/A</v>
      </c>
      <c r="Q16" s="1" t="str">
        <f t="shared" ref="Q16:Q24" si="13">IF(ISNA(O16), "OK", "error")</f>
        <v>OK</v>
      </c>
      <c r="S16" s="7" t="e">
        <f>MATCH(M16,{"H","G","F","E","D","C","B","A"},0)+N16-1</f>
        <v>#N/A</v>
      </c>
      <c r="T16" t="e">
        <v>#N/A</v>
      </c>
      <c r="U16" s="1" t="str">
        <f t="shared" ref="U16:U24" si="14">IF(ISNA(S16), "OK", "error")</f>
        <v>OK</v>
      </c>
      <c r="W16" s="12" t="e">
        <f>VLOOKUP(M16,RiskManagementMatrix[],N16+1,)</f>
        <v>#N/A</v>
      </c>
      <c r="X16" s="1" t="str">
        <f t="shared" ref="X16:X24" si="15">IF(ISNA(W16), "OK", "error")</f>
        <v>OK</v>
      </c>
    </row>
    <row r="17" spans="2:24" ht="16.5" thickTop="1" thickBot="1" x14ac:dyDescent="0.3">
      <c r="L17" s="111"/>
      <c r="M17" s="4" t="s">
        <v>6</v>
      </c>
      <c r="N17" s="4">
        <v>0</v>
      </c>
      <c r="O17" s="7" t="e">
        <f>MATCH(M17,{"H","G","F","E","D","C","B","A"},0)+MATCH(N17, {1,2,3,4,5,6,7,8}, 0) - 1</f>
        <v>#N/A</v>
      </c>
      <c r="P17" t="e">
        <v>#N/A</v>
      </c>
      <c r="Q17" s="1" t="str">
        <f t="shared" si="13"/>
        <v>OK</v>
      </c>
      <c r="S17" s="7">
        <f>MATCH(M17,{"H","G","F","E","D","C","B","A"},0)+N17-1</f>
        <v>1</v>
      </c>
      <c r="T17" t="e">
        <v>#N/A</v>
      </c>
      <c r="U17" s="1" t="str">
        <f t="shared" si="14"/>
        <v>error</v>
      </c>
      <c r="W17" s="12" t="str">
        <f>VLOOKUP(M17,RiskManagementMatrix[],N17+1,)</f>
        <v>G</v>
      </c>
      <c r="X17" s="1" t="str">
        <f t="shared" si="15"/>
        <v>error</v>
      </c>
    </row>
    <row r="18" spans="2:24" ht="16.5" thickTop="1" thickBot="1" x14ac:dyDescent="0.3">
      <c r="L18" s="111"/>
      <c r="M18" s="4" t="s">
        <v>25</v>
      </c>
      <c r="N18" s="4">
        <v>8</v>
      </c>
      <c r="O18" s="7" t="e">
        <f>MATCH(M18,{"H","G","F","E","D","C","B","A"},0)+MATCH(N18, {1,2,3,4,5,6,7,8}, 0) - 1</f>
        <v>#N/A</v>
      </c>
      <c r="P18" t="e">
        <v>#N/A</v>
      </c>
      <c r="Q18" s="1" t="str">
        <f t="shared" si="13"/>
        <v>OK</v>
      </c>
      <c r="S18" s="7" t="e">
        <f>MATCH(M18,{"H","G","F","E","D","C","B","A"},0)+N18-1</f>
        <v>#N/A</v>
      </c>
      <c r="T18" t="e">
        <v>#N/A</v>
      </c>
      <c r="U18" s="1" t="str">
        <f t="shared" si="14"/>
        <v>OK</v>
      </c>
      <c r="W18" s="12" t="e">
        <f>VLOOKUP(M18,RiskManagementMatrix[],N18+1,)</f>
        <v>#N/A</v>
      </c>
      <c r="X18" s="1" t="str">
        <f t="shared" si="15"/>
        <v>OK</v>
      </c>
    </row>
    <row r="19" spans="2:24" ht="16.5" thickTop="1" thickBot="1" x14ac:dyDescent="0.3">
      <c r="L19" s="111"/>
      <c r="M19" s="4">
        <v>4</v>
      </c>
      <c r="N19" s="4" t="s">
        <v>2</v>
      </c>
      <c r="O19" s="7" t="e">
        <f>MATCH(M19,{"H","G","F","E","D","C","B","A"},0)+MATCH(N19, {1,2,3,4,5,6,7,8}, 0) - 1</f>
        <v>#N/A</v>
      </c>
      <c r="P19" t="e">
        <v>#N/A</v>
      </c>
      <c r="Q19" s="1" t="str">
        <f t="shared" si="13"/>
        <v>OK</v>
      </c>
      <c r="S19" s="7" t="e">
        <f>MATCH(M19,{"H","G","F","E","D","C","B","A"},0)+N19-1</f>
        <v>#N/A</v>
      </c>
      <c r="T19" t="e">
        <v>#N/A</v>
      </c>
      <c r="U19" s="1" t="str">
        <f t="shared" si="14"/>
        <v>OK</v>
      </c>
      <c r="W19" s="12" t="e">
        <f>VLOOKUP(M19,RiskManagementMatrix[],N19+1,)</f>
        <v>#VALUE!</v>
      </c>
      <c r="X19" s="1" t="str">
        <f t="shared" si="15"/>
        <v>error</v>
      </c>
    </row>
    <row r="20" spans="2:24" ht="16.5" thickTop="1" thickBot="1" x14ac:dyDescent="0.3">
      <c r="L20" s="111"/>
      <c r="M20" s="4" t="s">
        <v>28</v>
      </c>
      <c r="N20" s="4">
        <v>5</v>
      </c>
      <c r="O20" s="7" t="e">
        <f>MATCH(M20,{"H","G","F","E","D","C","B","A"},0)+MATCH(N20, {1,2,3,4,5,6,7,8}, 0) - 1</f>
        <v>#N/A</v>
      </c>
      <c r="P20" t="e">
        <v>#N/A</v>
      </c>
      <c r="Q20" s="1" t="str">
        <f t="shared" si="13"/>
        <v>OK</v>
      </c>
      <c r="S20" s="7" t="e">
        <f>MATCH(M20,{"H","G","F","E","D","C","B","A"},0)+N20-1</f>
        <v>#N/A</v>
      </c>
      <c r="T20" t="e">
        <v>#N/A</v>
      </c>
      <c r="U20" s="1" t="str">
        <f t="shared" si="14"/>
        <v>OK</v>
      </c>
      <c r="W20" s="12" t="e">
        <f>VLOOKUP(M20,RiskManagementMatrix[],N20+1,)</f>
        <v>#N/A</v>
      </c>
      <c r="X20" s="1" t="str">
        <f t="shared" si="15"/>
        <v>OK</v>
      </c>
    </row>
    <row r="21" spans="2:24" ht="16.5" thickTop="1" thickBot="1" x14ac:dyDescent="0.3">
      <c r="L21" s="111"/>
      <c r="M21" s="4" t="s">
        <v>29</v>
      </c>
      <c r="N21" s="4">
        <v>0.1</v>
      </c>
      <c r="O21" s="7" t="e">
        <f>MATCH(M21,{"H","G","F","E","D","C","B","A"},0)+MATCH(N21, {1,2,3,4,5,6,7,8}, 0) - 1</f>
        <v>#N/A</v>
      </c>
      <c r="P21" t="e">
        <v>#N/A</v>
      </c>
      <c r="Q21" s="1" t="str">
        <f t="shared" si="13"/>
        <v>OK</v>
      </c>
      <c r="S21" s="7" t="e">
        <f>MATCH(M21,{"H","G","F","E","D","C","B","A"},0)+N21-1</f>
        <v>#N/A</v>
      </c>
      <c r="T21" t="e">
        <v>#N/A</v>
      </c>
      <c r="U21" s="1" t="str">
        <f t="shared" si="14"/>
        <v>OK</v>
      </c>
      <c r="W21" s="12" t="e">
        <f>VLOOKUP(M21,RiskManagementMatrix[],N21+1,)</f>
        <v>#N/A</v>
      </c>
      <c r="X21" s="1" t="str">
        <f t="shared" si="15"/>
        <v>OK</v>
      </c>
    </row>
    <row r="22" spans="2:24" ht="16.5" thickTop="1" thickBot="1" x14ac:dyDescent="0.3">
      <c r="L22" s="111"/>
      <c r="M22" s="4"/>
      <c r="N22" s="4">
        <v>2</v>
      </c>
      <c r="O22" s="7" t="e">
        <f>MATCH(M22,{"H","G","F","E","D","C","B","A"},0)+MATCH(N22, {1,2,3,4,5,6,7,8}, 0) - 1</f>
        <v>#N/A</v>
      </c>
      <c r="P22" t="e">
        <v>#N/A</v>
      </c>
      <c r="Q22" s="1" t="str">
        <f t="shared" si="13"/>
        <v>OK</v>
      </c>
      <c r="S22" s="7" t="e">
        <f>MATCH(M22,{"H","G","F","E","D","C","B","A"},0)+N22-1</f>
        <v>#N/A</v>
      </c>
      <c r="T22" t="e">
        <v>#N/A</v>
      </c>
      <c r="U22" s="1" t="str">
        <f t="shared" si="14"/>
        <v>OK</v>
      </c>
      <c r="W22" s="12" t="e">
        <f>VLOOKUP(M22,RiskManagementMatrix[],N22+1,)</f>
        <v>#N/A</v>
      </c>
      <c r="X22" s="1" t="str">
        <f t="shared" si="15"/>
        <v>OK</v>
      </c>
    </row>
    <row r="23" spans="2:24" ht="16.5" thickTop="1" thickBot="1" x14ac:dyDescent="0.3">
      <c r="L23" s="111"/>
      <c r="M23" s="4"/>
      <c r="N23" s="4"/>
      <c r="O23" s="7" t="e">
        <f>MATCH(M23,{"H","G","F","E","D","C","B","A"},0)+MATCH(N23, {1,2,3,4,5,6,7,8}, 0) - 1</f>
        <v>#N/A</v>
      </c>
      <c r="P23" t="e">
        <v>#N/A</v>
      </c>
      <c r="Q23" s="1" t="str">
        <f t="shared" si="13"/>
        <v>OK</v>
      </c>
      <c r="S23" s="7" t="e">
        <f>MATCH(M23,{"H","G","F","E","D","C","B","A"},0)+N23-1</f>
        <v>#N/A</v>
      </c>
      <c r="T23" t="e">
        <v>#N/A</v>
      </c>
      <c r="U23" s="1" t="str">
        <f t="shared" si="14"/>
        <v>OK</v>
      </c>
      <c r="W23" s="12" t="e">
        <f>VLOOKUP(M23,RiskManagementMatrix[],N23+1,)</f>
        <v>#N/A</v>
      </c>
      <c r="X23" s="1" t="str">
        <f t="shared" si="15"/>
        <v>OK</v>
      </c>
    </row>
    <row r="24" spans="2:24" ht="16.5" thickTop="1" thickBot="1" x14ac:dyDescent="0.3">
      <c r="L24" s="111"/>
      <c r="M24" s="4" t="s">
        <v>30</v>
      </c>
      <c r="N24" s="4"/>
      <c r="O24" s="7" t="e">
        <f>MATCH(M24,{"H","G","F","E","D","C","B","A"},0)+MATCH(N24, {1,2,3,4,5,6,7,8}, 0) - 1</f>
        <v>#N/A</v>
      </c>
      <c r="P24" t="e">
        <v>#N/A</v>
      </c>
      <c r="Q24" s="1" t="str">
        <f t="shared" si="13"/>
        <v>OK</v>
      </c>
      <c r="S24" s="7" t="e">
        <f>MATCH(M24,{"H","G","F","E","D","C","B","A"},0)+N24-1</f>
        <v>#N/A</v>
      </c>
      <c r="T24" t="e">
        <v>#N/A</v>
      </c>
      <c r="U24" s="1" t="str">
        <f t="shared" si="14"/>
        <v>OK</v>
      </c>
      <c r="W24" s="12" t="e">
        <f>VLOOKUP(M24,RiskManagementMatrix[],N24+1,)</f>
        <v>#N/A</v>
      </c>
      <c r="X24" s="1" t="str">
        <f t="shared" si="15"/>
        <v>OK</v>
      </c>
    </row>
    <row r="25" spans="2:24" ht="15.75" thickTop="1" x14ac:dyDescent="0.25"/>
    <row r="30" spans="2:24" x14ac:dyDescent="0.25">
      <c r="B30" t="s">
        <v>153</v>
      </c>
      <c r="L30" s="4" t="s">
        <v>45</v>
      </c>
      <c r="M30" s="4" t="s">
        <v>45</v>
      </c>
      <c r="N30" s="4" t="s">
        <v>45</v>
      </c>
      <c r="O30" s="4" t="s">
        <v>45</v>
      </c>
      <c r="P30" s="4" t="s">
        <v>45</v>
      </c>
      <c r="Q30" s="4" t="s">
        <v>45</v>
      </c>
      <c r="S30" s="4" t="s">
        <v>45</v>
      </c>
      <c r="T30" s="4" t="s">
        <v>45</v>
      </c>
    </row>
    <row r="31" spans="2:24" x14ac:dyDescent="0.25">
      <c r="B31" t="s">
        <v>156</v>
      </c>
      <c r="D31" s="2"/>
      <c r="E31" s="2"/>
      <c r="F31" s="2"/>
      <c r="G31" s="2"/>
      <c r="H31" s="2"/>
      <c r="I31" s="2"/>
      <c r="J31" s="2"/>
      <c r="L31" s="4" t="s">
        <v>1</v>
      </c>
      <c r="M31" s="4" t="s">
        <v>1</v>
      </c>
      <c r="N31" s="4" t="s">
        <v>1</v>
      </c>
      <c r="O31" s="4" t="s">
        <v>1</v>
      </c>
      <c r="P31" s="4" t="s">
        <v>24</v>
      </c>
      <c r="Q31" s="4"/>
      <c r="S31" s="4">
        <v>1</v>
      </c>
      <c r="T31" s="4" t="s">
        <v>55</v>
      </c>
    </row>
    <row r="32" spans="2:24" x14ac:dyDescent="0.25">
      <c r="B32" t="s">
        <v>157</v>
      </c>
      <c r="D32" s="2"/>
      <c r="E32" s="2"/>
      <c r="F32" s="2"/>
      <c r="G32" s="2"/>
      <c r="H32" s="2"/>
      <c r="I32" s="2"/>
      <c r="J32" s="2"/>
      <c r="L32" s="4" t="s">
        <v>3</v>
      </c>
      <c r="M32" s="4" t="s">
        <v>0</v>
      </c>
      <c r="N32" s="4" t="s">
        <v>3</v>
      </c>
      <c r="O32" s="4" t="s">
        <v>3</v>
      </c>
      <c r="P32" s="4"/>
      <c r="Q32" s="4"/>
      <c r="S32" s="4">
        <v>2</v>
      </c>
      <c r="T32" s="4" t="s">
        <v>154</v>
      </c>
    </row>
    <row r="33" spans="2:20" x14ac:dyDescent="0.25">
      <c r="B33" t="s">
        <v>158</v>
      </c>
      <c r="D33" s="2"/>
      <c r="E33" s="2"/>
      <c r="F33" s="2"/>
      <c r="G33" s="2"/>
      <c r="H33" s="2"/>
      <c r="I33" s="2"/>
      <c r="J33" s="2"/>
      <c r="L33" s="4" t="s">
        <v>1</v>
      </c>
      <c r="M33" s="4" t="s">
        <v>1</v>
      </c>
      <c r="N33" s="4" t="s">
        <v>1</v>
      </c>
      <c r="O33" s="4" t="s">
        <v>1</v>
      </c>
      <c r="P33" s="4" t="s">
        <v>1</v>
      </c>
      <c r="Q33" s="4" t="s">
        <v>24</v>
      </c>
      <c r="S33" s="4">
        <v>3</v>
      </c>
      <c r="T33" s="4" t="s">
        <v>1</v>
      </c>
    </row>
    <row r="34" spans="2:20" x14ac:dyDescent="0.25">
      <c r="B34" t="s">
        <v>159</v>
      </c>
      <c r="D34" s="2"/>
      <c r="E34" s="2"/>
      <c r="F34" s="2"/>
      <c r="G34" s="2"/>
      <c r="H34" s="2"/>
      <c r="I34" s="2"/>
      <c r="J34" s="2"/>
      <c r="L34" s="4" t="s">
        <v>2</v>
      </c>
      <c r="M34" s="4" t="s">
        <v>2</v>
      </c>
      <c r="N34" s="4" t="s">
        <v>0</v>
      </c>
      <c r="O34" s="4" t="s">
        <v>0</v>
      </c>
      <c r="P34" s="4" t="s">
        <v>2</v>
      </c>
      <c r="Q34" s="4" t="s">
        <v>24</v>
      </c>
      <c r="S34" s="4">
        <v>4</v>
      </c>
      <c r="T34" s="4" t="s">
        <v>2</v>
      </c>
    </row>
    <row r="35" spans="2:20" x14ac:dyDescent="0.25">
      <c r="D35" s="2"/>
      <c r="E35" s="2"/>
      <c r="F35" s="2"/>
      <c r="G35" s="2"/>
      <c r="H35" s="2"/>
      <c r="J35" s="38" t="s">
        <v>18</v>
      </c>
      <c r="L35" s="2" t="s">
        <v>1</v>
      </c>
      <c r="M35" s="2" t="s">
        <v>0</v>
      </c>
      <c r="N35" s="2" t="s">
        <v>0</v>
      </c>
      <c r="O35" s="2" t="s">
        <v>0</v>
      </c>
      <c r="P35" s="2" t="s">
        <v>1</v>
      </c>
      <c r="Q35" s="2" t="s">
        <v>24</v>
      </c>
      <c r="R35" s="2"/>
      <c r="S35" s="2" t="e">
        <v>#N/A</v>
      </c>
      <c r="T35" s="2" t="e">
        <v>#N/A</v>
      </c>
    </row>
    <row r="36" spans="2:20" x14ac:dyDescent="0.25">
      <c r="F36" s="2"/>
      <c r="G36" s="2"/>
      <c r="H36" s="2"/>
    </row>
    <row r="37" spans="2:20" ht="15.75" thickBot="1" x14ac:dyDescent="0.3">
      <c r="B37" s="39" t="s">
        <v>152</v>
      </c>
      <c r="C37" s="39"/>
      <c r="D37" s="3"/>
      <c r="E37" s="3"/>
      <c r="F37" s="2"/>
      <c r="G37" s="2"/>
      <c r="H37" s="2"/>
      <c r="I37" s="2"/>
      <c r="J37" t="s">
        <v>47</v>
      </c>
      <c r="L37" s="7" t="str">
        <f t="shared" ref="L37:Q37" si="16">LOOKUP(2,1/((COUNTIF(L31:L34,"&lt;" &amp; L31:L34)=0)),L31:L34)</f>
        <v>B</v>
      </c>
      <c r="M37" s="7" t="str">
        <f t="shared" si="16"/>
        <v>A</v>
      </c>
      <c r="N37" s="7" t="str">
        <f t="shared" si="16"/>
        <v>A</v>
      </c>
      <c r="O37" s="7" t="str">
        <f t="shared" si="16"/>
        <v>A</v>
      </c>
      <c r="P37" s="7">
        <f t="shared" si="16"/>
        <v>0</v>
      </c>
      <c r="Q37" s="7" t="str">
        <f t="shared" si="16"/>
        <v xml:space="preserve"> </v>
      </c>
      <c r="S37" s="7">
        <f>LOOKUP(2,1/((COUNTIF(S31:S34,"&lt;"&amp;S31:S34)=0)),S31:S34)</f>
        <v>1</v>
      </c>
      <c r="T37" s="7" t="str">
        <f>LOOKUP(2,1/((COUNTIF(T31:T34,"&lt;"&amp;T31:T34)=0)),T31:T34)</f>
        <v>AA</v>
      </c>
    </row>
    <row r="38" spans="2:20" ht="16.5" thickTop="1" thickBot="1" x14ac:dyDescent="0.3">
      <c r="I38" s="2"/>
      <c r="J38" s="2"/>
      <c r="L38" s="1" t="str">
        <f t="shared" ref="L38:Q38" si="17">IF(L35=L37,"pass", "fail")</f>
        <v>pass</v>
      </c>
      <c r="M38" s="1" t="str">
        <f t="shared" si="17"/>
        <v>pass</v>
      </c>
      <c r="N38" s="1" t="str">
        <f t="shared" si="17"/>
        <v>pass</v>
      </c>
      <c r="O38" s="1" t="str">
        <f t="shared" si="17"/>
        <v>pass</v>
      </c>
      <c r="P38" s="1" t="str">
        <f t="shared" si="17"/>
        <v>fail</v>
      </c>
      <c r="Q38" s="1" t="str">
        <f t="shared" si="17"/>
        <v>pass</v>
      </c>
      <c r="S38" s="1" t="str">
        <f>IF(ISNA(S37),"OK","error")</f>
        <v>error</v>
      </c>
      <c r="T38" s="1" t="str">
        <f>IF(ISNA(T37),"OK","error")</f>
        <v>error</v>
      </c>
    </row>
    <row r="39" spans="2:20" ht="15.75" thickTop="1" x14ac:dyDescent="0.25"/>
    <row r="40" spans="2:20" ht="15.75" thickBot="1" x14ac:dyDescent="0.3">
      <c r="B40" s="39" t="s">
        <v>155</v>
      </c>
      <c r="L40" s="22" t="str">
        <f t="array" ref="L40">CHAR(MIN(IF(L31:L34&lt;&gt;"",CODE(UPPER(L31:L34)))))</f>
        <v>B</v>
      </c>
      <c r="M40" s="22" t="str">
        <f t="array" ref="M40">CHAR(MIN(IF(M31:M34&lt;&gt;"",CODE(UPPER(M31:M34)))))</f>
        <v>A</v>
      </c>
      <c r="N40" s="22" t="str">
        <f t="array" ref="N40">CHAR(MIN(IF(N31:N34&lt;&gt;"",CODE(UPPER(N31:N34)))))</f>
        <v>A</v>
      </c>
      <c r="O40" s="22" t="str">
        <f t="array" ref="O40">CHAR(MIN(IF(O31:O34&lt;&gt;"",CODE(UPPER(O31:O34)))))</f>
        <v>A</v>
      </c>
      <c r="P40" s="22" t="str">
        <f t="array" ref="P40">CHAR(MIN(IF(P31:P34&lt;&gt;"",CODE(UPPER(P31:P34)))))</f>
        <v xml:space="preserve"> </v>
      </c>
      <c r="Q40" s="22" t="str">
        <f t="array" ref="Q40">CHAR(MIN(IF(Q31:Q34&lt;&gt;"",CODE(UPPER(Q31:Q34)))))</f>
        <v xml:space="preserve"> </v>
      </c>
      <c r="S40" s="21" t="str">
        <f t="array" ref="S40">CHAR(MIN(IF(S31:S34&lt;&gt;"",CODE(UPPER(S31:S34)))))</f>
        <v>1</v>
      </c>
      <c r="T40" s="21" t="str">
        <f t="array" ref="T40">CHAR(MIN(IF(T31:T34&lt;&gt;"",CODE(UPPER(T31:T34)))))</f>
        <v>A</v>
      </c>
    </row>
    <row r="41" spans="2:20" ht="16.5" thickTop="1" thickBot="1" x14ac:dyDescent="0.3">
      <c r="L41" s="1" t="str">
        <f t="shared" ref="L41:Q41" si="18">IF(L$35=L40,"pass", "fail")</f>
        <v>pass</v>
      </c>
      <c r="M41" s="1" t="str">
        <f t="shared" si="18"/>
        <v>pass</v>
      </c>
      <c r="N41" s="1" t="str">
        <f t="shared" si="18"/>
        <v>pass</v>
      </c>
      <c r="O41" s="1" t="str">
        <f t="shared" si="18"/>
        <v>pass</v>
      </c>
      <c r="P41" s="1" t="str">
        <f t="shared" si="18"/>
        <v>fail</v>
      </c>
      <c r="Q41" s="1" t="str">
        <f t="shared" si="18"/>
        <v>pass</v>
      </c>
      <c r="S41" s="1" t="str">
        <f>IF(ISNA(S40),"OK","error")</f>
        <v>error</v>
      </c>
      <c r="T41" s="1" t="str">
        <f>IF(ISNA(T40),"OK","error")</f>
        <v>error</v>
      </c>
    </row>
    <row r="42" spans="2:20" ht="15.75" thickTop="1" x14ac:dyDescent="0.25"/>
    <row r="56" spans="12:19" x14ac:dyDescent="0.25">
      <c r="L56" s="17"/>
      <c r="M56" s="17"/>
      <c r="N56" s="17"/>
      <c r="O56" s="17"/>
      <c r="P56" s="17"/>
      <c r="Q56" s="17"/>
      <c r="R56" s="17"/>
      <c r="S56" s="17"/>
    </row>
  </sheetData>
  <mergeCells count="2">
    <mergeCell ref="L7:L12"/>
    <mergeCell ref="L15:L24"/>
  </mergeCells>
  <conditionalFormatting sqref="C5:J12 F37:H37 I38:J38">
    <cfRule type="expression" dxfId="96" priority="6">
      <formula>AND(C5&gt;9,ROW(C5)-ROW(C$5)=3)</formula>
    </cfRule>
    <cfRule type="expression" dxfId="95" priority="7">
      <formula>AND((C5&gt;8),ROW(C5)-ROW(C$5)&lt;3)</formula>
    </cfRule>
    <cfRule type="expression" dxfId="94" priority="8">
      <formula>AND(ROW(C5)-ROW($C$5)&gt;4,C5&gt;6)</formula>
    </cfRule>
    <cfRule type="expression" dxfId="93" priority="10">
      <formula>AND(C5&gt;6,ROW(C5)-ROW(C$5)&lt;5)</formula>
    </cfRule>
    <cfRule type="expression" dxfId="92" priority="11">
      <formula>ROW(C5)-ROW(C$5)=2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T29"/>
  <sheetViews>
    <sheetView topLeftCell="C1" workbookViewId="0">
      <selection activeCell="O7" sqref="O7"/>
    </sheetView>
  </sheetViews>
  <sheetFormatPr defaultRowHeight="15" x14ac:dyDescent="0.25"/>
  <cols>
    <col min="1" max="1" width="14.5703125" bestFit="1" customWidth="1"/>
    <col min="2" max="2" width="20.5703125" customWidth="1"/>
    <col min="4" max="4" width="16.7109375" bestFit="1" customWidth="1"/>
    <col min="5" max="5" width="23.28515625" bestFit="1" customWidth="1"/>
    <col min="6" max="6" width="22.5703125" bestFit="1" customWidth="1"/>
    <col min="7" max="7" width="3.140625" customWidth="1"/>
    <col min="14" max="14" width="3.85546875" customWidth="1"/>
  </cols>
  <sheetData>
    <row r="1" spans="1:20" x14ac:dyDescent="0.25">
      <c r="A1" t="s">
        <v>43</v>
      </c>
      <c r="D1" t="s">
        <v>42</v>
      </c>
      <c r="I1" s="20" t="s">
        <v>75</v>
      </c>
      <c r="J1" s="20"/>
      <c r="K1" s="20"/>
      <c r="O1" s="20" t="s">
        <v>53</v>
      </c>
      <c r="P1" s="20"/>
      <c r="R1" s="23" t="s">
        <v>62</v>
      </c>
      <c r="S1" s="23"/>
      <c r="T1" s="23"/>
    </row>
    <row r="2" spans="1:20" x14ac:dyDescent="0.25">
      <c r="I2" s="17" t="s">
        <v>76</v>
      </c>
      <c r="O2" s="17" t="s">
        <v>77</v>
      </c>
      <c r="R2" s="17" t="s">
        <v>78</v>
      </c>
    </row>
    <row r="4" spans="1:20" ht="15.75" thickBot="1" x14ac:dyDescent="0.3">
      <c r="I4" s="17" t="s">
        <v>79</v>
      </c>
    </row>
    <row r="5" spans="1:20" ht="16.5" thickTop="1" thickBot="1" x14ac:dyDescent="0.3">
      <c r="A5" s="14" t="s">
        <v>41</v>
      </c>
      <c r="B5" s="15" t="s">
        <v>44</v>
      </c>
      <c r="D5" s="2" t="s">
        <v>41</v>
      </c>
      <c r="E5" s="2" t="s">
        <v>40</v>
      </c>
      <c r="F5" s="2" t="s">
        <v>150</v>
      </c>
      <c r="G5" s="2"/>
      <c r="I5" s="28" t="s">
        <v>45</v>
      </c>
      <c r="J5" s="28"/>
      <c r="K5" s="29" t="s">
        <v>47</v>
      </c>
      <c r="L5" s="30" t="s">
        <v>18</v>
      </c>
      <c r="O5" s="29" t="s">
        <v>47</v>
      </c>
      <c r="P5" s="1" t="s">
        <v>54</v>
      </c>
    </row>
    <row r="6" spans="1:20" ht="16.5" thickTop="1" thickBot="1" x14ac:dyDescent="0.3">
      <c r="A6" s="13" t="s">
        <v>0</v>
      </c>
      <c r="B6" s="2">
        <v>10</v>
      </c>
      <c r="D6" s="2" t="s">
        <v>0</v>
      </c>
      <c r="E6" s="2">
        <v>10</v>
      </c>
      <c r="F6" s="2">
        <v>10</v>
      </c>
      <c r="G6" s="2"/>
      <c r="I6" s="28" t="s">
        <v>8</v>
      </c>
      <c r="J6" s="28" t="s">
        <v>46</v>
      </c>
      <c r="K6" s="30"/>
      <c r="L6" s="30"/>
      <c r="R6" t="s">
        <v>61</v>
      </c>
      <c r="S6" t="s">
        <v>60</v>
      </c>
      <c r="T6" t="s">
        <v>63</v>
      </c>
    </row>
    <row r="7" spans="1:20" ht="15" customHeight="1" thickTop="1" thickBot="1" x14ac:dyDescent="0.3">
      <c r="A7" s="13" t="s">
        <v>1</v>
      </c>
      <c r="B7" s="2">
        <v>10</v>
      </c>
      <c r="D7" s="2" t="s">
        <v>1</v>
      </c>
      <c r="E7" s="2">
        <v>10</v>
      </c>
      <c r="F7" s="2">
        <v>10</v>
      </c>
      <c r="G7" s="2"/>
      <c r="H7" s="112" t="s">
        <v>57</v>
      </c>
      <c r="I7" s="6" t="s">
        <v>0</v>
      </c>
      <c r="J7" s="4">
        <v>1</v>
      </c>
      <c r="K7" s="7">
        <f>INDEX(ImpacttoCriticality[[Criticality Unspared]:[Criticality If Redundancy]],
                MATCH(I7,ImpacttoCriticality[Impact Level],0),
                IF(OR(J7="SPARED",J7="Y",J7="yes",J7),2,1))</f>
        <v>10</v>
      </c>
      <c r="L7" s="2">
        <v>10</v>
      </c>
      <c r="M7" s="1" t="str">
        <f>IF(L7=K7,"pass","fail")</f>
        <v>pass</v>
      </c>
      <c r="O7" s="7">
        <f>INDEX({10,10,10,10,8,6,4,2;10,10,10,9,7,5,3,1},
               IF(OR(J7="SPARED",J7="Y",J7="yes",J7),2,1),
               MATCH(I7,{"A","B","C","D","E","F","G","H"},0)
)</f>
        <v>10</v>
      </c>
      <c r="P7" s="1" t="str">
        <f>IF(O7=L7,"pass","fail")</f>
        <v>pass</v>
      </c>
      <c r="R7" s="7">
        <f>MATCH(I7,{"A","B","C","D","E","F","G","H"},0)</f>
        <v>1</v>
      </c>
      <c r="S7" s="7">
        <f t="shared" ref="S7:S20" si="0">IF(OR(J7="SPARED",J7="Y",J7="yes",J7),2,1)</f>
        <v>2</v>
      </c>
      <c r="T7" s="21">
        <f>INDEX({10,10,10,10,8,6,4,2;10,10,10,9,7,5,3,1},S7,R7)</f>
        <v>10</v>
      </c>
    </row>
    <row r="8" spans="1:20" ht="16.5" thickTop="1" thickBot="1" x14ac:dyDescent="0.3">
      <c r="A8" s="13" t="s">
        <v>2</v>
      </c>
      <c r="B8" s="2">
        <v>10</v>
      </c>
      <c r="D8" s="2" t="s">
        <v>2</v>
      </c>
      <c r="E8" s="2">
        <v>10</v>
      </c>
      <c r="F8" s="2">
        <v>10</v>
      </c>
      <c r="G8" s="2"/>
      <c r="H8" s="113"/>
      <c r="I8" s="6" t="s">
        <v>0</v>
      </c>
      <c r="J8" s="4" t="s">
        <v>48</v>
      </c>
      <c r="K8" s="7">
        <f>INDEX(ImpacttoCriticality[[Criticality Unspared]:[Criticality If Redundancy]],
                MATCH(I8,ImpacttoCriticality[Impact Level],0),
                IF(OR(J8="SPARED",J8="Y",J8="yes",J8),2,1))</f>
        <v>10</v>
      </c>
      <c r="L8" s="2">
        <v>10</v>
      </c>
      <c r="M8" s="1" t="str">
        <f t="shared" ref="M8:M20" si="1">IF(L8=K8,"pass","fail")</f>
        <v>pass</v>
      </c>
      <c r="O8" s="7">
        <f>INDEX({10,10,10,10,8,6,4,2;10,10,10,9,7,5,3,1},
               IF(OR(J8="SPARED",J8="Y",J8="yes",J8),2,1),
               MATCH(I8,{"A","B","C","D","E","F","G","H"},0)
)</f>
        <v>10</v>
      </c>
      <c r="P8" s="1" t="str">
        <f t="shared" ref="P8:P20" si="2">IF(O8=L8,"pass","fail")</f>
        <v>pass</v>
      </c>
      <c r="R8" s="7">
        <f>MATCH(I8,{"A","B","C","D","E","F","G","H"},0)</f>
        <v>1</v>
      </c>
      <c r="S8" s="7">
        <f t="shared" si="0"/>
        <v>2</v>
      </c>
      <c r="T8" s="21">
        <f>INDEX({10,10,10,10,8,6,4,2;10,10,10,9,7,5,3,1},S8,R8)</f>
        <v>10</v>
      </c>
    </row>
    <row r="9" spans="1:20" ht="16.5" thickTop="1" thickBot="1" x14ac:dyDescent="0.3">
      <c r="A9" s="13" t="s">
        <v>3</v>
      </c>
      <c r="B9" s="2">
        <v>10</v>
      </c>
      <c r="D9" s="2" t="s">
        <v>3</v>
      </c>
      <c r="E9" s="2">
        <v>10</v>
      </c>
      <c r="F9" s="2">
        <v>9</v>
      </c>
      <c r="G9" s="2"/>
      <c r="H9" s="113"/>
      <c r="I9" s="6" t="s">
        <v>0</v>
      </c>
      <c r="J9" s="4" t="s">
        <v>49</v>
      </c>
      <c r="K9" s="7">
        <f>INDEX(ImpacttoCriticality[[Criticality Unspared]:[Criticality If Redundancy]],
                MATCH(I9,ImpacttoCriticality[Impact Level],0),
                IF(OR(J9="SPARED",J9="Y",J9="yes",J9),2,1))</f>
        <v>10</v>
      </c>
      <c r="L9" s="2">
        <v>10</v>
      </c>
      <c r="M9" s="1" t="str">
        <f t="shared" si="1"/>
        <v>pass</v>
      </c>
      <c r="O9" s="7">
        <f>INDEX({10,10,10,10,8,6,4,2;10,10,10,9,7,5,3,1},
               IF(OR(J9="SPARED",J9="Y",J9="yes",J9),2,1),
               MATCH(I9,{"A","B","C","D","E","F","G","H"},0)
)</f>
        <v>10</v>
      </c>
      <c r="P9" s="1" t="str">
        <f t="shared" si="2"/>
        <v>pass</v>
      </c>
      <c r="R9" s="7">
        <f>MATCH(I9,{"A","B","C","D","E","F","G","H"},0)</f>
        <v>1</v>
      </c>
      <c r="S9" s="7">
        <f t="shared" si="0"/>
        <v>1</v>
      </c>
      <c r="T9" s="21">
        <f>INDEX({10,10,10,10,8,6,4,2;10,10,10,9,7,5,3,1},S9,R9)</f>
        <v>10</v>
      </c>
    </row>
    <row r="10" spans="1:20" ht="16.5" thickTop="1" thickBot="1" x14ac:dyDescent="0.3">
      <c r="A10" s="16" t="s">
        <v>3</v>
      </c>
      <c r="B10" s="2">
        <v>9</v>
      </c>
      <c r="D10" s="2" t="s">
        <v>4</v>
      </c>
      <c r="E10" s="2">
        <v>8</v>
      </c>
      <c r="F10" s="2">
        <v>7</v>
      </c>
      <c r="G10" s="2"/>
      <c r="H10" s="113"/>
      <c r="I10" s="6" t="s">
        <v>3</v>
      </c>
      <c r="J10" s="4"/>
      <c r="K10" s="7">
        <f>INDEX(ImpacttoCriticality[[Criticality Unspared]:[Criticality If Redundancy]],
                MATCH(I10,ImpacttoCriticality[Impact Level],0),
                IF(OR(J10="SPARED",J10="Y",J10="yes",J10),2,1))</f>
        <v>10</v>
      </c>
      <c r="L10" s="2">
        <v>10</v>
      </c>
      <c r="M10" s="1" t="str">
        <f t="shared" si="1"/>
        <v>pass</v>
      </c>
      <c r="O10" s="7">
        <f>INDEX({10,10,10,10,8,6,4,2;10,10,10,9,7,5,3,1},
               IF(OR(J10="SPARED",J10="Y",J10="yes",J10),2,1),
               MATCH(I10,{"A","B","C","D","E","F","G","H"},0)
)</f>
        <v>10</v>
      </c>
      <c r="P10" s="1" t="str">
        <f t="shared" si="2"/>
        <v>pass</v>
      </c>
      <c r="R10" s="7">
        <f>MATCH(I10,{"A","B","C","D","E","F","G","H"},0)</f>
        <v>4</v>
      </c>
      <c r="S10" s="7">
        <f t="shared" si="0"/>
        <v>1</v>
      </c>
      <c r="T10" s="21">
        <f>INDEX({10,10,10,10,8,6,4,2;10,10,10,9,7,5,3,1},S10,R10)</f>
        <v>10</v>
      </c>
    </row>
    <row r="11" spans="1:20" ht="16.5" thickTop="1" thickBot="1" x14ac:dyDescent="0.3">
      <c r="A11" s="13" t="s">
        <v>4</v>
      </c>
      <c r="B11" s="2">
        <v>8</v>
      </c>
      <c r="D11" s="2" t="s">
        <v>5</v>
      </c>
      <c r="E11" s="2">
        <v>6</v>
      </c>
      <c r="F11" s="2">
        <v>5</v>
      </c>
      <c r="G11" s="2"/>
      <c r="H11" s="113"/>
      <c r="I11" s="6" t="s">
        <v>3</v>
      </c>
      <c r="J11" s="4" t="s">
        <v>48</v>
      </c>
      <c r="K11" s="7">
        <f>INDEX(ImpacttoCriticality[[Criticality Unspared]:[Criticality If Redundancy]],
                MATCH(I11,ImpacttoCriticality[Impact Level],0),
                IF(OR(J11="SPARED",J11="Y",J11="yes",J11),2,1))</f>
        <v>9</v>
      </c>
      <c r="L11" s="2">
        <v>9</v>
      </c>
      <c r="M11" s="1" t="str">
        <f t="shared" si="1"/>
        <v>pass</v>
      </c>
      <c r="O11" s="7">
        <f>INDEX({10,10,10,10,8,6,4,2;10,10,10,9,7,5,3,1},
               IF(OR(J11="SPARED",J11="Y",J11="yes",J11),2,1),
               MATCH(I11,{"A","B","C","D","E","F","G","H"},0)
)</f>
        <v>9</v>
      </c>
      <c r="P11" s="1" t="str">
        <f t="shared" si="2"/>
        <v>pass</v>
      </c>
      <c r="R11" s="7">
        <f>MATCH(I11,{"A","B","C","D","E","F","G","H"},0)</f>
        <v>4</v>
      </c>
      <c r="S11" s="7">
        <f t="shared" si="0"/>
        <v>2</v>
      </c>
      <c r="T11" s="21">
        <f>INDEX({10,10,10,10,8,6,4,2;10,10,10,9,7,5,3,1},S11,R11)</f>
        <v>9</v>
      </c>
    </row>
    <row r="12" spans="1:20" ht="16.5" thickTop="1" thickBot="1" x14ac:dyDescent="0.3">
      <c r="A12" s="16" t="s">
        <v>4</v>
      </c>
      <c r="B12" s="2">
        <v>7</v>
      </c>
      <c r="D12" s="2" t="s">
        <v>6</v>
      </c>
      <c r="E12" s="2">
        <v>4</v>
      </c>
      <c r="F12" s="2">
        <v>3</v>
      </c>
      <c r="G12" s="2"/>
      <c r="H12" s="113"/>
      <c r="I12" s="6" t="s">
        <v>3</v>
      </c>
      <c r="J12" s="4" t="s">
        <v>59</v>
      </c>
      <c r="K12" s="7">
        <f>INDEX(ImpacttoCriticality[[Criticality Unspared]:[Criticality If Redundancy]],
                MATCH(I12,ImpacttoCriticality[Impact Level],0),
                IF(OR(J12="SPARED",J12="Y",J12="yes",J12),2,1))</f>
        <v>10</v>
      </c>
      <c r="L12" s="2">
        <v>10</v>
      </c>
      <c r="M12" s="1" t="str">
        <f t="shared" si="1"/>
        <v>pass</v>
      </c>
      <c r="O12" s="7">
        <f>INDEX({10,10,10,10,8,6,4,2;10,10,10,9,7,5,3,1},
               IF(OR(J12="SPARED",J12="Y",J12="yes",J12),2,1),
               MATCH(I12,{"A","B","C","D","E","F","G","H"},0)
)</f>
        <v>10</v>
      </c>
      <c r="P12" s="1" t="str">
        <f t="shared" si="2"/>
        <v>pass</v>
      </c>
      <c r="R12" s="7">
        <f>MATCH(I12,{"A","B","C","D","E","F","G","H"},0)</f>
        <v>4</v>
      </c>
      <c r="S12" s="7">
        <f t="shared" si="0"/>
        <v>1</v>
      </c>
      <c r="T12" s="21">
        <f>INDEX({10,10,10,10,8,6,4,2;10,10,10,9,7,5,3,1},S12,R12)</f>
        <v>10</v>
      </c>
    </row>
    <row r="13" spans="1:20" ht="16.5" thickTop="1" thickBot="1" x14ac:dyDescent="0.3">
      <c r="A13" s="13" t="s">
        <v>5</v>
      </c>
      <c r="B13" s="2">
        <v>6</v>
      </c>
      <c r="D13" s="2" t="s">
        <v>7</v>
      </c>
      <c r="E13" s="2">
        <v>2</v>
      </c>
      <c r="F13" s="2">
        <v>1</v>
      </c>
      <c r="G13" s="2"/>
      <c r="H13" s="113"/>
      <c r="I13" s="6" t="s">
        <v>5</v>
      </c>
      <c r="J13" s="4" t="str">
        <f>" "</f>
        <v xml:space="preserve"> </v>
      </c>
      <c r="K13" s="7">
        <f>INDEX(ImpacttoCriticality[[Criticality Unspared]:[Criticality If Redundancy]],
                MATCH(I13,ImpacttoCriticality[Impact Level],0),
                IF(OR(J13="SPARED",J13="Y",J13="yes",J13),2,1))</f>
        <v>6</v>
      </c>
      <c r="L13" s="2">
        <v>6</v>
      </c>
      <c r="M13" s="1" t="str">
        <f t="shared" si="1"/>
        <v>pass</v>
      </c>
      <c r="O13" s="7">
        <f>INDEX({10,10,10,10,8,6,4,2;10,10,10,9,7,5,3,1},
               IF(OR(J13="SPARED",J13="Y",J13="yes",J13),2,1),
               MATCH(I13,{"A","B","C","D","E","F","G","H"},0)
)</f>
        <v>6</v>
      </c>
      <c r="P13" s="1" t="str">
        <f t="shared" si="2"/>
        <v>pass</v>
      </c>
      <c r="R13" s="7">
        <f>MATCH(I13,{"A","B","C","D","E","F","G","H"},0)</f>
        <v>6</v>
      </c>
      <c r="S13" s="7">
        <f t="shared" si="0"/>
        <v>1</v>
      </c>
      <c r="T13" s="21">
        <f>INDEX({10,10,10,10,8,6,4,2;10,10,10,9,7,5,3,1},S13,R13)</f>
        <v>6</v>
      </c>
    </row>
    <row r="14" spans="1:20" ht="16.5" thickTop="1" thickBot="1" x14ac:dyDescent="0.3">
      <c r="A14" s="16" t="s">
        <v>5</v>
      </c>
      <c r="B14" s="2">
        <v>5</v>
      </c>
      <c r="H14" s="113"/>
      <c r="I14" s="6" t="s">
        <v>5</v>
      </c>
      <c r="J14" s="4" t="s">
        <v>50</v>
      </c>
      <c r="K14" s="7">
        <f>INDEX(ImpacttoCriticality[[Criticality Unspared]:[Criticality If Redundancy]],
                MATCH(I14,ImpacttoCriticality[Impact Level],0),
                IF(OR(J14="SPARED",J14="Y",J14="yes",J14),2,1))</f>
        <v>5</v>
      </c>
      <c r="L14" s="2">
        <v>5</v>
      </c>
      <c r="M14" s="1" t="str">
        <f t="shared" si="1"/>
        <v>pass</v>
      </c>
      <c r="O14" s="7">
        <f>INDEX({10,10,10,10,8,6,4,2;10,10,10,9,7,5,3,1},
               IF(OR(J14="SPARED",J14="Y",J14="yes",J14),2,1),
               MATCH(I14,{"A","B","C","D","E","F","G","H"},0)
)</f>
        <v>5</v>
      </c>
      <c r="P14" s="1" t="str">
        <f t="shared" si="2"/>
        <v>pass</v>
      </c>
      <c r="R14" s="7">
        <f>MATCH(I14,{"A","B","C","D","E","F","G","H"},0)</f>
        <v>6</v>
      </c>
      <c r="S14" s="7">
        <f t="shared" si="0"/>
        <v>2</v>
      </c>
      <c r="T14" s="21">
        <f>INDEX({10,10,10,10,8,6,4,2;10,10,10,9,7,5,3,1},S14,R14)</f>
        <v>5</v>
      </c>
    </row>
    <row r="15" spans="1:20" ht="16.5" thickTop="1" thickBot="1" x14ac:dyDescent="0.3">
      <c r="A15" s="13" t="s">
        <v>6</v>
      </c>
      <c r="B15" s="2">
        <v>4</v>
      </c>
      <c r="H15" s="113"/>
      <c r="I15" s="6" t="s">
        <v>5</v>
      </c>
      <c r="J15" s="4">
        <v>0</v>
      </c>
      <c r="K15" s="7">
        <f>INDEX(ImpacttoCriticality[[Criticality Unspared]:[Criticality If Redundancy]],
                MATCH(I15,ImpacttoCriticality[Impact Level],0),
                IF(OR(J15="SPARED",J15="Y",J15="yes",J15),2,1))</f>
        <v>6</v>
      </c>
      <c r="L15" s="2">
        <v>6</v>
      </c>
      <c r="M15" s="1" t="str">
        <f t="shared" si="1"/>
        <v>pass</v>
      </c>
      <c r="O15" s="7">
        <f>INDEX({10,10,10,10,8,6,4,2;10,10,10,9,7,5,3,1},
               IF(OR(J15="SPARED",J15="Y",J15="yes",J15),2,1),
               MATCH(I15,{"A","B","C","D","E","F","G","H"},0)
)</f>
        <v>6</v>
      </c>
      <c r="P15" s="1" t="str">
        <f t="shared" si="2"/>
        <v>pass</v>
      </c>
      <c r="R15" s="7">
        <f>MATCH(I15,{"A","B","C","D","E","F","G","H"},0)</f>
        <v>6</v>
      </c>
      <c r="S15" s="7">
        <f t="shared" si="0"/>
        <v>1</v>
      </c>
      <c r="T15" s="21">
        <f>INDEX({10,10,10,10,8,6,4,2;10,10,10,9,7,5,3,1},S15,R15)</f>
        <v>6</v>
      </c>
    </row>
    <row r="16" spans="1:20" ht="16.5" thickTop="1" thickBot="1" x14ac:dyDescent="0.3">
      <c r="A16" s="16" t="s">
        <v>6</v>
      </c>
      <c r="B16" s="2">
        <v>3</v>
      </c>
      <c r="H16" s="113"/>
      <c r="I16" s="6" t="s">
        <v>5</v>
      </c>
      <c r="J16" s="4">
        <v>1</v>
      </c>
      <c r="K16" s="7">
        <f>INDEX(ImpacttoCriticality[[Criticality Unspared]:[Criticality If Redundancy]],
                MATCH(I16,ImpacttoCriticality[Impact Level],0),
                IF(OR(J16="SPARED",J16="Y",J16="yes",J16),2,1))</f>
        <v>5</v>
      </c>
      <c r="L16" s="2">
        <v>5</v>
      </c>
      <c r="M16" s="1" t="str">
        <f>IF(L16=K16,"pass","fail")</f>
        <v>pass</v>
      </c>
      <c r="O16" s="7">
        <f>INDEX({10,10,10,10,8,6,4,2;10,10,10,9,7,5,3,1},
               IF(OR(J16="SPARED",J16="Y",J16="yes",J16),2,1),
               MATCH(I16,{"A","B","C","D","E","F","G","H"},0)
)</f>
        <v>5</v>
      </c>
      <c r="P16" s="1" t="str">
        <f t="shared" si="2"/>
        <v>pass</v>
      </c>
      <c r="R16" s="7">
        <f>MATCH(I16,{"A","B","C","D","E","F","G","H"},0)</f>
        <v>6</v>
      </c>
      <c r="S16" s="7">
        <f t="shared" si="0"/>
        <v>2</v>
      </c>
      <c r="T16" s="21">
        <f>INDEX({10,10,10,10,8,6,4,2;10,10,10,9,7,5,3,1},S16,R16)</f>
        <v>5</v>
      </c>
    </row>
    <row r="17" spans="1:20" ht="16.5" thickTop="1" thickBot="1" x14ac:dyDescent="0.3">
      <c r="A17" s="13" t="s">
        <v>7</v>
      </c>
      <c r="B17" s="2">
        <v>2</v>
      </c>
      <c r="H17" s="113"/>
      <c r="I17" s="6" t="s">
        <v>5</v>
      </c>
      <c r="J17" s="4" t="b">
        <v>1</v>
      </c>
      <c r="K17" s="7">
        <f>INDEX(ImpacttoCriticality[[Criticality Unspared]:[Criticality If Redundancy]],
                MATCH(I17,ImpacttoCriticality[Impact Level],0),
                IF(OR(J17="SPARED",J17="Y",J17="yes",J17),2,1))</f>
        <v>5</v>
      </c>
      <c r="L17" s="2">
        <v>5</v>
      </c>
      <c r="M17" s="1" t="str">
        <f>IF(L17=K17,"pass","fail")</f>
        <v>pass</v>
      </c>
      <c r="O17" s="7">
        <f>INDEX({10,10,10,10,8,6,4,2;10,10,10,9,7,5,3,1},
               IF(OR(J17="SPARED",J17="Y",J17="yes",J17),2,1),
               MATCH(I17,{"A","B","C","D","E","F","G","H"},0)
)</f>
        <v>5</v>
      </c>
      <c r="P17" s="1" t="str">
        <f t="shared" si="2"/>
        <v>pass</v>
      </c>
      <c r="R17" s="7">
        <f>MATCH(I17,{"A","B","C","D","E","F","G","H"},0)</f>
        <v>6</v>
      </c>
      <c r="S17" s="7">
        <f t="shared" si="0"/>
        <v>2</v>
      </c>
      <c r="T17" s="21">
        <f>INDEX({10,10,10,10,8,6,4,2;10,10,10,9,7,5,3,1},S17,R17)</f>
        <v>5</v>
      </c>
    </row>
    <row r="18" spans="1:20" ht="16.5" thickTop="1" thickBot="1" x14ac:dyDescent="0.3">
      <c r="A18" s="13" t="s">
        <v>7</v>
      </c>
      <c r="B18" s="2">
        <v>1</v>
      </c>
      <c r="H18" s="113"/>
      <c r="I18" s="6" t="s">
        <v>58</v>
      </c>
      <c r="J18" s="4"/>
      <c r="K18" s="7">
        <f>INDEX(ImpacttoCriticality[[Criticality Unspared]:[Criticality If Redundancy]],
                MATCH(I18,ImpacttoCriticality[Impact Level],0),
                IF(OR(J18="SPARED",J18="Y",J18="yes",J18),2,1))</f>
        <v>6</v>
      </c>
      <c r="L18" s="2">
        <v>6</v>
      </c>
      <c r="M18" s="1" t="str">
        <f>IF(L18=K18,"pass","fail")</f>
        <v>pass</v>
      </c>
      <c r="O18" s="7">
        <f>INDEX({10,10,10,10,8,6,4,2;10,10,10,9,7,5,3,1},
               IF(OR(J18="SPARED",J18="Y",J18="yes",J18),2,1),
               MATCH(I18,{"A","B","C","D","E","F","G","H"},0)
)</f>
        <v>6</v>
      </c>
      <c r="P18" s="1" t="str">
        <f t="shared" si="2"/>
        <v>pass</v>
      </c>
      <c r="R18" s="7">
        <f>MATCH(I18,{"A","B","C","D","E","F","G","H"},0)</f>
        <v>6</v>
      </c>
      <c r="S18" s="7">
        <f t="shared" si="0"/>
        <v>1</v>
      </c>
      <c r="T18" s="21">
        <f>INDEX({10,10,10,10,8,6,4,2;10,10,10,9,7,5,3,1},S18,R18)</f>
        <v>6</v>
      </c>
    </row>
    <row r="19" spans="1:20" ht="16.5" thickTop="1" thickBot="1" x14ac:dyDescent="0.3">
      <c r="H19" s="113"/>
      <c r="I19" s="6" t="s">
        <v>7</v>
      </c>
      <c r="J19" s="4" t="s">
        <v>50</v>
      </c>
      <c r="K19" s="7">
        <f>INDEX(ImpacttoCriticality[[Criticality Unspared]:[Criticality If Redundancy]],
                MATCH(I19,ImpacttoCriticality[Impact Level],0),
                IF(OR(J19="SPARED",J19="Y",J19="yes",J19),2,1))</f>
        <v>1</v>
      </c>
      <c r="L19" s="2">
        <v>1</v>
      </c>
      <c r="M19" s="1" t="str">
        <f t="shared" si="1"/>
        <v>pass</v>
      </c>
      <c r="O19" s="7">
        <f>INDEX({10,10,10,10,8,6,4,2;10,10,10,9,7,5,3,1},
               IF(OR(J19="SPARED",J19="Y",J19="yes",J19),2,1),
               MATCH(I19,{"A","B","C","D","E","F","G","H"},0)
)</f>
        <v>1</v>
      </c>
      <c r="P19" s="1" t="str">
        <f t="shared" si="2"/>
        <v>pass</v>
      </c>
      <c r="R19" s="7">
        <f>MATCH(I19,{"A","B","C","D","E","F","G","H"},0)</f>
        <v>8</v>
      </c>
      <c r="S19" s="7">
        <f t="shared" si="0"/>
        <v>2</v>
      </c>
      <c r="T19" s="21">
        <f>INDEX({10,10,10,10,8,6,4,2;10,10,10,9,7,5,3,1},S19,R19)</f>
        <v>1</v>
      </c>
    </row>
    <row r="20" spans="1:20" ht="16.5" thickTop="1" thickBot="1" x14ac:dyDescent="0.3">
      <c r="H20" s="114"/>
      <c r="I20" s="6" t="s">
        <v>7</v>
      </c>
      <c r="J20" s="4" t="b">
        <v>0</v>
      </c>
      <c r="K20" s="7">
        <f>INDEX(ImpacttoCriticality[[Criticality Unspared]:[Criticality If Redundancy]],
                MATCH(I20,ImpacttoCriticality[Impact Level],0),
                IF(OR(J20="SPARED",J20="Y",J20="yes",J20),2,1))</f>
        <v>2</v>
      </c>
      <c r="L20" s="2">
        <v>2</v>
      </c>
      <c r="M20" s="1" t="str">
        <f t="shared" si="1"/>
        <v>pass</v>
      </c>
      <c r="O20" s="7">
        <f>INDEX({10,10,10,10,8,6,4,2;10,10,10,9,7,5,3,1},
               IF(OR(J20="SPARED",J20="Y",J20="yes",J20),2,1),
               MATCH(I20,{"A","B","C","D","E","F","G","H"},0)
)</f>
        <v>2</v>
      </c>
      <c r="P20" s="1" t="str">
        <f t="shared" si="2"/>
        <v>pass</v>
      </c>
      <c r="R20" s="7">
        <f>MATCH(I20,{"A","B","C","D","E","F","G","H"},0)</f>
        <v>8</v>
      </c>
      <c r="S20" s="7">
        <f t="shared" si="0"/>
        <v>1</v>
      </c>
      <c r="T20" s="21">
        <f>INDEX({10,10,10,10,8,6,4,2;10,10,10,9,7,5,3,1},S20,R20)</f>
        <v>2</v>
      </c>
    </row>
    <row r="21" spans="1:20" ht="16.5" thickTop="1" thickBot="1" x14ac:dyDescent="0.3"/>
    <row r="22" spans="1:20" ht="15" customHeight="1" thickTop="1" thickBot="1" x14ac:dyDescent="0.3">
      <c r="H22" s="111" t="s">
        <v>51</v>
      </c>
      <c r="I22" s="6" t="s">
        <v>25</v>
      </c>
      <c r="J22" s="4">
        <v>2</v>
      </c>
      <c r="K22" s="7" t="e">
        <f>INDEX(ImpacttoCriticality[[Criticality Unspared]:[Criticality If Redundancy]],
                MATCH(I22,ImpacttoCriticality[Impact Level],0),
                IF(OR(J22="SPARED",J22="Y",J22="yes",J22),2,1))</f>
        <v>#N/A</v>
      </c>
      <c r="L22" s="2" t="e">
        <v>#N/A</v>
      </c>
      <c r="M22" s="1" t="str">
        <f t="shared" ref="M22:M28" si="3">IF(ISNA(K22),"pass","fail")</f>
        <v>pass</v>
      </c>
      <c r="O22" s="7" t="e">
        <f>INDEX({10,10,10,10,8,6,4,2;10,10,10,9,7,5,3,1},
               IF(OR(J22="SPARED",J22="Y",J22="yes",J22),2,1),
               MATCH(I22,{"A","B","C","D","E","F","G","H"},0)
)</f>
        <v>#N/A</v>
      </c>
      <c r="P22" s="1" t="str">
        <f>IF(ISNA(L22),"pass","fail")</f>
        <v>pass</v>
      </c>
      <c r="R22" s="7" t="e">
        <f>MATCH(I22,{"A","B","C","D","E","F","G","H"},0)</f>
        <v>#N/A</v>
      </c>
      <c r="S22" s="7">
        <f t="shared" ref="S22:S28" si="4">IF(OR(J22="SPARED",J22="Y",J22="yes",J22),2,1)</f>
        <v>2</v>
      </c>
      <c r="T22" s="21" t="e">
        <f>INDEX({10,10,10,10,8,6,4,2;10,10,10,9,7,5,3,1},S22,R22)</f>
        <v>#N/A</v>
      </c>
    </row>
    <row r="23" spans="1:20" ht="16.5" thickTop="1" thickBot="1" x14ac:dyDescent="0.3">
      <c r="H23" s="111"/>
      <c r="I23" s="6" t="s">
        <v>25</v>
      </c>
      <c r="J23" s="4"/>
      <c r="K23" s="7" t="e">
        <f>INDEX(ImpacttoCriticality[[Criticality Unspared]:[Criticality If Redundancy]],
                MATCH(I23,ImpacttoCriticality[Impact Level],0),
                IF(OR(J23="SPARED",J23="Y",J23="yes",J23),2,1))</f>
        <v>#N/A</v>
      </c>
      <c r="L23" s="2" t="e">
        <v>#N/A</v>
      </c>
      <c r="M23" s="1" t="str">
        <f t="shared" si="3"/>
        <v>pass</v>
      </c>
      <c r="O23" s="7" t="e">
        <f>INDEX({10,10,10,10,8,6,4,2;10,10,10,9,7,5,3,1},
               IF(OR(J23="SPARED",J23="Y",J23="yes",J23),2,1),
               MATCH(I23,{"A","B","C","D","E","F","G","H"},0)
)</f>
        <v>#N/A</v>
      </c>
      <c r="P23" s="1" t="str">
        <f t="shared" ref="P23:P28" si="5">IF(ISNA(L23),"pass","fail")</f>
        <v>pass</v>
      </c>
      <c r="R23" s="7" t="e">
        <f>MATCH(I23,{"A","B","C","D","E","F","G","H"},0)</f>
        <v>#N/A</v>
      </c>
      <c r="S23" s="7">
        <f t="shared" si="4"/>
        <v>1</v>
      </c>
      <c r="T23" s="21" t="e">
        <f>INDEX({10,10,10,10,8,6,4,2;10,10,10,9,7,5,3,1},S23,R23)</f>
        <v>#N/A</v>
      </c>
    </row>
    <row r="24" spans="1:20" ht="16.5" thickTop="1" thickBot="1" x14ac:dyDescent="0.3">
      <c r="H24" s="111"/>
      <c r="I24" s="6" t="s">
        <v>25</v>
      </c>
      <c r="J24" s="4">
        <v>1</v>
      </c>
      <c r="K24" s="7" t="e">
        <f>INDEX(ImpacttoCriticality[[Criticality Unspared]:[Criticality If Redundancy]],
                MATCH(I24,ImpacttoCriticality[Impact Level],0),
                IF(OR(J24="SPARED",J24="Y",J24="yes",J24),2,1))</f>
        <v>#N/A</v>
      </c>
      <c r="L24" s="2" t="e">
        <v>#N/A</v>
      </c>
      <c r="M24" s="1" t="str">
        <f t="shared" si="3"/>
        <v>pass</v>
      </c>
      <c r="O24" s="7" t="e">
        <f>INDEX({10,10,10,10,8,6,4,2;10,10,10,9,7,5,3,1},
               IF(OR(J24="SPARED",J24="Y",J24="yes",J24),2,1),
               MATCH(I24,{"A","B","C","D","E","F","G","H"},0)
)</f>
        <v>#N/A</v>
      </c>
      <c r="P24" s="1" t="str">
        <f t="shared" si="5"/>
        <v>pass</v>
      </c>
      <c r="R24" s="7" t="e">
        <f>MATCH(I24,{"A","B","C","D","E","F","G","H"},0)</f>
        <v>#N/A</v>
      </c>
      <c r="S24" s="7">
        <f t="shared" si="4"/>
        <v>2</v>
      </c>
      <c r="T24" s="21" t="e">
        <f>INDEX({10,10,10,10,8,6,4,2;10,10,10,9,7,5,3,1},S24,R24)</f>
        <v>#N/A</v>
      </c>
    </row>
    <row r="25" spans="1:20" ht="16.5" thickTop="1" thickBot="1" x14ac:dyDescent="0.3">
      <c r="H25" s="111"/>
      <c r="I25" s="6" t="s">
        <v>55</v>
      </c>
      <c r="J25" s="4">
        <v>1</v>
      </c>
      <c r="K25" s="7" t="e">
        <f>INDEX(ImpacttoCriticality[[Criticality Unspared]:[Criticality If Redundancy]],
                MATCH(I25,ImpacttoCriticality[Impact Level],0),
                IF(OR(J25="SPARED",J25="Y",J25="yes",J25),2,1))</f>
        <v>#N/A</v>
      </c>
      <c r="L25" s="2" t="e">
        <v>#N/A</v>
      </c>
      <c r="M25" s="1" t="str">
        <f t="shared" si="3"/>
        <v>pass</v>
      </c>
      <c r="O25" s="7" t="e">
        <f>INDEX({10,10,10,10,8,6,4,2;10,10,10,9,7,5,3,1},
               IF(OR(J25="SPARED",J25="Y",J25="yes",J25),2,1),
               MATCH(I25,{"A","B","C","D","E","F","G","H"},0)
)</f>
        <v>#N/A</v>
      </c>
      <c r="P25" s="1" t="str">
        <f t="shared" si="5"/>
        <v>pass</v>
      </c>
      <c r="R25" s="7" t="e">
        <f>MATCH(I25,{"A","B","C","D","E","F","G","H"},0)</f>
        <v>#N/A</v>
      </c>
      <c r="S25" s="7">
        <f t="shared" si="4"/>
        <v>2</v>
      </c>
      <c r="T25" s="21" t="e">
        <f>INDEX({10,10,10,10,8,6,4,2;10,10,10,9,7,5,3,1},S25,R25)</f>
        <v>#N/A</v>
      </c>
    </row>
    <row r="26" spans="1:20" ht="16.5" thickTop="1" thickBot="1" x14ac:dyDescent="0.3">
      <c r="H26" s="111"/>
      <c r="I26" s="6" t="s">
        <v>56</v>
      </c>
      <c r="J26" s="4">
        <v>1</v>
      </c>
      <c r="K26" s="7" t="e">
        <f>INDEX(ImpacttoCriticality[[Criticality Unspared]:[Criticality If Redundancy]],
                MATCH(I26,ImpacttoCriticality[Impact Level],0),
                IF(OR(J26="SPARED",J26="Y",J26="yes",J26),2,1))</f>
        <v>#N/A</v>
      </c>
      <c r="L26" s="2" t="e">
        <v>#N/A</v>
      </c>
      <c r="M26" s="1" t="str">
        <f t="shared" si="3"/>
        <v>pass</v>
      </c>
      <c r="O26" s="7" t="e">
        <f>INDEX({10,10,10,10,8,6,4,2;10,10,10,9,7,5,3,1},
               IF(OR(J26="SPARED",J26="Y",J26="yes",J26),2,1),
               MATCH(I26,{"A","B","C","D","E","F","G","H"},0)
)</f>
        <v>#N/A</v>
      </c>
      <c r="P26" s="1" t="str">
        <f t="shared" si="5"/>
        <v>pass</v>
      </c>
      <c r="R26" s="7" t="e">
        <f>MATCH(I26,{"A","B","C","D","E","F","G","H"},0)</f>
        <v>#N/A</v>
      </c>
      <c r="S26" s="7">
        <f t="shared" si="4"/>
        <v>2</v>
      </c>
      <c r="T26" s="21" t="e">
        <f>INDEX({10,10,10,10,8,6,4,2;10,10,10,9,7,5,3,1},S26,R26)</f>
        <v>#N/A</v>
      </c>
    </row>
    <row r="27" spans="1:20" ht="16.5" thickTop="1" thickBot="1" x14ac:dyDescent="0.3">
      <c r="H27" s="111"/>
      <c r="I27" s="6">
        <v>1</v>
      </c>
      <c r="J27" s="4"/>
      <c r="K27" s="7" t="e">
        <f>INDEX(ImpacttoCriticality[[Criticality Unspared]:[Criticality If Redundancy]],
                MATCH(I27,ImpacttoCriticality[Impact Level],0),
                IF(OR(J27="SPARED",J27="Y",J27="yes",J27),2,1))</f>
        <v>#N/A</v>
      </c>
      <c r="L27" s="2" t="e">
        <v>#N/A</v>
      </c>
      <c r="M27" s="1" t="str">
        <f t="shared" si="3"/>
        <v>pass</v>
      </c>
      <c r="O27" s="7" t="e">
        <f>INDEX({10,10,10,10,8,6,4,2;10,10,10,9,7,5,3,1},
               IF(OR(J27="SPARED",J27="Y",J27="yes",J27),2,1),
               MATCH(I27,{"A","B","C","D","E","F","G","H"},0)
)</f>
        <v>#N/A</v>
      </c>
      <c r="P27" s="1" t="str">
        <f t="shared" si="5"/>
        <v>pass</v>
      </c>
      <c r="R27" s="7" t="e">
        <f>MATCH(I27,{"A","B","C","D","E","F","G","H"},0)</f>
        <v>#N/A</v>
      </c>
      <c r="S27" s="7">
        <f t="shared" si="4"/>
        <v>1</v>
      </c>
      <c r="T27" s="21" t="e">
        <f>INDEX({10,10,10,10,8,6,4,2;10,10,10,9,7,5,3,1},S27,R27)</f>
        <v>#N/A</v>
      </c>
    </row>
    <row r="28" spans="1:20" ht="16.5" thickTop="1" thickBot="1" x14ac:dyDescent="0.3">
      <c r="H28" s="111"/>
      <c r="I28" s="6" t="str">
        <f>" "</f>
        <v xml:space="preserve"> </v>
      </c>
      <c r="J28" s="4" t="s">
        <v>50</v>
      </c>
      <c r="K28" s="7" t="e">
        <f>INDEX(ImpacttoCriticality[[Criticality Unspared]:[Criticality If Redundancy]],
                MATCH(I28,ImpacttoCriticality[Impact Level],0),
                IF(OR(J28="SPARED",J28="Y",J28="yes",J28),2,1))</f>
        <v>#N/A</v>
      </c>
      <c r="L28" s="2" t="e">
        <v>#N/A</v>
      </c>
      <c r="M28" s="1" t="str">
        <f t="shared" si="3"/>
        <v>pass</v>
      </c>
      <c r="O28" s="7" t="e">
        <f>INDEX({10,10,10,10,8,6,4,2;10,10,10,9,7,5,3,1},
               IF(OR(J28="SPARED",J28="Y",J28="yes",J28),2,1),
               MATCH(I28,{"A","B","C","D","E","F","G","H"},0)
)</f>
        <v>#N/A</v>
      </c>
      <c r="P28" s="1" t="str">
        <f t="shared" si="5"/>
        <v>pass</v>
      </c>
      <c r="R28" s="7" t="e">
        <f>MATCH(I28,{"A","B","C","D","E","F","G","H"},0)</f>
        <v>#N/A</v>
      </c>
      <c r="S28" s="7">
        <f t="shared" si="4"/>
        <v>2</v>
      </c>
      <c r="T28" s="21" t="e">
        <f>INDEX({10,10,10,10,8,6,4,2;10,10,10,9,7,5,3,1},S28,R28)</f>
        <v>#N/A</v>
      </c>
    </row>
    <row r="29" spans="1:20" ht="15.75" thickTop="1" x14ac:dyDescent="0.25"/>
  </sheetData>
  <mergeCells count="2">
    <mergeCell ref="H7:H20"/>
    <mergeCell ref="H22:H28"/>
  </mergeCells>
  <pageMargins left="0.7" right="0.7" top="0.75" bottom="0.75" header="0.3" footer="0.3"/>
  <pageSetup paperSize="9" orientation="portrait" r:id="rId1"/>
  <legacy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R23"/>
  <sheetViews>
    <sheetView workbookViewId="0">
      <selection activeCell="M31" sqref="M31"/>
    </sheetView>
  </sheetViews>
  <sheetFormatPr defaultRowHeight="15" x14ac:dyDescent="0.25"/>
  <cols>
    <col min="2" max="2" width="17.5703125" customWidth="1"/>
    <col min="3" max="3" width="16.7109375" customWidth="1"/>
    <col min="5" max="5" width="17.5703125" customWidth="1"/>
    <col min="6" max="6" width="16.7109375" customWidth="1"/>
    <col min="7" max="7" width="5.5703125" customWidth="1"/>
  </cols>
  <sheetData>
    <row r="1" spans="2:18" x14ac:dyDescent="0.25">
      <c r="I1" s="20" t="s">
        <v>52</v>
      </c>
      <c r="J1" s="20"/>
      <c r="K1" s="20"/>
      <c r="L1" s="20"/>
      <c r="N1" s="19" t="s">
        <v>74</v>
      </c>
      <c r="O1" s="19"/>
      <c r="Q1" s="20" t="s">
        <v>74</v>
      </c>
    </row>
    <row r="2" spans="2:18" x14ac:dyDescent="0.25">
      <c r="I2" s="17" t="s">
        <v>76</v>
      </c>
      <c r="N2" s="17" t="s">
        <v>77</v>
      </c>
      <c r="Q2" s="17" t="s">
        <v>77</v>
      </c>
    </row>
    <row r="4" spans="2:18" x14ac:dyDescent="0.25">
      <c r="I4" s="17" t="s">
        <v>79</v>
      </c>
    </row>
    <row r="5" spans="2:18" x14ac:dyDescent="0.25">
      <c r="I5" t="s">
        <v>45</v>
      </c>
    </row>
    <row r="6" spans="2:18" ht="15.75" thickBot="1" x14ac:dyDescent="0.3">
      <c r="B6" t="s">
        <v>64</v>
      </c>
      <c r="C6" t="s">
        <v>65</v>
      </c>
      <c r="E6" s="32" t="s">
        <v>64</v>
      </c>
      <c r="F6" s="27" t="s">
        <v>65</v>
      </c>
      <c r="I6" t="s">
        <v>73</v>
      </c>
      <c r="J6" t="s">
        <v>47</v>
      </c>
      <c r="K6" t="s">
        <v>18</v>
      </c>
    </row>
    <row r="7" spans="2:18" ht="16.5" customHeight="1" thickTop="1" thickBot="1" x14ac:dyDescent="0.3">
      <c r="B7" s="2" t="s">
        <v>66</v>
      </c>
      <c r="C7" s="24" t="s">
        <v>69</v>
      </c>
      <c r="E7" s="2">
        <v>10</v>
      </c>
      <c r="F7" s="2" t="s">
        <v>69</v>
      </c>
      <c r="H7" s="115" t="s">
        <v>57</v>
      </c>
      <c r="I7" s="6">
        <v>10</v>
      </c>
      <c r="J7" s="7" t="str">
        <f>INDEX(CriticalityRatingToLevel[],
                MATCH(I7,CriticalityRatingToLevel[Criticality Rating],0),
                2)</f>
        <v>High</v>
      </c>
      <c r="K7" s="2" t="s">
        <v>69</v>
      </c>
      <c r="L7" s="1" t="str">
        <f t="shared" ref="L7:L12" si="0">IF(K7=J7,"pass","fail")</f>
        <v>pass</v>
      </c>
      <c r="N7" s="22" t="str">
        <f>INDEX({"Low","Low,","Low","Medium","Medium","Medium","Medium","High","High","High"},I7)</f>
        <v>High</v>
      </c>
      <c r="O7" s="1" t="str">
        <f t="shared" ref="O7:O12" si="1">IF(N7=K7,"pass","fail")</f>
        <v>pass</v>
      </c>
      <c r="Q7" s="22" t="str">
        <f>HLOOKUP(I7,{1,2,3,4,5,6,7,8,9,10;"Low","Low,","Low","Medium","Medium","Medium","Medium","High","High","High"},2,FALSE)</f>
        <v>High</v>
      </c>
      <c r="R7" s="1" t="str">
        <f t="shared" ref="R7:R12" si="2">IF(Q7=N7,"pass","fail")</f>
        <v>pass</v>
      </c>
    </row>
    <row r="8" spans="2:18" ht="16.5" thickTop="1" thickBot="1" x14ac:dyDescent="0.3">
      <c r="B8" s="2" t="s">
        <v>67</v>
      </c>
      <c r="C8" s="25" t="s">
        <v>70</v>
      </c>
      <c r="E8" s="2">
        <v>9</v>
      </c>
      <c r="F8" s="2" t="s">
        <v>69</v>
      </c>
      <c r="H8" s="115"/>
      <c r="I8" s="6">
        <v>8</v>
      </c>
      <c r="J8" s="7" t="str">
        <f>INDEX(CriticalityRatingToLevel[],
                MATCH(I8,CriticalityRatingToLevel[Criticality Rating],0),
                2)</f>
        <v>High</v>
      </c>
      <c r="K8" s="2" t="s">
        <v>69</v>
      </c>
      <c r="L8" s="1" t="str">
        <f t="shared" si="0"/>
        <v>pass</v>
      </c>
      <c r="N8" s="22" t="str">
        <f>INDEX({"Low","Low,","Low","Medium","Medium","Medium","Medium","High","High","High"},I8)</f>
        <v>High</v>
      </c>
      <c r="O8" s="1" t="str">
        <f t="shared" si="1"/>
        <v>pass</v>
      </c>
      <c r="Q8" s="22" t="str">
        <f>HLOOKUP(I8,{1,2,3,4,5,6,7,8,9,10;"Low","Low,","Low","Medium","Medium","Medium","Medium","High","High","High"},2,FALSE)</f>
        <v>High</v>
      </c>
      <c r="R8" s="1" t="str">
        <f t="shared" si="2"/>
        <v>pass</v>
      </c>
    </row>
    <row r="9" spans="2:18" ht="16.5" thickTop="1" thickBot="1" x14ac:dyDescent="0.3">
      <c r="B9" s="2" t="s">
        <v>68</v>
      </c>
      <c r="C9" s="26" t="s">
        <v>71</v>
      </c>
      <c r="E9" s="2">
        <v>8</v>
      </c>
      <c r="F9" s="2" t="s">
        <v>69</v>
      </c>
      <c r="H9" s="115"/>
      <c r="I9" s="6">
        <v>7</v>
      </c>
      <c r="J9" s="7" t="str">
        <f>INDEX(CriticalityRatingToLevel[],
                MATCH(I9,CriticalityRatingToLevel[Criticality Rating],0),
                2)</f>
        <v>Medium</v>
      </c>
      <c r="K9" s="2" t="s">
        <v>70</v>
      </c>
      <c r="L9" s="1" t="str">
        <f t="shared" si="0"/>
        <v>pass</v>
      </c>
      <c r="N9" s="22" t="str">
        <f>INDEX({"Low","Low,","Low","Medium","Medium","Medium","Medium","High","High","High"},I9)</f>
        <v>Medium</v>
      </c>
      <c r="O9" s="1" t="str">
        <f t="shared" si="1"/>
        <v>pass</v>
      </c>
      <c r="Q9" s="22" t="str">
        <f>HLOOKUP(I9,{1,2,3,4,5,6,7,8,9,10;"Low","Low,","Low","Medium","Medium","Medium","Medium","High","High","High"},2,FALSE)</f>
        <v>Medium</v>
      </c>
      <c r="R9" s="1" t="str">
        <f t="shared" si="2"/>
        <v>pass</v>
      </c>
    </row>
    <row r="10" spans="2:18" ht="16.5" thickTop="1" thickBot="1" x14ac:dyDescent="0.3">
      <c r="E10" s="2">
        <v>7</v>
      </c>
      <c r="F10" s="2" t="s">
        <v>70</v>
      </c>
      <c r="H10" s="115"/>
      <c r="I10" s="6">
        <v>4</v>
      </c>
      <c r="J10" s="7" t="str">
        <f>INDEX(CriticalityRatingToLevel[],
                MATCH(I10,CriticalityRatingToLevel[Criticality Rating],0),
                2)</f>
        <v>Medium</v>
      </c>
      <c r="K10" s="2" t="s">
        <v>70</v>
      </c>
      <c r="L10" s="1" t="str">
        <f t="shared" si="0"/>
        <v>pass</v>
      </c>
      <c r="N10" s="22" t="str">
        <f>INDEX({"Low","Low,","Low","Medium","Medium","Medium","Medium","High","High","High"},I10)</f>
        <v>Medium</v>
      </c>
      <c r="O10" s="1" t="str">
        <f t="shared" si="1"/>
        <v>pass</v>
      </c>
      <c r="Q10" s="22" t="str">
        <f>HLOOKUP(I10,{1,2,3,4,5,6,7,8,9,10;"Low","Low,","Low","Medium","Medium","Medium","Medium","High","High","High"},2,FALSE)</f>
        <v>Medium</v>
      </c>
      <c r="R10" s="1" t="str">
        <f t="shared" si="2"/>
        <v>pass</v>
      </c>
    </row>
    <row r="11" spans="2:18" ht="16.5" thickTop="1" thickBot="1" x14ac:dyDescent="0.3">
      <c r="E11" s="2">
        <v>6</v>
      </c>
      <c r="F11" s="2" t="s">
        <v>70</v>
      </c>
      <c r="H11" s="115"/>
      <c r="I11" s="6">
        <v>3</v>
      </c>
      <c r="J11" s="7" t="str">
        <f>INDEX(CriticalityRatingToLevel[],
                MATCH(I11,CriticalityRatingToLevel[Criticality Rating],0),
                2)</f>
        <v>Low</v>
      </c>
      <c r="K11" s="2" t="s">
        <v>71</v>
      </c>
      <c r="L11" s="1" t="str">
        <f t="shared" si="0"/>
        <v>pass</v>
      </c>
      <c r="N11" s="22" t="str">
        <f>INDEX({"Low","Low,","Low","Medium","Medium","Medium","Medium","High","High","High"},I11)</f>
        <v>Low</v>
      </c>
      <c r="O11" s="1" t="str">
        <f t="shared" si="1"/>
        <v>pass</v>
      </c>
      <c r="Q11" s="22" t="str">
        <f>HLOOKUP(I11,{1,2,3,4,5,6,7,8,9,10;"Low","Low,","Low","Medium","Medium","Medium","Medium","High","High","High"},2,FALSE)</f>
        <v>Low</v>
      </c>
      <c r="R11" s="1" t="str">
        <f t="shared" si="2"/>
        <v>pass</v>
      </c>
    </row>
    <row r="12" spans="2:18" ht="16.5" thickTop="1" thickBot="1" x14ac:dyDescent="0.3">
      <c r="E12" s="2">
        <v>5</v>
      </c>
      <c r="F12" s="2" t="s">
        <v>70</v>
      </c>
      <c r="H12" s="115"/>
      <c r="I12" s="6">
        <v>1</v>
      </c>
      <c r="J12" s="7" t="str">
        <f>INDEX(CriticalityRatingToLevel[],
                MATCH(I12,CriticalityRatingToLevel[Criticality Rating],0),
                2)</f>
        <v>Low</v>
      </c>
      <c r="K12" s="2" t="s">
        <v>71</v>
      </c>
      <c r="L12" s="1" t="str">
        <f t="shared" si="0"/>
        <v>pass</v>
      </c>
      <c r="N12" s="22" t="str">
        <f>INDEX({"Low","Low,","Low","Medium","Medium","Medium","Medium","High","High","High"},I12)</f>
        <v>Low</v>
      </c>
      <c r="O12" s="1" t="str">
        <f t="shared" si="1"/>
        <v>pass</v>
      </c>
      <c r="Q12" s="22" t="str">
        <f>HLOOKUP(I12,{1,2,3,4,5,6,7,8,9,10;"Low","Low,","Low","Medium","Medium","Medium","Medium","High","High","High"},2,FALSE)</f>
        <v>Low</v>
      </c>
      <c r="R12" s="1" t="str">
        <f t="shared" si="2"/>
        <v>pass</v>
      </c>
    </row>
    <row r="13" spans="2:18" ht="15.75" thickTop="1" x14ac:dyDescent="0.25">
      <c r="E13" s="2">
        <v>4</v>
      </c>
      <c r="F13" s="2" t="s">
        <v>70</v>
      </c>
    </row>
    <row r="14" spans="2:18" ht="15.75" thickBot="1" x14ac:dyDescent="0.3">
      <c r="E14" s="2">
        <v>3</v>
      </c>
      <c r="F14" s="2" t="s">
        <v>71</v>
      </c>
    </row>
    <row r="15" spans="2:18" ht="16.5" thickTop="1" thickBot="1" x14ac:dyDescent="0.3">
      <c r="E15" s="2">
        <v>2</v>
      </c>
      <c r="F15" s="2" t="s">
        <v>71</v>
      </c>
      <c r="H15" s="115" t="s">
        <v>80</v>
      </c>
      <c r="I15" s="6">
        <v>0</v>
      </c>
      <c r="J15" s="7" t="e">
        <f>INDEX(CriticalityRatingToLevel[],
                MATCH(I15,CriticalityRatingToLevel[Criticality Rating],0),
                2)</f>
        <v>#N/A</v>
      </c>
      <c r="K15" s="2" t="e">
        <v>#N/A</v>
      </c>
      <c r="L15" s="1" t="str">
        <f>IF(ISNA(J15),"pass","fail")</f>
        <v>pass</v>
      </c>
      <c r="N15" s="22" t="str">
        <f>INDEX({"Low","Low,","Low","Medium","Medium","Medium","Medium","High","High","High"},I15)</f>
        <v>Low</v>
      </c>
      <c r="O15" s="1" t="str">
        <f>IF(ISNA(I15),"pass","fail")</f>
        <v>fail</v>
      </c>
      <c r="Q15" s="22" t="e">
        <f>HLOOKUP(I15,{1,2,3,4,5,6,7,8,9,10;"Low","Low,","Low","Medium","Medium","Medium","Medium","High","High","High"},2,FALSE)</f>
        <v>#N/A</v>
      </c>
      <c r="R15" s="1" t="str">
        <f>IF(ISNA(Q15),"pass","fail")</f>
        <v>pass</v>
      </c>
    </row>
    <row r="16" spans="2:18" ht="16.5" thickTop="1" thickBot="1" x14ac:dyDescent="0.3">
      <c r="E16" s="2">
        <v>1</v>
      </c>
      <c r="F16" s="2" t="s">
        <v>71</v>
      </c>
      <c r="H16" s="115"/>
      <c r="I16" s="6">
        <v>-1</v>
      </c>
      <c r="J16" s="7" t="e">
        <f>INDEX(CriticalityRatingToLevel[],
                MATCH(I16,CriticalityRatingToLevel[Criticality Rating],0),
                2)</f>
        <v>#N/A</v>
      </c>
      <c r="K16" s="2" t="e">
        <v>#N/A</v>
      </c>
      <c r="L16" s="1" t="str">
        <f t="shared" ref="L16:L22" si="3">IF(ISNA(J16),"pass","fail")</f>
        <v>pass</v>
      </c>
      <c r="N16" s="22" t="e">
        <f>INDEX({"Low","Low,","Low","Medium","Medium","Medium","Medium","High","High","High"},I16)</f>
        <v>#VALUE!</v>
      </c>
      <c r="O16" s="1" t="str">
        <f t="shared" ref="O16:O22" si="4">IF(ISNA(I16),"pass","fail")</f>
        <v>fail</v>
      </c>
      <c r="Q16" s="22" t="e">
        <f>HLOOKUP(I16,{1,2,3,4,5,6,7,8,9,10;"Low","Low,","Low","Medium","Medium","Medium","Medium","High","High","High"},2,FALSE)</f>
        <v>#N/A</v>
      </c>
      <c r="R16" s="1" t="str">
        <f t="shared" ref="R16:R22" si="5">IF(ISNA(Q16),"pass","fail")</f>
        <v>pass</v>
      </c>
    </row>
    <row r="17" spans="8:18" ht="16.5" thickTop="1" thickBot="1" x14ac:dyDescent="0.3">
      <c r="H17" s="115"/>
      <c r="I17" s="6">
        <v>5.5</v>
      </c>
      <c r="J17" s="7" t="e">
        <f>INDEX(CriticalityRatingToLevel[],
                MATCH(I17,CriticalityRatingToLevel[Criticality Rating],0),
                2)</f>
        <v>#N/A</v>
      </c>
      <c r="K17" s="2" t="e">
        <v>#N/A</v>
      </c>
      <c r="L17" s="1" t="str">
        <f t="shared" si="3"/>
        <v>pass</v>
      </c>
      <c r="N17" s="22" t="str">
        <f>INDEX({"Low","Low,","Low","Medium","Medium","Medium","Medium","High","High","High"},I17)</f>
        <v>Medium</v>
      </c>
      <c r="O17" s="1" t="str">
        <f t="shared" si="4"/>
        <v>fail</v>
      </c>
      <c r="Q17" s="22" t="e">
        <f>HLOOKUP(I17,{1,2,3,4,5,6,7,8,9,10;"Low","Low,","Low","Medium","Medium","Medium","Medium","High","High","High"},2,FALSE)</f>
        <v>#N/A</v>
      </c>
      <c r="R17" s="1" t="str">
        <f t="shared" si="5"/>
        <v>pass</v>
      </c>
    </row>
    <row r="18" spans="8:18" ht="16.5" thickTop="1" thickBot="1" x14ac:dyDescent="0.3">
      <c r="H18" s="115"/>
      <c r="I18" s="6">
        <v>11</v>
      </c>
      <c r="J18" s="7" t="e">
        <f>INDEX(CriticalityRatingToLevel[],
                MATCH(I18,CriticalityRatingToLevel[Criticality Rating],0),
                2)</f>
        <v>#N/A</v>
      </c>
      <c r="K18" s="2" t="e">
        <v>#N/A</v>
      </c>
      <c r="L18" s="1" t="str">
        <f t="shared" si="3"/>
        <v>pass</v>
      </c>
      <c r="N18" s="22" t="e">
        <f>INDEX({"Low","Low,","Low","Medium","Medium","Medium","Medium","High","High","High"},I18)</f>
        <v>#REF!</v>
      </c>
      <c r="O18" s="1" t="str">
        <f t="shared" si="4"/>
        <v>fail</v>
      </c>
      <c r="Q18" s="22" t="e">
        <f>HLOOKUP(I18,{1,2,3,4,5,6,7,8,9,10;"Low","Low,","Low","Medium","Medium","Medium","Medium","High","High","High"},2,FALSE)</f>
        <v>#N/A</v>
      </c>
      <c r="R18" s="1" t="str">
        <f t="shared" si="5"/>
        <v>pass</v>
      </c>
    </row>
    <row r="19" spans="8:18" ht="16.5" thickTop="1" thickBot="1" x14ac:dyDescent="0.3">
      <c r="H19" s="115"/>
      <c r="I19" s="6" t="s">
        <v>0</v>
      </c>
      <c r="J19" s="7" t="e">
        <f>INDEX(CriticalityRatingToLevel[],
                MATCH(I19,CriticalityRatingToLevel[Criticality Rating],0),
                2)</f>
        <v>#N/A</v>
      </c>
      <c r="K19" s="2" t="e">
        <v>#N/A</v>
      </c>
      <c r="L19" s="1" t="str">
        <f t="shared" si="3"/>
        <v>pass</v>
      </c>
      <c r="N19" s="22" t="e">
        <f>INDEX({"Low","Low,","Low","Medium","Medium","Medium","Medium","High","High","High"},I19)</f>
        <v>#VALUE!</v>
      </c>
      <c r="O19" s="1" t="str">
        <f t="shared" si="4"/>
        <v>fail</v>
      </c>
      <c r="Q19" s="22" t="e">
        <f>HLOOKUP(I19,{1,2,3,4,5,6,7,8,9,10;"Low","Low,","Low","Medium","Medium","Medium","Medium","High","High","High"},2,FALSE)</f>
        <v>#N/A</v>
      </c>
      <c r="R19" s="1" t="str">
        <f t="shared" si="5"/>
        <v>pass</v>
      </c>
    </row>
    <row r="20" spans="8:18" ht="16.5" thickTop="1" thickBot="1" x14ac:dyDescent="0.3">
      <c r="H20" s="115"/>
      <c r="I20" s="6">
        <v>3.9998999999999998</v>
      </c>
      <c r="J20" s="7" t="e">
        <f>INDEX(CriticalityRatingToLevel[],
                MATCH(I20,CriticalityRatingToLevel[Criticality Rating],0),
                2)</f>
        <v>#N/A</v>
      </c>
      <c r="K20" s="2" t="e">
        <v>#N/A</v>
      </c>
      <c r="L20" s="1" t="str">
        <f>IF(ISNA(J20),"pass","fail")</f>
        <v>pass</v>
      </c>
      <c r="N20" s="22" t="str">
        <f>INDEX({"Low","Low,","Low","Medium","Medium","Medium","Medium","High","High","High"},I20)</f>
        <v>Low</v>
      </c>
      <c r="O20" s="1" t="str">
        <f>IF(ISNA(I20),"pass","fail")</f>
        <v>fail</v>
      </c>
      <c r="Q20" s="22" t="e">
        <f>HLOOKUP(I20,{1,2,3,4,5,6,7,8,9,10;"Low","Low,","Low","Medium","Medium","Medium","Medium","High","High","High"},2,FALSE)</f>
        <v>#N/A</v>
      </c>
      <c r="R20" s="1" t="str">
        <f t="shared" si="5"/>
        <v>pass</v>
      </c>
    </row>
    <row r="21" spans="8:18" ht="16.5" thickTop="1" thickBot="1" x14ac:dyDescent="0.3">
      <c r="H21" s="115"/>
      <c r="I21" s="6">
        <v>4.0010000000000003</v>
      </c>
      <c r="J21" s="7" t="e">
        <f>INDEX(CriticalityRatingToLevel[],
                MATCH(I21,CriticalityRatingToLevel[Criticality Rating],0),
                2)</f>
        <v>#N/A</v>
      </c>
      <c r="K21" s="2" t="e">
        <v>#N/A</v>
      </c>
      <c r="L21" s="1" t="str">
        <f>IF(ISNA(J21),"pass","fail")</f>
        <v>pass</v>
      </c>
      <c r="N21" s="22" t="str">
        <f>INDEX({"Low","Low,","Low","Medium","Medium","Medium","Medium","High","High","High"},I21)</f>
        <v>Medium</v>
      </c>
      <c r="O21" s="1" t="str">
        <f>IF(ISNA(I21),"pass","fail")</f>
        <v>fail</v>
      </c>
      <c r="Q21" s="22" t="e">
        <f>HLOOKUP(I21,{1,2,3,4,5,6,7,8,9,10;"Low","Low,","Low","Medium","Medium","Medium","Medium","High","High","High"},2,FALSE)</f>
        <v>#N/A</v>
      </c>
      <c r="R21" s="1" t="str">
        <f t="shared" si="5"/>
        <v>pass</v>
      </c>
    </row>
    <row r="22" spans="8:18" ht="16.5" thickTop="1" thickBot="1" x14ac:dyDescent="0.3">
      <c r="H22" s="115"/>
      <c r="I22" s="31" t="s">
        <v>81</v>
      </c>
      <c r="J22" s="7" t="e">
        <f>INDEX(CriticalityRatingToLevel[],
                MATCH(I22,CriticalityRatingToLevel[Criticality Rating],0),
                2)</f>
        <v>#N/A</v>
      </c>
      <c r="K22" s="2" t="e">
        <v>#N/A</v>
      </c>
      <c r="L22" s="1" t="str">
        <f t="shared" si="3"/>
        <v>pass</v>
      </c>
      <c r="N22" s="22" t="e">
        <f>INDEX({"Low","Low,","Low","Medium","Medium","Medium","Medium","High","High","High"},I22)</f>
        <v>#REF!</v>
      </c>
      <c r="O22" s="1" t="str">
        <f t="shared" si="4"/>
        <v>fail</v>
      </c>
      <c r="Q22" s="22" t="e">
        <f>HLOOKUP(I22,{1,2,3,4,5,6,7,8,9,10;"Low","Low,","Low","Medium","Medium","Medium","Medium","High","High","High"},2,FALSE)</f>
        <v>#N/A</v>
      </c>
      <c r="R22" s="1" t="str">
        <f t="shared" si="5"/>
        <v>pass</v>
      </c>
    </row>
    <row r="23" spans="8:18" ht="15.75" thickTop="1" x14ac:dyDescent="0.25"/>
  </sheetData>
  <mergeCells count="2">
    <mergeCell ref="H7:H12"/>
    <mergeCell ref="H15:H22"/>
  </mergeCells>
  <conditionalFormatting sqref="F7:F16">
    <cfRule type="cellIs" dxfId="72" priority="1" operator="equal">
      <formula>"Low"</formula>
    </cfRule>
    <cfRule type="cellIs" dxfId="71" priority="2" operator="equal">
      <formula>"High"</formula>
    </cfRule>
    <cfRule type="cellIs" dxfId="70" priority="3" operator="equal">
      <formula>"Medium"</formula>
    </cfRule>
  </conditionalFormatting>
  <pageMargins left="0.7" right="0.7" top="0.75" bottom="0.75" header="0.3" footer="0.3"/>
  <pageSetup paperSize="9" orientation="portrait" r:id="rId1"/>
  <legacy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23"/>
  <sheetViews>
    <sheetView workbookViewId="0">
      <selection activeCell="C29" sqref="C29"/>
    </sheetView>
  </sheetViews>
  <sheetFormatPr defaultRowHeight="15" x14ac:dyDescent="0.25"/>
  <cols>
    <col min="1" max="1" width="15" customWidth="1"/>
    <col min="2" max="2" width="18.42578125" customWidth="1"/>
    <col min="3" max="3" width="19.42578125" customWidth="1"/>
    <col min="4" max="4" width="23.7109375" customWidth="1"/>
    <col min="5" max="5" width="15.5703125" style="18" customWidth="1"/>
  </cols>
  <sheetData>
    <row r="1" spans="1:16" ht="20.25" thickBot="1" x14ac:dyDescent="0.35">
      <c r="A1" s="33" t="s">
        <v>82</v>
      </c>
      <c r="H1" s="19" t="s">
        <v>119</v>
      </c>
      <c r="I1" s="19"/>
      <c r="J1" s="19"/>
      <c r="K1" s="19"/>
      <c r="L1" s="19"/>
    </row>
    <row r="2" spans="1:16" ht="15.75" thickTop="1" x14ac:dyDescent="0.25">
      <c r="H2" s="17" t="s">
        <v>120</v>
      </c>
    </row>
    <row r="3" spans="1:16" x14ac:dyDescent="0.25">
      <c r="A3" t="s">
        <v>83</v>
      </c>
      <c r="B3" t="s">
        <v>84</v>
      </c>
      <c r="C3" t="s">
        <v>91</v>
      </c>
      <c r="D3" t="s">
        <v>95</v>
      </c>
      <c r="E3" s="18" t="s">
        <v>96</v>
      </c>
      <c r="H3" s="17" t="s">
        <v>122</v>
      </c>
    </row>
    <row r="4" spans="1:16" x14ac:dyDescent="0.25">
      <c r="A4" t="s">
        <v>85</v>
      </c>
      <c r="B4" t="s">
        <v>89</v>
      </c>
      <c r="C4" s="2">
        <v>7</v>
      </c>
      <c r="D4" t="s">
        <v>85</v>
      </c>
    </row>
    <row r="5" spans="1:16" x14ac:dyDescent="0.25">
      <c r="A5" t="s">
        <v>86</v>
      </c>
      <c r="B5" t="s">
        <v>90</v>
      </c>
      <c r="C5" s="2">
        <v>9</v>
      </c>
      <c r="D5" t="s">
        <v>92</v>
      </c>
      <c r="H5" t="s">
        <v>45</v>
      </c>
      <c r="I5" s="17" t="s">
        <v>118</v>
      </c>
    </row>
    <row r="6" spans="1:16" ht="15.75" thickBot="1" x14ac:dyDescent="0.3">
      <c r="A6" t="s">
        <v>87</v>
      </c>
      <c r="B6" t="s">
        <v>89</v>
      </c>
      <c r="C6" s="2">
        <v>7</v>
      </c>
      <c r="D6" t="s">
        <v>93</v>
      </c>
      <c r="E6" s="18" t="s">
        <v>90</v>
      </c>
      <c r="H6" t="s">
        <v>111</v>
      </c>
      <c r="I6" t="s">
        <v>112</v>
      </c>
      <c r="J6" t="s">
        <v>113</v>
      </c>
      <c r="K6" t="s">
        <v>114</v>
      </c>
      <c r="L6" t="s">
        <v>117</v>
      </c>
      <c r="M6" t="s">
        <v>18</v>
      </c>
      <c r="N6" t="s">
        <v>115</v>
      </c>
    </row>
    <row r="7" spans="1:16" ht="16.5" thickTop="1" thickBot="1" x14ac:dyDescent="0.3">
      <c r="A7" t="s">
        <v>88</v>
      </c>
      <c r="B7" t="s">
        <v>90</v>
      </c>
      <c r="C7" s="2">
        <v>9</v>
      </c>
      <c r="D7" t="s">
        <v>94</v>
      </c>
      <c r="H7" s="6" t="s">
        <v>0</v>
      </c>
      <c r="I7" s="6" t="s">
        <v>0</v>
      </c>
      <c r="J7" s="6" t="s">
        <v>0</v>
      </c>
      <c r="K7" s="6" t="s">
        <v>0</v>
      </c>
      <c r="L7" s="21" t="b">
        <f>OR(MID(H7,1,1)&lt;="E",MID(I7,1,1)&lt;="D",MID(J7,1,1)&lt;="E",MID(K7,1,1)&lt;="D")</f>
        <v>1</v>
      </c>
      <c r="M7" t="b">
        <v>1</v>
      </c>
      <c r="N7" s="1" t="str">
        <f t="shared" ref="N7:N16" si="0">IF(M7=L7, "pass", "fail")</f>
        <v>pass</v>
      </c>
    </row>
    <row r="8" spans="1:16" ht="16.5" thickTop="1" thickBot="1" x14ac:dyDescent="0.3">
      <c r="H8" s="6" t="s">
        <v>5</v>
      </c>
      <c r="I8" s="6" t="s">
        <v>5</v>
      </c>
      <c r="J8" s="6" t="s">
        <v>5</v>
      </c>
      <c r="K8" s="6" t="s">
        <v>5</v>
      </c>
      <c r="L8" s="21" t="b">
        <f t="shared" ref="L8:L13" si="1">OR(MID(H8,1,1)&lt;="E",MID(I8,1,1)&lt;="D",MID(J8,1,1)&lt;="E",MID(K8,1,1)&lt;="D")</f>
        <v>0</v>
      </c>
      <c r="M8" t="b">
        <v>0</v>
      </c>
      <c r="N8" s="1" t="str">
        <f t="shared" si="0"/>
        <v>pass</v>
      </c>
    </row>
    <row r="9" spans="1:16" ht="16.5" thickTop="1" thickBot="1" x14ac:dyDescent="0.3">
      <c r="H9" s="6" t="s">
        <v>7</v>
      </c>
      <c r="I9" s="6" t="s">
        <v>7</v>
      </c>
      <c r="J9" s="6" t="s">
        <v>7</v>
      </c>
      <c r="K9" s="6" t="s">
        <v>7</v>
      </c>
      <c r="L9" s="21" t="b">
        <f t="shared" si="1"/>
        <v>0</v>
      </c>
      <c r="M9" t="b">
        <v>0</v>
      </c>
      <c r="N9" s="1" t="str">
        <f t="shared" si="0"/>
        <v>pass</v>
      </c>
    </row>
    <row r="10" spans="1:16" ht="16.5" thickTop="1" thickBot="1" x14ac:dyDescent="0.3">
      <c r="H10" s="6" t="s">
        <v>116</v>
      </c>
      <c r="I10" s="6" t="s">
        <v>7</v>
      </c>
      <c r="J10" s="6" t="s">
        <v>7</v>
      </c>
      <c r="K10" s="6" t="s">
        <v>7</v>
      </c>
      <c r="L10" s="21" t="b">
        <f t="shared" si="1"/>
        <v>1</v>
      </c>
      <c r="M10" t="b">
        <v>1</v>
      </c>
      <c r="N10" s="1" t="str">
        <f t="shared" si="0"/>
        <v>pass</v>
      </c>
    </row>
    <row r="11" spans="1:16" ht="16.5" thickTop="1" thickBot="1" x14ac:dyDescent="0.3">
      <c r="H11" s="6" t="s">
        <v>4</v>
      </c>
      <c r="I11" s="6" t="s">
        <v>7</v>
      </c>
      <c r="J11" s="6" t="s">
        <v>7</v>
      </c>
      <c r="K11" s="6" t="s">
        <v>7</v>
      </c>
      <c r="L11" s="21" t="b">
        <f t="shared" si="1"/>
        <v>1</v>
      </c>
      <c r="M11" t="b">
        <v>1</v>
      </c>
      <c r="N11" s="1" t="str">
        <f t="shared" si="0"/>
        <v>pass</v>
      </c>
    </row>
    <row r="12" spans="1:16" ht="16.5" thickTop="1" thickBot="1" x14ac:dyDescent="0.3">
      <c r="H12" s="6" t="s">
        <v>7</v>
      </c>
      <c r="I12" s="6" t="s">
        <v>3</v>
      </c>
      <c r="J12" s="6" t="s">
        <v>7</v>
      </c>
      <c r="K12" s="6" t="s">
        <v>7</v>
      </c>
      <c r="L12" s="21" t="b">
        <f t="shared" si="1"/>
        <v>1</v>
      </c>
      <c r="M12" t="b">
        <v>1</v>
      </c>
      <c r="N12" s="1" t="str">
        <f t="shared" si="0"/>
        <v>pass</v>
      </c>
    </row>
    <row r="13" spans="1:16" ht="16.5" thickTop="1" thickBot="1" x14ac:dyDescent="0.3">
      <c r="H13" s="6" t="s">
        <v>6</v>
      </c>
      <c r="I13" s="6" t="s">
        <v>7</v>
      </c>
      <c r="J13" s="6" t="s">
        <v>4</v>
      </c>
      <c r="K13" s="6" t="s">
        <v>7</v>
      </c>
      <c r="L13" s="21" t="b">
        <f t="shared" si="1"/>
        <v>1</v>
      </c>
      <c r="M13" t="b">
        <v>1</v>
      </c>
      <c r="N13" s="1" t="str">
        <f t="shared" si="0"/>
        <v>pass</v>
      </c>
    </row>
    <row r="14" spans="1:16" ht="16.5" thickTop="1" thickBot="1" x14ac:dyDescent="0.3">
      <c r="H14" s="6" t="s">
        <v>6</v>
      </c>
      <c r="I14" s="6" t="s">
        <v>7</v>
      </c>
      <c r="J14" s="6" t="s">
        <v>7</v>
      </c>
      <c r="K14" s="6" t="s">
        <v>3</v>
      </c>
      <c r="L14" s="21" t="b">
        <f>OR(MID(H14,1,1)&lt;="E",MID(I14,1,1)&lt;="D",MID(J14,1,1)&lt;="E",MID(K14,1,1)&lt;="D")</f>
        <v>1</v>
      </c>
      <c r="M14" t="b">
        <v>1</v>
      </c>
      <c r="N14" s="1" t="str">
        <f t="shared" si="0"/>
        <v>pass</v>
      </c>
      <c r="P14" t="str">
        <f>MID(K16,1,1)</f>
        <v/>
      </c>
    </row>
    <row r="15" spans="1:16" ht="16.5" thickTop="1" thickBot="1" x14ac:dyDescent="0.3">
      <c r="H15" s="6" t="s">
        <v>5</v>
      </c>
      <c r="I15" s="6" t="s">
        <v>4</v>
      </c>
      <c r="J15" s="6" t="s">
        <v>5</v>
      </c>
      <c r="K15" s="6" t="s">
        <v>4</v>
      </c>
      <c r="L15" s="21" t="b">
        <f>OR(MID(H15,1,1)&lt;="E",MID(I15,1,1)&lt;="D",MID(J15,1,1)&lt;="E",MID(K15,1,1)&lt;="D")</f>
        <v>0</v>
      </c>
      <c r="M15" t="b">
        <v>0</v>
      </c>
      <c r="N15" s="1" t="str">
        <f t="shared" si="0"/>
        <v>pass</v>
      </c>
    </row>
    <row r="16" spans="1:16" ht="16.5" thickTop="1" thickBot="1" x14ac:dyDescent="0.3">
      <c r="H16" s="35"/>
      <c r="I16" s="35"/>
      <c r="J16" s="35"/>
      <c r="K16" s="35"/>
      <c r="L16" s="21" t="b">
        <f>OR(MID(H16,1,1)&lt;="E",MID(I16,1,1)&lt;="D",MID(J16,1,1)&lt;="E",MID(K16,1,1)&lt;="D")</f>
        <v>1</v>
      </c>
      <c r="M16" t="b">
        <v>1</v>
      </c>
      <c r="N16" s="1" t="str">
        <f t="shared" si="0"/>
        <v>pass</v>
      </c>
    </row>
    <row r="17" spans="8:14" ht="16.5" thickTop="1" thickBot="1" x14ac:dyDescent="0.3"/>
    <row r="18" spans="8:14" ht="16.5" thickTop="1" thickBot="1" x14ac:dyDescent="0.3">
      <c r="H18" s="35" t="s">
        <v>110</v>
      </c>
      <c r="I18" s="35" t="s">
        <v>110</v>
      </c>
      <c r="J18" s="35" t="s">
        <v>110</v>
      </c>
      <c r="K18" s="35" t="s">
        <v>110</v>
      </c>
      <c r="L18" s="21" t="b">
        <f>OR(MID(H18,1,1)&lt;="E",MID(I18,1,1)&lt;="D",MID(J18,1,1)&lt;="E",MID(K18,1,1)&lt;="D")</f>
        <v>0</v>
      </c>
      <c r="M18" t="e">
        <v>#N/A</v>
      </c>
      <c r="N18" s="1" t="str">
        <f>IF(ISNA(L18), "pass", "fail")</f>
        <v>fail</v>
      </c>
    </row>
    <row r="19" spans="8:14" ht="16.5" thickTop="1" thickBot="1" x14ac:dyDescent="0.3">
      <c r="H19" s="35" t="s">
        <v>121</v>
      </c>
      <c r="I19" s="35" t="s">
        <v>121</v>
      </c>
      <c r="J19" s="35" t="s">
        <v>121</v>
      </c>
      <c r="K19" s="35" t="s">
        <v>121</v>
      </c>
      <c r="L19" s="21" t="b">
        <f>OR(MID(H19,1,1)&lt;="E",MID(I19,1,1)&lt;="D",MID(J19,1,1)&lt;="E",MID(K19,1,1)&lt;="D")</f>
        <v>0</v>
      </c>
      <c r="M19" t="e">
        <v>#N/A</v>
      </c>
      <c r="N19" s="1" t="str">
        <f>IF(ISNA(L19), "pass", "fail")</f>
        <v>fail</v>
      </c>
    </row>
    <row r="20" spans="8:14" ht="16.5" thickTop="1" thickBot="1" x14ac:dyDescent="0.3">
      <c r="H20" s="35">
        <v>1</v>
      </c>
      <c r="I20" s="35">
        <v>2</v>
      </c>
      <c r="J20" s="35">
        <v>3</v>
      </c>
      <c r="K20" s="35">
        <v>4</v>
      </c>
      <c r="L20" s="21" t="b">
        <f>OR(MID(H20,1,1)&lt;="E",MID(I20,1,1)&lt;="D",MID(J20,1,1)&lt;="E",MID(K20,1,1)&lt;="D")</f>
        <v>1</v>
      </c>
      <c r="M20" t="e">
        <v>#N/A</v>
      </c>
      <c r="N20" s="1" t="str">
        <f>IF(ISNA(L20), "pass", "fail")</f>
        <v>fail</v>
      </c>
    </row>
    <row r="21" spans="8:14" ht="16.5" thickTop="1" thickBot="1" x14ac:dyDescent="0.3">
      <c r="H21" s="35">
        <v>0</v>
      </c>
      <c r="I21" s="35">
        <v>0</v>
      </c>
      <c r="J21" s="35">
        <v>0</v>
      </c>
      <c r="K21" s="35">
        <v>0</v>
      </c>
      <c r="L21" s="21" t="b">
        <f>OR(MID(H21,1,1)&lt;="E",MID(I21,1,1)&lt;="D",MID(J21,1,1)&lt;="E",MID(K21,1,1)&lt;="D")</f>
        <v>1</v>
      </c>
      <c r="M21" t="e">
        <v>#N/A</v>
      </c>
      <c r="N21" s="1" t="str">
        <f>IF(ISNA(L21), "pass", "fail")</f>
        <v>fail</v>
      </c>
    </row>
    <row r="22" spans="8:14" ht="16.5" thickTop="1" thickBot="1" x14ac:dyDescent="0.3">
      <c r="H22" s="35" t="s">
        <v>123</v>
      </c>
      <c r="I22" s="35" t="s">
        <v>123</v>
      </c>
      <c r="J22" s="35" t="s">
        <v>123</v>
      </c>
      <c r="K22" s="35" t="s">
        <v>123</v>
      </c>
      <c r="L22" s="21" t="b">
        <f>OR(MID(H22,1,1)&lt;="E",MID(I22,1,1)&lt;="D",MID(J22,1,1)&lt;="E",MID(K22,1,1)&lt;="D")</f>
        <v>1</v>
      </c>
      <c r="M22" t="e">
        <v>#N/A</v>
      </c>
      <c r="N22" s="1" t="str">
        <f>IF(ISNA(L22), "pass", "fail")</f>
        <v>fail</v>
      </c>
    </row>
    <row r="23" spans="8:14" ht="15.75" thickTop="1" x14ac:dyDescent="0.25"/>
  </sheetData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26"/>
  <sheetViews>
    <sheetView workbookViewId="0">
      <selection activeCell="M7" sqref="M7"/>
    </sheetView>
  </sheetViews>
  <sheetFormatPr defaultRowHeight="15" x14ac:dyDescent="0.25"/>
  <cols>
    <col min="2" max="2" width="11" customWidth="1"/>
  </cols>
  <sheetData>
    <row r="1" spans="1:25" x14ac:dyDescent="0.25">
      <c r="C1" s="116" t="s">
        <v>17</v>
      </c>
      <c r="D1" s="116"/>
      <c r="E1" s="116"/>
      <c r="F1" s="116"/>
      <c r="G1" s="116"/>
      <c r="R1" s="17" t="s">
        <v>107</v>
      </c>
    </row>
    <row r="2" spans="1:25" x14ac:dyDescent="0.25">
      <c r="B2" t="s">
        <v>8</v>
      </c>
      <c r="C2" t="s">
        <v>11</v>
      </c>
      <c r="D2" t="s">
        <v>12</v>
      </c>
      <c r="E2" t="s">
        <v>13</v>
      </c>
      <c r="F2" t="s">
        <v>14</v>
      </c>
      <c r="G2" t="s">
        <v>15</v>
      </c>
      <c r="R2" s="17" t="s">
        <v>103</v>
      </c>
      <c r="U2" s="17" t="s">
        <v>108</v>
      </c>
    </row>
    <row r="3" spans="1:25" x14ac:dyDescent="0.25">
      <c r="A3" s="117" t="s">
        <v>8</v>
      </c>
      <c r="B3" t="s">
        <v>4</v>
      </c>
      <c r="C3" t="s">
        <v>1</v>
      </c>
      <c r="D3" t="s">
        <v>1</v>
      </c>
      <c r="E3" t="s">
        <v>0</v>
      </c>
      <c r="F3" t="s">
        <v>0</v>
      </c>
      <c r="G3" t="s">
        <v>0</v>
      </c>
      <c r="J3" s="10" t="s">
        <v>33</v>
      </c>
      <c r="K3" s="10"/>
      <c r="L3" s="10"/>
      <c r="M3" s="10"/>
      <c r="R3" s="34" t="str">
        <f>{"B","B","A","A","A";"C","B","B","B","A";"C","C","C","B","B";"C","C","C","C","C"}</f>
        <v>B</v>
      </c>
      <c r="U3" s="34" t="str">
        <f t="array" ref="U3:Y5">{"B","B","A","A","A";"C","B","B","B","A";"C","C","C","B","B";"C","C","C","C","C"}</f>
        <v>B</v>
      </c>
      <c r="V3" s="34" t="str">
        <v>B</v>
      </c>
      <c r="W3" s="34" t="str">
        <v>A</v>
      </c>
      <c r="X3" s="34" t="str">
        <v>A</v>
      </c>
      <c r="Y3" s="34" t="str">
        <v>A</v>
      </c>
    </row>
    <row r="4" spans="1:25" x14ac:dyDescent="0.25">
      <c r="A4" s="117"/>
      <c r="B4" t="s">
        <v>5</v>
      </c>
      <c r="C4" t="s">
        <v>2</v>
      </c>
      <c r="D4" t="s">
        <v>1</v>
      </c>
      <c r="E4" t="s">
        <v>1</v>
      </c>
      <c r="F4" t="s">
        <v>1</v>
      </c>
      <c r="G4" t="s">
        <v>0</v>
      </c>
      <c r="J4" s="7" t="s">
        <v>21</v>
      </c>
      <c r="K4" s="6" t="s">
        <v>32</v>
      </c>
      <c r="L4" s="6" t="s">
        <v>31</v>
      </c>
      <c r="M4" s="9"/>
      <c r="U4" s="34" t="str">
        <v>C</v>
      </c>
      <c r="V4" s="34" t="str">
        <v>B</v>
      </c>
      <c r="W4" s="34" t="str">
        <v>B</v>
      </c>
      <c r="X4" s="34" t="str">
        <v>B</v>
      </c>
      <c r="Y4" s="34" t="str">
        <v>A</v>
      </c>
    </row>
    <row r="5" spans="1:25" x14ac:dyDescent="0.25">
      <c r="A5" s="117"/>
      <c r="B5" t="s">
        <v>6</v>
      </c>
      <c r="C5" t="s">
        <v>2</v>
      </c>
      <c r="D5" t="s">
        <v>2</v>
      </c>
      <c r="E5" t="s">
        <v>2</v>
      </c>
      <c r="F5" t="s">
        <v>1</v>
      </c>
      <c r="G5" t="s">
        <v>1</v>
      </c>
      <c r="U5" s="34" t="str">
        <v>C</v>
      </c>
      <c r="V5" s="34" t="str">
        <v>C</v>
      </c>
      <c r="W5" s="34" t="str">
        <v>C</v>
      </c>
      <c r="X5" s="34" t="str">
        <v>B</v>
      </c>
      <c r="Y5" s="34" t="str">
        <v>B</v>
      </c>
    </row>
    <row r="6" spans="1:25" ht="15.75" thickBot="1" x14ac:dyDescent="0.3">
      <c r="A6" s="117"/>
      <c r="B6" t="s">
        <v>7</v>
      </c>
      <c r="C6" t="s">
        <v>2</v>
      </c>
      <c r="D6" t="s">
        <v>2</v>
      </c>
      <c r="E6" t="s">
        <v>2</v>
      </c>
      <c r="F6" t="s">
        <v>2</v>
      </c>
      <c r="G6" t="s">
        <v>2</v>
      </c>
      <c r="K6" t="s">
        <v>8</v>
      </c>
      <c r="L6" t="s">
        <v>17</v>
      </c>
      <c r="M6" t="s">
        <v>20</v>
      </c>
      <c r="N6" t="s">
        <v>18</v>
      </c>
      <c r="O6" t="s">
        <v>19</v>
      </c>
      <c r="R6" s="17" t="s">
        <v>104</v>
      </c>
      <c r="S6" s="17" t="s">
        <v>105</v>
      </c>
      <c r="T6" s="17" t="s">
        <v>106</v>
      </c>
    </row>
    <row r="7" spans="1:25" ht="16.5" customHeight="1" thickTop="1" thickBot="1" x14ac:dyDescent="0.3">
      <c r="J7" s="112" t="s">
        <v>26</v>
      </c>
      <c r="K7" s="4" t="s">
        <v>4</v>
      </c>
      <c r="L7" s="4">
        <v>3</v>
      </c>
      <c r="M7" s="7" t="str">
        <f>INDEX({"B","B","A","A","A";"C","B","B","B","A";"C","C","C","B","B";"C","C","C","C","C"},MATCH(K7,{"E","F","G","H"},0),MATCH(L7,{3,4,5,6,7},0))</f>
        <v>B</v>
      </c>
      <c r="N7" s="2" t="s">
        <v>1</v>
      </c>
      <c r="O7" s="1" t="str">
        <f t="shared" ref="O7:O13" si="0">IF(N7=M7,"pass","fail")</f>
        <v>pass</v>
      </c>
      <c r="R7">
        <f>MATCH(K7,{"E","F","G","H"},0)</f>
        <v>1</v>
      </c>
      <c r="S7">
        <f>MATCH(L7,{3,4,5,6,7},0)</f>
        <v>1</v>
      </c>
      <c r="T7" t="str">
        <f>INDEX({"B","B","A","A","A";"C","B","B","B","A";"C","C","C","B","B";"C","C","C","C","C"},R7,S7)</f>
        <v>B</v>
      </c>
    </row>
    <row r="8" spans="1:25" ht="16.5" thickTop="1" thickBot="1" x14ac:dyDescent="0.3">
      <c r="J8" s="113"/>
      <c r="K8" s="4" t="s">
        <v>7</v>
      </c>
      <c r="L8" s="4">
        <v>7</v>
      </c>
      <c r="M8" s="7" t="str">
        <f>INDEX({"B","B","A","A","A";"C","B","B","B","A";"C","C","C","B","B";"C","C","C","C","C"},MATCH(K8,{"E","F","G","H"},0),MATCH(L8,{3,4,5,6,7},0))</f>
        <v>C</v>
      </c>
      <c r="N8" s="2" t="s">
        <v>2</v>
      </c>
      <c r="O8" s="1" t="str">
        <f t="shared" si="0"/>
        <v>pass</v>
      </c>
      <c r="R8">
        <f>MATCH(K8,{"E","F","G","H"},0)</f>
        <v>4</v>
      </c>
      <c r="S8">
        <f>MATCH(L8,{3,4,5,6,7},0)</f>
        <v>5</v>
      </c>
      <c r="T8" t="str">
        <f>INDEX({"B","B","A","A","A";"C","B","B","B","A";"C","C","C","B","B";"C","C","C","C","C"},R8,S8)</f>
        <v>C</v>
      </c>
    </row>
    <row r="9" spans="1:25" ht="16.5" thickTop="1" thickBot="1" x14ac:dyDescent="0.3">
      <c r="J9" s="113"/>
      <c r="K9" s="4" t="s">
        <v>5</v>
      </c>
      <c r="L9" s="4">
        <v>3</v>
      </c>
      <c r="M9" s="7" t="str">
        <f>INDEX({"B","B","A","A","A";"C","B","B","B","A";"C","C","C","B","B";"C","C","C","C","C"},MATCH(K9,{"E","F","G","H"},0),MATCH(L9,{3,4,5,6,7},0))</f>
        <v>C</v>
      </c>
      <c r="N9" s="2" t="s">
        <v>2</v>
      </c>
      <c r="O9" s="1" t="str">
        <f t="shared" si="0"/>
        <v>pass</v>
      </c>
      <c r="R9">
        <f>MATCH(K9,{"E","F","G","H"},0)</f>
        <v>2</v>
      </c>
      <c r="S9">
        <f>MATCH(L9,{3,4,5,6,7},0)</f>
        <v>1</v>
      </c>
      <c r="T9" t="str">
        <f>INDEX({"B","B","A","A","A";"C","B","B","B","A";"C","C","C","B","B";"C","C","C","C","C"},R9,S9)</f>
        <v>C</v>
      </c>
    </row>
    <row r="10" spans="1:25" ht="16.5" thickTop="1" thickBot="1" x14ac:dyDescent="0.3">
      <c r="J10" s="113"/>
      <c r="K10" s="4" t="s">
        <v>5</v>
      </c>
      <c r="L10" s="4">
        <v>4</v>
      </c>
      <c r="M10" s="7" t="str">
        <f>INDEX({"B","B","A","A","A";"C","B","B","B","A";"C","C","C","B","B";"C","C","C","C","C"},MATCH(K10,{"E","F","G","H"},0),MATCH(L10,{3,4,5,6,7},0))</f>
        <v>B</v>
      </c>
      <c r="N10" s="2" t="s">
        <v>1</v>
      </c>
      <c r="O10" s="1" t="str">
        <f t="shared" si="0"/>
        <v>pass</v>
      </c>
      <c r="R10">
        <f>MATCH(K10,{"E","F","G","H"},0)</f>
        <v>2</v>
      </c>
      <c r="S10">
        <f>MATCH(L10,{3,4,5,6,7},0)</f>
        <v>2</v>
      </c>
      <c r="T10" t="str">
        <f>INDEX({"B","B","A","A","A";"C","B","B","B","A";"C","C","C","B","B";"C","C","C","C","C"},R10,S10)</f>
        <v>B</v>
      </c>
    </row>
    <row r="11" spans="1:25" ht="16.5" thickTop="1" thickBot="1" x14ac:dyDescent="0.3">
      <c r="J11" s="113"/>
      <c r="K11" s="4" t="s">
        <v>6</v>
      </c>
      <c r="L11" s="4">
        <v>5</v>
      </c>
      <c r="M11" s="7" t="str">
        <f>INDEX({"B","B","A","A","A";"C","B","B","B","A";"C","C","C","B","B";"C","C","C","C","C"},MATCH(K11,{"E","F","G","H"},0),MATCH(L11,{3,4,5,6,7},0))</f>
        <v>C</v>
      </c>
      <c r="N11" s="2" t="s">
        <v>2</v>
      </c>
      <c r="O11" s="1" t="str">
        <f t="shared" si="0"/>
        <v>pass</v>
      </c>
      <c r="R11">
        <f>MATCH(K11,{"E","F","G","H"},0)</f>
        <v>3</v>
      </c>
      <c r="S11">
        <f>MATCH(L11,{3,4,5,6,7},0)</f>
        <v>3</v>
      </c>
      <c r="T11" t="str">
        <f>INDEX({"B","B","A","A","A";"C","B","B","B","A";"C","C","C","B","B";"C","C","C","C","C"},R11,S11)</f>
        <v>C</v>
      </c>
    </row>
    <row r="12" spans="1:25" ht="16.5" thickTop="1" thickBot="1" x14ac:dyDescent="0.3">
      <c r="J12" s="113"/>
      <c r="K12" s="4" t="s">
        <v>6</v>
      </c>
      <c r="L12" s="4">
        <v>6</v>
      </c>
      <c r="M12" s="7" t="str">
        <f>INDEX({"B","B","A","A","A";"C","B","B","B","A";"C","C","C","B","B";"C","C","C","C","C"},MATCH(K12,{"E","F","G","H"},0),MATCH(L12,{3,4,5,6,7},0))</f>
        <v>B</v>
      </c>
      <c r="N12" s="2" t="s">
        <v>1</v>
      </c>
      <c r="O12" s="1" t="str">
        <f t="shared" si="0"/>
        <v>pass</v>
      </c>
      <c r="R12">
        <f>MATCH(K12,{"E","F","G","H"},0)</f>
        <v>3</v>
      </c>
      <c r="S12">
        <f>MATCH(L12,{3,4,5,6,7},0)</f>
        <v>4</v>
      </c>
      <c r="T12" t="str">
        <f>INDEX({"B","B","A","A","A";"C","B","B","B","A";"C","C","C","B","B";"C","C","C","C","C"},R12,S12)</f>
        <v>B</v>
      </c>
    </row>
    <row r="13" spans="1:25" ht="16.5" thickTop="1" thickBot="1" x14ac:dyDescent="0.3">
      <c r="J13" s="114"/>
      <c r="K13" s="4" t="s">
        <v>109</v>
      </c>
      <c r="L13" s="4">
        <v>6</v>
      </c>
      <c r="M13" s="7" t="str">
        <f>INDEX({"B","B","A","A","A";"C","B","B","B","A";"C","C","C","B","B";"C","C","C","C","C"},MATCH(K13,{"E","F","G","H"},0),MATCH(L13,{3,4,5,6,7},0))</f>
        <v>B</v>
      </c>
      <c r="N13" s="2" t="s">
        <v>1</v>
      </c>
      <c r="O13" s="1" t="str">
        <f t="shared" si="0"/>
        <v>pass</v>
      </c>
      <c r="R13">
        <f>MATCH(K13,{"E","F","G","H"},0)</f>
        <v>3</v>
      </c>
      <c r="S13">
        <f>MATCH(L13,{3,4,5,6,7},0)</f>
        <v>4</v>
      </c>
      <c r="T13" t="str">
        <f>INDEX({"B","B","A","A","A";"C","B","B","B","A";"C","C","C","B","B";"C","C","C","C","C"},R13,S13)</f>
        <v>B</v>
      </c>
    </row>
    <row r="14" spans="1:25" ht="15.75" thickTop="1" x14ac:dyDescent="0.25">
      <c r="J14" t="s">
        <v>24</v>
      </c>
    </row>
    <row r="15" spans="1:25" ht="15.75" thickBot="1" x14ac:dyDescent="0.3">
      <c r="N15" t="s">
        <v>23</v>
      </c>
    </row>
    <row r="16" spans="1:25" ht="16.5" thickTop="1" thickBot="1" x14ac:dyDescent="0.3">
      <c r="J16" s="111" t="s">
        <v>27</v>
      </c>
      <c r="K16" s="4" t="s">
        <v>0</v>
      </c>
      <c r="L16" s="4">
        <v>9</v>
      </c>
      <c r="M16" s="7" t="e">
        <f>INDEX({"B","B","A","A","A";"C","B","B","B","A";"C","C","C","B","B";"C","C","C","C","C"},MATCH(K16,{"E","F","G","H"},0),MATCH(L16,{3,4,5,6,7},0))</f>
        <v>#N/A</v>
      </c>
      <c r="N16" t="e">
        <v>#N/A</v>
      </c>
      <c r="O16" s="1" t="str">
        <f>IF(ISNA(M16), "OK", "error")</f>
        <v>OK</v>
      </c>
      <c r="R16" t="e">
        <f>MATCH(K16,{"E","F","G","H"},0)</f>
        <v>#N/A</v>
      </c>
      <c r="S16" t="e">
        <f>MATCH(L16,{3,4,5,6,7},0)</f>
        <v>#N/A</v>
      </c>
      <c r="T16" t="e">
        <f>INDEX({"B","B","A","A","A";"C","B","B","B","A";"C","C","C","B","B";"C","C","C","C","C"},R16,S16)</f>
        <v>#N/A</v>
      </c>
    </row>
    <row r="17" spans="10:20" ht="16.5" thickTop="1" thickBot="1" x14ac:dyDescent="0.3">
      <c r="J17" s="111"/>
      <c r="K17" s="4" t="s">
        <v>110</v>
      </c>
      <c r="L17" s="4">
        <v>1</v>
      </c>
      <c r="M17" s="7" t="e">
        <f>INDEX({"B","B","A","A","A";"C","B","B","B","A";"C","C","C","B","B";"C","C","C","C","C"},MATCH(K17,{"E","F","G","H"},0),MATCH(L17,{3,4,5,6,7},0))</f>
        <v>#N/A</v>
      </c>
      <c r="N17" t="e">
        <v>#N/A</v>
      </c>
      <c r="O17" s="1" t="str">
        <f t="shared" ref="O17:O25" si="1">IF(ISNA(M17), "OK", "error")</f>
        <v>OK</v>
      </c>
      <c r="R17" t="e">
        <f>MATCH(K17,{"E","F","G","H"},0)</f>
        <v>#N/A</v>
      </c>
      <c r="S17" t="e">
        <f>MATCH(L17,{3,4,5,6,7},0)</f>
        <v>#N/A</v>
      </c>
      <c r="T17" t="e">
        <f>INDEX({"B","B","A","A","A";"C","B","B","B","A";"C","C","C","B","B";"C","C","C","C","C"},R17,S17)</f>
        <v>#N/A</v>
      </c>
    </row>
    <row r="18" spans="10:20" ht="16.5" thickTop="1" thickBot="1" x14ac:dyDescent="0.3">
      <c r="J18" s="111"/>
      <c r="K18" s="4" t="s">
        <v>6</v>
      </c>
      <c r="L18" s="4">
        <v>0</v>
      </c>
      <c r="M18" s="7" t="e">
        <f>INDEX({"B","B","A","A","A";"C","B","B","B","A";"C","C","C","B","B";"C","C","C","C","C"},MATCH(K18,{"E","F","G","H"},0),MATCH(L18,{3,4,5,6,7},0))</f>
        <v>#N/A</v>
      </c>
      <c r="N18" t="e">
        <v>#N/A</v>
      </c>
      <c r="O18" s="1" t="str">
        <f t="shared" si="1"/>
        <v>OK</v>
      </c>
      <c r="R18">
        <f>MATCH(K18,{"E","F","G","H"},0)</f>
        <v>3</v>
      </c>
      <c r="S18" t="e">
        <f>MATCH(L18,{3,4,5,6,7},0)</f>
        <v>#N/A</v>
      </c>
      <c r="T18" t="e">
        <f>INDEX({"B","B","A","A","A";"C","B","B","B","A";"C","C","C","B","B";"C","C","C","C","C"},R18,S18)</f>
        <v>#N/A</v>
      </c>
    </row>
    <row r="19" spans="10:20" ht="16.5" thickTop="1" thickBot="1" x14ac:dyDescent="0.3">
      <c r="J19" s="111"/>
      <c r="K19" s="4" t="s">
        <v>25</v>
      </c>
      <c r="L19" s="4">
        <v>8</v>
      </c>
      <c r="M19" s="7" t="e">
        <f>INDEX({"B","B","A","A","A";"C","B","B","B","A";"C","C","C","B","B";"C","C","C","C","C"},MATCH(K19,{"E","F","G","H"},0),MATCH(L19,{3,4,5,6,7},0))</f>
        <v>#N/A</v>
      </c>
      <c r="N19" t="e">
        <v>#N/A</v>
      </c>
      <c r="O19" s="1" t="str">
        <f t="shared" si="1"/>
        <v>OK</v>
      </c>
      <c r="R19" t="e">
        <f>MATCH(K19,{"E","F","G","H"},0)</f>
        <v>#N/A</v>
      </c>
      <c r="S19" t="e">
        <f>MATCH(L19,{3,4,5,6,7},0)</f>
        <v>#N/A</v>
      </c>
      <c r="T19" t="e">
        <f>INDEX({"B","B","A","A","A";"C","B","B","B","A";"C","C","C","B","B";"C","C","C","C","C"},R19,S19)</f>
        <v>#N/A</v>
      </c>
    </row>
    <row r="20" spans="10:20" ht="16.5" thickTop="1" thickBot="1" x14ac:dyDescent="0.3">
      <c r="J20" s="111"/>
      <c r="K20" s="4">
        <v>4</v>
      </c>
      <c r="L20" s="4" t="s">
        <v>2</v>
      </c>
      <c r="M20" s="7" t="e">
        <f>INDEX({"B","B","A","A","A";"C","B","B","B","A";"C","C","C","B","B";"C","C","C","C","C"},MATCH(K20,{"E","F","G","H"},0),MATCH(L20,{3,4,5,6,7},0))</f>
        <v>#N/A</v>
      </c>
      <c r="N20" t="e">
        <v>#N/A</v>
      </c>
      <c r="O20" s="1" t="str">
        <f t="shared" si="1"/>
        <v>OK</v>
      </c>
      <c r="R20" t="e">
        <f>MATCH(K20,{"E","F","G","H"},0)</f>
        <v>#N/A</v>
      </c>
      <c r="S20" t="e">
        <f>MATCH(L20,{3,4,5,6,7},0)</f>
        <v>#N/A</v>
      </c>
      <c r="T20" t="e">
        <f>INDEX({"B","B","A","A","A";"C","B","B","B","A";"C","C","C","B","B";"C","C","C","C","C"},R20,S20)</f>
        <v>#N/A</v>
      </c>
    </row>
    <row r="21" spans="10:20" ht="16.5" thickTop="1" thickBot="1" x14ac:dyDescent="0.3">
      <c r="J21" s="111"/>
      <c r="K21" s="4" t="s">
        <v>28</v>
      </c>
      <c r="L21" s="4">
        <v>5</v>
      </c>
      <c r="M21" s="7" t="e">
        <f>INDEX({"B","B","A","A","A";"C","B","B","B","A";"C","C","C","B","B";"C","C","C","C","C"},MATCH(K21,{"E","F","G","H"},0),MATCH(L21,{3,4,5,6,7},0))</f>
        <v>#N/A</v>
      </c>
      <c r="N21" t="e">
        <v>#N/A</v>
      </c>
      <c r="O21" s="1" t="str">
        <f t="shared" si="1"/>
        <v>OK</v>
      </c>
      <c r="R21" t="e">
        <f>MATCH(K21,{"E","F","G","H"},0)</f>
        <v>#N/A</v>
      </c>
      <c r="S21">
        <f>MATCH(L21,{3,4,5,6,7},0)</f>
        <v>3</v>
      </c>
      <c r="T21" t="e">
        <f>INDEX({"B","B","A","A","A";"C","B","B","B","A";"C","C","C","B","B";"C","C","C","C","C"},R21,S21)</f>
        <v>#N/A</v>
      </c>
    </row>
    <row r="22" spans="10:20" ht="16.5" thickTop="1" thickBot="1" x14ac:dyDescent="0.3">
      <c r="J22" s="111"/>
      <c r="K22" s="4" t="s">
        <v>29</v>
      </c>
      <c r="L22" s="4">
        <v>3.1</v>
      </c>
      <c r="M22" s="7" t="e">
        <f>INDEX({"B","B","A","A","A";"C","B","B","B","A";"C","C","C","B","B";"C","C","C","C","C"},MATCH(K22,{"E","F","G","H"},0),MATCH(L22,{3,4,5,6,7},0))</f>
        <v>#N/A</v>
      </c>
      <c r="N22" t="e">
        <v>#N/A</v>
      </c>
      <c r="O22" s="1" t="str">
        <f t="shared" si="1"/>
        <v>OK</v>
      </c>
      <c r="R22" t="e">
        <f>MATCH(K22,{"E","F","G","H"},0)</f>
        <v>#N/A</v>
      </c>
      <c r="S22" t="e">
        <f>MATCH(L22,{3,4,5,6,7},0)</f>
        <v>#N/A</v>
      </c>
      <c r="T22" t="e">
        <f>INDEX({"B","B","A","A","A";"C","B","B","B","A";"C","C","C","B","B";"C","C","C","C","C"},R22,S22)</f>
        <v>#N/A</v>
      </c>
    </row>
    <row r="23" spans="10:20" ht="16.5" thickTop="1" thickBot="1" x14ac:dyDescent="0.3">
      <c r="J23" s="111"/>
      <c r="K23" s="4"/>
      <c r="L23" s="4">
        <v>2</v>
      </c>
      <c r="M23" s="7" t="e">
        <f>INDEX({"B","B","A","A","A";"C","B","B","B","A";"C","C","C","B","B";"C","C","C","C","C"},MATCH(K23,{"E","F","G","H"},0),MATCH(L23,{3,4,5,6,7},0))</f>
        <v>#N/A</v>
      </c>
      <c r="N23" t="e">
        <v>#N/A</v>
      </c>
      <c r="O23" s="1" t="str">
        <f t="shared" si="1"/>
        <v>OK</v>
      </c>
      <c r="R23" t="e">
        <f>MATCH(K23,{"E","F","G","H"},0)</f>
        <v>#N/A</v>
      </c>
      <c r="S23" t="e">
        <f>MATCH(L23,{3,4,5,6,7},0)</f>
        <v>#N/A</v>
      </c>
      <c r="T23" t="e">
        <f>INDEX({"B","B","A","A","A";"C","B","B","B","A";"C","C","C","B","B";"C","C","C","C","C"},R23,S23)</f>
        <v>#N/A</v>
      </c>
    </row>
    <row r="24" spans="10:20" ht="16.5" thickTop="1" thickBot="1" x14ac:dyDescent="0.3">
      <c r="J24" s="111"/>
      <c r="K24" s="4"/>
      <c r="L24" s="4"/>
      <c r="M24" s="7" t="e">
        <f>INDEX({"B","B","A","A","A";"C","B","B","B","A";"C","C","C","B","B";"C","C","C","C","C"},MATCH(K24,{"E","F","G","H"},0),MATCH(L24,{3,4,5,6,7},0))</f>
        <v>#N/A</v>
      </c>
      <c r="N24" t="e">
        <v>#N/A</v>
      </c>
      <c r="O24" s="1" t="str">
        <f t="shared" si="1"/>
        <v>OK</v>
      </c>
      <c r="R24" t="e">
        <f>MATCH(K24,{"E","F","G","H"},0)</f>
        <v>#N/A</v>
      </c>
      <c r="S24" t="e">
        <f>MATCH(L24,{3,4,5,6,7},0)</f>
        <v>#N/A</v>
      </c>
      <c r="T24" t="e">
        <f>INDEX({"B","B","A","A","A";"C","B","B","B","A";"C","C","C","B","B";"C","C","C","C","C"},R24,S24)</f>
        <v>#N/A</v>
      </c>
    </row>
    <row r="25" spans="10:20" ht="16.5" thickTop="1" thickBot="1" x14ac:dyDescent="0.3">
      <c r="J25" s="111"/>
      <c r="K25" s="4" t="s">
        <v>30</v>
      </c>
      <c r="L25" s="4"/>
      <c r="M25" s="7" t="e">
        <f>INDEX({"B","B","A","A","A";"C","B","B","B","A";"C","C","C","B","B";"C","C","C","C","C"},MATCH(K25,{"E","F","G","H"},0),MATCH(L25,{3,4,5,6,7},0))</f>
        <v>#N/A</v>
      </c>
      <c r="N25" t="e">
        <v>#N/A</v>
      </c>
      <c r="O25" s="1" t="str">
        <f t="shared" si="1"/>
        <v>OK</v>
      </c>
      <c r="R25" t="e">
        <f>MATCH(K25,{"E","F","G","H"},0)</f>
        <v>#N/A</v>
      </c>
      <c r="S25" t="e">
        <f>MATCH(L25,{3,4,5,6,7},0)</f>
        <v>#N/A</v>
      </c>
      <c r="T25" t="e">
        <f>INDEX({"B","B","A","A","A";"C","B","B","B","A";"C","C","C","B","B";"C","C","C","C","C"},R25,S25)</f>
        <v>#N/A</v>
      </c>
    </row>
    <row r="26" spans="10:20" ht="15.75" thickTop="1" x14ac:dyDescent="0.25"/>
  </sheetData>
  <mergeCells count="4">
    <mergeCell ref="C1:G1"/>
    <mergeCell ref="A3:A6"/>
    <mergeCell ref="J16:J25"/>
    <mergeCell ref="J7:J13"/>
  </mergeCells>
  <conditionalFormatting sqref="C3:G6">
    <cfRule type="cellIs" dxfId="59" priority="1" operator="equal">
      <formula>"B"</formula>
    </cfRule>
    <cfRule type="cellIs" dxfId="58" priority="2" operator="equal">
      <formula>"C"</formula>
    </cfRule>
    <cfRule type="cellIs" dxfId="57" priority="3" operator="equal">
      <formula>"A"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3"/>
  <sheetViews>
    <sheetView workbookViewId="0">
      <selection activeCell="E2" sqref="E2"/>
    </sheetView>
  </sheetViews>
  <sheetFormatPr defaultRowHeight="15" x14ac:dyDescent="0.25"/>
  <cols>
    <col min="1" max="1" width="9.7109375" bestFit="1" customWidth="1"/>
    <col min="2" max="2" width="23.42578125" bestFit="1" customWidth="1"/>
  </cols>
  <sheetData>
    <row r="1" spans="1:2" x14ac:dyDescent="0.25">
      <c r="A1" t="s">
        <v>102</v>
      </c>
      <c r="B1" t="s">
        <v>101</v>
      </c>
    </row>
    <row r="2" spans="1:2" x14ac:dyDescent="0.25">
      <c r="A2" t="s">
        <v>100</v>
      </c>
      <c r="B2" t="s">
        <v>99</v>
      </c>
    </row>
    <row r="3" spans="1:2" x14ac:dyDescent="0.25">
      <c r="A3" t="s">
        <v>98</v>
      </c>
      <c r="B3" t="s">
        <v>97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P8"/>
  <sheetViews>
    <sheetView workbookViewId="0">
      <selection activeCell="A37" sqref="A37"/>
    </sheetView>
  </sheetViews>
  <sheetFormatPr defaultRowHeight="15" x14ac:dyDescent="0.25"/>
  <cols>
    <col min="1" max="1" width="51.140625" bestFit="1" customWidth="1"/>
    <col min="2" max="2" width="17.42578125" customWidth="1"/>
    <col min="3" max="3" width="14.7109375" style="36" customWidth="1"/>
    <col min="4" max="4" width="27.5703125" style="36" customWidth="1"/>
    <col min="5" max="5" width="11" customWidth="1"/>
    <col min="6" max="6" width="14.42578125" customWidth="1"/>
    <col min="7" max="7" width="21.85546875" customWidth="1"/>
    <col min="8" max="8" width="18.5703125" customWidth="1"/>
    <col min="9" max="9" width="19.42578125" customWidth="1"/>
    <col min="10" max="10" width="16.42578125" customWidth="1"/>
    <col min="11" max="11" width="22.28515625" customWidth="1"/>
    <col min="12" max="12" width="20.5703125" customWidth="1"/>
    <col min="13" max="13" width="21.42578125" customWidth="1"/>
    <col min="14" max="14" width="12" customWidth="1"/>
    <col min="15" max="15" width="12.42578125" customWidth="1"/>
    <col min="16" max="16" width="12" customWidth="1"/>
  </cols>
  <sheetData>
    <row r="1" spans="1:16" s="37" customFormat="1" ht="45" x14ac:dyDescent="0.25">
      <c r="A1" s="37" t="s">
        <v>137</v>
      </c>
      <c r="B1" s="37" t="s">
        <v>136</v>
      </c>
      <c r="C1" s="37" t="s">
        <v>140</v>
      </c>
      <c r="D1" s="37" t="s">
        <v>146</v>
      </c>
      <c r="E1" s="37" t="s">
        <v>135</v>
      </c>
      <c r="F1" s="37" t="s">
        <v>134</v>
      </c>
      <c r="G1" s="37" t="s">
        <v>133</v>
      </c>
      <c r="H1" s="37" t="s">
        <v>132</v>
      </c>
      <c r="I1" s="37" t="s">
        <v>131</v>
      </c>
      <c r="J1" s="37" t="s">
        <v>130</v>
      </c>
      <c r="K1" s="37" t="s">
        <v>129</v>
      </c>
      <c r="L1" s="37" t="s">
        <v>128</v>
      </c>
      <c r="M1" s="37" t="s">
        <v>127</v>
      </c>
      <c r="N1" s="37" t="s">
        <v>126</v>
      </c>
      <c r="O1" s="37" t="s">
        <v>17</v>
      </c>
      <c r="P1" s="37" t="s">
        <v>125</v>
      </c>
    </row>
    <row r="2" spans="1:16" x14ac:dyDescent="0.25">
      <c r="A2" s="37" t="s">
        <v>143</v>
      </c>
      <c r="B2" s="37" t="s">
        <v>144</v>
      </c>
      <c r="C2" s="37" t="s">
        <v>145</v>
      </c>
      <c r="D2" s="37" t="s">
        <v>147</v>
      </c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</row>
    <row r="3" spans="1:16" x14ac:dyDescent="0.25">
      <c r="A3" t="s">
        <v>160</v>
      </c>
      <c r="B3" t="s">
        <v>124</v>
      </c>
      <c r="C3" s="36" t="s">
        <v>141</v>
      </c>
      <c r="D3" s="36" t="s">
        <v>148</v>
      </c>
      <c r="N3" t="s">
        <v>0</v>
      </c>
      <c r="O3">
        <v>8</v>
      </c>
    </row>
    <row r="4" spans="1:16" ht="30" x14ac:dyDescent="0.25">
      <c r="A4" t="s">
        <v>138</v>
      </c>
      <c r="B4" t="s">
        <v>139</v>
      </c>
      <c r="C4" s="36" t="s">
        <v>142</v>
      </c>
      <c r="D4" s="36" t="s">
        <v>149</v>
      </c>
    </row>
    <row r="5" spans="1:16" x14ac:dyDescent="0.25">
      <c r="A5" t="s">
        <v>161</v>
      </c>
    </row>
    <row r="6" spans="1:16" x14ac:dyDescent="0.25">
      <c r="A6" t="s">
        <v>162</v>
      </c>
    </row>
    <row r="7" spans="1:16" x14ac:dyDescent="0.25">
      <c r="A7" t="s">
        <v>163</v>
      </c>
    </row>
    <row r="8" spans="1:16" x14ac:dyDescent="0.25">
      <c r="A8" t="s">
        <v>164</v>
      </c>
    </row>
  </sheetData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L8"/>
  <sheetViews>
    <sheetView workbookViewId="0">
      <selection activeCell="C14" sqref="C14"/>
    </sheetView>
  </sheetViews>
  <sheetFormatPr defaultRowHeight="15" x14ac:dyDescent="0.25"/>
  <cols>
    <col min="2" max="2" width="22.5703125" customWidth="1"/>
    <col min="3" max="3" width="81.140625" customWidth="1"/>
    <col min="4" max="4" width="14.5703125" customWidth="1"/>
    <col min="5" max="5" width="10" customWidth="1"/>
    <col min="6" max="6" width="13.42578125" customWidth="1"/>
    <col min="7" max="7" width="11.5703125" customWidth="1"/>
    <col min="8" max="8" width="10.85546875" customWidth="1"/>
    <col min="9" max="9" width="12.42578125" customWidth="1"/>
    <col min="10" max="10" width="21.5703125" customWidth="1"/>
    <col min="11" max="11" width="12" customWidth="1"/>
    <col min="12" max="12" width="12.140625" customWidth="1"/>
  </cols>
  <sheetData>
    <row r="2" spans="2:12" x14ac:dyDescent="0.25">
      <c r="B2" t="s">
        <v>642</v>
      </c>
      <c r="C2" t="s">
        <v>643</v>
      </c>
      <c r="D2" t="s">
        <v>1017</v>
      </c>
      <c r="E2" t="s">
        <v>144</v>
      </c>
      <c r="F2" t="s">
        <v>1018</v>
      </c>
      <c r="G2" t="s">
        <v>1019</v>
      </c>
      <c r="H2" t="s">
        <v>1020</v>
      </c>
      <c r="I2" t="s">
        <v>1021</v>
      </c>
      <c r="J2" t="s">
        <v>1022</v>
      </c>
      <c r="K2" t="s">
        <v>1023</v>
      </c>
      <c r="L2" t="s">
        <v>124</v>
      </c>
    </row>
    <row r="3" spans="2:12" x14ac:dyDescent="0.25">
      <c r="B3" t="s">
        <v>1024</v>
      </c>
      <c r="C3" t="s">
        <v>1025</v>
      </c>
      <c r="D3" t="s">
        <v>1026</v>
      </c>
      <c r="E3" t="s">
        <v>1027</v>
      </c>
      <c r="F3" t="s">
        <v>1028</v>
      </c>
      <c r="G3" t="s">
        <v>1029</v>
      </c>
      <c r="H3" t="s">
        <v>49</v>
      </c>
      <c r="I3" t="s">
        <v>49</v>
      </c>
      <c r="K3" t="s">
        <v>1030</v>
      </c>
      <c r="L3" t="s">
        <v>722</v>
      </c>
    </row>
    <row r="4" spans="2:12" x14ac:dyDescent="0.25">
      <c r="B4" t="s">
        <v>1031</v>
      </c>
      <c r="C4" t="s">
        <v>1032</v>
      </c>
      <c r="D4" t="s">
        <v>1033</v>
      </c>
      <c r="E4" t="s">
        <v>1027</v>
      </c>
      <c r="F4" t="s">
        <v>1034</v>
      </c>
      <c r="G4" t="s">
        <v>1035</v>
      </c>
      <c r="H4" t="s">
        <v>49</v>
      </c>
      <c r="I4" t="s">
        <v>49</v>
      </c>
      <c r="K4" t="s">
        <v>1036</v>
      </c>
      <c r="L4" t="s">
        <v>716</v>
      </c>
    </row>
    <row r="5" spans="2:12" x14ac:dyDescent="0.25">
      <c r="B5" t="s">
        <v>1037</v>
      </c>
      <c r="C5" t="s">
        <v>1032</v>
      </c>
      <c r="D5" t="s">
        <v>1033</v>
      </c>
      <c r="E5" t="s">
        <v>1027</v>
      </c>
      <c r="F5" t="s">
        <v>1034</v>
      </c>
      <c r="G5" t="s">
        <v>1035</v>
      </c>
      <c r="H5" t="s">
        <v>49</v>
      </c>
      <c r="I5" t="s">
        <v>49</v>
      </c>
      <c r="K5" t="s">
        <v>1036</v>
      </c>
      <c r="L5" t="s">
        <v>716</v>
      </c>
    </row>
    <row r="6" spans="2:12" x14ac:dyDescent="0.25">
      <c r="B6" t="s">
        <v>1038</v>
      </c>
      <c r="C6" t="s">
        <v>1025</v>
      </c>
      <c r="D6" t="s">
        <v>1026</v>
      </c>
      <c r="E6" t="s">
        <v>1027</v>
      </c>
      <c r="F6" t="s">
        <v>1028</v>
      </c>
      <c r="G6" t="s">
        <v>1029</v>
      </c>
      <c r="H6" t="s">
        <v>49</v>
      </c>
      <c r="I6" t="s">
        <v>49</v>
      </c>
      <c r="K6" t="s">
        <v>1030</v>
      </c>
      <c r="L6" t="s">
        <v>722</v>
      </c>
    </row>
    <row r="7" spans="2:12" x14ac:dyDescent="0.25">
      <c r="B7" t="s">
        <v>1039</v>
      </c>
      <c r="C7" t="s">
        <v>1040</v>
      </c>
      <c r="D7" t="s">
        <v>1033</v>
      </c>
      <c r="E7" t="s">
        <v>1027</v>
      </c>
      <c r="F7" t="s">
        <v>1041</v>
      </c>
      <c r="G7" t="s">
        <v>1042</v>
      </c>
      <c r="H7" t="s">
        <v>49</v>
      </c>
      <c r="I7" t="s">
        <v>49</v>
      </c>
      <c r="J7" t="s">
        <v>1043</v>
      </c>
      <c r="K7" t="s">
        <v>1044</v>
      </c>
      <c r="L7" t="s">
        <v>767</v>
      </c>
    </row>
    <row r="8" spans="2:12" x14ac:dyDescent="0.25">
      <c r="B8" t="s">
        <v>1045</v>
      </c>
      <c r="C8" t="s">
        <v>1046</v>
      </c>
      <c r="D8" t="s">
        <v>1047</v>
      </c>
      <c r="E8" t="s">
        <v>1027</v>
      </c>
      <c r="F8" t="s">
        <v>1048</v>
      </c>
      <c r="G8" t="s">
        <v>1049</v>
      </c>
      <c r="H8" t="s">
        <v>48</v>
      </c>
      <c r="I8" t="s">
        <v>48</v>
      </c>
      <c r="J8" t="s">
        <v>1043</v>
      </c>
      <c r="K8" t="s">
        <v>1044</v>
      </c>
      <c r="L8" t="s">
        <v>698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O3"/>
  <sheetViews>
    <sheetView workbookViewId="0">
      <selection activeCell="I2" sqref="I2"/>
    </sheetView>
  </sheetViews>
  <sheetFormatPr defaultRowHeight="15" x14ac:dyDescent="0.25"/>
  <cols>
    <col min="1" max="1" width="13.85546875" customWidth="1"/>
    <col min="2" max="2" width="21.85546875" bestFit="1" customWidth="1"/>
    <col min="3" max="3" width="31" customWidth="1"/>
    <col min="4" max="4" width="10.140625" customWidth="1"/>
    <col min="5" max="6" width="10" customWidth="1"/>
    <col min="7" max="8" width="10.140625" customWidth="1"/>
    <col min="9" max="10" width="12.42578125" customWidth="1"/>
    <col min="11" max="12" width="12.5703125" customWidth="1"/>
  </cols>
  <sheetData>
    <row r="1" spans="1:15" x14ac:dyDescent="0.25">
      <c r="A1" s="67" t="s">
        <v>599</v>
      </c>
      <c r="B1" s="67" t="s">
        <v>101</v>
      </c>
      <c r="C1" s="68" t="s">
        <v>600</v>
      </c>
      <c r="D1" s="69" t="s">
        <v>17</v>
      </c>
      <c r="E1" s="70" t="s">
        <v>601</v>
      </c>
      <c r="F1" s="71" t="s">
        <v>602</v>
      </c>
      <c r="G1" s="71" t="s">
        <v>603</v>
      </c>
      <c r="H1" s="72" t="s">
        <v>604</v>
      </c>
      <c r="I1" s="73" t="s">
        <v>605</v>
      </c>
      <c r="J1" s="74" t="s">
        <v>606</v>
      </c>
      <c r="K1" s="74" t="s">
        <v>607</v>
      </c>
      <c r="L1" s="75" t="s">
        <v>608</v>
      </c>
      <c r="M1" s="76" t="s">
        <v>609</v>
      </c>
      <c r="N1" s="77" t="s">
        <v>125</v>
      </c>
      <c r="O1" s="80" t="s">
        <v>610</v>
      </c>
    </row>
    <row r="2" spans="1:15" x14ac:dyDescent="0.25">
      <c r="A2" s="78" t="s">
        <v>611</v>
      </c>
      <c r="B2" s="78" t="s">
        <v>612</v>
      </c>
      <c r="C2" s="79">
        <v>4</v>
      </c>
      <c r="D2" s="78">
        <v>3</v>
      </c>
      <c r="E2" s="78" t="s">
        <v>616</v>
      </c>
      <c r="F2" s="78" t="s">
        <v>617</v>
      </c>
      <c r="G2" s="78" t="s">
        <v>617</v>
      </c>
      <c r="H2" s="78" t="s">
        <v>617</v>
      </c>
      <c r="I2" s="78">
        <v>8</v>
      </c>
      <c r="J2" s="78">
        <v>2</v>
      </c>
      <c r="K2" s="78">
        <v>2</v>
      </c>
      <c r="L2" s="78">
        <v>2</v>
      </c>
      <c r="M2" s="78">
        <v>8</v>
      </c>
      <c r="N2" s="78" t="s">
        <v>0</v>
      </c>
      <c r="O2" s="78" t="s">
        <v>613</v>
      </c>
    </row>
    <row r="3" spans="1:15" x14ac:dyDescent="0.25">
      <c r="A3" s="81" t="s">
        <v>614</v>
      </c>
      <c r="B3" s="81" t="s">
        <v>615</v>
      </c>
      <c r="C3" s="82">
        <v>37</v>
      </c>
      <c r="D3" s="81">
        <v>7</v>
      </c>
      <c r="E3" s="81" t="s">
        <v>618</v>
      </c>
      <c r="F3" s="81" t="s">
        <v>617</v>
      </c>
      <c r="G3" s="81" t="s">
        <v>617</v>
      </c>
      <c r="H3" s="81" t="s">
        <v>617</v>
      </c>
      <c r="I3" s="81">
        <v>4</v>
      </c>
      <c r="J3" s="81">
        <v>2</v>
      </c>
      <c r="K3" s="81">
        <v>2</v>
      </c>
      <c r="L3" s="81">
        <v>2</v>
      </c>
      <c r="M3" s="81">
        <v>4</v>
      </c>
      <c r="N3" s="81" t="s">
        <v>1</v>
      </c>
      <c r="O3" s="81" t="s">
        <v>613</v>
      </c>
    </row>
  </sheetData>
  <dataValidations count="1">
    <dataValidation type="list" allowBlank="1" showInputMessage="1" showErrorMessage="1" sqref="E1:H1">
      <formula1>Impact</formula1>
    </dataValidation>
  </dataValidations>
  <pageMargins left="0.7" right="0.7" top="0.75" bottom="0.75" header="0.3" footer="0.3"/>
  <legacy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J309"/>
  <sheetViews>
    <sheetView tabSelected="1" zoomScaleNormal="100" workbookViewId="0"/>
  </sheetViews>
  <sheetFormatPr defaultRowHeight="15" x14ac:dyDescent="0.25"/>
  <cols>
    <col min="1" max="1" width="25" style="36" customWidth="1"/>
    <col min="2" max="2" width="14.140625" customWidth="1"/>
    <col min="3" max="3" width="13.140625" style="2" customWidth="1"/>
    <col min="4" max="4" width="12.42578125" style="42" customWidth="1"/>
    <col min="5" max="5" width="9.5703125" style="43" hidden="1" customWidth="1"/>
    <col min="6" max="6" width="77" style="36" customWidth="1"/>
    <col min="8" max="9" width="28.85546875" customWidth="1"/>
    <col min="10" max="10" width="7.28515625" customWidth="1"/>
    <col min="11" max="11" width="11.5703125" customWidth="1"/>
    <col min="13" max="13" width="41" customWidth="1"/>
    <col min="14" max="14" width="13.42578125" customWidth="1"/>
    <col min="15" max="15" width="15.28515625" customWidth="1"/>
    <col min="16" max="16" width="67.28515625" customWidth="1"/>
    <col min="17" max="17" width="11.7109375" customWidth="1"/>
    <col min="18" max="21" width="9.140625" customWidth="1"/>
    <col min="22" max="22" width="32.140625" customWidth="1"/>
    <col min="23" max="25" width="9.140625" customWidth="1"/>
    <col min="26" max="26" width="11.140625" customWidth="1"/>
    <col min="27" max="27" width="11.42578125" customWidth="1"/>
    <col min="28" max="28" width="9.140625" customWidth="1"/>
  </cols>
  <sheetData>
    <row r="1" spans="1:36" ht="27" thickBot="1" x14ac:dyDescent="0.35">
      <c r="A1" s="40" t="s">
        <v>165</v>
      </c>
      <c r="B1" s="41" t="s">
        <v>611</v>
      </c>
      <c r="C1" s="42"/>
      <c r="F1" s="85" t="s">
        <v>635</v>
      </c>
      <c r="G1" s="90">
        <v>4</v>
      </c>
      <c r="I1" s="33" t="s">
        <v>619</v>
      </c>
      <c r="K1" s="83" t="str">
        <f ca="1">K10</f>
        <v>A</v>
      </c>
      <c r="N1" t="s">
        <v>166</v>
      </c>
      <c r="X1" s="33"/>
      <c r="Y1" s="33"/>
      <c r="Z1" s="33"/>
      <c r="AA1" s="33"/>
      <c r="AE1" s="44"/>
      <c r="AF1" s="44"/>
      <c r="AG1" s="44"/>
      <c r="AH1" s="44"/>
      <c r="AI1" s="44"/>
      <c r="AJ1" s="44"/>
    </row>
    <row r="2" spans="1:36" ht="17.25" thickTop="1" thickBot="1" x14ac:dyDescent="0.3">
      <c r="A2" s="40" t="s">
        <v>101</v>
      </c>
      <c r="B2" s="45" t="s">
        <v>612</v>
      </c>
      <c r="C2" s="42"/>
      <c r="AE2" s="44"/>
      <c r="AF2" s="44"/>
      <c r="AG2" s="44"/>
      <c r="AH2" s="44"/>
      <c r="AI2" s="44"/>
      <c r="AJ2" s="44"/>
    </row>
    <row r="3" spans="1:36" ht="23.25" customHeight="1" x14ac:dyDescent="0.25">
      <c r="A3" s="46" t="s">
        <v>167</v>
      </c>
      <c r="B3" s="43"/>
      <c r="C3" s="42"/>
      <c r="N3" t="s">
        <v>168</v>
      </c>
      <c r="O3" t="s">
        <v>169</v>
      </c>
      <c r="P3" t="s">
        <v>170</v>
      </c>
      <c r="Q3" t="s">
        <v>171</v>
      </c>
      <c r="R3" t="s">
        <v>172</v>
      </c>
      <c r="S3" t="s">
        <v>173</v>
      </c>
      <c r="T3" t="s">
        <v>174</v>
      </c>
      <c r="U3" t="s">
        <v>175</v>
      </c>
      <c r="V3" t="s">
        <v>176</v>
      </c>
      <c r="W3" t="s">
        <v>177</v>
      </c>
      <c r="Z3" t="s">
        <v>168</v>
      </c>
      <c r="AA3" t="s">
        <v>178</v>
      </c>
      <c r="AE3" s="44"/>
      <c r="AF3" s="44"/>
      <c r="AG3" s="44"/>
      <c r="AH3" s="44"/>
      <c r="AI3" s="44"/>
      <c r="AJ3" s="44"/>
    </row>
    <row r="4" spans="1:36" ht="15.75" thickBot="1" x14ac:dyDescent="0.3">
      <c r="A4" s="46" t="s">
        <v>179</v>
      </c>
      <c r="B4" s="43"/>
      <c r="C4" s="42"/>
      <c r="N4" t="s">
        <v>180</v>
      </c>
      <c r="O4" t="s">
        <v>181</v>
      </c>
      <c r="P4" t="s">
        <v>182</v>
      </c>
      <c r="Q4" t="s">
        <v>0</v>
      </c>
      <c r="R4">
        <v>1</v>
      </c>
      <c r="S4">
        <v>0</v>
      </c>
      <c r="T4">
        <f>1</f>
        <v>1</v>
      </c>
      <c r="U4" t="str">
        <f>IF($T4&lt;=Z$4,INDEX(TypicalCriticalitiesMAHBarrier[Barrier Family Description],MATCH($T4,TypicalCriticalitiesMAHBarrier[Barrier Family ID],0)),"")</f>
        <v>Structural Integrity</v>
      </c>
      <c r="V4" t="str">
        <f ca="1">IF($T4&lt;=AA$4,INDEX(TypicalCriticalitiesMAHBarrier[Typical Components],MATCH($T4,TypicalCriticalitiesMAHBarrier[Column2],0)),"")</f>
        <v xml:space="preserve">Amplifiers 
Controllers 
External Speakers 
Internal Speakers 
Beacons / Strobe Lights 
Indicator Lights </v>
      </c>
      <c r="W4" t="str">
        <f ca="1">IF($T4&lt;=AA$4,INDEX(TypicalCriticalitiesMAHBarrier[Typical Criticality],MATCH($T4,TypicalCriticalitiesMAHBarrier[Column2],0)),"")</f>
        <v xml:space="preserve">A </v>
      </c>
      <c r="Y4" t="s">
        <v>183</v>
      </c>
      <c r="Z4">
        <f>MAX(TypicalCriticalitiesMAHBarrier[Barrier Family ID])</f>
        <v>54</v>
      </c>
      <c r="AA4">
        <f ca="1">MAX(TypicalCriticalitiesMAHBarrier[Column2])</f>
        <v>1</v>
      </c>
      <c r="AE4" s="44"/>
      <c r="AF4" s="44"/>
      <c r="AG4" s="44"/>
      <c r="AH4" s="44"/>
      <c r="AI4" s="44"/>
      <c r="AJ4" s="44"/>
    </row>
    <row r="5" spans="1:36" ht="16.5" thickTop="1" thickBot="1" x14ac:dyDescent="0.3">
      <c r="A5" s="131" t="s">
        <v>637</v>
      </c>
      <c r="B5" s="132"/>
      <c r="C5" s="132"/>
      <c r="D5" s="133"/>
      <c r="F5" s="118" t="s">
        <v>638</v>
      </c>
      <c r="G5" s="120"/>
      <c r="H5" s="134" t="s">
        <v>639</v>
      </c>
      <c r="I5" s="135"/>
      <c r="J5" s="135"/>
      <c r="K5" s="136"/>
      <c r="N5" t="s">
        <v>180</v>
      </c>
      <c r="O5" t="s">
        <v>181</v>
      </c>
      <c r="P5" t="s">
        <v>185</v>
      </c>
      <c r="Q5" t="s">
        <v>0</v>
      </c>
      <c r="R5">
        <f t="shared" ref="R5:R68" si="0">IF(AND(O5&lt;&gt;O4,O5&lt;&gt;""),R4+1,R4)</f>
        <v>1</v>
      </c>
      <c r="S5">
        <f t="shared" ref="S5:S68" ca="1" si="1">IF(R5=$Z$5,IF(AND(P5&lt;&gt;P4,P5&lt;&gt;""),S4+1,S4),S4)</f>
        <v>0</v>
      </c>
      <c r="T5">
        <f t="shared" ref="T5:T68" si="2">T4+1</f>
        <v>2</v>
      </c>
      <c r="U5" t="str">
        <f>IF($T5&lt;=Z$4,INDEX(TypicalCriticalitiesMAHBarrier[Barrier Family Description],MATCH($T5,TypicalCriticalitiesMAHBarrier[Barrier Family ID],0)),"")</f>
        <v>Stability loading control &amp; watertight integrity</v>
      </c>
      <c r="V5" t="str">
        <f ca="1">IF($T5&lt;=AA$4,INDEX(TypicalCriticalitiesMAHBarrier[Typical Components],MATCH($T5,TypicalCriticalitiesMAHBarrier[Column2],0)),"")</f>
        <v/>
      </c>
      <c r="W5" t="str">
        <f ca="1">IF($T5&lt;=AA$4,INDEX(TypicalCriticalitiesMAHBarrier[Typical Criticality],MATCH($T5,TypicalCriticalitiesMAHBarrier[Column2],0)),"")</f>
        <v/>
      </c>
      <c r="Y5" t="s">
        <v>186</v>
      </c>
      <c r="Z5">
        <f ca="1">MATCH(H17,BarrierFamilies,0)</f>
        <v>32</v>
      </c>
      <c r="AA5">
        <f ca="1">MATCH(I17,TypicalCriticalitiesMAHBarrier[ComponentList],0)</f>
        <v>1</v>
      </c>
      <c r="AE5" s="44"/>
      <c r="AF5" s="44"/>
      <c r="AG5" s="44"/>
      <c r="AH5" s="44"/>
      <c r="AI5" s="44"/>
      <c r="AJ5" s="44"/>
    </row>
    <row r="6" spans="1:36" ht="29.25" customHeight="1" thickTop="1" x14ac:dyDescent="0.25">
      <c r="A6" s="121" t="s">
        <v>187</v>
      </c>
      <c r="B6" s="121"/>
      <c r="C6" s="121"/>
      <c r="D6" s="121"/>
      <c r="F6" s="38" t="s">
        <v>184</v>
      </c>
      <c r="G6" s="47" t="str">
        <f>_xlfn.SWITCH(B9, "A", "YES","B", "YES","C", "YES","D", "YES","E", "NO","F", "NO","G", "NO","H", "NO","", "YES")</f>
        <v>NO</v>
      </c>
      <c r="I6" s="17"/>
      <c r="J6" s="88" t="s">
        <v>620</v>
      </c>
      <c r="K6" s="7" t="b">
        <f ca="1">K10&lt;&gt;K1</f>
        <v>0</v>
      </c>
      <c r="N6" t="s">
        <v>180</v>
      </c>
      <c r="O6" t="s">
        <v>181</v>
      </c>
      <c r="P6" t="s">
        <v>188</v>
      </c>
      <c r="Q6" t="s">
        <v>0</v>
      </c>
      <c r="R6">
        <f t="shared" si="0"/>
        <v>1</v>
      </c>
      <c r="S6">
        <f t="shared" ca="1" si="1"/>
        <v>0</v>
      </c>
      <c r="T6">
        <f t="shared" si="2"/>
        <v>3</v>
      </c>
      <c r="U6" t="str">
        <f>IF($T6&lt;=Z$4,INDEX(TypicalCriticalitiesMAHBarrier[Barrier Family Description],MATCH($T6,TypicalCriticalitiesMAHBarrier[Barrier Family ID],0)),"")</f>
        <v>Station Keeping</v>
      </c>
      <c r="V6" t="str">
        <f ca="1">IF($T6&lt;=AA$4,INDEX(TypicalCriticalitiesMAHBarrier[Typical Components],MATCH($T6,TypicalCriticalitiesMAHBarrier[Column2],0)),"")</f>
        <v/>
      </c>
      <c r="W6" t="str">
        <f ca="1">IF($T6&lt;=AA$4,INDEX(TypicalCriticalitiesMAHBarrier[Typical Criticality],MATCH($T6,TypicalCriticalitiesMAHBarrier[Column2],0)),"")</f>
        <v/>
      </c>
      <c r="AE6" s="44"/>
      <c r="AF6" s="44"/>
      <c r="AG6" s="44"/>
      <c r="AH6" s="44"/>
      <c r="AI6" s="44"/>
      <c r="AJ6" s="44"/>
    </row>
    <row r="7" spans="1:36" x14ac:dyDescent="0.25">
      <c r="A7" s="34" t="s">
        <v>189</v>
      </c>
      <c r="B7" s="42"/>
      <c r="C7" s="42"/>
      <c r="I7" s="122" t="s">
        <v>621</v>
      </c>
      <c r="J7" s="123"/>
      <c r="K7" s="124"/>
      <c r="N7" t="s">
        <v>180</v>
      </c>
      <c r="O7" t="s">
        <v>181</v>
      </c>
      <c r="P7" t="s">
        <v>191</v>
      </c>
      <c r="Q7" t="s">
        <v>2</v>
      </c>
      <c r="R7">
        <f t="shared" si="0"/>
        <v>1</v>
      </c>
      <c r="S7">
        <f t="shared" ca="1" si="1"/>
        <v>0</v>
      </c>
      <c r="T7">
        <f t="shared" si="2"/>
        <v>4</v>
      </c>
      <c r="U7" t="str">
        <f>IF($T7&lt;=Z$4,INDEX(TypicalCriticalitiesMAHBarrier[Barrier Family Description],MATCH($T7,TypicalCriticalitiesMAHBarrier[Barrier Family ID],0)),"")</f>
        <v>Swivel Stack Assembly</v>
      </c>
      <c r="V7" t="str">
        <f ca="1">IF($T7&lt;=AA$4,INDEX(TypicalCriticalitiesMAHBarrier[Typical Components],MATCH($T7,TypicalCriticalitiesMAHBarrier[Column2],0)),"")</f>
        <v/>
      </c>
      <c r="W7" t="str">
        <f ca="1">IF($T7&lt;=AA$4,INDEX(TypicalCriticalitiesMAHBarrier[Typical Criticality],MATCH($T7,TypicalCriticalitiesMAHBarrier[Column2],0)),"")</f>
        <v/>
      </c>
      <c r="AE7" s="44"/>
      <c r="AF7" s="44"/>
      <c r="AG7" s="44"/>
      <c r="AH7" s="44"/>
      <c r="AI7" s="44"/>
      <c r="AJ7" s="44"/>
    </row>
    <row r="8" spans="1:36" ht="21" x14ac:dyDescent="0.25">
      <c r="A8" s="46" t="s">
        <v>192</v>
      </c>
      <c r="B8" s="42" t="s">
        <v>8</v>
      </c>
      <c r="C8" s="42" t="s">
        <v>17</v>
      </c>
      <c r="D8" s="42" t="s">
        <v>73</v>
      </c>
      <c r="F8" s="87" t="s">
        <v>190</v>
      </c>
      <c r="G8" s="48">
        <f>MAX(G10:G13)</f>
        <v>8</v>
      </c>
      <c r="I8" s="125"/>
      <c r="J8" s="126"/>
      <c r="K8" s="127"/>
      <c r="N8" t="s">
        <v>180</v>
      </c>
      <c r="O8" t="s">
        <v>181</v>
      </c>
      <c r="P8" t="s">
        <v>195</v>
      </c>
      <c r="Q8" t="s">
        <v>0</v>
      </c>
      <c r="R8">
        <f t="shared" si="0"/>
        <v>1</v>
      </c>
      <c r="S8">
        <f t="shared" ca="1" si="1"/>
        <v>0</v>
      </c>
      <c r="T8">
        <f t="shared" si="2"/>
        <v>5</v>
      </c>
      <c r="U8" t="str">
        <f>IF($T8&lt;=Z$4,INDEX(TypicalCriticalitiesMAHBarrier[Barrier Family Description],MATCH($T8,TypicalCriticalitiesMAHBarrier[Barrier Family ID],0)),"")</f>
        <v>Swivel Fluid Barrier System</v>
      </c>
      <c r="V8" t="str">
        <f ca="1">IF($T8&lt;=AA$4,INDEX(TypicalCriticalitiesMAHBarrier[Typical Components],MATCH($T8,TypicalCriticalitiesMAHBarrier[Column2],0)),"")</f>
        <v/>
      </c>
      <c r="W8" t="str">
        <f ca="1">IF($T8&lt;=AA$4,INDEX(TypicalCriticalitiesMAHBarrier[Typical Criticality],MATCH($T8,TypicalCriticalitiesMAHBarrier[Column2],0)),"")</f>
        <v/>
      </c>
      <c r="Z8">
        <f ca="1">ROWS(BarrierFamilies)</f>
        <v>54</v>
      </c>
      <c r="AA8">
        <f ca="1">ROWS(TypicalComponents)</f>
        <v>1</v>
      </c>
      <c r="AE8" s="44"/>
      <c r="AF8" s="44"/>
      <c r="AG8" s="44"/>
      <c r="AH8" s="44"/>
      <c r="AI8" s="44"/>
      <c r="AJ8" s="44"/>
    </row>
    <row r="9" spans="1:36" x14ac:dyDescent="0.25">
      <c r="A9" s="50" t="s">
        <v>93</v>
      </c>
      <c r="B9" s="51" t="str">
        <f>CHAR(MIN(FAILURE_CODE_Safety_scenarios19[Code for Letter]))</f>
        <v>E</v>
      </c>
      <c r="C9" s="52">
        <f t="array" ref="C9">MAX(IF(FAILURE_CODE_Safety_scenarios19[Impact]=FAILURE_CODE_template18[[#This Row],[Impact]],FAILURE_CODE_Safety_scenarios19[Likelihood]))</f>
        <v>8</v>
      </c>
      <c r="D9" s="52">
        <f t="array" ref="D9">MAX(IF(FAILURE_CODE_Safety_scenarios19[Impact]=FAILURE_CODE_template18[[#This Row],[Impact]],FAILURE_CODE_Safety_scenarios19[Risk Score]))</f>
        <v>11</v>
      </c>
      <c r="F9" s="49" t="s">
        <v>193</v>
      </c>
      <c r="G9" s="4" t="s">
        <v>194</v>
      </c>
      <c r="I9" s="128"/>
      <c r="J9" s="129"/>
      <c r="K9" s="130"/>
      <c r="N9" t="s">
        <v>180</v>
      </c>
      <c r="O9" t="s">
        <v>181</v>
      </c>
      <c r="P9" t="s">
        <v>197</v>
      </c>
      <c r="Q9" t="s">
        <v>1</v>
      </c>
      <c r="R9">
        <f t="shared" si="0"/>
        <v>1</v>
      </c>
      <c r="S9">
        <f t="shared" ca="1" si="1"/>
        <v>0</v>
      </c>
      <c r="T9">
        <f t="shared" si="2"/>
        <v>6</v>
      </c>
      <c r="U9" t="str">
        <f>IF($T9&lt;=Z$4,INDEX(TypicalCriticalitiesMAHBarrier[Barrier Family Description],MATCH($T9,TypicalCriticalitiesMAHBarrier[Barrier Family ID],0)),"")</f>
        <v>Swivel/Turret Pipework</v>
      </c>
      <c r="V9" t="str">
        <f ca="1">IF($T9&lt;=AA$4,INDEX(TypicalCriticalitiesMAHBarrier[Typical Components],MATCH($T9,TypicalCriticalitiesMAHBarrier[Column2],0)),"")</f>
        <v/>
      </c>
      <c r="W9" t="str">
        <f ca="1">IF($T9&lt;=AA$4,INDEX(TypicalCriticalitiesMAHBarrier[Typical Criticality],MATCH($T9,TypicalCriticalitiesMAHBarrier[Column2],0)),"")</f>
        <v/>
      </c>
      <c r="AE9" s="44"/>
      <c r="AF9" s="44"/>
      <c r="AG9" s="44"/>
      <c r="AH9" s="44"/>
      <c r="AI9" s="44"/>
      <c r="AJ9" s="44"/>
    </row>
    <row r="10" spans="1:36" ht="18.75" x14ac:dyDescent="0.25">
      <c r="A10" s="50" t="s">
        <v>85</v>
      </c>
      <c r="B10" s="51" t="str">
        <f>CHAR(MIN(FAILURE_CODE_Environmetal_scenarios20[Code for Letter]))</f>
        <v>H</v>
      </c>
      <c r="C10" s="52">
        <f t="array" ref="C10">MAX(IF(FAILURE_CODE_Environmetal_scenarios20[Impact]=FAILURE_CODE_template18[[#This Row],[Impact]],FAILURE_CODE_Environmetal_scenarios20[Likelihood]))</f>
        <v>2</v>
      </c>
      <c r="D10" s="52">
        <f t="array" ref="D10">MAX(IF(FAILURE_CODE_Environmetal_scenarios20[Impact]=FAILURE_CODE_template18[[#This Row],[Impact]],FAILURE_CODE_Environmetal_scenarios20[Risk Score]))</f>
        <v>2</v>
      </c>
      <c r="F10" s="53" t="s">
        <v>196</v>
      </c>
      <c r="G10" s="54">
        <f>INDEX({10,10,10,10,8,6,4,2;10,10,10,9,7,5,3,1},
               IF(OR(G$9="SPARED",G$9="Y",G$9="yes",G$9),2,1),
               MATCH($B9,{"A","B","C","D","E","F","G","H"},0)
)</f>
        <v>8</v>
      </c>
      <c r="I10" s="55" t="s">
        <v>202</v>
      </c>
      <c r="K10" s="47" t="str">
        <f ca="1">IF(ISERR(SEARCH("A", K17 &amp; K29 &amp; K30 &amp; K31 &amp; K35 &amp; K36 &amp; K37)),
       IF(ISERR(SEARCH("B", K17 &amp; K29 &amp; K30 &amp; K31 &amp; K35 &amp; K36 &amp; K37)),"C","B"),
"A")</f>
        <v>A</v>
      </c>
      <c r="N10" t="s">
        <v>180</v>
      </c>
      <c r="O10" t="s">
        <v>181</v>
      </c>
      <c r="P10" t="s">
        <v>198</v>
      </c>
      <c r="Q10" t="s">
        <v>2</v>
      </c>
      <c r="R10">
        <f t="shared" si="0"/>
        <v>1</v>
      </c>
      <c r="S10">
        <f t="shared" ca="1" si="1"/>
        <v>0</v>
      </c>
      <c r="T10">
        <f t="shared" si="2"/>
        <v>7</v>
      </c>
      <c r="U10" t="str">
        <f>IF($T10&lt;=Z$4,INDEX(TypicalCriticalitiesMAHBarrier[Barrier Family Description],MATCH($T10,TypicalCriticalitiesMAHBarrier[Barrier Family ID],0)),"")</f>
        <v>Turret Chain Table</v>
      </c>
      <c r="V10" t="str">
        <f ca="1">IF($T10&lt;=AA$4,INDEX(TypicalCriticalitiesMAHBarrier[Typical Components],MATCH($T10,TypicalCriticalitiesMAHBarrier[Column2],0)),"")</f>
        <v/>
      </c>
      <c r="W10" t="str">
        <f ca="1">IF($T10&lt;=AA$4,INDEX(TypicalCriticalitiesMAHBarrier[Typical Criticality],MATCH($T10,TypicalCriticalitiesMAHBarrier[Column2],0)),"")</f>
        <v/>
      </c>
      <c r="AE10" s="44"/>
      <c r="AF10" s="44"/>
      <c r="AG10" s="44"/>
      <c r="AH10" s="44"/>
      <c r="AI10" s="44"/>
      <c r="AJ10" s="44"/>
    </row>
    <row r="11" spans="1:36" x14ac:dyDescent="0.25">
      <c r="A11" s="50" t="s">
        <v>94</v>
      </c>
      <c r="B11" s="51" t="str">
        <f>CHAR(MIN(FAILURE_CODE_Financial_scenarios21[Code for Letter]))</f>
        <v>H</v>
      </c>
      <c r="C11" s="52">
        <f t="array" ref="C11">MAX(IF(FAILURE_CODE_Financial_scenarios21[Impact]=FAILURE_CODE_template18[[#This Row],[Impact]],FAILURE_CODE_Financial_scenarios21[Likelihood]))</f>
        <v>2</v>
      </c>
      <c r="D11" s="52">
        <f t="array" ref="D11">MAX(IF(FAILURE_CODE_Financial_scenarios21[Impact]=FAILURE_CODE_template18[[#This Row],[Impact]],FAILURE_CODE_Financial_scenarios21[Risk Score]))</f>
        <v>2</v>
      </c>
      <c r="F11"/>
      <c r="G11" s="54">
        <f>INDEX({10,10,10,10,8,6,4,2;10,10,10,9,7,5,3,1},
               IF(OR(G$9="SPARED",G$9="Y",G$9="yes",G$9),2,1),
               MATCH($B10,{"A","B","C","D","E","F","G","H"},0)
)</f>
        <v>2</v>
      </c>
      <c r="I11" s="17" t="s">
        <v>622</v>
      </c>
      <c r="J11" s="43"/>
      <c r="N11" t="s">
        <v>199</v>
      </c>
      <c r="O11" t="s">
        <v>200</v>
      </c>
      <c r="P11" t="s">
        <v>201</v>
      </c>
      <c r="Q11" t="s">
        <v>0</v>
      </c>
      <c r="R11">
        <f t="shared" si="0"/>
        <v>2</v>
      </c>
      <c r="S11">
        <f t="shared" ca="1" si="1"/>
        <v>0</v>
      </c>
      <c r="T11">
        <f t="shared" si="2"/>
        <v>8</v>
      </c>
      <c r="U11" t="str">
        <f>IF($T11&lt;=Z$4,INDEX(TypicalCriticalitiesMAHBarrier[Barrier Family Description],MATCH($T11,TypicalCriticalitiesMAHBarrier[Barrier Family ID],0)),"")</f>
        <v>Main Turret Bearing</v>
      </c>
      <c r="V11" t="str">
        <f ca="1">IF($T11&lt;=AA$4,INDEX(TypicalCriticalitiesMAHBarrier[Typical Components],MATCH($T11,TypicalCriticalitiesMAHBarrier[Column2],0)),"")</f>
        <v/>
      </c>
      <c r="W11" t="str">
        <f ca="1">IF($T11&lt;=AA$4,INDEX(TypicalCriticalitiesMAHBarrier[Typical Criticality],MATCH($T11,TypicalCriticalitiesMAHBarrier[Column2],0)),"")</f>
        <v/>
      </c>
      <c r="AE11" s="44"/>
      <c r="AF11" s="44"/>
      <c r="AG11" s="44"/>
      <c r="AH11" s="44"/>
      <c r="AI11" s="44"/>
      <c r="AJ11" s="44"/>
    </row>
    <row r="12" spans="1:36" x14ac:dyDescent="0.25">
      <c r="A12" s="50" t="s">
        <v>92</v>
      </c>
      <c r="B12" s="51" t="str">
        <f>CHAR(MIN(FAILURE_CODE_Non_Financial_scenarios22[Code for Letter]))</f>
        <v>H</v>
      </c>
      <c r="C12" s="52">
        <f t="array" ref="C12">MAX(IF(FAILURE_CODE_Non_Financial_scenarios22[Impact]=FAILURE_CODE_template18[[#This Row],[Impact]],FAILURE_CODE_Non_Financial_scenarios22[Likelihood]))</f>
        <v>2</v>
      </c>
      <c r="D12" s="52">
        <f t="array" ref="D12">MAX(IF(FAILURE_CODE_Non_Financial_scenarios22[Impact]=FAILURE_CODE_template18[[#This Row],[Impact]],FAILURE_CODE_Non_Financial_scenarios22[Risk Score]))</f>
        <v>2</v>
      </c>
      <c r="F12"/>
      <c r="G12" s="54">
        <f>INDEX({10,10,10,10,8,6,4,2;10,10,10,9,7,5,3,1},
               IF(OR(G$9="SPARED",G$9="Y",G$9="yes",G$9),2,1),
               MATCH($B11,{"A","B","C","D","E","F","G","H"},0)
)</f>
        <v>2</v>
      </c>
      <c r="I12" s="17" t="s">
        <v>623</v>
      </c>
      <c r="N12" t="s">
        <v>199</v>
      </c>
      <c r="O12" t="s">
        <v>200</v>
      </c>
      <c r="P12" t="s">
        <v>203</v>
      </c>
      <c r="Q12" t="s">
        <v>0</v>
      </c>
      <c r="R12">
        <f t="shared" si="0"/>
        <v>2</v>
      </c>
      <c r="S12">
        <f t="shared" ca="1" si="1"/>
        <v>0</v>
      </c>
      <c r="T12">
        <f t="shared" si="2"/>
        <v>9</v>
      </c>
      <c r="U12" t="str">
        <f>IF($T12&lt;=Z$4,INDEX(TypicalCriticalitiesMAHBarrier[Barrier Family Description],MATCH($T12,TypicalCriticalitiesMAHBarrier[Barrier Family ID],0)),"")</f>
        <v>Wellhead integrity</v>
      </c>
      <c r="V12" t="str">
        <f ca="1">IF($T12&lt;=AA$4,INDEX(TypicalCriticalitiesMAHBarrier[Typical Components],MATCH($T12,TypicalCriticalitiesMAHBarrier[Column2],0)),"")</f>
        <v/>
      </c>
      <c r="W12" t="str">
        <f ca="1">IF($T12&lt;=AA$4,INDEX(TypicalCriticalitiesMAHBarrier[Typical Criticality],MATCH($T12,TypicalCriticalitiesMAHBarrier[Column2],0)),"")</f>
        <v/>
      </c>
      <c r="AE12" s="44"/>
      <c r="AF12" s="44"/>
      <c r="AG12" s="44"/>
      <c r="AH12" s="44"/>
      <c r="AI12" s="44"/>
      <c r="AJ12" s="44"/>
    </row>
    <row r="13" spans="1:36" ht="15.75" thickBot="1" x14ac:dyDescent="0.3">
      <c r="F13"/>
      <c r="G13" s="54">
        <f>INDEX({10,10,10,10,8,6,4,2;10,10,10,9,7,5,3,1},
               IF(OR(G$9="SPARED",G$9="Y",G$9="yes",G$9),2,1),
               MATCH($B12,{"A","B","C","D","E","F","G","H"},0)
)</f>
        <v>2</v>
      </c>
      <c r="N13" t="s">
        <v>199</v>
      </c>
      <c r="O13" t="s">
        <v>200</v>
      </c>
      <c r="P13" t="s">
        <v>204</v>
      </c>
      <c r="Q13" t="s">
        <v>0</v>
      </c>
      <c r="R13">
        <f t="shared" si="0"/>
        <v>2</v>
      </c>
      <c r="S13">
        <f t="shared" ca="1" si="1"/>
        <v>0</v>
      </c>
      <c r="T13">
        <f t="shared" si="2"/>
        <v>10</v>
      </c>
      <c r="U13" t="str">
        <f>IF($T13&lt;=Z$4,INDEX(TypicalCriticalitiesMAHBarrier[Barrier Family Description],MATCH($T13,TypicalCriticalitiesMAHBarrier[Barrier Family ID],0)),"")</f>
        <v>Subsea Integrity</v>
      </c>
      <c r="V13" t="str">
        <f ca="1">IF($T13&lt;=AA$4,INDEX(TypicalCriticalitiesMAHBarrier[Typical Components],MATCH($T13,TypicalCriticalitiesMAHBarrier[Column2],0)),"")</f>
        <v/>
      </c>
      <c r="W13" t="str">
        <f ca="1">IF($T13&lt;=AA$4,INDEX(TypicalCriticalitiesMAHBarrier[Typical Criticality],MATCH($T13,TypicalCriticalitiesMAHBarrier[Column2],0)),"")</f>
        <v/>
      </c>
      <c r="AE13" s="44"/>
      <c r="AF13" s="44"/>
      <c r="AG13" s="44"/>
      <c r="AH13" s="44"/>
      <c r="AI13" s="44"/>
      <c r="AJ13" s="44"/>
    </row>
    <row r="14" spans="1:36" ht="16.5" thickTop="1" thickBot="1" x14ac:dyDescent="0.3">
      <c r="A14" s="118" t="s">
        <v>640</v>
      </c>
      <c r="B14" s="119"/>
      <c r="C14" s="119"/>
      <c r="D14" s="119"/>
      <c r="E14" s="119"/>
      <c r="F14" s="120"/>
      <c r="N14" t="s">
        <v>199</v>
      </c>
      <c r="O14" t="s">
        <v>200</v>
      </c>
      <c r="P14" t="s">
        <v>205</v>
      </c>
      <c r="Q14" t="s">
        <v>1</v>
      </c>
      <c r="R14">
        <f t="shared" si="0"/>
        <v>2</v>
      </c>
      <c r="S14">
        <f t="shared" ca="1" si="1"/>
        <v>0</v>
      </c>
      <c r="T14">
        <f t="shared" si="2"/>
        <v>11</v>
      </c>
      <c r="U14" t="str">
        <f>IF($T14&lt;=Z$4,INDEX(TypicalCriticalitiesMAHBarrier[Barrier Family Description],MATCH($T14,TypicalCriticalitiesMAHBarrier[Barrier Family ID],0)),"")</f>
        <v>Process Containment Integrity</v>
      </c>
      <c r="V14" t="str">
        <f ca="1">IF($T14&lt;=AA$4,INDEX(TypicalCriticalitiesMAHBarrier[Typical Components],MATCH($T14,TypicalCriticalitiesMAHBarrier[Column2],0)),"")</f>
        <v/>
      </c>
      <c r="W14" t="str">
        <f ca="1">IF($T14&lt;=AA$4,INDEX(TypicalCriticalitiesMAHBarrier[Typical Criticality],MATCH($T14,TypicalCriticalitiesMAHBarrier[Column2],0)),"")</f>
        <v/>
      </c>
      <c r="AE14" s="44"/>
      <c r="AF14" s="44"/>
      <c r="AG14" s="44"/>
      <c r="AH14" s="44"/>
      <c r="AI14" s="44"/>
      <c r="AJ14" s="44"/>
    </row>
    <row r="15" spans="1:36" s="43" customFormat="1" ht="15.75" thickTop="1" x14ac:dyDescent="0.25">
      <c r="A15" s="46" t="s">
        <v>206</v>
      </c>
      <c r="B15" s="42" t="s">
        <v>8</v>
      </c>
      <c r="C15" s="42" t="s">
        <v>17</v>
      </c>
      <c r="D15" s="43" t="s">
        <v>207</v>
      </c>
      <c r="E15" s="43" t="s">
        <v>208</v>
      </c>
      <c r="F15" s="46" t="s">
        <v>209</v>
      </c>
      <c r="H15" s="56" t="s">
        <v>210</v>
      </c>
      <c r="I15"/>
      <c r="J15"/>
      <c r="K15"/>
      <c r="N15" t="s">
        <v>199</v>
      </c>
      <c r="O15" t="s">
        <v>200</v>
      </c>
      <c r="P15" t="s">
        <v>211</v>
      </c>
      <c r="Q15" t="s">
        <v>0</v>
      </c>
      <c r="R15">
        <f t="shared" si="0"/>
        <v>2</v>
      </c>
      <c r="S15">
        <f t="shared" ca="1" si="1"/>
        <v>0</v>
      </c>
      <c r="T15">
        <f t="shared" si="2"/>
        <v>12</v>
      </c>
      <c r="U15" t="str">
        <f>IF($T15&lt;=Z$4,INDEX(TypicalCriticalitiesMAHBarrier[Barrier Family Description],MATCH($T15,TypicalCriticalitiesMAHBarrier[Barrier Family ID],0)),"")</f>
        <v>Gas Turbine Packages &amp; Hydrocarbon RE</v>
      </c>
      <c r="V15" t="str">
        <f ca="1">IF($T15&lt;=AA$4,INDEX(TypicalCriticalitiesMAHBarrier[Typical Components],MATCH($T15,TypicalCriticalitiesMAHBarrier[Column2],0)),"")</f>
        <v/>
      </c>
      <c r="W15" t="str">
        <f ca="1">IF($T15&lt;=AA$4,INDEX(TypicalCriticalitiesMAHBarrier[Typical Criticality],MATCH($T15,TypicalCriticalitiesMAHBarrier[Column2],0)),"")</f>
        <v/>
      </c>
      <c r="X15"/>
      <c r="Y15"/>
      <c r="Z15"/>
      <c r="AA15"/>
      <c r="AB15"/>
      <c r="AC15"/>
      <c r="AD15"/>
      <c r="AE15" s="44"/>
      <c r="AF15" s="44"/>
      <c r="AG15" s="44"/>
      <c r="AH15" s="44"/>
      <c r="AI15" s="44"/>
      <c r="AJ15" s="44"/>
    </row>
    <row r="16" spans="1:36" x14ac:dyDescent="0.25">
      <c r="A16" s="57" t="s">
        <v>212</v>
      </c>
      <c r="B16" s="4" t="s">
        <v>4</v>
      </c>
      <c r="C16" s="4">
        <v>8</v>
      </c>
      <c r="D16" s="52">
        <f>MATCH(B16,{"H","G","F","E","D","C","B","A"},0)+MATCH(C16, {1,2,3,4,5,6,7,8}, 0) - 1</f>
        <v>11</v>
      </c>
      <c r="E16" s="58">
        <f>IF(ISERR(CODE(FAILURE_CODE_Safety_scenarios19[[#This Row],[Impact]])), "", CODE(FAILURE_CODE_Safety_scenarios19[[#This Row],[Impact]]))</f>
        <v>69</v>
      </c>
      <c r="F16" s="57" t="s">
        <v>613</v>
      </c>
      <c r="H16" s="59" t="s">
        <v>213</v>
      </c>
      <c r="I16" s="59" t="s">
        <v>214</v>
      </c>
      <c r="J16" s="43"/>
      <c r="K16" s="60" t="s">
        <v>125</v>
      </c>
      <c r="N16" t="s">
        <v>199</v>
      </c>
      <c r="O16" t="s">
        <v>200</v>
      </c>
      <c r="P16" t="s">
        <v>215</v>
      </c>
      <c r="Q16" t="s">
        <v>0</v>
      </c>
      <c r="R16">
        <f t="shared" si="0"/>
        <v>2</v>
      </c>
      <c r="S16">
        <f t="shared" ca="1" si="1"/>
        <v>0</v>
      </c>
      <c r="T16">
        <f t="shared" si="2"/>
        <v>13</v>
      </c>
      <c r="U16" t="str">
        <f>IF($T16&lt;=Z$4,INDEX(TypicalCriticalitiesMAHBarrier[Barrier Family Description],MATCH($T16,TypicalCriticalitiesMAHBarrier[Barrier Family ID],0)),"")</f>
        <v>Non Hydrocarbon RE (air compressors, water and hydraulic pumps)</v>
      </c>
      <c r="V16" t="str">
        <f ca="1">IF($T16&lt;=AA$4,INDEX(TypicalCriticalitiesMAHBarrier[Typical Components],MATCH($T16,TypicalCriticalitiesMAHBarrier[Column2],0)),"")</f>
        <v/>
      </c>
      <c r="W16" t="str">
        <f ca="1">IF($T16&lt;=AA$4,INDEX(TypicalCriticalitiesMAHBarrier[Typical Criticality],MATCH($T16,TypicalCriticalitiesMAHBarrier[Column2],0)),"")</f>
        <v/>
      </c>
      <c r="AE16" s="44"/>
      <c r="AF16" s="44"/>
      <c r="AG16" s="44"/>
      <c r="AH16" s="44"/>
      <c r="AI16" s="44"/>
      <c r="AJ16" s="44"/>
    </row>
    <row r="17" spans="1:36" ht="90" x14ac:dyDescent="0.25">
      <c r="A17" s="57"/>
      <c r="B17" s="4"/>
      <c r="C17" s="4"/>
      <c r="D17" s="52" t="e">
        <f>MATCH(B17,{"H","G","F","E","D","C","B","A"},0)+MATCH(C17, {1,2,3,4,5,6,7,8}, 0) - 1</f>
        <v>#N/A</v>
      </c>
      <c r="E17" s="58" t="str">
        <f>IF(ISERR(CODE(FAILURE_CODE_Safety_scenarios19[[#This Row],[Impact]])), "", CODE(FAILURE_CODE_Safety_scenarios19[[#This Row],[Impact]]))</f>
        <v/>
      </c>
      <c r="F17" s="57"/>
      <c r="H17" s="84" t="s">
        <v>472</v>
      </c>
      <c r="I17" s="89" t="s">
        <v>473</v>
      </c>
      <c r="K17" s="7" t="str">
        <f ca="1">IF(ISNA(I17),"C",
    IF(ISBLANK(I17),"C",VLOOKUP(I17,TypicalCriticalitiesMAHBarrier[[ComponentList]:[Code]],2,FALSE)))</f>
        <v xml:space="preserve">A </v>
      </c>
      <c r="N17" t="s">
        <v>199</v>
      </c>
      <c r="O17" t="s">
        <v>200</v>
      </c>
      <c r="P17" t="s">
        <v>216</v>
      </c>
      <c r="Q17" t="s">
        <v>0</v>
      </c>
      <c r="R17">
        <f t="shared" si="0"/>
        <v>2</v>
      </c>
      <c r="S17">
        <f t="shared" ca="1" si="1"/>
        <v>0</v>
      </c>
      <c r="T17">
        <f t="shared" si="2"/>
        <v>14</v>
      </c>
      <c r="U17" t="str">
        <f>IF($T17&lt;=Z$4,INDEX(TypicalCriticalitiesMAHBarrier[Barrier Family Description],MATCH($T17,TypicalCriticalitiesMAHBarrier[Barrier Family ID],0)),"")</f>
        <v>Diesel Driven Packages</v>
      </c>
      <c r="V17" t="str">
        <f ca="1">IF($T17&lt;=AA$4,INDEX(TypicalCriticalitiesMAHBarrier[Typical Components],MATCH($T17,TypicalCriticalitiesMAHBarrier[Column2],0)),"")</f>
        <v/>
      </c>
      <c r="W17" t="str">
        <f ca="1">IF($T17&lt;=AA$4,INDEX(TypicalCriticalitiesMAHBarrier[Typical Criticality],MATCH($T17,TypicalCriticalitiesMAHBarrier[Column2],0)),"")</f>
        <v/>
      </c>
      <c r="AE17" s="44"/>
      <c r="AF17" s="44"/>
      <c r="AG17" s="44"/>
      <c r="AH17" s="44"/>
      <c r="AI17" s="44"/>
      <c r="AJ17" s="44"/>
    </row>
    <row r="18" spans="1:36" x14ac:dyDescent="0.25">
      <c r="A18" s="57"/>
      <c r="B18" s="4"/>
      <c r="C18" s="4"/>
      <c r="D18" s="52" t="e">
        <f>MATCH(B18,{"H","G","F","E","D","C","B","A"},0)+MATCH(C18, {1,2,3,4,5,6,7,8}, 0) - 1</f>
        <v>#N/A</v>
      </c>
      <c r="E18" s="58" t="str">
        <f>IF(ISERR(CODE(FAILURE_CODE_Safety_scenarios19[[#This Row],[Impact]])), "", CODE(FAILURE_CODE_Safety_scenarios19[[#This Row],[Impact]]))</f>
        <v/>
      </c>
      <c r="F18" s="57"/>
      <c r="N18" t="s">
        <v>199</v>
      </c>
      <c r="O18" t="s">
        <v>200</v>
      </c>
      <c r="P18" t="s">
        <v>217</v>
      </c>
      <c r="Q18" t="s">
        <v>0</v>
      </c>
      <c r="R18">
        <f t="shared" si="0"/>
        <v>2</v>
      </c>
      <c r="S18">
        <f t="shared" ca="1" si="1"/>
        <v>0</v>
      </c>
      <c r="T18">
        <f t="shared" si="2"/>
        <v>15</v>
      </c>
      <c r="U18" t="str">
        <f>IF($T18&lt;=Z$4,INDEX(TypicalCriticalitiesMAHBarrier[Barrier Family Description],MATCH($T18,TypicalCriticalitiesMAHBarrier[Barrier Family ID],0)),"")</f>
        <v>Oil Storage &amp; Offloading</v>
      </c>
      <c r="V18" t="str">
        <f ca="1">IF($T18&lt;=AA$4,INDEX(TypicalCriticalitiesMAHBarrier[Typical Components],MATCH($T18,TypicalCriticalitiesMAHBarrier[Column2],0)),"")</f>
        <v/>
      </c>
      <c r="W18" t="str">
        <f ca="1">IF($T18&lt;=AA$4,INDEX(TypicalCriticalitiesMAHBarrier[Typical Criticality],MATCH($T18,TypicalCriticalitiesMAHBarrier[Column2],0)),"")</f>
        <v/>
      </c>
      <c r="AE18" s="44"/>
      <c r="AF18" s="44"/>
      <c r="AG18" s="44"/>
      <c r="AH18" s="44"/>
      <c r="AI18" s="44"/>
      <c r="AJ18" s="44"/>
    </row>
    <row r="19" spans="1:36" ht="15.75" thickBot="1" x14ac:dyDescent="0.3">
      <c r="A19" s="57"/>
      <c r="B19" s="4"/>
      <c r="C19" s="4"/>
      <c r="D19" s="52" t="e">
        <f>MATCH(B19,{"H","G","F","E","D","C","B","A"},0)+MATCH(C19, {1,2,3,4,5,6,7,8}, 0) - 1</f>
        <v>#N/A</v>
      </c>
      <c r="E19" s="58" t="str">
        <f>IF(ISERR(CODE(FAILURE_CODE_Safety_scenarios19[[#This Row],[Impact]])), "", CODE(FAILURE_CODE_Safety_scenarios19[[#This Row],[Impact]]))</f>
        <v/>
      </c>
      <c r="F19" s="57"/>
      <c r="H19" s="86" t="s">
        <v>636</v>
      </c>
      <c r="I19" t="s">
        <v>1059</v>
      </c>
      <c r="N19" t="s">
        <v>199</v>
      </c>
      <c r="O19" t="s">
        <v>200</v>
      </c>
      <c r="P19" t="s">
        <v>218</v>
      </c>
      <c r="Q19" t="s">
        <v>1</v>
      </c>
      <c r="R19">
        <f t="shared" si="0"/>
        <v>2</v>
      </c>
      <c r="S19">
        <f t="shared" ca="1" si="1"/>
        <v>0</v>
      </c>
      <c r="T19">
        <f t="shared" si="2"/>
        <v>16</v>
      </c>
      <c r="U19" t="str">
        <f>IF($T19&lt;=Z$4,INDEX(TypicalCriticalitiesMAHBarrier[Barrier Family Description],MATCH($T19,TypicalCriticalitiesMAHBarrier[Barrier Family ID],0)),"")</f>
        <v>Overpressure Protection</v>
      </c>
      <c r="V19" t="str">
        <f ca="1">IF($T19&lt;=AA$4,INDEX(TypicalCriticalitiesMAHBarrier[Typical Components],MATCH($T19,TypicalCriticalitiesMAHBarrier[Column2],0)),"")</f>
        <v/>
      </c>
      <c r="W19" t="str">
        <f ca="1">IF($T19&lt;=AA$4,INDEX(TypicalCriticalitiesMAHBarrier[Typical Criticality],MATCH($T19,TypicalCriticalitiesMAHBarrier[Column2],0)),"")</f>
        <v/>
      </c>
      <c r="AE19" s="44"/>
      <c r="AF19" s="44"/>
      <c r="AG19" s="44"/>
      <c r="AH19" s="44"/>
      <c r="AI19" s="44"/>
      <c r="AJ19" s="44"/>
    </row>
    <row r="20" spans="1:36" x14ac:dyDescent="0.25">
      <c r="N20" t="s">
        <v>199</v>
      </c>
      <c r="O20" t="s">
        <v>200</v>
      </c>
      <c r="P20" t="s">
        <v>219</v>
      </c>
      <c r="Q20" t="s">
        <v>0</v>
      </c>
      <c r="R20">
        <f t="shared" si="0"/>
        <v>2</v>
      </c>
      <c r="S20">
        <f t="shared" ca="1" si="1"/>
        <v>0</v>
      </c>
      <c r="T20">
        <f t="shared" si="2"/>
        <v>17</v>
      </c>
      <c r="U20" t="str">
        <f>IF($T20&lt;=Z$4,INDEX(TypicalCriticalitiesMAHBarrier[Barrier Family Description],MATCH($T20,TypicalCriticalitiesMAHBarrier[Barrier Family ID],0)),"")</f>
        <v>Blowdown vent and flare</v>
      </c>
      <c r="V20" t="str">
        <f ca="1">IF($T20&lt;=AA$4,INDEX(TypicalCriticalitiesMAHBarrier[Typical Components],MATCH($T20,TypicalCriticalitiesMAHBarrier[Column2],0)),"")</f>
        <v/>
      </c>
      <c r="W20" t="str">
        <f ca="1">IF($T20&lt;=AA$4,INDEX(TypicalCriticalitiesMAHBarrier[Typical Criticality],MATCH($T20,TypicalCriticalitiesMAHBarrier[Column2],0)),"")</f>
        <v/>
      </c>
      <c r="AE20" s="44"/>
      <c r="AF20" s="44"/>
      <c r="AG20" s="44"/>
      <c r="AH20" s="44"/>
      <c r="AI20" s="44"/>
      <c r="AJ20" s="44"/>
    </row>
    <row r="21" spans="1:36" s="43" customFormat="1" x14ac:dyDescent="0.25">
      <c r="A21" s="46" t="s">
        <v>220</v>
      </c>
      <c r="B21" s="42" t="s">
        <v>8</v>
      </c>
      <c r="C21" s="42" t="s">
        <v>17</v>
      </c>
      <c r="D21" s="43" t="s">
        <v>207</v>
      </c>
      <c r="E21" s="43" t="s">
        <v>208</v>
      </c>
      <c r="F21" s="46" t="s">
        <v>209</v>
      </c>
      <c r="N21" t="s">
        <v>221</v>
      </c>
      <c r="O21" t="s">
        <v>222</v>
      </c>
      <c r="P21" t="s">
        <v>223</v>
      </c>
      <c r="Q21" t="s">
        <v>0</v>
      </c>
      <c r="R21">
        <f t="shared" si="0"/>
        <v>3</v>
      </c>
      <c r="S21">
        <f t="shared" ca="1" si="1"/>
        <v>0</v>
      </c>
      <c r="T21">
        <f t="shared" si="2"/>
        <v>18</v>
      </c>
      <c r="U21" t="str">
        <f>IF($T21&lt;=Z$4,INDEX(TypicalCriticalitiesMAHBarrier[Barrier Family Description],MATCH($T21,TypicalCriticalitiesMAHBarrier[Barrier Family ID],0)),"")</f>
        <v>Digital security</v>
      </c>
      <c r="V21" t="str">
        <f ca="1">IF($T21&lt;=AA$4,INDEX(TypicalCriticalitiesMAHBarrier[Typical Components],MATCH($T21,TypicalCriticalitiesMAHBarrier[Column2],0)),"")</f>
        <v/>
      </c>
      <c r="W21" t="str">
        <f ca="1">IF($T21&lt;=AA$4,INDEX(TypicalCriticalitiesMAHBarrier[Typical Criticality],MATCH($T21,TypicalCriticalitiesMAHBarrier[Column2],0)),"")</f>
        <v/>
      </c>
      <c r="X21"/>
      <c r="Y21"/>
      <c r="Z21"/>
      <c r="AA21"/>
      <c r="AB21"/>
      <c r="AC21"/>
      <c r="AD21"/>
      <c r="AE21" s="44"/>
      <c r="AF21" s="44"/>
      <c r="AG21" s="44"/>
      <c r="AH21" s="44"/>
      <c r="AI21" s="44"/>
      <c r="AJ21" s="44"/>
    </row>
    <row r="22" spans="1:36" ht="15" customHeight="1" x14ac:dyDescent="0.25">
      <c r="A22" s="57" t="s">
        <v>212</v>
      </c>
      <c r="B22" s="4" t="s">
        <v>7</v>
      </c>
      <c r="C22" s="4">
        <v>2</v>
      </c>
      <c r="D22" s="52">
        <f>MATCH(B22,{"H","G","F","E","D","C","B","A"},0)+MATCH(C22, {1,2,3,4,5,6,7,8}, 0) - 1</f>
        <v>2</v>
      </c>
      <c r="E22" s="58">
        <f>IF(ISERR(CODE(FAILURE_CODE_Environmetal_scenarios20[Impact])), "", CODE(FAILURE_CODE_Environmetal_scenarios20[Impact]))</f>
        <v>72</v>
      </c>
      <c r="F22" s="57" t="s">
        <v>613</v>
      </c>
      <c r="N22" t="s">
        <v>221</v>
      </c>
      <c r="O22" t="s">
        <v>222</v>
      </c>
      <c r="P22" t="s">
        <v>224</v>
      </c>
      <c r="Q22" t="s">
        <v>0</v>
      </c>
      <c r="R22">
        <f t="shared" si="0"/>
        <v>3</v>
      </c>
      <c r="S22">
        <f t="shared" ca="1" si="1"/>
        <v>0</v>
      </c>
      <c r="T22">
        <f t="shared" si="2"/>
        <v>19</v>
      </c>
      <c r="U22" t="str">
        <f>IF($T22&lt;=Z$4,INDEX(TypicalCriticalitiesMAHBarrier[Barrier Family Description],MATCH($T22,TypicalCriticalitiesMAHBarrier[Barrier Family ID],0)),"")</f>
        <v>Control systems - LoPs</v>
      </c>
      <c r="V22" t="str">
        <f ca="1">IF($T22&lt;=AA$4,INDEX(TypicalCriticalitiesMAHBarrier[Typical Components],MATCH($T22,TypicalCriticalitiesMAHBarrier[Column2],0)),"")</f>
        <v/>
      </c>
      <c r="W22" t="str">
        <f ca="1">IF($T22&lt;=AA$4,INDEX(TypicalCriticalitiesMAHBarrier[Typical Criticality],MATCH($T22,TypicalCriticalitiesMAHBarrier[Column2],0)),"")</f>
        <v/>
      </c>
      <c r="AE22" s="44"/>
      <c r="AF22" s="44"/>
      <c r="AG22" s="44"/>
      <c r="AH22" s="44"/>
      <c r="AI22" s="44"/>
      <c r="AJ22" s="44"/>
    </row>
    <row r="23" spans="1:36" x14ac:dyDescent="0.25">
      <c r="A23" s="57"/>
      <c r="B23" s="4"/>
      <c r="C23" s="4"/>
      <c r="D23" s="52" t="e">
        <f>MATCH(B23,{"H","G","F","E","D","C","B","A"},0)+MATCH(C23, {1,2,3,4,5,6,7,8}, 0) - 1</f>
        <v>#N/A</v>
      </c>
      <c r="E23" s="58" t="str">
        <f>IF(ISERR(CODE(FAILURE_CODE_Environmetal_scenarios20[Impact])), "", CODE(FAILURE_CODE_Environmetal_scenarios20[Impact]))</f>
        <v/>
      </c>
      <c r="F23" s="57"/>
      <c r="N23" t="s">
        <v>221</v>
      </c>
      <c r="O23" t="s">
        <v>222</v>
      </c>
      <c r="P23" t="s">
        <v>225</v>
      </c>
      <c r="Q23" t="s">
        <v>0</v>
      </c>
      <c r="R23">
        <f t="shared" si="0"/>
        <v>3</v>
      </c>
      <c r="S23">
        <f t="shared" ca="1" si="1"/>
        <v>0</v>
      </c>
      <c r="T23">
        <f t="shared" si="2"/>
        <v>20</v>
      </c>
      <c r="U23" t="str">
        <f>IF($T23&lt;=Z$4,INDEX(TypicalCriticalitiesMAHBarrier[Barrier Family Description],MATCH($T23,TypicalCriticalitiesMAHBarrier[Barrier Family ID],0)),"")</f>
        <v xml:space="preserve">Control systems - non LoPs, LOPA initiating causes </v>
      </c>
      <c r="V23" t="str">
        <f ca="1">IF($T23&lt;=AA$4,INDEX(TypicalCriticalitiesMAHBarrier[Typical Components],MATCH($T23,TypicalCriticalitiesMAHBarrier[Column2],0)),"")</f>
        <v/>
      </c>
      <c r="W23" t="str">
        <f ca="1">IF($T23&lt;=AA$4,INDEX(TypicalCriticalitiesMAHBarrier[Typical Criticality],MATCH($T23,TypicalCriticalitiesMAHBarrier[Column2],0)),"")</f>
        <v/>
      </c>
      <c r="AE23" s="44"/>
      <c r="AF23" s="44"/>
      <c r="AG23" s="44"/>
      <c r="AH23" s="44"/>
      <c r="AI23" s="44"/>
      <c r="AJ23" s="44"/>
    </row>
    <row r="24" spans="1:36" x14ac:dyDescent="0.25">
      <c r="A24" s="57"/>
      <c r="B24" s="4"/>
      <c r="C24" s="4"/>
      <c r="D24" s="52" t="e">
        <f>MATCH(B24,{"H","G","F","E","D","C","B","A"},0)+MATCH(C24, {1,2,3,4,5,6,7,8}, 0) - 1</f>
        <v>#N/A</v>
      </c>
      <c r="E24" s="58" t="str">
        <f>IF(ISERR(CODE(FAILURE_CODE_Environmetal_scenarios20[Impact])), "", CODE(FAILURE_CODE_Environmetal_scenarios20[Impact]))</f>
        <v/>
      </c>
      <c r="F24" s="57"/>
      <c r="N24" t="s">
        <v>226</v>
      </c>
      <c r="O24" t="s">
        <v>227</v>
      </c>
      <c r="P24" t="s">
        <v>228</v>
      </c>
      <c r="Q24" t="s">
        <v>0</v>
      </c>
      <c r="R24">
        <f t="shared" si="0"/>
        <v>4</v>
      </c>
      <c r="S24">
        <f t="shared" ca="1" si="1"/>
        <v>0</v>
      </c>
      <c r="T24">
        <f t="shared" si="2"/>
        <v>21</v>
      </c>
      <c r="U24" t="str">
        <f>IF($T24&lt;=Z$4,INDEX(TypicalCriticalitiesMAHBarrier[Barrier Family Description],MATCH($T24,TypicalCriticalitiesMAHBarrier[Barrier Family ID],0)),"")</f>
        <v>Control systems - all others</v>
      </c>
      <c r="V24" t="str">
        <f ca="1">IF($T24&lt;=AA$4,INDEX(TypicalCriticalitiesMAHBarrier[Typical Components],MATCH($T24,TypicalCriticalitiesMAHBarrier[Column2],0)),"")</f>
        <v/>
      </c>
      <c r="W24" t="str">
        <f ca="1">IF($T24&lt;=AA$4,INDEX(TypicalCriticalitiesMAHBarrier[Typical Criticality],MATCH($T24,TypicalCriticalitiesMAHBarrier[Column2],0)),"")</f>
        <v/>
      </c>
      <c r="AE24" s="44"/>
      <c r="AF24" s="44"/>
      <c r="AG24" s="44"/>
      <c r="AH24" s="44"/>
      <c r="AI24" s="44"/>
      <c r="AJ24" s="44"/>
    </row>
    <row r="25" spans="1:36" x14ac:dyDescent="0.25">
      <c r="B25" s="2"/>
      <c r="D25" s="43"/>
      <c r="N25" t="s">
        <v>226</v>
      </c>
      <c r="O25" t="s">
        <v>227</v>
      </c>
      <c r="P25" t="s">
        <v>229</v>
      </c>
      <c r="Q25" t="s">
        <v>0</v>
      </c>
      <c r="R25">
        <f t="shared" si="0"/>
        <v>4</v>
      </c>
      <c r="S25">
        <f t="shared" ca="1" si="1"/>
        <v>0</v>
      </c>
      <c r="T25">
        <f t="shared" si="2"/>
        <v>22</v>
      </c>
      <c r="U25" t="str">
        <f>IF($T25&lt;=Z$4,INDEX(TypicalCriticalitiesMAHBarrier[Barrier Family Description],MATCH($T25,TypicalCriticalitiesMAHBarrier[Barrier Family ID],0)),"")</f>
        <v>SIS - LoP Components</v>
      </c>
      <c r="V25" t="str">
        <f ca="1">IF($T25&lt;=AA$4,INDEX(TypicalCriticalitiesMAHBarrier[Typical Components],MATCH($T25,TypicalCriticalitiesMAHBarrier[Column2],0)),"")</f>
        <v/>
      </c>
      <c r="W25" t="str">
        <f ca="1">IF($T25&lt;=AA$4,INDEX(TypicalCriticalitiesMAHBarrier[Typical Criticality],MATCH($T25,TypicalCriticalitiesMAHBarrier[Column2],0)),"")</f>
        <v/>
      </c>
      <c r="AE25" s="44"/>
      <c r="AF25" s="44"/>
      <c r="AG25" s="44"/>
      <c r="AH25" s="44"/>
      <c r="AI25" s="44"/>
      <c r="AJ25" s="44"/>
    </row>
    <row r="26" spans="1:36" x14ac:dyDescent="0.25">
      <c r="B26" s="2"/>
      <c r="D26" s="43"/>
      <c r="H26" t="s">
        <v>230</v>
      </c>
      <c r="J26" s="61">
        <v>5</v>
      </c>
      <c r="N26" t="s">
        <v>226</v>
      </c>
      <c r="O26" t="s">
        <v>227</v>
      </c>
      <c r="P26" t="s">
        <v>231</v>
      </c>
      <c r="Q26" t="s">
        <v>0</v>
      </c>
      <c r="R26">
        <f t="shared" si="0"/>
        <v>4</v>
      </c>
      <c r="S26">
        <f t="shared" ca="1" si="1"/>
        <v>0</v>
      </c>
      <c r="T26">
        <f t="shared" si="2"/>
        <v>23</v>
      </c>
      <c r="U26" t="str">
        <f>IF($T26&lt;=Z$4,INDEX(TypicalCriticalitiesMAHBarrier[Barrier Family Description],MATCH($T26,TypicalCriticalitiesMAHBarrier[Barrier Family ID],0)),"")</f>
        <v>SIS - Non LoP Components</v>
      </c>
      <c r="V26" t="str">
        <f ca="1">IF($T26&lt;=AA$4,INDEX(TypicalCriticalitiesMAHBarrier[Typical Components],MATCH($T26,TypicalCriticalitiesMAHBarrier[Column2],0)),"")</f>
        <v/>
      </c>
      <c r="W26" t="str">
        <f ca="1">IF($T26&lt;=AA$4,INDEX(TypicalCriticalitiesMAHBarrier[Typical Criticality],MATCH($T26,TypicalCriticalitiesMAHBarrier[Column2],0)),"")</f>
        <v/>
      </c>
      <c r="AE26" s="44"/>
      <c r="AF26" s="44"/>
      <c r="AG26" s="44"/>
      <c r="AH26" s="44"/>
      <c r="AI26" s="44"/>
      <c r="AJ26" s="44"/>
    </row>
    <row r="27" spans="1:36" s="43" customFormat="1" x14ac:dyDescent="0.25">
      <c r="A27" s="46" t="s">
        <v>232</v>
      </c>
      <c r="B27" s="43" t="s">
        <v>8</v>
      </c>
      <c r="C27" s="43" t="s">
        <v>17</v>
      </c>
      <c r="D27" s="43" t="s">
        <v>207</v>
      </c>
      <c r="E27" s="43" t="s">
        <v>208</v>
      </c>
      <c r="F27" s="46" t="s">
        <v>209</v>
      </c>
      <c r="H27" s="62" t="s">
        <v>233</v>
      </c>
      <c r="N27" t="s">
        <v>226</v>
      </c>
      <c r="O27" t="s">
        <v>234</v>
      </c>
      <c r="P27" t="s">
        <v>235</v>
      </c>
      <c r="Q27" t="s">
        <v>0</v>
      </c>
      <c r="R27">
        <f t="shared" si="0"/>
        <v>5</v>
      </c>
      <c r="S27">
        <f t="shared" ca="1" si="1"/>
        <v>0</v>
      </c>
      <c r="T27">
        <f t="shared" si="2"/>
        <v>24</v>
      </c>
      <c r="U27" t="str">
        <f>IF($T27&lt;=Z$4,INDEX(TypicalCriticalitiesMAHBarrier[Barrier Family Description],MATCH($T27,TypicalCriticalitiesMAHBarrier[Barrier Family ID],0)),"")</f>
        <v>Alarms &amp; operator response</v>
      </c>
      <c r="V27" t="str">
        <f ca="1">IF($T27&lt;=AA$4,INDEX(TypicalCriticalitiesMAHBarrier[Typical Components],MATCH($T27,TypicalCriticalitiesMAHBarrier[Column2],0)),"")</f>
        <v/>
      </c>
      <c r="W27" t="str">
        <f ca="1">IF($T27&lt;=AA$4,INDEX(TypicalCriticalitiesMAHBarrier[Typical Criticality],MATCH($T27,TypicalCriticalitiesMAHBarrier[Column2],0)),"")</f>
        <v/>
      </c>
      <c r="X27"/>
      <c r="Y27"/>
      <c r="Z27"/>
      <c r="AA27"/>
      <c r="AB27"/>
      <c r="AC27"/>
      <c r="AD27"/>
      <c r="AE27" s="44"/>
      <c r="AF27" s="44"/>
      <c r="AG27" s="44"/>
      <c r="AH27" s="44"/>
      <c r="AI27" s="44"/>
      <c r="AJ27" s="44"/>
    </row>
    <row r="28" spans="1:36" x14ac:dyDescent="0.25">
      <c r="A28" s="57" t="s">
        <v>212</v>
      </c>
      <c r="B28" s="4" t="s">
        <v>7</v>
      </c>
      <c r="C28" s="4">
        <v>2</v>
      </c>
      <c r="D28" s="52">
        <f>MATCH(B28,{"H","G","F","E","D","C","B","A"},0)+MATCH(C28, {1,2,3,4,5,6,7,8}, 0) - 1</f>
        <v>2</v>
      </c>
      <c r="E28" s="58">
        <f>IF(ISERR(CODE(FAILURE_CODE_Financial_scenarios21[Impact])), "", CODE(FAILURE_CODE_Financial_scenarios21[Impact]))</f>
        <v>72</v>
      </c>
      <c r="F28" s="57" t="s">
        <v>613</v>
      </c>
      <c r="H28" s="63" t="s">
        <v>236</v>
      </c>
      <c r="I28" s="63"/>
      <c r="J28" s="63" t="s">
        <v>237</v>
      </c>
      <c r="K28" s="60" t="s">
        <v>125</v>
      </c>
      <c r="N28" t="s">
        <v>226</v>
      </c>
      <c r="O28" t="s">
        <v>234</v>
      </c>
      <c r="P28" t="s">
        <v>238</v>
      </c>
      <c r="Q28" t="s">
        <v>0</v>
      </c>
      <c r="R28">
        <f t="shared" si="0"/>
        <v>5</v>
      </c>
      <c r="S28">
        <f t="shared" ca="1" si="1"/>
        <v>0</v>
      </c>
      <c r="T28">
        <f t="shared" si="2"/>
        <v>25</v>
      </c>
      <c r="U28" t="str">
        <f>IF($T28&lt;=Z$4,INDEX(TypicalCriticalitiesMAHBarrier[Barrier Family Description],MATCH($T28,TypicalCriticalitiesMAHBarrier[Barrier Family ID],0)),"")</f>
        <v>Collision Prevention</v>
      </c>
      <c r="V28" t="str">
        <f ca="1">IF($T28&lt;=AA$4,INDEX(TypicalCriticalitiesMAHBarrier[Typical Components],MATCH($T28,TypicalCriticalitiesMAHBarrier[Column2],0)),"")</f>
        <v/>
      </c>
      <c r="W28" t="str">
        <f ca="1">IF($T28&lt;=AA$4,INDEX(TypicalCriticalitiesMAHBarrier[Typical Criticality],MATCH($T28,TypicalCriticalitiesMAHBarrier[Column2],0)),"")</f>
        <v/>
      </c>
      <c r="AE28" s="44"/>
      <c r="AF28" s="44"/>
      <c r="AG28" s="44"/>
      <c r="AH28" s="44"/>
      <c r="AI28" s="44"/>
      <c r="AJ28" s="44"/>
    </row>
    <row r="29" spans="1:36" x14ac:dyDescent="0.25">
      <c r="A29" s="57"/>
      <c r="B29" s="4"/>
      <c r="C29" s="4"/>
      <c r="D29" s="52" t="e">
        <f>MATCH(B29,{"H","G","F","E","D","C","B","A"},0)+MATCH(C29, {1,2,3,4,5,6,7,8}, 0) - 1</f>
        <v>#N/A</v>
      </c>
      <c r="E29" s="58" t="str">
        <f>IF(ISERR(CODE(FAILURE_CODE_Financial_scenarios21[Impact])), "", CODE(FAILURE_CODE_Financial_scenarios21[Impact]))</f>
        <v/>
      </c>
      <c r="F29" s="57"/>
      <c r="H29" t="s">
        <v>239</v>
      </c>
      <c r="J29" s="21" t="str">
        <f>IF(CODE(B11) &gt; CODE("E"),"Yes", "No")</f>
        <v>Yes</v>
      </c>
      <c r="K29" s="22" t="str">
        <f>IF(J29="Yes","C",
      IF(C10&gt;J26, "A", "B")
)</f>
        <v>C</v>
      </c>
      <c r="N29" t="s">
        <v>226</v>
      </c>
      <c r="O29" t="s">
        <v>234</v>
      </c>
      <c r="P29" t="s">
        <v>240</v>
      </c>
      <c r="Q29" t="s">
        <v>0</v>
      </c>
      <c r="R29">
        <f t="shared" si="0"/>
        <v>5</v>
      </c>
      <c r="S29">
        <f t="shared" ca="1" si="1"/>
        <v>0</v>
      </c>
      <c r="T29">
        <f t="shared" si="2"/>
        <v>26</v>
      </c>
      <c r="U29" t="str">
        <f>IF($T29&lt;=Z$4,INDEX(TypicalCriticalitiesMAHBarrier[Barrier Family Description],MATCH($T29,TypicalCriticalitiesMAHBarrier[Barrier Family ID],0)),"")</f>
        <v>Export tanker birthing and position monitoring</v>
      </c>
      <c r="V29" t="str">
        <f ca="1">IF($T29&lt;=AA$4,INDEX(TypicalCriticalitiesMAHBarrier[Typical Components],MATCH($T29,TypicalCriticalitiesMAHBarrier[Column2],0)),"")</f>
        <v/>
      </c>
      <c r="W29" t="str">
        <f ca="1">IF($T29&lt;=AA$4,INDEX(TypicalCriticalitiesMAHBarrier[Typical Criticality],MATCH($T29,TypicalCriticalitiesMAHBarrier[Column2],0)),"")</f>
        <v/>
      </c>
      <c r="AE29" s="44"/>
      <c r="AF29" s="44"/>
      <c r="AG29" s="44"/>
      <c r="AH29" s="44"/>
      <c r="AI29" s="44"/>
      <c r="AJ29" s="44"/>
    </row>
    <row r="30" spans="1:36" x14ac:dyDescent="0.25">
      <c r="A30" s="57"/>
      <c r="B30" s="4"/>
      <c r="C30" s="4"/>
      <c r="D30" s="64" t="e">
        <f>MATCH(B30,{"H","G","F","E","D","C","B","A"},0)+MATCH(C30, {1,2,3,4,5,6,7,8}, 0) - 1</f>
        <v>#N/A</v>
      </c>
      <c r="E30" s="65" t="str">
        <f>IF(ISERR(CODE(FAILURE_CODE_Financial_scenarios21[Impact])), "", CODE(FAILURE_CODE_Financial_scenarios21[Impact]))</f>
        <v/>
      </c>
      <c r="F30" s="57"/>
      <c r="H30" t="s">
        <v>241</v>
      </c>
      <c r="J30" s="21" t="str">
        <f>IF(CODE(B11) &gt; CODE("F"),"Yes", "No")</f>
        <v>Yes</v>
      </c>
      <c r="K30" s="22" t="str">
        <f>IF(J30="Yes","C",
    IF(C11&gt;J26,"B", "C")
)</f>
        <v>C</v>
      </c>
      <c r="N30" t="s">
        <v>226</v>
      </c>
      <c r="O30" t="s">
        <v>242</v>
      </c>
      <c r="P30" t="s">
        <v>243</v>
      </c>
      <c r="Q30" t="s">
        <v>0</v>
      </c>
      <c r="R30">
        <f t="shared" si="0"/>
        <v>6</v>
      </c>
      <c r="S30">
        <f t="shared" ca="1" si="1"/>
        <v>0</v>
      </c>
      <c r="T30">
        <f t="shared" si="2"/>
        <v>27</v>
      </c>
      <c r="U30" t="str">
        <f>IF($T30&lt;=Z$4,INDEX(TypicalCriticalitiesMAHBarrier[Barrier Family Description],MATCH($T30,TypicalCriticalitiesMAHBarrier[Barrier Family ID],0)),"")</f>
        <v xml:space="preserve">Bunding, Open and Closed Hazardous Drains </v>
      </c>
      <c r="V30" t="str">
        <f ca="1">IF($T30&lt;=AA$4,INDEX(TypicalCriticalitiesMAHBarrier[Typical Components],MATCH($T30,TypicalCriticalitiesMAHBarrier[Column2],0)),"")</f>
        <v/>
      </c>
      <c r="W30" t="str">
        <f ca="1">IF($T30&lt;=AA$4,INDEX(TypicalCriticalitiesMAHBarrier[Typical Criticality],MATCH($T30,TypicalCriticalitiesMAHBarrier[Column2],0)),"")</f>
        <v/>
      </c>
      <c r="AE30" s="44"/>
      <c r="AF30" s="44"/>
      <c r="AG30" s="44"/>
      <c r="AH30" s="44"/>
      <c r="AI30" s="44"/>
      <c r="AJ30" s="44"/>
    </row>
    <row r="31" spans="1:36" x14ac:dyDescent="0.25">
      <c r="A31" s="57"/>
      <c r="B31" s="4"/>
      <c r="C31" s="4"/>
      <c r="D31" s="52" t="e">
        <f>MATCH(B31,{"H","G","F","E","D","C","B","A"},0)+MATCH(C31, {1,2,3,4,5,6,7,8}, 0) - 1</f>
        <v>#N/A</v>
      </c>
      <c r="E31" s="58" t="str">
        <f>IF(ISERR(CODE(FAILURE_CODE_Financial_scenarios21[Impact])), "", CODE(FAILURE_CODE_Financial_scenarios21[Impact]))</f>
        <v/>
      </c>
      <c r="F31" s="57"/>
      <c r="H31" t="s">
        <v>244</v>
      </c>
      <c r="J31" s="21" t="str">
        <f>IF(CODE(B11) &gt;= CODE("G"),"Yes", "No")</f>
        <v>Yes</v>
      </c>
      <c r="K31" s="22" t="str">
        <f>IF(J31="Yes","C","")</f>
        <v>C</v>
      </c>
      <c r="N31" t="s">
        <v>226</v>
      </c>
      <c r="O31" t="s">
        <v>242</v>
      </c>
      <c r="P31" t="s">
        <v>245</v>
      </c>
      <c r="Q31" t="s">
        <v>0</v>
      </c>
      <c r="R31">
        <f t="shared" si="0"/>
        <v>6</v>
      </c>
      <c r="S31">
        <f t="shared" ca="1" si="1"/>
        <v>0</v>
      </c>
      <c r="T31">
        <f t="shared" si="2"/>
        <v>28</v>
      </c>
      <c r="U31" t="str">
        <f>IF($T31&lt;=Z$4,INDEX(TypicalCriticalitiesMAHBarrier[Barrier Family Description],MATCH($T31,TypicalCriticalitiesMAHBarrier[Barrier Family ID],0)),"")</f>
        <v xml:space="preserve">Passive Fire Protection </v>
      </c>
      <c r="V31" t="str">
        <f ca="1">IF($T31&lt;=AA$4,INDEX(TypicalCriticalitiesMAHBarrier[Typical Components],MATCH($T31,TypicalCriticalitiesMAHBarrier[Column2],0)),"")</f>
        <v/>
      </c>
      <c r="W31" t="str">
        <f ca="1">IF($T31&lt;=AA$4,INDEX(TypicalCriticalitiesMAHBarrier[Typical Criticality],MATCH($T31,TypicalCriticalitiesMAHBarrier[Column2],0)),"")</f>
        <v/>
      </c>
      <c r="AE31" s="44"/>
      <c r="AF31" s="44"/>
      <c r="AG31" s="44"/>
      <c r="AH31" s="44"/>
      <c r="AI31" s="44"/>
      <c r="AJ31" s="44"/>
    </row>
    <row r="32" spans="1:36" s="43" customFormat="1" x14ac:dyDescent="0.25">
      <c r="A32" s="36"/>
      <c r="B32"/>
      <c r="C32"/>
      <c r="F32" s="36"/>
      <c r="H32"/>
      <c r="I32"/>
      <c r="J32"/>
      <c r="K32"/>
      <c r="N32" t="s">
        <v>226</v>
      </c>
      <c r="O32" t="s">
        <v>246</v>
      </c>
      <c r="P32" t="s">
        <v>247</v>
      </c>
      <c r="Q32" t="s">
        <v>0</v>
      </c>
      <c r="R32">
        <f t="shared" si="0"/>
        <v>7</v>
      </c>
      <c r="S32">
        <f t="shared" ca="1" si="1"/>
        <v>0</v>
      </c>
      <c r="T32">
        <f t="shared" si="2"/>
        <v>29</v>
      </c>
      <c r="U32" t="str">
        <f>IF($T32&lt;=Z$4,INDEX(TypicalCriticalitiesMAHBarrier[Barrier Family Description],MATCH($T32,TypicalCriticalitiesMAHBarrier[Barrier Family ID],0)),"")</f>
        <v xml:space="preserve">Blast Overpressure Protection </v>
      </c>
      <c r="V32" t="str">
        <f ca="1">IF($T32&lt;=AA$4,INDEX(TypicalCriticalitiesMAHBarrier[Typical Components],MATCH($T32,TypicalCriticalitiesMAHBarrier[Column2],0)),"")</f>
        <v/>
      </c>
      <c r="W32" t="str">
        <f ca="1">IF($T32&lt;=AA$4,INDEX(TypicalCriticalitiesMAHBarrier[Typical Criticality],MATCH($T32,TypicalCriticalitiesMAHBarrier[Column2],0)),"")</f>
        <v/>
      </c>
      <c r="X32"/>
      <c r="Y32"/>
      <c r="Z32"/>
      <c r="AA32"/>
      <c r="AB32"/>
      <c r="AC32"/>
      <c r="AD32"/>
      <c r="AE32" s="44"/>
      <c r="AF32" s="44"/>
      <c r="AG32" s="44"/>
      <c r="AH32" s="44"/>
      <c r="AI32" s="44"/>
      <c r="AJ32" s="44"/>
    </row>
    <row r="33" spans="1:36" ht="15" customHeight="1" x14ac:dyDescent="0.25">
      <c r="A33" s="46" t="s">
        <v>248</v>
      </c>
      <c r="B33" s="43" t="s">
        <v>8</v>
      </c>
      <c r="C33" s="43" t="s">
        <v>17</v>
      </c>
      <c r="D33" s="43" t="s">
        <v>207</v>
      </c>
      <c r="E33" s="43" t="s">
        <v>208</v>
      </c>
      <c r="F33" s="46" t="s">
        <v>209</v>
      </c>
      <c r="H33" s="56" t="s">
        <v>249</v>
      </c>
      <c r="N33" t="s">
        <v>226</v>
      </c>
      <c r="O33" t="s">
        <v>246</v>
      </c>
      <c r="P33" t="s">
        <v>250</v>
      </c>
      <c r="Q33" t="s">
        <v>0</v>
      </c>
      <c r="R33">
        <f t="shared" si="0"/>
        <v>7</v>
      </c>
      <c r="S33">
        <f t="shared" ca="1" si="1"/>
        <v>0</v>
      </c>
      <c r="T33">
        <f t="shared" si="2"/>
        <v>30</v>
      </c>
      <c r="U33" t="str">
        <f>IF($T33&lt;=Z$4,INDEX(TypicalCriticalitiesMAHBarrier[Barrier Family Description],MATCH($T33,TypicalCriticalitiesMAHBarrier[Barrier Family ID],0)),"")</f>
        <v xml:space="preserve">Temporary refuge integrity </v>
      </c>
      <c r="V33" t="str">
        <f ca="1">IF($T33&lt;=AA$4,INDEX(TypicalCriticalitiesMAHBarrier[Typical Components],MATCH($T33,TypicalCriticalitiesMAHBarrier[Column2],0)),"")</f>
        <v/>
      </c>
      <c r="W33" t="str">
        <f ca="1">IF($T33&lt;=AA$4,INDEX(TypicalCriticalitiesMAHBarrier[Typical Criticality],MATCH($T33,TypicalCriticalitiesMAHBarrier[Column2],0)),"")</f>
        <v/>
      </c>
      <c r="AE33" s="44"/>
      <c r="AF33" s="44"/>
      <c r="AG33" s="44"/>
      <c r="AH33" s="44"/>
      <c r="AI33" s="44"/>
      <c r="AJ33" s="44"/>
    </row>
    <row r="34" spans="1:36" x14ac:dyDescent="0.25">
      <c r="A34" s="57" t="s">
        <v>212</v>
      </c>
      <c r="B34" s="4" t="s">
        <v>7</v>
      </c>
      <c r="C34" s="4">
        <v>2</v>
      </c>
      <c r="D34" s="52">
        <f>MATCH(B34,{"H","G","F","E","D","C","B","A"},0)+MATCH(C34, {1,2,3,4,5,6,7,8}, 0) - 1</f>
        <v>2</v>
      </c>
      <c r="E34" s="58">
        <f>IF(ISERR(CODE(FAILURE_CODE_Non_Financial_scenarios22[Impact])), "", CODE(FAILURE_CODE_Non_Financial_scenarios22[Impact]))</f>
        <v>72</v>
      </c>
      <c r="F34" s="57" t="s">
        <v>613</v>
      </c>
      <c r="H34" s="63" t="s">
        <v>236</v>
      </c>
      <c r="I34" s="63"/>
      <c r="J34" s="63" t="s">
        <v>237</v>
      </c>
      <c r="K34" s="60" t="s">
        <v>125</v>
      </c>
      <c r="N34" t="s">
        <v>226</v>
      </c>
      <c r="O34" t="s">
        <v>246</v>
      </c>
      <c r="P34" t="s">
        <v>251</v>
      </c>
      <c r="Q34" t="s">
        <v>0</v>
      </c>
      <c r="R34">
        <f t="shared" si="0"/>
        <v>7</v>
      </c>
      <c r="S34">
        <f t="shared" ca="1" si="1"/>
        <v>0</v>
      </c>
      <c r="T34">
        <f t="shared" si="2"/>
        <v>31</v>
      </c>
      <c r="U34" t="str">
        <f>IF($T34&lt;=Z$4,INDEX(TypicalCriticalitiesMAHBarrier[Barrier Family Description],MATCH($T34,TypicalCriticalitiesMAHBarrier[Barrier Family ID],0)),"")</f>
        <v xml:space="preserve">Alarm Annunciation System:  </v>
      </c>
      <c r="V34" t="str">
        <f ca="1">IF($T34&lt;=AA$4,INDEX(TypicalCriticalitiesMAHBarrier[Typical Components],MATCH($T34,TypicalCriticalitiesMAHBarrier[Column2],0)),"")</f>
        <v/>
      </c>
      <c r="W34" t="str">
        <f ca="1">IF($T34&lt;=AA$4,INDEX(TypicalCriticalitiesMAHBarrier[Typical Criticality],MATCH($T34,TypicalCriticalitiesMAHBarrier[Column2],0)),"")</f>
        <v/>
      </c>
      <c r="AE34" s="44"/>
      <c r="AF34" s="44"/>
      <c r="AG34" s="44"/>
      <c r="AH34" s="44"/>
      <c r="AI34" s="44"/>
      <c r="AJ34" s="44"/>
    </row>
    <row r="35" spans="1:36" x14ac:dyDescent="0.25">
      <c r="A35" s="57"/>
      <c r="B35" s="4"/>
      <c r="C35" s="4"/>
      <c r="D35" s="52" t="e">
        <f>MATCH(B35,{"H","G","F","E","D","C","B","A"},0)+MATCH(C35, {1,2,3,4,5,6,7,8}, 0) - 1</f>
        <v>#N/A</v>
      </c>
      <c r="E35" s="58" t="str">
        <f>IF(ISERR(CODE(FAILURE_CODE_Non_Financial_scenarios22[Impact])), "", CODE(FAILURE_CODE_Non_Financial_scenarios22[Impact]))</f>
        <v/>
      </c>
      <c r="F35" s="57"/>
      <c r="H35" t="s">
        <v>624</v>
      </c>
      <c r="J35" s="6" t="s">
        <v>194</v>
      </c>
      <c r="K35" s="22" t="str">
        <f>IF(J35="yes", "A", "C")</f>
        <v>C</v>
      </c>
      <c r="N35" t="s">
        <v>226</v>
      </c>
      <c r="O35" t="s">
        <v>246</v>
      </c>
      <c r="P35" t="s">
        <v>252</v>
      </c>
      <c r="Q35" t="s">
        <v>0</v>
      </c>
      <c r="R35">
        <f t="shared" si="0"/>
        <v>7</v>
      </c>
      <c r="S35">
        <f t="shared" ca="1" si="1"/>
        <v>0</v>
      </c>
      <c r="T35">
        <f t="shared" si="2"/>
        <v>32</v>
      </c>
      <c r="U35" t="str">
        <f>IF($T35&lt;=Z$4,INDEX(TypicalCriticalitiesMAHBarrier[Barrier Family Description],MATCH($T35,TypicalCriticalitiesMAHBarrier[Barrier Family ID],0)),"")</f>
        <v xml:space="preserve">Personnel Address (PA) System </v>
      </c>
      <c r="V35" t="str">
        <f ca="1">IF($T35&lt;=AA$4,INDEX(TypicalCriticalitiesMAHBarrier[Typical Components],MATCH($T35,TypicalCriticalitiesMAHBarrier[Column2],0)),"")</f>
        <v/>
      </c>
      <c r="W35" t="str">
        <f ca="1">IF($T35&lt;=AA$4,INDEX(TypicalCriticalitiesMAHBarrier[Typical Criticality],MATCH($T35,TypicalCriticalitiesMAHBarrier[Column2],0)),"")</f>
        <v/>
      </c>
      <c r="AE35" s="44"/>
      <c r="AF35" s="44"/>
      <c r="AG35" s="44"/>
      <c r="AH35" s="44"/>
      <c r="AI35" s="44"/>
      <c r="AJ35" s="44"/>
    </row>
    <row r="36" spans="1:36" x14ac:dyDescent="0.25">
      <c r="A36" s="57"/>
      <c r="B36" s="4"/>
      <c r="C36" s="4"/>
      <c r="D36" s="52" t="e">
        <f>MATCH(B36,{"H","G","F","E","D","C","B","A"},0)+MATCH(C36, {1,2,3,4,5,6,7,8}, 0) - 1</f>
        <v>#N/A</v>
      </c>
      <c r="E36" s="58" t="str">
        <f>IF(ISERR(CODE(FAILURE_CODE_Non_Financial_scenarios22[Impact])), "", CODE(FAILURE_CODE_Non_Financial_scenarios22[Impact]))</f>
        <v/>
      </c>
      <c r="F36" s="57"/>
      <c r="H36" t="s">
        <v>253</v>
      </c>
      <c r="J36" s="21" t="str">
        <f>IF(AND(CODE(B12)&lt;CODE("E"), C12&gt;$J$26),"Yes","No")</f>
        <v>No</v>
      </c>
      <c r="K36" s="22" t="str">
        <f>IF(J36="yes", "A", "C")</f>
        <v>C</v>
      </c>
      <c r="N36" t="s">
        <v>226</v>
      </c>
      <c r="O36" t="s">
        <v>254</v>
      </c>
      <c r="P36" t="s">
        <v>255</v>
      </c>
      <c r="Q36" t="s">
        <v>0</v>
      </c>
      <c r="R36">
        <f t="shared" si="0"/>
        <v>8</v>
      </c>
      <c r="S36">
        <f t="shared" ca="1" si="1"/>
        <v>0</v>
      </c>
      <c r="T36">
        <f t="shared" si="2"/>
        <v>33</v>
      </c>
      <c r="U36" t="str">
        <f>IF($T36&lt;=Z$4,INDEX(TypicalCriticalitiesMAHBarrier[Barrier Family Description],MATCH($T36,TypicalCriticalitiesMAHBarrier[Barrier Family ID],0)),"")</f>
        <v>Marine, Aircraft and Helicopter Radio System</v>
      </c>
      <c r="V36" t="str">
        <f ca="1">IF($T36&lt;=AA$4,INDEX(TypicalCriticalitiesMAHBarrier[Typical Components],MATCH($T36,TypicalCriticalitiesMAHBarrier[Column2],0)),"")</f>
        <v/>
      </c>
      <c r="W36" t="str">
        <f ca="1">IF($T36&lt;=AA$4,INDEX(TypicalCriticalitiesMAHBarrier[Typical Criticality],MATCH($T36,TypicalCriticalitiesMAHBarrier[Column2],0)),"")</f>
        <v/>
      </c>
      <c r="AE36" s="44"/>
      <c r="AF36" s="44"/>
      <c r="AG36" s="44"/>
      <c r="AH36" s="44"/>
      <c r="AI36" s="44"/>
      <c r="AJ36" s="44"/>
    </row>
    <row r="37" spans="1:36" ht="30" x14ac:dyDescent="0.25">
      <c r="A37"/>
      <c r="C37"/>
      <c r="D37"/>
      <c r="E37"/>
      <c r="F37"/>
      <c r="H37" s="36" t="s">
        <v>256</v>
      </c>
      <c r="I37" s="4" t="s">
        <v>194</v>
      </c>
      <c r="J37" s="21" t="str">
        <f>IF(I37="Yes","Yes", "No")</f>
        <v>No</v>
      </c>
      <c r="K37" s="22" t="str">
        <f>IF(I37="yes", "A", "C")</f>
        <v>C</v>
      </c>
      <c r="N37" t="s">
        <v>226</v>
      </c>
      <c r="O37" t="s">
        <v>254</v>
      </c>
      <c r="P37" t="s">
        <v>257</v>
      </c>
      <c r="Q37" t="s">
        <v>0</v>
      </c>
      <c r="R37">
        <f t="shared" si="0"/>
        <v>8</v>
      </c>
      <c r="S37">
        <f t="shared" ca="1" si="1"/>
        <v>0</v>
      </c>
      <c r="T37">
        <f t="shared" si="2"/>
        <v>34</v>
      </c>
      <c r="U37" t="str">
        <f>IF($T37&lt;=Z$4,INDEX(TypicalCriticalitiesMAHBarrier[Barrier Family Description],MATCH($T37,TypicalCriticalitiesMAHBarrier[Barrier Family ID],0)),"")</f>
        <v xml:space="preserve">Telecommunications </v>
      </c>
      <c r="V37" t="str">
        <f ca="1">IF($T37&lt;=AA$4,INDEX(TypicalCriticalitiesMAHBarrier[Typical Components],MATCH($T37,TypicalCriticalitiesMAHBarrier[Column2],0)),"")</f>
        <v/>
      </c>
      <c r="W37" t="str">
        <f ca="1">IF($T37&lt;=AA$4,INDEX(TypicalCriticalitiesMAHBarrier[Typical Criticality],MATCH($T37,TypicalCriticalitiesMAHBarrier[Column2],0)),"")</f>
        <v/>
      </c>
      <c r="AE37" s="44"/>
      <c r="AF37" s="44"/>
      <c r="AG37" s="44"/>
      <c r="AH37" s="44"/>
      <c r="AI37" s="44"/>
      <c r="AJ37" s="44"/>
    </row>
    <row r="38" spans="1:36" x14ac:dyDescent="0.25">
      <c r="A38"/>
      <c r="C38"/>
      <c r="D38"/>
      <c r="E38"/>
      <c r="F38"/>
      <c r="H38" s="66"/>
      <c r="I38" s="66"/>
      <c r="N38" t="s">
        <v>226</v>
      </c>
      <c r="O38" t="s">
        <v>254</v>
      </c>
      <c r="P38" t="s">
        <v>258</v>
      </c>
      <c r="Q38" t="s">
        <v>0</v>
      </c>
      <c r="R38">
        <f t="shared" si="0"/>
        <v>8</v>
      </c>
      <c r="S38">
        <f t="shared" ca="1" si="1"/>
        <v>0</v>
      </c>
      <c r="T38">
        <f t="shared" si="2"/>
        <v>35</v>
      </c>
      <c r="U38" t="str">
        <f>IF($T38&lt;=Z$4,INDEX(TypicalCriticalitiesMAHBarrier[Barrier Family Description],MATCH($T38,TypicalCriticalitiesMAHBarrier[Barrier Family ID],0)),"")</f>
        <v xml:space="preserve">Electronic Muster System </v>
      </c>
      <c r="V38" t="str">
        <f ca="1">IF($T38&lt;=AA$4,INDEX(TypicalCriticalitiesMAHBarrier[Typical Components],MATCH($T38,TypicalCriticalitiesMAHBarrier[Column2],0)),"")</f>
        <v/>
      </c>
      <c r="W38" t="str">
        <f ca="1">IF($T38&lt;=AA$4,INDEX(TypicalCriticalitiesMAHBarrier[Typical Criticality],MATCH($T38,TypicalCriticalitiesMAHBarrier[Column2],0)),"")</f>
        <v/>
      </c>
      <c r="AE38" s="44"/>
      <c r="AF38" s="44"/>
      <c r="AG38" s="44"/>
      <c r="AH38" s="44"/>
      <c r="AI38" s="44"/>
      <c r="AJ38" s="44"/>
    </row>
    <row r="39" spans="1:36" x14ac:dyDescent="0.25">
      <c r="N39" t="s">
        <v>259</v>
      </c>
      <c r="O39" t="s">
        <v>260</v>
      </c>
      <c r="P39" t="s">
        <v>261</v>
      </c>
      <c r="Q39" t="s">
        <v>1</v>
      </c>
      <c r="R39">
        <f t="shared" si="0"/>
        <v>9</v>
      </c>
      <c r="S39">
        <f t="shared" ca="1" si="1"/>
        <v>0</v>
      </c>
      <c r="T39">
        <f t="shared" si="2"/>
        <v>36</v>
      </c>
      <c r="U39" t="str">
        <f>IF($T39&lt;=Z$4,INDEX(TypicalCriticalitiesMAHBarrier[Barrier Family Description],MATCH($T39,TypicalCriticalitiesMAHBarrier[Barrier Family ID],0)),"")</f>
        <v xml:space="preserve">Facility Emergency Telephone &amp; Hot line systems </v>
      </c>
      <c r="V39" t="str">
        <f ca="1">IF($T39&lt;=AA$4,INDEX(TypicalCriticalitiesMAHBarrier[Typical Components],MATCH($T39,TypicalCriticalitiesMAHBarrier[Column2],0)),"")</f>
        <v/>
      </c>
      <c r="W39" t="str">
        <f ca="1">IF($T39&lt;=AA$4,INDEX(TypicalCriticalitiesMAHBarrier[Typical Criticality],MATCH($T39,TypicalCriticalitiesMAHBarrier[Column2],0)),"")</f>
        <v/>
      </c>
      <c r="AE39" s="44"/>
      <c r="AF39" s="44"/>
      <c r="AG39" s="44"/>
      <c r="AH39" s="44"/>
      <c r="AI39" s="44"/>
      <c r="AJ39" s="44"/>
    </row>
    <row r="40" spans="1:36" x14ac:dyDescent="0.25">
      <c r="N40" t="s">
        <v>259</v>
      </c>
      <c r="O40" t="s">
        <v>260</v>
      </c>
      <c r="P40" t="s">
        <v>262</v>
      </c>
      <c r="Q40" t="s">
        <v>1</v>
      </c>
      <c r="R40">
        <f t="shared" si="0"/>
        <v>9</v>
      </c>
      <c r="S40">
        <f t="shared" ca="1" si="1"/>
        <v>0</v>
      </c>
      <c r="T40">
        <f t="shared" si="2"/>
        <v>37</v>
      </c>
      <c r="U40" t="str">
        <f>IF($T40&lt;=Z$4,INDEX(TypicalCriticalitiesMAHBarrier[Barrier Family Description],MATCH($T40,TypicalCriticalitiesMAHBarrier[Barrier Family ID],0)),"")</f>
        <v xml:space="preserve">Facility radio system </v>
      </c>
      <c r="V40" t="str">
        <f ca="1">IF($T40&lt;=AA$4,INDEX(TypicalCriticalitiesMAHBarrier[Typical Components],MATCH($T40,TypicalCriticalitiesMAHBarrier[Column2],0)),"")</f>
        <v/>
      </c>
      <c r="W40" t="str">
        <f ca="1">IF($T40&lt;=AA$4,INDEX(TypicalCriticalitiesMAHBarrier[Typical Criticality],MATCH($T40,TypicalCriticalitiesMAHBarrier[Column2],0)),"")</f>
        <v/>
      </c>
      <c r="AE40" s="44"/>
      <c r="AF40" s="44"/>
      <c r="AG40" s="44"/>
      <c r="AH40" s="44"/>
      <c r="AI40" s="44"/>
      <c r="AJ40" s="44"/>
    </row>
    <row r="41" spans="1:36" x14ac:dyDescent="0.25">
      <c r="N41" t="s">
        <v>259</v>
      </c>
      <c r="O41" t="s">
        <v>260</v>
      </c>
      <c r="P41" t="s">
        <v>263</v>
      </c>
      <c r="Q41" t="s">
        <v>1</v>
      </c>
      <c r="R41">
        <f t="shared" si="0"/>
        <v>9</v>
      </c>
      <c r="S41">
        <f t="shared" ca="1" si="1"/>
        <v>0</v>
      </c>
      <c r="T41">
        <f t="shared" si="2"/>
        <v>38</v>
      </c>
      <c r="U41" t="str">
        <f>IF($T41&lt;=Z$4,INDEX(TypicalCriticalitiesMAHBarrier[Barrier Family Description],MATCH($T41,TypicalCriticalitiesMAHBarrier[Barrier Family ID],0)),"")</f>
        <v>Emergency Power</v>
      </c>
      <c r="V41" t="str">
        <f ca="1">IF($T41&lt;=AA$4,INDEX(TypicalCriticalitiesMAHBarrier[Typical Components],MATCH($T41,TypicalCriticalitiesMAHBarrier[Column2],0)),"")</f>
        <v/>
      </c>
      <c r="W41" t="str">
        <f ca="1">IF($T41&lt;=AA$4,INDEX(TypicalCriticalitiesMAHBarrier[Typical Criticality],MATCH($T41,TypicalCriticalitiesMAHBarrier[Column2],0)),"")</f>
        <v/>
      </c>
      <c r="AE41" s="44"/>
      <c r="AF41" s="44"/>
      <c r="AG41" s="44"/>
      <c r="AH41" s="44"/>
      <c r="AI41" s="44"/>
      <c r="AJ41" s="44"/>
    </row>
    <row r="42" spans="1:36" x14ac:dyDescent="0.25">
      <c r="N42" t="s">
        <v>259</v>
      </c>
      <c r="O42" t="s">
        <v>260</v>
      </c>
      <c r="P42" t="s">
        <v>264</v>
      </c>
      <c r="Q42" t="s">
        <v>1</v>
      </c>
      <c r="R42">
        <f t="shared" si="0"/>
        <v>9</v>
      </c>
      <c r="S42">
        <f t="shared" ca="1" si="1"/>
        <v>0</v>
      </c>
      <c r="T42">
        <f t="shared" si="2"/>
        <v>39</v>
      </c>
      <c r="U42" t="str">
        <f>IF($T42&lt;=Z$4,INDEX(TypicalCriticalitiesMAHBarrier[Barrier Family Description],MATCH($T42,TypicalCriticalitiesMAHBarrier[Barrier Family ID],0)),"")</f>
        <v>Emergency Lighting</v>
      </c>
      <c r="V42" t="str">
        <f ca="1">IF($T42&lt;=AA$4,INDEX(TypicalCriticalitiesMAHBarrier[Typical Components],MATCH($T42,TypicalCriticalitiesMAHBarrier[Column2],0)),"")</f>
        <v/>
      </c>
      <c r="W42" t="str">
        <f ca="1">IF($T42&lt;=AA$4,INDEX(TypicalCriticalitiesMAHBarrier[Typical Criticality],MATCH($T42,TypicalCriticalitiesMAHBarrier[Column2],0)),"")</f>
        <v/>
      </c>
      <c r="AE42" s="44"/>
      <c r="AF42" s="44"/>
      <c r="AG42" s="44"/>
      <c r="AH42" s="44"/>
      <c r="AI42" s="44"/>
      <c r="AJ42" s="44"/>
    </row>
    <row r="43" spans="1:36" x14ac:dyDescent="0.25">
      <c r="N43" t="s">
        <v>259</v>
      </c>
      <c r="O43" t="s">
        <v>260</v>
      </c>
      <c r="P43" t="s">
        <v>265</v>
      </c>
      <c r="Q43" t="s">
        <v>1</v>
      </c>
      <c r="R43">
        <f t="shared" si="0"/>
        <v>9</v>
      </c>
      <c r="S43">
        <f t="shared" ca="1" si="1"/>
        <v>0</v>
      </c>
      <c r="T43">
        <f t="shared" si="2"/>
        <v>40</v>
      </c>
      <c r="U43" t="str">
        <f>IF($T43&lt;=Z$4,INDEX(TypicalCriticalitiesMAHBarrier[Barrier Family Description],MATCH($T43,TypicalCriticalitiesMAHBarrier[Barrier Family ID],0)),"")</f>
        <v>Ignition Prevention</v>
      </c>
      <c r="V43" t="str">
        <f ca="1">IF($T43&lt;=AA$4,INDEX(TypicalCriticalitiesMAHBarrier[Typical Components],MATCH($T43,TypicalCriticalitiesMAHBarrier[Column2],0)),"")</f>
        <v/>
      </c>
      <c r="W43" t="str">
        <f ca="1">IF($T43&lt;=AA$4,INDEX(TypicalCriticalitiesMAHBarrier[Typical Criticality],MATCH($T43,TypicalCriticalitiesMAHBarrier[Column2],0)),"")</f>
        <v/>
      </c>
      <c r="AE43" s="44"/>
      <c r="AF43" s="44"/>
      <c r="AG43" s="44"/>
      <c r="AH43" s="44"/>
      <c r="AI43" s="44"/>
      <c r="AJ43" s="44"/>
    </row>
    <row r="44" spans="1:36" x14ac:dyDescent="0.25">
      <c r="N44" t="s">
        <v>259</v>
      </c>
      <c r="O44" t="s">
        <v>260</v>
      </c>
      <c r="P44" t="s">
        <v>266</v>
      </c>
      <c r="Q44" t="s">
        <v>1</v>
      </c>
      <c r="R44">
        <f t="shared" si="0"/>
        <v>9</v>
      </c>
      <c r="S44">
        <f t="shared" ca="1" si="1"/>
        <v>0</v>
      </c>
      <c r="T44">
        <f t="shared" si="2"/>
        <v>41</v>
      </c>
      <c r="U44" t="str">
        <f>IF($T44&lt;=Z$4,INDEX(TypicalCriticalitiesMAHBarrier[Barrier Family Description],MATCH($T44,TypicalCriticalitiesMAHBarrier[Barrier Family ID],0)),"")</f>
        <v>Inert Gas Blanketing</v>
      </c>
      <c r="V44" t="str">
        <f ca="1">IF($T44&lt;=AA$4,INDEX(TypicalCriticalitiesMAHBarrier[Typical Components],MATCH($T44,TypicalCriticalitiesMAHBarrier[Column2],0)),"")</f>
        <v/>
      </c>
      <c r="W44" t="str">
        <f ca="1">IF($T44&lt;=AA$4,INDEX(TypicalCriticalitiesMAHBarrier[Typical Criticality],MATCH($T44,TypicalCriticalitiesMAHBarrier[Column2],0)),"")</f>
        <v/>
      </c>
      <c r="AE44" s="44"/>
      <c r="AF44" s="44"/>
      <c r="AG44" s="44"/>
      <c r="AH44" s="44"/>
      <c r="AI44" s="44"/>
      <c r="AJ44" s="44"/>
    </row>
    <row r="45" spans="1:36" x14ac:dyDescent="0.25">
      <c r="N45" t="s">
        <v>259</v>
      </c>
      <c r="O45" t="s">
        <v>260</v>
      </c>
      <c r="P45" t="s">
        <v>267</v>
      </c>
      <c r="Q45" t="s">
        <v>0</v>
      </c>
      <c r="R45">
        <f t="shared" si="0"/>
        <v>9</v>
      </c>
      <c r="S45">
        <f t="shared" ca="1" si="1"/>
        <v>0</v>
      </c>
      <c r="T45">
        <f t="shared" si="2"/>
        <v>42</v>
      </c>
      <c r="U45" t="str">
        <f>IF($T45&lt;=Z$4,INDEX(TypicalCriticalitiesMAHBarrier[Barrier Family Description],MATCH($T45,TypicalCriticalitiesMAHBarrier[Barrier Family ID],0)),"")</f>
        <v>Lifesaving Equipment</v>
      </c>
      <c r="V45" t="str">
        <f ca="1">IF($T45&lt;=AA$4,INDEX(TypicalCriticalitiesMAHBarrier[Typical Components],MATCH($T45,TypicalCriticalitiesMAHBarrier[Column2],0)),"")</f>
        <v/>
      </c>
      <c r="W45" t="str">
        <f ca="1">IF($T45&lt;=AA$4,INDEX(TypicalCriticalitiesMAHBarrier[Typical Criticality],MATCH($T45,TypicalCriticalitiesMAHBarrier[Column2],0)),"")</f>
        <v/>
      </c>
      <c r="AE45" s="44"/>
      <c r="AF45" s="44"/>
      <c r="AG45" s="44"/>
      <c r="AH45" s="44"/>
      <c r="AI45" s="44"/>
      <c r="AJ45" s="44"/>
    </row>
    <row r="46" spans="1:36" x14ac:dyDescent="0.25">
      <c r="N46" t="s">
        <v>268</v>
      </c>
      <c r="O46" t="s">
        <v>269</v>
      </c>
      <c r="P46" t="s">
        <v>270</v>
      </c>
      <c r="Q46" t="s">
        <v>0</v>
      </c>
      <c r="R46">
        <f t="shared" si="0"/>
        <v>10</v>
      </c>
      <c r="S46">
        <f t="shared" ca="1" si="1"/>
        <v>0</v>
      </c>
      <c r="T46">
        <f t="shared" si="2"/>
        <v>43</v>
      </c>
      <c r="U46" t="str">
        <f>IF($T46&lt;=Z$4,INDEX(TypicalCriticalitiesMAHBarrier[Barrier Family Description],MATCH($T46,TypicalCriticalitiesMAHBarrier[Barrier Family ID],0)),"")</f>
        <v>Muster areas, escape and evacuation routes</v>
      </c>
      <c r="V46" t="str">
        <f ca="1">IF($T46&lt;=AA$4,INDEX(TypicalCriticalitiesMAHBarrier[Typical Components],MATCH($T46,TypicalCriticalitiesMAHBarrier[Column2],0)),"")</f>
        <v/>
      </c>
      <c r="W46" t="str">
        <f ca="1">IF($T46&lt;=AA$4,INDEX(TypicalCriticalitiesMAHBarrier[Typical Criticality],MATCH($T46,TypicalCriticalitiesMAHBarrier[Column2],0)),"")</f>
        <v/>
      </c>
      <c r="AE46" s="44"/>
      <c r="AF46" s="44"/>
      <c r="AG46" s="44"/>
      <c r="AH46" s="44"/>
      <c r="AI46" s="44"/>
      <c r="AJ46" s="44"/>
    </row>
    <row r="47" spans="1:36" x14ac:dyDescent="0.25">
      <c r="N47" t="s">
        <v>268</v>
      </c>
      <c r="O47" t="s">
        <v>269</v>
      </c>
      <c r="P47" t="s">
        <v>271</v>
      </c>
      <c r="Q47" t="s">
        <v>0</v>
      </c>
      <c r="R47">
        <f t="shared" si="0"/>
        <v>10</v>
      </c>
      <c r="S47">
        <f t="shared" ca="1" si="1"/>
        <v>0</v>
      </c>
      <c r="T47">
        <f t="shared" si="2"/>
        <v>44</v>
      </c>
      <c r="U47" t="str">
        <f>IF($T47&lt;=Z$4,INDEX(TypicalCriticalitiesMAHBarrier[Barrier Family Description],MATCH($T47,TypicalCriticalitiesMAHBarrier[Barrier Family ID],0)),"")</f>
        <v>Lifeboats</v>
      </c>
      <c r="V47" t="str">
        <f ca="1">IF($T47&lt;=AA$4,INDEX(TypicalCriticalitiesMAHBarrier[Typical Components],MATCH($T47,TypicalCriticalitiesMAHBarrier[Column2],0)),"")</f>
        <v/>
      </c>
      <c r="W47" t="str">
        <f ca="1">IF($T47&lt;=AA$4,INDEX(TypicalCriticalitiesMAHBarrier[Typical Criticality],MATCH($T47,TypicalCriticalitiesMAHBarrier[Column2],0)),"")</f>
        <v/>
      </c>
      <c r="AE47" s="44"/>
      <c r="AF47" s="44"/>
      <c r="AG47" s="44"/>
      <c r="AH47" s="44"/>
      <c r="AI47" s="44"/>
      <c r="AJ47" s="44"/>
    </row>
    <row r="48" spans="1:36" x14ac:dyDescent="0.25">
      <c r="N48" t="s">
        <v>268</v>
      </c>
      <c r="O48" t="s">
        <v>269</v>
      </c>
      <c r="P48" t="s">
        <v>272</v>
      </c>
      <c r="Q48" t="s">
        <v>0</v>
      </c>
      <c r="R48">
        <f t="shared" si="0"/>
        <v>10</v>
      </c>
      <c r="S48">
        <f t="shared" ca="1" si="1"/>
        <v>0</v>
      </c>
      <c r="T48">
        <f t="shared" si="2"/>
        <v>45</v>
      </c>
      <c r="U48" t="str">
        <f>IF($T48&lt;=Z$4,INDEX(TypicalCriticalitiesMAHBarrier[Barrier Family Description],MATCH($T48,TypicalCriticalitiesMAHBarrier[Barrier Family ID],0)),"")</f>
        <v>Means of escape to sea</v>
      </c>
      <c r="V48" t="str">
        <f ca="1">IF($T48&lt;=AA$4,INDEX(TypicalCriticalitiesMAHBarrier[Typical Components],MATCH($T48,TypicalCriticalitiesMAHBarrier[Column2],0)),"")</f>
        <v/>
      </c>
      <c r="W48" t="str">
        <f ca="1">IF($T48&lt;=AA$4,INDEX(TypicalCriticalitiesMAHBarrier[Typical Criticality],MATCH($T48,TypicalCriticalitiesMAHBarrier[Column2],0)),"")</f>
        <v/>
      </c>
      <c r="AE48" s="44"/>
      <c r="AF48" s="44"/>
      <c r="AG48" s="44"/>
      <c r="AH48" s="44"/>
      <c r="AI48" s="44"/>
      <c r="AJ48" s="44"/>
    </row>
    <row r="49" spans="14:36" x14ac:dyDescent="0.25">
      <c r="N49" t="s">
        <v>268</v>
      </c>
      <c r="O49" t="s">
        <v>269</v>
      </c>
      <c r="P49" t="s">
        <v>273</v>
      </c>
      <c r="Q49" t="s">
        <v>0</v>
      </c>
      <c r="R49">
        <f t="shared" si="0"/>
        <v>10</v>
      </c>
      <c r="S49">
        <f t="shared" ca="1" si="1"/>
        <v>0</v>
      </c>
      <c r="T49">
        <f t="shared" si="2"/>
        <v>46</v>
      </c>
      <c r="U49" t="str">
        <f>IF($T49&lt;=Z$4,INDEX(TypicalCriticalitiesMAHBarrier[Barrier Family Description],MATCH($T49,TypicalCriticalitiesMAHBarrier[Barrier Family ID],0)),"")</f>
        <v>Helideck</v>
      </c>
      <c r="V49" t="str">
        <f ca="1">IF($T49&lt;=AA$4,INDEX(TypicalCriticalitiesMAHBarrier[Typical Components],MATCH($T49,TypicalCriticalitiesMAHBarrier[Column2],0)),"")</f>
        <v/>
      </c>
      <c r="W49" t="str">
        <f ca="1">IF($T49&lt;=AA$4,INDEX(TypicalCriticalitiesMAHBarrier[Typical Criticality],MATCH($T49,TypicalCriticalitiesMAHBarrier[Column2],0)),"")</f>
        <v/>
      </c>
      <c r="AE49" s="44"/>
      <c r="AF49" s="44"/>
      <c r="AG49" s="44"/>
      <c r="AH49" s="44"/>
      <c r="AI49" s="44"/>
      <c r="AJ49" s="44"/>
    </row>
    <row r="50" spans="14:36" x14ac:dyDescent="0.25">
      <c r="N50" t="s">
        <v>268</v>
      </c>
      <c r="O50" t="s">
        <v>269</v>
      </c>
      <c r="P50" t="s">
        <v>274</v>
      </c>
      <c r="Q50" t="s">
        <v>0</v>
      </c>
      <c r="R50">
        <f t="shared" si="0"/>
        <v>10</v>
      </c>
      <c r="S50">
        <f t="shared" ca="1" si="1"/>
        <v>0</v>
      </c>
      <c r="T50">
        <f t="shared" si="2"/>
        <v>47</v>
      </c>
      <c r="U50" t="str">
        <f>IF($T50&lt;=Z$4,INDEX(TypicalCriticalitiesMAHBarrier[Barrier Family Description],MATCH($T50,TypicalCriticalitiesMAHBarrier[Barrier Family ID],0)),"")</f>
        <v>Rescue &amp; Recovery Systems</v>
      </c>
      <c r="V50" t="str">
        <f ca="1">IF($T50&lt;=AA$4,INDEX(TypicalCriticalitiesMAHBarrier[Typical Components],MATCH($T50,TypicalCriticalitiesMAHBarrier[Column2],0)),"")</f>
        <v/>
      </c>
      <c r="W50" t="str">
        <f ca="1">IF($T50&lt;=AA$4,INDEX(TypicalCriticalitiesMAHBarrier[Typical Criticality],MATCH($T50,TypicalCriticalitiesMAHBarrier[Column2],0)),"")</f>
        <v/>
      </c>
      <c r="AE50" s="44"/>
      <c r="AF50" s="44"/>
      <c r="AG50" s="44"/>
      <c r="AH50" s="44"/>
      <c r="AI50" s="44"/>
      <c r="AJ50" s="44"/>
    </row>
    <row r="51" spans="14:36" x14ac:dyDescent="0.25">
      <c r="N51" t="s">
        <v>268</v>
      </c>
      <c r="O51" t="s">
        <v>269</v>
      </c>
      <c r="P51" t="s">
        <v>275</v>
      </c>
      <c r="Q51" t="s">
        <v>1</v>
      </c>
      <c r="R51">
        <f t="shared" si="0"/>
        <v>10</v>
      </c>
      <c r="S51">
        <f t="shared" ca="1" si="1"/>
        <v>0</v>
      </c>
      <c r="T51">
        <f t="shared" si="2"/>
        <v>48</v>
      </c>
      <c r="U51" t="str">
        <f>IF($T51&lt;=Z$4,INDEX(TypicalCriticalitiesMAHBarrier[Barrier Family Description],MATCH($T51,TypicalCriticalitiesMAHBarrier[Barrier Family ID],0)),"")</f>
        <v>Cranes</v>
      </c>
      <c r="V51" t="str">
        <f ca="1">IF($T51&lt;=AA$4,INDEX(TypicalCriticalitiesMAHBarrier[Typical Components],MATCH($T51,TypicalCriticalitiesMAHBarrier[Column2],0)),"")</f>
        <v/>
      </c>
      <c r="W51" t="str">
        <f ca="1">IF($T51&lt;=AA$4,INDEX(TypicalCriticalitiesMAHBarrier[Typical Criticality],MATCH($T51,TypicalCriticalitiesMAHBarrier[Column2],0)),"")</f>
        <v/>
      </c>
      <c r="AE51" s="44"/>
      <c r="AF51" s="44"/>
      <c r="AG51" s="44"/>
      <c r="AH51" s="44"/>
      <c r="AI51" s="44"/>
      <c r="AJ51" s="44"/>
    </row>
    <row r="52" spans="14:36" x14ac:dyDescent="0.25">
      <c r="N52" t="s">
        <v>268</v>
      </c>
      <c r="O52" t="s">
        <v>269</v>
      </c>
      <c r="P52" t="s">
        <v>276</v>
      </c>
      <c r="Q52" t="s">
        <v>0</v>
      </c>
      <c r="R52">
        <f t="shared" si="0"/>
        <v>10</v>
      </c>
      <c r="S52">
        <f t="shared" ca="1" si="1"/>
        <v>0</v>
      </c>
      <c r="T52">
        <f t="shared" si="2"/>
        <v>49</v>
      </c>
      <c r="U52" t="str">
        <f>IF($T52&lt;=Z$4,INDEX(TypicalCriticalitiesMAHBarrier[Barrier Family Description],MATCH($T52,TypicalCriticalitiesMAHBarrier[Barrier Family ID],0)),"")</f>
        <v>Lifting system</v>
      </c>
      <c r="V52" t="str">
        <f ca="1">IF($T52&lt;=AA$4,INDEX(TypicalCriticalitiesMAHBarrier[Typical Components],MATCH($T52,TypicalCriticalitiesMAHBarrier[Column2],0)),"")</f>
        <v/>
      </c>
      <c r="W52" t="str">
        <f ca="1">IF($T52&lt;=AA$4,INDEX(TypicalCriticalitiesMAHBarrier[Typical Criticality],MATCH($T52,TypicalCriticalitiesMAHBarrier[Column2],0)),"")</f>
        <v/>
      </c>
      <c r="AE52" s="44"/>
      <c r="AF52" s="44"/>
      <c r="AG52" s="44"/>
      <c r="AH52" s="44"/>
      <c r="AI52" s="44"/>
      <c r="AJ52" s="44"/>
    </row>
    <row r="53" spans="14:36" x14ac:dyDescent="0.25">
      <c r="N53" t="s">
        <v>268</v>
      </c>
      <c r="O53" t="s">
        <v>269</v>
      </c>
      <c r="P53" t="s">
        <v>277</v>
      </c>
      <c r="Q53" t="s">
        <v>0</v>
      </c>
      <c r="R53">
        <f t="shared" si="0"/>
        <v>10</v>
      </c>
      <c r="S53">
        <f t="shared" ca="1" si="1"/>
        <v>0</v>
      </c>
      <c r="T53">
        <f t="shared" si="2"/>
        <v>50</v>
      </c>
      <c r="U53" t="str">
        <f>IF($T53&lt;=Z$4,INDEX(TypicalCriticalitiesMAHBarrier[Barrier Family Description],MATCH($T53,TypicalCriticalitiesMAHBarrier[Barrier Family ID],0)),"")</f>
        <v xml:space="preserve"> Fire &amp; Gas systems</v>
      </c>
      <c r="V53" t="str">
        <f ca="1">IF($T53&lt;=AA$4,INDEX(TypicalCriticalitiesMAHBarrier[Typical Components],MATCH($T53,TypicalCriticalitiesMAHBarrier[Column2],0)),"")</f>
        <v/>
      </c>
      <c r="W53" t="str">
        <f ca="1">IF($T53&lt;=AA$4,INDEX(TypicalCriticalitiesMAHBarrier[Typical Criticality],MATCH($T53,TypicalCriticalitiesMAHBarrier[Column2],0)),"")</f>
        <v/>
      </c>
      <c r="AE53" s="44"/>
      <c r="AF53" s="44"/>
      <c r="AG53" s="44"/>
      <c r="AH53" s="44"/>
      <c r="AI53" s="44"/>
      <c r="AJ53" s="44"/>
    </row>
    <row r="54" spans="14:36" x14ac:dyDescent="0.25">
      <c r="N54" t="s">
        <v>268</v>
      </c>
      <c r="O54" t="s">
        <v>269</v>
      </c>
      <c r="P54" t="s">
        <v>278</v>
      </c>
      <c r="Q54" t="s">
        <v>0</v>
      </c>
      <c r="R54">
        <f t="shared" si="0"/>
        <v>10</v>
      </c>
      <c r="S54">
        <f t="shared" ca="1" si="1"/>
        <v>0</v>
      </c>
      <c r="T54">
        <f t="shared" si="2"/>
        <v>51</v>
      </c>
      <c r="U54" t="str">
        <f>IF($T54&lt;=Z$4,INDEX(TypicalCriticalitiesMAHBarrier[Barrier Family Description],MATCH($T54,TypicalCriticalitiesMAHBarrier[Barrier Family ID],0)),"")</f>
        <v>Emergency Shutdown Systems</v>
      </c>
      <c r="V54" t="str">
        <f ca="1">IF($T54&lt;=AA$4,INDEX(TypicalCriticalitiesMAHBarrier[Typical Components],MATCH($T54,TypicalCriticalitiesMAHBarrier[Column2],0)),"")</f>
        <v/>
      </c>
      <c r="W54" t="str">
        <f ca="1">IF($T54&lt;=AA$4,INDEX(TypicalCriticalitiesMAHBarrier[Typical Criticality],MATCH($T54,TypicalCriticalitiesMAHBarrier[Column2],0)),"")</f>
        <v/>
      </c>
      <c r="AE54" s="44"/>
      <c r="AF54" s="44"/>
      <c r="AG54" s="44"/>
      <c r="AH54" s="44"/>
      <c r="AI54" s="44"/>
      <c r="AJ54" s="44"/>
    </row>
    <row r="55" spans="14:36" x14ac:dyDescent="0.25">
      <c r="N55" t="s">
        <v>268</v>
      </c>
      <c r="O55" t="s">
        <v>269</v>
      </c>
      <c r="P55" t="s">
        <v>279</v>
      </c>
      <c r="Q55" t="s">
        <v>1</v>
      </c>
      <c r="R55">
        <f t="shared" si="0"/>
        <v>10</v>
      </c>
      <c r="S55">
        <f t="shared" ca="1" si="1"/>
        <v>0</v>
      </c>
      <c r="T55">
        <f t="shared" si="2"/>
        <v>52</v>
      </c>
      <c r="U55" t="str">
        <f>IF($T55&lt;=Z$4,INDEX(TypicalCriticalitiesMAHBarrier[Barrier Family Description],MATCH($T55,TypicalCriticalitiesMAHBarrier[Barrier Family ID],0)),"")</f>
        <v>Riser ESDVs &amp; EIVs</v>
      </c>
      <c r="V55" t="str">
        <f ca="1">IF($T55&lt;=AA$4,INDEX(TypicalCriticalitiesMAHBarrier[Typical Components],MATCH($T55,TypicalCriticalitiesMAHBarrier[Column2],0)),"")</f>
        <v/>
      </c>
      <c r="W55" t="str">
        <f ca="1">IF($T55&lt;=AA$4,INDEX(TypicalCriticalitiesMAHBarrier[Typical Criticality],MATCH($T55,TypicalCriticalitiesMAHBarrier[Column2],0)),"")</f>
        <v/>
      </c>
      <c r="AE55" s="44"/>
      <c r="AF55" s="44"/>
      <c r="AG55" s="44"/>
      <c r="AH55" s="44"/>
      <c r="AI55" s="44"/>
      <c r="AJ55" s="44"/>
    </row>
    <row r="56" spans="14:36" x14ac:dyDescent="0.25">
      <c r="N56" t="s">
        <v>268</v>
      </c>
      <c r="O56" t="s">
        <v>269</v>
      </c>
      <c r="P56" t="s">
        <v>280</v>
      </c>
      <c r="Q56" t="s">
        <v>1</v>
      </c>
      <c r="R56">
        <f t="shared" si="0"/>
        <v>10</v>
      </c>
      <c r="S56">
        <f t="shared" ca="1" si="1"/>
        <v>0</v>
      </c>
      <c r="T56">
        <f t="shared" si="2"/>
        <v>53</v>
      </c>
      <c r="U56" t="str">
        <f>IF($T56&lt;=Z$4,INDEX(TypicalCriticalitiesMAHBarrier[Barrier Family Description],MATCH($T56,TypicalCriticalitiesMAHBarrier[Barrier Family ID],0)),"")</f>
        <v>Fire protection</v>
      </c>
      <c r="V56" t="str">
        <f ca="1">IF($T56&lt;=AA$4,INDEX(TypicalCriticalitiesMAHBarrier[Typical Components],MATCH($T56,TypicalCriticalitiesMAHBarrier[Column2],0)),"")</f>
        <v/>
      </c>
      <c r="W56" t="str">
        <f ca="1">IF($T56&lt;=AA$4,INDEX(TypicalCriticalitiesMAHBarrier[Typical Criticality],MATCH($T56,TypicalCriticalitiesMAHBarrier[Column2],0)),"")</f>
        <v/>
      </c>
      <c r="AE56" s="44"/>
      <c r="AF56" s="44"/>
      <c r="AG56" s="44"/>
      <c r="AH56" s="44"/>
      <c r="AI56" s="44"/>
      <c r="AJ56" s="44"/>
    </row>
    <row r="57" spans="14:36" x14ac:dyDescent="0.25">
      <c r="N57" t="s">
        <v>268</v>
      </c>
      <c r="O57" t="s">
        <v>269</v>
      </c>
      <c r="P57" t="s">
        <v>281</v>
      </c>
      <c r="Q57" t="s">
        <v>1</v>
      </c>
      <c r="R57">
        <f t="shared" si="0"/>
        <v>10</v>
      </c>
      <c r="S57">
        <f t="shared" ca="1" si="1"/>
        <v>0</v>
      </c>
      <c r="T57">
        <f t="shared" si="2"/>
        <v>54</v>
      </c>
      <c r="U57" t="str">
        <f>IF($T57&lt;=Z$4,INDEX(TypicalCriticalitiesMAHBarrier[Barrier Family Description],MATCH($T57,TypicalCriticalitiesMAHBarrier[Barrier Family ID],0)),"")</f>
        <v>Miscellaneous fire protection systems</v>
      </c>
      <c r="V57" t="str">
        <f ca="1">IF($T57&lt;=AA$4,INDEX(TypicalCriticalitiesMAHBarrier[Typical Components],MATCH($T57,TypicalCriticalitiesMAHBarrier[Column2],0)),"")</f>
        <v/>
      </c>
      <c r="W57" t="str">
        <f ca="1">IF($T57&lt;=AA$4,INDEX(TypicalCriticalitiesMAHBarrier[Typical Criticality],MATCH($T57,TypicalCriticalitiesMAHBarrier[Column2],0)),"")</f>
        <v/>
      </c>
      <c r="AE57" s="44"/>
      <c r="AF57" s="44"/>
      <c r="AG57" s="44"/>
      <c r="AH57" s="44"/>
      <c r="AI57" s="44"/>
      <c r="AJ57" s="44"/>
    </row>
    <row r="58" spans="14:36" x14ac:dyDescent="0.25">
      <c r="N58" t="s">
        <v>268</v>
      </c>
      <c r="O58" t="s">
        <v>269</v>
      </c>
      <c r="P58" t="s">
        <v>282</v>
      </c>
      <c r="Q58" t="s">
        <v>1</v>
      </c>
      <c r="R58">
        <f t="shared" si="0"/>
        <v>10</v>
      </c>
      <c r="S58">
        <f t="shared" ca="1" si="1"/>
        <v>0</v>
      </c>
      <c r="T58">
        <f t="shared" si="2"/>
        <v>55</v>
      </c>
      <c r="U58" t="str">
        <f>IF($T58&lt;=Z$4,INDEX(TypicalCriticalitiesMAHBarrier[Barrier Family Description],MATCH($T58,TypicalCriticalitiesMAHBarrier[Barrier Family ID],0)),"")</f>
        <v/>
      </c>
      <c r="V58" t="str">
        <f ca="1">IF($T58&lt;=AA$4,INDEX(TypicalCriticalitiesMAHBarrier[Typical Components],MATCH($T58,TypicalCriticalitiesMAHBarrier[Column2],0)),"")</f>
        <v/>
      </c>
      <c r="W58" t="str">
        <f ca="1">IF($T58&lt;=AA$4,INDEX(TypicalCriticalitiesMAHBarrier[Typical Criticality],MATCH($T58,TypicalCriticalitiesMAHBarrier[Column2],0)),"")</f>
        <v/>
      </c>
      <c r="AE58" s="44"/>
      <c r="AF58" s="44"/>
      <c r="AG58" s="44"/>
      <c r="AH58" s="44"/>
      <c r="AI58" s="44"/>
      <c r="AJ58" s="44"/>
    </row>
    <row r="59" spans="14:36" x14ac:dyDescent="0.25">
      <c r="N59" t="s">
        <v>268</v>
      </c>
      <c r="O59" t="s">
        <v>269</v>
      </c>
      <c r="P59" t="s">
        <v>283</v>
      </c>
      <c r="Q59" t="s">
        <v>1</v>
      </c>
      <c r="R59">
        <f t="shared" si="0"/>
        <v>10</v>
      </c>
      <c r="S59">
        <f t="shared" ca="1" si="1"/>
        <v>0</v>
      </c>
      <c r="T59">
        <f t="shared" si="2"/>
        <v>56</v>
      </c>
      <c r="U59" t="str">
        <f>IF($T59&lt;=Z$4,INDEX(TypicalCriticalitiesMAHBarrier[Barrier Family Description],MATCH($T59,TypicalCriticalitiesMAHBarrier[Barrier Family ID],0)),"")</f>
        <v/>
      </c>
      <c r="V59" t="str">
        <f ca="1">IF($T59&lt;=AA$4,INDEX(TypicalCriticalitiesMAHBarrier[Typical Components],MATCH($T59,TypicalCriticalitiesMAHBarrier[Column2],0)),"")</f>
        <v/>
      </c>
      <c r="W59" t="str">
        <f ca="1">IF($T59&lt;=AA$4,INDEX(TypicalCriticalitiesMAHBarrier[Typical Criticality],MATCH($T59,TypicalCriticalitiesMAHBarrier[Column2],0)),"")</f>
        <v/>
      </c>
      <c r="AE59" s="44"/>
      <c r="AF59" s="44"/>
      <c r="AG59" s="44"/>
      <c r="AH59" s="44"/>
      <c r="AI59" s="44"/>
      <c r="AJ59" s="44"/>
    </row>
    <row r="60" spans="14:36" x14ac:dyDescent="0.25">
      <c r="N60" t="s">
        <v>268</v>
      </c>
      <c r="O60" t="s">
        <v>269</v>
      </c>
      <c r="P60" t="s">
        <v>284</v>
      </c>
      <c r="Q60" t="s">
        <v>0</v>
      </c>
      <c r="R60">
        <f t="shared" si="0"/>
        <v>10</v>
      </c>
      <c r="S60">
        <f t="shared" ca="1" si="1"/>
        <v>0</v>
      </c>
      <c r="T60">
        <f t="shared" si="2"/>
        <v>57</v>
      </c>
      <c r="U60" t="str">
        <f>IF($T60&lt;=Z$4,INDEX(TypicalCriticalitiesMAHBarrier[Barrier Family Description],MATCH($T60,TypicalCriticalitiesMAHBarrier[Barrier Family ID],0)),"")</f>
        <v/>
      </c>
      <c r="V60" t="str">
        <f ca="1">IF($T60&lt;=AA$4,INDEX(TypicalCriticalitiesMAHBarrier[Typical Components],MATCH($T60,TypicalCriticalitiesMAHBarrier[Column2],0)),"")</f>
        <v/>
      </c>
      <c r="W60" t="str">
        <f ca="1">IF($T60&lt;=AA$4,INDEX(TypicalCriticalitiesMAHBarrier[Typical Criticality],MATCH($T60,TypicalCriticalitiesMAHBarrier[Column2],0)),"")</f>
        <v/>
      </c>
      <c r="AE60" s="44"/>
      <c r="AF60" s="44"/>
      <c r="AG60" s="44"/>
      <c r="AH60" s="44"/>
      <c r="AI60" s="44"/>
      <c r="AJ60" s="44"/>
    </row>
    <row r="61" spans="14:36" x14ac:dyDescent="0.25">
      <c r="N61" t="s">
        <v>268</v>
      </c>
      <c r="O61" t="s">
        <v>269</v>
      </c>
      <c r="P61" t="s">
        <v>285</v>
      </c>
      <c r="Q61" t="s">
        <v>0</v>
      </c>
      <c r="R61">
        <f t="shared" si="0"/>
        <v>10</v>
      </c>
      <c r="S61">
        <f t="shared" ca="1" si="1"/>
        <v>0</v>
      </c>
      <c r="T61">
        <f t="shared" si="2"/>
        <v>58</v>
      </c>
      <c r="U61" t="str">
        <f>IF($T61&lt;=Z$4,INDEX(TypicalCriticalitiesMAHBarrier[Barrier Family Description],MATCH($T61,TypicalCriticalitiesMAHBarrier[Barrier Family ID],0)),"")</f>
        <v/>
      </c>
      <c r="V61" t="str">
        <f ca="1">IF($T61&lt;=AA$4,INDEX(TypicalCriticalitiesMAHBarrier[Typical Components],MATCH($T61,TypicalCriticalitiesMAHBarrier[Column2],0)),"")</f>
        <v/>
      </c>
      <c r="W61" t="str">
        <f ca="1">IF($T61&lt;=AA$4,INDEX(TypicalCriticalitiesMAHBarrier[Typical Criticality],MATCH($T61,TypicalCriticalitiesMAHBarrier[Column2],0)),"")</f>
        <v/>
      </c>
      <c r="AE61" s="44"/>
      <c r="AF61" s="44"/>
      <c r="AG61" s="44"/>
      <c r="AH61" s="44"/>
      <c r="AI61" s="44"/>
      <c r="AJ61" s="44"/>
    </row>
    <row r="62" spans="14:36" x14ac:dyDescent="0.25">
      <c r="N62" t="s">
        <v>268</v>
      </c>
      <c r="O62" t="s">
        <v>269</v>
      </c>
      <c r="P62" t="s">
        <v>286</v>
      </c>
      <c r="Q62" t="s">
        <v>0</v>
      </c>
      <c r="R62">
        <f t="shared" si="0"/>
        <v>10</v>
      </c>
      <c r="S62">
        <f t="shared" ca="1" si="1"/>
        <v>0</v>
      </c>
      <c r="T62">
        <f t="shared" si="2"/>
        <v>59</v>
      </c>
      <c r="U62" t="str">
        <f>IF($T62&lt;=Z$4,INDEX(TypicalCriticalitiesMAHBarrier[Barrier Family Description],MATCH($T62,TypicalCriticalitiesMAHBarrier[Barrier Family ID],0)),"")</f>
        <v/>
      </c>
      <c r="V62" t="str">
        <f ca="1">IF($T62&lt;=AA$4,INDEX(TypicalCriticalitiesMAHBarrier[Typical Components],MATCH($T62,TypicalCriticalitiesMAHBarrier[Column2],0)),"")</f>
        <v/>
      </c>
      <c r="W62" t="str">
        <f ca="1">IF($T62&lt;=AA$4,INDEX(TypicalCriticalitiesMAHBarrier[Typical Criticality],MATCH($T62,TypicalCriticalitiesMAHBarrier[Column2],0)),"")</f>
        <v/>
      </c>
      <c r="AE62" s="44"/>
      <c r="AF62" s="44"/>
      <c r="AG62" s="44"/>
      <c r="AH62" s="44"/>
      <c r="AI62" s="44"/>
      <c r="AJ62" s="44"/>
    </row>
    <row r="63" spans="14:36" x14ac:dyDescent="0.25">
      <c r="N63" t="s">
        <v>268</v>
      </c>
      <c r="O63" t="s">
        <v>269</v>
      </c>
      <c r="P63" t="s">
        <v>287</v>
      </c>
      <c r="Q63" t="s">
        <v>0</v>
      </c>
      <c r="R63">
        <f t="shared" si="0"/>
        <v>10</v>
      </c>
      <c r="S63">
        <f t="shared" ca="1" si="1"/>
        <v>0</v>
      </c>
      <c r="T63">
        <f t="shared" si="2"/>
        <v>60</v>
      </c>
      <c r="U63" t="str">
        <f>IF($T63&lt;=Z$4,INDEX(TypicalCriticalitiesMAHBarrier[Barrier Family Description],MATCH($T63,TypicalCriticalitiesMAHBarrier[Barrier Family ID],0)),"")</f>
        <v/>
      </c>
      <c r="V63" t="str">
        <f ca="1">IF($T63&lt;=AA$4,INDEX(TypicalCriticalitiesMAHBarrier[Typical Components],MATCH($T63,TypicalCriticalitiesMAHBarrier[Column2],0)),"")</f>
        <v/>
      </c>
      <c r="W63" t="str">
        <f ca="1">IF($T63&lt;=AA$4,INDEX(TypicalCriticalitiesMAHBarrier[Typical Criticality],MATCH($T63,TypicalCriticalitiesMAHBarrier[Column2],0)),"")</f>
        <v/>
      </c>
      <c r="AE63" s="44"/>
      <c r="AF63" s="44"/>
      <c r="AG63" s="44"/>
      <c r="AH63" s="44"/>
      <c r="AI63" s="44"/>
      <c r="AJ63" s="44"/>
    </row>
    <row r="64" spans="14:36" x14ac:dyDescent="0.25">
      <c r="N64" t="s">
        <v>268</v>
      </c>
      <c r="O64" t="s">
        <v>269</v>
      </c>
      <c r="P64" t="s">
        <v>288</v>
      </c>
      <c r="Q64" t="s">
        <v>0</v>
      </c>
      <c r="R64">
        <f t="shared" si="0"/>
        <v>10</v>
      </c>
      <c r="S64">
        <f t="shared" ca="1" si="1"/>
        <v>0</v>
      </c>
      <c r="T64">
        <f t="shared" si="2"/>
        <v>61</v>
      </c>
      <c r="U64" t="str">
        <f>IF($T64&lt;=Z$4,INDEX(TypicalCriticalitiesMAHBarrier[Barrier Family Description],MATCH($T64,TypicalCriticalitiesMAHBarrier[Barrier Family ID],0)),"")</f>
        <v/>
      </c>
      <c r="V64" t="str">
        <f ca="1">IF($T64&lt;=AA$4,INDEX(TypicalCriticalitiesMAHBarrier[Typical Components],MATCH($T64,TypicalCriticalitiesMAHBarrier[Column2],0)),"")</f>
        <v/>
      </c>
      <c r="W64" t="str">
        <f ca="1">IF($T64&lt;=AA$4,INDEX(TypicalCriticalitiesMAHBarrier[Typical Criticality],MATCH($T64,TypicalCriticalitiesMAHBarrier[Column2],0)),"")</f>
        <v/>
      </c>
      <c r="AE64" s="44"/>
      <c r="AF64" s="44"/>
      <c r="AG64" s="44"/>
      <c r="AH64" s="44"/>
      <c r="AI64" s="44"/>
      <c r="AJ64" s="44"/>
    </row>
    <row r="65" spans="14:36" x14ac:dyDescent="0.25">
      <c r="N65" t="s">
        <v>268</v>
      </c>
      <c r="O65" t="s">
        <v>269</v>
      </c>
      <c r="P65" t="s">
        <v>289</v>
      </c>
      <c r="Q65" t="s">
        <v>0</v>
      </c>
      <c r="R65">
        <f t="shared" si="0"/>
        <v>10</v>
      </c>
      <c r="S65">
        <f t="shared" ca="1" si="1"/>
        <v>0</v>
      </c>
      <c r="T65">
        <f t="shared" si="2"/>
        <v>62</v>
      </c>
      <c r="U65" t="str">
        <f>IF($T65&lt;=Z$4,INDEX(TypicalCriticalitiesMAHBarrier[Barrier Family Description],MATCH($T65,TypicalCriticalitiesMAHBarrier[Barrier Family ID],0)),"")</f>
        <v/>
      </c>
      <c r="V65" t="str">
        <f ca="1">IF($T65&lt;=AA$4,INDEX(TypicalCriticalitiesMAHBarrier[Typical Components],MATCH($T65,TypicalCriticalitiesMAHBarrier[Column2],0)),"")</f>
        <v/>
      </c>
      <c r="W65" t="str">
        <f ca="1">IF($T65&lt;=AA$4,INDEX(TypicalCriticalitiesMAHBarrier[Typical Criticality],MATCH($T65,TypicalCriticalitiesMAHBarrier[Column2],0)),"")</f>
        <v/>
      </c>
      <c r="AE65" s="44"/>
      <c r="AF65" s="44"/>
      <c r="AG65" s="44"/>
      <c r="AH65" s="44"/>
      <c r="AI65" s="44"/>
      <c r="AJ65" s="44"/>
    </row>
    <row r="66" spans="14:36" x14ac:dyDescent="0.25">
      <c r="N66" t="s">
        <v>268</v>
      </c>
      <c r="O66" t="s">
        <v>269</v>
      </c>
      <c r="P66" t="s">
        <v>290</v>
      </c>
      <c r="Q66" t="s">
        <v>1</v>
      </c>
      <c r="R66">
        <f t="shared" si="0"/>
        <v>10</v>
      </c>
      <c r="S66">
        <f t="shared" ca="1" si="1"/>
        <v>0</v>
      </c>
      <c r="T66">
        <f t="shared" si="2"/>
        <v>63</v>
      </c>
      <c r="U66" t="str">
        <f>IF($T66&lt;=Z$4,INDEX(TypicalCriticalitiesMAHBarrier[Barrier Family Description],MATCH($T66,TypicalCriticalitiesMAHBarrier[Barrier Family ID],0)),"")</f>
        <v/>
      </c>
      <c r="V66" t="str">
        <f ca="1">IF($T66&lt;=AA$4,INDEX(TypicalCriticalitiesMAHBarrier[Typical Components],MATCH($T66,TypicalCriticalitiesMAHBarrier[Column2],0)),"")</f>
        <v/>
      </c>
      <c r="W66" t="str">
        <f ca="1">IF($T66&lt;=AA$4,INDEX(TypicalCriticalitiesMAHBarrier[Typical Criticality],MATCH($T66,TypicalCriticalitiesMAHBarrier[Column2],0)),"")</f>
        <v/>
      </c>
      <c r="AE66" s="44"/>
      <c r="AF66" s="44"/>
      <c r="AG66" s="44"/>
      <c r="AH66" s="44"/>
      <c r="AI66" s="44"/>
      <c r="AJ66" s="44"/>
    </row>
    <row r="67" spans="14:36" x14ac:dyDescent="0.25">
      <c r="N67" t="s">
        <v>268</v>
      </c>
      <c r="O67" t="s">
        <v>269</v>
      </c>
      <c r="P67" t="s">
        <v>291</v>
      </c>
      <c r="Q67" t="s">
        <v>0</v>
      </c>
      <c r="R67">
        <f t="shared" si="0"/>
        <v>10</v>
      </c>
      <c r="S67">
        <f t="shared" ca="1" si="1"/>
        <v>0</v>
      </c>
      <c r="T67">
        <f t="shared" si="2"/>
        <v>64</v>
      </c>
      <c r="U67" t="str">
        <f>IF($T67&lt;=Z$4,INDEX(TypicalCriticalitiesMAHBarrier[Barrier Family Description],MATCH($T67,TypicalCriticalitiesMAHBarrier[Barrier Family ID],0)),"")</f>
        <v/>
      </c>
      <c r="V67" t="str">
        <f ca="1">IF($T67&lt;=AA$4,INDEX(TypicalCriticalitiesMAHBarrier[Typical Components],MATCH($T67,TypicalCriticalitiesMAHBarrier[Column2],0)),"")</f>
        <v/>
      </c>
      <c r="W67" t="str">
        <f ca="1">IF($T67&lt;=AA$4,INDEX(TypicalCriticalitiesMAHBarrier[Typical Criticality],MATCH($T67,TypicalCriticalitiesMAHBarrier[Column2],0)),"")</f>
        <v/>
      </c>
      <c r="AE67" s="44"/>
      <c r="AF67" s="44"/>
      <c r="AG67" s="44"/>
      <c r="AH67" s="44"/>
      <c r="AI67" s="44"/>
      <c r="AJ67" s="44"/>
    </row>
    <row r="68" spans="14:36" x14ac:dyDescent="0.25">
      <c r="N68" t="s">
        <v>268</v>
      </c>
      <c r="O68" t="s">
        <v>269</v>
      </c>
      <c r="P68" t="s">
        <v>292</v>
      </c>
      <c r="Q68" t="s">
        <v>0</v>
      </c>
      <c r="R68">
        <f t="shared" si="0"/>
        <v>10</v>
      </c>
      <c r="S68">
        <f t="shared" ca="1" si="1"/>
        <v>0</v>
      </c>
      <c r="T68">
        <f t="shared" si="2"/>
        <v>65</v>
      </c>
      <c r="U68" t="str">
        <f>IF($T68&lt;=Z$4,INDEX(TypicalCriticalitiesMAHBarrier[Barrier Family Description],MATCH($T68,TypicalCriticalitiesMAHBarrier[Barrier Family ID],0)),"")</f>
        <v/>
      </c>
      <c r="V68" t="str">
        <f ca="1">IF($T68&lt;=AA$4,INDEX(TypicalCriticalitiesMAHBarrier[Typical Components],MATCH($T68,TypicalCriticalitiesMAHBarrier[Column2],0)),"")</f>
        <v/>
      </c>
      <c r="W68" t="str">
        <f ca="1">IF($T68&lt;=AA$4,INDEX(TypicalCriticalitiesMAHBarrier[Typical Criticality],MATCH($T68,TypicalCriticalitiesMAHBarrier[Column2],0)),"")</f>
        <v/>
      </c>
      <c r="AE68" s="44"/>
      <c r="AF68" s="44"/>
      <c r="AG68" s="44"/>
      <c r="AH68" s="44"/>
      <c r="AI68" s="44"/>
      <c r="AJ68" s="44"/>
    </row>
    <row r="69" spans="14:36" x14ac:dyDescent="0.25">
      <c r="N69" t="s">
        <v>268</v>
      </c>
      <c r="O69" t="s">
        <v>269</v>
      </c>
      <c r="P69" t="s">
        <v>293</v>
      </c>
      <c r="Q69" t="s">
        <v>1</v>
      </c>
      <c r="R69">
        <f t="shared" ref="R69:R132" si="3">IF(AND(O69&lt;&gt;O68,O69&lt;&gt;""),R68+1,R68)</f>
        <v>10</v>
      </c>
      <c r="S69">
        <f t="shared" ref="S69:S132" ca="1" si="4">IF(R69=$Z$5,IF(AND(P69&lt;&gt;P68,P69&lt;&gt;""),S68+1,S68),S68)</f>
        <v>0</v>
      </c>
      <c r="T69">
        <f t="shared" ref="T69:T132" si="5">T68+1</f>
        <v>66</v>
      </c>
      <c r="U69" t="str">
        <f>IF($T69&lt;=Z$4,INDEX(TypicalCriticalitiesMAHBarrier[Barrier Family Description],MATCH($T69,TypicalCriticalitiesMAHBarrier[Barrier Family ID],0)),"")</f>
        <v/>
      </c>
      <c r="V69" t="str">
        <f ca="1">IF($T69&lt;=AA$4,INDEX(TypicalCriticalitiesMAHBarrier[Typical Components],MATCH($T69,TypicalCriticalitiesMAHBarrier[Column2],0)),"")</f>
        <v/>
      </c>
      <c r="W69" t="str">
        <f ca="1">IF($T69&lt;=AA$4,INDEX(TypicalCriticalitiesMAHBarrier[Typical Criticality],MATCH($T69,TypicalCriticalitiesMAHBarrier[Column2],0)),"")</f>
        <v/>
      </c>
      <c r="AE69" s="44"/>
      <c r="AF69" s="44"/>
      <c r="AG69" s="44"/>
      <c r="AH69" s="44"/>
      <c r="AI69" s="44"/>
      <c r="AJ69" s="44"/>
    </row>
    <row r="70" spans="14:36" x14ac:dyDescent="0.25">
      <c r="N70" t="s">
        <v>268</v>
      </c>
      <c r="O70" t="s">
        <v>269</v>
      </c>
      <c r="P70" t="s">
        <v>294</v>
      </c>
      <c r="Q70" t="s">
        <v>1</v>
      </c>
      <c r="R70">
        <f t="shared" si="3"/>
        <v>10</v>
      </c>
      <c r="S70">
        <f t="shared" ca="1" si="4"/>
        <v>0</v>
      </c>
      <c r="T70">
        <f t="shared" si="5"/>
        <v>67</v>
      </c>
      <c r="U70" t="str">
        <f>IF($T70&lt;=Z$4,INDEX(TypicalCriticalitiesMAHBarrier[Barrier Family Description],MATCH($T70,TypicalCriticalitiesMAHBarrier[Barrier Family ID],0)),"")</f>
        <v/>
      </c>
      <c r="V70" t="str">
        <f ca="1">IF($T70&lt;=AA$4,INDEX(TypicalCriticalitiesMAHBarrier[Typical Components],MATCH($T70,TypicalCriticalitiesMAHBarrier[Column2],0)),"")</f>
        <v/>
      </c>
      <c r="W70" t="str">
        <f ca="1">IF($T70&lt;=AA$4,INDEX(TypicalCriticalitiesMAHBarrier[Typical Criticality],MATCH($T70,TypicalCriticalitiesMAHBarrier[Column2],0)),"")</f>
        <v/>
      </c>
      <c r="AE70" s="44"/>
      <c r="AF70" s="44"/>
      <c r="AG70" s="44"/>
      <c r="AH70" s="44"/>
      <c r="AI70" s="44"/>
      <c r="AJ70" s="44"/>
    </row>
    <row r="71" spans="14:36" x14ac:dyDescent="0.25">
      <c r="N71" t="s">
        <v>268</v>
      </c>
      <c r="O71" t="s">
        <v>269</v>
      </c>
      <c r="P71" t="s">
        <v>295</v>
      </c>
      <c r="Q71" t="s">
        <v>0</v>
      </c>
      <c r="R71">
        <f t="shared" si="3"/>
        <v>10</v>
      </c>
      <c r="S71">
        <f t="shared" ca="1" si="4"/>
        <v>0</v>
      </c>
      <c r="T71">
        <f t="shared" si="5"/>
        <v>68</v>
      </c>
      <c r="U71" t="str">
        <f>IF($T71&lt;=Z$4,INDEX(TypicalCriticalitiesMAHBarrier[Barrier Family Description],MATCH($T71,TypicalCriticalitiesMAHBarrier[Barrier Family ID],0)),"")</f>
        <v/>
      </c>
      <c r="V71" t="str">
        <f ca="1">IF($T71&lt;=AA$4,INDEX(TypicalCriticalitiesMAHBarrier[Typical Components],MATCH($T71,TypicalCriticalitiesMAHBarrier[Column2],0)),"")</f>
        <v/>
      </c>
      <c r="W71" t="str">
        <f ca="1">IF($T71&lt;=AA$4,INDEX(TypicalCriticalitiesMAHBarrier[Typical Criticality],MATCH($T71,TypicalCriticalitiesMAHBarrier[Column2],0)),"")</f>
        <v/>
      </c>
      <c r="AE71" s="44"/>
      <c r="AF71" s="44"/>
      <c r="AG71" s="44"/>
      <c r="AH71" s="44"/>
      <c r="AI71" s="44"/>
      <c r="AJ71" s="44"/>
    </row>
    <row r="72" spans="14:36" x14ac:dyDescent="0.25">
      <c r="N72" t="s">
        <v>268</v>
      </c>
      <c r="O72" t="s">
        <v>269</v>
      </c>
      <c r="P72" t="s">
        <v>296</v>
      </c>
      <c r="Q72" t="s">
        <v>1</v>
      </c>
      <c r="R72">
        <f t="shared" si="3"/>
        <v>10</v>
      </c>
      <c r="S72">
        <f t="shared" ca="1" si="4"/>
        <v>0</v>
      </c>
      <c r="T72">
        <f t="shared" si="5"/>
        <v>69</v>
      </c>
      <c r="U72" t="str">
        <f>IF($T72&lt;=Z$4,INDEX(TypicalCriticalitiesMAHBarrier[Barrier Family Description],MATCH($T72,TypicalCriticalitiesMAHBarrier[Barrier Family ID],0)),"")</f>
        <v/>
      </c>
      <c r="V72" t="str">
        <f ca="1">IF($T72&lt;=AA$4,INDEX(TypicalCriticalitiesMAHBarrier[Typical Components],MATCH($T72,TypicalCriticalitiesMAHBarrier[Column2],0)),"")</f>
        <v/>
      </c>
      <c r="W72" t="str">
        <f ca="1">IF($T72&lt;=AA$4,INDEX(TypicalCriticalitiesMAHBarrier[Typical Criticality],MATCH($T72,TypicalCriticalitiesMAHBarrier[Column2],0)),"")</f>
        <v/>
      </c>
      <c r="AE72" s="44"/>
      <c r="AF72" s="44"/>
      <c r="AG72" s="44"/>
      <c r="AH72" s="44"/>
      <c r="AI72" s="44"/>
      <c r="AJ72" s="44"/>
    </row>
    <row r="73" spans="14:36" x14ac:dyDescent="0.25">
      <c r="N73" t="s">
        <v>268</v>
      </c>
      <c r="O73" t="s">
        <v>269</v>
      </c>
      <c r="P73" t="s">
        <v>297</v>
      </c>
      <c r="Q73" t="s">
        <v>1</v>
      </c>
      <c r="R73">
        <f t="shared" si="3"/>
        <v>10</v>
      </c>
      <c r="S73">
        <f t="shared" ca="1" si="4"/>
        <v>0</v>
      </c>
      <c r="T73">
        <f t="shared" si="5"/>
        <v>70</v>
      </c>
      <c r="U73" t="str">
        <f>IF($T73&lt;=Z$4,INDEX(TypicalCriticalitiesMAHBarrier[Barrier Family Description],MATCH($T73,TypicalCriticalitiesMAHBarrier[Barrier Family ID],0)),"")</f>
        <v/>
      </c>
      <c r="V73" t="str">
        <f ca="1">IF($T73&lt;=AA$4,INDEX(TypicalCriticalitiesMAHBarrier[Typical Components],MATCH($T73,TypicalCriticalitiesMAHBarrier[Column2],0)),"")</f>
        <v/>
      </c>
      <c r="W73" t="str">
        <f ca="1">IF($T73&lt;=AA$4,INDEX(TypicalCriticalitiesMAHBarrier[Typical Criticality],MATCH($T73,TypicalCriticalitiesMAHBarrier[Column2],0)),"")</f>
        <v/>
      </c>
      <c r="AE73" s="44"/>
      <c r="AF73" s="44"/>
      <c r="AG73" s="44"/>
      <c r="AH73" s="44"/>
      <c r="AI73" s="44"/>
      <c r="AJ73" s="44"/>
    </row>
    <row r="74" spans="14:36" x14ac:dyDescent="0.25">
      <c r="N74" t="s">
        <v>268</v>
      </c>
      <c r="O74" t="s">
        <v>269</v>
      </c>
      <c r="P74" t="s">
        <v>298</v>
      </c>
      <c r="Q74" t="s">
        <v>1</v>
      </c>
      <c r="R74">
        <f t="shared" si="3"/>
        <v>10</v>
      </c>
      <c r="S74">
        <f t="shared" ca="1" si="4"/>
        <v>0</v>
      </c>
      <c r="T74">
        <f t="shared" si="5"/>
        <v>71</v>
      </c>
      <c r="U74" t="str">
        <f>IF($T74&lt;=Z$4,INDEX(TypicalCriticalitiesMAHBarrier[Barrier Family Description],MATCH($T74,TypicalCriticalitiesMAHBarrier[Barrier Family ID],0)),"")</f>
        <v/>
      </c>
      <c r="V74" t="str">
        <f ca="1">IF($T74&lt;=AA$4,INDEX(TypicalCriticalitiesMAHBarrier[Typical Components],MATCH($T74,TypicalCriticalitiesMAHBarrier[Column2],0)),"")</f>
        <v/>
      </c>
      <c r="W74" t="str">
        <f ca="1">IF($T74&lt;=AA$4,INDEX(TypicalCriticalitiesMAHBarrier[Typical Criticality],MATCH($T74,TypicalCriticalitiesMAHBarrier[Column2],0)),"")</f>
        <v/>
      </c>
      <c r="AE74" s="44"/>
      <c r="AF74" s="44"/>
      <c r="AG74" s="44"/>
      <c r="AH74" s="44"/>
      <c r="AI74" s="44"/>
      <c r="AJ74" s="44"/>
    </row>
    <row r="75" spans="14:36" x14ac:dyDescent="0.25">
      <c r="N75" t="s">
        <v>268</v>
      </c>
      <c r="O75" t="s">
        <v>269</v>
      </c>
      <c r="P75" t="s">
        <v>299</v>
      </c>
      <c r="Q75" t="s">
        <v>0</v>
      </c>
      <c r="R75">
        <f t="shared" si="3"/>
        <v>10</v>
      </c>
      <c r="S75">
        <f t="shared" ca="1" si="4"/>
        <v>0</v>
      </c>
      <c r="T75">
        <f t="shared" si="5"/>
        <v>72</v>
      </c>
      <c r="U75" t="str">
        <f>IF($T75&lt;=Z$4,INDEX(TypicalCriticalitiesMAHBarrier[Barrier Family Description],MATCH($T75,TypicalCriticalitiesMAHBarrier[Barrier Family ID],0)),"")</f>
        <v/>
      </c>
      <c r="V75" t="str">
        <f ca="1">IF($T75&lt;=AA$4,INDEX(TypicalCriticalitiesMAHBarrier[Typical Components],MATCH($T75,TypicalCriticalitiesMAHBarrier[Column2],0)),"")</f>
        <v/>
      </c>
      <c r="W75" t="str">
        <f ca="1">IF($T75&lt;=AA$4,INDEX(TypicalCriticalitiesMAHBarrier[Typical Criticality],MATCH($T75,TypicalCriticalitiesMAHBarrier[Column2],0)),"")</f>
        <v/>
      </c>
      <c r="AE75" s="44"/>
      <c r="AF75" s="44"/>
      <c r="AG75" s="44"/>
      <c r="AH75" s="44"/>
      <c r="AI75" s="44"/>
      <c r="AJ75" s="44"/>
    </row>
    <row r="76" spans="14:36" x14ac:dyDescent="0.25">
      <c r="N76" t="s">
        <v>268</v>
      </c>
      <c r="O76" t="s">
        <v>269</v>
      </c>
      <c r="P76" t="s">
        <v>300</v>
      </c>
      <c r="Q76" t="s">
        <v>1</v>
      </c>
      <c r="R76">
        <f t="shared" si="3"/>
        <v>10</v>
      </c>
      <c r="S76">
        <f t="shared" ca="1" si="4"/>
        <v>0</v>
      </c>
      <c r="T76">
        <f t="shared" si="5"/>
        <v>73</v>
      </c>
      <c r="U76" t="str">
        <f>IF($T76&lt;=Z$4,INDEX(TypicalCriticalitiesMAHBarrier[Barrier Family Description],MATCH($T76,TypicalCriticalitiesMAHBarrier[Barrier Family ID],0)),"")</f>
        <v/>
      </c>
      <c r="V76" t="str">
        <f ca="1">IF($T76&lt;=AA$4,INDEX(TypicalCriticalitiesMAHBarrier[Typical Components],MATCH($T76,TypicalCriticalitiesMAHBarrier[Column2],0)),"")</f>
        <v/>
      </c>
      <c r="W76" t="str">
        <f ca="1">IF($T76&lt;=AA$4,INDEX(TypicalCriticalitiesMAHBarrier[Typical Criticality],MATCH($T76,TypicalCriticalitiesMAHBarrier[Column2],0)),"")</f>
        <v/>
      </c>
      <c r="AE76" s="44"/>
      <c r="AF76" s="44"/>
      <c r="AG76" s="44"/>
      <c r="AH76" s="44"/>
      <c r="AI76" s="44"/>
      <c r="AJ76" s="44"/>
    </row>
    <row r="77" spans="14:36" x14ac:dyDescent="0.25">
      <c r="N77" t="s">
        <v>268</v>
      </c>
      <c r="O77" t="s">
        <v>269</v>
      </c>
      <c r="P77" t="s">
        <v>301</v>
      </c>
      <c r="Q77" t="s">
        <v>0</v>
      </c>
      <c r="R77">
        <f t="shared" si="3"/>
        <v>10</v>
      </c>
      <c r="S77">
        <f t="shared" ca="1" si="4"/>
        <v>0</v>
      </c>
      <c r="T77">
        <f t="shared" si="5"/>
        <v>74</v>
      </c>
      <c r="U77" t="str">
        <f>IF($T77&lt;=Z$4,INDEX(TypicalCriticalitiesMAHBarrier[Barrier Family Description],MATCH($T77,TypicalCriticalitiesMAHBarrier[Barrier Family ID],0)),"")</f>
        <v/>
      </c>
      <c r="V77" t="str">
        <f ca="1">IF($T77&lt;=AA$4,INDEX(TypicalCriticalitiesMAHBarrier[Typical Components],MATCH($T77,TypicalCriticalitiesMAHBarrier[Column2],0)),"")</f>
        <v/>
      </c>
      <c r="W77" t="str">
        <f ca="1">IF($T77&lt;=AA$4,INDEX(TypicalCriticalitiesMAHBarrier[Typical Criticality],MATCH($T77,TypicalCriticalitiesMAHBarrier[Column2],0)),"")</f>
        <v/>
      </c>
      <c r="AE77" s="44"/>
      <c r="AF77" s="44"/>
      <c r="AG77" s="44"/>
      <c r="AH77" s="44"/>
      <c r="AI77" s="44"/>
      <c r="AJ77" s="44"/>
    </row>
    <row r="78" spans="14:36" x14ac:dyDescent="0.25">
      <c r="N78" t="s">
        <v>268</v>
      </c>
      <c r="O78" t="s">
        <v>269</v>
      </c>
      <c r="P78" t="s">
        <v>302</v>
      </c>
      <c r="Q78" t="s">
        <v>0</v>
      </c>
      <c r="R78">
        <f t="shared" si="3"/>
        <v>10</v>
      </c>
      <c r="S78">
        <f t="shared" ca="1" si="4"/>
        <v>0</v>
      </c>
      <c r="T78">
        <f t="shared" si="5"/>
        <v>75</v>
      </c>
      <c r="U78" t="str">
        <f>IF($T78&lt;=Z$4,INDEX(TypicalCriticalitiesMAHBarrier[Barrier Family Description],MATCH($T78,TypicalCriticalitiesMAHBarrier[Barrier Family ID],0)),"")</f>
        <v/>
      </c>
      <c r="V78" t="str">
        <f ca="1">IF($T78&lt;=AA$4,INDEX(TypicalCriticalitiesMAHBarrier[Typical Components],MATCH($T78,TypicalCriticalitiesMAHBarrier[Column2],0)),"")</f>
        <v/>
      </c>
      <c r="W78" t="str">
        <f ca="1">IF($T78&lt;=AA$4,INDEX(TypicalCriticalitiesMAHBarrier[Typical Criticality],MATCH($T78,TypicalCriticalitiesMAHBarrier[Column2],0)),"")</f>
        <v/>
      </c>
      <c r="AE78" s="44"/>
      <c r="AF78" s="44"/>
      <c r="AG78" s="44"/>
      <c r="AH78" s="44"/>
      <c r="AI78" s="44"/>
      <c r="AJ78" s="44"/>
    </row>
    <row r="79" spans="14:36" x14ac:dyDescent="0.25">
      <c r="N79" t="s">
        <v>268</v>
      </c>
      <c r="O79" t="s">
        <v>269</v>
      </c>
      <c r="P79" t="s">
        <v>303</v>
      </c>
      <c r="Q79" t="s">
        <v>1</v>
      </c>
      <c r="R79">
        <f t="shared" si="3"/>
        <v>10</v>
      </c>
      <c r="S79">
        <f t="shared" ca="1" si="4"/>
        <v>0</v>
      </c>
      <c r="T79">
        <f t="shared" si="5"/>
        <v>76</v>
      </c>
      <c r="U79" t="str">
        <f>IF($T79&lt;=Z$4,INDEX(TypicalCriticalitiesMAHBarrier[Barrier Family Description],MATCH($T79,TypicalCriticalitiesMAHBarrier[Barrier Family ID],0)),"")</f>
        <v/>
      </c>
      <c r="V79" t="str">
        <f ca="1">IF($T79&lt;=AA$4,INDEX(TypicalCriticalitiesMAHBarrier[Typical Components],MATCH($T79,TypicalCriticalitiesMAHBarrier[Column2],0)),"")</f>
        <v/>
      </c>
      <c r="W79" t="str">
        <f ca="1">IF($T79&lt;=AA$4,INDEX(TypicalCriticalitiesMAHBarrier[Typical Criticality],MATCH($T79,TypicalCriticalitiesMAHBarrier[Column2],0)),"")</f>
        <v/>
      </c>
      <c r="AE79" s="44"/>
      <c r="AF79" s="44"/>
      <c r="AG79" s="44"/>
      <c r="AH79" s="44"/>
      <c r="AI79" s="44"/>
      <c r="AJ79" s="44"/>
    </row>
    <row r="80" spans="14:36" x14ac:dyDescent="0.25">
      <c r="N80" t="s">
        <v>268</v>
      </c>
      <c r="O80" t="s">
        <v>269</v>
      </c>
      <c r="P80" t="s">
        <v>304</v>
      </c>
      <c r="Q80" t="s">
        <v>1</v>
      </c>
      <c r="R80">
        <f t="shared" si="3"/>
        <v>10</v>
      </c>
      <c r="S80">
        <f t="shared" ca="1" si="4"/>
        <v>0</v>
      </c>
      <c r="T80">
        <f t="shared" si="5"/>
        <v>77</v>
      </c>
      <c r="U80" t="str">
        <f>IF($T80&lt;=Z$4,INDEX(TypicalCriticalitiesMAHBarrier[Barrier Family Description],MATCH($T80,TypicalCriticalitiesMAHBarrier[Barrier Family ID],0)),"")</f>
        <v/>
      </c>
      <c r="V80" t="str">
        <f ca="1">IF($T80&lt;=AA$4,INDEX(TypicalCriticalitiesMAHBarrier[Typical Components],MATCH($T80,TypicalCriticalitiesMAHBarrier[Column2],0)),"")</f>
        <v/>
      </c>
      <c r="W80" t="str">
        <f ca="1">IF($T80&lt;=AA$4,INDEX(TypicalCriticalitiesMAHBarrier[Typical Criticality],MATCH($T80,TypicalCriticalitiesMAHBarrier[Column2],0)),"")</f>
        <v/>
      </c>
      <c r="AE80" s="44"/>
      <c r="AF80" s="44"/>
      <c r="AG80" s="44"/>
      <c r="AH80" s="44"/>
      <c r="AI80" s="44"/>
      <c r="AJ80" s="44"/>
    </row>
    <row r="81" spans="14:36" x14ac:dyDescent="0.25">
      <c r="N81" t="s">
        <v>268</v>
      </c>
      <c r="O81" t="s">
        <v>269</v>
      </c>
      <c r="P81" t="s">
        <v>305</v>
      </c>
      <c r="Q81" t="s">
        <v>1</v>
      </c>
      <c r="R81">
        <f t="shared" si="3"/>
        <v>10</v>
      </c>
      <c r="S81">
        <f t="shared" ca="1" si="4"/>
        <v>0</v>
      </c>
      <c r="T81">
        <f t="shared" si="5"/>
        <v>78</v>
      </c>
      <c r="U81" t="str">
        <f>IF($T81&lt;=Z$4,INDEX(TypicalCriticalitiesMAHBarrier[Barrier Family Description],MATCH($T81,TypicalCriticalitiesMAHBarrier[Barrier Family ID],0)),"")</f>
        <v/>
      </c>
      <c r="V81" t="str">
        <f ca="1">IF($T81&lt;=AA$4,INDEX(TypicalCriticalitiesMAHBarrier[Typical Components],MATCH($T81,TypicalCriticalitiesMAHBarrier[Column2],0)),"")</f>
        <v/>
      </c>
      <c r="W81" t="str">
        <f ca="1">IF($T81&lt;=AA$4,INDEX(TypicalCriticalitiesMAHBarrier[Typical Criticality],MATCH($T81,TypicalCriticalitiesMAHBarrier[Column2],0)),"")</f>
        <v/>
      </c>
      <c r="AE81" s="44"/>
      <c r="AF81" s="44"/>
      <c r="AG81" s="44"/>
      <c r="AH81" s="44"/>
      <c r="AI81" s="44"/>
      <c r="AJ81" s="44"/>
    </row>
    <row r="82" spans="14:36" x14ac:dyDescent="0.25">
      <c r="N82" t="s">
        <v>268</v>
      </c>
      <c r="O82" t="s">
        <v>269</v>
      </c>
      <c r="P82" t="s">
        <v>306</v>
      </c>
      <c r="Q82" t="s">
        <v>0</v>
      </c>
      <c r="R82">
        <f t="shared" si="3"/>
        <v>10</v>
      </c>
      <c r="S82">
        <f t="shared" ca="1" si="4"/>
        <v>0</v>
      </c>
      <c r="T82">
        <f t="shared" si="5"/>
        <v>79</v>
      </c>
      <c r="U82" t="str">
        <f>IF($T82&lt;=Z$4,INDEX(TypicalCriticalitiesMAHBarrier[Barrier Family Description],MATCH($T82,TypicalCriticalitiesMAHBarrier[Barrier Family ID],0)),"")</f>
        <v/>
      </c>
      <c r="V82" t="str">
        <f ca="1">IF($T82&lt;=AA$4,INDEX(TypicalCriticalitiesMAHBarrier[Typical Components],MATCH($T82,TypicalCriticalitiesMAHBarrier[Column2],0)),"")</f>
        <v/>
      </c>
      <c r="W82" t="str">
        <f ca="1">IF($T82&lt;=AA$4,INDEX(TypicalCriticalitiesMAHBarrier[Typical Criticality],MATCH($T82,TypicalCriticalitiesMAHBarrier[Column2],0)),"")</f>
        <v/>
      </c>
      <c r="AE82" s="44"/>
      <c r="AF82" s="44"/>
      <c r="AG82" s="44"/>
      <c r="AH82" s="44"/>
      <c r="AI82" s="44"/>
      <c r="AJ82" s="44"/>
    </row>
    <row r="83" spans="14:36" x14ac:dyDescent="0.25">
      <c r="N83" t="s">
        <v>268</v>
      </c>
      <c r="O83" t="s">
        <v>269</v>
      </c>
      <c r="P83" t="s">
        <v>307</v>
      </c>
      <c r="Q83" t="s">
        <v>1</v>
      </c>
      <c r="R83">
        <f t="shared" si="3"/>
        <v>10</v>
      </c>
      <c r="S83">
        <f t="shared" ca="1" si="4"/>
        <v>0</v>
      </c>
      <c r="T83">
        <f t="shared" si="5"/>
        <v>80</v>
      </c>
      <c r="U83" t="str">
        <f>IF($T83&lt;=Z$4,INDEX(TypicalCriticalitiesMAHBarrier[Barrier Family Description],MATCH($T83,TypicalCriticalitiesMAHBarrier[Barrier Family ID],0)),"")</f>
        <v/>
      </c>
      <c r="V83" t="str">
        <f ca="1">IF($T83&lt;=AA$4,INDEX(TypicalCriticalitiesMAHBarrier[Typical Components],MATCH($T83,TypicalCriticalitiesMAHBarrier[Column2],0)),"")</f>
        <v/>
      </c>
      <c r="W83" t="str">
        <f ca="1">IF($T83&lt;=AA$4,INDEX(TypicalCriticalitiesMAHBarrier[Typical Criticality],MATCH($T83,TypicalCriticalitiesMAHBarrier[Column2],0)),"")</f>
        <v/>
      </c>
      <c r="AE83" s="44"/>
      <c r="AF83" s="44"/>
      <c r="AG83" s="44"/>
      <c r="AH83" s="44"/>
      <c r="AI83" s="44"/>
      <c r="AJ83" s="44"/>
    </row>
    <row r="84" spans="14:36" x14ac:dyDescent="0.25">
      <c r="N84" t="s">
        <v>268</v>
      </c>
      <c r="O84" t="s">
        <v>269</v>
      </c>
      <c r="P84" t="s">
        <v>308</v>
      </c>
      <c r="Q84" t="s">
        <v>0</v>
      </c>
      <c r="R84">
        <f t="shared" si="3"/>
        <v>10</v>
      </c>
      <c r="S84">
        <f t="shared" ca="1" si="4"/>
        <v>0</v>
      </c>
      <c r="T84">
        <f t="shared" si="5"/>
        <v>81</v>
      </c>
      <c r="U84" t="str">
        <f>IF($T84&lt;=Z$4,INDEX(TypicalCriticalitiesMAHBarrier[Barrier Family Description],MATCH($T84,TypicalCriticalitiesMAHBarrier[Barrier Family ID],0)),"")</f>
        <v/>
      </c>
      <c r="V84" t="str">
        <f ca="1">IF($T84&lt;=AA$4,INDEX(TypicalCriticalitiesMAHBarrier[Typical Components],MATCH($T84,TypicalCriticalitiesMAHBarrier[Column2],0)),"")</f>
        <v/>
      </c>
      <c r="W84" t="str">
        <f ca="1">IF($T84&lt;=AA$4,INDEX(TypicalCriticalitiesMAHBarrier[Typical Criticality],MATCH($T84,TypicalCriticalitiesMAHBarrier[Column2],0)),"")</f>
        <v/>
      </c>
      <c r="AE84" s="44"/>
      <c r="AF84" s="44"/>
      <c r="AG84" s="44"/>
      <c r="AH84" s="44"/>
      <c r="AI84" s="44"/>
      <c r="AJ84" s="44"/>
    </row>
    <row r="85" spans="14:36" x14ac:dyDescent="0.25">
      <c r="N85" t="s">
        <v>268</v>
      </c>
      <c r="O85" t="s">
        <v>269</v>
      </c>
      <c r="P85" t="s">
        <v>309</v>
      </c>
      <c r="Q85" t="s">
        <v>1</v>
      </c>
      <c r="R85">
        <f t="shared" si="3"/>
        <v>10</v>
      </c>
      <c r="S85">
        <f t="shared" ca="1" si="4"/>
        <v>0</v>
      </c>
      <c r="T85">
        <f t="shared" si="5"/>
        <v>82</v>
      </c>
      <c r="U85" t="str">
        <f>IF($T85&lt;=Z$4,INDEX(TypicalCriticalitiesMAHBarrier[Barrier Family Description],MATCH($T85,TypicalCriticalitiesMAHBarrier[Barrier Family ID],0)),"")</f>
        <v/>
      </c>
      <c r="V85" t="str">
        <f ca="1">IF($T85&lt;=AA$4,INDEX(TypicalCriticalitiesMAHBarrier[Typical Components],MATCH($T85,TypicalCriticalitiesMAHBarrier[Column2],0)),"")</f>
        <v/>
      </c>
      <c r="W85" t="str">
        <f ca="1">IF($T85&lt;=AA$4,INDEX(TypicalCriticalitiesMAHBarrier[Typical Criticality],MATCH($T85,TypicalCriticalitiesMAHBarrier[Column2],0)),"")</f>
        <v/>
      </c>
      <c r="AE85" s="44"/>
      <c r="AF85" s="44"/>
      <c r="AG85" s="44"/>
      <c r="AH85" s="44"/>
      <c r="AI85" s="44"/>
      <c r="AJ85" s="44"/>
    </row>
    <row r="86" spans="14:36" x14ac:dyDescent="0.25">
      <c r="N86" t="s">
        <v>268</v>
      </c>
      <c r="O86" t="s">
        <v>269</v>
      </c>
      <c r="P86" t="s">
        <v>310</v>
      </c>
      <c r="Q86" t="s">
        <v>1</v>
      </c>
      <c r="R86">
        <f t="shared" si="3"/>
        <v>10</v>
      </c>
      <c r="S86">
        <f t="shared" ca="1" si="4"/>
        <v>0</v>
      </c>
      <c r="T86">
        <f t="shared" si="5"/>
        <v>83</v>
      </c>
      <c r="U86" t="str">
        <f>IF($T86&lt;=Z$4,INDEX(TypicalCriticalitiesMAHBarrier[Barrier Family Description],MATCH($T86,TypicalCriticalitiesMAHBarrier[Barrier Family ID],0)),"")</f>
        <v/>
      </c>
      <c r="V86" t="str">
        <f ca="1">IF($T86&lt;=AA$4,INDEX(TypicalCriticalitiesMAHBarrier[Typical Components],MATCH($T86,TypicalCriticalitiesMAHBarrier[Column2],0)),"")</f>
        <v/>
      </c>
      <c r="W86" t="str">
        <f ca="1">IF($T86&lt;=AA$4,INDEX(TypicalCriticalitiesMAHBarrier[Typical Criticality],MATCH($T86,TypicalCriticalitiesMAHBarrier[Column2],0)),"")</f>
        <v/>
      </c>
      <c r="AE86" s="44"/>
      <c r="AF86" s="44"/>
      <c r="AG86" s="44"/>
      <c r="AH86" s="44"/>
      <c r="AI86" s="44"/>
      <c r="AJ86" s="44"/>
    </row>
    <row r="87" spans="14:36" x14ac:dyDescent="0.25">
      <c r="N87" t="s">
        <v>268</v>
      </c>
      <c r="O87" t="s">
        <v>269</v>
      </c>
      <c r="P87" t="s">
        <v>311</v>
      </c>
      <c r="Q87" t="s">
        <v>1</v>
      </c>
      <c r="R87">
        <f t="shared" si="3"/>
        <v>10</v>
      </c>
      <c r="S87">
        <f t="shared" ca="1" si="4"/>
        <v>0</v>
      </c>
      <c r="T87">
        <f t="shared" si="5"/>
        <v>84</v>
      </c>
      <c r="U87" t="str">
        <f>IF($T87&lt;=Z$4,INDEX(TypicalCriticalitiesMAHBarrier[Barrier Family Description],MATCH($T87,TypicalCriticalitiesMAHBarrier[Barrier Family ID],0)),"")</f>
        <v/>
      </c>
      <c r="V87" t="str">
        <f ca="1">IF($T87&lt;=AA$4,INDEX(TypicalCriticalitiesMAHBarrier[Typical Components],MATCH($T87,TypicalCriticalitiesMAHBarrier[Column2],0)),"")</f>
        <v/>
      </c>
      <c r="W87" t="str">
        <f ca="1">IF($T87&lt;=AA$4,INDEX(TypicalCriticalitiesMAHBarrier[Typical Criticality],MATCH($T87,TypicalCriticalitiesMAHBarrier[Column2],0)),"")</f>
        <v/>
      </c>
      <c r="AE87" s="44"/>
      <c r="AF87" s="44"/>
      <c r="AG87" s="44"/>
      <c r="AH87" s="44"/>
      <c r="AI87" s="44"/>
      <c r="AJ87" s="44"/>
    </row>
    <row r="88" spans="14:36" x14ac:dyDescent="0.25">
      <c r="N88" t="s">
        <v>268</v>
      </c>
      <c r="O88" t="s">
        <v>269</v>
      </c>
      <c r="P88" t="s">
        <v>312</v>
      </c>
      <c r="Q88" t="s">
        <v>0</v>
      </c>
      <c r="R88">
        <f t="shared" si="3"/>
        <v>10</v>
      </c>
      <c r="S88">
        <f t="shared" ca="1" si="4"/>
        <v>0</v>
      </c>
      <c r="T88">
        <f t="shared" si="5"/>
        <v>85</v>
      </c>
      <c r="U88" t="str">
        <f>IF($T88&lt;=Z$4,INDEX(TypicalCriticalitiesMAHBarrier[Barrier Family Description],MATCH($T88,TypicalCriticalitiesMAHBarrier[Barrier Family ID],0)),"")</f>
        <v/>
      </c>
      <c r="V88" t="str">
        <f ca="1">IF($T88&lt;=AA$4,INDEX(TypicalCriticalitiesMAHBarrier[Typical Components],MATCH($T88,TypicalCriticalitiesMAHBarrier[Column2],0)),"")</f>
        <v/>
      </c>
      <c r="W88" t="str">
        <f ca="1">IF($T88&lt;=AA$4,INDEX(TypicalCriticalitiesMAHBarrier[Typical Criticality],MATCH($T88,TypicalCriticalitiesMAHBarrier[Column2],0)),"")</f>
        <v/>
      </c>
      <c r="AE88" s="44"/>
      <c r="AF88" s="44"/>
      <c r="AG88" s="44"/>
      <c r="AH88" s="44"/>
      <c r="AI88" s="44"/>
      <c r="AJ88" s="44"/>
    </row>
    <row r="89" spans="14:36" x14ac:dyDescent="0.25">
      <c r="N89" t="s">
        <v>268</v>
      </c>
      <c r="O89" t="s">
        <v>269</v>
      </c>
      <c r="P89" t="s">
        <v>313</v>
      </c>
      <c r="Q89" t="s">
        <v>0</v>
      </c>
      <c r="R89">
        <f t="shared" si="3"/>
        <v>10</v>
      </c>
      <c r="S89">
        <f t="shared" ca="1" si="4"/>
        <v>0</v>
      </c>
      <c r="T89">
        <f t="shared" si="5"/>
        <v>86</v>
      </c>
      <c r="U89" t="str">
        <f>IF($T89&lt;=Z$4,INDEX(TypicalCriticalitiesMAHBarrier[Barrier Family Description],MATCH($T89,TypicalCriticalitiesMAHBarrier[Barrier Family ID],0)),"")</f>
        <v/>
      </c>
      <c r="V89" t="str">
        <f ca="1">IF($T89&lt;=AA$4,INDEX(TypicalCriticalitiesMAHBarrier[Typical Components],MATCH($T89,TypicalCriticalitiesMAHBarrier[Column2],0)),"")</f>
        <v/>
      </c>
      <c r="W89" t="str">
        <f ca="1">IF($T89&lt;=AA$4,INDEX(TypicalCriticalitiesMAHBarrier[Typical Criticality],MATCH($T89,TypicalCriticalitiesMAHBarrier[Column2],0)),"")</f>
        <v/>
      </c>
      <c r="AE89" s="44"/>
      <c r="AF89" s="44"/>
      <c r="AG89" s="44"/>
      <c r="AH89" s="44"/>
      <c r="AI89" s="44"/>
      <c r="AJ89" s="44"/>
    </row>
    <row r="90" spans="14:36" x14ac:dyDescent="0.25">
      <c r="N90" t="s">
        <v>268</v>
      </c>
      <c r="O90" t="s">
        <v>269</v>
      </c>
      <c r="P90" t="s">
        <v>314</v>
      </c>
      <c r="Q90" t="s">
        <v>0</v>
      </c>
      <c r="R90">
        <f t="shared" si="3"/>
        <v>10</v>
      </c>
      <c r="S90">
        <f t="shared" ca="1" si="4"/>
        <v>0</v>
      </c>
      <c r="T90">
        <f t="shared" si="5"/>
        <v>87</v>
      </c>
      <c r="U90" t="str">
        <f>IF($T90&lt;=Z$4,INDEX(TypicalCriticalitiesMAHBarrier[Barrier Family Description],MATCH($T90,TypicalCriticalitiesMAHBarrier[Barrier Family ID],0)),"")</f>
        <v/>
      </c>
      <c r="V90" t="str">
        <f ca="1">IF($T90&lt;=AA$4,INDEX(TypicalCriticalitiesMAHBarrier[Typical Components],MATCH($T90,TypicalCriticalitiesMAHBarrier[Column2],0)),"")</f>
        <v/>
      </c>
      <c r="W90" t="str">
        <f ca="1">IF($T90&lt;=AA$4,INDEX(TypicalCriticalitiesMAHBarrier[Typical Criticality],MATCH($T90,TypicalCriticalitiesMAHBarrier[Column2],0)),"")</f>
        <v/>
      </c>
      <c r="AE90" s="44"/>
      <c r="AF90" s="44"/>
      <c r="AG90" s="44"/>
      <c r="AH90" s="44"/>
      <c r="AI90" s="44"/>
      <c r="AJ90" s="44"/>
    </row>
    <row r="91" spans="14:36" x14ac:dyDescent="0.25">
      <c r="N91" t="s">
        <v>268</v>
      </c>
      <c r="O91" t="s">
        <v>269</v>
      </c>
      <c r="P91" t="s">
        <v>315</v>
      </c>
      <c r="Q91" t="s">
        <v>1</v>
      </c>
      <c r="R91">
        <f t="shared" si="3"/>
        <v>10</v>
      </c>
      <c r="S91">
        <f t="shared" ca="1" si="4"/>
        <v>0</v>
      </c>
      <c r="T91">
        <f t="shared" si="5"/>
        <v>88</v>
      </c>
      <c r="U91" t="str">
        <f>IF($T91&lt;=Z$4,INDEX(TypicalCriticalitiesMAHBarrier[Barrier Family Description],MATCH($T91,TypicalCriticalitiesMAHBarrier[Barrier Family ID],0)),"")</f>
        <v/>
      </c>
      <c r="V91" t="str">
        <f ca="1">IF($T91&lt;=AA$4,INDEX(TypicalCriticalitiesMAHBarrier[Typical Components],MATCH($T91,TypicalCriticalitiesMAHBarrier[Column2],0)),"")</f>
        <v/>
      </c>
      <c r="W91" t="str">
        <f ca="1">IF($T91&lt;=AA$4,INDEX(TypicalCriticalitiesMAHBarrier[Typical Criticality],MATCH($T91,TypicalCriticalitiesMAHBarrier[Column2],0)),"")</f>
        <v/>
      </c>
      <c r="AE91" s="44"/>
      <c r="AF91" s="44"/>
      <c r="AG91" s="44"/>
      <c r="AH91" s="44"/>
      <c r="AI91" s="44"/>
      <c r="AJ91" s="44"/>
    </row>
    <row r="92" spans="14:36" x14ac:dyDescent="0.25">
      <c r="N92" t="s">
        <v>268</v>
      </c>
      <c r="O92" t="s">
        <v>269</v>
      </c>
      <c r="P92" t="s">
        <v>316</v>
      </c>
      <c r="Q92" t="s">
        <v>0</v>
      </c>
      <c r="R92">
        <f t="shared" si="3"/>
        <v>10</v>
      </c>
      <c r="S92">
        <f t="shared" ca="1" si="4"/>
        <v>0</v>
      </c>
      <c r="T92">
        <f t="shared" si="5"/>
        <v>89</v>
      </c>
      <c r="U92" t="str">
        <f>IF($T92&lt;=Z$4,INDEX(TypicalCriticalitiesMAHBarrier[Barrier Family Description],MATCH($T92,TypicalCriticalitiesMAHBarrier[Barrier Family ID],0)),"")</f>
        <v/>
      </c>
      <c r="V92" t="str">
        <f ca="1">IF($T92&lt;=AA$4,INDEX(TypicalCriticalitiesMAHBarrier[Typical Components],MATCH($T92,TypicalCriticalitiesMAHBarrier[Column2],0)),"")</f>
        <v/>
      </c>
      <c r="W92" t="str">
        <f ca="1">IF($T92&lt;=AA$4,INDEX(TypicalCriticalitiesMAHBarrier[Typical Criticality],MATCH($T92,TypicalCriticalitiesMAHBarrier[Column2],0)),"")</f>
        <v/>
      </c>
      <c r="AE92" s="44"/>
      <c r="AF92" s="44"/>
      <c r="AG92" s="44"/>
      <c r="AH92" s="44"/>
      <c r="AI92" s="44"/>
      <c r="AJ92" s="44"/>
    </row>
    <row r="93" spans="14:36" x14ac:dyDescent="0.25">
      <c r="N93" t="s">
        <v>268</v>
      </c>
      <c r="O93" t="s">
        <v>269</v>
      </c>
      <c r="P93" t="s">
        <v>317</v>
      </c>
      <c r="Q93" t="s">
        <v>0</v>
      </c>
      <c r="R93">
        <f t="shared" si="3"/>
        <v>10</v>
      </c>
      <c r="S93">
        <f t="shared" ca="1" si="4"/>
        <v>0</v>
      </c>
      <c r="T93">
        <f t="shared" si="5"/>
        <v>90</v>
      </c>
      <c r="U93" t="str">
        <f>IF($T93&lt;=Z$4,INDEX(TypicalCriticalitiesMAHBarrier[Barrier Family Description],MATCH($T93,TypicalCriticalitiesMAHBarrier[Barrier Family ID],0)),"")</f>
        <v/>
      </c>
      <c r="V93" t="str">
        <f ca="1">IF($T93&lt;=AA$4,INDEX(TypicalCriticalitiesMAHBarrier[Typical Components],MATCH($T93,TypicalCriticalitiesMAHBarrier[Column2],0)),"")</f>
        <v/>
      </c>
      <c r="W93" t="str">
        <f ca="1">IF($T93&lt;=AA$4,INDEX(TypicalCriticalitiesMAHBarrier[Typical Criticality],MATCH($T93,TypicalCriticalitiesMAHBarrier[Column2],0)),"")</f>
        <v/>
      </c>
      <c r="AE93" s="44"/>
      <c r="AF93" s="44"/>
      <c r="AG93" s="44"/>
      <c r="AH93" s="44"/>
      <c r="AI93" s="44"/>
      <c r="AJ93" s="44"/>
    </row>
    <row r="94" spans="14:36" x14ac:dyDescent="0.25">
      <c r="N94" t="s">
        <v>268</v>
      </c>
      <c r="O94" t="s">
        <v>269</v>
      </c>
      <c r="P94" t="s">
        <v>318</v>
      </c>
      <c r="Q94" t="s">
        <v>1</v>
      </c>
      <c r="R94">
        <f t="shared" si="3"/>
        <v>10</v>
      </c>
      <c r="S94">
        <f t="shared" ca="1" si="4"/>
        <v>0</v>
      </c>
      <c r="T94">
        <f t="shared" si="5"/>
        <v>91</v>
      </c>
      <c r="U94" t="str">
        <f>IF($T94&lt;=Z$4,INDEX(TypicalCriticalitiesMAHBarrier[Barrier Family Description],MATCH($T94,TypicalCriticalitiesMAHBarrier[Barrier Family ID],0)),"")</f>
        <v/>
      </c>
      <c r="V94" t="str">
        <f ca="1">IF($T94&lt;=AA$4,INDEX(TypicalCriticalitiesMAHBarrier[Typical Components],MATCH($T94,TypicalCriticalitiesMAHBarrier[Column2],0)),"")</f>
        <v/>
      </c>
      <c r="W94" t="str">
        <f ca="1">IF($T94&lt;=AA$4,INDEX(TypicalCriticalitiesMAHBarrier[Typical Criticality],MATCH($T94,TypicalCriticalitiesMAHBarrier[Column2],0)),"")</f>
        <v/>
      </c>
      <c r="AE94" s="44"/>
      <c r="AF94" s="44"/>
      <c r="AG94" s="44"/>
      <c r="AH94" s="44"/>
      <c r="AI94" s="44"/>
      <c r="AJ94" s="44"/>
    </row>
    <row r="95" spans="14:36" x14ac:dyDescent="0.25">
      <c r="N95" t="s">
        <v>268</v>
      </c>
      <c r="O95" t="s">
        <v>269</v>
      </c>
      <c r="P95" t="s">
        <v>319</v>
      </c>
      <c r="Q95" t="s">
        <v>0</v>
      </c>
      <c r="R95">
        <f t="shared" si="3"/>
        <v>10</v>
      </c>
      <c r="S95">
        <f t="shared" ca="1" si="4"/>
        <v>0</v>
      </c>
      <c r="T95">
        <f t="shared" si="5"/>
        <v>92</v>
      </c>
      <c r="U95" t="str">
        <f>IF($T95&lt;=Z$4,INDEX(TypicalCriticalitiesMAHBarrier[Barrier Family Description],MATCH($T95,TypicalCriticalitiesMAHBarrier[Barrier Family ID],0)),"")</f>
        <v/>
      </c>
      <c r="V95" t="str">
        <f ca="1">IF($T95&lt;=AA$4,INDEX(TypicalCriticalitiesMAHBarrier[Typical Components],MATCH($T95,TypicalCriticalitiesMAHBarrier[Column2],0)),"")</f>
        <v/>
      </c>
      <c r="W95" t="str">
        <f ca="1">IF($T95&lt;=AA$4,INDEX(TypicalCriticalitiesMAHBarrier[Typical Criticality],MATCH($T95,TypicalCriticalitiesMAHBarrier[Column2],0)),"")</f>
        <v/>
      </c>
      <c r="AE95" s="44"/>
      <c r="AF95" s="44"/>
      <c r="AG95" s="44"/>
      <c r="AH95" s="44"/>
      <c r="AI95" s="44"/>
      <c r="AJ95" s="44"/>
    </row>
    <row r="96" spans="14:36" x14ac:dyDescent="0.25">
      <c r="N96" t="s">
        <v>268</v>
      </c>
      <c r="O96" t="s">
        <v>269</v>
      </c>
      <c r="P96" t="s">
        <v>320</v>
      </c>
      <c r="Q96" t="s">
        <v>1</v>
      </c>
      <c r="R96">
        <f t="shared" si="3"/>
        <v>10</v>
      </c>
      <c r="S96">
        <f t="shared" ca="1" si="4"/>
        <v>0</v>
      </c>
      <c r="T96">
        <f t="shared" si="5"/>
        <v>93</v>
      </c>
      <c r="U96" t="str">
        <f>IF($T96&lt;=Z$4,INDEX(TypicalCriticalitiesMAHBarrier[Barrier Family Description],MATCH($T96,TypicalCriticalitiesMAHBarrier[Barrier Family ID],0)),"")</f>
        <v/>
      </c>
      <c r="V96" t="str">
        <f ca="1">IF($T96&lt;=AA$4,INDEX(TypicalCriticalitiesMAHBarrier[Typical Components],MATCH($T96,TypicalCriticalitiesMAHBarrier[Column2],0)),"")</f>
        <v/>
      </c>
      <c r="W96" t="str">
        <f ca="1">IF($T96&lt;=AA$4,INDEX(TypicalCriticalitiesMAHBarrier[Typical Criticality],MATCH($T96,TypicalCriticalitiesMAHBarrier[Column2],0)),"")</f>
        <v/>
      </c>
      <c r="AE96" s="44"/>
      <c r="AF96" s="44"/>
      <c r="AG96" s="44"/>
      <c r="AH96" s="44"/>
      <c r="AI96" s="44"/>
      <c r="AJ96" s="44"/>
    </row>
    <row r="97" spans="14:36" x14ac:dyDescent="0.25">
      <c r="N97" t="s">
        <v>268</v>
      </c>
      <c r="O97" t="s">
        <v>269</v>
      </c>
      <c r="P97" t="s">
        <v>321</v>
      </c>
      <c r="Q97" t="s">
        <v>1</v>
      </c>
      <c r="R97">
        <f t="shared" si="3"/>
        <v>10</v>
      </c>
      <c r="S97">
        <f t="shared" ca="1" si="4"/>
        <v>0</v>
      </c>
      <c r="T97">
        <f t="shared" si="5"/>
        <v>94</v>
      </c>
      <c r="U97" t="str">
        <f>IF($T97&lt;=Z$4,INDEX(TypicalCriticalitiesMAHBarrier[Barrier Family Description],MATCH($T97,TypicalCriticalitiesMAHBarrier[Barrier Family ID],0)),"")</f>
        <v/>
      </c>
      <c r="V97" t="str">
        <f ca="1">IF($T97&lt;=AA$4,INDEX(TypicalCriticalitiesMAHBarrier[Typical Components],MATCH($T97,TypicalCriticalitiesMAHBarrier[Column2],0)),"")</f>
        <v/>
      </c>
      <c r="W97" t="str">
        <f ca="1">IF($T97&lt;=AA$4,INDEX(TypicalCriticalitiesMAHBarrier[Typical Criticality],MATCH($T97,TypicalCriticalitiesMAHBarrier[Column2],0)),"")</f>
        <v/>
      </c>
      <c r="AE97" s="44"/>
      <c r="AF97" s="44"/>
      <c r="AG97" s="44"/>
      <c r="AH97" s="44"/>
      <c r="AI97" s="44"/>
      <c r="AJ97" s="44"/>
    </row>
    <row r="98" spans="14:36" ht="17.25" x14ac:dyDescent="0.25">
      <c r="N98" t="s">
        <v>322</v>
      </c>
      <c r="O98" t="s">
        <v>323</v>
      </c>
      <c r="P98" t="s">
        <v>632</v>
      </c>
      <c r="Q98" t="s">
        <v>0</v>
      </c>
      <c r="R98">
        <f t="shared" si="3"/>
        <v>11</v>
      </c>
      <c r="S98">
        <f t="shared" ca="1" si="4"/>
        <v>0</v>
      </c>
      <c r="T98">
        <f t="shared" si="5"/>
        <v>95</v>
      </c>
      <c r="U98" t="str">
        <f>IF($T98&lt;=Z$4,INDEX(TypicalCriticalitiesMAHBarrier[Barrier Family Description],MATCH($T98,TypicalCriticalitiesMAHBarrier[Barrier Family ID],0)),"")</f>
        <v/>
      </c>
      <c r="V98" t="str">
        <f ca="1">IF($T98&lt;=AA$4,INDEX(TypicalCriticalitiesMAHBarrier[Typical Components],MATCH($T98,TypicalCriticalitiesMAHBarrier[Column2],0)),"")</f>
        <v/>
      </c>
      <c r="W98" t="str">
        <f ca="1">IF($T98&lt;=AA$4,INDEX(TypicalCriticalitiesMAHBarrier[Typical Criticality],MATCH($T98,TypicalCriticalitiesMAHBarrier[Column2],0)),"")</f>
        <v/>
      </c>
      <c r="AE98" s="44"/>
      <c r="AF98" s="44"/>
      <c r="AG98" s="44"/>
      <c r="AH98" s="44"/>
      <c r="AI98" s="44"/>
      <c r="AJ98" s="44"/>
    </row>
    <row r="99" spans="14:36" x14ac:dyDescent="0.25">
      <c r="N99" t="s">
        <v>322</v>
      </c>
      <c r="O99" t="s">
        <v>323</v>
      </c>
      <c r="P99" t="s">
        <v>324</v>
      </c>
      <c r="Q99" t="s">
        <v>0</v>
      </c>
      <c r="R99">
        <f t="shared" si="3"/>
        <v>11</v>
      </c>
      <c r="S99">
        <f t="shared" ca="1" si="4"/>
        <v>0</v>
      </c>
      <c r="T99">
        <f t="shared" si="5"/>
        <v>96</v>
      </c>
      <c r="U99" t="str">
        <f>IF($T99&lt;=Z$4,INDEX(TypicalCriticalitiesMAHBarrier[Barrier Family Description],MATCH($T99,TypicalCriticalitiesMAHBarrier[Barrier Family ID],0)),"")</f>
        <v/>
      </c>
      <c r="V99" t="str">
        <f ca="1">IF($T99&lt;=AA$4,INDEX(TypicalCriticalitiesMAHBarrier[Typical Components],MATCH($T99,TypicalCriticalitiesMAHBarrier[Column2],0)),"")</f>
        <v/>
      </c>
      <c r="W99" t="str">
        <f ca="1">IF($T99&lt;=AA$4,INDEX(TypicalCriticalitiesMAHBarrier[Typical Criticality],MATCH($T99,TypicalCriticalitiesMAHBarrier[Column2],0)),"")</f>
        <v/>
      </c>
      <c r="AE99" s="44"/>
      <c r="AF99" s="44"/>
      <c r="AG99" s="44"/>
      <c r="AH99" s="44"/>
      <c r="AI99" s="44"/>
      <c r="AJ99" s="44"/>
    </row>
    <row r="100" spans="14:36" ht="17.25" x14ac:dyDescent="0.25">
      <c r="N100" t="s">
        <v>322</v>
      </c>
      <c r="O100" t="s">
        <v>323</v>
      </c>
      <c r="P100" t="s">
        <v>633</v>
      </c>
      <c r="Q100" t="s">
        <v>0</v>
      </c>
      <c r="R100">
        <f t="shared" si="3"/>
        <v>11</v>
      </c>
      <c r="S100">
        <f t="shared" ca="1" si="4"/>
        <v>0</v>
      </c>
      <c r="T100">
        <f t="shared" si="5"/>
        <v>97</v>
      </c>
      <c r="U100" t="str">
        <f>IF($T100&lt;=Z$4,INDEX(TypicalCriticalitiesMAHBarrier[Barrier Family Description],MATCH($T100,TypicalCriticalitiesMAHBarrier[Barrier Family ID],0)),"")</f>
        <v/>
      </c>
      <c r="V100" t="str">
        <f ca="1">IF($T100&lt;=AA$4,INDEX(TypicalCriticalitiesMAHBarrier[Typical Components],MATCH($T100,TypicalCriticalitiesMAHBarrier[Column2],0)),"")</f>
        <v/>
      </c>
      <c r="W100" t="str">
        <f ca="1">IF($T100&lt;=AA$4,INDEX(TypicalCriticalitiesMAHBarrier[Typical Criticality],MATCH($T100,TypicalCriticalitiesMAHBarrier[Column2],0)),"")</f>
        <v/>
      </c>
      <c r="AE100" s="44"/>
      <c r="AF100" s="44"/>
      <c r="AG100" s="44"/>
      <c r="AH100" s="44"/>
      <c r="AI100" s="44"/>
      <c r="AJ100" s="44"/>
    </row>
    <row r="101" spans="14:36" x14ac:dyDescent="0.25">
      <c r="N101" t="s">
        <v>322</v>
      </c>
      <c r="O101" t="s">
        <v>323</v>
      </c>
      <c r="P101" t="s">
        <v>325</v>
      </c>
      <c r="Q101" t="s">
        <v>0</v>
      </c>
      <c r="R101">
        <f t="shared" si="3"/>
        <v>11</v>
      </c>
      <c r="S101">
        <f t="shared" ca="1" si="4"/>
        <v>0</v>
      </c>
      <c r="T101">
        <f t="shared" si="5"/>
        <v>98</v>
      </c>
      <c r="U101" t="str">
        <f>IF($T101&lt;=Z$4,INDEX(TypicalCriticalitiesMAHBarrier[Barrier Family Description],MATCH($T101,TypicalCriticalitiesMAHBarrier[Barrier Family ID],0)),"")</f>
        <v/>
      </c>
      <c r="V101" t="str">
        <f ca="1">IF($T101&lt;=AA$4,INDEX(TypicalCriticalitiesMAHBarrier[Typical Components],MATCH($T101,TypicalCriticalitiesMAHBarrier[Column2],0)),"")</f>
        <v/>
      </c>
      <c r="W101" t="str">
        <f ca="1">IF($T101&lt;=AA$4,INDEX(TypicalCriticalitiesMAHBarrier[Typical Criticality],MATCH($T101,TypicalCriticalitiesMAHBarrier[Column2],0)),"")</f>
        <v/>
      </c>
      <c r="AE101" s="44"/>
      <c r="AF101" s="44"/>
      <c r="AG101" s="44"/>
      <c r="AH101" s="44"/>
      <c r="AI101" s="44"/>
      <c r="AJ101" s="44"/>
    </row>
    <row r="102" spans="14:36" x14ac:dyDescent="0.25">
      <c r="N102" t="s">
        <v>322</v>
      </c>
      <c r="O102" t="s">
        <v>323</v>
      </c>
      <c r="P102" t="s">
        <v>326</v>
      </c>
      <c r="Q102" t="s">
        <v>0</v>
      </c>
      <c r="R102">
        <f t="shared" si="3"/>
        <v>11</v>
      </c>
      <c r="S102">
        <f t="shared" ca="1" si="4"/>
        <v>0</v>
      </c>
      <c r="T102">
        <f t="shared" si="5"/>
        <v>99</v>
      </c>
      <c r="U102" t="str">
        <f>IF($T102&lt;=Z$4,INDEX(TypicalCriticalitiesMAHBarrier[Barrier Family Description],MATCH($T102,TypicalCriticalitiesMAHBarrier[Barrier Family ID],0)),"")</f>
        <v/>
      </c>
      <c r="V102" t="str">
        <f ca="1">IF($T102&lt;=AA$4,INDEX(TypicalCriticalitiesMAHBarrier[Typical Components],MATCH($T102,TypicalCriticalitiesMAHBarrier[Column2],0)),"")</f>
        <v/>
      </c>
      <c r="W102" t="str">
        <f ca="1">IF($T102&lt;=AA$4,INDEX(TypicalCriticalitiesMAHBarrier[Typical Criticality],MATCH($T102,TypicalCriticalitiesMAHBarrier[Column2],0)),"")</f>
        <v/>
      </c>
      <c r="AE102" s="44"/>
      <c r="AF102" s="44"/>
      <c r="AG102" s="44"/>
      <c r="AH102" s="44"/>
      <c r="AI102" s="44"/>
      <c r="AJ102" s="44"/>
    </row>
    <row r="103" spans="14:36" x14ac:dyDescent="0.25">
      <c r="N103" t="s">
        <v>322</v>
      </c>
      <c r="O103" t="s">
        <v>323</v>
      </c>
      <c r="P103" t="s">
        <v>327</v>
      </c>
      <c r="Q103" t="s">
        <v>0</v>
      </c>
      <c r="R103">
        <f t="shared" si="3"/>
        <v>11</v>
      </c>
      <c r="S103">
        <f t="shared" ca="1" si="4"/>
        <v>0</v>
      </c>
      <c r="T103">
        <f t="shared" si="5"/>
        <v>100</v>
      </c>
      <c r="U103" t="str">
        <f>IF($T103&lt;=Z$4,INDEX(TypicalCriticalitiesMAHBarrier[Barrier Family Description],MATCH($T103,TypicalCriticalitiesMAHBarrier[Barrier Family ID],0)),"")</f>
        <v/>
      </c>
      <c r="V103" t="str">
        <f ca="1">IF($T103&lt;=AA$4,INDEX(TypicalCriticalitiesMAHBarrier[Typical Components],MATCH($T103,TypicalCriticalitiesMAHBarrier[Column2],0)),"")</f>
        <v/>
      </c>
      <c r="W103" t="str">
        <f ca="1">IF($T103&lt;=AA$4,INDEX(TypicalCriticalitiesMAHBarrier[Typical Criticality],MATCH($T103,TypicalCriticalitiesMAHBarrier[Column2],0)),"")</f>
        <v/>
      </c>
      <c r="AE103" s="44"/>
      <c r="AF103" s="44"/>
      <c r="AG103" s="44"/>
      <c r="AH103" s="44"/>
      <c r="AI103" s="44"/>
      <c r="AJ103" s="44"/>
    </row>
    <row r="104" spans="14:36" x14ac:dyDescent="0.25">
      <c r="N104" t="s">
        <v>322</v>
      </c>
      <c r="O104" t="s">
        <v>323</v>
      </c>
      <c r="P104" t="s">
        <v>328</v>
      </c>
      <c r="Q104" t="s">
        <v>0</v>
      </c>
      <c r="R104">
        <f t="shared" si="3"/>
        <v>11</v>
      </c>
      <c r="S104">
        <f t="shared" ca="1" si="4"/>
        <v>0</v>
      </c>
      <c r="T104">
        <f t="shared" si="5"/>
        <v>101</v>
      </c>
      <c r="U104" t="str">
        <f>IF($T104&lt;=Z$4,INDEX(TypicalCriticalitiesMAHBarrier[Barrier Family Description],MATCH($T104,TypicalCriticalitiesMAHBarrier[Barrier Family ID],0)),"")</f>
        <v/>
      </c>
      <c r="V104" t="str">
        <f ca="1">IF($T104&lt;=AA$4,INDEX(TypicalCriticalitiesMAHBarrier[Typical Components],MATCH($T104,TypicalCriticalitiesMAHBarrier[Column2],0)),"")</f>
        <v/>
      </c>
      <c r="W104" t="str">
        <f ca="1">IF($T104&lt;=AA$4,INDEX(TypicalCriticalitiesMAHBarrier[Typical Criticality],MATCH($T104,TypicalCriticalitiesMAHBarrier[Column2],0)),"")</f>
        <v/>
      </c>
      <c r="AE104" s="44"/>
      <c r="AF104" s="44"/>
      <c r="AG104" s="44"/>
      <c r="AH104" s="44"/>
      <c r="AI104" s="44"/>
      <c r="AJ104" s="44"/>
    </row>
    <row r="105" spans="14:36" x14ac:dyDescent="0.25">
      <c r="N105" t="s">
        <v>322</v>
      </c>
      <c r="O105" t="s">
        <v>323</v>
      </c>
      <c r="P105" t="s">
        <v>329</v>
      </c>
      <c r="Q105" t="s">
        <v>2</v>
      </c>
      <c r="R105">
        <f t="shared" si="3"/>
        <v>11</v>
      </c>
      <c r="S105">
        <f t="shared" ca="1" si="4"/>
        <v>0</v>
      </c>
      <c r="T105">
        <f t="shared" si="5"/>
        <v>102</v>
      </c>
      <c r="U105" t="str">
        <f>IF($T105&lt;=Z$4,INDEX(TypicalCriticalitiesMAHBarrier[Barrier Family Description],MATCH($T105,TypicalCriticalitiesMAHBarrier[Barrier Family ID],0)),"")</f>
        <v/>
      </c>
      <c r="V105" t="str">
        <f ca="1">IF($T105&lt;=AA$4,INDEX(TypicalCriticalitiesMAHBarrier[Typical Components],MATCH($T105,TypicalCriticalitiesMAHBarrier[Column2],0)),"")</f>
        <v/>
      </c>
      <c r="W105" t="str">
        <f ca="1">IF($T105&lt;=AA$4,INDEX(TypicalCriticalitiesMAHBarrier[Typical Criticality],MATCH($T105,TypicalCriticalitiesMAHBarrier[Column2],0)),"")</f>
        <v/>
      </c>
      <c r="AE105" s="44"/>
      <c r="AF105" s="44"/>
      <c r="AG105" s="44"/>
      <c r="AH105" s="44"/>
      <c r="AI105" s="44"/>
      <c r="AJ105" s="44"/>
    </row>
    <row r="106" spans="14:36" x14ac:dyDescent="0.25">
      <c r="N106" t="s">
        <v>322</v>
      </c>
      <c r="O106" t="s">
        <v>323</v>
      </c>
      <c r="P106" t="s">
        <v>330</v>
      </c>
      <c r="Q106" t="s">
        <v>0</v>
      </c>
      <c r="R106">
        <f t="shared" si="3"/>
        <v>11</v>
      </c>
      <c r="S106">
        <f t="shared" ca="1" si="4"/>
        <v>0</v>
      </c>
      <c r="T106">
        <f t="shared" si="5"/>
        <v>103</v>
      </c>
      <c r="U106" t="str">
        <f>IF($T106&lt;=Z$4,INDEX(TypicalCriticalitiesMAHBarrier[Barrier Family Description],MATCH($T106,TypicalCriticalitiesMAHBarrier[Barrier Family ID],0)),"")</f>
        <v/>
      </c>
      <c r="V106" t="str">
        <f ca="1">IF($T106&lt;=AA$4,INDEX(TypicalCriticalitiesMAHBarrier[Typical Components],MATCH($T106,TypicalCriticalitiesMAHBarrier[Column2],0)),"")</f>
        <v/>
      </c>
      <c r="W106" t="str">
        <f ca="1">IF($T106&lt;=AA$4,INDEX(TypicalCriticalitiesMAHBarrier[Typical Criticality],MATCH($T106,TypicalCriticalitiesMAHBarrier[Column2],0)),"")</f>
        <v/>
      </c>
      <c r="AE106" s="44"/>
      <c r="AF106" s="44"/>
      <c r="AG106" s="44"/>
      <c r="AH106" s="44"/>
      <c r="AI106" s="44"/>
      <c r="AJ106" s="44"/>
    </row>
    <row r="107" spans="14:36" x14ac:dyDescent="0.25">
      <c r="N107" t="s">
        <v>322</v>
      </c>
      <c r="O107" t="s">
        <v>323</v>
      </c>
      <c r="P107" t="s">
        <v>331</v>
      </c>
      <c r="Q107" t="s">
        <v>0</v>
      </c>
      <c r="R107">
        <f t="shared" si="3"/>
        <v>11</v>
      </c>
      <c r="S107">
        <f t="shared" ca="1" si="4"/>
        <v>0</v>
      </c>
      <c r="T107">
        <f t="shared" si="5"/>
        <v>104</v>
      </c>
      <c r="U107" t="str">
        <f>IF($T107&lt;=Z$4,INDEX(TypicalCriticalitiesMAHBarrier[Barrier Family Description],MATCH($T107,TypicalCriticalitiesMAHBarrier[Barrier Family ID],0)),"")</f>
        <v/>
      </c>
      <c r="V107" t="str">
        <f ca="1">IF($T107&lt;=AA$4,INDEX(TypicalCriticalitiesMAHBarrier[Typical Components],MATCH($T107,TypicalCriticalitiesMAHBarrier[Column2],0)),"")</f>
        <v/>
      </c>
      <c r="W107" t="str">
        <f ca="1">IF($T107&lt;=AA$4,INDEX(TypicalCriticalitiesMAHBarrier[Typical Criticality],MATCH($T107,TypicalCriticalitiesMAHBarrier[Column2],0)),"")</f>
        <v/>
      </c>
      <c r="AE107" s="44"/>
      <c r="AF107" s="44"/>
      <c r="AG107" s="44"/>
      <c r="AH107" s="44"/>
      <c r="AI107" s="44"/>
      <c r="AJ107" s="44"/>
    </row>
    <row r="108" spans="14:36" x14ac:dyDescent="0.25">
      <c r="N108" t="s">
        <v>322</v>
      </c>
      <c r="O108" t="s">
        <v>323</v>
      </c>
      <c r="P108" t="s">
        <v>332</v>
      </c>
      <c r="Q108" t="s">
        <v>0</v>
      </c>
      <c r="R108">
        <f t="shared" si="3"/>
        <v>11</v>
      </c>
      <c r="S108">
        <f t="shared" ca="1" si="4"/>
        <v>0</v>
      </c>
      <c r="T108">
        <f t="shared" si="5"/>
        <v>105</v>
      </c>
      <c r="U108" t="str">
        <f>IF($T108&lt;=Z$4,INDEX(TypicalCriticalitiesMAHBarrier[Barrier Family Description],MATCH($T108,TypicalCriticalitiesMAHBarrier[Barrier Family ID],0)),"")</f>
        <v/>
      </c>
      <c r="V108" t="str">
        <f ca="1">IF($T108&lt;=AA$4,INDEX(TypicalCriticalitiesMAHBarrier[Typical Components],MATCH($T108,TypicalCriticalitiesMAHBarrier[Column2],0)),"")</f>
        <v/>
      </c>
      <c r="W108" t="str">
        <f ca="1">IF($T108&lt;=AA$4,INDEX(TypicalCriticalitiesMAHBarrier[Typical Criticality],MATCH($T108,TypicalCriticalitiesMAHBarrier[Column2],0)),"")</f>
        <v/>
      </c>
      <c r="AE108" s="44"/>
      <c r="AF108" s="44"/>
      <c r="AG108" s="44"/>
      <c r="AH108" s="44"/>
      <c r="AI108" s="44"/>
      <c r="AJ108" s="44"/>
    </row>
    <row r="109" spans="14:36" x14ac:dyDescent="0.25">
      <c r="N109" t="s">
        <v>322</v>
      </c>
      <c r="O109" t="s">
        <v>323</v>
      </c>
      <c r="P109" t="s">
        <v>333</v>
      </c>
      <c r="Q109" t="s">
        <v>0</v>
      </c>
      <c r="R109">
        <f t="shared" si="3"/>
        <v>11</v>
      </c>
      <c r="S109">
        <f t="shared" ca="1" si="4"/>
        <v>0</v>
      </c>
      <c r="T109">
        <f t="shared" si="5"/>
        <v>106</v>
      </c>
      <c r="U109" t="str">
        <f>IF($T109&lt;=Z$4,INDEX(TypicalCriticalitiesMAHBarrier[Barrier Family Description],MATCH($T109,TypicalCriticalitiesMAHBarrier[Barrier Family ID],0)),"")</f>
        <v/>
      </c>
      <c r="V109" t="str">
        <f ca="1">IF($T109&lt;=AA$4,INDEX(TypicalCriticalitiesMAHBarrier[Typical Components],MATCH($T109,TypicalCriticalitiesMAHBarrier[Column2],0)),"")</f>
        <v/>
      </c>
      <c r="W109" t="str">
        <f ca="1">IF($T109&lt;=AA$4,INDEX(TypicalCriticalitiesMAHBarrier[Typical Criticality],MATCH($T109,TypicalCriticalitiesMAHBarrier[Column2],0)),"")</f>
        <v/>
      </c>
      <c r="AE109" s="44"/>
      <c r="AF109" s="44"/>
      <c r="AG109" s="44"/>
      <c r="AH109" s="44"/>
      <c r="AI109" s="44"/>
      <c r="AJ109" s="44"/>
    </row>
    <row r="110" spans="14:36" x14ac:dyDescent="0.25">
      <c r="N110" t="s">
        <v>322</v>
      </c>
      <c r="O110" t="s">
        <v>323</v>
      </c>
      <c r="P110" t="s">
        <v>334</v>
      </c>
      <c r="Q110" t="s">
        <v>2</v>
      </c>
      <c r="R110">
        <f t="shared" si="3"/>
        <v>11</v>
      </c>
      <c r="S110">
        <f t="shared" ca="1" si="4"/>
        <v>0</v>
      </c>
      <c r="T110">
        <f t="shared" si="5"/>
        <v>107</v>
      </c>
      <c r="U110" t="str">
        <f>IF($T110&lt;=Z$4,INDEX(TypicalCriticalitiesMAHBarrier[Barrier Family Description],MATCH($T110,TypicalCriticalitiesMAHBarrier[Barrier Family ID],0)),"")</f>
        <v/>
      </c>
      <c r="V110" t="str">
        <f ca="1">IF($T110&lt;=AA$4,INDEX(TypicalCriticalitiesMAHBarrier[Typical Components],MATCH($T110,TypicalCriticalitiesMAHBarrier[Column2],0)),"")</f>
        <v/>
      </c>
      <c r="W110" t="str">
        <f ca="1">IF($T110&lt;=AA$4,INDEX(TypicalCriticalitiesMAHBarrier[Typical Criticality],MATCH($T110,TypicalCriticalitiesMAHBarrier[Column2],0)),"")</f>
        <v/>
      </c>
      <c r="AE110" s="44"/>
      <c r="AF110" s="44"/>
      <c r="AG110" s="44"/>
      <c r="AH110" s="44"/>
      <c r="AI110" s="44"/>
      <c r="AJ110" s="44"/>
    </row>
    <row r="111" spans="14:36" x14ac:dyDescent="0.25">
      <c r="N111" t="s">
        <v>335</v>
      </c>
      <c r="O111" t="s">
        <v>336</v>
      </c>
      <c r="P111" t="s">
        <v>337</v>
      </c>
      <c r="Q111" t="s">
        <v>0</v>
      </c>
      <c r="R111">
        <f t="shared" si="3"/>
        <v>12</v>
      </c>
      <c r="S111">
        <f t="shared" ca="1" si="4"/>
        <v>0</v>
      </c>
      <c r="T111">
        <f t="shared" si="5"/>
        <v>108</v>
      </c>
      <c r="U111" t="str">
        <f>IF($T111&lt;=Z$4,INDEX(TypicalCriticalitiesMAHBarrier[Barrier Family Description],MATCH($T111,TypicalCriticalitiesMAHBarrier[Barrier Family ID],0)),"")</f>
        <v/>
      </c>
      <c r="V111" t="str">
        <f ca="1">IF($T111&lt;=AA$4,INDEX(TypicalCriticalitiesMAHBarrier[Typical Components],MATCH($T111,TypicalCriticalitiesMAHBarrier[Column2],0)),"")</f>
        <v/>
      </c>
      <c r="W111" t="str">
        <f ca="1">IF($T111&lt;=AA$4,INDEX(TypicalCriticalitiesMAHBarrier[Typical Criticality],MATCH($T111,TypicalCriticalitiesMAHBarrier[Column2],0)),"")</f>
        <v/>
      </c>
      <c r="AE111" s="44"/>
      <c r="AF111" s="44"/>
      <c r="AG111" s="44"/>
      <c r="AH111" s="44"/>
      <c r="AI111" s="44"/>
      <c r="AJ111" s="44"/>
    </row>
    <row r="112" spans="14:36" x14ac:dyDescent="0.25">
      <c r="N112" t="s">
        <v>335</v>
      </c>
      <c r="O112" t="s">
        <v>336</v>
      </c>
      <c r="P112" t="s">
        <v>338</v>
      </c>
      <c r="Q112" t="s">
        <v>1</v>
      </c>
      <c r="R112">
        <f t="shared" si="3"/>
        <v>12</v>
      </c>
      <c r="S112">
        <f t="shared" ca="1" si="4"/>
        <v>0</v>
      </c>
      <c r="T112">
        <f t="shared" si="5"/>
        <v>109</v>
      </c>
      <c r="U112" t="str">
        <f>IF($T112&lt;=Z$4,INDEX(TypicalCriticalitiesMAHBarrier[Barrier Family Description],MATCH($T112,TypicalCriticalitiesMAHBarrier[Barrier Family ID],0)),"")</f>
        <v/>
      </c>
      <c r="V112" t="str">
        <f ca="1">IF($T112&lt;=AA$4,INDEX(TypicalCriticalitiesMAHBarrier[Typical Components],MATCH($T112,TypicalCriticalitiesMAHBarrier[Column2],0)),"")</f>
        <v/>
      </c>
      <c r="W112" t="str">
        <f ca="1">IF($T112&lt;=AA$4,INDEX(TypicalCriticalitiesMAHBarrier[Typical Criticality],MATCH($T112,TypicalCriticalitiesMAHBarrier[Column2],0)),"")</f>
        <v/>
      </c>
      <c r="AE112" s="44"/>
      <c r="AF112" s="44"/>
      <c r="AG112" s="44"/>
      <c r="AH112" s="44"/>
      <c r="AI112" s="44"/>
      <c r="AJ112" s="44"/>
    </row>
    <row r="113" spans="14:36" x14ac:dyDescent="0.25">
      <c r="N113" t="s">
        <v>335</v>
      </c>
      <c r="O113" t="s">
        <v>336</v>
      </c>
      <c r="P113" t="s">
        <v>339</v>
      </c>
      <c r="Q113" t="s">
        <v>1</v>
      </c>
      <c r="R113">
        <f t="shared" si="3"/>
        <v>12</v>
      </c>
      <c r="S113">
        <f t="shared" ca="1" si="4"/>
        <v>0</v>
      </c>
      <c r="T113">
        <f t="shared" si="5"/>
        <v>110</v>
      </c>
      <c r="U113" t="str">
        <f>IF($T113&lt;=Z$4,INDEX(TypicalCriticalitiesMAHBarrier[Barrier Family Description],MATCH($T113,TypicalCriticalitiesMAHBarrier[Barrier Family ID],0)),"")</f>
        <v/>
      </c>
      <c r="V113" t="str">
        <f ca="1">IF($T113&lt;=AA$4,INDEX(TypicalCriticalitiesMAHBarrier[Typical Components],MATCH($T113,TypicalCriticalitiesMAHBarrier[Column2],0)),"")</f>
        <v/>
      </c>
      <c r="W113" t="str">
        <f ca="1">IF($T113&lt;=AA$4,INDEX(TypicalCriticalitiesMAHBarrier[Typical Criticality],MATCH($T113,TypicalCriticalitiesMAHBarrier[Column2],0)),"")</f>
        <v/>
      </c>
      <c r="AE113" s="44"/>
      <c r="AF113" s="44"/>
      <c r="AG113" s="44"/>
      <c r="AH113" s="44"/>
      <c r="AI113" s="44"/>
      <c r="AJ113" s="44"/>
    </row>
    <row r="114" spans="14:36" x14ac:dyDescent="0.25">
      <c r="N114" t="s">
        <v>335</v>
      </c>
      <c r="O114" t="s">
        <v>336</v>
      </c>
      <c r="P114" t="s">
        <v>340</v>
      </c>
      <c r="Q114" t="s">
        <v>1</v>
      </c>
      <c r="R114">
        <f t="shared" si="3"/>
        <v>12</v>
      </c>
      <c r="S114">
        <f t="shared" ca="1" si="4"/>
        <v>0</v>
      </c>
      <c r="T114">
        <f t="shared" si="5"/>
        <v>111</v>
      </c>
      <c r="U114" t="str">
        <f>IF($T114&lt;=Z$4,INDEX(TypicalCriticalitiesMAHBarrier[Barrier Family Description],MATCH($T114,TypicalCriticalitiesMAHBarrier[Barrier Family ID],0)),"")</f>
        <v/>
      </c>
      <c r="V114" t="str">
        <f ca="1">IF($T114&lt;=AA$4,INDEX(TypicalCriticalitiesMAHBarrier[Typical Components],MATCH($T114,TypicalCriticalitiesMAHBarrier[Column2],0)),"")</f>
        <v/>
      </c>
      <c r="W114" t="str">
        <f ca="1">IF($T114&lt;=AA$4,INDEX(TypicalCriticalitiesMAHBarrier[Typical Criticality],MATCH($T114,TypicalCriticalitiesMAHBarrier[Column2],0)),"")</f>
        <v/>
      </c>
      <c r="AE114" s="44"/>
      <c r="AF114" s="44"/>
      <c r="AG114" s="44"/>
      <c r="AH114" s="44"/>
      <c r="AI114" s="44"/>
      <c r="AJ114" s="44"/>
    </row>
    <row r="115" spans="14:36" x14ac:dyDescent="0.25">
      <c r="N115" t="s">
        <v>335</v>
      </c>
      <c r="O115" t="s">
        <v>336</v>
      </c>
      <c r="P115" t="s">
        <v>341</v>
      </c>
      <c r="Q115" t="s">
        <v>0</v>
      </c>
      <c r="R115">
        <f t="shared" si="3"/>
        <v>12</v>
      </c>
      <c r="S115">
        <f t="shared" ca="1" si="4"/>
        <v>0</v>
      </c>
      <c r="T115">
        <f t="shared" si="5"/>
        <v>112</v>
      </c>
      <c r="U115" t="str">
        <f>IF($T115&lt;=Z$4,INDEX(TypicalCriticalitiesMAHBarrier[Barrier Family Description],MATCH($T115,TypicalCriticalitiesMAHBarrier[Barrier Family ID],0)),"")</f>
        <v/>
      </c>
      <c r="V115" t="str">
        <f ca="1">IF($T115&lt;=AA$4,INDEX(TypicalCriticalitiesMAHBarrier[Typical Components],MATCH($T115,TypicalCriticalitiesMAHBarrier[Column2],0)),"")</f>
        <v/>
      </c>
      <c r="W115" t="str">
        <f ca="1">IF($T115&lt;=AA$4,INDEX(TypicalCriticalitiesMAHBarrier[Typical Criticality],MATCH($T115,TypicalCriticalitiesMAHBarrier[Column2],0)),"")</f>
        <v/>
      </c>
      <c r="AE115" s="44"/>
      <c r="AF115" s="44"/>
      <c r="AG115" s="44"/>
      <c r="AH115" s="44"/>
      <c r="AI115" s="44"/>
      <c r="AJ115" s="44"/>
    </row>
    <row r="116" spans="14:36" x14ac:dyDescent="0.25">
      <c r="N116" t="s">
        <v>335</v>
      </c>
      <c r="O116" t="s">
        <v>336</v>
      </c>
      <c r="P116" t="s">
        <v>342</v>
      </c>
      <c r="Q116" t="s">
        <v>1</v>
      </c>
      <c r="R116">
        <f t="shared" si="3"/>
        <v>12</v>
      </c>
      <c r="S116">
        <f t="shared" ca="1" si="4"/>
        <v>0</v>
      </c>
      <c r="T116">
        <f t="shared" si="5"/>
        <v>113</v>
      </c>
      <c r="U116" t="str">
        <f>IF($T116&lt;=Z$4,INDEX(TypicalCriticalitiesMAHBarrier[Barrier Family Description],MATCH($T116,TypicalCriticalitiesMAHBarrier[Barrier Family ID],0)),"")</f>
        <v/>
      </c>
      <c r="V116" t="str">
        <f ca="1">IF($T116&lt;=AA$4,INDEX(TypicalCriticalitiesMAHBarrier[Typical Components],MATCH($T116,TypicalCriticalitiesMAHBarrier[Column2],0)),"")</f>
        <v/>
      </c>
      <c r="W116" t="str">
        <f ca="1">IF($T116&lt;=AA$4,INDEX(TypicalCriticalitiesMAHBarrier[Typical Criticality],MATCH($T116,TypicalCriticalitiesMAHBarrier[Column2],0)),"")</f>
        <v/>
      </c>
      <c r="AE116" s="44"/>
      <c r="AF116" s="44"/>
      <c r="AG116" s="44"/>
      <c r="AH116" s="44"/>
      <c r="AI116" s="44"/>
      <c r="AJ116" s="44"/>
    </row>
    <row r="117" spans="14:36" x14ac:dyDescent="0.25">
      <c r="N117" t="s">
        <v>335</v>
      </c>
      <c r="O117" t="s">
        <v>336</v>
      </c>
      <c r="P117" t="s">
        <v>343</v>
      </c>
      <c r="Q117" t="s">
        <v>0</v>
      </c>
      <c r="R117">
        <f t="shared" si="3"/>
        <v>12</v>
      </c>
      <c r="S117">
        <f t="shared" ca="1" si="4"/>
        <v>0</v>
      </c>
      <c r="T117">
        <f t="shared" si="5"/>
        <v>114</v>
      </c>
      <c r="U117" t="str">
        <f>IF($T117&lt;=Z$4,INDEX(TypicalCriticalitiesMAHBarrier[Barrier Family Description],MATCH($T117,TypicalCriticalitiesMAHBarrier[Barrier Family ID],0)),"")</f>
        <v/>
      </c>
      <c r="V117" t="str">
        <f ca="1">IF($T117&lt;=AA$4,INDEX(TypicalCriticalitiesMAHBarrier[Typical Components],MATCH($T117,TypicalCriticalitiesMAHBarrier[Column2],0)),"")</f>
        <v/>
      </c>
      <c r="W117" t="str">
        <f ca="1">IF($T117&lt;=AA$4,INDEX(TypicalCriticalitiesMAHBarrier[Typical Criticality],MATCH($T117,TypicalCriticalitiesMAHBarrier[Column2],0)),"")</f>
        <v/>
      </c>
      <c r="AE117" s="44"/>
      <c r="AF117" s="44"/>
      <c r="AG117" s="44"/>
      <c r="AH117" s="44"/>
      <c r="AI117" s="44"/>
      <c r="AJ117" s="44"/>
    </row>
    <row r="118" spans="14:36" x14ac:dyDescent="0.25">
      <c r="N118" t="s">
        <v>335</v>
      </c>
      <c r="O118" t="s">
        <v>336</v>
      </c>
      <c r="P118" t="s">
        <v>344</v>
      </c>
      <c r="Q118" t="s">
        <v>0</v>
      </c>
      <c r="R118">
        <f t="shared" si="3"/>
        <v>12</v>
      </c>
      <c r="S118">
        <f t="shared" ca="1" si="4"/>
        <v>0</v>
      </c>
      <c r="T118">
        <f t="shared" si="5"/>
        <v>115</v>
      </c>
      <c r="U118" t="str">
        <f>IF($T118&lt;=Z$4,INDEX(TypicalCriticalitiesMAHBarrier[Barrier Family Description],MATCH($T118,TypicalCriticalitiesMAHBarrier[Barrier Family ID],0)),"")</f>
        <v/>
      </c>
      <c r="V118" t="str">
        <f ca="1">IF($T118&lt;=AA$4,INDEX(TypicalCriticalitiesMAHBarrier[Typical Components],MATCH($T118,TypicalCriticalitiesMAHBarrier[Column2],0)),"")</f>
        <v/>
      </c>
      <c r="W118" t="str">
        <f ca="1">IF($T118&lt;=AA$4,INDEX(TypicalCriticalitiesMAHBarrier[Typical Criticality],MATCH($T118,TypicalCriticalitiesMAHBarrier[Column2],0)),"")</f>
        <v/>
      </c>
      <c r="AE118" s="44"/>
      <c r="AF118" s="44"/>
      <c r="AG118" s="44"/>
      <c r="AH118" s="44"/>
      <c r="AI118" s="44"/>
      <c r="AJ118" s="44"/>
    </row>
    <row r="119" spans="14:36" x14ac:dyDescent="0.25">
      <c r="N119" t="s">
        <v>335</v>
      </c>
      <c r="O119" t="s">
        <v>336</v>
      </c>
      <c r="P119" t="s">
        <v>345</v>
      </c>
      <c r="Q119" t="s">
        <v>0</v>
      </c>
      <c r="R119">
        <f t="shared" si="3"/>
        <v>12</v>
      </c>
      <c r="S119">
        <f t="shared" ca="1" si="4"/>
        <v>0</v>
      </c>
      <c r="T119">
        <f t="shared" si="5"/>
        <v>116</v>
      </c>
      <c r="U119" t="str">
        <f>IF($T119&lt;=Z$4,INDEX(TypicalCriticalitiesMAHBarrier[Barrier Family Description],MATCH($T119,TypicalCriticalitiesMAHBarrier[Barrier Family ID],0)),"")</f>
        <v/>
      </c>
      <c r="V119" t="str">
        <f ca="1">IF($T119&lt;=AA$4,INDEX(TypicalCriticalitiesMAHBarrier[Typical Components],MATCH($T119,TypicalCriticalitiesMAHBarrier[Column2],0)),"")</f>
        <v/>
      </c>
      <c r="W119" t="str">
        <f ca="1">IF($T119&lt;=AA$4,INDEX(TypicalCriticalitiesMAHBarrier[Typical Criticality],MATCH($T119,TypicalCriticalitiesMAHBarrier[Column2],0)),"")</f>
        <v/>
      </c>
      <c r="AE119" s="44"/>
      <c r="AF119" s="44"/>
      <c r="AG119" s="44"/>
      <c r="AH119" s="44"/>
      <c r="AI119" s="44"/>
      <c r="AJ119" s="44"/>
    </row>
    <row r="120" spans="14:36" x14ac:dyDescent="0.25">
      <c r="N120" t="s">
        <v>335</v>
      </c>
      <c r="O120" t="s">
        <v>336</v>
      </c>
      <c r="P120" t="s">
        <v>346</v>
      </c>
      <c r="Q120" t="s">
        <v>0</v>
      </c>
      <c r="R120">
        <f t="shared" si="3"/>
        <v>12</v>
      </c>
      <c r="S120">
        <f t="shared" ca="1" si="4"/>
        <v>0</v>
      </c>
      <c r="T120">
        <f t="shared" si="5"/>
        <v>117</v>
      </c>
      <c r="U120" t="str">
        <f>IF($T120&lt;=Z$4,INDEX(TypicalCriticalitiesMAHBarrier[Barrier Family Description],MATCH($T120,TypicalCriticalitiesMAHBarrier[Barrier Family ID],0)),"")</f>
        <v/>
      </c>
      <c r="V120" t="str">
        <f ca="1">IF($T120&lt;=AA$4,INDEX(TypicalCriticalitiesMAHBarrier[Typical Components],MATCH($T120,TypicalCriticalitiesMAHBarrier[Column2],0)),"")</f>
        <v/>
      </c>
      <c r="W120" t="str">
        <f ca="1">IF($T120&lt;=AA$4,INDEX(TypicalCriticalitiesMAHBarrier[Typical Criticality],MATCH($T120,TypicalCriticalitiesMAHBarrier[Column2],0)),"")</f>
        <v/>
      </c>
      <c r="AE120" s="44"/>
      <c r="AF120" s="44"/>
      <c r="AG120" s="44"/>
      <c r="AH120" s="44"/>
      <c r="AI120" s="44"/>
      <c r="AJ120" s="44"/>
    </row>
    <row r="121" spans="14:36" x14ac:dyDescent="0.25">
      <c r="N121" t="s">
        <v>335</v>
      </c>
      <c r="O121" t="s">
        <v>336</v>
      </c>
      <c r="P121" t="s">
        <v>347</v>
      </c>
      <c r="Q121" t="s">
        <v>0</v>
      </c>
      <c r="R121">
        <f t="shared" si="3"/>
        <v>12</v>
      </c>
      <c r="S121">
        <f t="shared" ca="1" si="4"/>
        <v>0</v>
      </c>
      <c r="T121">
        <f t="shared" si="5"/>
        <v>118</v>
      </c>
      <c r="U121" t="str">
        <f>IF($T121&lt;=Z$4,INDEX(TypicalCriticalitiesMAHBarrier[Barrier Family Description],MATCH($T121,TypicalCriticalitiesMAHBarrier[Barrier Family ID],0)),"")</f>
        <v/>
      </c>
      <c r="V121" t="str">
        <f ca="1">IF($T121&lt;=AA$4,INDEX(TypicalCriticalitiesMAHBarrier[Typical Components],MATCH($T121,TypicalCriticalitiesMAHBarrier[Column2],0)),"")</f>
        <v/>
      </c>
      <c r="W121" t="str">
        <f ca="1">IF($T121&lt;=AA$4,INDEX(TypicalCriticalitiesMAHBarrier[Typical Criticality],MATCH($T121,TypicalCriticalitiesMAHBarrier[Column2],0)),"")</f>
        <v/>
      </c>
      <c r="AE121" s="44"/>
      <c r="AF121" s="44"/>
      <c r="AG121" s="44"/>
      <c r="AH121" s="44"/>
      <c r="AI121" s="44"/>
      <c r="AJ121" s="44"/>
    </row>
    <row r="122" spans="14:36" x14ac:dyDescent="0.25">
      <c r="N122" t="s">
        <v>335</v>
      </c>
      <c r="O122" t="s">
        <v>336</v>
      </c>
      <c r="P122" t="s">
        <v>348</v>
      </c>
      <c r="Q122" t="s">
        <v>1</v>
      </c>
      <c r="R122">
        <f t="shared" si="3"/>
        <v>12</v>
      </c>
      <c r="S122">
        <f t="shared" ca="1" si="4"/>
        <v>0</v>
      </c>
      <c r="T122">
        <f t="shared" si="5"/>
        <v>119</v>
      </c>
      <c r="U122" t="str">
        <f>IF($T122&lt;=Z$4,INDEX(TypicalCriticalitiesMAHBarrier[Barrier Family Description],MATCH($T122,TypicalCriticalitiesMAHBarrier[Barrier Family ID],0)),"")</f>
        <v/>
      </c>
      <c r="V122" t="str">
        <f ca="1">IF($T122&lt;=AA$4,INDEX(TypicalCriticalitiesMAHBarrier[Typical Components],MATCH($T122,TypicalCriticalitiesMAHBarrier[Column2],0)),"")</f>
        <v/>
      </c>
      <c r="W122" t="str">
        <f ca="1">IF($T122&lt;=AA$4,INDEX(TypicalCriticalitiesMAHBarrier[Typical Criticality],MATCH($T122,TypicalCriticalitiesMAHBarrier[Column2],0)),"")</f>
        <v/>
      </c>
      <c r="AE122" s="44"/>
      <c r="AF122" s="44"/>
      <c r="AG122" s="44"/>
      <c r="AH122" s="44"/>
      <c r="AI122" s="44"/>
      <c r="AJ122" s="44"/>
    </row>
    <row r="123" spans="14:36" x14ac:dyDescent="0.25">
      <c r="N123" t="s">
        <v>335</v>
      </c>
      <c r="O123" t="s">
        <v>349</v>
      </c>
      <c r="P123" t="s">
        <v>350</v>
      </c>
      <c r="Q123" t="s">
        <v>1</v>
      </c>
      <c r="R123">
        <f t="shared" si="3"/>
        <v>13</v>
      </c>
      <c r="S123">
        <f t="shared" ca="1" si="4"/>
        <v>0</v>
      </c>
      <c r="T123">
        <f t="shared" si="5"/>
        <v>120</v>
      </c>
      <c r="U123" t="str">
        <f>IF($T123&lt;=Z$4,INDEX(TypicalCriticalitiesMAHBarrier[Barrier Family Description],MATCH($T123,TypicalCriticalitiesMAHBarrier[Barrier Family ID],0)),"")</f>
        <v/>
      </c>
      <c r="V123" t="str">
        <f ca="1">IF($T123&lt;=AA$4,INDEX(TypicalCriticalitiesMAHBarrier[Typical Components],MATCH($T123,TypicalCriticalitiesMAHBarrier[Column2],0)),"")</f>
        <v/>
      </c>
      <c r="W123" t="str">
        <f ca="1">IF($T123&lt;=AA$4,INDEX(TypicalCriticalitiesMAHBarrier[Typical Criticality],MATCH($T123,TypicalCriticalitiesMAHBarrier[Column2],0)),"")</f>
        <v/>
      </c>
      <c r="AE123" s="44"/>
      <c r="AF123" s="44"/>
      <c r="AG123" s="44"/>
      <c r="AH123" s="44"/>
      <c r="AI123" s="44"/>
      <c r="AJ123" s="44"/>
    </row>
    <row r="124" spans="14:36" x14ac:dyDescent="0.25">
      <c r="N124" t="s">
        <v>335</v>
      </c>
      <c r="O124" t="s">
        <v>349</v>
      </c>
      <c r="P124" t="s">
        <v>351</v>
      </c>
      <c r="Q124" t="s">
        <v>0</v>
      </c>
      <c r="R124">
        <f t="shared" si="3"/>
        <v>13</v>
      </c>
      <c r="S124">
        <f t="shared" ca="1" si="4"/>
        <v>0</v>
      </c>
      <c r="T124">
        <f t="shared" si="5"/>
        <v>121</v>
      </c>
      <c r="U124" t="str">
        <f>IF($T124&lt;=Z$4,INDEX(TypicalCriticalitiesMAHBarrier[Barrier Family Description],MATCH($T124,TypicalCriticalitiesMAHBarrier[Barrier Family ID],0)),"")</f>
        <v/>
      </c>
      <c r="V124" t="str">
        <f ca="1">IF($T124&lt;=AA$4,INDEX(TypicalCriticalitiesMAHBarrier[Typical Components],MATCH($T124,TypicalCriticalitiesMAHBarrier[Column2],0)),"")</f>
        <v/>
      </c>
      <c r="W124" t="str">
        <f ca="1">IF($T124&lt;=AA$4,INDEX(TypicalCriticalitiesMAHBarrier[Typical Criticality],MATCH($T124,TypicalCriticalitiesMAHBarrier[Column2],0)),"")</f>
        <v/>
      </c>
      <c r="AE124" s="44"/>
      <c r="AF124" s="44"/>
      <c r="AG124" s="44"/>
      <c r="AH124" s="44"/>
      <c r="AI124" s="44"/>
      <c r="AJ124" s="44"/>
    </row>
    <row r="125" spans="14:36" x14ac:dyDescent="0.25">
      <c r="N125" t="s">
        <v>335</v>
      </c>
      <c r="O125" t="s">
        <v>352</v>
      </c>
      <c r="P125" t="s">
        <v>353</v>
      </c>
      <c r="Q125" t="s">
        <v>1</v>
      </c>
      <c r="R125">
        <f t="shared" si="3"/>
        <v>14</v>
      </c>
      <c r="S125">
        <f t="shared" ca="1" si="4"/>
        <v>0</v>
      </c>
      <c r="T125">
        <f t="shared" si="5"/>
        <v>122</v>
      </c>
      <c r="U125" t="str">
        <f>IF($T125&lt;=Z$4,INDEX(TypicalCriticalitiesMAHBarrier[Barrier Family Description],MATCH($T125,TypicalCriticalitiesMAHBarrier[Barrier Family ID],0)),"")</f>
        <v/>
      </c>
      <c r="V125" t="str">
        <f ca="1">IF($T125&lt;=AA$4,INDEX(TypicalCriticalitiesMAHBarrier[Typical Components],MATCH($T125,TypicalCriticalitiesMAHBarrier[Column2],0)),"")</f>
        <v/>
      </c>
      <c r="W125" t="str">
        <f ca="1">IF($T125&lt;=AA$4,INDEX(TypicalCriticalitiesMAHBarrier[Typical Criticality],MATCH($T125,TypicalCriticalitiesMAHBarrier[Column2],0)),"")</f>
        <v/>
      </c>
      <c r="AE125" s="44"/>
      <c r="AF125" s="44"/>
      <c r="AG125" s="44"/>
      <c r="AH125" s="44"/>
      <c r="AI125" s="44"/>
      <c r="AJ125" s="44"/>
    </row>
    <row r="126" spans="14:36" x14ac:dyDescent="0.25">
      <c r="N126" t="s">
        <v>335</v>
      </c>
      <c r="O126" t="s">
        <v>352</v>
      </c>
      <c r="P126" t="s">
        <v>338</v>
      </c>
      <c r="Q126" t="s">
        <v>1</v>
      </c>
      <c r="R126">
        <f t="shared" si="3"/>
        <v>14</v>
      </c>
      <c r="S126">
        <f t="shared" ca="1" si="4"/>
        <v>0</v>
      </c>
      <c r="T126">
        <f t="shared" si="5"/>
        <v>123</v>
      </c>
      <c r="U126" t="str">
        <f>IF($T126&lt;=Z$4,INDEX(TypicalCriticalitiesMAHBarrier[Barrier Family Description],MATCH($T126,TypicalCriticalitiesMAHBarrier[Barrier Family ID],0)),"")</f>
        <v/>
      </c>
      <c r="V126" t="str">
        <f ca="1">IF($T126&lt;=AA$4,INDEX(TypicalCriticalitiesMAHBarrier[Typical Components],MATCH($T126,TypicalCriticalitiesMAHBarrier[Column2],0)),"")</f>
        <v/>
      </c>
      <c r="W126" t="str">
        <f ca="1">IF($T126&lt;=AA$4,INDEX(TypicalCriticalitiesMAHBarrier[Typical Criticality],MATCH($T126,TypicalCriticalitiesMAHBarrier[Column2],0)),"")</f>
        <v/>
      </c>
      <c r="AE126" s="44"/>
      <c r="AF126" s="44"/>
      <c r="AG126" s="44"/>
      <c r="AH126" s="44"/>
      <c r="AI126" s="44"/>
      <c r="AJ126" s="44"/>
    </row>
    <row r="127" spans="14:36" x14ac:dyDescent="0.25">
      <c r="N127" t="s">
        <v>335</v>
      </c>
      <c r="O127" t="s">
        <v>352</v>
      </c>
      <c r="P127" t="s">
        <v>354</v>
      </c>
      <c r="Q127" t="s">
        <v>1</v>
      </c>
      <c r="R127">
        <f t="shared" si="3"/>
        <v>14</v>
      </c>
      <c r="S127">
        <f t="shared" ca="1" si="4"/>
        <v>0</v>
      </c>
      <c r="T127">
        <f t="shared" si="5"/>
        <v>124</v>
      </c>
      <c r="U127" t="str">
        <f>IF($T127&lt;=Z$4,INDEX(TypicalCriticalitiesMAHBarrier[Barrier Family Description],MATCH($T127,TypicalCriticalitiesMAHBarrier[Barrier Family ID],0)),"")</f>
        <v/>
      </c>
      <c r="V127" t="str">
        <f ca="1">IF($T127&lt;=AA$4,INDEX(TypicalCriticalitiesMAHBarrier[Typical Components],MATCH($T127,TypicalCriticalitiesMAHBarrier[Column2],0)),"")</f>
        <v/>
      </c>
      <c r="W127" t="str">
        <f ca="1">IF($T127&lt;=AA$4,INDEX(TypicalCriticalitiesMAHBarrier[Typical Criticality],MATCH($T127,TypicalCriticalitiesMAHBarrier[Column2],0)),"")</f>
        <v/>
      </c>
      <c r="AE127" s="44"/>
      <c r="AF127" s="44"/>
      <c r="AG127" s="44"/>
      <c r="AH127" s="44"/>
      <c r="AI127" s="44"/>
      <c r="AJ127" s="44"/>
    </row>
    <row r="128" spans="14:36" x14ac:dyDescent="0.25">
      <c r="N128" t="s">
        <v>335</v>
      </c>
      <c r="O128" t="s">
        <v>352</v>
      </c>
      <c r="P128" t="s">
        <v>342</v>
      </c>
      <c r="Q128" t="s">
        <v>1</v>
      </c>
      <c r="R128">
        <f t="shared" si="3"/>
        <v>14</v>
      </c>
      <c r="S128">
        <f t="shared" ca="1" si="4"/>
        <v>0</v>
      </c>
      <c r="T128">
        <f t="shared" si="5"/>
        <v>125</v>
      </c>
      <c r="U128" t="str">
        <f>IF($T128&lt;=Z$4,INDEX(TypicalCriticalitiesMAHBarrier[Barrier Family Description],MATCH($T128,TypicalCriticalitiesMAHBarrier[Barrier Family ID],0)),"")</f>
        <v/>
      </c>
      <c r="V128" t="str">
        <f ca="1">IF($T128&lt;=AA$4,INDEX(TypicalCriticalitiesMAHBarrier[Typical Components],MATCH($T128,TypicalCriticalitiesMAHBarrier[Column2],0)),"")</f>
        <v/>
      </c>
      <c r="W128" t="str">
        <f ca="1">IF($T128&lt;=AA$4,INDEX(TypicalCriticalitiesMAHBarrier[Typical Criticality],MATCH($T128,TypicalCriticalitiesMAHBarrier[Column2],0)),"")</f>
        <v/>
      </c>
      <c r="AE128" s="44"/>
      <c r="AF128" s="44"/>
      <c r="AG128" s="44"/>
      <c r="AH128" s="44"/>
      <c r="AI128" s="44"/>
      <c r="AJ128" s="44"/>
    </row>
    <row r="129" spans="14:36" x14ac:dyDescent="0.25">
      <c r="N129" t="s">
        <v>335</v>
      </c>
      <c r="O129" t="s">
        <v>352</v>
      </c>
      <c r="P129" t="s">
        <v>355</v>
      </c>
      <c r="Q129" t="s">
        <v>0</v>
      </c>
      <c r="R129">
        <f t="shared" si="3"/>
        <v>14</v>
      </c>
      <c r="S129">
        <f t="shared" ca="1" si="4"/>
        <v>0</v>
      </c>
      <c r="T129">
        <f t="shared" si="5"/>
        <v>126</v>
      </c>
      <c r="U129" t="str">
        <f>IF($T129&lt;=Z$4,INDEX(TypicalCriticalitiesMAHBarrier[Barrier Family Description],MATCH($T129,TypicalCriticalitiesMAHBarrier[Barrier Family ID],0)),"")</f>
        <v/>
      </c>
      <c r="V129" t="str">
        <f ca="1">IF($T129&lt;=AA$4,INDEX(TypicalCriticalitiesMAHBarrier[Typical Components],MATCH($T129,TypicalCriticalitiesMAHBarrier[Column2],0)),"")</f>
        <v/>
      </c>
      <c r="W129" t="str">
        <f ca="1">IF($T129&lt;=AA$4,INDEX(TypicalCriticalitiesMAHBarrier[Typical Criticality],MATCH($T129,TypicalCriticalitiesMAHBarrier[Column2],0)),"")</f>
        <v/>
      </c>
      <c r="AE129" s="44"/>
      <c r="AF129" s="44"/>
      <c r="AG129" s="44"/>
      <c r="AH129" s="44"/>
      <c r="AI129" s="44"/>
      <c r="AJ129" s="44"/>
    </row>
    <row r="130" spans="14:36" x14ac:dyDescent="0.25">
      <c r="N130" t="s">
        <v>335</v>
      </c>
      <c r="O130" t="s">
        <v>352</v>
      </c>
      <c r="P130" t="s">
        <v>356</v>
      </c>
      <c r="Q130" t="s">
        <v>1</v>
      </c>
      <c r="R130">
        <f t="shared" si="3"/>
        <v>14</v>
      </c>
      <c r="S130">
        <f t="shared" ca="1" si="4"/>
        <v>0</v>
      </c>
      <c r="T130">
        <f t="shared" si="5"/>
        <v>127</v>
      </c>
      <c r="U130" t="str">
        <f>IF($T130&lt;=Z$4,INDEX(TypicalCriticalitiesMAHBarrier[Barrier Family Description],MATCH($T130,TypicalCriticalitiesMAHBarrier[Barrier Family ID],0)),"")</f>
        <v/>
      </c>
      <c r="V130" t="str">
        <f ca="1">IF($T130&lt;=AA$4,INDEX(TypicalCriticalitiesMAHBarrier[Typical Components],MATCH($T130,TypicalCriticalitiesMAHBarrier[Column2],0)),"")</f>
        <v/>
      </c>
      <c r="W130" t="str">
        <f ca="1">IF($T130&lt;=AA$4,INDEX(TypicalCriticalitiesMAHBarrier[Typical Criticality],MATCH($T130,TypicalCriticalitiesMAHBarrier[Column2],0)),"")</f>
        <v/>
      </c>
      <c r="AE130" s="44"/>
      <c r="AF130" s="44"/>
      <c r="AG130" s="44"/>
      <c r="AH130" s="44"/>
      <c r="AI130" s="44"/>
      <c r="AJ130" s="44"/>
    </row>
    <row r="131" spans="14:36" x14ac:dyDescent="0.25">
      <c r="N131" t="s">
        <v>357</v>
      </c>
      <c r="O131" t="s">
        <v>358</v>
      </c>
      <c r="P131" t="s">
        <v>359</v>
      </c>
      <c r="Q131" t="s">
        <v>0</v>
      </c>
      <c r="R131">
        <f t="shared" si="3"/>
        <v>15</v>
      </c>
      <c r="S131">
        <f t="shared" ca="1" si="4"/>
        <v>0</v>
      </c>
      <c r="T131">
        <f t="shared" si="5"/>
        <v>128</v>
      </c>
      <c r="U131" t="str">
        <f>IF($T131&lt;=Z$4,INDEX(TypicalCriticalitiesMAHBarrier[Barrier Family Description],MATCH($T131,TypicalCriticalitiesMAHBarrier[Barrier Family ID],0)),"")</f>
        <v/>
      </c>
      <c r="V131" t="str">
        <f ca="1">IF($T131&lt;=AA$4,INDEX(TypicalCriticalitiesMAHBarrier[Typical Components],MATCH($T131,TypicalCriticalitiesMAHBarrier[Column2],0)),"")</f>
        <v/>
      </c>
      <c r="W131" t="str">
        <f ca="1">IF($T131&lt;=AA$4,INDEX(TypicalCriticalitiesMAHBarrier[Typical Criticality],MATCH($T131,TypicalCriticalitiesMAHBarrier[Column2],0)),"")</f>
        <v/>
      </c>
      <c r="AE131" s="44"/>
      <c r="AF131" s="44"/>
      <c r="AG131" s="44"/>
      <c r="AH131" s="44"/>
      <c r="AI131" s="44"/>
      <c r="AJ131" s="44"/>
    </row>
    <row r="132" spans="14:36" x14ac:dyDescent="0.25">
      <c r="N132" t="s">
        <v>357</v>
      </c>
      <c r="O132" t="s">
        <v>358</v>
      </c>
      <c r="P132" t="s">
        <v>360</v>
      </c>
      <c r="Q132" t="s">
        <v>0</v>
      </c>
      <c r="R132">
        <f t="shared" si="3"/>
        <v>15</v>
      </c>
      <c r="S132">
        <f t="shared" ca="1" si="4"/>
        <v>0</v>
      </c>
      <c r="T132">
        <f t="shared" si="5"/>
        <v>129</v>
      </c>
      <c r="U132" t="str">
        <f>IF($T132&lt;=Z$4,INDEX(TypicalCriticalitiesMAHBarrier[Barrier Family Description],MATCH($T132,TypicalCriticalitiesMAHBarrier[Barrier Family ID],0)),"")</f>
        <v/>
      </c>
      <c r="V132" t="str">
        <f ca="1">IF($T132&lt;=AA$4,INDEX(TypicalCriticalitiesMAHBarrier[Typical Components],MATCH($T132,TypicalCriticalitiesMAHBarrier[Column2],0)),"")</f>
        <v/>
      </c>
      <c r="W132" t="str">
        <f ca="1">IF($T132&lt;=AA$4,INDEX(TypicalCriticalitiesMAHBarrier[Typical Criticality],MATCH($T132,TypicalCriticalitiesMAHBarrier[Column2],0)),"")</f>
        <v/>
      </c>
      <c r="AE132" s="44"/>
      <c r="AF132" s="44"/>
      <c r="AG132" s="44"/>
      <c r="AH132" s="44"/>
      <c r="AI132" s="44"/>
      <c r="AJ132" s="44"/>
    </row>
    <row r="133" spans="14:36" x14ac:dyDescent="0.25">
      <c r="N133" t="s">
        <v>357</v>
      </c>
      <c r="O133" t="s">
        <v>358</v>
      </c>
      <c r="P133" t="s">
        <v>361</v>
      </c>
      <c r="Q133" t="s">
        <v>1</v>
      </c>
      <c r="R133">
        <f t="shared" ref="R133:R196" si="6">IF(AND(O133&lt;&gt;O132,O133&lt;&gt;""),R132+1,R132)</f>
        <v>15</v>
      </c>
      <c r="S133">
        <f t="shared" ref="S133:S196" ca="1" si="7">IF(R133=$Z$5,IF(AND(P133&lt;&gt;P132,P133&lt;&gt;""),S132+1,S132),S132)</f>
        <v>0</v>
      </c>
      <c r="T133">
        <f t="shared" ref="T133:T196" si="8">T132+1</f>
        <v>130</v>
      </c>
      <c r="U133" t="str">
        <f>IF($T133&lt;=Z$4,INDEX(TypicalCriticalitiesMAHBarrier[Barrier Family Description],MATCH($T133,TypicalCriticalitiesMAHBarrier[Barrier Family ID],0)),"")</f>
        <v/>
      </c>
      <c r="V133" t="str">
        <f ca="1">IF($T133&lt;=AA$4,INDEX(TypicalCriticalitiesMAHBarrier[Typical Components],MATCH($T133,TypicalCriticalitiesMAHBarrier[Column2],0)),"")</f>
        <v/>
      </c>
      <c r="W133" t="str">
        <f ca="1">IF($T133&lt;=AA$4,INDEX(TypicalCriticalitiesMAHBarrier[Typical Criticality],MATCH($T133,TypicalCriticalitiesMAHBarrier[Column2],0)),"")</f>
        <v/>
      </c>
      <c r="AE133" s="44"/>
      <c r="AF133" s="44"/>
      <c r="AG133" s="44"/>
      <c r="AH133" s="44"/>
      <c r="AI133" s="44"/>
      <c r="AJ133" s="44"/>
    </row>
    <row r="134" spans="14:36" x14ac:dyDescent="0.25">
      <c r="N134" t="s">
        <v>357</v>
      </c>
      <c r="O134" t="s">
        <v>358</v>
      </c>
      <c r="P134" t="s">
        <v>362</v>
      </c>
      <c r="Q134" t="s">
        <v>1</v>
      </c>
      <c r="R134">
        <f t="shared" si="6"/>
        <v>15</v>
      </c>
      <c r="S134">
        <f t="shared" ca="1" si="7"/>
        <v>0</v>
      </c>
      <c r="T134">
        <f t="shared" si="8"/>
        <v>131</v>
      </c>
      <c r="U134" t="str">
        <f>IF($T134&lt;=Z$4,INDEX(TypicalCriticalitiesMAHBarrier[Barrier Family Description],MATCH($T134,TypicalCriticalitiesMAHBarrier[Barrier Family ID],0)),"")</f>
        <v/>
      </c>
      <c r="V134" t="str">
        <f ca="1">IF($T134&lt;=AA$4,INDEX(TypicalCriticalitiesMAHBarrier[Typical Components],MATCH($T134,TypicalCriticalitiesMAHBarrier[Column2],0)),"")</f>
        <v/>
      </c>
      <c r="W134" t="str">
        <f ca="1">IF($T134&lt;=AA$4,INDEX(TypicalCriticalitiesMAHBarrier[Typical Criticality],MATCH($T134,TypicalCriticalitiesMAHBarrier[Column2],0)),"")</f>
        <v/>
      </c>
      <c r="AE134" s="44"/>
      <c r="AF134" s="44"/>
      <c r="AG134" s="44"/>
      <c r="AH134" s="44"/>
      <c r="AI134" s="44"/>
      <c r="AJ134" s="44"/>
    </row>
    <row r="135" spans="14:36" x14ac:dyDescent="0.25">
      <c r="N135" t="s">
        <v>357</v>
      </c>
      <c r="O135" t="s">
        <v>358</v>
      </c>
      <c r="P135" t="s">
        <v>363</v>
      </c>
      <c r="Q135" t="s">
        <v>0</v>
      </c>
      <c r="R135">
        <f t="shared" si="6"/>
        <v>15</v>
      </c>
      <c r="S135">
        <f t="shared" ca="1" si="7"/>
        <v>0</v>
      </c>
      <c r="T135">
        <f t="shared" si="8"/>
        <v>132</v>
      </c>
      <c r="U135" t="str">
        <f>IF($T135&lt;=Z$4,INDEX(TypicalCriticalitiesMAHBarrier[Barrier Family Description],MATCH($T135,TypicalCriticalitiesMAHBarrier[Barrier Family ID],0)),"")</f>
        <v/>
      </c>
      <c r="V135" t="str">
        <f ca="1">IF($T135&lt;=AA$4,INDEX(TypicalCriticalitiesMAHBarrier[Typical Components],MATCH($T135,TypicalCriticalitiesMAHBarrier[Column2],0)),"")</f>
        <v/>
      </c>
      <c r="W135" t="str">
        <f ca="1">IF($T135&lt;=AA$4,INDEX(TypicalCriticalitiesMAHBarrier[Typical Criticality],MATCH($T135,TypicalCriticalitiesMAHBarrier[Column2],0)),"")</f>
        <v/>
      </c>
      <c r="AE135" s="44"/>
      <c r="AF135" s="44"/>
      <c r="AG135" s="44"/>
      <c r="AH135" s="44"/>
      <c r="AI135" s="44"/>
      <c r="AJ135" s="44"/>
    </row>
    <row r="136" spans="14:36" x14ac:dyDescent="0.25">
      <c r="N136" t="s">
        <v>357</v>
      </c>
      <c r="O136" t="s">
        <v>358</v>
      </c>
      <c r="P136" t="s">
        <v>364</v>
      </c>
      <c r="Q136" t="s">
        <v>1</v>
      </c>
      <c r="R136">
        <f t="shared" si="6"/>
        <v>15</v>
      </c>
      <c r="S136">
        <f t="shared" ca="1" si="7"/>
        <v>0</v>
      </c>
      <c r="T136">
        <f t="shared" si="8"/>
        <v>133</v>
      </c>
      <c r="U136" t="str">
        <f>IF($T136&lt;=Z$4,INDEX(TypicalCriticalitiesMAHBarrier[Barrier Family Description],MATCH($T136,TypicalCriticalitiesMAHBarrier[Barrier Family ID],0)),"")</f>
        <v/>
      </c>
      <c r="V136" t="str">
        <f ca="1">IF($T136&lt;=AA$4,INDEX(TypicalCriticalitiesMAHBarrier[Typical Components],MATCH($T136,TypicalCriticalitiesMAHBarrier[Column2],0)),"")</f>
        <v/>
      </c>
      <c r="W136" t="str">
        <f ca="1">IF($T136&lt;=AA$4,INDEX(TypicalCriticalitiesMAHBarrier[Typical Criticality],MATCH($T136,TypicalCriticalitiesMAHBarrier[Column2],0)),"")</f>
        <v/>
      </c>
      <c r="AE136" s="44"/>
      <c r="AF136" s="44"/>
      <c r="AG136" s="44"/>
      <c r="AH136" s="44"/>
      <c r="AI136" s="44"/>
      <c r="AJ136" s="44"/>
    </row>
    <row r="137" spans="14:36" x14ac:dyDescent="0.25">
      <c r="N137" t="s">
        <v>357</v>
      </c>
      <c r="O137" t="s">
        <v>358</v>
      </c>
      <c r="P137" t="s">
        <v>365</v>
      </c>
      <c r="Q137" t="s">
        <v>0</v>
      </c>
      <c r="R137">
        <f t="shared" si="6"/>
        <v>15</v>
      </c>
      <c r="S137">
        <f t="shared" ca="1" si="7"/>
        <v>0</v>
      </c>
      <c r="T137">
        <f t="shared" si="8"/>
        <v>134</v>
      </c>
      <c r="U137" t="str">
        <f>IF($T137&lt;=Z$4,INDEX(TypicalCriticalitiesMAHBarrier[Barrier Family Description],MATCH($T137,TypicalCriticalitiesMAHBarrier[Barrier Family ID],0)),"")</f>
        <v/>
      </c>
      <c r="V137" t="str">
        <f ca="1">IF($T137&lt;=AA$4,INDEX(TypicalCriticalitiesMAHBarrier[Typical Components],MATCH($T137,TypicalCriticalitiesMAHBarrier[Column2],0)),"")</f>
        <v/>
      </c>
      <c r="W137" t="str">
        <f ca="1">IF($T137&lt;=AA$4,INDEX(TypicalCriticalitiesMAHBarrier[Typical Criticality],MATCH($T137,TypicalCriticalitiesMAHBarrier[Column2],0)),"")</f>
        <v/>
      </c>
      <c r="AE137" s="44"/>
      <c r="AF137" s="44"/>
      <c r="AG137" s="44"/>
      <c r="AH137" s="44"/>
      <c r="AI137" s="44"/>
      <c r="AJ137" s="44"/>
    </row>
    <row r="138" spans="14:36" x14ac:dyDescent="0.25">
      <c r="N138" t="s">
        <v>357</v>
      </c>
      <c r="O138" t="s">
        <v>358</v>
      </c>
      <c r="P138" t="s">
        <v>366</v>
      </c>
      <c r="Q138" t="s">
        <v>1</v>
      </c>
      <c r="R138">
        <f t="shared" si="6"/>
        <v>15</v>
      </c>
      <c r="S138">
        <f t="shared" ca="1" si="7"/>
        <v>0</v>
      </c>
      <c r="T138">
        <f t="shared" si="8"/>
        <v>135</v>
      </c>
      <c r="U138" t="str">
        <f>IF($T138&lt;=Z$4,INDEX(TypicalCriticalitiesMAHBarrier[Barrier Family Description],MATCH($T138,TypicalCriticalitiesMAHBarrier[Barrier Family ID],0)),"")</f>
        <v/>
      </c>
      <c r="V138" t="str">
        <f ca="1">IF($T138&lt;=AA$4,INDEX(TypicalCriticalitiesMAHBarrier[Typical Components],MATCH($T138,TypicalCriticalitiesMAHBarrier[Column2],0)),"")</f>
        <v/>
      </c>
      <c r="W138" t="str">
        <f ca="1">IF($T138&lt;=AA$4,INDEX(TypicalCriticalitiesMAHBarrier[Typical Criticality],MATCH($T138,TypicalCriticalitiesMAHBarrier[Column2],0)),"")</f>
        <v/>
      </c>
      <c r="AE138" s="44"/>
      <c r="AF138" s="44"/>
      <c r="AG138" s="44"/>
      <c r="AH138" s="44"/>
      <c r="AI138" s="44"/>
      <c r="AJ138" s="44"/>
    </row>
    <row r="139" spans="14:36" x14ac:dyDescent="0.25">
      <c r="N139" t="s">
        <v>357</v>
      </c>
      <c r="O139" t="s">
        <v>358</v>
      </c>
      <c r="P139" t="s">
        <v>367</v>
      </c>
      <c r="Q139" t="s">
        <v>0</v>
      </c>
      <c r="R139">
        <f t="shared" si="6"/>
        <v>15</v>
      </c>
      <c r="S139">
        <f t="shared" ca="1" si="7"/>
        <v>0</v>
      </c>
      <c r="T139">
        <f t="shared" si="8"/>
        <v>136</v>
      </c>
      <c r="U139" t="str">
        <f>IF($T139&lt;=Z$4,INDEX(TypicalCriticalitiesMAHBarrier[Barrier Family Description],MATCH($T139,TypicalCriticalitiesMAHBarrier[Barrier Family ID],0)),"")</f>
        <v/>
      </c>
      <c r="V139" t="str">
        <f ca="1">IF($T139&lt;=AA$4,INDEX(TypicalCriticalitiesMAHBarrier[Typical Components],MATCH($T139,TypicalCriticalitiesMAHBarrier[Column2],0)),"")</f>
        <v/>
      </c>
      <c r="W139" t="str">
        <f ca="1">IF($T139&lt;=AA$4,INDEX(TypicalCriticalitiesMAHBarrier[Typical Criticality],MATCH($T139,TypicalCriticalitiesMAHBarrier[Column2],0)),"")</f>
        <v/>
      </c>
      <c r="AE139" s="44"/>
      <c r="AF139" s="44"/>
      <c r="AG139" s="44"/>
      <c r="AH139" s="44"/>
      <c r="AI139" s="44"/>
      <c r="AJ139" s="44"/>
    </row>
    <row r="140" spans="14:36" x14ac:dyDescent="0.25">
      <c r="N140" t="s">
        <v>357</v>
      </c>
      <c r="O140" t="s">
        <v>358</v>
      </c>
      <c r="P140" t="s">
        <v>368</v>
      </c>
      <c r="Q140" t="s">
        <v>0</v>
      </c>
      <c r="R140">
        <f t="shared" si="6"/>
        <v>15</v>
      </c>
      <c r="S140">
        <f t="shared" ca="1" si="7"/>
        <v>0</v>
      </c>
      <c r="T140">
        <f t="shared" si="8"/>
        <v>137</v>
      </c>
      <c r="U140" t="str">
        <f>IF($T140&lt;=Z$4,INDEX(TypicalCriticalitiesMAHBarrier[Barrier Family Description],MATCH($T140,TypicalCriticalitiesMAHBarrier[Barrier Family ID],0)),"")</f>
        <v/>
      </c>
      <c r="V140" t="str">
        <f ca="1">IF($T140&lt;=AA$4,INDEX(TypicalCriticalitiesMAHBarrier[Typical Components],MATCH($T140,TypicalCriticalitiesMAHBarrier[Column2],0)),"")</f>
        <v/>
      </c>
      <c r="W140" t="str">
        <f ca="1">IF($T140&lt;=AA$4,INDEX(TypicalCriticalitiesMAHBarrier[Typical Criticality],MATCH($T140,TypicalCriticalitiesMAHBarrier[Column2],0)),"")</f>
        <v/>
      </c>
      <c r="AE140" s="44"/>
      <c r="AF140" s="44"/>
      <c r="AG140" s="44"/>
      <c r="AH140" s="44"/>
      <c r="AI140" s="44"/>
      <c r="AJ140" s="44"/>
    </row>
    <row r="141" spans="14:36" x14ac:dyDescent="0.25">
      <c r="N141" t="s">
        <v>357</v>
      </c>
      <c r="O141" t="s">
        <v>358</v>
      </c>
      <c r="P141" t="s">
        <v>369</v>
      </c>
      <c r="Q141" t="s">
        <v>1</v>
      </c>
      <c r="R141">
        <f t="shared" si="6"/>
        <v>15</v>
      </c>
      <c r="S141">
        <f t="shared" ca="1" si="7"/>
        <v>0</v>
      </c>
      <c r="T141">
        <f t="shared" si="8"/>
        <v>138</v>
      </c>
      <c r="U141" t="str">
        <f>IF($T141&lt;=Z$4,INDEX(TypicalCriticalitiesMAHBarrier[Barrier Family Description],MATCH($T141,TypicalCriticalitiesMAHBarrier[Barrier Family ID],0)),"")</f>
        <v/>
      </c>
      <c r="V141" t="str">
        <f ca="1">IF($T141&lt;=AA$4,INDEX(TypicalCriticalitiesMAHBarrier[Typical Components],MATCH($T141,TypicalCriticalitiesMAHBarrier[Column2],0)),"")</f>
        <v/>
      </c>
      <c r="W141" t="str">
        <f ca="1">IF($T141&lt;=AA$4,INDEX(TypicalCriticalitiesMAHBarrier[Typical Criticality],MATCH($T141,TypicalCriticalitiesMAHBarrier[Column2],0)),"")</f>
        <v/>
      </c>
      <c r="AE141" s="44"/>
      <c r="AF141" s="44"/>
      <c r="AG141" s="44"/>
      <c r="AH141" s="44"/>
      <c r="AI141" s="44"/>
      <c r="AJ141" s="44"/>
    </row>
    <row r="142" spans="14:36" x14ac:dyDescent="0.25">
      <c r="N142" t="s">
        <v>370</v>
      </c>
      <c r="O142" t="s">
        <v>371</v>
      </c>
      <c r="P142" t="s">
        <v>372</v>
      </c>
      <c r="Q142" t="s">
        <v>0</v>
      </c>
      <c r="R142">
        <f t="shared" si="6"/>
        <v>16</v>
      </c>
      <c r="S142">
        <f t="shared" ca="1" si="7"/>
        <v>0</v>
      </c>
      <c r="T142">
        <f t="shared" si="8"/>
        <v>139</v>
      </c>
      <c r="U142" t="str">
        <f>IF($T142&lt;=Z$4,INDEX(TypicalCriticalitiesMAHBarrier[Barrier Family Description],MATCH($T142,TypicalCriticalitiesMAHBarrier[Barrier Family ID],0)),"")</f>
        <v/>
      </c>
      <c r="V142" t="str">
        <f ca="1">IF($T142&lt;=AA$4,INDEX(TypicalCriticalitiesMAHBarrier[Typical Components],MATCH($T142,TypicalCriticalitiesMAHBarrier[Column2],0)),"")</f>
        <v/>
      </c>
      <c r="W142" t="str">
        <f ca="1">IF($T142&lt;=AA$4,INDEX(TypicalCriticalitiesMAHBarrier[Typical Criticality],MATCH($T142,TypicalCriticalitiesMAHBarrier[Column2],0)),"")</f>
        <v/>
      </c>
      <c r="AE142" s="44"/>
      <c r="AF142" s="44"/>
      <c r="AG142" s="44"/>
      <c r="AH142" s="44"/>
      <c r="AI142" s="44"/>
      <c r="AJ142" s="44"/>
    </row>
    <row r="143" spans="14:36" x14ac:dyDescent="0.25">
      <c r="N143" t="s">
        <v>370</v>
      </c>
      <c r="O143" t="s">
        <v>371</v>
      </c>
      <c r="P143" t="s">
        <v>373</v>
      </c>
      <c r="Q143" t="s">
        <v>0</v>
      </c>
      <c r="R143">
        <f t="shared" si="6"/>
        <v>16</v>
      </c>
      <c r="S143">
        <f t="shared" ca="1" si="7"/>
        <v>0</v>
      </c>
      <c r="T143">
        <f t="shared" si="8"/>
        <v>140</v>
      </c>
      <c r="U143" t="str">
        <f>IF($T143&lt;=Z$4,INDEX(TypicalCriticalitiesMAHBarrier[Barrier Family Description],MATCH($T143,TypicalCriticalitiesMAHBarrier[Barrier Family ID],0)),"")</f>
        <v/>
      </c>
      <c r="V143" t="str">
        <f ca="1">IF($T143&lt;=AA$4,INDEX(TypicalCriticalitiesMAHBarrier[Typical Components],MATCH($T143,TypicalCriticalitiesMAHBarrier[Column2],0)),"")</f>
        <v/>
      </c>
      <c r="W143" t="str">
        <f ca="1">IF($T143&lt;=AA$4,INDEX(TypicalCriticalitiesMAHBarrier[Typical Criticality],MATCH($T143,TypicalCriticalitiesMAHBarrier[Column2],0)),"")</f>
        <v/>
      </c>
      <c r="AE143" s="44"/>
      <c r="AF143" s="44"/>
      <c r="AG143" s="44"/>
      <c r="AH143" s="44"/>
      <c r="AI143" s="44"/>
      <c r="AJ143" s="44"/>
    </row>
    <row r="144" spans="14:36" x14ac:dyDescent="0.25">
      <c r="N144" t="s">
        <v>370</v>
      </c>
      <c r="O144" t="s">
        <v>371</v>
      </c>
      <c r="P144" t="s">
        <v>374</v>
      </c>
      <c r="Q144" t="s">
        <v>0</v>
      </c>
      <c r="R144">
        <f t="shared" si="6"/>
        <v>16</v>
      </c>
      <c r="S144">
        <f t="shared" ca="1" si="7"/>
        <v>0</v>
      </c>
      <c r="T144">
        <f t="shared" si="8"/>
        <v>141</v>
      </c>
      <c r="U144" t="str">
        <f>IF($T144&lt;=Z$4,INDEX(TypicalCriticalitiesMAHBarrier[Barrier Family Description],MATCH($T144,TypicalCriticalitiesMAHBarrier[Barrier Family ID],0)),"")</f>
        <v/>
      </c>
      <c r="V144" t="str">
        <f ca="1">IF($T144&lt;=AA$4,INDEX(TypicalCriticalitiesMAHBarrier[Typical Components],MATCH($T144,TypicalCriticalitiesMAHBarrier[Column2],0)),"")</f>
        <v/>
      </c>
      <c r="W144" t="str">
        <f ca="1">IF($T144&lt;=AA$4,INDEX(TypicalCriticalitiesMAHBarrier[Typical Criticality],MATCH($T144,TypicalCriticalitiesMAHBarrier[Column2],0)),"")</f>
        <v/>
      </c>
      <c r="AE144" s="44"/>
      <c r="AF144" s="44"/>
      <c r="AG144" s="44"/>
      <c r="AH144" s="44"/>
      <c r="AI144" s="44"/>
      <c r="AJ144" s="44"/>
    </row>
    <row r="145" spans="14:36" x14ac:dyDescent="0.25">
      <c r="N145" t="s">
        <v>370</v>
      </c>
      <c r="O145" t="s">
        <v>371</v>
      </c>
      <c r="P145" t="s">
        <v>375</v>
      </c>
      <c r="Q145" t="s">
        <v>0</v>
      </c>
      <c r="R145">
        <f t="shared" si="6"/>
        <v>16</v>
      </c>
      <c r="S145">
        <f t="shared" ca="1" si="7"/>
        <v>0</v>
      </c>
      <c r="T145">
        <f t="shared" si="8"/>
        <v>142</v>
      </c>
      <c r="U145" t="str">
        <f>IF($T145&lt;=Z$4,INDEX(TypicalCriticalitiesMAHBarrier[Barrier Family Description],MATCH($T145,TypicalCriticalitiesMAHBarrier[Barrier Family ID],0)),"")</f>
        <v/>
      </c>
      <c r="V145" t="str">
        <f ca="1">IF($T145&lt;=AA$4,INDEX(TypicalCriticalitiesMAHBarrier[Typical Components],MATCH($T145,TypicalCriticalitiesMAHBarrier[Column2],0)),"")</f>
        <v/>
      </c>
      <c r="W145" t="str">
        <f ca="1">IF($T145&lt;=AA$4,INDEX(TypicalCriticalitiesMAHBarrier[Typical Criticality],MATCH($T145,TypicalCriticalitiesMAHBarrier[Column2],0)),"")</f>
        <v/>
      </c>
      <c r="AE145" s="44"/>
      <c r="AF145" s="44"/>
      <c r="AG145" s="44"/>
      <c r="AH145" s="44"/>
      <c r="AI145" s="44"/>
      <c r="AJ145" s="44"/>
    </row>
    <row r="146" spans="14:36" x14ac:dyDescent="0.25">
      <c r="N146" t="s">
        <v>370</v>
      </c>
      <c r="O146" t="s">
        <v>371</v>
      </c>
      <c r="P146" t="s">
        <v>376</v>
      </c>
      <c r="Q146" t="s">
        <v>1</v>
      </c>
      <c r="R146">
        <f t="shared" si="6"/>
        <v>16</v>
      </c>
      <c r="S146">
        <f t="shared" ca="1" si="7"/>
        <v>0</v>
      </c>
      <c r="T146">
        <f t="shared" si="8"/>
        <v>143</v>
      </c>
      <c r="U146" t="str">
        <f>IF($T146&lt;=Z$4,INDEX(TypicalCriticalitiesMAHBarrier[Barrier Family Description],MATCH($T146,TypicalCriticalitiesMAHBarrier[Barrier Family ID],0)),"")</f>
        <v/>
      </c>
      <c r="V146" t="str">
        <f ca="1">IF($T146&lt;=AA$4,INDEX(TypicalCriticalitiesMAHBarrier[Typical Components],MATCH($T146,TypicalCriticalitiesMAHBarrier[Column2],0)),"")</f>
        <v/>
      </c>
      <c r="W146" t="str">
        <f ca="1">IF($T146&lt;=AA$4,INDEX(TypicalCriticalitiesMAHBarrier[Typical Criticality],MATCH($T146,TypicalCriticalitiesMAHBarrier[Column2],0)),"")</f>
        <v/>
      </c>
      <c r="AE146" s="44"/>
      <c r="AF146" s="44"/>
      <c r="AG146" s="44"/>
      <c r="AH146" s="44"/>
      <c r="AI146" s="44"/>
      <c r="AJ146" s="44"/>
    </row>
    <row r="147" spans="14:36" x14ac:dyDescent="0.25">
      <c r="N147" t="s">
        <v>370</v>
      </c>
      <c r="O147" t="s">
        <v>371</v>
      </c>
      <c r="P147" t="s">
        <v>377</v>
      </c>
      <c r="Q147" t="s">
        <v>0</v>
      </c>
      <c r="R147">
        <f t="shared" si="6"/>
        <v>16</v>
      </c>
      <c r="S147">
        <f t="shared" ca="1" si="7"/>
        <v>0</v>
      </c>
      <c r="T147">
        <f t="shared" si="8"/>
        <v>144</v>
      </c>
      <c r="U147" t="str">
        <f>IF($T147&lt;=Z$4,INDEX(TypicalCriticalitiesMAHBarrier[Barrier Family Description],MATCH($T147,TypicalCriticalitiesMAHBarrier[Barrier Family ID],0)),"")</f>
        <v/>
      </c>
      <c r="V147" t="str">
        <f ca="1">IF($T147&lt;=AA$4,INDEX(TypicalCriticalitiesMAHBarrier[Typical Components],MATCH($T147,TypicalCriticalitiesMAHBarrier[Column2],0)),"")</f>
        <v/>
      </c>
      <c r="W147" t="str">
        <f ca="1">IF($T147&lt;=AA$4,INDEX(TypicalCriticalitiesMAHBarrier[Typical Criticality],MATCH($T147,TypicalCriticalitiesMAHBarrier[Column2],0)),"")</f>
        <v/>
      </c>
      <c r="AE147" s="44"/>
      <c r="AF147" s="44"/>
      <c r="AG147" s="44"/>
      <c r="AH147" s="44"/>
      <c r="AI147" s="44"/>
      <c r="AJ147" s="44"/>
    </row>
    <row r="148" spans="14:36" x14ac:dyDescent="0.25">
      <c r="N148" t="s">
        <v>370</v>
      </c>
      <c r="O148" t="s">
        <v>371</v>
      </c>
      <c r="P148" t="s">
        <v>378</v>
      </c>
      <c r="Q148" t="s">
        <v>0</v>
      </c>
      <c r="R148">
        <f t="shared" si="6"/>
        <v>16</v>
      </c>
      <c r="S148">
        <f t="shared" ca="1" si="7"/>
        <v>0</v>
      </c>
      <c r="T148">
        <f t="shared" si="8"/>
        <v>145</v>
      </c>
      <c r="U148" t="str">
        <f>IF($T148&lt;=Z$4,INDEX(TypicalCriticalitiesMAHBarrier[Barrier Family Description],MATCH($T148,TypicalCriticalitiesMAHBarrier[Barrier Family ID],0)),"")</f>
        <v/>
      </c>
      <c r="V148" t="str">
        <f ca="1">IF($T148&lt;=AA$4,INDEX(TypicalCriticalitiesMAHBarrier[Typical Components],MATCH($T148,TypicalCriticalitiesMAHBarrier[Column2],0)),"")</f>
        <v/>
      </c>
      <c r="W148" t="str">
        <f ca="1">IF($T148&lt;=AA$4,INDEX(TypicalCriticalitiesMAHBarrier[Typical Criticality],MATCH($T148,TypicalCriticalitiesMAHBarrier[Column2],0)),"")</f>
        <v/>
      </c>
      <c r="AE148" s="44"/>
      <c r="AF148" s="44"/>
      <c r="AG148" s="44"/>
      <c r="AH148" s="44"/>
      <c r="AI148" s="44"/>
      <c r="AJ148" s="44"/>
    </row>
    <row r="149" spans="14:36" x14ac:dyDescent="0.25">
      <c r="N149" t="s">
        <v>370</v>
      </c>
      <c r="O149" t="s">
        <v>371</v>
      </c>
      <c r="P149" t="s">
        <v>379</v>
      </c>
      <c r="Q149" t="s">
        <v>1</v>
      </c>
      <c r="R149">
        <f t="shared" si="6"/>
        <v>16</v>
      </c>
      <c r="S149">
        <f t="shared" ca="1" si="7"/>
        <v>0</v>
      </c>
      <c r="T149">
        <f t="shared" si="8"/>
        <v>146</v>
      </c>
      <c r="U149" t="str">
        <f>IF($T149&lt;=Z$4,INDEX(TypicalCriticalitiesMAHBarrier[Barrier Family Description],MATCH($T149,TypicalCriticalitiesMAHBarrier[Barrier Family ID],0)),"")</f>
        <v/>
      </c>
      <c r="V149" t="str">
        <f ca="1">IF($T149&lt;=AA$4,INDEX(TypicalCriticalitiesMAHBarrier[Typical Components],MATCH($T149,TypicalCriticalitiesMAHBarrier[Column2],0)),"")</f>
        <v/>
      </c>
      <c r="W149" t="str">
        <f ca="1">IF($T149&lt;=AA$4,INDEX(TypicalCriticalitiesMAHBarrier[Typical Criticality],MATCH($T149,TypicalCriticalitiesMAHBarrier[Column2],0)),"")</f>
        <v/>
      </c>
      <c r="AE149" s="44"/>
      <c r="AF149" s="44"/>
      <c r="AG149" s="44"/>
      <c r="AH149" s="44"/>
      <c r="AI149" s="44"/>
      <c r="AJ149" s="44"/>
    </row>
    <row r="150" spans="14:36" x14ac:dyDescent="0.25">
      <c r="N150" t="s">
        <v>370</v>
      </c>
      <c r="O150" t="s">
        <v>371</v>
      </c>
      <c r="P150" t="s">
        <v>380</v>
      </c>
      <c r="Q150" t="s">
        <v>2</v>
      </c>
      <c r="R150">
        <f t="shared" si="6"/>
        <v>16</v>
      </c>
      <c r="S150">
        <f t="shared" ca="1" si="7"/>
        <v>0</v>
      </c>
      <c r="T150">
        <f t="shared" si="8"/>
        <v>147</v>
      </c>
      <c r="U150" t="str">
        <f>IF($T150&lt;=Z$4,INDEX(TypicalCriticalitiesMAHBarrier[Barrier Family Description],MATCH($T150,TypicalCriticalitiesMAHBarrier[Barrier Family ID],0)),"")</f>
        <v/>
      </c>
      <c r="V150" t="str">
        <f ca="1">IF($T150&lt;=AA$4,INDEX(TypicalCriticalitiesMAHBarrier[Typical Components],MATCH($T150,TypicalCriticalitiesMAHBarrier[Column2],0)),"")</f>
        <v/>
      </c>
      <c r="W150" t="str">
        <f ca="1">IF($T150&lt;=AA$4,INDEX(TypicalCriticalitiesMAHBarrier[Typical Criticality],MATCH($T150,TypicalCriticalitiesMAHBarrier[Column2],0)),"")</f>
        <v/>
      </c>
      <c r="AE150" s="44"/>
      <c r="AF150" s="44"/>
      <c r="AG150" s="44"/>
      <c r="AH150" s="44"/>
      <c r="AI150" s="44"/>
      <c r="AJ150" s="44"/>
    </row>
    <row r="151" spans="14:36" x14ac:dyDescent="0.25">
      <c r="N151" t="s">
        <v>370</v>
      </c>
      <c r="O151" t="s">
        <v>371</v>
      </c>
      <c r="P151" t="s">
        <v>381</v>
      </c>
      <c r="Q151" t="s">
        <v>0</v>
      </c>
      <c r="R151">
        <f t="shared" si="6"/>
        <v>16</v>
      </c>
      <c r="S151">
        <f t="shared" ca="1" si="7"/>
        <v>0</v>
      </c>
      <c r="T151">
        <f t="shared" si="8"/>
        <v>148</v>
      </c>
      <c r="U151" t="str">
        <f>IF($T151&lt;=Z$4,INDEX(TypicalCriticalitiesMAHBarrier[Barrier Family Description],MATCH($T151,TypicalCriticalitiesMAHBarrier[Barrier Family ID],0)),"")</f>
        <v/>
      </c>
      <c r="V151" t="str">
        <f ca="1">IF($T151&lt;=AA$4,INDEX(TypicalCriticalitiesMAHBarrier[Typical Components],MATCH($T151,TypicalCriticalitiesMAHBarrier[Column2],0)),"")</f>
        <v/>
      </c>
      <c r="W151" t="str">
        <f ca="1">IF($T151&lt;=AA$4,INDEX(TypicalCriticalitiesMAHBarrier[Typical Criticality],MATCH($T151,TypicalCriticalitiesMAHBarrier[Column2],0)),"")</f>
        <v/>
      </c>
      <c r="AE151" s="44"/>
      <c r="AF151" s="44"/>
      <c r="AG151" s="44"/>
      <c r="AH151" s="44"/>
      <c r="AI151" s="44"/>
      <c r="AJ151" s="44"/>
    </row>
    <row r="152" spans="14:36" x14ac:dyDescent="0.25">
      <c r="N152" t="s">
        <v>370</v>
      </c>
      <c r="O152" t="s">
        <v>371</v>
      </c>
      <c r="P152" t="s">
        <v>382</v>
      </c>
      <c r="Q152" t="s">
        <v>0</v>
      </c>
      <c r="R152">
        <f t="shared" si="6"/>
        <v>16</v>
      </c>
      <c r="S152">
        <f t="shared" ca="1" si="7"/>
        <v>0</v>
      </c>
      <c r="T152">
        <f t="shared" si="8"/>
        <v>149</v>
      </c>
      <c r="U152" t="str">
        <f>IF($T152&lt;=Z$4,INDEX(TypicalCriticalitiesMAHBarrier[Barrier Family Description],MATCH($T152,TypicalCriticalitiesMAHBarrier[Barrier Family ID],0)),"")</f>
        <v/>
      </c>
      <c r="V152" t="str">
        <f ca="1">IF($T152&lt;=AA$4,INDEX(TypicalCriticalitiesMAHBarrier[Typical Components],MATCH($T152,TypicalCriticalitiesMAHBarrier[Column2],0)),"")</f>
        <v/>
      </c>
      <c r="W152" t="str">
        <f ca="1">IF($T152&lt;=AA$4,INDEX(TypicalCriticalitiesMAHBarrier[Typical Criticality],MATCH($T152,TypicalCriticalitiesMAHBarrier[Column2],0)),"")</f>
        <v/>
      </c>
      <c r="AE152" s="44"/>
      <c r="AF152" s="44"/>
      <c r="AG152" s="44"/>
      <c r="AH152" s="44"/>
      <c r="AI152" s="44"/>
      <c r="AJ152" s="44"/>
    </row>
    <row r="153" spans="14:36" x14ac:dyDescent="0.25">
      <c r="N153" t="s">
        <v>370</v>
      </c>
      <c r="O153" t="s">
        <v>371</v>
      </c>
      <c r="P153" t="s">
        <v>383</v>
      </c>
      <c r="Q153" t="s">
        <v>1</v>
      </c>
      <c r="R153">
        <f t="shared" si="6"/>
        <v>16</v>
      </c>
      <c r="S153">
        <f t="shared" ca="1" si="7"/>
        <v>0</v>
      </c>
      <c r="T153">
        <f t="shared" si="8"/>
        <v>150</v>
      </c>
      <c r="U153" t="str">
        <f>IF($T153&lt;=Z$4,INDEX(TypicalCriticalitiesMAHBarrier[Barrier Family Description],MATCH($T153,TypicalCriticalitiesMAHBarrier[Barrier Family ID],0)),"")</f>
        <v/>
      </c>
      <c r="V153" t="str">
        <f ca="1">IF($T153&lt;=AA$4,INDEX(TypicalCriticalitiesMAHBarrier[Typical Components],MATCH($T153,TypicalCriticalitiesMAHBarrier[Column2],0)),"")</f>
        <v/>
      </c>
      <c r="W153" t="str">
        <f ca="1">IF($T153&lt;=AA$4,INDEX(TypicalCriticalitiesMAHBarrier[Typical Criticality],MATCH($T153,TypicalCriticalitiesMAHBarrier[Column2],0)),"")</f>
        <v/>
      </c>
      <c r="AE153" s="44"/>
      <c r="AF153" s="44"/>
      <c r="AG153" s="44"/>
      <c r="AH153" s="44"/>
      <c r="AI153" s="44"/>
      <c r="AJ153" s="44"/>
    </row>
    <row r="154" spans="14:36" x14ac:dyDescent="0.25">
      <c r="N154" t="s">
        <v>370</v>
      </c>
      <c r="O154" t="s">
        <v>371</v>
      </c>
      <c r="P154" t="s">
        <v>384</v>
      </c>
      <c r="Q154" t="s">
        <v>0</v>
      </c>
      <c r="R154">
        <f t="shared" si="6"/>
        <v>16</v>
      </c>
      <c r="S154">
        <f t="shared" ca="1" si="7"/>
        <v>0</v>
      </c>
      <c r="T154">
        <f t="shared" si="8"/>
        <v>151</v>
      </c>
      <c r="U154" t="str">
        <f>IF($T154&lt;=Z$4,INDEX(TypicalCriticalitiesMAHBarrier[Barrier Family Description],MATCH($T154,TypicalCriticalitiesMAHBarrier[Barrier Family ID],0)),"")</f>
        <v/>
      </c>
      <c r="V154" t="str">
        <f ca="1">IF($T154&lt;=AA$4,INDEX(TypicalCriticalitiesMAHBarrier[Typical Components],MATCH($T154,TypicalCriticalitiesMAHBarrier[Column2],0)),"")</f>
        <v/>
      </c>
      <c r="W154" t="str">
        <f ca="1">IF($T154&lt;=AA$4,INDEX(TypicalCriticalitiesMAHBarrier[Typical Criticality],MATCH($T154,TypicalCriticalitiesMAHBarrier[Column2],0)),"")</f>
        <v/>
      </c>
      <c r="AE154" s="44"/>
      <c r="AF154" s="44"/>
      <c r="AG154" s="44"/>
      <c r="AH154" s="44"/>
      <c r="AI154" s="44"/>
      <c r="AJ154" s="44"/>
    </row>
    <row r="155" spans="14:36" x14ac:dyDescent="0.25">
      <c r="N155" t="s">
        <v>370</v>
      </c>
      <c r="O155" t="s">
        <v>371</v>
      </c>
      <c r="P155" t="s">
        <v>385</v>
      </c>
      <c r="Q155" t="s">
        <v>0</v>
      </c>
      <c r="R155">
        <f t="shared" si="6"/>
        <v>16</v>
      </c>
      <c r="S155">
        <f t="shared" ca="1" si="7"/>
        <v>0</v>
      </c>
      <c r="T155">
        <f t="shared" si="8"/>
        <v>152</v>
      </c>
      <c r="U155" t="str">
        <f>IF($T155&lt;=Z$4,INDEX(TypicalCriticalitiesMAHBarrier[Barrier Family Description],MATCH($T155,TypicalCriticalitiesMAHBarrier[Barrier Family ID],0)),"")</f>
        <v/>
      </c>
      <c r="V155" t="str">
        <f ca="1">IF($T155&lt;=AA$4,INDEX(TypicalCriticalitiesMAHBarrier[Typical Components],MATCH($T155,TypicalCriticalitiesMAHBarrier[Column2],0)),"")</f>
        <v/>
      </c>
      <c r="W155" t="str">
        <f ca="1">IF($T155&lt;=AA$4,INDEX(TypicalCriticalitiesMAHBarrier[Typical Criticality],MATCH($T155,TypicalCriticalitiesMAHBarrier[Column2],0)),"")</f>
        <v/>
      </c>
      <c r="AE155" s="44"/>
      <c r="AF155" s="44"/>
      <c r="AG155" s="44"/>
      <c r="AH155" s="44"/>
      <c r="AI155" s="44"/>
      <c r="AJ155" s="44"/>
    </row>
    <row r="156" spans="14:36" x14ac:dyDescent="0.25">
      <c r="N156" t="s">
        <v>370</v>
      </c>
      <c r="O156" t="s">
        <v>371</v>
      </c>
      <c r="P156" t="s">
        <v>386</v>
      </c>
      <c r="Q156" t="s">
        <v>0</v>
      </c>
      <c r="R156">
        <f t="shared" si="6"/>
        <v>16</v>
      </c>
      <c r="S156">
        <f t="shared" ca="1" si="7"/>
        <v>0</v>
      </c>
      <c r="T156">
        <f t="shared" si="8"/>
        <v>153</v>
      </c>
      <c r="U156" t="str">
        <f>IF($T156&lt;=Z$4,INDEX(TypicalCriticalitiesMAHBarrier[Barrier Family Description],MATCH($T156,TypicalCriticalitiesMAHBarrier[Barrier Family ID],0)),"")</f>
        <v/>
      </c>
      <c r="V156" t="str">
        <f ca="1">IF($T156&lt;=AA$4,INDEX(TypicalCriticalitiesMAHBarrier[Typical Components],MATCH($T156,TypicalCriticalitiesMAHBarrier[Column2],0)),"")</f>
        <v/>
      </c>
      <c r="W156" t="str">
        <f ca="1">IF($T156&lt;=AA$4,INDEX(TypicalCriticalitiesMAHBarrier[Typical Criticality],MATCH($T156,TypicalCriticalitiesMAHBarrier[Column2],0)),"")</f>
        <v/>
      </c>
      <c r="AE156" s="44"/>
      <c r="AF156" s="44"/>
      <c r="AG156" s="44"/>
      <c r="AH156" s="44"/>
      <c r="AI156" s="44"/>
      <c r="AJ156" s="44"/>
    </row>
    <row r="157" spans="14:36" x14ac:dyDescent="0.25">
      <c r="N157" t="s">
        <v>370</v>
      </c>
      <c r="O157" t="s">
        <v>371</v>
      </c>
      <c r="P157" t="s">
        <v>387</v>
      </c>
      <c r="Q157" t="s">
        <v>0</v>
      </c>
      <c r="R157">
        <f t="shared" si="6"/>
        <v>16</v>
      </c>
      <c r="S157">
        <f t="shared" ca="1" si="7"/>
        <v>0</v>
      </c>
      <c r="T157">
        <f t="shared" si="8"/>
        <v>154</v>
      </c>
      <c r="U157" t="str">
        <f>IF($T157&lt;=Z$4,INDEX(TypicalCriticalitiesMAHBarrier[Barrier Family Description],MATCH($T157,TypicalCriticalitiesMAHBarrier[Barrier Family ID],0)),"")</f>
        <v/>
      </c>
      <c r="V157" t="str">
        <f ca="1">IF($T157&lt;=AA$4,INDEX(TypicalCriticalitiesMAHBarrier[Typical Components],MATCH($T157,TypicalCriticalitiesMAHBarrier[Column2],0)),"")</f>
        <v/>
      </c>
      <c r="W157" t="str">
        <f ca="1">IF($T157&lt;=AA$4,INDEX(TypicalCriticalitiesMAHBarrier[Typical Criticality],MATCH($T157,TypicalCriticalitiesMAHBarrier[Column2],0)),"")</f>
        <v/>
      </c>
      <c r="AE157" s="44"/>
      <c r="AF157" s="44"/>
      <c r="AG157" s="44"/>
      <c r="AH157" s="44"/>
      <c r="AI157" s="44"/>
      <c r="AJ157" s="44"/>
    </row>
    <row r="158" spans="14:36" x14ac:dyDescent="0.25">
      <c r="N158" t="s">
        <v>370</v>
      </c>
      <c r="O158" t="s">
        <v>371</v>
      </c>
      <c r="P158" t="s">
        <v>388</v>
      </c>
      <c r="Q158" t="s">
        <v>389</v>
      </c>
      <c r="R158">
        <f t="shared" si="6"/>
        <v>16</v>
      </c>
      <c r="S158">
        <f t="shared" ca="1" si="7"/>
        <v>0</v>
      </c>
      <c r="T158">
        <f t="shared" si="8"/>
        <v>155</v>
      </c>
      <c r="U158" t="str">
        <f>IF($T158&lt;=Z$4,INDEX(TypicalCriticalitiesMAHBarrier[Barrier Family Description],MATCH($T158,TypicalCriticalitiesMAHBarrier[Barrier Family ID],0)),"")</f>
        <v/>
      </c>
      <c r="V158" t="str">
        <f ca="1">IF($T158&lt;=AA$4,INDEX(TypicalCriticalitiesMAHBarrier[Typical Components],MATCH($T158,TypicalCriticalitiesMAHBarrier[Column2],0)),"")</f>
        <v/>
      </c>
      <c r="W158" t="str">
        <f ca="1">IF($T158&lt;=AA$4,INDEX(TypicalCriticalitiesMAHBarrier[Typical Criticality],MATCH($T158,TypicalCriticalitiesMAHBarrier[Column2],0)),"")</f>
        <v/>
      </c>
      <c r="AE158" s="44"/>
      <c r="AF158" s="44"/>
      <c r="AG158" s="44"/>
      <c r="AH158" s="44"/>
      <c r="AI158" s="44"/>
      <c r="AJ158" s="44"/>
    </row>
    <row r="159" spans="14:36" x14ac:dyDescent="0.25">
      <c r="N159" t="s">
        <v>370</v>
      </c>
      <c r="O159" t="s">
        <v>371</v>
      </c>
      <c r="P159" t="s">
        <v>390</v>
      </c>
      <c r="Q159" t="s">
        <v>1</v>
      </c>
      <c r="R159">
        <f t="shared" si="6"/>
        <v>16</v>
      </c>
      <c r="S159">
        <f t="shared" ca="1" si="7"/>
        <v>0</v>
      </c>
      <c r="T159">
        <f t="shared" si="8"/>
        <v>156</v>
      </c>
      <c r="U159" t="str">
        <f>IF($T159&lt;=Z$4,INDEX(TypicalCriticalitiesMAHBarrier[Barrier Family Description],MATCH($T159,TypicalCriticalitiesMAHBarrier[Barrier Family ID],0)),"")</f>
        <v/>
      </c>
      <c r="V159" t="str">
        <f ca="1">IF($T159&lt;=AA$4,INDEX(TypicalCriticalitiesMAHBarrier[Typical Components],MATCH($T159,TypicalCriticalitiesMAHBarrier[Column2],0)),"")</f>
        <v/>
      </c>
      <c r="W159" t="str">
        <f ca="1">IF($T159&lt;=AA$4,INDEX(TypicalCriticalitiesMAHBarrier[Typical Criticality],MATCH($T159,TypicalCriticalitiesMAHBarrier[Column2],0)),"")</f>
        <v/>
      </c>
      <c r="AE159" s="44"/>
      <c r="AF159" s="44"/>
      <c r="AG159" s="44"/>
      <c r="AH159" s="44"/>
      <c r="AI159" s="44"/>
      <c r="AJ159" s="44"/>
    </row>
    <row r="160" spans="14:36" x14ac:dyDescent="0.25">
      <c r="N160" t="s">
        <v>370</v>
      </c>
      <c r="O160" t="s">
        <v>371</v>
      </c>
      <c r="P160" t="s">
        <v>391</v>
      </c>
      <c r="Q160" t="s">
        <v>0</v>
      </c>
      <c r="R160">
        <f t="shared" si="6"/>
        <v>16</v>
      </c>
      <c r="S160">
        <f t="shared" ca="1" si="7"/>
        <v>0</v>
      </c>
      <c r="T160">
        <f t="shared" si="8"/>
        <v>157</v>
      </c>
      <c r="U160" t="str">
        <f>IF($T160&lt;=Z$4,INDEX(TypicalCriticalitiesMAHBarrier[Barrier Family Description],MATCH($T160,TypicalCriticalitiesMAHBarrier[Barrier Family ID],0)),"")</f>
        <v/>
      </c>
      <c r="V160" t="str">
        <f ca="1">IF($T160&lt;=AA$4,INDEX(TypicalCriticalitiesMAHBarrier[Typical Components],MATCH($T160,TypicalCriticalitiesMAHBarrier[Column2],0)),"")</f>
        <v/>
      </c>
      <c r="W160" t="str">
        <f ca="1">IF($T160&lt;=AA$4,INDEX(TypicalCriticalitiesMAHBarrier[Typical Criticality],MATCH($T160,TypicalCriticalitiesMAHBarrier[Column2],0)),"")</f>
        <v/>
      </c>
      <c r="AE160" s="44"/>
      <c r="AF160" s="44"/>
      <c r="AG160" s="44"/>
      <c r="AH160" s="44"/>
      <c r="AI160" s="44"/>
      <c r="AJ160" s="44"/>
    </row>
    <row r="161" spans="14:36" x14ac:dyDescent="0.25">
      <c r="N161" t="s">
        <v>370</v>
      </c>
      <c r="O161" t="s">
        <v>371</v>
      </c>
      <c r="P161" t="s">
        <v>392</v>
      </c>
      <c r="Q161" t="s">
        <v>0</v>
      </c>
      <c r="R161">
        <f t="shared" si="6"/>
        <v>16</v>
      </c>
      <c r="S161">
        <f t="shared" ca="1" si="7"/>
        <v>0</v>
      </c>
      <c r="T161">
        <f t="shared" si="8"/>
        <v>158</v>
      </c>
      <c r="U161" t="str">
        <f>IF($T161&lt;=Z$4,INDEX(TypicalCriticalitiesMAHBarrier[Barrier Family Description],MATCH($T161,TypicalCriticalitiesMAHBarrier[Barrier Family ID],0)),"")</f>
        <v/>
      </c>
      <c r="V161" t="str">
        <f ca="1">IF($T161&lt;=AA$4,INDEX(TypicalCriticalitiesMAHBarrier[Typical Components],MATCH($T161,TypicalCriticalitiesMAHBarrier[Column2],0)),"")</f>
        <v/>
      </c>
      <c r="W161" t="str">
        <f ca="1">IF($T161&lt;=AA$4,INDEX(TypicalCriticalitiesMAHBarrier[Typical Criticality],MATCH($T161,TypicalCriticalitiesMAHBarrier[Column2],0)),"")</f>
        <v/>
      </c>
      <c r="AE161" s="44"/>
      <c r="AF161" s="44"/>
      <c r="AG161" s="44"/>
      <c r="AH161" s="44"/>
      <c r="AI161" s="44"/>
      <c r="AJ161" s="44"/>
    </row>
    <row r="162" spans="14:36" x14ac:dyDescent="0.25">
      <c r="N162" t="s">
        <v>370</v>
      </c>
      <c r="O162" t="s">
        <v>371</v>
      </c>
      <c r="P162" t="s">
        <v>393</v>
      </c>
      <c r="Q162" t="s">
        <v>2</v>
      </c>
      <c r="R162">
        <f t="shared" si="6"/>
        <v>16</v>
      </c>
      <c r="S162">
        <f t="shared" ca="1" si="7"/>
        <v>0</v>
      </c>
      <c r="T162">
        <f t="shared" si="8"/>
        <v>159</v>
      </c>
      <c r="U162" t="str">
        <f>IF($T162&lt;=Z$4,INDEX(TypicalCriticalitiesMAHBarrier[Barrier Family Description],MATCH($T162,TypicalCriticalitiesMAHBarrier[Barrier Family ID],0)),"")</f>
        <v/>
      </c>
      <c r="V162" t="str">
        <f ca="1">IF($T162&lt;=AA$4,INDEX(TypicalCriticalitiesMAHBarrier[Typical Components],MATCH($T162,TypicalCriticalitiesMAHBarrier[Column2],0)),"")</f>
        <v/>
      </c>
      <c r="W162" t="str">
        <f ca="1">IF($T162&lt;=AA$4,INDEX(TypicalCriticalitiesMAHBarrier[Typical Criticality],MATCH($T162,TypicalCriticalitiesMAHBarrier[Column2],0)),"")</f>
        <v/>
      </c>
      <c r="AE162" s="44"/>
      <c r="AF162" s="44"/>
      <c r="AG162" s="44"/>
      <c r="AH162" s="44"/>
      <c r="AI162" s="44"/>
      <c r="AJ162" s="44"/>
    </row>
    <row r="163" spans="14:36" x14ac:dyDescent="0.25">
      <c r="N163" t="s">
        <v>370</v>
      </c>
      <c r="O163" t="s">
        <v>371</v>
      </c>
      <c r="P163" t="s">
        <v>394</v>
      </c>
      <c r="Q163" t="s">
        <v>395</v>
      </c>
      <c r="R163">
        <f t="shared" si="6"/>
        <v>16</v>
      </c>
      <c r="S163">
        <f t="shared" ca="1" si="7"/>
        <v>0</v>
      </c>
      <c r="T163">
        <f t="shared" si="8"/>
        <v>160</v>
      </c>
      <c r="U163" t="str">
        <f>IF($T163&lt;=Z$4,INDEX(TypicalCriticalitiesMAHBarrier[Barrier Family Description],MATCH($T163,TypicalCriticalitiesMAHBarrier[Barrier Family ID],0)),"")</f>
        <v/>
      </c>
      <c r="V163" t="str">
        <f ca="1">IF($T163&lt;=AA$4,INDEX(TypicalCriticalitiesMAHBarrier[Typical Components],MATCH($T163,TypicalCriticalitiesMAHBarrier[Column2],0)),"")</f>
        <v/>
      </c>
      <c r="W163" t="str">
        <f ca="1">IF($T163&lt;=AA$4,INDEX(TypicalCriticalitiesMAHBarrier[Typical Criticality],MATCH($T163,TypicalCriticalitiesMAHBarrier[Column2],0)),"")</f>
        <v/>
      </c>
      <c r="AE163" s="44"/>
      <c r="AF163" s="44"/>
      <c r="AG163" s="44"/>
      <c r="AH163" s="44"/>
      <c r="AI163" s="44"/>
      <c r="AJ163" s="44"/>
    </row>
    <row r="164" spans="14:36" x14ac:dyDescent="0.25">
      <c r="N164" t="s">
        <v>396</v>
      </c>
      <c r="O164" t="s">
        <v>397</v>
      </c>
      <c r="P164" t="s">
        <v>398</v>
      </c>
      <c r="Q164" t="s">
        <v>0</v>
      </c>
      <c r="R164">
        <f t="shared" si="6"/>
        <v>17</v>
      </c>
      <c r="S164">
        <f t="shared" ca="1" si="7"/>
        <v>0</v>
      </c>
      <c r="T164">
        <f t="shared" si="8"/>
        <v>161</v>
      </c>
      <c r="U164" t="str">
        <f>IF($T164&lt;=Z$4,INDEX(TypicalCriticalitiesMAHBarrier[Barrier Family Description],MATCH($T164,TypicalCriticalitiesMAHBarrier[Barrier Family ID],0)),"")</f>
        <v/>
      </c>
      <c r="V164" t="str">
        <f ca="1">IF($T164&lt;=AA$4,INDEX(TypicalCriticalitiesMAHBarrier[Typical Components],MATCH($T164,TypicalCriticalitiesMAHBarrier[Column2],0)),"")</f>
        <v/>
      </c>
      <c r="W164" t="str">
        <f ca="1">IF($T164&lt;=AA$4,INDEX(TypicalCriticalitiesMAHBarrier[Typical Criticality],MATCH($T164,TypicalCriticalitiesMAHBarrier[Column2],0)),"")</f>
        <v/>
      </c>
      <c r="AE164" s="44"/>
      <c r="AF164" s="44"/>
      <c r="AG164" s="44"/>
      <c r="AH164" s="44"/>
      <c r="AI164" s="44"/>
      <c r="AJ164" s="44"/>
    </row>
    <row r="165" spans="14:36" x14ac:dyDescent="0.25">
      <c r="N165" t="s">
        <v>396</v>
      </c>
      <c r="O165" t="s">
        <v>397</v>
      </c>
      <c r="P165" t="s">
        <v>399</v>
      </c>
      <c r="Q165" t="s">
        <v>1</v>
      </c>
      <c r="R165">
        <f t="shared" si="6"/>
        <v>17</v>
      </c>
      <c r="S165">
        <f t="shared" ca="1" si="7"/>
        <v>0</v>
      </c>
      <c r="T165">
        <f t="shared" si="8"/>
        <v>162</v>
      </c>
      <c r="U165" t="str">
        <f>IF($T165&lt;=Z$4,INDEX(TypicalCriticalitiesMAHBarrier[Barrier Family Description],MATCH($T165,TypicalCriticalitiesMAHBarrier[Barrier Family ID],0)),"")</f>
        <v/>
      </c>
      <c r="V165" t="str">
        <f ca="1">IF($T165&lt;=AA$4,INDEX(TypicalCriticalitiesMAHBarrier[Typical Components],MATCH($T165,TypicalCriticalitiesMAHBarrier[Column2],0)),"")</f>
        <v/>
      </c>
      <c r="W165" t="str">
        <f ca="1">IF($T165&lt;=AA$4,INDEX(TypicalCriticalitiesMAHBarrier[Typical Criticality],MATCH($T165,TypicalCriticalitiesMAHBarrier[Column2],0)),"")</f>
        <v/>
      </c>
      <c r="AE165" s="44"/>
      <c r="AF165" s="44"/>
      <c r="AG165" s="44"/>
      <c r="AH165" s="44"/>
      <c r="AI165" s="44"/>
      <c r="AJ165" s="44"/>
    </row>
    <row r="166" spans="14:36" x14ac:dyDescent="0.25">
      <c r="N166" t="s">
        <v>396</v>
      </c>
      <c r="O166" t="s">
        <v>397</v>
      </c>
      <c r="P166" t="s">
        <v>400</v>
      </c>
      <c r="Q166" t="s">
        <v>0</v>
      </c>
      <c r="R166">
        <f t="shared" si="6"/>
        <v>17</v>
      </c>
      <c r="S166">
        <f t="shared" ca="1" si="7"/>
        <v>0</v>
      </c>
      <c r="T166">
        <f t="shared" si="8"/>
        <v>163</v>
      </c>
      <c r="U166" t="str">
        <f>IF($T166&lt;=Z$4,INDEX(TypicalCriticalitiesMAHBarrier[Barrier Family Description],MATCH($T166,TypicalCriticalitiesMAHBarrier[Barrier Family ID],0)),"")</f>
        <v/>
      </c>
      <c r="V166" t="str">
        <f ca="1">IF($T166&lt;=AA$4,INDEX(TypicalCriticalitiesMAHBarrier[Typical Components],MATCH($T166,TypicalCriticalitiesMAHBarrier[Column2],0)),"")</f>
        <v/>
      </c>
      <c r="W166" t="str">
        <f ca="1">IF($T166&lt;=AA$4,INDEX(TypicalCriticalitiesMAHBarrier[Typical Criticality],MATCH($T166,TypicalCriticalitiesMAHBarrier[Column2],0)),"")</f>
        <v/>
      </c>
      <c r="AE166" s="44"/>
      <c r="AF166" s="44"/>
      <c r="AG166" s="44"/>
      <c r="AH166" s="44"/>
      <c r="AI166" s="44"/>
      <c r="AJ166" s="44"/>
    </row>
    <row r="167" spans="14:36" x14ac:dyDescent="0.25">
      <c r="N167" t="s">
        <v>396</v>
      </c>
      <c r="O167" t="s">
        <v>397</v>
      </c>
      <c r="P167" t="s">
        <v>401</v>
      </c>
      <c r="Q167" t="s">
        <v>0</v>
      </c>
      <c r="R167">
        <f t="shared" si="6"/>
        <v>17</v>
      </c>
      <c r="S167">
        <f t="shared" ca="1" si="7"/>
        <v>0</v>
      </c>
      <c r="T167">
        <f t="shared" si="8"/>
        <v>164</v>
      </c>
      <c r="U167" t="str">
        <f>IF($T167&lt;=Z$4,INDEX(TypicalCriticalitiesMAHBarrier[Barrier Family Description],MATCH($T167,TypicalCriticalitiesMAHBarrier[Barrier Family ID],0)),"")</f>
        <v/>
      </c>
      <c r="V167" t="str">
        <f ca="1">IF($T167&lt;=AA$4,INDEX(TypicalCriticalitiesMAHBarrier[Typical Components],MATCH($T167,TypicalCriticalitiesMAHBarrier[Column2],0)),"")</f>
        <v/>
      </c>
      <c r="W167" t="str">
        <f ca="1">IF($T167&lt;=AA$4,INDEX(TypicalCriticalitiesMAHBarrier[Typical Criticality],MATCH($T167,TypicalCriticalitiesMAHBarrier[Column2],0)),"")</f>
        <v/>
      </c>
      <c r="AE167" s="44"/>
      <c r="AF167" s="44"/>
      <c r="AG167" s="44"/>
      <c r="AH167" s="44"/>
      <c r="AI167" s="44"/>
      <c r="AJ167" s="44"/>
    </row>
    <row r="168" spans="14:36" x14ac:dyDescent="0.25">
      <c r="N168" t="s">
        <v>396</v>
      </c>
      <c r="O168" t="s">
        <v>397</v>
      </c>
      <c r="P168" t="s">
        <v>402</v>
      </c>
      <c r="Q168" t="s">
        <v>1</v>
      </c>
      <c r="R168">
        <f t="shared" si="6"/>
        <v>17</v>
      </c>
      <c r="S168">
        <f t="shared" ca="1" si="7"/>
        <v>0</v>
      </c>
      <c r="T168">
        <f t="shared" si="8"/>
        <v>165</v>
      </c>
      <c r="U168" t="str">
        <f>IF($T168&lt;=Z$4,INDEX(TypicalCriticalitiesMAHBarrier[Barrier Family Description],MATCH($T168,TypicalCriticalitiesMAHBarrier[Barrier Family ID],0)),"")</f>
        <v/>
      </c>
      <c r="V168" t="str">
        <f ca="1">IF($T168&lt;=AA$4,INDEX(TypicalCriticalitiesMAHBarrier[Typical Components],MATCH($T168,TypicalCriticalitiesMAHBarrier[Column2],0)),"")</f>
        <v/>
      </c>
      <c r="W168" t="str">
        <f ca="1">IF($T168&lt;=AA$4,INDEX(TypicalCriticalitiesMAHBarrier[Typical Criticality],MATCH($T168,TypicalCriticalitiesMAHBarrier[Column2],0)),"")</f>
        <v/>
      </c>
      <c r="AE168" s="44"/>
      <c r="AF168" s="44"/>
      <c r="AG168" s="44"/>
      <c r="AH168" s="44"/>
      <c r="AI168" s="44"/>
      <c r="AJ168" s="44"/>
    </row>
    <row r="169" spans="14:36" x14ac:dyDescent="0.25">
      <c r="N169" t="s">
        <v>396</v>
      </c>
      <c r="O169" t="s">
        <v>397</v>
      </c>
      <c r="P169" t="s">
        <v>403</v>
      </c>
      <c r="Q169" t="s">
        <v>0</v>
      </c>
      <c r="R169">
        <f t="shared" si="6"/>
        <v>17</v>
      </c>
      <c r="S169">
        <f t="shared" ca="1" si="7"/>
        <v>0</v>
      </c>
      <c r="T169">
        <f t="shared" si="8"/>
        <v>166</v>
      </c>
      <c r="U169" t="str">
        <f>IF($T169&lt;=Z$4,INDEX(TypicalCriticalitiesMAHBarrier[Barrier Family Description],MATCH($T169,TypicalCriticalitiesMAHBarrier[Barrier Family ID],0)),"")</f>
        <v/>
      </c>
      <c r="V169" t="str">
        <f ca="1">IF($T169&lt;=AA$4,INDEX(TypicalCriticalitiesMAHBarrier[Typical Components],MATCH($T169,TypicalCriticalitiesMAHBarrier[Column2],0)),"")</f>
        <v/>
      </c>
      <c r="W169" t="str">
        <f ca="1">IF($T169&lt;=AA$4,INDEX(TypicalCriticalitiesMAHBarrier[Typical Criticality],MATCH($T169,TypicalCriticalitiesMAHBarrier[Column2],0)),"")</f>
        <v/>
      </c>
      <c r="AE169" s="44"/>
      <c r="AF169" s="44"/>
      <c r="AG169" s="44"/>
      <c r="AH169" s="44"/>
      <c r="AI169" s="44"/>
      <c r="AJ169" s="44"/>
    </row>
    <row r="170" spans="14:36" x14ac:dyDescent="0.25">
      <c r="N170" t="s">
        <v>396</v>
      </c>
      <c r="O170" t="s">
        <v>397</v>
      </c>
      <c r="P170" t="s">
        <v>404</v>
      </c>
      <c r="Q170" t="s">
        <v>0</v>
      </c>
      <c r="R170">
        <f t="shared" si="6"/>
        <v>17</v>
      </c>
      <c r="S170">
        <f t="shared" ca="1" si="7"/>
        <v>0</v>
      </c>
      <c r="T170">
        <f t="shared" si="8"/>
        <v>167</v>
      </c>
      <c r="U170" t="str">
        <f>IF($T170&lt;=Z$4,INDEX(TypicalCriticalitiesMAHBarrier[Barrier Family Description],MATCH($T170,TypicalCriticalitiesMAHBarrier[Barrier Family ID],0)),"")</f>
        <v/>
      </c>
      <c r="V170" t="str">
        <f ca="1">IF($T170&lt;=AA$4,INDEX(TypicalCriticalitiesMAHBarrier[Typical Components],MATCH($T170,TypicalCriticalitiesMAHBarrier[Column2],0)),"")</f>
        <v/>
      </c>
      <c r="W170" t="str">
        <f ca="1">IF($T170&lt;=AA$4,INDEX(TypicalCriticalitiesMAHBarrier[Typical Criticality],MATCH($T170,TypicalCriticalitiesMAHBarrier[Column2],0)),"")</f>
        <v/>
      </c>
      <c r="AE170" s="44"/>
      <c r="AF170" s="44"/>
      <c r="AG170" s="44"/>
      <c r="AH170" s="44"/>
      <c r="AI170" s="44"/>
      <c r="AJ170" s="44"/>
    </row>
    <row r="171" spans="14:36" x14ac:dyDescent="0.25">
      <c r="N171" t="s">
        <v>396</v>
      </c>
      <c r="O171" t="s">
        <v>397</v>
      </c>
      <c r="P171" t="s">
        <v>405</v>
      </c>
      <c r="Q171" t="s">
        <v>0</v>
      </c>
      <c r="R171">
        <f t="shared" si="6"/>
        <v>17</v>
      </c>
      <c r="S171">
        <f t="shared" ca="1" si="7"/>
        <v>0</v>
      </c>
      <c r="T171">
        <f t="shared" si="8"/>
        <v>168</v>
      </c>
      <c r="U171" t="str">
        <f>IF($T171&lt;=Z$4,INDEX(TypicalCriticalitiesMAHBarrier[Barrier Family Description],MATCH($T171,TypicalCriticalitiesMAHBarrier[Barrier Family ID],0)),"")</f>
        <v/>
      </c>
      <c r="V171" t="str">
        <f ca="1">IF($T171&lt;=AA$4,INDEX(TypicalCriticalitiesMAHBarrier[Typical Components],MATCH($T171,TypicalCriticalitiesMAHBarrier[Column2],0)),"")</f>
        <v/>
      </c>
      <c r="W171" t="str">
        <f ca="1">IF($T171&lt;=AA$4,INDEX(TypicalCriticalitiesMAHBarrier[Typical Criticality],MATCH($T171,TypicalCriticalitiesMAHBarrier[Column2],0)),"")</f>
        <v/>
      </c>
      <c r="AE171" s="44"/>
      <c r="AF171" s="44"/>
      <c r="AG171" s="44"/>
      <c r="AH171" s="44"/>
      <c r="AI171" s="44"/>
      <c r="AJ171" s="44"/>
    </row>
    <row r="172" spans="14:36" x14ac:dyDescent="0.25">
      <c r="N172" t="s">
        <v>396</v>
      </c>
      <c r="O172" t="s">
        <v>397</v>
      </c>
      <c r="P172" t="s">
        <v>406</v>
      </c>
      <c r="Q172" t="s">
        <v>0</v>
      </c>
      <c r="R172">
        <f t="shared" si="6"/>
        <v>17</v>
      </c>
      <c r="S172">
        <f t="shared" ca="1" si="7"/>
        <v>0</v>
      </c>
      <c r="T172">
        <f t="shared" si="8"/>
        <v>169</v>
      </c>
      <c r="U172" t="str">
        <f>IF($T172&lt;=Z$4,INDEX(TypicalCriticalitiesMAHBarrier[Barrier Family Description],MATCH($T172,TypicalCriticalitiesMAHBarrier[Barrier Family ID],0)),"")</f>
        <v/>
      </c>
      <c r="V172" t="str">
        <f ca="1">IF($T172&lt;=AA$4,INDEX(TypicalCriticalitiesMAHBarrier[Typical Components],MATCH($T172,TypicalCriticalitiesMAHBarrier[Column2],0)),"")</f>
        <v/>
      </c>
      <c r="W172" t="str">
        <f ca="1">IF($T172&lt;=AA$4,INDEX(TypicalCriticalitiesMAHBarrier[Typical Criticality],MATCH($T172,TypicalCriticalitiesMAHBarrier[Column2],0)),"")</f>
        <v/>
      </c>
      <c r="AE172" s="44"/>
      <c r="AF172" s="44"/>
      <c r="AG172" s="44"/>
      <c r="AH172" s="44"/>
      <c r="AI172" s="44"/>
      <c r="AJ172" s="44"/>
    </row>
    <row r="173" spans="14:36" x14ac:dyDescent="0.25">
      <c r="N173" t="s">
        <v>396</v>
      </c>
      <c r="O173" t="s">
        <v>397</v>
      </c>
      <c r="P173" t="s">
        <v>407</v>
      </c>
      <c r="Q173" t="s">
        <v>0</v>
      </c>
      <c r="R173">
        <f t="shared" si="6"/>
        <v>17</v>
      </c>
      <c r="S173">
        <f t="shared" ca="1" si="7"/>
        <v>0</v>
      </c>
      <c r="T173">
        <f t="shared" si="8"/>
        <v>170</v>
      </c>
      <c r="U173" t="str">
        <f>IF($T173&lt;=Z$4,INDEX(TypicalCriticalitiesMAHBarrier[Barrier Family Description],MATCH($T173,TypicalCriticalitiesMAHBarrier[Barrier Family ID],0)),"")</f>
        <v/>
      </c>
      <c r="V173" t="str">
        <f ca="1">IF($T173&lt;=AA$4,INDEX(TypicalCriticalitiesMAHBarrier[Typical Components],MATCH($T173,TypicalCriticalitiesMAHBarrier[Column2],0)),"")</f>
        <v/>
      </c>
      <c r="W173" t="str">
        <f ca="1">IF($T173&lt;=AA$4,INDEX(TypicalCriticalitiesMAHBarrier[Typical Criticality],MATCH($T173,TypicalCriticalitiesMAHBarrier[Column2],0)),"")</f>
        <v/>
      </c>
      <c r="AE173" s="44"/>
      <c r="AF173" s="44"/>
      <c r="AG173" s="44"/>
      <c r="AH173" s="44"/>
      <c r="AI173" s="44"/>
      <c r="AJ173" s="44"/>
    </row>
    <row r="174" spans="14:36" x14ac:dyDescent="0.25">
      <c r="N174" t="s">
        <v>396</v>
      </c>
      <c r="O174" t="s">
        <v>397</v>
      </c>
      <c r="P174" t="s">
        <v>408</v>
      </c>
      <c r="Q174" t="s">
        <v>1</v>
      </c>
      <c r="R174">
        <f t="shared" si="6"/>
        <v>17</v>
      </c>
      <c r="S174">
        <f t="shared" ca="1" si="7"/>
        <v>0</v>
      </c>
      <c r="T174">
        <f t="shared" si="8"/>
        <v>171</v>
      </c>
      <c r="U174" t="str">
        <f>IF($T174&lt;=Z$4,INDEX(TypicalCriticalitiesMAHBarrier[Barrier Family Description],MATCH($T174,TypicalCriticalitiesMAHBarrier[Barrier Family ID],0)),"")</f>
        <v/>
      </c>
      <c r="V174" t="str">
        <f ca="1">IF($T174&lt;=AA$4,INDEX(TypicalCriticalitiesMAHBarrier[Typical Components],MATCH($T174,TypicalCriticalitiesMAHBarrier[Column2],0)),"")</f>
        <v/>
      </c>
      <c r="W174" t="str">
        <f ca="1">IF($T174&lt;=AA$4,INDEX(TypicalCriticalitiesMAHBarrier[Typical Criticality],MATCH($T174,TypicalCriticalitiesMAHBarrier[Column2],0)),"")</f>
        <v/>
      </c>
      <c r="AE174" s="44"/>
      <c r="AF174" s="44"/>
      <c r="AG174" s="44"/>
      <c r="AH174" s="44"/>
      <c r="AI174" s="44"/>
      <c r="AJ174" s="44"/>
    </row>
    <row r="175" spans="14:36" x14ac:dyDescent="0.25">
      <c r="N175" t="s">
        <v>396</v>
      </c>
      <c r="O175" t="s">
        <v>397</v>
      </c>
      <c r="P175" t="s">
        <v>409</v>
      </c>
      <c r="Q175" t="s">
        <v>0</v>
      </c>
      <c r="R175">
        <f t="shared" si="6"/>
        <v>17</v>
      </c>
      <c r="S175">
        <f t="shared" ca="1" si="7"/>
        <v>0</v>
      </c>
      <c r="T175">
        <f t="shared" si="8"/>
        <v>172</v>
      </c>
      <c r="U175" t="str">
        <f>IF($T175&lt;=Z$4,INDEX(TypicalCriticalitiesMAHBarrier[Barrier Family Description],MATCH($T175,TypicalCriticalitiesMAHBarrier[Barrier Family ID],0)),"")</f>
        <v/>
      </c>
      <c r="V175" t="str">
        <f ca="1">IF($T175&lt;=AA$4,INDEX(TypicalCriticalitiesMAHBarrier[Typical Components],MATCH($T175,TypicalCriticalitiesMAHBarrier[Column2],0)),"")</f>
        <v/>
      </c>
      <c r="W175" t="str">
        <f ca="1">IF($T175&lt;=AA$4,INDEX(TypicalCriticalitiesMAHBarrier[Typical Criticality],MATCH($T175,TypicalCriticalitiesMAHBarrier[Column2],0)),"")</f>
        <v/>
      </c>
      <c r="AE175" s="44"/>
      <c r="AF175" s="44"/>
      <c r="AG175" s="44"/>
      <c r="AH175" s="44"/>
      <c r="AI175" s="44"/>
      <c r="AJ175" s="44"/>
    </row>
    <row r="176" spans="14:36" x14ac:dyDescent="0.25">
      <c r="N176" t="s">
        <v>396</v>
      </c>
      <c r="O176" t="s">
        <v>397</v>
      </c>
      <c r="P176" t="s">
        <v>410</v>
      </c>
      <c r="Q176" t="s">
        <v>0</v>
      </c>
      <c r="R176">
        <f t="shared" si="6"/>
        <v>17</v>
      </c>
      <c r="S176">
        <f t="shared" ca="1" si="7"/>
        <v>0</v>
      </c>
      <c r="T176">
        <f t="shared" si="8"/>
        <v>173</v>
      </c>
      <c r="U176" t="str">
        <f>IF($T176&lt;=Z$4,INDEX(TypicalCriticalitiesMAHBarrier[Barrier Family Description],MATCH($T176,TypicalCriticalitiesMAHBarrier[Barrier Family ID],0)),"")</f>
        <v/>
      </c>
      <c r="V176" t="str">
        <f ca="1">IF($T176&lt;=AA$4,INDEX(TypicalCriticalitiesMAHBarrier[Typical Components],MATCH($T176,TypicalCriticalitiesMAHBarrier[Column2],0)),"")</f>
        <v/>
      </c>
      <c r="W176" t="str">
        <f ca="1">IF($T176&lt;=AA$4,INDEX(TypicalCriticalitiesMAHBarrier[Typical Criticality],MATCH($T176,TypicalCriticalitiesMAHBarrier[Column2],0)),"")</f>
        <v/>
      </c>
      <c r="AE176" s="44"/>
      <c r="AF176" s="44"/>
      <c r="AG176" s="44"/>
      <c r="AH176" s="44"/>
      <c r="AI176" s="44"/>
      <c r="AJ176" s="44"/>
    </row>
    <row r="177" spans="14:36" x14ac:dyDescent="0.25">
      <c r="N177" t="s">
        <v>396</v>
      </c>
      <c r="O177" t="s">
        <v>397</v>
      </c>
      <c r="P177" t="s">
        <v>411</v>
      </c>
      <c r="Q177" t="s">
        <v>0</v>
      </c>
      <c r="R177">
        <f t="shared" si="6"/>
        <v>17</v>
      </c>
      <c r="S177">
        <f t="shared" ca="1" si="7"/>
        <v>0</v>
      </c>
      <c r="T177">
        <f t="shared" si="8"/>
        <v>174</v>
      </c>
      <c r="U177" t="str">
        <f>IF($T177&lt;=Z$4,INDEX(TypicalCriticalitiesMAHBarrier[Barrier Family Description],MATCH($T177,TypicalCriticalitiesMAHBarrier[Barrier Family ID],0)),"")</f>
        <v/>
      </c>
      <c r="V177" t="str">
        <f ca="1">IF($T177&lt;=AA$4,INDEX(TypicalCriticalitiesMAHBarrier[Typical Components],MATCH($T177,TypicalCriticalitiesMAHBarrier[Column2],0)),"")</f>
        <v/>
      </c>
      <c r="W177" t="str">
        <f ca="1">IF($T177&lt;=AA$4,INDEX(TypicalCriticalitiesMAHBarrier[Typical Criticality],MATCH($T177,TypicalCriticalitiesMAHBarrier[Column2],0)),"")</f>
        <v/>
      </c>
      <c r="AE177" s="44"/>
      <c r="AF177" s="44"/>
      <c r="AG177" s="44"/>
      <c r="AH177" s="44"/>
      <c r="AI177" s="44"/>
      <c r="AJ177" s="44"/>
    </row>
    <row r="178" spans="14:36" x14ac:dyDescent="0.25">
      <c r="N178" t="s">
        <v>396</v>
      </c>
      <c r="O178" t="s">
        <v>397</v>
      </c>
      <c r="P178" t="s">
        <v>412</v>
      </c>
      <c r="Q178" t="s">
        <v>0</v>
      </c>
      <c r="R178">
        <f t="shared" si="6"/>
        <v>17</v>
      </c>
      <c r="S178">
        <f t="shared" ca="1" si="7"/>
        <v>0</v>
      </c>
      <c r="T178">
        <f t="shared" si="8"/>
        <v>175</v>
      </c>
      <c r="U178" t="str">
        <f>IF($T178&lt;=Z$4,INDEX(TypicalCriticalitiesMAHBarrier[Barrier Family Description],MATCH($T178,TypicalCriticalitiesMAHBarrier[Barrier Family ID],0)),"")</f>
        <v/>
      </c>
      <c r="V178" t="str">
        <f ca="1">IF($T178&lt;=AA$4,INDEX(TypicalCriticalitiesMAHBarrier[Typical Components],MATCH($T178,TypicalCriticalitiesMAHBarrier[Column2],0)),"")</f>
        <v/>
      </c>
      <c r="W178" t="str">
        <f ca="1">IF($T178&lt;=AA$4,INDEX(TypicalCriticalitiesMAHBarrier[Typical Criticality],MATCH($T178,TypicalCriticalitiesMAHBarrier[Column2],0)),"")</f>
        <v/>
      </c>
      <c r="AE178" s="44"/>
      <c r="AF178" s="44"/>
      <c r="AG178" s="44"/>
      <c r="AH178" s="44"/>
      <c r="AI178" s="44"/>
      <c r="AJ178" s="44"/>
    </row>
    <row r="179" spans="14:36" x14ac:dyDescent="0.25">
      <c r="N179" t="s">
        <v>396</v>
      </c>
      <c r="O179" t="s">
        <v>397</v>
      </c>
      <c r="P179" t="s">
        <v>413</v>
      </c>
      <c r="Q179" t="s">
        <v>0</v>
      </c>
      <c r="R179">
        <f t="shared" si="6"/>
        <v>17</v>
      </c>
      <c r="S179">
        <f t="shared" ca="1" si="7"/>
        <v>0</v>
      </c>
      <c r="T179">
        <f t="shared" si="8"/>
        <v>176</v>
      </c>
      <c r="U179" t="str">
        <f>IF($T179&lt;=Z$4,INDEX(TypicalCriticalitiesMAHBarrier[Barrier Family Description],MATCH($T179,TypicalCriticalitiesMAHBarrier[Barrier Family ID],0)),"")</f>
        <v/>
      </c>
      <c r="V179" t="str">
        <f ca="1">IF($T179&lt;=AA$4,INDEX(TypicalCriticalitiesMAHBarrier[Typical Components],MATCH($T179,TypicalCriticalitiesMAHBarrier[Column2],0)),"")</f>
        <v/>
      </c>
      <c r="W179" t="str">
        <f ca="1">IF($T179&lt;=AA$4,INDEX(TypicalCriticalitiesMAHBarrier[Typical Criticality],MATCH($T179,TypicalCriticalitiesMAHBarrier[Column2],0)),"")</f>
        <v/>
      </c>
      <c r="AE179" s="44"/>
      <c r="AF179" s="44"/>
      <c r="AG179" s="44"/>
      <c r="AH179" s="44"/>
      <c r="AI179" s="44"/>
      <c r="AJ179" s="44"/>
    </row>
    <row r="180" spans="14:36" x14ac:dyDescent="0.25">
      <c r="N180" t="s">
        <v>396</v>
      </c>
      <c r="O180" t="s">
        <v>397</v>
      </c>
      <c r="P180" t="s">
        <v>414</v>
      </c>
      <c r="Q180" t="s">
        <v>2</v>
      </c>
      <c r="R180">
        <f t="shared" si="6"/>
        <v>17</v>
      </c>
      <c r="S180">
        <f t="shared" ca="1" si="7"/>
        <v>0</v>
      </c>
      <c r="T180">
        <f t="shared" si="8"/>
        <v>177</v>
      </c>
      <c r="U180" t="str">
        <f>IF($T180&lt;=Z$4,INDEX(TypicalCriticalitiesMAHBarrier[Barrier Family Description],MATCH($T180,TypicalCriticalitiesMAHBarrier[Barrier Family ID],0)),"")</f>
        <v/>
      </c>
      <c r="V180" t="str">
        <f ca="1">IF($T180&lt;=AA$4,INDEX(TypicalCriticalitiesMAHBarrier[Typical Components],MATCH($T180,TypicalCriticalitiesMAHBarrier[Column2],0)),"")</f>
        <v/>
      </c>
      <c r="W180" t="str">
        <f ca="1">IF($T180&lt;=AA$4,INDEX(TypicalCriticalitiesMAHBarrier[Typical Criticality],MATCH($T180,TypicalCriticalitiesMAHBarrier[Column2],0)),"")</f>
        <v/>
      </c>
      <c r="AE180" s="44"/>
      <c r="AF180" s="44"/>
      <c r="AG180" s="44"/>
      <c r="AH180" s="44"/>
      <c r="AI180" s="44"/>
      <c r="AJ180" s="44"/>
    </row>
    <row r="181" spans="14:36" x14ac:dyDescent="0.25">
      <c r="N181" t="s">
        <v>396</v>
      </c>
      <c r="O181" t="s">
        <v>397</v>
      </c>
      <c r="P181" t="s">
        <v>415</v>
      </c>
      <c r="Q181" t="s">
        <v>0</v>
      </c>
      <c r="R181">
        <f t="shared" si="6"/>
        <v>17</v>
      </c>
      <c r="S181">
        <f t="shared" ca="1" si="7"/>
        <v>0</v>
      </c>
      <c r="T181">
        <f t="shared" si="8"/>
        <v>178</v>
      </c>
      <c r="U181" t="str">
        <f>IF($T181&lt;=Z$4,INDEX(TypicalCriticalitiesMAHBarrier[Barrier Family Description],MATCH($T181,TypicalCriticalitiesMAHBarrier[Barrier Family ID],0)),"")</f>
        <v/>
      </c>
      <c r="V181" t="str">
        <f ca="1">IF($T181&lt;=AA$4,INDEX(TypicalCriticalitiesMAHBarrier[Typical Components],MATCH($T181,TypicalCriticalitiesMAHBarrier[Column2],0)),"")</f>
        <v/>
      </c>
      <c r="W181" t="str">
        <f ca="1">IF($T181&lt;=AA$4,INDEX(TypicalCriticalitiesMAHBarrier[Typical Criticality],MATCH($T181,TypicalCriticalitiesMAHBarrier[Column2],0)),"")</f>
        <v/>
      </c>
      <c r="AE181" s="44"/>
      <c r="AF181" s="44"/>
      <c r="AG181" s="44"/>
      <c r="AH181" s="44"/>
      <c r="AI181" s="44"/>
      <c r="AJ181" s="44"/>
    </row>
    <row r="182" spans="14:36" x14ac:dyDescent="0.25">
      <c r="N182" t="s">
        <v>396</v>
      </c>
      <c r="O182" t="s">
        <v>397</v>
      </c>
      <c r="P182" t="s">
        <v>394</v>
      </c>
      <c r="Q182" t="s">
        <v>395</v>
      </c>
      <c r="R182">
        <f t="shared" si="6"/>
        <v>17</v>
      </c>
      <c r="S182">
        <f t="shared" ca="1" si="7"/>
        <v>0</v>
      </c>
      <c r="T182">
        <f t="shared" si="8"/>
        <v>179</v>
      </c>
      <c r="U182" t="str">
        <f>IF($T182&lt;=Z$4,INDEX(TypicalCriticalitiesMAHBarrier[Barrier Family Description],MATCH($T182,TypicalCriticalitiesMAHBarrier[Barrier Family ID],0)),"")</f>
        <v/>
      </c>
      <c r="V182" t="str">
        <f ca="1">IF($T182&lt;=AA$4,INDEX(TypicalCriticalitiesMAHBarrier[Typical Components],MATCH($T182,TypicalCriticalitiesMAHBarrier[Column2],0)),"")</f>
        <v/>
      </c>
      <c r="W182" t="str">
        <f ca="1">IF($T182&lt;=AA$4,INDEX(TypicalCriticalitiesMAHBarrier[Typical Criticality],MATCH($T182,TypicalCriticalitiesMAHBarrier[Column2],0)),"")</f>
        <v/>
      </c>
      <c r="AE182" s="44"/>
      <c r="AF182" s="44"/>
      <c r="AG182" s="44"/>
      <c r="AH182" s="44"/>
      <c r="AI182" s="44"/>
      <c r="AJ182" s="44"/>
    </row>
    <row r="183" spans="14:36" x14ac:dyDescent="0.25">
      <c r="N183" t="s">
        <v>396</v>
      </c>
      <c r="O183" t="s">
        <v>397</v>
      </c>
      <c r="P183" t="s">
        <v>416</v>
      </c>
      <c r="Q183" t="s">
        <v>0</v>
      </c>
      <c r="R183">
        <f t="shared" si="6"/>
        <v>17</v>
      </c>
      <c r="S183">
        <f t="shared" ca="1" si="7"/>
        <v>0</v>
      </c>
      <c r="T183">
        <f t="shared" si="8"/>
        <v>180</v>
      </c>
      <c r="U183" t="str">
        <f>IF($T183&lt;=Z$4,INDEX(TypicalCriticalitiesMAHBarrier[Barrier Family Description],MATCH($T183,TypicalCriticalitiesMAHBarrier[Barrier Family ID],0)),"")</f>
        <v/>
      </c>
      <c r="V183" t="str">
        <f ca="1">IF($T183&lt;=AA$4,INDEX(TypicalCriticalitiesMAHBarrier[Typical Components],MATCH($T183,TypicalCriticalitiesMAHBarrier[Column2],0)),"")</f>
        <v/>
      </c>
      <c r="W183" t="str">
        <f ca="1">IF($T183&lt;=AA$4,INDEX(TypicalCriticalitiesMAHBarrier[Typical Criticality],MATCH($T183,TypicalCriticalitiesMAHBarrier[Column2],0)),"")</f>
        <v/>
      </c>
      <c r="AE183" s="44"/>
      <c r="AF183" s="44"/>
      <c r="AG183" s="44"/>
      <c r="AH183" s="44"/>
      <c r="AI183" s="44"/>
      <c r="AJ183" s="44"/>
    </row>
    <row r="184" spans="14:36" x14ac:dyDescent="0.25">
      <c r="N184" t="s">
        <v>417</v>
      </c>
      <c r="O184" t="s">
        <v>418</v>
      </c>
      <c r="P184" t="s">
        <v>419</v>
      </c>
      <c r="Q184" t="s">
        <v>0</v>
      </c>
      <c r="R184">
        <f t="shared" si="6"/>
        <v>18</v>
      </c>
      <c r="S184">
        <f t="shared" ca="1" si="7"/>
        <v>0</v>
      </c>
      <c r="T184">
        <f t="shared" si="8"/>
        <v>181</v>
      </c>
      <c r="U184" t="str">
        <f>IF($T184&lt;=Z$4,INDEX(TypicalCriticalitiesMAHBarrier[Barrier Family Description],MATCH($T184,TypicalCriticalitiesMAHBarrier[Barrier Family ID],0)),"")</f>
        <v/>
      </c>
      <c r="V184" t="str">
        <f ca="1">IF($T184&lt;=AA$4,INDEX(TypicalCriticalitiesMAHBarrier[Typical Components],MATCH($T184,TypicalCriticalitiesMAHBarrier[Column2],0)),"")</f>
        <v/>
      </c>
      <c r="W184" t="str">
        <f ca="1">IF($T184&lt;=AA$4,INDEX(TypicalCriticalitiesMAHBarrier[Typical Criticality],MATCH($T184,TypicalCriticalitiesMAHBarrier[Column2],0)),"")</f>
        <v/>
      </c>
      <c r="AE184" s="44"/>
      <c r="AF184" s="44"/>
      <c r="AG184" s="44"/>
      <c r="AH184" s="44"/>
      <c r="AI184" s="44"/>
      <c r="AJ184" s="44"/>
    </row>
    <row r="185" spans="14:36" x14ac:dyDescent="0.25">
      <c r="N185" t="s">
        <v>417</v>
      </c>
      <c r="O185" t="s">
        <v>418</v>
      </c>
      <c r="P185" t="s">
        <v>420</v>
      </c>
      <c r="Q185" t="s">
        <v>0</v>
      </c>
      <c r="R185">
        <f t="shared" si="6"/>
        <v>18</v>
      </c>
      <c r="S185">
        <f t="shared" ca="1" si="7"/>
        <v>0</v>
      </c>
      <c r="T185">
        <f t="shared" si="8"/>
        <v>182</v>
      </c>
      <c r="U185" t="str">
        <f>IF($T185&lt;=Z$4,INDEX(TypicalCriticalitiesMAHBarrier[Barrier Family Description],MATCH($T185,TypicalCriticalitiesMAHBarrier[Barrier Family ID],0)),"")</f>
        <v/>
      </c>
      <c r="V185" t="str">
        <f ca="1">IF($T185&lt;=AA$4,INDEX(TypicalCriticalitiesMAHBarrier[Typical Components],MATCH($T185,TypicalCriticalitiesMAHBarrier[Column2],0)),"")</f>
        <v/>
      </c>
      <c r="W185" t="str">
        <f ca="1">IF($T185&lt;=AA$4,INDEX(TypicalCriticalitiesMAHBarrier[Typical Criticality],MATCH($T185,TypicalCriticalitiesMAHBarrier[Column2],0)),"")</f>
        <v/>
      </c>
      <c r="AE185" s="44"/>
      <c r="AF185" s="44"/>
      <c r="AG185" s="44"/>
      <c r="AH185" s="44"/>
      <c r="AI185" s="44"/>
      <c r="AJ185" s="44"/>
    </row>
    <row r="186" spans="14:36" x14ac:dyDescent="0.25">
      <c r="N186" t="s">
        <v>417</v>
      </c>
      <c r="O186" t="s">
        <v>418</v>
      </c>
      <c r="P186" t="s">
        <v>421</v>
      </c>
      <c r="Q186" t="s">
        <v>0</v>
      </c>
      <c r="R186">
        <f t="shared" si="6"/>
        <v>18</v>
      </c>
      <c r="S186">
        <f t="shared" ca="1" si="7"/>
        <v>0</v>
      </c>
      <c r="T186">
        <f t="shared" si="8"/>
        <v>183</v>
      </c>
      <c r="U186" t="str">
        <f>IF($T186&lt;=Z$4,INDEX(TypicalCriticalitiesMAHBarrier[Barrier Family Description],MATCH($T186,TypicalCriticalitiesMAHBarrier[Barrier Family ID],0)),"")</f>
        <v/>
      </c>
      <c r="V186" t="str">
        <f ca="1">IF($T186&lt;=AA$4,INDEX(TypicalCriticalitiesMAHBarrier[Typical Components],MATCH($T186,TypicalCriticalitiesMAHBarrier[Column2],0)),"")</f>
        <v/>
      </c>
      <c r="W186" t="str">
        <f ca="1">IF($T186&lt;=AA$4,INDEX(TypicalCriticalitiesMAHBarrier[Typical Criticality],MATCH($T186,TypicalCriticalitiesMAHBarrier[Column2],0)),"")</f>
        <v/>
      </c>
      <c r="AE186" s="44"/>
      <c r="AF186" s="44"/>
      <c r="AG186" s="44"/>
      <c r="AH186" s="44"/>
      <c r="AI186" s="44"/>
      <c r="AJ186" s="44"/>
    </row>
    <row r="187" spans="14:36" x14ac:dyDescent="0.25">
      <c r="N187" t="s">
        <v>417</v>
      </c>
      <c r="O187" t="s">
        <v>418</v>
      </c>
      <c r="P187" t="s">
        <v>422</v>
      </c>
      <c r="Q187" t="s">
        <v>0</v>
      </c>
      <c r="R187">
        <f t="shared" si="6"/>
        <v>18</v>
      </c>
      <c r="S187">
        <f t="shared" ca="1" si="7"/>
        <v>0</v>
      </c>
      <c r="T187">
        <f t="shared" si="8"/>
        <v>184</v>
      </c>
      <c r="U187" t="str">
        <f>IF($T187&lt;=Z$4,INDEX(TypicalCriticalitiesMAHBarrier[Barrier Family Description],MATCH($T187,TypicalCriticalitiesMAHBarrier[Barrier Family ID],0)),"")</f>
        <v/>
      </c>
      <c r="V187" t="str">
        <f ca="1">IF($T187&lt;=AA$4,INDEX(TypicalCriticalitiesMAHBarrier[Typical Components],MATCH($T187,TypicalCriticalitiesMAHBarrier[Column2],0)),"")</f>
        <v/>
      </c>
      <c r="W187" t="str">
        <f ca="1">IF($T187&lt;=AA$4,INDEX(TypicalCriticalitiesMAHBarrier[Typical Criticality],MATCH($T187,TypicalCriticalitiesMAHBarrier[Column2],0)),"")</f>
        <v/>
      </c>
      <c r="AE187" s="44"/>
      <c r="AF187" s="44"/>
      <c r="AG187" s="44"/>
      <c r="AH187" s="44"/>
      <c r="AI187" s="44"/>
      <c r="AJ187" s="44"/>
    </row>
    <row r="188" spans="14:36" x14ac:dyDescent="0.25">
      <c r="N188" t="s">
        <v>417</v>
      </c>
      <c r="O188" t="s">
        <v>423</v>
      </c>
      <c r="P188" t="s">
        <v>424</v>
      </c>
      <c r="Q188" t="s">
        <v>0</v>
      </c>
      <c r="R188">
        <f t="shared" si="6"/>
        <v>19</v>
      </c>
      <c r="S188">
        <f t="shared" ca="1" si="7"/>
        <v>0</v>
      </c>
      <c r="T188">
        <f t="shared" si="8"/>
        <v>185</v>
      </c>
      <c r="U188" t="str">
        <f>IF($T188&lt;=Z$4,INDEX(TypicalCriticalitiesMAHBarrier[Barrier Family Description],MATCH($T188,TypicalCriticalitiesMAHBarrier[Barrier Family ID],0)),"")</f>
        <v/>
      </c>
      <c r="V188" t="str">
        <f ca="1">IF($T188&lt;=AA$4,INDEX(TypicalCriticalitiesMAHBarrier[Typical Components],MATCH($T188,TypicalCriticalitiesMAHBarrier[Column2],0)),"")</f>
        <v/>
      </c>
      <c r="W188" t="str">
        <f ca="1">IF($T188&lt;=AA$4,INDEX(TypicalCriticalitiesMAHBarrier[Typical Criticality],MATCH($T188,TypicalCriticalitiesMAHBarrier[Column2],0)),"")</f>
        <v/>
      </c>
      <c r="AE188" s="44"/>
      <c r="AF188" s="44"/>
      <c r="AG188" s="44"/>
      <c r="AH188" s="44"/>
      <c r="AI188" s="44"/>
      <c r="AJ188" s="44"/>
    </row>
    <row r="189" spans="14:36" x14ac:dyDescent="0.25">
      <c r="N189" t="s">
        <v>417</v>
      </c>
      <c r="O189" t="s">
        <v>425</v>
      </c>
      <c r="P189" t="s">
        <v>426</v>
      </c>
      <c r="Q189" t="s">
        <v>1</v>
      </c>
      <c r="R189">
        <f t="shared" si="6"/>
        <v>20</v>
      </c>
      <c r="S189">
        <f t="shared" ca="1" si="7"/>
        <v>0</v>
      </c>
      <c r="T189">
        <f t="shared" si="8"/>
        <v>186</v>
      </c>
      <c r="U189" t="str">
        <f>IF($T189&lt;=Z$4,INDEX(TypicalCriticalitiesMAHBarrier[Barrier Family Description],MATCH($T189,TypicalCriticalitiesMAHBarrier[Barrier Family ID],0)),"")</f>
        <v/>
      </c>
      <c r="V189" t="str">
        <f ca="1">IF($T189&lt;=AA$4,INDEX(TypicalCriticalitiesMAHBarrier[Typical Components],MATCH($T189,TypicalCriticalitiesMAHBarrier[Column2],0)),"")</f>
        <v/>
      </c>
      <c r="W189" t="str">
        <f ca="1">IF($T189&lt;=AA$4,INDEX(TypicalCriticalitiesMAHBarrier[Typical Criticality],MATCH($T189,TypicalCriticalitiesMAHBarrier[Column2],0)),"")</f>
        <v/>
      </c>
      <c r="AE189" s="44"/>
      <c r="AF189" s="44"/>
      <c r="AG189" s="44"/>
      <c r="AH189" s="44"/>
      <c r="AI189" s="44"/>
      <c r="AJ189" s="44"/>
    </row>
    <row r="190" spans="14:36" x14ac:dyDescent="0.25">
      <c r="N190" t="s">
        <v>417</v>
      </c>
      <c r="O190" t="s">
        <v>427</v>
      </c>
      <c r="P190" t="s">
        <v>426</v>
      </c>
      <c r="Q190" t="s">
        <v>2</v>
      </c>
      <c r="R190">
        <f t="shared" si="6"/>
        <v>21</v>
      </c>
      <c r="S190">
        <f t="shared" ca="1" si="7"/>
        <v>0</v>
      </c>
      <c r="T190">
        <f t="shared" si="8"/>
        <v>187</v>
      </c>
      <c r="U190" t="str">
        <f>IF($T190&lt;=Z$4,INDEX(TypicalCriticalitiesMAHBarrier[Barrier Family Description],MATCH($T190,TypicalCriticalitiesMAHBarrier[Barrier Family ID],0)),"")</f>
        <v/>
      </c>
      <c r="V190" t="str">
        <f ca="1">IF($T190&lt;=AA$4,INDEX(TypicalCriticalitiesMAHBarrier[Typical Components],MATCH($T190,TypicalCriticalitiesMAHBarrier[Column2],0)),"")</f>
        <v/>
      </c>
      <c r="W190" t="str">
        <f ca="1">IF($T190&lt;=AA$4,INDEX(TypicalCriticalitiesMAHBarrier[Typical Criticality],MATCH($T190,TypicalCriticalitiesMAHBarrier[Column2],0)),"")</f>
        <v/>
      </c>
      <c r="AE190" s="44"/>
      <c r="AF190" s="44"/>
      <c r="AG190" s="44"/>
      <c r="AH190" s="44"/>
      <c r="AI190" s="44"/>
      <c r="AJ190" s="44"/>
    </row>
    <row r="191" spans="14:36" x14ac:dyDescent="0.25">
      <c r="N191" t="s">
        <v>428</v>
      </c>
      <c r="O191" t="s">
        <v>429</v>
      </c>
      <c r="P191" t="s">
        <v>430</v>
      </c>
      <c r="Q191" t="s">
        <v>0</v>
      </c>
      <c r="R191">
        <f t="shared" si="6"/>
        <v>22</v>
      </c>
      <c r="S191">
        <f t="shared" ca="1" si="7"/>
        <v>0</v>
      </c>
      <c r="T191">
        <f t="shared" si="8"/>
        <v>188</v>
      </c>
      <c r="U191" t="str">
        <f>IF($T191&lt;=Z$4,INDEX(TypicalCriticalitiesMAHBarrier[Barrier Family Description],MATCH($T191,TypicalCriticalitiesMAHBarrier[Barrier Family ID],0)),"")</f>
        <v/>
      </c>
      <c r="V191" t="str">
        <f ca="1">IF($T191&lt;=AA$4,INDEX(TypicalCriticalitiesMAHBarrier[Typical Components],MATCH($T191,TypicalCriticalitiesMAHBarrier[Column2],0)),"")</f>
        <v/>
      </c>
      <c r="W191" t="str">
        <f ca="1">IF($T191&lt;=AA$4,INDEX(TypicalCriticalitiesMAHBarrier[Typical Criticality],MATCH($T191,TypicalCriticalitiesMAHBarrier[Column2],0)),"")</f>
        <v/>
      </c>
      <c r="AE191" s="44"/>
      <c r="AF191" s="44"/>
      <c r="AG191" s="44"/>
      <c r="AH191" s="44"/>
      <c r="AI191" s="44"/>
      <c r="AJ191" s="44"/>
    </row>
    <row r="192" spans="14:36" x14ac:dyDescent="0.25">
      <c r="N192" t="s">
        <v>428</v>
      </c>
      <c r="O192" t="s">
        <v>429</v>
      </c>
      <c r="P192" t="s">
        <v>431</v>
      </c>
      <c r="Q192" t="s">
        <v>0</v>
      </c>
      <c r="R192">
        <f t="shared" si="6"/>
        <v>22</v>
      </c>
      <c r="S192">
        <f t="shared" ca="1" si="7"/>
        <v>0</v>
      </c>
      <c r="T192">
        <f t="shared" si="8"/>
        <v>189</v>
      </c>
      <c r="U192" t="str">
        <f>IF($T192&lt;=Z$4,INDEX(TypicalCriticalitiesMAHBarrier[Barrier Family Description],MATCH($T192,TypicalCriticalitiesMAHBarrier[Barrier Family ID],0)),"")</f>
        <v/>
      </c>
      <c r="V192" t="str">
        <f ca="1">IF($T192&lt;=AA$4,INDEX(TypicalCriticalitiesMAHBarrier[Typical Components],MATCH($T192,TypicalCriticalitiesMAHBarrier[Column2],0)),"")</f>
        <v/>
      </c>
      <c r="W192" t="str">
        <f ca="1">IF($T192&lt;=AA$4,INDEX(TypicalCriticalitiesMAHBarrier[Typical Criticality],MATCH($T192,TypicalCriticalitiesMAHBarrier[Column2],0)),"")</f>
        <v/>
      </c>
      <c r="AE192" s="44"/>
      <c r="AF192" s="44"/>
      <c r="AG192" s="44"/>
      <c r="AH192" s="44"/>
      <c r="AI192" s="44"/>
      <c r="AJ192" s="44"/>
    </row>
    <row r="193" spans="14:36" x14ac:dyDescent="0.25">
      <c r="N193" t="s">
        <v>428</v>
      </c>
      <c r="O193" t="s">
        <v>429</v>
      </c>
      <c r="P193" t="s">
        <v>432</v>
      </c>
      <c r="Q193" t="s">
        <v>0</v>
      </c>
      <c r="R193">
        <f t="shared" si="6"/>
        <v>22</v>
      </c>
      <c r="S193">
        <f t="shared" ca="1" si="7"/>
        <v>0</v>
      </c>
      <c r="T193">
        <f t="shared" si="8"/>
        <v>190</v>
      </c>
      <c r="U193" t="str">
        <f>IF($T193&lt;=Z$4,INDEX(TypicalCriticalitiesMAHBarrier[Barrier Family Description],MATCH($T193,TypicalCriticalitiesMAHBarrier[Barrier Family ID],0)),"")</f>
        <v/>
      </c>
      <c r="V193" t="str">
        <f ca="1">IF($T193&lt;=AA$4,INDEX(TypicalCriticalitiesMAHBarrier[Typical Components],MATCH($T193,TypicalCriticalitiesMAHBarrier[Column2],0)),"")</f>
        <v/>
      </c>
      <c r="W193" t="str">
        <f ca="1">IF($T193&lt;=AA$4,INDEX(TypicalCriticalitiesMAHBarrier[Typical Criticality],MATCH($T193,TypicalCriticalitiesMAHBarrier[Column2],0)),"")</f>
        <v/>
      </c>
      <c r="AE193" s="44"/>
      <c r="AF193" s="44"/>
      <c r="AG193" s="44"/>
      <c r="AH193" s="44"/>
      <c r="AI193" s="44"/>
      <c r="AJ193" s="44"/>
    </row>
    <row r="194" spans="14:36" x14ac:dyDescent="0.25">
      <c r="N194" t="s">
        <v>428</v>
      </c>
      <c r="O194" t="s">
        <v>429</v>
      </c>
      <c r="P194" t="s">
        <v>433</v>
      </c>
      <c r="Q194" t="s">
        <v>0</v>
      </c>
      <c r="R194">
        <f t="shared" si="6"/>
        <v>22</v>
      </c>
      <c r="S194">
        <f t="shared" ca="1" si="7"/>
        <v>0</v>
      </c>
      <c r="T194">
        <f t="shared" si="8"/>
        <v>191</v>
      </c>
      <c r="U194" t="str">
        <f>IF($T194&lt;=Z$4,INDEX(TypicalCriticalitiesMAHBarrier[Barrier Family Description],MATCH($T194,TypicalCriticalitiesMAHBarrier[Barrier Family ID],0)),"")</f>
        <v/>
      </c>
      <c r="V194" t="str">
        <f ca="1">IF($T194&lt;=AA$4,INDEX(TypicalCriticalitiesMAHBarrier[Typical Components],MATCH($T194,TypicalCriticalitiesMAHBarrier[Column2],0)),"")</f>
        <v/>
      </c>
      <c r="W194" t="str">
        <f ca="1">IF($T194&lt;=AA$4,INDEX(TypicalCriticalitiesMAHBarrier[Typical Criticality],MATCH($T194,TypicalCriticalitiesMAHBarrier[Column2],0)),"")</f>
        <v/>
      </c>
      <c r="AE194" s="44"/>
      <c r="AF194" s="44"/>
      <c r="AG194" s="44"/>
      <c r="AH194" s="44"/>
      <c r="AI194" s="44"/>
      <c r="AJ194" s="44"/>
    </row>
    <row r="195" spans="14:36" x14ac:dyDescent="0.25">
      <c r="N195" t="s">
        <v>428</v>
      </c>
      <c r="O195" t="s">
        <v>434</v>
      </c>
      <c r="P195" t="s">
        <v>430</v>
      </c>
      <c r="Q195" t="s">
        <v>1</v>
      </c>
      <c r="R195">
        <f t="shared" si="6"/>
        <v>23</v>
      </c>
      <c r="S195">
        <f t="shared" ca="1" si="7"/>
        <v>0</v>
      </c>
      <c r="T195">
        <f t="shared" si="8"/>
        <v>192</v>
      </c>
      <c r="U195" t="str">
        <f>IF($T195&lt;=Z$4,INDEX(TypicalCriticalitiesMAHBarrier[Barrier Family Description],MATCH($T195,TypicalCriticalitiesMAHBarrier[Barrier Family ID],0)),"")</f>
        <v/>
      </c>
      <c r="V195" t="str">
        <f ca="1">IF($T195&lt;=AA$4,INDEX(TypicalCriticalitiesMAHBarrier[Typical Components],MATCH($T195,TypicalCriticalitiesMAHBarrier[Column2],0)),"")</f>
        <v/>
      </c>
      <c r="W195" t="str">
        <f ca="1">IF($T195&lt;=AA$4,INDEX(TypicalCriticalitiesMAHBarrier[Typical Criticality],MATCH($T195,TypicalCriticalitiesMAHBarrier[Column2],0)),"")</f>
        <v/>
      </c>
      <c r="AE195" s="44"/>
      <c r="AF195" s="44"/>
      <c r="AG195" s="44"/>
      <c r="AH195" s="44"/>
      <c r="AI195" s="44"/>
      <c r="AJ195" s="44"/>
    </row>
    <row r="196" spans="14:36" x14ac:dyDescent="0.25">
      <c r="N196" t="s">
        <v>428</v>
      </c>
      <c r="O196" t="s">
        <v>434</v>
      </c>
      <c r="P196" t="s">
        <v>435</v>
      </c>
      <c r="Q196" t="s">
        <v>1</v>
      </c>
      <c r="R196">
        <f t="shared" si="6"/>
        <v>23</v>
      </c>
      <c r="S196">
        <f t="shared" ca="1" si="7"/>
        <v>0</v>
      </c>
      <c r="T196">
        <f t="shared" si="8"/>
        <v>193</v>
      </c>
      <c r="U196" t="str">
        <f>IF($T196&lt;=Z$4,INDEX(TypicalCriticalitiesMAHBarrier[Barrier Family Description],MATCH($T196,TypicalCriticalitiesMAHBarrier[Barrier Family ID],0)),"")</f>
        <v/>
      </c>
      <c r="V196" t="str">
        <f ca="1">IF($T196&lt;=AA$4,INDEX(TypicalCriticalitiesMAHBarrier[Typical Components],MATCH($T196,TypicalCriticalitiesMAHBarrier[Column2],0)),"")</f>
        <v/>
      </c>
      <c r="W196" t="str">
        <f ca="1">IF($T196&lt;=AA$4,INDEX(TypicalCriticalitiesMAHBarrier[Typical Criticality],MATCH($T196,TypicalCriticalitiesMAHBarrier[Column2],0)),"")</f>
        <v/>
      </c>
      <c r="AE196" s="44"/>
      <c r="AF196" s="44"/>
      <c r="AG196" s="44"/>
      <c r="AH196" s="44"/>
      <c r="AI196" s="44"/>
      <c r="AJ196" s="44"/>
    </row>
    <row r="197" spans="14:36" x14ac:dyDescent="0.25">
      <c r="N197" t="s">
        <v>436</v>
      </c>
      <c r="O197" t="s">
        <v>437</v>
      </c>
      <c r="P197" t="s">
        <v>438</v>
      </c>
      <c r="Q197" t="s">
        <v>0</v>
      </c>
      <c r="R197">
        <f t="shared" ref="R197:R264" si="9">IF(AND(O197&lt;&gt;O196,O197&lt;&gt;""),R196+1,R196)</f>
        <v>24</v>
      </c>
      <c r="S197">
        <f t="shared" ref="S197:S264" ca="1" si="10">IF(R197=$Z$5,IF(AND(P197&lt;&gt;P196,P197&lt;&gt;""),S196+1,S196),S196)</f>
        <v>0</v>
      </c>
      <c r="T197">
        <f t="shared" ref="T197:T264" si="11">T196+1</f>
        <v>194</v>
      </c>
      <c r="U197" t="str">
        <f>IF($T197&lt;=Z$4,INDEX(TypicalCriticalitiesMAHBarrier[Barrier Family Description],MATCH($T197,TypicalCriticalitiesMAHBarrier[Barrier Family ID],0)),"")</f>
        <v/>
      </c>
      <c r="V197" t="str">
        <f ca="1">IF($T197&lt;=AA$4,INDEX(TypicalCriticalitiesMAHBarrier[Typical Components],MATCH($T197,TypicalCriticalitiesMAHBarrier[Column2],0)),"")</f>
        <v/>
      </c>
      <c r="W197" t="str">
        <f ca="1">IF($T197&lt;=AA$4,INDEX(TypicalCriticalitiesMAHBarrier[Typical Criticality],MATCH($T197,TypicalCriticalitiesMAHBarrier[Column2],0)),"")</f>
        <v/>
      </c>
      <c r="AE197" s="44"/>
      <c r="AF197" s="44"/>
      <c r="AG197" s="44"/>
      <c r="AH197" s="44"/>
      <c r="AI197" s="44"/>
      <c r="AJ197" s="44"/>
    </row>
    <row r="198" spans="14:36" x14ac:dyDescent="0.25">
      <c r="N198" t="s">
        <v>439</v>
      </c>
      <c r="O198" t="s">
        <v>440</v>
      </c>
      <c r="P198" t="s">
        <v>441</v>
      </c>
      <c r="Q198" t="s">
        <v>0</v>
      </c>
      <c r="R198">
        <f t="shared" si="9"/>
        <v>25</v>
      </c>
      <c r="S198">
        <f t="shared" ca="1" si="10"/>
        <v>0</v>
      </c>
      <c r="T198">
        <f t="shared" si="11"/>
        <v>195</v>
      </c>
      <c r="U198" t="str">
        <f>IF($T198&lt;=Z$4,INDEX(TypicalCriticalitiesMAHBarrier[Barrier Family Description],MATCH($T198,TypicalCriticalitiesMAHBarrier[Barrier Family ID],0)),"")</f>
        <v/>
      </c>
      <c r="V198" t="str">
        <f ca="1">IF($T198&lt;=AA$4,INDEX(TypicalCriticalitiesMAHBarrier[Typical Components],MATCH($T198,TypicalCriticalitiesMAHBarrier[Column2],0)),"")</f>
        <v/>
      </c>
      <c r="W198" t="str">
        <f ca="1">IF($T198&lt;=AA$4,INDEX(TypicalCriticalitiesMAHBarrier[Typical Criticality],MATCH($T198,TypicalCriticalitiesMAHBarrier[Column2],0)),"")</f>
        <v/>
      </c>
      <c r="AE198" s="44"/>
      <c r="AF198" s="44"/>
      <c r="AG198" s="44"/>
      <c r="AH198" s="44"/>
      <c r="AI198" s="44"/>
      <c r="AJ198" s="44"/>
    </row>
    <row r="199" spans="14:36" x14ac:dyDescent="0.25">
      <c r="N199" t="s">
        <v>442</v>
      </c>
      <c r="O199" t="s">
        <v>443</v>
      </c>
      <c r="P199" t="s">
        <v>444</v>
      </c>
      <c r="Q199" t="s">
        <v>1</v>
      </c>
      <c r="R199">
        <f t="shared" si="9"/>
        <v>26</v>
      </c>
      <c r="S199">
        <f t="shared" ca="1" si="10"/>
        <v>0</v>
      </c>
      <c r="T199">
        <f t="shared" si="11"/>
        <v>196</v>
      </c>
      <c r="U199" t="str">
        <f>IF($T199&lt;=Z$4,INDEX(TypicalCriticalitiesMAHBarrier[Barrier Family Description],MATCH($T199,TypicalCriticalitiesMAHBarrier[Barrier Family ID],0)),"")</f>
        <v/>
      </c>
      <c r="V199" t="str">
        <f ca="1">IF($T199&lt;=AA$4,INDEX(TypicalCriticalitiesMAHBarrier[Typical Components],MATCH($T199,TypicalCriticalitiesMAHBarrier[Column2],0)),"")</f>
        <v/>
      </c>
      <c r="W199" t="str">
        <f ca="1">IF($T199&lt;=AA$4,INDEX(TypicalCriticalitiesMAHBarrier[Typical Criticality],MATCH($T199,TypicalCriticalitiesMAHBarrier[Column2],0)),"")</f>
        <v/>
      </c>
      <c r="AE199" s="44"/>
      <c r="AF199" s="44"/>
      <c r="AG199" s="44"/>
      <c r="AH199" s="44"/>
      <c r="AI199" s="44"/>
      <c r="AJ199" s="44"/>
    </row>
    <row r="200" spans="14:36" x14ac:dyDescent="0.25">
      <c r="N200" t="s">
        <v>442</v>
      </c>
      <c r="O200" t="s">
        <v>443</v>
      </c>
      <c r="P200" t="s">
        <v>445</v>
      </c>
      <c r="Q200" t="s">
        <v>1</v>
      </c>
      <c r="R200">
        <f t="shared" si="9"/>
        <v>26</v>
      </c>
      <c r="S200">
        <f t="shared" ca="1" si="10"/>
        <v>0</v>
      </c>
      <c r="T200">
        <f t="shared" si="11"/>
        <v>197</v>
      </c>
      <c r="U200" t="str">
        <f>IF($T200&lt;=Z$4,INDEX(TypicalCriticalitiesMAHBarrier[Barrier Family Description],MATCH($T200,TypicalCriticalitiesMAHBarrier[Barrier Family ID],0)),"")</f>
        <v/>
      </c>
      <c r="V200" t="str">
        <f ca="1">IF($T200&lt;=AA$4,INDEX(TypicalCriticalitiesMAHBarrier[Typical Components],MATCH($T200,TypicalCriticalitiesMAHBarrier[Column2],0)),"")</f>
        <v/>
      </c>
      <c r="W200" t="str">
        <f ca="1">IF($T200&lt;=AA$4,INDEX(TypicalCriticalitiesMAHBarrier[Typical Criticality],MATCH($T200,TypicalCriticalitiesMAHBarrier[Column2],0)),"")</f>
        <v/>
      </c>
      <c r="AE200" s="44"/>
      <c r="AF200" s="44"/>
      <c r="AG200" s="44"/>
      <c r="AH200" s="44"/>
      <c r="AI200" s="44"/>
      <c r="AJ200" s="44"/>
    </row>
    <row r="201" spans="14:36" x14ac:dyDescent="0.25">
      <c r="N201" t="s">
        <v>446</v>
      </c>
      <c r="O201" t="s">
        <v>447</v>
      </c>
      <c r="P201" t="s">
        <v>448</v>
      </c>
      <c r="Q201" t="s">
        <v>449</v>
      </c>
      <c r="R201">
        <f t="shared" si="9"/>
        <v>27</v>
      </c>
      <c r="S201">
        <f t="shared" ca="1" si="10"/>
        <v>0</v>
      </c>
      <c r="T201">
        <f t="shared" si="11"/>
        <v>198</v>
      </c>
      <c r="U201" t="str">
        <f>IF($T201&lt;=Z$4,INDEX(TypicalCriticalitiesMAHBarrier[Barrier Family Description],MATCH($T201,TypicalCriticalitiesMAHBarrier[Barrier Family ID],0)),"")</f>
        <v/>
      </c>
      <c r="V201" t="str">
        <f ca="1">IF($T201&lt;=AA$4,INDEX(TypicalCriticalitiesMAHBarrier[Typical Components],MATCH($T201,TypicalCriticalitiesMAHBarrier[Column2],0)),"")</f>
        <v/>
      </c>
      <c r="W201" t="str">
        <f ca="1">IF($T201&lt;=AA$4,INDEX(TypicalCriticalitiesMAHBarrier[Typical Criticality],MATCH($T201,TypicalCriticalitiesMAHBarrier[Column2],0)),"")</f>
        <v/>
      </c>
      <c r="AE201" s="44"/>
      <c r="AF201" s="44"/>
      <c r="AG201" s="44"/>
      <c r="AH201" s="44"/>
      <c r="AI201" s="44"/>
      <c r="AJ201" s="44"/>
    </row>
    <row r="202" spans="14:36" x14ac:dyDescent="0.25">
      <c r="N202" t="s">
        <v>446</v>
      </c>
      <c r="O202" t="str">
        <f t="shared" ref="O202:O208" si="12">O201</f>
        <v xml:space="preserve">Bunding, Open and Closed Hazardous Drains </v>
      </c>
      <c r="P202" t="s">
        <v>450</v>
      </c>
      <c r="Q202" t="s">
        <v>449</v>
      </c>
      <c r="R202">
        <f t="shared" si="9"/>
        <v>27</v>
      </c>
      <c r="S202">
        <f t="shared" ca="1" si="10"/>
        <v>0</v>
      </c>
      <c r="T202">
        <f t="shared" si="11"/>
        <v>199</v>
      </c>
      <c r="U202" t="str">
        <f>IF($T202&lt;=Z$4,INDEX(TypicalCriticalitiesMAHBarrier[Barrier Family Description],MATCH($T202,TypicalCriticalitiesMAHBarrier[Barrier Family ID],0)),"")</f>
        <v/>
      </c>
      <c r="V202" t="str">
        <f ca="1">IF($T202&lt;=AA$4,INDEX(TypicalCriticalitiesMAHBarrier[Typical Components],MATCH($T202,TypicalCriticalitiesMAHBarrier[Column2],0)),"")</f>
        <v/>
      </c>
      <c r="W202" t="str">
        <f ca="1">IF($T202&lt;=AA$4,INDEX(TypicalCriticalitiesMAHBarrier[Typical Criticality],MATCH($T202,TypicalCriticalitiesMAHBarrier[Column2],0)),"")</f>
        <v/>
      </c>
      <c r="AE202" s="44"/>
      <c r="AF202" s="44"/>
      <c r="AG202" s="44"/>
      <c r="AH202" s="44"/>
      <c r="AI202" s="44"/>
      <c r="AJ202" s="44"/>
    </row>
    <row r="203" spans="14:36" x14ac:dyDescent="0.25">
      <c r="N203" t="s">
        <v>446</v>
      </c>
      <c r="O203" t="str">
        <f t="shared" si="12"/>
        <v xml:space="preserve">Bunding, Open and Closed Hazardous Drains </v>
      </c>
      <c r="P203" t="s">
        <v>451</v>
      </c>
      <c r="Q203" t="s">
        <v>452</v>
      </c>
      <c r="R203">
        <f t="shared" si="9"/>
        <v>27</v>
      </c>
      <c r="S203">
        <f t="shared" ca="1" si="10"/>
        <v>0</v>
      </c>
      <c r="T203">
        <f t="shared" si="11"/>
        <v>200</v>
      </c>
      <c r="U203" t="str">
        <f>IF($T203&lt;=Z$4,INDEX(TypicalCriticalitiesMAHBarrier[Barrier Family Description],MATCH($T203,TypicalCriticalitiesMAHBarrier[Barrier Family ID],0)),"")</f>
        <v/>
      </c>
      <c r="V203" t="str">
        <f ca="1">IF($T203&lt;=AA$4,INDEX(TypicalCriticalitiesMAHBarrier[Typical Components],MATCH($T203,TypicalCriticalitiesMAHBarrier[Column2],0)),"")</f>
        <v/>
      </c>
      <c r="W203" t="str">
        <f ca="1">IF($T203&lt;=AA$4,INDEX(TypicalCriticalitiesMAHBarrier[Typical Criticality],MATCH($T203,TypicalCriticalitiesMAHBarrier[Column2],0)),"")</f>
        <v/>
      </c>
      <c r="AE203" s="44"/>
      <c r="AF203" s="44"/>
      <c r="AG203" s="44"/>
      <c r="AH203" s="44"/>
      <c r="AI203" s="44"/>
      <c r="AJ203" s="44"/>
    </row>
    <row r="204" spans="14:36" x14ac:dyDescent="0.25">
      <c r="N204" t="s">
        <v>446</v>
      </c>
      <c r="O204" t="str">
        <f t="shared" si="12"/>
        <v xml:space="preserve">Bunding, Open and Closed Hazardous Drains </v>
      </c>
      <c r="P204" t="s">
        <v>453</v>
      </c>
      <c r="Q204" t="s">
        <v>452</v>
      </c>
      <c r="R204">
        <f t="shared" si="9"/>
        <v>27</v>
      </c>
      <c r="S204">
        <f t="shared" ca="1" si="10"/>
        <v>0</v>
      </c>
      <c r="T204">
        <f t="shared" si="11"/>
        <v>201</v>
      </c>
      <c r="U204" t="str">
        <f>IF($T204&lt;=Z$4,INDEX(TypicalCriticalitiesMAHBarrier[Barrier Family Description],MATCH($T204,TypicalCriticalitiesMAHBarrier[Barrier Family ID],0)),"")</f>
        <v/>
      </c>
      <c r="V204" t="str">
        <f ca="1">IF($T204&lt;=AA$4,INDEX(TypicalCriticalitiesMAHBarrier[Typical Components],MATCH($T204,TypicalCriticalitiesMAHBarrier[Column2],0)),"")</f>
        <v/>
      </c>
      <c r="W204" t="str">
        <f ca="1">IF($T204&lt;=AA$4,INDEX(TypicalCriticalitiesMAHBarrier[Typical Criticality],MATCH($T204,TypicalCriticalitiesMAHBarrier[Column2],0)),"")</f>
        <v/>
      </c>
      <c r="AE204" s="44"/>
      <c r="AF204" s="44"/>
      <c r="AG204" s="44"/>
      <c r="AH204" s="44"/>
      <c r="AI204" s="44"/>
      <c r="AJ204" s="44"/>
    </row>
    <row r="205" spans="14:36" x14ac:dyDescent="0.25">
      <c r="N205" t="s">
        <v>446</v>
      </c>
      <c r="O205" t="str">
        <f t="shared" si="12"/>
        <v xml:space="preserve">Bunding, Open and Closed Hazardous Drains </v>
      </c>
      <c r="P205" t="s">
        <v>454</v>
      </c>
      <c r="Q205" t="s">
        <v>452</v>
      </c>
      <c r="R205">
        <f t="shared" si="9"/>
        <v>27</v>
      </c>
      <c r="S205">
        <f t="shared" ca="1" si="10"/>
        <v>0</v>
      </c>
      <c r="T205">
        <f t="shared" si="11"/>
        <v>202</v>
      </c>
      <c r="U205" t="str">
        <f>IF($T205&lt;=Z$4,INDEX(TypicalCriticalitiesMAHBarrier[Barrier Family Description],MATCH($T205,TypicalCriticalitiesMAHBarrier[Barrier Family ID],0)),"")</f>
        <v/>
      </c>
      <c r="V205" t="str">
        <f ca="1">IF($T205&lt;=AA$4,INDEX(TypicalCriticalitiesMAHBarrier[Typical Components],MATCH($T205,TypicalCriticalitiesMAHBarrier[Column2],0)),"")</f>
        <v/>
      </c>
      <c r="W205" t="str">
        <f ca="1">IF($T205&lt;=AA$4,INDEX(TypicalCriticalitiesMAHBarrier[Typical Criticality],MATCH($T205,TypicalCriticalitiesMAHBarrier[Column2],0)),"")</f>
        <v/>
      </c>
      <c r="AE205" s="44"/>
      <c r="AF205" s="44"/>
      <c r="AG205" s="44"/>
      <c r="AH205" s="44"/>
      <c r="AI205" s="44"/>
      <c r="AJ205" s="44"/>
    </row>
    <row r="206" spans="14:36" x14ac:dyDescent="0.25">
      <c r="N206" t="s">
        <v>446</v>
      </c>
      <c r="O206" t="str">
        <f t="shared" si="12"/>
        <v xml:space="preserve">Bunding, Open and Closed Hazardous Drains </v>
      </c>
      <c r="P206" t="s">
        <v>455</v>
      </c>
      <c r="Q206" t="s">
        <v>449</v>
      </c>
      <c r="R206">
        <f t="shared" si="9"/>
        <v>27</v>
      </c>
      <c r="S206">
        <f t="shared" ca="1" si="10"/>
        <v>0</v>
      </c>
      <c r="T206">
        <f t="shared" si="11"/>
        <v>203</v>
      </c>
      <c r="U206" t="str">
        <f>IF($T206&lt;=Z$4,INDEX(TypicalCriticalitiesMAHBarrier[Barrier Family Description],MATCH($T206,TypicalCriticalitiesMAHBarrier[Barrier Family ID],0)),"")</f>
        <v/>
      </c>
      <c r="V206" t="str">
        <f ca="1">IF($T206&lt;=AA$4,INDEX(TypicalCriticalitiesMAHBarrier[Typical Components],MATCH($T206,TypicalCriticalitiesMAHBarrier[Column2],0)),"")</f>
        <v/>
      </c>
      <c r="W206" t="str">
        <f ca="1">IF($T206&lt;=AA$4,INDEX(TypicalCriticalitiesMAHBarrier[Typical Criticality],MATCH($T206,TypicalCriticalitiesMAHBarrier[Column2],0)),"")</f>
        <v/>
      </c>
      <c r="AE206" s="44"/>
      <c r="AF206" s="44"/>
      <c r="AG206" s="44"/>
      <c r="AH206" s="44"/>
      <c r="AI206" s="44"/>
      <c r="AJ206" s="44"/>
    </row>
    <row r="207" spans="14:36" x14ac:dyDescent="0.25">
      <c r="N207" t="s">
        <v>446</v>
      </c>
      <c r="O207" t="str">
        <f t="shared" si="12"/>
        <v xml:space="preserve">Bunding, Open and Closed Hazardous Drains </v>
      </c>
      <c r="P207" t="s">
        <v>456</v>
      </c>
      <c r="Q207" t="s">
        <v>449</v>
      </c>
      <c r="R207">
        <f t="shared" si="9"/>
        <v>27</v>
      </c>
      <c r="S207">
        <f t="shared" ca="1" si="10"/>
        <v>0</v>
      </c>
      <c r="T207">
        <f t="shared" si="11"/>
        <v>204</v>
      </c>
      <c r="U207" t="str">
        <f>IF($T207&lt;=Z$4,INDEX(TypicalCriticalitiesMAHBarrier[Barrier Family Description],MATCH($T207,TypicalCriticalitiesMAHBarrier[Barrier Family ID],0)),"")</f>
        <v/>
      </c>
      <c r="V207" t="str">
        <f ca="1">IF($T207&lt;=AA$4,INDEX(TypicalCriticalitiesMAHBarrier[Typical Components],MATCH($T207,TypicalCriticalitiesMAHBarrier[Column2],0)),"")</f>
        <v/>
      </c>
      <c r="W207" t="str">
        <f ca="1">IF($T207&lt;=AA$4,INDEX(TypicalCriticalitiesMAHBarrier[Typical Criticality],MATCH($T207,TypicalCriticalitiesMAHBarrier[Column2],0)),"")</f>
        <v/>
      </c>
      <c r="AE207" s="44"/>
      <c r="AF207" s="44"/>
      <c r="AG207" s="44"/>
      <c r="AH207" s="44"/>
      <c r="AI207" s="44"/>
      <c r="AJ207" s="44"/>
    </row>
    <row r="208" spans="14:36" x14ac:dyDescent="0.25">
      <c r="N208" t="s">
        <v>446</v>
      </c>
      <c r="O208" t="str">
        <f t="shared" si="12"/>
        <v xml:space="preserve">Bunding, Open and Closed Hazardous Drains </v>
      </c>
      <c r="P208" t="s">
        <v>457</v>
      </c>
      <c r="Q208" t="s">
        <v>452</v>
      </c>
      <c r="R208">
        <f t="shared" si="9"/>
        <v>27</v>
      </c>
      <c r="S208">
        <f t="shared" ca="1" si="10"/>
        <v>0</v>
      </c>
      <c r="T208">
        <f t="shared" si="11"/>
        <v>205</v>
      </c>
      <c r="U208" t="str">
        <f>IF($T208&lt;=Z$4,INDEX(TypicalCriticalitiesMAHBarrier[Barrier Family Description],MATCH($T208,TypicalCriticalitiesMAHBarrier[Barrier Family ID],0)),"")</f>
        <v/>
      </c>
      <c r="V208" t="str">
        <f ca="1">IF($T208&lt;=AA$4,INDEX(TypicalCriticalitiesMAHBarrier[Typical Components],MATCH($T208,TypicalCriticalitiesMAHBarrier[Column2],0)),"")</f>
        <v/>
      </c>
      <c r="W208" t="str">
        <f ca="1">IF($T208&lt;=AA$4,INDEX(TypicalCriticalitiesMAHBarrier[Typical Criticality],MATCH($T208,TypicalCriticalitiesMAHBarrier[Column2],0)),"")</f>
        <v/>
      </c>
      <c r="AE208" s="44"/>
      <c r="AF208" s="44"/>
      <c r="AG208" s="44"/>
      <c r="AH208" s="44"/>
      <c r="AI208" s="44"/>
      <c r="AJ208" s="44"/>
    </row>
    <row r="209" spans="14:36" x14ac:dyDescent="0.25">
      <c r="N209" t="s">
        <v>458</v>
      </c>
      <c r="O209" t="s">
        <v>459</v>
      </c>
      <c r="P209" t="s">
        <v>460</v>
      </c>
      <c r="Q209" t="s">
        <v>452</v>
      </c>
      <c r="R209">
        <f t="shared" si="9"/>
        <v>28</v>
      </c>
      <c r="S209">
        <f t="shared" ca="1" si="10"/>
        <v>0</v>
      </c>
      <c r="T209">
        <f t="shared" si="11"/>
        <v>206</v>
      </c>
      <c r="U209" t="str">
        <f>IF($T209&lt;=Z$4,INDEX(TypicalCriticalitiesMAHBarrier[Barrier Family Description],MATCH($T209,TypicalCriticalitiesMAHBarrier[Barrier Family ID],0)),"")</f>
        <v/>
      </c>
      <c r="V209" t="str">
        <f ca="1">IF($T209&lt;=AA$4,INDEX(TypicalCriticalitiesMAHBarrier[Typical Components],MATCH($T209,TypicalCriticalitiesMAHBarrier[Column2],0)),"")</f>
        <v/>
      </c>
      <c r="W209" t="str">
        <f ca="1">IF($T209&lt;=AA$4,INDEX(TypicalCriticalitiesMAHBarrier[Typical Criticality],MATCH($T209,TypicalCriticalitiesMAHBarrier[Column2],0)),"")</f>
        <v/>
      </c>
      <c r="AE209" s="44"/>
      <c r="AF209" s="44"/>
      <c r="AG209" s="44"/>
      <c r="AH209" s="44"/>
      <c r="AI209" s="44"/>
      <c r="AJ209" s="44"/>
    </row>
    <row r="210" spans="14:36" x14ac:dyDescent="0.25">
      <c r="N210" t="s">
        <v>461</v>
      </c>
      <c r="O210" t="s">
        <v>462</v>
      </c>
      <c r="P210" t="s">
        <v>463</v>
      </c>
      <c r="Q210" t="s">
        <v>452</v>
      </c>
      <c r="R210">
        <f t="shared" si="9"/>
        <v>29</v>
      </c>
      <c r="S210">
        <f t="shared" ca="1" si="10"/>
        <v>0</v>
      </c>
      <c r="T210">
        <f t="shared" si="11"/>
        <v>207</v>
      </c>
      <c r="U210" t="str">
        <f>IF($T210&lt;=Z$4,INDEX(TypicalCriticalitiesMAHBarrier[Barrier Family Description],MATCH($T210,TypicalCriticalitiesMAHBarrier[Barrier Family ID],0)),"")</f>
        <v/>
      </c>
      <c r="V210" t="str">
        <f ca="1">IF($T210&lt;=AA$4,INDEX(TypicalCriticalitiesMAHBarrier[Typical Components],MATCH($T210,TypicalCriticalitiesMAHBarrier[Column2],0)),"")</f>
        <v/>
      </c>
      <c r="W210" t="str">
        <f ca="1">IF($T210&lt;=AA$4,INDEX(TypicalCriticalitiesMAHBarrier[Typical Criticality],MATCH($T210,TypicalCriticalitiesMAHBarrier[Column2],0)),"")</f>
        <v/>
      </c>
      <c r="AE210" s="44"/>
      <c r="AF210" s="44"/>
      <c r="AG210" s="44"/>
      <c r="AH210" s="44"/>
      <c r="AI210" s="44"/>
      <c r="AJ210" s="44"/>
    </row>
    <row r="211" spans="14:36" x14ac:dyDescent="0.25">
      <c r="N211" t="s">
        <v>461</v>
      </c>
      <c r="O211" t="str">
        <f>O210</f>
        <v xml:space="preserve">Blast Overpressure Protection </v>
      </c>
      <c r="P211" t="s">
        <v>464</v>
      </c>
      <c r="Q211" t="s">
        <v>452</v>
      </c>
      <c r="R211">
        <f t="shared" si="9"/>
        <v>29</v>
      </c>
      <c r="S211">
        <f t="shared" ca="1" si="10"/>
        <v>0</v>
      </c>
      <c r="T211">
        <f t="shared" si="11"/>
        <v>208</v>
      </c>
      <c r="U211" t="str">
        <f>IF($T211&lt;=Z$4,INDEX(TypicalCriticalitiesMAHBarrier[Barrier Family Description],MATCH($T211,TypicalCriticalitiesMAHBarrier[Barrier Family ID],0)),"")</f>
        <v/>
      </c>
      <c r="V211" t="str">
        <f ca="1">IF($T211&lt;=AA$4,INDEX(TypicalCriticalitiesMAHBarrier[Typical Components],MATCH($T211,TypicalCriticalitiesMAHBarrier[Column2],0)),"")</f>
        <v/>
      </c>
      <c r="W211" t="str">
        <f ca="1">IF($T211&lt;=AA$4,INDEX(TypicalCriticalitiesMAHBarrier[Typical Criticality],MATCH($T211,TypicalCriticalitiesMAHBarrier[Column2],0)),"")</f>
        <v/>
      </c>
      <c r="AE211" s="44"/>
      <c r="AF211" s="44"/>
      <c r="AG211" s="44"/>
      <c r="AH211" s="44"/>
      <c r="AI211" s="44"/>
      <c r="AJ211" s="44"/>
    </row>
    <row r="212" spans="14:36" x14ac:dyDescent="0.25">
      <c r="N212" t="s">
        <v>465</v>
      </c>
      <c r="O212" t="s">
        <v>466</v>
      </c>
      <c r="P212" t="s">
        <v>467</v>
      </c>
      <c r="Q212" t="s">
        <v>452</v>
      </c>
      <c r="R212">
        <f t="shared" si="9"/>
        <v>30</v>
      </c>
      <c r="S212">
        <f t="shared" ca="1" si="10"/>
        <v>0</v>
      </c>
      <c r="T212">
        <f t="shared" si="11"/>
        <v>209</v>
      </c>
      <c r="U212" t="str">
        <f>IF($T212&lt;=Z$4,INDEX(TypicalCriticalitiesMAHBarrier[Barrier Family Description],MATCH($T212,TypicalCriticalitiesMAHBarrier[Barrier Family ID],0)),"")</f>
        <v/>
      </c>
      <c r="V212" t="str">
        <f ca="1">IF($T212&lt;=AA$4,INDEX(TypicalCriticalitiesMAHBarrier[Typical Components],MATCH($T212,TypicalCriticalitiesMAHBarrier[Column2],0)),"")</f>
        <v/>
      </c>
      <c r="W212" t="str">
        <f ca="1">IF($T212&lt;=AA$4,INDEX(TypicalCriticalitiesMAHBarrier[Typical Criticality],MATCH($T212,TypicalCriticalitiesMAHBarrier[Column2],0)),"")</f>
        <v/>
      </c>
      <c r="AE212" s="44"/>
      <c r="AF212" s="44"/>
      <c r="AG212" s="44"/>
      <c r="AH212" s="44"/>
      <c r="AI212" s="44"/>
      <c r="AJ212" s="44"/>
    </row>
    <row r="213" spans="14:36" x14ac:dyDescent="0.25">
      <c r="N213" t="s">
        <v>465</v>
      </c>
      <c r="O213" t="s">
        <v>466</v>
      </c>
      <c r="P213" t="s">
        <v>468</v>
      </c>
      <c r="Q213" t="s">
        <v>449</v>
      </c>
      <c r="R213">
        <f t="shared" si="9"/>
        <v>30</v>
      </c>
      <c r="S213">
        <f t="shared" ca="1" si="10"/>
        <v>0</v>
      </c>
      <c r="T213">
        <f t="shared" si="11"/>
        <v>210</v>
      </c>
      <c r="U213" t="str">
        <f>IF($T213&lt;=Z$4,INDEX(TypicalCriticalitiesMAHBarrier[Barrier Family Description],MATCH($T213,TypicalCriticalitiesMAHBarrier[Barrier Family ID],0)),"")</f>
        <v/>
      </c>
      <c r="V213" t="str">
        <f ca="1">IF($T213&lt;=AA$4,INDEX(TypicalCriticalitiesMAHBarrier[Typical Components],MATCH($T213,TypicalCriticalitiesMAHBarrier[Column2],0)),"")</f>
        <v/>
      </c>
      <c r="W213" t="str">
        <f ca="1">IF($T213&lt;=AA$4,INDEX(TypicalCriticalitiesMAHBarrier[Typical Criticality],MATCH($T213,TypicalCriticalitiesMAHBarrier[Column2],0)),"")</f>
        <v/>
      </c>
      <c r="AE213" s="44"/>
      <c r="AF213" s="44"/>
      <c r="AG213" s="44"/>
      <c r="AH213" s="44"/>
      <c r="AI213" s="44"/>
      <c r="AJ213" s="44"/>
    </row>
    <row r="214" spans="14:36" x14ac:dyDescent="0.25">
      <c r="N214" t="s">
        <v>469</v>
      </c>
      <c r="O214" t="s">
        <v>470</v>
      </c>
      <c r="P214" t="s">
        <v>471</v>
      </c>
      <c r="Q214" t="s">
        <v>452</v>
      </c>
      <c r="R214">
        <f t="shared" si="9"/>
        <v>31</v>
      </c>
      <c r="S214">
        <f t="shared" ca="1" si="10"/>
        <v>0</v>
      </c>
      <c r="T214">
        <f t="shared" si="11"/>
        <v>211</v>
      </c>
      <c r="U214" t="str">
        <f>IF($T214&lt;=Z$4,INDEX(TypicalCriticalitiesMAHBarrier[Barrier Family Description],MATCH($T214,TypicalCriticalitiesMAHBarrier[Barrier Family ID],0)),"")</f>
        <v/>
      </c>
      <c r="V214" t="str">
        <f ca="1">IF($T214&lt;=AA$4,INDEX(TypicalCriticalitiesMAHBarrier[Typical Components],MATCH($T214,TypicalCriticalitiesMAHBarrier[Column2],0)),"")</f>
        <v/>
      </c>
      <c r="W214" t="str">
        <f ca="1">IF($T214&lt;=AA$4,INDEX(TypicalCriticalitiesMAHBarrier[Typical Criticality],MATCH($T214,TypicalCriticalitiesMAHBarrier[Column2],0)),"")</f>
        <v/>
      </c>
      <c r="AE214" s="44"/>
      <c r="AF214" s="44"/>
      <c r="AG214" s="44"/>
      <c r="AH214" s="44"/>
      <c r="AI214" s="44"/>
      <c r="AJ214" s="44"/>
    </row>
    <row r="215" spans="14:36" x14ac:dyDescent="0.25">
      <c r="N215" t="s">
        <v>469</v>
      </c>
      <c r="O215" t="s">
        <v>472</v>
      </c>
      <c r="P215" t="s">
        <v>473</v>
      </c>
      <c r="Q215" t="s">
        <v>452</v>
      </c>
      <c r="R215">
        <f t="shared" si="9"/>
        <v>32</v>
      </c>
      <c r="S215">
        <f t="shared" ca="1" si="10"/>
        <v>1</v>
      </c>
      <c r="T215">
        <f t="shared" si="11"/>
        <v>212</v>
      </c>
      <c r="U215" t="str">
        <f>IF($T215&lt;=Z$4,INDEX(TypicalCriticalitiesMAHBarrier[Barrier Family Description],MATCH($T215,TypicalCriticalitiesMAHBarrier[Barrier Family ID],0)),"")</f>
        <v/>
      </c>
      <c r="V215" t="str">
        <f ca="1">IF($T215&lt;=AA$4,INDEX(TypicalCriticalitiesMAHBarrier[Typical Components],MATCH($T215,TypicalCriticalitiesMAHBarrier[Column2],0)),"")</f>
        <v/>
      </c>
      <c r="W215" t="str">
        <f ca="1">IF($T215&lt;=AA$4,INDEX(TypicalCriticalitiesMAHBarrier[Typical Criticality],MATCH($T215,TypicalCriticalitiesMAHBarrier[Column2],0)),"")</f>
        <v/>
      </c>
      <c r="AE215" s="44"/>
      <c r="AF215" s="44"/>
      <c r="AG215" s="44"/>
      <c r="AH215" s="44"/>
      <c r="AI215" s="44"/>
      <c r="AJ215" s="44"/>
    </row>
    <row r="216" spans="14:36" x14ac:dyDescent="0.25">
      <c r="N216" t="s">
        <v>474</v>
      </c>
      <c r="O216" t="s">
        <v>475</v>
      </c>
      <c r="P216" t="s">
        <v>476</v>
      </c>
      <c r="Q216" t="s">
        <v>0</v>
      </c>
      <c r="R216">
        <f t="shared" si="9"/>
        <v>33</v>
      </c>
      <c r="S216">
        <f t="shared" ca="1" si="10"/>
        <v>1</v>
      </c>
      <c r="T216">
        <f t="shared" si="11"/>
        <v>213</v>
      </c>
      <c r="U216" t="str">
        <f>IF($T216&lt;=Z$4,INDEX(TypicalCriticalitiesMAHBarrier[Barrier Family Description],MATCH($T216,TypicalCriticalitiesMAHBarrier[Barrier Family ID],0)),"")</f>
        <v/>
      </c>
      <c r="V216" t="str">
        <f ca="1">IF($T216&lt;=AA$4,INDEX(TypicalCriticalitiesMAHBarrier[Typical Components],MATCH($T216,TypicalCriticalitiesMAHBarrier[Column2],0)),"")</f>
        <v/>
      </c>
      <c r="W216" t="str">
        <f ca="1">IF($T216&lt;=AA$4,INDEX(TypicalCriticalitiesMAHBarrier[Typical Criticality],MATCH($T216,TypicalCriticalitiesMAHBarrier[Column2],0)),"")</f>
        <v/>
      </c>
      <c r="AE216" s="44"/>
      <c r="AF216" s="44"/>
      <c r="AG216" s="44"/>
      <c r="AH216" s="44"/>
      <c r="AI216" s="44"/>
      <c r="AJ216" s="44"/>
    </row>
    <row r="217" spans="14:36" x14ac:dyDescent="0.25">
      <c r="N217" t="s">
        <v>474</v>
      </c>
      <c r="O217" t="s">
        <v>625</v>
      </c>
      <c r="P217" t="s">
        <v>626</v>
      </c>
      <c r="Q217" t="s">
        <v>452</v>
      </c>
      <c r="R217">
        <f t="shared" si="9"/>
        <v>34</v>
      </c>
      <c r="S217">
        <f t="shared" ca="1" si="10"/>
        <v>1</v>
      </c>
      <c r="T217">
        <f t="shared" si="11"/>
        <v>214</v>
      </c>
      <c r="U217" t="str">
        <f>IF($T217&lt;=Z$4,INDEX(TypicalCriticalitiesMAHBarrier[Barrier Family Description],MATCH($T217,TypicalCriticalitiesMAHBarrier[Barrier Family ID],0)),"")</f>
        <v/>
      </c>
      <c r="V217" t="str">
        <f ca="1">IF($T217&lt;=AA$4,INDEX(TypicalCriticalitiesMAHBarrier[Typical Components],MATCH($T217,TypicalCriticalitiesMAHBarrier[Column2],0)),"")</f>
        <v/>
      </c>
      <c r="W217" t="str">
        <f ca="1">IF($T217&lt;=AA$4,INDEX(TypicalCriticalitiesMAHBarrier[Typical Criticality],MATCH($T217,TypicalCriticalitiesMAHBarrier[Column2],0)),"")</f>
        <v/>
      </c>
      <c r="AE217" s="44"/>
      <c r="AF217" s="44"/>
      <c r="AG217" s="44"/>
      <c r="AH217" s="44"/>
      <c r="AI217" s="44"/>
      <c r="AJ217" s="44"/>
    </row>
    <row r="218" spans="14:36" x14ac:dyDescent="0.25">
      <c r="N218" t="s">
        <v>474</v>
      </c>
      <c r="O218" t="s">
        <v>627</v>
      </c>
      <c r="P218" t="s">
        <v>628</v>
      </c>
      <c r="Q218" t="s">
        <v>0</v>
      </c>
      <c r="R218">
        <f t="shared" si="9"/>
        <v>35</v>
      </c>
      <c r="S218">
        <f t="shared" ca="1" si="10"/>
        <v>1</v>
      </c>
      <c r="T218">
        <f t="shared" si="11"/>
        <v>215</v>
      </c>
      <c r="U218" t="str">
        <f>IF($T218&lt;=Z$4,INDEX(TypicalCriticalitiesMAHBarrier[Barrier Family Description],MATCH($T218,TypicalCriticalitiesMAHBarrier[Barrier Family ID],0)),"")</f>
        <v/>
      </c>
      <c r="V218" t="str">
        <f ca="1">IF($T218&lt;=AA$4,INDEX(TypicalCriticalitiesMAHBarrier[Typical Components],MATCH($T218,TypicalCriticalitiesMAHBarrier[Column2],0)),"")</f>
        <v/>
      </c>
      <c r="W218" t="str">
        <f ca="1">IF($T218&lt;=AA$4,INDEX(TypicalCriticalitiesMAHBarrier[Typical Criticality],MATCH($T218,TypicalCriticalitiesMAHBarrier[Column2],0)),"")</f>
        <v/>
      </c>
      <c r="AE218" s="44"/>
      <c r="AF218" s="44"/>
      <c r="AG218" s="44"/>
      <c r="AH218" s="44"/>
      <c r="AI218" s="44"/>
      <c r="AJ218" s="44"/>
    </row>
    <row r="219" spans="14:36" x14ac:dyDescent="0.25">
      <c r="N219" t="s">
        <v>474</v>
      </c>
      <c r="O219" t="s">
        <v>629</v>
      </c>
      <c r="Q219" t="s">
        <v>0</v>
      </c>
      <c r="R219">
        <f t="shared" si="9"/>
        <v>36</v>
      </c>
      <c r="S219">
        <f t="shared" ca="1" si="10"/>
        <v>1</v>
      </c>
      <c r="T219">
        <f t="shared" si="11"/>
        <v>216</v>
      </c>
      <c r="U219" t="str">
        <f>IF($T219&lt;=Z$4,INDEX(TypicalCriticalitiesMAHBarrier[Barrier Family Description],MATCH($T219,TypicalCriticalitiesMAHBarrier[Barrier Family ID],0)),"")</f>
        <v/>
      </c>
      <c r="V219" t="str">
        <f ca="1">IF($T219&lt;=AA$4,INDEX(TypicalCriticalitiesMAHBarrier[Typical Components],MATCH($T219,TypicalCriticalitiesMAHBarrier[Column2],0)),"")</f>
        <v/>
      </c>
      <c r="W219" t="str">
        <f ca="1">IF($T219&lt;=AA$4,INDEX(TypicalCriticalitiesMAHBarrier[Typical Criticality],MATCH($T219,TypicalCriticalitiesMAHBarrier[Column2],0)),"")</f>
        <v/>
      </c>
      <c r="AE219" s="44"/>
      <c r="AF219" s="44"/>
      <c r="AG219" s="44"/>
      <c r="AH219" s="44"/>
      <c r="AI219" s="44"/>
      <c r="AJ219" s="44"/>
    </row>
    <row r="220" spans="14:36" x14ac:dyDescent="0.25">
      <c r="N220" t="s">
        <v>474</v>
      </c>
      <c r="O220" t="s">
        <v>630</v>
      </c>
      <c r="P220" t="s">
        <v>631</v>
      </c>
      <c r="Q220" t="s">
        <v>0</v>
      </c>
      <c r="R220">
        <f t="shared" si="9"/>
        <v>37</v>
      </c>
      <c r="S220">
        <f t="shared" ca="1" si="10"/>
        <v>1</v>
      </c>
      <c r="T220">
        <f t="shared" si="11"/>
        <v>217</v>
      </c>
      <c r="U220" t="str">
        <f>IF($T220&lt;=Z$4,INDEX(TypicalCriticalitiesMAHBarrier[Barrier Family Description],MATCH($T220,TypicalCriticalitiesMAHBarrier[Barrier Family ID],0)),"")</f>
        <v/>
      </c>
      <c r="V220" t="str">
        <f ca="1">IF($T220&lt;=AA$4,INDEX(TypicalCriticalitiesMAHBarrier[Typical Components],MATCH($T220,TypicalCriticalitiesMAHBarrier[Column2],0)),"")</f>
        <v/>
      </c>
      <c r="W220" t="str">
        <f ca="1">IF($T220&lt;=AA$4,INDEX(TypicalCriticalitiesMAHBarrier[Typical Criticality],MATCH($T220,TypicalCriticalitiesMAHBarrier[Column2],0)),"")</f>
        <v/>
      </c>
      <c r="AE220" s="44"/>
      <c r="AF220" s="44"/>
      <c r="AG220" s="44"/>
      <c r="AH220" s="44"/>
      <c r="AI220" s="44"/>
      <c r="AJ220" s="44"/>
    </row>
    <row r="221" spans="14:36" x14ac:dyDescent="0.25">
      <c r="N221" t="s">
        <v>477</v>
      </c>
      <c r="O221" t="s">
        <v>478</v>
      </c>
      <c r="P221" t="s">
        <v>479</v>
      </c>
      <c r="Q221" t="s">
        <v>0</v>
      </c>
      <c r="R221">
        <f t="shared" si="9"/>
        <v>38</v>
      </c>
      <c r="S221">
        <f t="shared" ca="1" si="10"/>
        <v>1</v>
      </c>
      <c r="T221">
        <f t="shared" si="11"/>
        <v>218</v>
      </c>
      <c r="U221" t="str">
        <f>IF($T221&lt;=Z$4,INDEX(TypicalCriticalitiesMAHBarrier[Barrier Family Description],MATCH($T221,TypicalCriticalitiesMAHBarrier[Barrier Family ID],0)),"")</f>
        <v/>
      </c>
      <c r="V221" t="str">
        <f ca="1">IF($T221&lt;=AA$4,INDEX(TypicalCriticalitiesMAHBarrier[Typical Components],MATCH($T221,TypicalCriticalitiesMAHBarrier[Column2],0)),"")</f>
        <v/>
      </c>
      <c r="W221" t="str">
        <f ca="1">IF($T221&lt;=AA$4,INDEX(TypicalCriticalitiesMAHBarrier[Typical Criticality],MATCH($T221,TypicalCriticalitiesMAHBarrier[Column2],0)),"")</f>
        <v/>
      </c>
      <c r="AE221" s="44"/>
      <c r="AF221" s="44"/>
      <c r="AG221" s="44"/>
      <c r="AH221" s="44"/>
      <c r="AI221" s="44"/>
      <c r="AJ221" s="44"/>
    </row>
    <row r="222" spans="14:36" x14ac:dyDescent="0.25">
      <c r="N222" t="s">
        <v>477</v>
      </c>
      <c r="O222" t="s">
        <v>478</v>
      </c>
      <c r="P222" t="s">
        <v>480</v>
      </c>
      <c r="Q222" t="s">
        <v>0</v>
      </c>
      <c r="R222">
        <f t="shared" si="9"/>
        <v>38</v>
      </c>
      <c r="S222">
        <f t="shared" ca="1" si="10"/>
        <v>1</v>
      </c>
      <c r="T222">
        <f t="shared" si="11"/>
        <v>219</v>
      </c>
      <c r="U222" t="str">
        <f>IF($T222&lt;=Z$4,INDEX(TypicalCriticalitiesMAHBarrier[Barrier Family Description],MATCH($T222,TypicalCriticalitiesMAHBarrier[Barrier Family ID],0)),"")</f>
        <v/>
      </c>
      <c r="V222" t="str">
        <f ca="1">IF($T222&lt;=AA$4,INDEX(TypicalCriticalitiesMAHBarrier[Typical Components],MATCH($T222,TypicalCriticalitiesMAHBarrier[Column2],0)),"")</f>
        <v/>
      </c>
      <c r="W222" t="str">
        <f ca="1">IF($T222&lt;=AA$4,INDEX(TypicalCriticalitiesMAHBarrier[Typical Criticality],MATCH($T222,TypicalCriticalitiesMAHBarrier[Column2],0)),"")</f>
        <v/>
      </c>
      <c r="AE222" s="44"/>
      <c r="AF222" s="44"/>
      <c r="AG222" s="44"/>
      <c r="AH222" s="44"/>
      <c r="AI222" s="44"/>
      <c r="AJ222" s="44"/>
    </row>
    <row r="223" spans="14:36" x14ac:dyDescent="0.25">
      <c r="N223" t="s">
        <v>477</v>
      </c>
      <c r="O223" t="s">
        <v>478</v>
      </c>
      <c r="P223" t="s">
        <v>481</v>
      </c>
      <c r="Q223" t="s">
        <v>1</v>
      </c>
      <c r="R223">
        <f t="shared" si="9"/>
        <v>38</v>
      </c>
      <c r="S223">
        <f t="shared" ca="1" si="10"/>
        <v>1</v>
      </c>
      <c r="T223">
        <f t="shared" si="11"/>
        <v>220</v>
      </c>
      <c r="U223" t="str">
        <f>IF($T223&lt;=Z$4,INDEX(TypicalCriticalitiesMAHBarrier[Barrier Family Description],MATCH($T223,TypicalCriticalitiesMAHBarrier[Barrier Family ID],0)),"")</f>
        <v/>
      </c>
      <c r="V223" t="str">
        <f ca="1">IF($T223&lt;=AA$4,INDEX(TypicalCriticalitiesMAHBarrier[Typical Components],MATCH($T223,TypicalCriticalitiesMAHBarrier[Column2],0)),"")</f>
        <v/>
      </c>
      <c r="W223" t="str">
        <f ca="1">IF($T223&lt;=AA$4,INDEX(TypicalCriticalitiesMAHBarrier[Typical Criticality],MATCH($T223,TypicalCriticalitiesMAHBarrier[Column2],0)),"")</f>
        <v/>
      </c>
      <c r="AE223" s="44"/>
      <c r="AF223" s="44"/>
      <c r="AG223" s="44"/>
      <c r="AH223" s="44"/>
      <c r="AI223" s="44"/>
      <c r="AJ223" s="44"/>
    </row>
    <row r="224" spans="14:36" x14ac:dyDescent="0.25">
      <c r="N224" t="s">
        <v>477</v>
      </c>
      <c r="O224" t="s">
        <v>478</v>
      </c>
      <c r="P224" t="s">
        <v>482</v>
      </c>
      <c r="Q224" t="s">
        <v>0</v>
      </c>
      <c r="R224">
        <f t="shared" si="9"/>
        <v>38</v>
      </c>
      <c r="S224">
        <f t="shared" ca="1" si="10"/>
        <v>1</v>
      </c>
      <c r="T224">
        <f t="shared" si="11"/>
        <v>221</v>
      </c>
      <c r="U224" t="str">
        <f>IF($T224&lt;=Z$4,INDEX(TypicalCriticalitiesMAHBarrier[Barrier Family Description],MATCH($T224,TypicalCriticalitiesMAHBarrier[Barrier Family ID],0)),"")</f>
        <v/>
      </c>
      <c r="V224" t="str">
        <f ca="1">IF($T224&lt;=AA$4,INDEX(TypicalCriticalitiesMAHBarrier[Typical Components],MATCH($T224,TypicalCriticalitiesMAHBarrier[Column2],0)),"")</f>
        <v/>
      </c>
      <c r="W224" t="str">
        <f ca="1">IF($T224&lt;=AA$4,INDEX(TypicalCriticalitiesMAHBarrier[Typical Criticality],MATCH($T224,TypicalCriticalitiesMAHBarrier[Column2],0)),"")</f>
        <v/>
      </c>
      <c r="AE224" s="44"/>
      <c r="AF224" s="44"/>
      <c r="AG224" s="44"/>
      <c r="AH224" s="44"/>
      <c r="AI224" s="44"/>
      <c r="AJ224" s="44"/>
    </row>
    <row r="225" spans="14:36" x14ac:dyDescent="0.25">
      <c r="N225" t="s">
        <v>483</v>
      </c>
      <c r="O225" t="s">
        <v>484</v>
      </c>
      <c r="P225" t="s">
        <v>485</v>
      </c>
      <c r="Q225" t="s">
        <v>0</v>
      </c>
      <c r="R225">
        <f t="shared" si="9"/>
        <v>39</v>
      </c>
      <c r="S225">
        <f t="shared" ca="1" si="10"/>
        <v>1</v>
      </c>
      <c r="T225">
        <f t="shared" si="11"/>
        <v>222</v>
      </c>
      <c r="U225" t="str">
        <f>IF($T225&lt;=Z$4,INDEX(TypicalCriticalitiesMAHBarrier[Barrier Family Description],MATCH($T225,TypicalCriticalitiesMAHBarrier[Barrier Family ID],0)),"")</f>
        <v/>
      </c>
      <c r="V225" t="str">
        <f ca="1">IF($T225&lt;=AA$4,INDEX(TypicalCriticalitiesMAHBarrier[Typical Components],MATCH($T225,TypicalCriticalitiesMAHBarrier[Column2],0)),"")</f>
        <v/>
      </c>
      <c r="W225" t="str">
        <f ca="1">IF($T225&lt;=AA$4,INDEX(TypicalCriticalitiesMAHBarrier[Typical Criticality],MATCH($T225,TypicalCriticalitiesMAHBarrier[Column2],0)),"")</f>
        <v/>
      </c>
      <c r="AE225" s="44"/>
      <c r="AF225" s="44"/>
      <c r="AG225" s="44"/>
      <c r="AH225" s="44"/>
      <c r="AI225" s="44"/>
      <c r="AJ225" s="44"/>
    </row>
    <row r="226" spans="14:36" x14ac:dyDescent="0.25">
      <c r="N226" t="s">
        <v>483</v>
      </c>
      <c r="O226" t="s">
        <v>484</v>
      </c>
      <c r="P226" t="s">
        <v>486</v>
      </c>
      <c r="Q226" t="s">
        <v>1</v>
      </c>
      <c r="R226">
        <f t="shared" si="9"/>
        <v>39</v>
      </c>
      <c r="S226">
        <f t="shared" ca="1" si="10"/>
        <v>1</v>
      </c>
      <c r="T226">
        <f t="shared" si="11"/>
        <v>223</v>
      </c>
      <c r="U226" t="str">
        <f>IF($T226&lt;=Z$4,INDEX(TypicalCriticalitiesMAHBarrier[Barrier Family Description],MATCH($T226,TypicalCriticalitiesMAHBarrier[Barrier Family ID],0)),"")</f>
        <v/>
      </c>
      <c r="V226" t="str">
        <f ca="1">IF($T226&lt;=AA$4,INDEX(TypicalCriticalitiesMAHBarrier[Typical Components],MATCH($T226,TypicalCriticalitiesMAHBarrier[Column2],0)),"")</f>
        <v/>
      </c>
      <c r="W226" t="str">
        <f ca="1">IF($T226&lt;=AA$4,INDEX(TypicalCriticalitiesMAHBarrier[Typical Criticality],MATCH($T226,TypicalCriticalitiesMAHBarrier[Column2],0)),"")</f>
        <v/>
      </c>
      <c r="AE226" s="44"/>
      <c r="AF226" s="44"/>
      <c r="AG226" s="44"/>
      <c r="AH226" s="44"/>
      <c r="AI226" s="44"/>
      <c r="AJ226" s="44"/>
    </row>
    <row r="227" spans="14:36" x14ac:dyDescent="0.25">
      <c r="N227" t="s">
        <v>483</v>
      </c>
      <c r="O227" t="s">
        <v>484</v>
      </c>
      <c r="P227" t="s">
        <v>487</v>
      </c>
      <c r="Q227" t="s">
        <v>1</v>
      </c>
      <c r="R227">
        <f t="shared" si="9"/>
        <v>39</v>
      </c>
      <c r="S227">
        <f t="shared" ca="1" si="10"/>
        <v>1</v>
      </c>
      <c r="T227">
        <f t="shared" si="11"/>
        <v>224</v>
      </c>
      <c r="U227" t="str">
        <f>IF($T227&lt;=Z$4,INDEX(TypicalCriticalitiesMAHBarrier[Barrier Family Description],MATCH($T227,TypicalCriticalitiesMAHBarrier[Barrier Family ID],0)),"")</f>
        <v/>
      </c>
      <c r="V227" t="str">
        <f ca="1">IF($T227&lt;=AA$4,INDEX(TypicalCriticalitiesMAHBarrier[Typical Components],MATCH($T227,TypicalCriticalitiesMAHBarrier[Column2],0)),"")</f>
        <v/>
      </c>
      <c r="W227" t="str">
        <f ca="1">IF($T227&lt;=AA$4,INDEX(TypicalCriticalitiesMAHBarrier[Typical Criticality],MATCH($T227,TypicalCriticalitiesMAHBarrier[Column2],0)),"")</f>
        <v/>
      </c>
      <c r="AE227" s="44"/>
      <c r="AF227" s="44"/>
      <c r="AG227" s="44"/>
      <c r="AH227" s="44"/>
      <c r="AI227" s="44"/>
      <c r="AJ227" s="44"/>
    </row>
    <row r="228" spans="14:36" x14ac:dyDescent="0.25">
      <c r="N228" t="s">
        <v>488</v>
      </c>
      <c r="O228" t="s">
        <v>489</v>
      </c>
      <c r="P228" t="s">
        <v>490</v>
      </c>
      <c r="Q228" t="s">
        <v>0</v>
      </c>
      <c r="R228">
        <f t="shared" si="9"/>
        <v>40</v>
      </c>
      <c r="S228">
        <f t="shared" ca="1" si="10"/>
        <v>1</v>
      </c>
      <c r="T228">
        <f t="shared" si="11"/>
        <v>225</v>
      </c>
      <c r="U228" t="str">
        <f>IF($T228&lt;=Z$4,INDEX(TypicalCriticalitiesMAHBarrier[Barrier Family Description],MATCH($T228,TypicalCriticalitiesMAHBarrier[Barrier Family ID],0)),"")</f>
        <v/>
      </c>
      <c r="V228" t="str">
        <f ca="1">IF($T228&lt;=AA$4,INDEX(TypicalCriticalitiesMAHBarrier[Typical Components],MATCH($T228,TypicalCriticalitiesMAHBarrier[Column2],0)),"")</f>
        <v/>
      </c>
      <c r="W228" t="str">
        <f ca="1">IF($T228&lt;=AA$4,INDEX(TypicalCriticalitiesMAHBarrier[Typical Criticality],MATCH($T228,TypicalCriticalitiesMAHBarrier[Column2],0)),"")</f>
        <v/>
      </c>
      <c r="AE228" s="44"/>
      <c r="AF228" s="44"/>
      <c r="AG228" s="44"/>
      <c r="AH228" s="44"/>
      <c r="AI228" s="44"/>
      <c r="AJ228" s="44"/>
    </row>
    <row r="229" spans="14:36" x14ac:dyDescent="0.25">
      <c r="N229" t="s">
        <v>488</v>
      </c>
      <c r="O229" t="s">
        <v>489</v>
      </c>
      <c r="P229" t="s">
        <v>491</v>
      </c>
      <c r="Q229" t="s">
        <v>1</v>
      </c>
      <c r="R229">
        <f t="shared" si="9"/>
        <v>40</v>
      </c>
      <c r="S229">
        <f t="shared" ca="1" si="10"/>
        <v>1</v>
      </c>
      <c r="T229">
        <f t="shared" si="11"/>
        <v>226</v>
      </c>
      <c r="U229" t="str">
        <f>IF($T229&lt;=Z$4,INDEX(TypicalCriticalitiesMAHBarrier[Barrier Family Description],MATCH($T229,TypicalCriticalitiesMAHBarrier[Barrier Family ID],0)),"")</f>
        <v/>
      </c>
      <c r="V229" t="str">
        <f ca="1">IF($T229&lt;=AA$4,INDEX(TypicalCriticalitiesMAHBarrier[Typical Components],MATCH($T229,TypicalCriticalitiesMAHBarrier[Column2],0)),"")</f>
        <v/>
      </c>
      <c r="W229" t="str">
        <f ca="1">IF($T229&lt;=AA$4,INDEX(TypicalCriticalitiesMAHBarrier[Typical Criticality],MATCH($T229,TypicalCriticalitiesMAHBarrier[Column2],0)),"")</f>
        <v/>
      </c>
      <c r="AE229" s="44"/>
      <c r="AF229" s="44"/>
      <c r="AG229" s="44"/>
      <c r="AH229" s="44"/>
      <c r="AI229" s="44"/>
      <c r="AJ229" s="44"/>
    </row>
    <row r="230" spans="14:36" x14ac:dyDescent="0.25">
      <c r="N230" t="s">
        <v>488</v>
      </c>
      <c r="O230" t="s">
        <v>489</v>
      </c>
      <c r="P230" t="s">
        <v>492</v>
      </c>
      <c r="Q230" t="s">
        <v>0</v>
      </c>
      <c r="R230">
        <f t="shared" si="9"/>
        <v>40</v>
      </c>
      <c r="S230">
        <f t="shared" ca="1" si="10"/>
        <v>1</v>
      </c>
      <c r="T230">
        <f t="shared" si="11"/>
        <v>227</v>
      </c>
      <c r="U230" t="str">
        <f>IF($T230&lt;=Z$4,INDEX(TypicalCriticalitiesMAHBarrier[Barrier Family Description],MATCH($T230,TypicalCriticalitiesMAHBarrier[Barrier Family ID],0)),"")</f>
        <v/>
      </c>
      <c r="V230" t="str">
        <f ca="1">IF($T230&lt;=AA$4,INDEX(TypicalCriticalitiesMAHBarrier[Typical Components],MATCH($T230,TypicalCriticalitiesMAHBarrier[Column2],0)),"")</f>
        <v/>
      </c>
      <c r="W230" t="str">
        <f ca="1">IF($T230&lt;=AA$4,INDEX(TypicalCriticalitiesMAHBarrier[Typical Criticality],MATCH($T230,TypicalCriticalitiesMAHBarrier[Column2],0)),"")</f>
        <v/>
      </c>
      <c r="AE230" s="44"/>
      <c r="AF230" s="44"/>
      <c r="AG230" s="44"/>
      <c r="AH230" s="44"/>
      <c r="AI230" s="44"/>
      <c r="AJ230" s="44"/>
    </row>
    <row r="231" spans="14:36" x14ac:dyDescent="0.25">
      <c r="N231" t="s">
        <v>493</v>
      </c>
      <c r="O231" t="s">
        <v>494</v>
      </c>
      <c r="P231" t="s">
        <v>495</v>
      </c>
      <c r="Q231" t="s">
        <v>0</v>
      </c>
      <c r="R231">
        <f t="shared" si="9"/>
        <v>41</v>
      </c>
      <c r="S231">
        <f t="shared" ca="1" si="10"/>
        <v>1</v>
      </c>
      <c r="T231">
        <f t="shared" si="11"/>
        <v>228</v>
      </c>
      <c r="U231" t="str">
        <f>IF($T231&lt;=Z$4,INDEX(TypicalCriticalitiesMAHBarrier[Barrier Family Description],MATCH($T231,TypicalCriticalitiesMAHBarrier[Barrier Family ID],0)),"")</f>
        <v/>
      </c>
      <c r="V231" t="str">
        <f ca="1">IF($T231&lt;=AA$4,INDEX(TypicalCriticalitiesMAHBarrier[Typical Components],MATCH($T231,TypicalCriticalitiesMAHBarrier[Column2],0)),"")</f>
        <v/>
      </c>
      <c r="W231" t="str">
        <f ca="1">IF($T231&lt;=AA$4,INDEX(TypicalCriticalitiesMAHBarrier[Typical Criticality],MATCH($T231,TypicalCriticalitiesMAHBarrier[Column2],0)),"")</f>
        <v/>
      </c>
      <c r="AE231" s="44"/>
      <c r="AF231" s="44"/>
      <c r="AG231" s="44"/>
      <c r="AH231" s="44"/>
      <c r="AI231" s="44"/>
      <c r="AJ231" s="44"/>
    </row>
    <row r="232" spans="14:36" x14ac:dyDescent="0.25">
      <c r="N232" t="s">
        <v>493</v>
      </c>
      <c r="O232" t="s">
        <v>494</v>
      </c>
      <c r="P232" t="s">
        <v>496</v>
      </c>
      <c r="Q232" t="s">
        <v>1</v>
      </c>
      <c r="R232">
        <f t="shared" si="9"/>
        <v>41</v>
      </c>
      <c r="S232">
        <f t="shared" ca="1" si="10"/>
        <v>1</v>
      </c>
      <c r="T232">
        <f t="shared" si="11"/>
        <v>229</v>
      </c>
      <c r="U232" t="str">
        <f>IF($T232&lt;=Z$4,INDEX(TypicalCriticalitiesMAHBarrier[Barrier Family Description],MATCH($T232,TypicalCriticalitiesMAHBarrier[Barrier Family ID],0)),"")</f>
        <v/>
      </c>
      <c r="V232" t="str">
        <f ca="1">IF($T232&lt;=AA$4,INDEX(TypicalCriticalitiesMAHBarrier[Typical Components],MATCH($T232,TypicalCriticalitiesMAHBarrier[Column2],0)),"")</f>
        <v/>
      </c>
      <c r="W232" t="str">
        <f ca="1">IF($T232&lt;=AA$4,INDEX(TypicalCriticalitiesMAHBarrier[Typical Criticality],MATCH($T232,TypicalCriticalitiesMAHBarrier[Column2],0)),"")</f>
        <v/>
      </c>
      <c r="AE232" s="44"/>
      <c r="AF232" s="44"/>
      <c r="AG232" s="44"/>
      <c r="AH232" s="44"/>
      <c r="AI232" s="44"/>
      <c r="AJ232" s="44"/>
    </row>
    <row r="233" spans="14:36" x14ac:dyDescent="0.25">
      <c r="N233" t="s">
        <v>493</v>
      </c>
      <c r="O233" t="s">
        <v>494</v>
      </c>
      <c r="P233" t="s">
        <v>497</v>
      </c>
      <c r="Q233" t="s">
        <v>0</v>
      </c>
      <c r="R233">
        <f t="shared" si="9"/>
        <v>41</v>
      </c>
      <c r="S233">
        <f t="shared" ca="1" si="10"/>
        <v>1</v>
      </c>
      <c r="T233">
        <f t="shared" si="11"/>
        <v>230</v>
      </c>
      <c r="U233" t="str">
        <f>IF($T233&lt;=Z$4,INDEX(TypicalCriticalitiesMAHBarrier[Barrier Family Description],MATCH($T233,TypicalCriticalitiesMAHBarrier[Barrier Family ID],0)),"")</f>
        <v/>
      </c>
      <c r="V233" t="str">
        <f ca="1">IF($T233&lt;=AA$4,INDEX(TypicalCriticalitiesMAHBarrier[Typical Components],MATCH($T233,TypicalCriticalitiesMAHBarrier[Column2],0)),"")</f>
        <v/>
      </c>
      <c r="W233" t="str">
        <f ca="1">IF($T233&lt;=AA$4,INDEX(TypicalCriticalitiesMAHBarrier[Typical Criticality],MATCH($T233,TypicalCriticalitiesMAHBarrier[Column2],0)),"")</f>
        <v/>
      </c>
      <c r="AE233" s="44"/>
      <c r="AF233" s="44"/>
      <c r="AG233" s="44"/>
      <c r="AH233" s="44"/>
      <c r="AI233" s="44"/>
      <c r="AJ233" s="44"/>
    </row>
    <row r="234" spans="14:36" x14ac:dyDescent="0.25">
      <c r="N234" t="s">
        <v>498</v>
      </c>
      <c r="O234" t="s">
        <v>499</v>
      </c>
      <c r="P234" t="s">
        <v>500</v>
      </c>
      <c r="Q234" t="s">
        <v>0</v>
      </c>
      <c r="R234">
        <f t="shared" si="9"/>
        <v>42</v>
      </c>
      <c r="S234">
        <f t="shared" ca="1" si="10"/>
        <v>1</v>
      </c>
      <c r="T234">
        <f t="shared" si="11"/>
        <v>231</v>
      </c>
      <c r="U234" t="str">
        <f>IF($T234&lt;=Z$4,INDEX(TypicalCriticalitiesMAHBarrier[Barrier Family Description],MATCH($T234,TypicalCriticalitiesMAHBarrier[Barrier Family ID],0)),"")</f>
        <v/>
      </c>
      <c r="V234" t="str">
        <f ca="1">IF($T234&lt;=AA$4,INDEX(TypicalCriticalitiesMAHBarrier[Typical Components],MATCH($T234,TypicalCriticalitiesMAHBarrier[Column2],0)),"")</f>
        <v/>
      </c>
      <c r="W234" t="str">
        <f ca="1">IF($T234&lt;=AA$4,INDEX(TypicalCriticalitiesMAHBarrier[Typical Criticality],MATCH($T234,TypicalCriticalitiesMAHBarrier[Column2],0)),"")</f>
        <v/>
      </c>
      <c r="AE234" s="44"/>
      <c r="AF234" s="44"/>
      <c r="AG234" s="44"/>
      <c r="AH234" s="44"/>
      <c r="AI234" s="44"/>
      <c r="AJ234" s="44"/>
    </row>
    <row r="235" spans="14:36" x14ac:dyDescent="0.25">
      <c r="N235" t="s">
        <v>498</v>
      </c>
      <c r="O235" t="s">
        <v>499</v>
      </c>
      <c r="P235" t="s">
        <v>501</v>
      </c>
      <c r="Q235" t="s">
        <v>1</v>
      </c>
      <c r="R235">
        <f t="shared" si="9"/>
        <v>42</v>
      </c>
      <c r="S235">
        <f t="shared" ca="1" si="10"/>
        <v>1</v>
      </c>
      <c r="T235">
        <f t="shared" si="11"/>
        <v>232</v>
      </c>
      <c r="U235" t="str">
        <f>IF($T235&lt;=Z$4,INDEX(TypicalCriticalitiesMAHBarrier[Barrier Family Description],MATCH($T235,TypicalCriticalitiesMAHBarrier[Barrier Family ID],0)),"")</f>
        <v/>
      </c>
      <c r="V235" t="str">
        <f ca="1">IF($T235&lt;=AA$4,INDEX(TypicalCriticalitiesMAHBarrier[Typical Components],MATCH($T235,TypicalCriticalitiesMAHBarrier[Column2],0)),"")</f>
        <v/>
      </c>
      <c r="W235" t="str">
        <f ca="1">IF($T235&lt;=AA$4,INDEX(TypicalCriticalitiesMAHBarrier[Typical Criticality],MATCH($T235,TypicalCriticalitiesMAHBarrier[Column2],0)),"")</f>
        <v/>
      </c>
      <c r="AE235" s="44"/>
      <c r="AF235" s="44"/>
      <c r="AG235" s="44"/>
      <c r="AH235" s="44"/>
      <c r="AI235" s="44"/>
      <c r="AJ235" s="44"/>
    </row>
    <row r="236" spans="14:36" x14ac:dyDescent="0.25">
      <c r="N236" t="s">
        <v>498</v>
      </c>
      <c r="O236" t="s">
        <v>499</v>
      </c>
      <c r="P236" t="s">
        <v>502</v>
      </c>
      <c r="Q236" t="s">
        <v>0</v>
      </c>
      <c r="R236">
        <f t="shared" si="9"/>
        <v>42</v>
      </c>
      <c r="S236">
        <f t="shared" ca="1" si="10"/>
        <v>1</v>
      </c>
      <c r="T236">
        <f t="shared" si="11"/>
        <v>233</v>
      </c>
      <c r="U236" t="str">
        <f>IF($T236&lt;=Z$4,INDEX(TypicalCriticalitiesMAHBarrier[Barrier Family Description],MATCH($T236,TypicalCriticalitiesMAHBarrier[Barrier Family ID],0)),"")</f>
        <v/>
      </c>
      <c r="V236" t="str">
        <f ca="1">IF($T236&lt;=AA$4,INDEX(TypicalCriticalitiesMAHBarrier[Typical Components],MATCH($T236,TypicalCriticalitiesMAHBarrier[Column2],0)),"")</f>
        <v/>
      </c>
      <c r="W236" t="str">
        <f ca="1">IF($T236&lt;=AA$4,INDEX(TypicalCriticalitiesMAHBarrier[Typical Criticality],MATCH($T236,TypicalCriticalitiesMAHBarrier[Column2],0)),"")</f>
        <v/>
      </c>
      <c r="AE236" s="44"/>
      <c r="AF236" s="44"/>
      <c r="AG236" s="44"/>
      <c r="AH236" s="44"/>
      <c r="AI236" s="44"/>
      <c r="AJ236" s="44"/>
    </row>
    <row r="237" spans="14:36" x14ac:dyDescent="0.25">
      <c r="N237" t="s">
        <v>498</v>
      </c>
      <c r="O237" t="s">
        <v>499</v>
      </c>
      <c r="P237" t="s">
        <v>503</v>
      </c>
      <c r="Q237" t="s">
        <v>1</v>
      </c>
      <c r="R237">
        <f t="shared" si="9"/>
        <v>42</v>
      </c>
      <c r="S237">
        <f t="shared" ca="1" si="10"/>
        <v>1</v>
      </c>
      <c r="T237">
        <f t="shared" si="11"/>
        <v>234</v>
      </c>
      <c r="U237" t="str">
        <f>IF($T237&lt;=Z$4,INDEX(TypicalCriticalitiesMAHBarrier[Barrier Family Description],MATCH($T237,TypicalCriticalitiesMAHBarrier[Barrier Family ID],0)),"")</f>
        <v/>
      </c>
      <c r="V237" t="str">
        <f ca="1">IF($T237&lt;=AA$4,INDEX(TypicalCriticalitiesMAHBarrier[Typical Components],MATCH($T237,TypicalCriticalitiesMAHBarrier[Column2],0)),"")</f>
        <v/>
      </c>
      <c r="W237" t="str">
        <f ca="1">IF($T237&lt;=AA$4,INDEX(TypicalCriticalitiesMAHBarrier[Typical Criticality],MATCH($T237,TypicalCriticalitiesMAHBarrier[Column2],0)),"")</f>
        <v/>
      </c>
      <c r="AE237" s="44"/>
      <c r="AF237" s="44"/>
      <c r="AG237" s="44"/>
      <c r="AH237" s="44"/>
      <c r="AI237" s="44"/>
      <c r="AJ237" s="44"/>
    </row>
    <row r="238" spans="14:36" x14ac:dyDescent="0.25">
      <c r="N238" t="s">
        <v>498</v>
      </c>
      <c r="O238" t="s">
        <v>499</v>
      </c>
      <c r="P238" t="s">
        <v>504</v>
      </c>
      <c r="Q238" t="s">
        <v>1</v>
      </c>
      <c r="R238">
        <f t="shared" si="9"/>
        <v>42</v>
      </c>
      <c r="S238">
        <f t="shared" ca="1" si="10"/>
        <v>1</v>
      </c>
      <c r="T238">
        <f t="shared" si="11"/>
        <v>235</v>
      </c>
      <c r="U238" t="str">
        <f>IF($T238&lt;=Z$4,INDEX(TypicalCriticalitiesMAHBarrier[Barrier Family Description],MATCH($T238,TypicalCriticalitiesMAHBarrier[Barrier Family ID],0)),"")</f>
        <v/>
      </c>
      <c r="V238" t="str">
        <f ca="1">IF($T238&lt;=AA$4,INDEX(TypicalCriticalitiesMAHBarrier[Typical Components],MATCH($T238,TypicalCriticalitiesMAHBarrier[Column2],0)),"")</f>
        <v/>
      </c>
      <c r="W238" t="str">
        <f ca="1">IF($T238&lt;=AA$4,INDEX(TypicalCriticalitiesMAHBarrier[Typical Criticality],MATCH($T238,TypicalCriticalitiesMAHBarrier[Column2],0)),"")</f>
        <v/>
      </c>
      <c r="AE238" s="44"/>
      <c r="AF238" s="44"/>
      <c r="AG238" s="44"/>
      <c r="AH238" s="44"/>
      <c r="AI238" s="44"/>
      <c r="AJ238" s="44"/>
    </row>
    <row r="239" spans="14:36" x14ac:dyDescent="0.25">
      <c r="N239" t="s">
        <v>498</v>
      </c>
      <c r="O239" t="s">
        <v>499</v>
      </c>
      <c r="P239" t="s">
        <v>505</v>
      </c>
      <c r="Q239" t="s">
        <v>1</v>
      </c>
      <c r="R239">
        <f t="shared" si="9"/>
        <v>42</v>
      </c>
      <c r="S239">
        <f t="shared" ca="1" si="10"/>
        <v>1</v>
      </c>
      <c r="T239">
        <f t="shared" si="11"/>
        <v>236</v>
      </c>
      <c r="U239" t="str">
        <f>IF($T239&lt;=Z$4,INDEX(TypicalCriticalitiesMAHBarrier[Barrier Family Description],MATCH($T239,TypicalCriticalitiesMAHBarrier[Barrier Family ID],0)),"")</f>
        <v/>
      </c>
      <c r="V239" t="str">
        <f ca="1">IF($T239&lt;=AA$4,INDEX(TypicalCriticalitiesMAHBarrier[Typical Components],MATCH($T239,TypicalCriticalitiesMAHBarrier[Column2],0)),"")</f>
        <v/>
      </c>
      <c r="W239" t="str">
        <f ca="1">IF($T239&lt;=AA$4,INDEX(TypicalCriticalitiesMAHBarrier[Typical Criticality],MATCH($T239,TypicalCriticalitiesMAHBarrier[Column2],0)),"")</f>
        <v/>
      </c>
      <c r="AE239" s="44"/>
      <c r="AF239" s="44"/>
      <c r="AG239" s="44"/>
      <c r="AH239" s="44"/>
      <c r="AI239" s="44"/>
      <c r="AJ239" s="44"/>
    </row>
    <row r="240" spans="14:36" x14ac:dyDescent="0.25">
      <c r="N240" t="s">
        <v>498</v>
      </c>
      <c r="O240" t="s">
        <v>499</v>
      </c>
      <c r="P240" t="s">
        <v>506</v>
      </c>
      <c r="Q240" t="s">
        <v>0</v>
      </c>
      <c r="R240">
        <f t="shared" si="9"/>
        <v>42</v>
      </c>
      <c r="S240">
        <f t="shared" ca="1" si="10"/>
        <v>1</v>
      </c>
      <c r="T240">
        <f t="shared" si="11"/>
        <v>237</v>
      </c>
      <c r="U240" t="str">
        <f>IF($T240&lt;=Z$4,INDEX(TypicalCriticalitiesMAHBarrier[Barrier Family Description],MATCH($T240,TypicalCriticalitiesMAHBarrier[Barrier Family ID],0)),"")</f>
        <v/>
      </c>
      <c r="V240" t="str">
        <f ca="1">IF($T240&lt;=AA$4,INDEX(TypicalCriticalitiesMAHBarrier[Typical Components],MATCH($T240,TypicalCriticalitiesMAHBarrier[Column2],0)),"")</f>
        <v/>
      </c>
      <c r="W240" t="str">
        <f ca="1">IF($T240&lt;=AA$4,INDEX(TypicalCriticalitiesMAHBarrier[Typical Criticality],MATCH($T240,TypicalCriticalitiesMAHBarrier[Column2],0)),"")</f>
        <v/>
      </c>
      <c r="AE240" s="44"/>
      <c r="AF240" s="44"/>
      <c r="AG240" s="44"/>
      <c r="AH240" s="44"/>
      <c r="AI240" s="44"/>
      <c r="AJ240" s="44"/>
    </row>
    <row r="241" spans="14:36" x14ac:dyDescent="0.25">
      <c r="N241" t="s">
        <v>498</v>
      </c>
      <c r="O241" t="s">
        <v>499</v>
      </c>
      <c r="P241" t="s">
        <v>507</v>
      </c>
      <c r="Q241" t="s">
        <v>1</v>
      </c>
      <c r="R241">
        <f t="shared" si="9"/>
        <v>42</v>
      </c>
      <c r="S241">
        <f t="shared" ca="1" si="10"/>
        <v>1</v>
      </c>
      <c r="T241">
        <f t="shared" si="11"/>
        <v>238</v>
      </c>
      <c r="U241" t="str">
        <f>IF($T241&lt;=Z$4,INDEX(TypicalCriticalitiesMAHBarrier[Barrier Family Description],MATCH($T241,TypicalCriticalitiesMAHBarrier[Barrier Family ID],0)),"")</f>
        <v/>
      </c>
      <c r="V241" t="str">
        <f ca="1">IF($T241&lt;=AA$4,INDEX(TypicalCriticalitiesMAHBarrier[Typical Components],MATCH($T241,TypicalCriticalitiesMAHBarrier[Column2],0)),"")</f>
        <v/>
      </c>
      <c r="W241" t="str">
        <f ca="1">IF($T241&lt;=AA$4,INDEX(TypicalCriticalitiesMAHBarrier[Typical Criticality],MATCH($T241,TypicalCriticalitiesMAHBarrier[Column2],0)),"")</f>
        <v/>
      </c>
      <c r="AE241" s="44"/>
      <c r="AF241" s="44"/>
      <c r="AG241" s="44"/>
      <c r="AH241" s="44"/>
      <c r="AI241" s="44"/>
      <c r="AJ241" s="44"/>
    </row>
    <row r="242" spans="14:36" x14ac:dyDescent="0.25">
      <c r="N242" t="s">
        <v>498</v>
      </c>
      <c r="O242" t="s">
        <v>499</v>
      </c>
      <c r="P242" t="s">
        <v>508</v>
      </c>
      <c r="Q242" t="s">
        <v>2</v>
      </c>
      <c r="R242">
        <f t="shared" si="9"/>
        <v>42</v>
      </c>
      <c r="S242">
        <f t="shared" ca="1" si="10"/>
        <v>1</v>
      </c>
      <c r="T242">
        <f t="shared" si="11"/>
        <v>239</v>
      </c>
      <c r="U242" t="str">
        <f>IF($T242&lt;=Z$4,INDEX(TypicalCriticalitiesMAHBarrier[Barrier Family Description],MATCH($T242,TypicalCriticalitiesMAHBarrier[Barrier Family ID],0)),"")</f>
        <v/>
      </c>
      <c r="V242" t="str">
        <f ca="1">IF($T242&lt;=AA$4,INDEX(TypicalCriticalitiesMAHBarrier[Typical Components],MATCH($T242,TypicalCriticalitiesMAHBarrier[Column2],0)),"")</f>
        <v/>
      </c>
      <c r="W242" t="str">
        <f ca="1">IF($T242&lt;=AA$4,INDEX(TypicalCriticalitiesMAHBarrier[Typical Criticality],MATCH($T242,TypicalCriticalitiesMAHBarrier[Column2],0)),"")</f>
        <v/>
      </c>
      <c r="AE242" s="44"/>
      <c r="AF242" s="44"/>
      <c r="AG242" s="44"/>
      <c r="AH242" s="44"/>
      <c r="AI242" s="44"/>
      <c r="AJ242" s="44"/>
    </row>
    <row r="243" spans="14:36" x14ac:dyDescent="0.25">
      <c r="N243" t="s">
        <v>509</v>
      </c>
      <c r="O243" t="s">
        <v>510</v>
      </c>
      <c r="P243" t="s">
        <v>511</v>
      </c>
      <c r="Q243" t="s">
        <v>1</v>
      </c>
      <c r="R243">
        <f t="shared" si="9"/>
        <v>43</v>
      </c>
      <c r="S243">
        <f t="shared" ca="1" si="10"/>
        <v>1</v>
      </c>
      <c r="T243">
        <f t="shared" si="11"/>
        <v>240</v>
      </c>
      <c r="U243" t="str">
        <f>IF($T243&lt;=Z$4,INDEX(TypicalCriticalitiesMAHBarrier[Barrier Family Description],MATCH($T243,TypicalCriticalitiesMAHBarrier[Barrier Family ID],0)),"")</f>
        <v/>
      </c>
      <c r="V243" t="str">
        <f ca="1">IF($T243&lt;=AA$4,INDEX(TypicalCriticalitiesMAHBarrier[Typical Components],MATCH($T243,TypicalCriticalitiesMAHBarrier[Column2],0)),"")</f>
        <v/>
      </c>
      <c r="W243" t="str">
        <f ca="1">IF($T243&lt;=AA$4,INDEX(TypicalCriticalitiesMAHBarrier[Typical Criticality],MATCH($T243,TypicalCriticalitiesMAHBarrier[Column2],0)),"")</f>
        <v/>
      </c>
      <c r="AE243" s="44"/>
      <c r="AF243" s="44"/>
      <c r="AG243" s="44"/>
      <c r="AH243" s="44"/>
      <c r="AI243" s="44"/>
      <c r="AJ243" s="44"/>
    </row>
    <row r="244" spans="14:36" x14ac:dyDescent="0.25">
      <c r="N244" t="s">
        <v>509</v>
      </c>
      <c r="O244" t="s">
        <v>510</v>
      </c>
      <c r="P244" t="s">
        <v>512</v>
      </c>
      <c r="Q244" t="s">
        <v>0</v>
      </c>
      <c r="R244">
        <f t="shared" si="9"/>
        <v>43</v>
      </c>
      <c r="S244">
        <f t="shared" ca="1" si="10"/>
        <v>1</v>
      </c>
      <c r="T244">
        <f t="shared" si="11"/>
        <v>241</v>
      </c>
      <c r="U244" t="str">
        <f>IF($T244&lt;=Z$4,INDEX(TypicalCriticalitiesMAHBarrier[Barrier Family Description],MATCH($T244,TypicalCriticalitiesMAHBarrier[Barrier Family ID],0)),"")</f>
        <v/>
      </c>
      <c r="V244" t="str">
        <f ca="1">IF($T244&lt;=AA$4,INDEX(TypicalCriticalitiesMAHBarrier[Typical Components],MATCH($T244,TypicalCriticalitiesMAHBarrier[Column2],0)),"")</f>
        <v/>
      </c>
      <c r="W244" t="str">
        <f ca="1">IF($T244&lt;=AA$4,INDEX(TypicalCriticalitiesMAHBarrier[Typical Criticality],MATCH($T244,TypicalCriticalitiesMAHBarrier[Column2],0)),"")</f>
        <v/>
      </c>
      <c r="AE244" s="44"/>
      <c r="AF244" s="44"/>
      <c r="AG244" s="44"/>
      <c r="AH244" s="44"/>
      <c r="AI244" s="44"/>
      <c r="AJ244" s="44"/>
    </row>
    <row r="245" spans="14:36" x14ac:dyDescent="0.25">
      <c r="N245" t="s">
        <v>509</v>
      </c>
      <c r="O245" t="s">
        <v>510</v>
      </c>
      <c r="P245" t="s">
        <v>513</v>
      </c>
      <c r="Q245" t="s">
        <v>0</v>
      </c>
      <c r="R245">
        <f t="shared" si="9"/>
        <v>43</v>
      </c>
      <c r="S245">
        <f t="shared" ca="1" si="10"/>
        <v>1</v>
      </c>
      <c r="T245">
        <f t="shared" si="11"/>
        <v>242</v>
      </c>
      <c r="U245" t="str">
        <f>IF($T245&lt;=Z$4,INDEX(TypicalCriticalitiesMAHBarrier[Barrier Family Description],MATCH($T245,TypicalCriticalitiesMAHBarrier[Barrier Family ID],0)),"")</f>
        <v/>
      </c>
      <c r="V245" t="str">
        <f ca="1">IF($T245&lt;=AA$4,INDEX(TypicalCriticalitiesMAHBarrier[Typical Components],MATCH($T245,TypicalCriticalitiesMAHBarrier[Column2],0)),"")</f>
        <v/>
      </c>
      <c r="W245" t="str">
        <f ca="1">IF($T245&lt;=AA$4,INDEX(TypicalCriticalitiesMAHBarrier[Typical Criticality],MATCH($T245,TypicalCriticalitiesMAHBarrier[Column2],0)),"")</f>
        <v/>
      </c>
      <c r="AE245" s="44"/>
      <c r="AF245" s="44"/>
      <c r="AG245" s="44"/>
      <c r="AH245" s="44"/>
      <c r="AI245" s="44"/>
      <c r="AJ245" s="44"/>
    </row>
    <row r="246" spans="14:36" x14ac:dyDescent="0.25">
      <c r="N246" t="s">
        <v>509</v>
      </c>
      <c r="O246" t="s">
        <v>510</v>
      </c>
      <c r="P246" t="s">
        <v>514</v>
      </c>
      <c r="Q246" t="s">
        <v>0</v>
      </c>
      <c r="R246">
        <f t="shared" si="9"/>
        <v>43</v>
      </c>
      <c r="S246">
        <f t="shared" ca="1" si="10"/>
        <v>1</v>
      </c>
      <c r="T246">
        <f t="shared" si="11"/>
        <v>243</v>
      </c>
      <c r="U246" t="str">
        <f>IF($T246&lt;=Z$4,INDEX(TypicalCriticalitiesMAHBarrier[Barrier Family Description],MATCH($T246,TypicalCriticalitiesMAHBarrier[Barrier Family ID],0)),"")</f>
        <v/>
      </c>
      <c r="V246" t="str">
        <f ca="1">IF($T246&lt;=AA$4,INDEX(TypicalCriticalitiesMAHBarrier[Typical Components],MATCH($T246,TypicalCriticalitiesMAHBarrier[Column2],0)),"")</f>
        <v/>
      </c>
      <c r="W246" t="str">
        <f ca="1">IF($T246&lt;=AA$4,INDEX(TypicalCriticalitiesMAHBarrier[Typical Criticality],MATCH($T246,TypicalCriticalitiesMAHBarrier[Column2],0)),"")</f>
        <v/>
      </c>
      <c r="AE246" s="44"/>
      <c r="AF246" s="44"/>
      <c r="AG246" s="44"/>
      <c r="AH246" s="44"/>
      <c r="AI246" s="44"/>
      <c r="AJ246" s="44"/>
    </row>
    <row r="247" spans="14:36" x14ac:dyDescent="0.25">
      <c r="N247" t="s">
        <v>509</v>
      </c>
      <c r="O247" t="s">
        <v>510</v>
      </c>
      <c r="P247" t="s">
        <v>515</v>
      </c>
      <c r="Q247" t="s">
        <v>0</v>
      </c>
      <c r="R247">
        <f t="shared" si="9"/>
        <v>43</v>
      </c>
      <c r="S247">
        <f t="shared" ca="1" si="10"/>
        <v>1</v>
      </c>
      <c r="T247">
        <f t="shared" si="11"/>
        <v>244</v>
      </c>
      <c r="U247" t="str">
        <f>IF($T247&lt;=Z$4,INDEX(TypicalCriticalitiesMAHBarrier[Barrier Family Description],MATCH($T247,TypicalCriticalitiesMAHBarrier[Barrier Family ID],0)),"")</f>
        <v/>
      </c>
      <c r="V247" t="str">
        <f ca="1">IF($T247&lt;=AA$4,INDEX(TypicalCriticalitiesMAHBarrier[Typical Components],MATCH($T247,TypicalCriticalitiesMAHBarrier[Column2],0)),"")</f>
        <v/>
      </c>
      <c r="W247" t="str">
        <f ca="1">IF($T247&lt;=AA$4,INDEX(TypicalCriticalitiesMAHBarrier[Typical Criticality],MATCH($T247,TypicalCriticalitiesMAHBarrier[Column2],0)),"")</f>
        <v/>
      </c>
      <c r="AE247" s="44"/>
      <c r="AF247" s="44"/>
      <c r="AG247" s="44"/>
      <c r="AH247" s="44"/>
      <c r="AI247" s="44"/>
      <c r="AJ247" s="44"/>
    </row>
    <row r="248" spans="14:36" x14ac:dyDescent="0.25">
      <c r="N248" t="s">
        <v>509</v>
      </c>
      <c r="O248" t="s">
        <v>510</v>
      </c>
      <c r="P248" t="s">
        <v>516</v>
      </c>
      <c r="Q248" t="s">
        <v>0</v>
      </c>
      <c r="R248">
        <f t="shared" si="9"/>
        <v>43</v>
      </c>
      <c r="S248">
        <f t="shared" ca="1" si="10"/>
        <v>1</v>
      </c>
      <c r="T248">
        <f t="shared" si="11"/>
        <v>245</v>
      </c>
      <c r="U248" t="str">
        <f>IF($T248&lt;=Z$4,INDEX(TypicalCriticalitiesMAHBarrier[Barrier Family Description],MATCH($T248,TypicalCriticalitiesMAHBarrier[Barrier Family ID],0)),"")</f>
        <v/>
      </c>
      <c r="V248" t="str">
        <f ca="1">IF($T248&lt;=AA$4,INDEX(TypicalCriticalitiesMAHBarrier[Typical Components],MATCH($T248,TypicalCriticalitiesMAHBarrier[Column2],0)),"")</f>
        <v/>
      </c>
      <c r="W248" t="str">
        <f ca="1">IF($T248&lt;=AA$4,INDEX(TypicalCriticalitiesMAHBarrier[Typical Criticality],MATCH($T248,TypicalCriticalitiesMAHBarrier[Column2],0)),"")</f>
        <v/>
      </c>
      <c r="AE248" s="44"/>
      <c r="AF248" s="44"/>
      <c r="AG248" s="44"/>
      <c r="AH248" s="44"/>
      <c r="AI248" s="44"/>
      <c r="AJ248" s="44"/>
    </row>
    <row r="249" spans="14:36" x14ac:dyDescent="0.25">
      <c r="N249" t="s">
        <v>509</v>
      </c>
      <c r="O249" t="s">
        <v>510</v>
      </c>
      <c r="P249" t="s">
        <v>517</v>
      </c>
      <c r="Q249" t="s">
        <v>1</v>
      </c>
      <c r="R249">
        <f t="shared" si="9"/>
        <v>43</v>
      </c>
      <c r="S249">
        <f t="shared" ca="1" si="10"/>
        <v>1</v>
      </c>
      <c r="T249">
        <f t="shared" si="11"/>
        <v>246</v>
      </c>
      <c r="U249" t="str">
        <f>IF($T249&lt;=Z$4,INDEX(TypicalCriticalitiesMAHBarrier[Barrier Family Description],MATCH($T249,TypicalCriticalitiesMAHBarrier[Barrier Family ID],0)),"")</f>
        <v/>
      </c>
      <c r="V249" t="str">
        <f ca="1">IF($T249&lt;=AA$4,INDEX(TypicalCriticalitiesMAHBarrier[Typical Components],MATCH($T249,TypicalCriticalitiesMAHBarrier[Column2],0)),"")</f>
        <v/>
      </c>
      <c r="W249" t="str">
        <f ca="1">IF($T249&lt;=AA$4,INDEX(TypicalCriticalitiesMAHBarrier[Typical Criticality],MATCH($T249,TypicalCriticalitiesMAHBarrier[Column2],0)),"")</f>
        <v/>
      </c>
      <c r="AE249" s="44"/>
      <c r="AF249" s="44"/>
      <c r="AG249" s="44"/>
      <c r="AH249" s="44"/>
      <c r="AI249" s="44"/>
      <c r="AJ249" s="44"/>
    </row>
    <row r="250" spans="14:36" x14ac:dyDescent="0.25">
      <c r="N250" t="s">
        <v>518</v>
      </c>
      <c r="O250" t="s">
        <v>519</v>
      </c>
      <c r="P250" t="s">
        <v>520</v>
      </c>
      <c r="Q250" t="s">
        <v>0</v>
      </c>
      <c r="R250">
        <f t="shared" si="9"/>
        <v>44</v>
      </c>
      <c r="S250">
        <f t="shared" ca="1" si="10"/>
        <v>1</v>
      </c>
      <c r="T250">
        <f t="shared" si="11"/>
        <v>247</v>
      </c>
      <c r="U250" t="str">
        <f>IF($T250&lt;=Z$4,INDEX(TypicalCriticalitiesMAHBarrier[Barrier Family Description],MATCH($T250,TypicalCriticalitiesMAHBarrier[Barrier Family ID],0)),"")</f>
        <v/>
      </c>
      <c r="V250" t="str">
        <f ca="1">IF($T250&lt;=AA$4,INDEX(TypicalCriticalitiesMAHBarrier[Typical Components],MATCH($T250,TypicalCriticalitiesMAHBarrier[Column2],0)),"")</f>
        <v/>
      </c>
      <c r="W250" t="str">
        <f ca="1">IF($T250&lt;=AA$4,INDEX(TypicalCriticalitiesMAHBarrier[Typical Criticality],MATCH($T250,TypicalCriticalitiesMAHBarrier[Column2],0)),"")</f>
        <v/>
      </c>
      <c r="AE250" s="44"/>
      <c r="AF250" s="44"/>
      <c r="AG250" s="44"/>
      <c r="AH250" s="44"/>
      <c r="AI250" s="44"/>
      <c r="AJ250" s="44"/>
    </row>
    <row r="251" spans="14:36" x14ac:dyDescent="0.25">
      <c r="N251" t="s">
        <v>518</v>
      </c>
      <c r="O251" t="s">
        <v>519</v>
      </c>
      <c r="P251" t="s">
        <v>521</v>
      </c>
      <c r="Q251" t="s">
        <v>0</v>
      </c>
      <c r="R251">
        <f t="shared" si="9"/>
        <v>44</v>
      </c>
      <c r="S251">
        <f t="shared" ca="1" si="10"/>
        <v>1</v>
      </c>
      <c r="T251">
        <f t="shared" si="11"/>
        <v>248</v>
      </c>
      <c r="U251" t="str">
        <f>IF($T251&lt;=Z$4,INDEX(TypicalCriticalitiesMAHBarrier[Barrier Family Description],MATCH($T251,TypicalCriticalitiesMAHBarrier[Barrier Family ID],0)),"")</f>
        <v/>
      </c>
      <c r="V251" t="str">
        <f ca="1">IF($T251&lt;=AA$4,INDEX(TypicalCriticalitiesMAHBarrier[Typical Components],MATCH($T251,TypicalCriticalitiesMAHBarrier[Column2],0)),"")</f>
        <v/>
      </c>
      <c r="W251" t="str">
        <f ca="1">IF($T251&lt;=AA$4,INDEX(TypicalCriticalitiesMAHBarrier[Typical Criticality],MATCH($T251,TypicalCriticalitiesMAHBarrier[Column2],0)),"")</f>
        <v/>
      </c>
      <c r="AE251" s="44"/>
      <c r="AF251" s="44"/>
      <c r="AG251" s="44"/>
      <c r="AH251" s="44"/>
      <c r="AI251" s="44"/>
      <c r="AJ251" s="44"/>
    </row>
    <row r="252" spans="14:36" x14ac:dyDescent="0.25">
      <c r="N252" t="s">
        <v>518</v>
      </c>
      <c r="O252" t="s">
        <v>519</v>
      </c>
      <c r="P252" t="s">
        <v>522</v>
      </c>
      <c r="Q252" t="s">
        <v>0</v>
      </c>
      <c r="R252">
        <f t="shared" si="9"/>
        <v>44</v>
      </c>
      <c r="S252">
        <f t="shared" ca="1" si="10"/>
        <v>1</v>
      </c>
      <c r="T252">
        <f t="shared" si="11"/>
        <v>249</v>
      </c>
      <c r="U252" t="str">
        <f>IF($T252&lt;=Z$4,INDEX(TypicalCriticalitiesMAHBarrier[Barrier Family Description],MATCH($T252,TypicalCriticalitiesMAHBarrier[Barrier Family ID],0)),"")</f>
        <v/>
      </c>
      <c r="V252" t="str">
        <f ca="1">IF($T252&lt;=AA$4,INDEX(TypicalCriticalitiesMAHBarrier[Typical Components],MATCH($T252,TypicalCriticalitiesMAHBarrier[Column2],0)),"")</f>
        <v/>
      </c>
      <c r="W252" t="str">
        <f ca="1">IF($T252&lt;=AA$4,INDEX(TypicalCriticalitiesMAHBarrier[Typical Criticality],MATCH($T252,TypicalCriticalitiesMAHBarrier[Column2],0)),"")</f>
        <v/>
      </c>
      <c r="AE252" s="44"/>
      <c r="AF252" s="44"/>
      <c r="AG252" s="44"/>
      <c r="AH252" s="44"/>
      <c r="AI252" s="44"/>
      <c r="AJ252" s="44"/>
    </row>
    <row r="253" spans="14:36" x14ac:dyDescent="0.25">
      <c r="N253" t="s">
        <v>518</v>
      </c>
      <c r="O253" t="s">
        <v>519</v>
      </c>
      <c r="P253" t="s">
        <v>523</v>
      </c>
      <c r="Q253" t="s">
        <v>0</v>
      </c>
      <c r="R253">
        <f t="shared" si="9"/>
        <v>44</v>
      </c>
      <c r="S253">
        <f t="shared" ca="1" si="10"/>
        <v>1</v>
      </c>
      <c r="T253">
        <f t="shared" si="11"/>
        <v>250</v>
      </c>
      <c r="U253" t="str">
        <f>IF($T253&lt;=Z$4,INDEX(TypicalCriticalitiesMAHBarrier[Barrier Family Description],MATCH($T253,TypicalCriticalitiesMAHBarrier[Barrier Family ID],0)),"")</f>
        <v/>
      </c>
      <c r="V253" t="str">
        <f ca="1">IF($T253&lt;=AA$4,INDEX(TypicalCriticalitiesMAHBarrier[Typical Components],MATCH($T253,TypicalCriticalitiesMAHBarrier[Column2],0)),"")</f>
        <v/>
      </c>
      <c r="W253" t="str">
        <f ca="1">IF($T253&lt;=AA$4,INDEX(TypicalCriticalitiesMAHBarrier[Typical Criticality],MATCH($T253,TypicalCriticalitiesMAHBarrier[Column2],0)),"")</f>
        <v/>
      </c>
      <c r="AE253" s="44"/>
      <c r="AF253" s="44"/>
      <c r="AG253" s="44"/>
      <c r="AH253" s="44"/>
      <c r="AI253" s="44"/>
      <c r="AJ253" s="44"/>
    </row>
    <row r="254" spans="14:36" x14ac:dyDescent="0.25">
      <c r="N254" t="s">
        <v>518</v>
      </c>
      <c r="O254" t="s">
        <v>519</v>
      </c>
      <c r="P254" t="s">
        <v>524</v>
      </c>
      <c r="Q254" t="s">
        <v>0</v>
      </c>
      <c r="R254">
        <f t="shared" si="9"/>
        <v>44</v>
      </c>
      <c r="S254">
        <f t="shared" ca="1" si="10"/>
        <v>1</v>
      </c>
      <c r="T254">
        <f t="shared" si="11"/>
        <v>251</v>
      </c>
      <c r="U254" t="str">
        <f>IF($T254&lt;=Z$4,INDEX(TypicalCriticalitiesMAHBarrier[Barrier Family Description],MATCH($T254,TypicalCriticalitiesMAHBarrier[Barrier Family ID],0)),"")</f>
        <v/>
      </c>
      <c r="V254" t="str">
        <f ca="1">IF($T254&lt;=AA$4,INDEX(TypicalCriticalitiesMAHBarrier[Typical Components],MATCH($T254,TypicalCriticalitiesMAHBarrier[Column2],0)),"")</f>
        <v/>
      </c>
      <c r="W254" t="str">
        <f ca="1">IF($T254&lt;=AA$4,INDEX(TypicalCriticalitiesMAHBarrier[Typical Criticality],MATCH($T254,TypicalCriticalitiesMAHBarrier[Column2],0)),"")</f>
        <v/>
      </c>
      <c r="AE254" s="44"/>
      <c r="AF254" s="44"/>
      <c r="AG254" s="44"/>
      <c r="AH254" s="44"/>
      <c r="AI254" s="44"/>
      <c r="AJ254" s="44"/>
    </row>
    <row r="255" spans="14:36" x14ac:dyDescent="0.25">
      <c r="N255" t="s">
        <v>518</v>
      </c>
      <c r="O255" t="s">
        <v>519</v>
      </c>
      <c r="P255" t="s">
        <v>525</v>
      </c>
      <c r="Q255" t="s">
        <v>0</v>
      </c>
      <c r="R255">
        <f t="shared" si="9"/>
        <v>44</v>
      </c>
      <c r="S255">
        <f t="shared" ca="1" si="10"/>
        <v>1</v>
      </c>
      <c r="T255">
        <f t="shared" si="11"/>
        <v>252</v>
      </c>
      <c r="U255" t="str">
        <f>IF($T255&lt;=Z$4,INDEX(TypicalCriticalitiesMAHBarrier[Barrier Family Description],MATCH($T255,TypicalCriticalitiesMAHBarrier[Barrier Family ID],0)),"")</f>
        <v/>
      </c>
      <c r="V255" t="str">
        <f ca="1">IF($T255&lt;=AA$4,INDEX(TypicalCriticalitiesMAHBarrier[Typical Components],MATCH($T255,TypicalCriticalitiesMAHBarrier[Column2],0)),"")</f>
        <v/>
      </c>
      <c r="W255" t="str">
        <f ca="1">IF($T255&lt;=AA$4,INDEX(TypicalCriticalitiesMAHBarrier[Typical Criticality],MATCH($T255,TypicalCriticalitiesMAHBarrier[Column2],0)),"")</f>
        <v/>
      </c>
      <c r="AE255" s="44"/>
      <c r="AF255" s="44"/>
      <c r="AG255" s="44"/>
      <c r="AH255" s="44"/>
      <c r="AI255" s="44"/>
      <c r="AJ255" s="44"/>
    </row>
    <row r="256" spans="14:36" x14ac:dyDescent="0.25">
      <c r="N256" t="s">
        <v>526</v>
      </c>
      <c r="O256" t="s">
        <v>527</v>
      </c>
      <c r="P256" t="s">
        <v>528</v>
      </c>
      <c r="Q256" t="s">
        <v>0</v>
      </c>
      <c r="R256">
        <f t="shared" si="9"/>
        <v>45</v>
      </c>
      <c r="S256">
        <f t="shared" ca="1" si="10"/>
        <v>1</v>
      </c>
      <c r="T256">
        <f t="shared" si="11"/>
        <v>253</v>
      </c>
      <c r="U256" t="str">
        <f>IF($T256&lt;=Z$4,INDEX(TypicalCriticalitiesMAHBarrier[Barrier Family Description],MATCH($T256,TypicalCriticalitiesMAHBarrier[Barrier Family ID],0)),"")</f>
        <v/>
      </c>
      <c r="V256" t="str">
        <f ca="1">IF($T256&lt;=AA$4,INDEX(TypicalCriticalitiesMAHBarrier[Typical Components],MATCH($T256,TypicalCriticalitiesMAHBarrier[Column2],0)),"")</f>
        <v/>
      </c>
      <c r="W256" t="str">
        <f ca="1">IF($T256&lt;=AA$4,INDEX(TypicalCriticalitiesMAHBarrier[Typical Criticality],MATCH($T256,TypicalCriticalitiesMAHBarrier[Column2],0)),"")</f>
        <v/>
      </c>
      <c r="AE256" s="44"/>
      <c r="AF256" s="44"/>
      <c r="AG256" s="44"/>
      <c r="AH256" s="44"/>
      <c r="AI256" s="44"/>
      <c r="AJ256" s="44"/>
    </row>
    <row r="257" spans="14:36" x14ac:dyDescent="0.25">
      <c r="N257" t="s">
        <v>526</v>
      </c>
      <c r="O257" t="s">
        <v>527</v>
      </c>
      <c r="P257" t="s">
        <v>529</v>
      </c>
      <c r="Q257" t="s">
        <v>0</v>
      </c>
      <c r="R257">
        <f t="shared" si="9"/>
        <v>45</v>
      </c>
      <c r="S257">
        <f t="shared" ca="1" si="10"/>
        <v>1</v>
      </c>
      <c r="T257">
        <f t="shared" si="11"/>
        <v>254</v>
      </c>
      <c r="U257" t="str">
        <f>IF($T257&lt;=Z$4,INDEX(TypicalCriticalitiesMAHBarrier[Barrier Family Description],MATCH($T257,TypicalCriticalitiesMAHBarrier[Barrier Family ID],0)),"")</f>
        <v/>
      </c>
      <c r="V257" t="str">
        <f ca="1">IF($T257&lt;=AA$4,INDEX(TypicalCriticalitiesMAHBarrier[Typical Components],MATCH($T257,TypicalCriticalitiesMAHBarrier[Column2],0)),"")</f>
        <v/>
      </c>
      <c r="W257" t="str">
        <f ca="1">IF($T257&lt;=AA$4,INDEX(TypicalCriticalitiesMAHBarrier[Typical Criticality],MATCH($T257,TypicalCriticalitiesMAHBarrier[Column2],0)),"")</f>
        <v/>
      </c>
      <c r="AE257" s="44"/>
      <c r="AF257" s="44"/>
      <c r="AG257" s="44"/>
      <c r="AH257" s="44"/>
      <c r="AI257" s="44"/>
      <c r="AJ257" s="44"/>
    </row>
    <row r="258" spans="14:36" x14ac:dyDescent="0.25">
      <c r="N258" t="s">
        <v>526</v>
      </c>
      <c r="O258" t="s">
        <v>527</v>
      </c>
      <c r="P258" t="s">
        <v>530</v>
      </c>
      <c r="Q258" t="s">
        <v>0</v>
      </c>
      <c r="R258">
        <f t="shared" si="9"/>
        <v>45</v>
      </c>
      <c r="S258">
        <f t="shared" ca="1" si="10"/>
        <v>1</v>
      </c>
      <c r="T258">
        <f t="shared" si="11"/>
        <v>255</v>
      </c>
      <c r="U258" t="str">
        <f>IF($T258&lt;=Z$4,INDEX(TypicalCriticalitiesMAHBarrier[Barrier Family Description],MATCH($T258,TypicalCriticalitiesMAHBarrier[Barrier Family ID],0)),"")</f>
        <v/>
      </c>
      <c r="V258" t="str">
        <f ca="1">IF($T258&lt;=AA$4,INDEX(TypicalCriticalitiesMAHBarrier[Typical Components],MATCH($T258,TypicalCriticalitiesMAHBarrier[Column2],0)),"")</f>
        <v/>
      </c>
      <c r="W258" t="str">
        <f ca="1">IF($T258&lt;=AA$4,INDEX(TypicalCriticalitiesMAHBarrier[Typical Criticality],MATCH($T258,TypicalCriticalitiesMAHBarrier[Column2],0)),"")</f>
        <v/>
      </c>
      <c r="AE258" s="44"/>
      <c r="AF258" s="44"/>
      <c r="AG258" s="44"/>
      <c r="AH258" s="44"/>
      <c r="AI258" s="44"/>
      <c r="AJ258" s="44"/>
    </row>
    <row r="259" spans="14:36" x14ac:dyDescent="0.25">
      <c r="N259" t="s">
        <v>531</v>
      </c>
      <c r="O259" t="s">
        <v>532</v>
      </c>
      <c r="P259" t="s">
        <v>533</v>
      </c>
      <c r="Q259" t="s">
        <v>2</v>
      </c>
      <c r="R259">
        <f t="shared" si="9"/>
        <v>46</v>
      </c>
      <c r="S259">
        <f t="shared" ca="1" si="10"/>
        <v>1</v>
      </c>
      <c r="T259">
        <f t="shared" si="11"/>
        <v>256</v>
      </c>
      <c r="U259" t="str">
        <f>IF($T259&lt;=Z$4,INDEX(TypicalCriticalitiesMAHBarrier[Barrier Family Description],MATCH($T259,TypicalCriticalitiesMAHBarrier[Barrier Family ID],0)),"")</f>
        <v/>
      </c>
      <c r="V259" t="str">
        <f ca="1">IF($T259&lt;=AA$4,INDEX(TypicalCriticalitiesMAHBarrier[Typical Components],MATCH($T259,TypicalCriticalitiesMAHBarrier[Column2],0)),"")</f>
        <v/>
      </c>
      <c r="W259" t="str">
        <f ca="1">IF($T259&lt;=AA$4,INDEX(TypicalCriticalitiesMAHBarrier[Typical Criticality],MATCH($T259,TypicalCriticalitiesMAHBarrier[Column2],0)),"")</f>
        <v/>
      </c>
      <c r="AE259" s="44"/>
      <c r="AF259" s="44"/>
      <c r="AG259" s="44"/>
      <c r="AH259" s="44"/>
      <c r="AI259" s="44"/>
      <c r="AJ259" s="44"/>
    </row>
    <row r="260" spans="14:36" x14ac:dyDescent="0.25">
      <c r="N260" t="s">
        <v>531</v>
      </c>
      <c r="O260" t="s">
        <v>532</v>
      </c>
      <c r="P260" t="s">
        <v>534</v>
      </c>
      <c r="Q260" t="s">
        <v>1</v>
      </c>
      <c r="R260">
        <f t="shared" si="9"/>
        <v>46</v>
      </c>
      <c r="S260">
        <f t="shared" ca="1" si="10"/>
        <v>1</v>
      </c>
      <c r="T260">
        <f t="shared" si="11"/>
        <v>257</v>
      </c>
      <c r="U260" t="str">
        <f>IF($T260&lt;=Z$4,INDEX(TypicalCriticalitiesMAHBarrier[Barrier Family Description],MATCH($T260,TypicalCriticalitiesMAHBarrier[Barrier Family ID],0)),"")</f>
        <v/>
      </c>
      <c r="V260" t="str">
        <f ca="1">IF($T260&lt;=AA$4,INDEX(TypicalCriticalitiesMAHBarrier[Typical Components],MATCH($T260,TypicalCriticalitiesMAHBarrier[Column2],0)),"")</f>
        <v/>
      </c>
      <c r="W260" t="str">
        <f ca="1">IF($T260&lt;=AA$4,INDEX(TypicalCriticalitiesMAHBarrier[Typical Criticality],MATCH($T260,TypicalCriticalitiesMAHBarrier[Column2],0)),"")</f>
        <v/>
      </c>
      <c r="AE260" s="44"/>
      <c r="AF260" s="44"/>
      <c r="AG260" s="44"/>
      <c r="AH260" s="44"/>
      <c r="AI260" s="44"/>
      <c r="AJ260" s="44"/>
    </row>
    <row r="261" spans="14:36" x14ac:dyDescent="0.25">
      <c r="N261" t="s">
        <v>531</v>
      </c>
      <c r="O261" t="s">
        <v>532</v>
      </c>
      <c r="P261" t="s">
        <v>535</v>
      </c>
      <c r="Q261" t="s">
        <v>0</v>
      </c>
      <c r="R261">
        <f t="shared" si="9"/>
        <v>46</v>
      </c>
      <c r="S261">
        <f t="shared" ca="1" si="10"/>
        <v>1</v>
      </c>
      <c r="T261">
        <f t="shared" si="11"/>
        <v>258</v>
      </c>
      <c r="U261" t="str">
        <f>IF($T261&lt;=Z$4,INDEX(TypicalCriticalitiesMAHBarrier[Barrier Family Description],MATCH($T261,TypicalCriticalitiesMAHBarrier[Barrier Family ID],0)),"")</f>
        <v/>
      </c>
      <c r="V261" t="str">
        <f ca="1">IF($T261&lt;=AA$4,INDEX(TypicalCriticalitiesMAHBarrier[Typical Components],MATCH($T261,TypicalCriticalitiesMAHBarrier[Column2],0)),"")</f>
        <v/>
      </c>
      <c r="W261" t="str">
        <f ca="1">IF($T261&lt;=AA$4,INDEX(TypicalCriticalitiesMAHBarrier[Typical Criticality],MATCH($T261,TypicalCriticalitiesMAHBarrier[Column2],0)),"")</f>
        <v/>
      </c>
      <c r="AE261" s="44"/>
      <c r="AF261" s="44"/>
      <c r="AG261" s="44"/>
      <c r="AH261" s="44"/>
      <c r="AI261" s="44"/>
      <c r="AJ261" s="44"/>
    </row>
    <row r="262" spans="14:36" x14ac:dyDescent="0.25">
      <c r="N262" t="s">
        <v>531</v>
      </c>
      <c r="O262" t="s">
        <v>532</v>
      </c>
      <c r="P262" t="s">
        <v>536</v>
      </c>
      <c r="Q262" t="s">
        <v>0</v>
      </c>
      <c r="R262">
        <f t="shared" si="9"/>
        <v>46</v>
      </c>
      <c r="S262">
        <f t="shared" ca="1" si="10"/>
        <v>1</v>
      </c>
      <c r="T262">
        <f t="shared" si="11"/>
        <v>259</v>
      </c>
      <c r="U262" t="str">
        <f>IF($T262&lt;=Z$4,INDEX(TypicalCriticalitiesMAHBarrier[Barrier Family Description],MATCH($T262,TypicalCriticalitiesMAHBarrier[Barrier Family ID],0)),"")</f>
        <v/>
      </c>
      <c r="V262" t="str">
        <f ca="1">IF($T262&lt;=AA$4,INDEX(TypicalCriticalitiesMAHBarrier[Typical Components],MATCH($T262,TypicalCriticalitiesMAHBarrier[Column2],0)),"")</f>
        <v/>
      </c>
      <c r="W262" t="str">
        <f ca="1">IF($T262&lt;=AA$4,INDEX(TypicalCriticalitiesMAHBarrier[Typical Criticality],MATCH($T262,TypicalCriticalitiesMAHBarrier[Column2],0)),"")</f>
        <v/>
      </c>
      <c r="AE262" s="44"/>
      <c r="AF262" s="44"/>
      <c r="AG262" s="44"/>
      <c r="AH262" s="44"/>
      <c r="AI262" s="44"/>
      <c r="AJ262" s="44"/>
    </row>
    <row r="263" spans="14:36" x14ac:dyDescent="0.25">
      <c r="N263" t="s">
        <v>531</v>
      </c>
      <c r="O263" t="s">
        <v>532</v>
      </c>
      <c r="P263" t="s">
        <v>537</v>
      </c>
      <c r="Q263" t="s">
        <v>0</v>
      </c>
      <c r="R263">
        <f t="shared" si="9"/>
        <v>46</v>
      </c>
      <c r="S263">
        <f t="shared" ca="1" si="10"/>
        <v>1</v>
      </c>
      <c r="T263">
        <f t="shared" si="11"/>
        <v>260</v>
      </c>
      <c r="U263" t="str">
        <f>IF($T263&lt;=Z$4,INDEX(TypicalCriticalitiesMAHBarrier[Barrier Family Description],MATCH($T263,TypicalCriticalitiesMAHBarrier[Barrier Family ID],0)),"")</f>
        <v/>
      </c>
      <c r="V263" t="str">
        <f ca="1">IF($T263&lt;=AA$4,INDEX(TypicalCriticalitiesMAHBarrier[Typical Components],MATCH($T263,TypicalCriticalitiesMAHBarrier[Column2],0)),"")</f>
        <v/>
      </c>
      <c r="W263" t="str">
        <f ca="1">IF($T263&lt;=AA$4,INDEX(TypicalCriticalitiesMAHBarrier[Typical Criticality],MATCH($T263,TypicalCriticalitiesMAHBarrier[Column2],0)),"")</f>
        <v/>
      </c>
      <c r="AE263" s="44"/>
      <c r="AF263" s="44"/>
      <c r="AG263" s="44"/>
      <c r="AH263" s="44"/>
      <c r="AI263" s="44"/>
      <c r="AJ263" s="44"/>
    </row>
    <row r="264" spans="14:36" x14ac:dyDescent="0.25">
      <c r="N264" t="s">
        <v>531</v>
      </c>
      <c r="O264" t="s">
        <v>532</v>
      </c>
      <c r="P264" t="s">
        <v>538</v>
      </c>
      <c r="Q264" t="s">
        <v>2</v>
      </c>
      <c r="R264">
        <f t="shared" si="9"/>
        <v>46</v>
      </c>
      <c r="S264">
        <f t="shared" ca="1" si="10"/>
        <v>1</v>
      </c>
      <c r="T264">
        <f t="shared" si="11"/>
        <v>261</v>
      </c>
      <c r="U264" t="str">
        <f>IF($T264&lt;=Z$4,INDEX(TypicalCriticalitiesMAHBarrier[Barrier Family Description],MATCH($T264,TypicalCriticalitiesMAHBarrier[Barrier Family ID],0)),"")</f>
        <v/>
      </c>
      <c r="V264" t="str">
        <f ca="1">IF($T264&lt;=AA$4,INDEX(TypicalCriticalitiesMAHBarrier[Typical Components],MATCH($T264,TypicalCriticalitiesMAHBarrier[Column2],0)),"")</f>
        <v/>
      </c>
      <c r="W264" t="str">
        <f ca="1">IF($T264&lt;=AA$4,INDEX(TypicalCriticalitiesMAHBarrier[Typical Criticality],MATCH($T264,TypicalCriticalitiesMAHBarrier[Column2],0)),"")</f>
        <v/>
      </c>
      <c r="AE264" s="44"/>
      <c r="AF264" s="44"/>
      <c r="AG264" s="44"/>
      <c r="AH264" s="44"/>
      <c r="AI264" s="44"/>
      <c r="AJ264" s="44"/>
    </row>
    <row r="265" spans="14:36" x14ac:dyDescent="0.25">
      <c r="N265" t="s">
        <v>531</v>
      </c>
      <c r="O265" t="s">
        <v>532</v>
      </c>
      <c r="P265" t="s">
        <v>539</v>
      </c>
      <c r="Q265" t="s">
        <v>1</v>
      </c>
      <c r="R265">
        <f t="shared" ref="R265:R309" si="13">IF(AND(O265&lt;&gt;O264,O265&lt;&gt;""),R264+1,R264)</f>
        <v>46</v>
      </c>
      <c r="S265">
        <f t="shared" ref="S265:S309" ca="1" si="14">IF(R265=$Z$5,IF(AND(P265&lt;&gt;P264,P265&lt;&gt;""),S264+1,S264),S264)</f>
        <v>1</v>
      </c>
      <c r="T265">
        <f t="shared" ref="T265:T309" si="15">T264+1</f>
        <v>262</v>
      </c>
      <c r="U265" t="str">
        <f>IF($T265&lt;=Z$4,INDEX(TypicalCriticalitiesMAHBarrier[Barrier Family Description],MATCH($T265,TypicalCriticalitiesMAHBarrier[Barrier Family ID],0)),"")</f>
        <v/>
      </c>
      <c r="V265" t="str">
        <f ca="1">IF($T265&lt;=AA$4,INDEX(TypicalCriticalitiesMAHBarrier[Typical Components],MATCH($T265,TypicalCriticalitiesMAHBarrier[Column2],0)),"")</f>
        <v/>
      </c>
      <c r="W265" t="str">
        <f ca="1">IF($T265&lt;=AA$4,INDEX(TypicalCriticalitiesMAHBarrier[Typical Criticality],MATCH($T265,TypicalCriticalitiesMAHBarrier[Column2],0)),"")</f>
        <v/>
      </c>
      <c r="AE265" s="44"/>
      <c r="AF265" s="44"/>
      <c r="AG265" s="44"/>
      <c r="AH265" s="44"/>
      <c r="AI265" s="44"/>
      <c r="AJ265" s="44"/>
    </row>
    <row r="266" spans="14:36" x14ac:dyDescent="0.25">
      <c r="N266" t="s">
        <v>531</v>
      </c>
      <c r="O266" t="s">
        <v>532</v>
      </c>
      <c r="P266" t="s">
        <v>540</v>
      </c>
      <c r="Q266" t="s">
        <v>2</v>
      </c>
      <c r="R266">
        <f t="shared" si="13"/>
        <v>46</v>
      </c>
      <c r="S266">
        <f t="shared" ca="1" si="14"/>
        <v>1</v>
      </c>
      <c r="T266">
        <f t="shared" si="15"/>
        <v>263</v>
      </c>
      <c r="U266" t="str">
        <f>IF($T266&lt;=Z$4,INDEX(TypicalCriticalitiesMAHBarrier[Barrier Family Description],MATCH($T266,TypicalCriticalitiesMAHBarrier[Barrier Family ID],0)),"")</f>
        <v/>
      </c>
      <c r="V266" t="str">
        <f ca="1">IF($T266&lt;=AA$4,INDEX(TypicalCriticalitiesMAHBarrier[Typical Components],MATCH($T266,TypicalCriticalitiesMAHBarrier[Column2],0)),"")</f>
        <v/>
      </c>
      <c r="W266" t="str">
        <f ca="1">IF($T266&lt;=AA$4,INDEX(TypicalCriticalitiesMAHBarrier[Typical Criticality],MATCH($T266,TypicalCriticalitiesMAHBarrier[Column2],0)),"")</f>
        <v/>
      </c>
      <c r="AE266" s="44"/>
      <c r="AF266" s="44"/>
      <c r="AG266" s="44"/>
      <c r="AH266" s="44"/>
      <c r="AI266" s="44"/>
      <c r="AJ266" s="44"/>
    </row>
    <row r="267" spans="14:36" x14ac:dyDescent="0.25">
      <c r="N267" t="s">
        <v>541</v>
      </c>
      <c r="O267" t="s">
        <v>542</v>
      </c>
      <c r="P267" t="s">
        <v>543</v>
      </c>
      <c r="Q267" t="s">
        <v>1</v>
      </c>
      <c r="R267">
        <f t="shared" si="13"/>
        <v>47</v>
      </c>
      <c r="S267">
        <f t="shared" ca="1" si="14"/>
        <v>1</v>
      </c>
      <c r="T267">
        <f t="shared" si="15"/>
        <v>264</v>
      </c>
      <c r="U267" t="str">
        <f>IF($T267&lt;=Z$4,INDEX(TypicalCriticalitiesMAHBarrier[Barrier Family Description],MATCH($T267,TypicalCriticalitiesMAHBarrier[Barrier Family ID],0)),"")</f>
        <v/>
      </c>
      <c r="V267" t="str">
        <f ca="1">IF($T267&lt;=AA$4,INDEX(TypicalCriticalitiesMAHBarrier[Typical Components],MATCH($T267,TypicalCriticalitiesMAHBarrier[Column2],0)),"")</f>
        <v/>
      </c>
      <c r="W267" t="str">
        <f ca="1">IF($T267&lt;=AA$4,INDEX(TypicalCriticalitiesMAHBarrier[Typical Criticality],MATCH($T267,TypicalCriticalitiesMAHBarrier[Column2],0)),"")</f>
        <v/>
      </c>
      <c r="AE267" s="44"/>
      <c r="AF267" s="44"/>
      <c r="AG267" s="44"/>
      <c r="AH267" s="44"/>
      <c r="AI267" s="44"/>
      <c r="AJ267" s="44"/>
    </row>
    <row r="268" spans="14:36" x14ac:dyDescent="0.25">
      <c r="N268" t="s">
        <v>541</v>
      </c>
      <c r="O268" t="s">
        <v>542</v>
      </c>
      <c r="P268" t="s">
        <v>544</v>
      </c>
      <c r="Q268" t="s">
        <v>1</v>
      </c>
      <c r="R268">
        <f t="shared" si="13"/>
        <v>47</v>
      </c>
      <c r="S268">
        <f t="shared" ca="1" si="14"/>
        <v>1</v>
      </c>
      <c r="T268">
        <f t="shared" si="15"/>
        <v>265</v>
      </c>
      <c r="U268" t="str">
        <f>IF($T268&lt;=Z$4,INDEX(TypicalCriticalitiesMAHBarrier[Barrier Family Description],MATCH($T268,TypicalCriticalitiesMAHBarrier[Barrier Family ID],0)),"")</f>
        <v/>
      </c>
      <c r="V268" t="str">
        <f ca="1">IF($T268&lt;=AA$4,INDEX(TypicalCriticalitiesMAHBarrier[Typical Components],MATCH($T268,TypicalCriticalitiesMAHBarrier[Column2],0)),"")</f>
        <v/>
      </c>
      <c r="W268" t="str">
        <f ca="1">IF($T268&lt;=AA$4,INDEX(TypicalCriticalitiesMAHBarrier[Typical Criticality],MATCH($T268,TypicalCriticalitiesMAHBarrier[Column2],0)),"")</f>
        <v/>
      </c>
      <c r="AE268" s="44"/>
      <c r="AF268" s="44"/>
      <c r="AG268" s="44"/>
      <c r="AH268" s="44"/>
      <c r="AI268" s="44"/>
      <c r="AJ268" s="44"/>
    </row>
    <row r="269" spans="14:36" x14ac:dyDescent="0.25">
      <c r="N269" t="s">
        <v>541</v>
      </c>
      <c r="O269" t="s">
        <v>542</v>
      </c>
      <c r="P269" t="s">
        <v>545</v>
      </c>
      <c r="Q269" t="s">
        <v>1</v>
      </c>
      <c r="R269">
        <f t="shared" si="13"/>
        <v>47</v>
      </c>
      <c r="S269">
        <f t="shared" ca="1" si="14"/>
        <v>1</v>
      </c>
      <c r="T269">
        <f t="shared" si="15"/>
        <v>266</v>
      </c>
      <c r="U269" t="str">
        <f>IF($T269&lt;=Z$4,INDEX(TypicalCriticalitiesMAHBarrier[Barrier Family Description],MATCH($T269,TypicalCriticalitiesMAHBarrier[Barrier Family ID],0)),"")</f>
        <v/>
      </c>
      <c r="V269" t="str">
        <f ca="1">IF($T269&lt;=AA$4,INDEX(TypicalCriticalitiesMAHBarrier[Typical Components],MATCH($T269,TypicalCriticalitiesMAHBarrier[Column2],0)),"")</f>
        <v/>
      </c>
      <c r="W269" t="str">
        <f ca="1">IF($T269&lt;=AA$4,INDEX(TypicalCriticalitiesMAHBarrier[Typical Criticality],MATCH($T269,TypicalCriticalitiesMAHBarrier[Column2],0)),"")</f>
        <v/>
      </c>
      <c r="AE269" s="44"/>
      <c r="AF269" s="44"/>
      <c r="AG269" s="44"/>
      <c r="AH269" s="44"/>
      <c r="AI269" s="44"/>
      <c r="AJ269" s="44"/>
    </row>
    <row r="270" spans="14:36" x14ac:dyDescent="0.25">
      <c r="N270" t="s">
        <v>546</v>
      </c>
      <c r="O270" t="s">
        <v>547</v>
      </c>
      <c r="P270" t="s">
        <v>548</v>
      </c>
      <c r="Q270" t="s">
        <v>0</v>
      </c>
      <c r="R270">
        <f t="shared" si="13"/>
        <v>48</v>
      </c>
      <c r="S270">
        <f t="shared" ca="1" si="14"/>
        <v>1</v>
      </c>
      <c r="T270">
        <f t="shared" si="15"/>
        <v>267</v>
      </c>
      <c r="U270" t="str">
        <f>IF($T270&lt;=Z$4,INDEX(TypicalCriticalitiesMAHBarrier[Barrier Family Description],MATCH($T270,TypicalCriticalitiesMAHBarrier[Barrier Family ID],0)),"")</f>
        <v/>
      </c>
      <c r="V270" t="str">
        <f ca="1">IF($T270&lt;=AA$4,INDEX(TypicalCriticalitiesMAHBarrier[Typical Components],MATCH($T270,TypicalCriticalitiesMAHBarrier[Column2],0)),"")</f>
        <v/>
      </c>
      <c r="W270" t="str">
        <f ca="1">IF($T270&lt;=AA$4,INDEX(TypicalCriticalitiesMAHBarrier[Typical Criticality],MATCH($T270,TypicalCriticalitiesMAHBarrier[Column2],0)),"")</f>
        <v/>
      </c>
      <c r="AE270" s="44"/>
      <c r="AF270" s="44"/>
      <c r="AG270" s="44"/>
      <c r="AH270" s="44"/>
      <c r="AI270" s="44"/>
      <c r="AJ270" s="44"/>
    </row>
    <row r="271" spans="14:36" x14ac:dyDescent="0.25">
      <c r="N271" t="s">
        <v>546</v>
      </c>
      <c r="O271" t="s">
        <v>547</v>
      </c>
      <c r="P271" t="s">
        <v>549</v>
      </c>
      <c r="Q271" t="s">
        <v>0</v>
      </c>
      <c r="R271">
        <f t="shared" si="13"/>
        <v>48</v>
      </c>
      <c r="S271">
        <f t="shared" ca="1" si="14"/>
        <v>1</v>
      </c>
      <c r="T271">
        <f t="shared" si="15"/>
        <v>268</v>
      </c>
      <c r="U271" t="str">
        <f>IF($T271&lt;=Z$4,INDEX(TypicalCriticalitiesMAHBarrier[Barrier Family Description],MATCH($T271,TypicalCriticalitiesMAHBarrier[Barrier Family ID],0)),"")</f>
        <v/>
      </c>
      <c r="V271" t="str">
        <f ca="1">IF($T271&lt;=AA$4,INDEX(TypicalCriticalitiesMAHBarrier[Typical Components],MATCH($T271,TypicalCriticalitiesMAHBarrier[Column2],0)),"")</f>
        <v/>
      </c>
      <c r="W271" t="str">
        <f ca="1">IF($T271&lt;=AA$4,INDEX(TypicalCriticalitiesMAHBarrier[Typical Criticality],MATCH($T271,TypicalCriticalitiesMAHBarrier[Column2],0)),"")</f>
        <v/>
      </c>
      <c r="AE271" s="44"/>
      <c r="AF271" s="44"/>
      <c r="AG271" s="44"/>
      <c r="AH271" s="44"/>
      <c r="AI271" s="44"/>
      <c r="AJ271" s="44"/>
    </row>
    <row r="272" spans="14:36" x14ac:dyDescent="0.25">
      <c r="N272" t="s">
        <v>546</v>
      </c>
      <c r="O272" t="s">
        <v>547</v>
      </c>
      <c r="P272" t="s">
        <v>550</v>
      </c>
      <c r="Q272" t="s">
        <v>0</v>
      </c>
      <c r="R272">
        <f t="shared" si="13"/>
        <v>48</v>
      </c>
      <c r="S272">
        <f t="shared" ca="1" si="14"/>
        <v>1</v>
      </c>
      <c r="T272">
        <f t="shared" si="15"/>
        <v>269</v>
      </c>
      <c r="U272" t="str">
        <f>IF($T272&lt;=Z$4,INDEX(TypicalCriticalitiesMAHBarrier[Barrier Family Description],MATCH($T272,TypicalCriticalitiesMAHBarrier[Barrier Family ID],0)),"")</f>
        <v/>
      </c>
      <c r="V272" t="str">
        <f ca="1">IF($T272&lt;=AA$4,INDEX(TypicalCriticalitiesMAHBarrier[Typical Components],MATCH($T272,TypicalCriticalitiesMAHBarrier[Column2],0)),"")</f>
        <v/>
      </c>
      <c r="W272" t="str">
        <f ca="1">IF($T272&lt;=AA$4,INDEX(TypicalCriticalitiesMAHBarrier[Typical Criticality],MATCH($T272,TypicalCriticalitiesMAHBarrier[Column2],0)),"")</f>
        <v/>
      </c>
      <c r="AE272" s="44"/>
      <c r="AF272" s="44"/>
      <c r="AG272" s="44"/>
      <c r="AH272" s="44"/>
      <c r="AI272" s="44"/>
      <c r="AJ272" s="44"/>
    </row>
    <row r="273" spans="14:36" x14ac:dyDescent="0.25">
      <c r="N273" t="s">
        <v>546</v>
      </c>
      <c r="O273" t="s">
        <v>547</v>
      </c>
      <c r="P273" t="s">
        <v>551</v>
      </c>
      <c r="Q273" t="s">
        <v>0</v>
      </c>
      <c r="R273">
        <f t="shared" si="13"/>
        <v>48</v>
      </c>
      <c r="S273">
        <f t="shared" ca="1" si="14"/>
        <v>1</v>
      </c>
      <c r="T273">
        <f t="shared" si="15"/>
        <v>270</v>
      </c>
      <c r="U273" t="str">
        <f>IF($T273&lt;=Z$4,INDEX(TypicalCriticalitiesMAHBarrier[Barrier Family Description],MATCH($T273,TypicalCriticalitiesMAHBarrier[Barrier Family ID],0)),"")</f>
        <v/>
      </c>
      <c r="V273" t="str">
        <f ca="1">IF($T273&lt;=AA$4,INDEX(TypicalCriticalitiesMAHBarrier[Typical Components],MATCH($T273,TypicalCriticalitiesMAHBarrier[Column2],0)),"")</f>
        <v/>
      </c>
      <c r="W273" t="str">
        <f ca="1">IF($T273&lt;=AA$4,INDEX(TypicalCriticalitiesMAHBarrier[Typical Criticality],MATCH($T273,TypicalCriticalitiesMAHBarrier[Column2],0)),"")</f>
        <v/>
      </c>
      <c r="AE273" s="44"/>
      <c r="AF273" s="44"/>
      <c r="AG273" s="44"/>
      <c r="AH273" s="44"/>
      <c r="AI273" s="44"/>
      <c r="AJ273" s="44"/>
    </row>
    <row r="274" spans="14:36" x14ac:dyDescent="0.25">
      <c r="N274" t="s">
        <v>546</v>
      </c>
      <c r="O274" t="s">
        <v>547</v>
      </c>
      <c r="P274" t="s">
        <v>552</v>
      </c>
      <c r="Q274" t="s">
        <v>1</v>
      </c>
      <c r="R274">
        <f t="shared" si="13"/>
        <v>48</v>
      </c>
      <c r="S274">
        <f t="shared" ca="1" si="14"/>
        <v>1</v>
      </c>
      <c r="T274">
        <f t="shared" si="15"/>
        <v>271</v>
      </c>
      <c r="U274" t="str">
        <f>IF($T274&lt;=Z$4,INDEX(TypicalCriticalitiesMAHBarrier[Barrier Family Description],MATCH($T274,TypicalCriticalitiesMAHBarrier[Barrier Family ID],0)),"")</f>
        <v/>
      </c>
      <c r="V274" t="str">
        <f ca="1">IF($T274&lt;=AA$4,INDEX(TypicalCriticalitiesMAHBarrier[Typical Components],MATCH($T274,TypicalCriticalitiesMAHBarrier[Column2],0)),"")</f>
        <v/>
      </c>
      <c r="W274" t="str">
        <f ca="1">IF($T274&lt;=AA$4,INDEX(TypicalCriticalitiesMAHBarrier[Typical Criticality],MATCH($T274,TypicalCriticalitiesMAHBarrier[Column2],0)),"")</f>
        <v/>
      </c>
      <c r="AE274" s="44"/>
      <c r="AF274" s="44"/>
      <c r="AG274" s="44"/>
      <c r="AH274" s="44"/>
      <c r="AI274" s="44"/>
      <c r="AJ274" s="44"/>
    </row>
    <row r="275" spans="14:36" x14ac:dyDescent="0.25">
      <c r="N275" t="s">
        <v>546</v>
      </c>
      <c r="O275" t="s">
        <v>547</v>
      </c>
      <c r="P275" t="s">
        <v>553</v>
      </c>
      <c r="Q275" t="s">
        <v>1</v>
      </c>
      <c r="R275">
        <f t="shared" si="13"/>
        <v>48</v>
      </c>
      <c r="S275">
        <f t="shared" ca="1" si="14"/>
        <v>1</v>
      </c>
      <c r="T275">
        <f t="shared" si="15"/>
        <v>272</v>
      </c>
      <c r="U275" t="str">
        <f>IF($T275&lt;=Z$4,INDEX(TypicalCriticalitiesMAHBarrier[Barrier Family Description],MATCH($T275,TypicalCriticalitiesMAHBarrier[Barrier Family ID],0)),"")</f>
        <v/>
      </c>
      <c r="V275" t="str">
        <f ca="1">IF($T275&lt;=AA$4,INDEX(TypicalCriticalitiesMAHBarrier[Typical Components],MATCH($T275,TypicalCriticalitiesMAHBarrier[Column2],0)),"")</f>
        <v/>
      </c>
      <c r="W275" t="str">
        <f ca="1">IF($T275&lt;=AA$4,INDEX(TypicalCriticalitiesMAHBarrier[Typical Criticality],MATCH($T275,TypicalCriticalitiesMAHBarrier[Column2],0)),"")</f>
        <v/>
      </c>
      <c r="AE275" s="44"/>
      <c r="AF275" s="44"/>
      <c r="AG275" s="44"/>
      <c r="AH275" s="44"/>
      <c r="AI275" s="44"/>
      <c r="AJ275" s="44"/>
    </row>
    <row r="276" spans="14:36" x14ac:dyDescent="0.25">
      <c r="N276" t="s">
        <v>546</v>
      </c>
      <c r="O276" t="s">
        <v>547</v>
      </c>
      <c r="P276" t="s">
        <v>554</v>
      </c>
      <c r="Q276" t="s">
        <v>1</v>
      </c>
      <c r="R276">
        <f t="shared" si="13"/>
        <v>48</v>
      </c>
      <c r="S276">
        <f t="shared" ca="1" si="14"/>
        <v>1</v>
      </c>
      <c r="T276">
        <f t="shared" si="15"/>
        <v>273</v>
      </c>
      <c r="U276" t="str">
        <f>IF($T276&lt;=Z$4,INDEX(TypicalCriticalitiesMAHBarrier[Barrier Family Description],MATCH($T276,TypicalCriticalitiesMAHBarrier[Barrier Family ID],0)),"")</f>
        <v/>
      </c>
      <c r="V276" t="str">
        <f ca="1">IF($T276&lt;=AA$4,INDEX(TypicalCriticalitiesMAHBarrier[Typical Components],MATCH($T276,TypicalCriticalitiesMAHBarrier[Column2],0)),"")</f>
        <v/>
      </c>
      <c r="W276" t="str">
        <f ca="1">IF($T276&lt;=AA$4,INDEX(TypicalCriticalitiesMAHBarrier[Typical Criticality],MATCH($T276,TypicalCriticalitiesMAHBarrier[Column2],0)),"")</f>
        <v/>
      </c>
      <c r="AE276" s="44"/>
      <c r="AF276" s="44"/>
      <c r="AG276" s="44"/>
      <c r="AH276" s="44"/>
      <c r="AI276" s="44"/>
      <c r="AJ276" s="44"/>
    </row>
    <row r="277" spans="14:36" x14ac:dyDescent="0.25">
      <c r="N277" t="s">
        <v>546</v>
      </c>
      <c r="O277" t="s">
        <v>547</v>
      </c>
      <c r="P277" t="s">
        <v>555</v>
      </c>
      <c r="Q277" t="s">
        <v>0</v>
      </c>
      <c r="R277">
        <f t="shared" si="13"/>
        <v>48</v>
      </c>
      <c r="S277">
        <f t="shared" ca="1" si="14"/>
        <v>1</v>
      </c>
      <c r="T277">
        <f t="shared" si="15"/>
        <v>274</v>
      </c>
      <c r="U277" t="str">
        <f>IF($T277&lt;=Z$4,INDEX(TypicalCriticalitiesMAHBarrier[Barrier Family Description],MATCH($T277,TypicalCriticalitiesMAHBarrier[Barrier Family ID],0)),"")</f>
        <v/>
      </c>
      <c r="V277" t="str">
        <f ca="1">IF($T277&lt;=AA$4,INDEX(TypicalCriticalitiesMAHBarrier[Typical Components],MATCH($T277,TypicalCriticalitiesMAHBarrier[Column2],0)),"")</f>
        <v/>
      </c>
      <c r="W277" t="str">
        <f ca="1">IF($T277&lt;=AA$4,INDEX(TypicalCriticalitiesMAHBarrier[Typical Criticality],MATCH($T277,TypicalCriticalitiesMAHBarrier[Column2],0)),"")</f>
        <v/>
      </c>
      <c r="AE277" s="44"/>
      <c r="AF277" s="44"/>
      <c r="AG277" s="44"/>
      <c r="AH277" s="44"/>
      <c r="AI277" s="44"/>
      <c r="AJ277" s="44"/>
    </row>
    <row r="278" spans="14:36" x14ac:dyDescent="0.25">
      <c r="N278" t="s">
        <v>546</v>
      </c>
      <c r="O278" t="s">
        <v>547</v>
      </c>
      <c r="P278" t="s">
        <v>556</v>
      </c>
      <c r="Q278" t="s">
        <v>2</v>
      </c>
      <c r="R278">
        <f t="shared" si="13"/>
        <v>48</v>
      </c>
      <c r="S278">
        <f t="shared" ca="1" si="14"/>
        <v>1</v>
      </c>
      <c r="T278">
        <f t="shared" si="15"/>
        <v>275</v>
      </c>
      <c r="U278" t="str">
        <f>IF($T278&lt;=Z$4,INDEX(TypicalCriticalitiesMAHBarrier[Barrier Family Description],MATCH($T278,TypicalCriticalitiesMAHBarrier[Barrier Family ID],0)),"")</f>
        <v/>
      </c>
      <c r="V278" t="str">
        <f ca="1">IF($T278&lt;=AA$4,INDEX(TypicalCriticalitiesMAHBarrier[Typical Components],MATCH($T278,TypicalCriticalitiesMAHBarrier[Column2],0)),"")</f>
        <v/>
      </c>
      <c r="W278" t="str">
        <f ca="1">IF($T278&lt;=AA$4,INDEX(TypicalCriticalitiesMAHBarrier[Typical Criticality],MATCH($T278,TypicalCriticalitiesMAHBarrier[Column2],0)),"")</f>
        <v/>
      </c>
      <c r="AE278" s="44"/>
      <c r="AF278" s="44"/>
      <c r="AG278" s="44"/>
      <c r="AH278" s="44"/>
      <c r="AI278" s="44"/>
      <c r="AJ278" s="44"/>
    </row>
    <row r="279" spans="14:36" x14ac:dyDescent="0.25">
      <c r="N279" t="s">
        <v>546</v>
      </c>
      <c r="O279" t="s">
        <v>557</v>
      </c>
      <c r="P279" t="s">
        <v>558</v>
      </c>
      <c r="Q279" t="s">
        <v>0</v>
      </c>
      <c r="R279">
        <f t="shared" si="13"/>
        <v>49</v>
      </c>
      <c r="S279">
        <f t="shared" ca="1" si="14"/>
        <v>1</v>
      </c>
      <c r="T279">
        <f t="shared" si="15"/>
        <v>276</v>
      </c>
      <c r="U279" t="str">
        <f>IF($T279&lt;=Z$4,INDEX(TypicalCriticalitiesMAHBarrier[Barrier Family Description],MATCH($T279,TypicalCriticalitiesMAHBarrier[Barrier Family ID],0)),"")</f>
        <v/>
      </c>
      <c r="V279" t="str">
        <f ca="1">IF($T279&lt;=AA$4,INDEX(TypicalCriticalitiesMAHBarrier[Typical Components],MATCH($T279,TypicalCriticalitiesMAHBarrier[Column2],0)),"")</f>
        <v/>
      </c>
      <c r="W279" t="str">
        <f ca="1">IF($T279&lt;=AA$4,INDEX(TypicalCriticalitiesMAHBarrier[Typical Criticality],MATCH($T279,TypicalCriticalitiesMAHBarrier[Column2],0)),"")</f>
        <v/>
      </c>
      <c r="AE279" s="44"/>
      <c r="AF279" s="44"/>
      <c r="AG279" s="44"/>
      <c r="AH279" s="44"/>
      <c r="AI279" s="44"/>
      <c r="AJ279" s="44"/>
    </row>
    <row r="280" spans="14:36" x14ac:dyDescent="0.25">
      <c r="N280" t="s">
        <v>546</v>
      </c>
      <c r="O280" t="s">
        <v>557</v>
      </c>
      <c r="P280" t="s">
        <v>559</v>
      </c>
      <c r="Q280" t="s">
        <v>0</v>
      </c>
      <c r="R280">
        <f t="shared" si="13"/>
        <v>49</v>
      </c>
      <c r="S280">
        <f t="shared" ca="1" si="14"/>
        <v>1</v>
      </c>
      <c r="T280">
        <f t="shared" si="15"/>
        <v>277</v>
      </c>
      <c r="U280" t="str">
        <f>IF($T280&lt;=Z$4,INDEX(TypicalCriticalitiesMAHBarrier[Barrier Family Description],MATCH($T280,TypicalCriticalitiesMAHBarrier[Barrier Family ID],0)),"")</f>
        <v/>
      </c>
      <c r="V280" t="str">
        <f ca="1">IF($T280&lt;=AA$4,INDEX(TypicalCriticalitiesMAHBarrier[Typical Components],MATCH($T280,TypicalCriticalitiesMAHBarrier[Column2],0)),"")</f>
        <v/>
      </c>
      <c r="W280" t="str">
        <f ca="1">IF($T280&lt;=AA$4,INDEX(TypicalCriticalitiesMAHBarrier[Typical Criticality],MATCH($T280,TypicalCriticalitiesMAHBarrier[Column2],0)),"")</f>
        <v/>
      </c>
      <c r="AE280" s="44"/>
      <c r="AF280" s="44"/>
      <c r="AG280" s="44"/>
      <c r="AH280" s="44"/>
      <c r="AI280" s="44"/>
      <c r="AJ280" s="44"/>
    </row>
    <row r="281" spans="14:36" x14ac:dyDescent="0.25">
      <c r="N281" t="s">
        <v>546</v>
      </c>
      <c r="O281" t="s">
        <v>557</v>
      </c>
      <c r="P281" t="s">
        <v>560</v>
      </c>
      <c r="Q281" t="s">
        <v>0</v>
      </c>
      <c r="R281">
        <f t="shared" si="13"/>
        <v>49</v>
      </c>
      <c r="S281">
        <f t="shared" ca="1" si="14"/>
        <v>1</v>
      </c>
      <c r="T281">
        <f t="shared" si="15"/>
        <v>278</v>
      </c>
      <c r="U281" t="str">
        <f>IF($T281&lt;=Z$4,INDEX(TypicalCriticalitiesMAHBarrier[Barrier Family Description],MATCH($T281,TypicalCriticalitiesMAHBarrier[Barrier Family ID],0)),"")</f>
        <v/>
      </c>
      <c r="V281" t="str">
        <f ca="1">IF($T281&lt;=AA$4,INDEX(TypicalCriticalitiesMAHBarrier[Typical Components],MATCH($T281,TypicalCriticalitiesMAHBarrier[Column2],0)),"")</f>
        <v/>
      </c>
      <c r="W281" t="str">
        <f ca="1">IF($T281&lt;=AA$4,INDEX(TypicalCriticalitiesMAHBarrier[Typical Criticality],MATCH($T281,TypicalCriticalitiesMAHBarrier[Column2],0)),"")</f>
        <v/>
      </c>
      <c r="AE281" s="44"/>
      <c r="AF281" s="44"/>
      <c r="AG281" s="44"/>
      <c r="AH281" s="44"/>
      <c r="AI281" s="44"/>
      <c r="AJ281" s="44"/>
    </row>
    <row r="282" spans="14:36" x14ac:dyDescent="0.25">
      <c r="N282" t="s">
        <v>546</v>
      </c>
      <c r="O282" t="s">
        <v>557</v>
      </c>
      <c r="P282" t="s">
        <v>561</v>
      </c>
      <c r="Q282" t="s">
        <v>0</v>
      </c>
      <c r="R282">
        <f t="shared" si="13"/>
        <v>49</v>
      </c>
      <c r="S282">
        <f t="shared" ca="1" si="14"/>
        <v>1</v>
      </c>
      <c r="T282">
        <f t="shared" si="15"/>
        <v>279</v>
      </c>
      <c r="U282" t="str">
        <f>IF($T282&lt;=Z$4,INDEX(TypicalCriticalitiesMAHBarrier[Barrier Family Description],MATCH($T282,TypicalCriticalitiesMAHBarrier[Barrier Family ID],0)),"")</f>
        <v/>
      </c>
      <c r="V282" t="str">
        <f ca="1">IF($T282&lt;=AA$4,INDEX(TypicalCriticalitiesMAHBarrier[Typical Components],MATCH($T282,TypicalCriticalitiesMAHBarrier[Column2],0)),"")</f>
        <v/>
      </c>
      <c r="W282" t="str">
        <f ca="1">IF($T282&lt;=AA$4,INDEX(TypicalCriticalitiesMAHBarrier[Typical Criticality],MATCH($T282,TypicalCriticalitiesMAHBarrier[Column2],0)),"")</f>
        <v/>
      </c>
      <c r="AE282" s="44"/>
      <c r="AF282" s="44"/>
      <c r="AG282" s="44"/>
      <c r="AH282" s="44"/>
      <c r="AI282" s="44"/>
      <c r="AJ282" s="44"/>
    </row>
    <row r="283" spans="14:36" x14ac:dyDescent="0.25">
      <c r="N283" t="s">
        <v>546</v>
      </c>
      <c r="O283" t="s">
        <v>557</v>
      </c>
      <c r="P283" t="s">
        <v>562</v>
      </c>
      <c r="Q283" t="s">
        <v>1</v>
      </c>
      <c r="R283">
        <f t="shared" si="13"/>
        <v>49</v>
      </c>
      <c r="S283">
        <f t="shared" ca="1" si="14"/>
        <v>1</v>
      </c>
      <c r="T283">
        <f t="shared" si="15"/>
        <v>280</v>
      </c>
      <c r="U283" t="str">
        <f>IF($T283&lt;=Z$4,INDEX(TypicalCriticalitiesMAHBarrier[Barrier Family Description],MATCH($T283,TypicalCriticalitiesMAHBarrier[Barrier Family ID],0)),"")</f>
        <v/>
      </c>
      <c r="V283" t="str">
        <f ca="1">IF($T283&lt;=AA$4,INDEX(TypicalCriticalitiesMAHBarrier[Typical Components],MATCH($T283,TypicalCriticalitiesMAHBarrier[Column2],0)),"")</f>
        <v/>
      </c>
      <c r="W283" t="str">
        <f ca="1">IF($T283&lt;=AA$4,INDEX(TypicalCriticalitiesMAHBarrier[Typical Criticality],MATCH($T283,TypicalCriticalitiesMAHBarrier[Column2],0)),"")</f>
        <v/>
      </c>
      <c r="AE283" s="44"/>
      <c r="AF283" s="44"/>
      <c r="AG283" s="44"/>
      <c r="AH283" s="44"/>
      <c r="AI283" s="44"/>
      <c r="AJ283" s="44"/>
    </row>
    <row r="284" spans="14:36" x14ac:dyDescent="0.25">
      <c r="N284" t="s">
        <v>546</v>
      </c>
      <c r="O284" t="s">
        <v>557</v>
      </c>
      <c r="P284" t="s">
        <v>563</v>
      </c>
      <c r="Q284" t="s">
        <v>0</v>
      </c>
      <c r="R284">
        <f t="shared" si="13"/>
        <v>49</v>
      </c>
      <c r="S284">
        <f t="shared" ca="1" si="14"/>
        <v>1</v>
      </c>
      <c r="T284">
        <f t="shared" si="15"/>
        <v>281</v>
      </c>
      <c r="U284" t="str">
        <f>IF($T284&lt;=Z$4,INDEX(TypicalCriticalitiesMAHBarrier[Barrier Family Description],MATCH($T284,TypicalCriticalitiesMAHBarrier[Barrier Family ID],0)),"")</f>
        <v/>
      </c>
      <c r="V284" t="str">
        <f ca="1">IF($T284&lt;=AA$4,INDEX(TypicalCriticalitiesMAHBarrier[Typical Components],MATCH($T284,TypicalCriticalitiesMAHBarrier[Column2],0)),"")</f>
        <v/>
      </c>
      <c r="W284" t="str">
        <f ca="1">IF($T284&lt;=AA$4,INDEX(TypicalCriticalitiesMAHBarrier[Typical Criticality],MATCH($T284,TypicalCriticalitiesMAHBarrier[Column2],0)),"")</f>
        <v/>
      </c>
      <c r="AE284" s="44"/>
      <c r="AF284" s="44"/>
      <c r="AG284" s="44"/>
      <c r="AH284" s="44"/>
      <c r="AI284" s="44"/>
      <c r="AJ284" s="44"/>
    </row>
    <row r="285" spans="14:36" x14ac:dyDescent="0.25">
      <c r="N285" t="s">
        <v>546</v>
      </c>
      <c r="O285" t="s">
        <v>557</v>
      </c>
      <c r="P285" t="s">
        <v>564</v>
      </c>
      <c r="Q285" t="s">
        <v>1</v>
      </c>
      <c r="R285">
        <f t="shared" si="13"/>
        <v>49</v>
      </c>
      <c r="S285">
        <f t="shared" ca="1" si="14"/>
        <v>1</v>
      </c>
      <c r="T285">
        <f t="shared" si="15"/>
        <v>282</v>
      </c>
      <c r="U285" t="str">
        <f>IF($T285&lt;=Z$4,INDEX(TypicalCriticalitiesMAHBarrier[Barrier Family Description],MATCH($T285,TypicalCriticalitiesMAHBarrier[Barrier Family ID],0)),"")</f>
        <v/>
      </c>
      <c r="V285" t="str">
        <f ca="1">IF($T285&lt;=AA$4,INDEX(TypicalCriticalitiesMAHBarrier[Typical Components],MATCH($T285,TypicalCriticalitiesMAHBarrier[Column2],0)),"")</f>
        <v/>
      </c>
      <c r="W285" t="str">
        <f ca="1">IF($T285&lt;=AA$4,INDEX(TypicalCriticalitiesMAHBarrier[Typical Criticality],MATCH($T285,TypicalCriticalitiesMAHBarrier[Column2],0)),"")</f>
        <v/>
      </c>
      <c r="AE285" s="44"/>
      <c r="AF285" s="44"/>
      <c r="AG285" s="44"/>
      <c r="AH285" s="44"/>
      <c r="AI285" s="44"/>
      <c r="AJ285" s="44"/>
    </row>
    <row r="286" spans="14:36" x14ac:dyDescent="0.25">
      <c r="N286" t="s">
        <v>565</v>
      </c>
      <c r="O286" t="s">
        <v>566</v>
      </c>
      <c r="P286" t="s">
        <v>567</v>
      </c>
      <c r="Q286" t="s">
        <v>0</v>
      </c>
      <c r="R286">
        <f t="shared" si="13"/>
        <v>50</v>
      </c>
      <c r="S286">
        <f t="shared" ca="1" si="14"/>
        <v>1</v>
      </c>
      <c r="T286">
        <f t="shared" si="15"/>
        <v>283</v>
      </c>
      <c r="U286" t="str">
        <f>IF($T286&lt;=Z$4,INDEX(TypicalCriticalitiesMAHBarrier[Barrier Family Description],MATCH($T286,TypicalCriticalitiesMAHBarrier[Barrier Family ID],0)),"")</f>
        <v/>
      </c>
      <c r="V286" t="str">
        <f ca="1">IF($T286&lt;=AA$4,INDEX(TypicalCriticalitiesMAHBarrier[Typical Components],MATCH($T286,TypicalCriticalitiesMAHBarrier[Column2],0)),"")</f>
        <v/>
      </c>
      <c r="W286" t="str">
        <f ca="1">IF($T286&lt;=AA$4,INDEX(TypicalCriticalitiesMAHBarrier[Typical Criticality],MATCH($T286,TypicalCriticalitiesMAHBarrier[Column2],0)),"")</f>
        <v/>
      </c>
      <c r="AE286" s="44"/>
      <c r="AF286" s="44"/>
      <c r="AG286" s="44"/>
      <c r="AH286" s="44"/>
      <c r="AI286" s="44"/>
      <c r="AJ286" s="44"/>
    </row>
    <row r="287" spans="14:36" x14ac:dyDescent="0.25">
      <c r="N287" t="s">
        <v>565</v>
      </c>
      <c r="O287" t="s">
        <v>566</v>
      </c>
      <c r="P287" t="s">
        <v>568</v>
      </c>
      <c r="Q287" t="s">
        <v>0</v>
      </c>
      <c r="R287">
        <f t="shared" si="13"/>
        <v>50</v>
      </c>
      <c r="S287">
        <f t="shared" ca="1" si="14"/>
        <v>1</v>
      </c>
      <c r="T287">
        <f t="shared" si="15"/>
        <v>284</v>
      </c>
      <c r="U287" t="str">
        <f>IF($T287&lt;=Z$4,INDEX(TypicalCriticalitiesMAHBarrier[Barrier Family Description],MATCH($T287,TypicalCriticalitiesMAHBarrier[Barrier Family ID],0)),"")</f>
        <v/>
      </c>
      <c r="V287" t="str">
        <f ca="1">IF($T287&lt;=AA$4,INDEX(TypicalCriticalitiesMAHBarrier[Typical Components],MATCH($T287,TypicalCriticalitiesMAHBarrier[Column2],0)),"")</f>
        <v/>
      </c>
      <c r="W287" t="str">
        <f ca="1">IF($T287&lt;=AA$4,INDEX(TypicalCriticalitiesMAHBarrier[Typical Criticality],MATCH($T287,TypicalCriticalitiesMAHBarrier[Column2],0)),"")</f>
        <v/>
      </c>
      <c r="AE287" s="44"/>
      <c r="AF287" s="44"/>
      <c r="AG287" s="44"/>
      <c r="AH287" s="44"/>
      <c r="AI287" s="44"/>
      <c r="AJ287" s="44"/>
    </row>
    <row r="288" spans="14:36" x14ac:dyDescent="0.25">
      <c r="N288" t="s">
        <v>569</v>
      </c>
      <c r="O288" t="s">
        <v>570</v>
      </c>
      <c r="P288" t="s">
        <v>571</v>
      </c>
      <c r="Q288" t="s">
        <v>0</v>
      </c>
      <c r="R288">
        <f t="shared" si="13"/>
        <v>51</v>
      </c>
      <c r="S288">
        <f t="shared" ca="1" si="14"/>
        <v>1</v>
      </c>
      <c r="T288">
        <f t="shared" si="15"/>
        <v>285</v>
      </c>
      <c r="U288" t="str">
        <f>IF($T288&lt;=Z$4,INDEX(TypicalCriticalitiesMAHBarrier[Barrier Family Description],MATCH($T288,TypicalCriticalitiesMAHBarrier[Barrier Family ID],0)),"")</f>
        <v/>
      </c>
      <c r="V288" t="str">
        <f ca="1">IF($T288&lt;=AA$4,INDEX(TypicalCriticalitiesMAHBarrier[Typical Components],MATCH($T288,TypicalCriticalitiesMAHBarrier[Column2],0)),"")</f>
        <v/>
      </c>
      <c r="W288" t="str">
        <f ca="1">IF($T288&lt;=AA$4,INDEX(TypicalCriticalitiesMAHBarrier[Typical Criticality],MATCH($T288,TypicalCriticalitiesMAHBarrier[Column2],0)),"")</f>
        <v/>
      </c>
      <c r="AE288" s="44"/>
      <c r="AF288" s="44"/>
      <c r="AG288" s="44"/>
      <c r="AH288" s="44"/>
      <c r="AI288" s="44"/>
      <c r="AJ288" s="44"/>
    </row>
    <row r="289" spans="14:36" x14ac:dyDescent="0.25">
      <c r="N289" t="s">
        <v>572</v>
      </c>
      <c r="O289" t="s">
        <v>573</v>
      </c>
      <c r="P289" t="s">
        <v>574</v>
      </c>
      <c r="Q289" t="s">
        <v>0</v>
      </c>
      <c r="R289">
        <f t="shared" si="13"/>
        <v>52</v>
      </c>
      <c r="S289">
        <f t="shared" ca="1" si="14"/>
        <v>1</v>
      </c>
      <c r="T289">
        <f t="shared" si="15"/>
        <v>286</v>
      </c>
      <c r="U289" t="str">
        <f>IF($T289&lt;=Z$4,INDEX(TypicalCriticalitiesMAHBarrier[Barrier Family Description],MATCH($T289,TypicalCriticalitiesMAHBarrier[Barrier Family ID],0)),"")</f>
        <v/>
      </c>
      <c r="V289" t="str">
        <f ca="1">IF($T289&lt;=AA$4,INDEX(TypicalCriticalitiesMAHBarrier[Typical Components],MATCH($T289,TypicalCriticalitiesMAHBarrier[Column2],0)),"")</f>
        <v/>
      </c>
      <c r="W289" t="str">
        <f ca="1">IF($T289&lt;=AA$4,INDEX(TypicalCriticalitiesMAHBarrier[Typical Criticality],MATCH($T289,TypicalCriticalitiesMAHBarrier[Column2],0)),"")</f>
        <v/>
      </c>
      <c r="AE289" s="44"/>
      <c r="AF289" s="44"/>
      <c r="AG289" s="44"/>
      <c r="AH289" s="44"/>
      <c r="AI289" s="44"/>
      <c r="AJ289" s="44"/>
    </row>
    <row r="290" spans="14:36" x14ac:dyDescent="0.25">
      <c r="N290" t="s">
        <v>572</v>
      </c>
      <c r="O290" t="s">
        <v>573</v>
      </c>
      <c r="P290" t="s">
        <v>575</v>
      </c>
      <c r="Q290" t="s">
        <v>0</v>
      </c>
      <c r="R290">
        <f t="shared" si="13"/>
        <v>52</v>
      </c>
      <c r="S290">
        <f t="shared" ca="1" si="14"/>
        <v>1</v>
      </c>
      <c r="T290">
        <f t="shared" si="15"/>
        <v>287</v>
      </c>
      <c r="U290" t="str">
        <f>IF($T290&lt;=Z$4,INDEX(TypicalCriticalitiesMAHBarrier[Barrier Family Description],MATCH($T290,TypicalCriticalitiesMAHBarrier[Barrier Family ID],0)),"")</f>
        <v/>
      </c>
      <c r="V290" t="str">
        <f ca="1">IF($T290&lt;=AA$4,INDEX(TypicalCriticalitiesMAHBarrier[Typical Components],MATCH($T290,TypicalCriticalitiesMAHBarrier[Column2],0)),"")</f>
        <v/>
      </c>
      <c r="W290" t="str">
        <f ca="1">IF($T290&lt;=AA$4,INDEX(TypicalCriticalitiesMAHBarrier[Typical Criticality],MATCH($T290,TypicalCriticalitiesMAHBarrier[Column2],0)),"")</f>
        <v/>
      </c>
      <c r="AE290" s="44"/>
      <c r="AF290" s="44"/>
      <c r="AG290" s="44"/>
      <c r="AH290" s="44"/>
      <c r="AI290" s="44"/>
      <c r="AJ290" s="44"/>
    </row>
    <row r="291" spans="14:36" x14ac:dyDescent="0.25">
      <c r="N291" t="s">
        <v>572</v>
      </c>
      <c r="O291" t="s">
        <v>573</v>
      </c>
      <c r="P291" t="s">
        <v>576</v>
      </c>
      <c r="Q291" t="s">
        <v>0</v>
      </c>
      <c r="R291">
        <f t="shared" si="13"/>
        <v>52</v>
      </c>
      <c r="S291">
        <f t="shared" ca="1" si="14"/>
        <v>1</v>
      </c>
      <c r="T291">
        <f t="shared" si="15"/>
        <v>288</v>
      </c>
      <c r="U291" t="str">
        <f>IF($T291&lt;=Z$4,INDEX(TypicalCriticalitiesMAHBarrier[Barrier Family Description],MATCH($T291,TypicalCriticalitiesMAHBarrier[Barrier Family ID],0)),"")</f>
        <v/>
      </c>
      <c r="V291" t="str">
        <f ca="1">IF($T291&lt;=AA$4,INDEX(TypicalCriticalitiesMAHBarrier[Typical Components],MATCH($T291,TypicalCriticalitiesMAHBarrier[Column2],0)),"")</f>
        <v/>
      </c>
      <c r="W291" t="str">
        <f ca="1">IF($T291&lt;=AA$4,INDEX(TypicalCriticalitiesMAHBarrier[Typical Criticality],MATCH($T291,TypicalCriticalitiesMAHBarrier[Column2],0)),"")</f>
        <v/>
      </c>
      <c r="AE291" s="44"/>
      <c r="AF291" s="44"/>
      <c r="AG291" s="44"/>
      <c r="AH291" s="44"/>
      <c r="AI291" s="44"/>
      <c r="AJ291" s="44"/>
    </row>
    <row r="292" spans="14:36" x14ac:dyDescent="0.25">
      <c r="N292" t="s">
        <v>577</v>
      </c>
      <c r="O292" t="s">
        <v>578</v>
      </c>
      <c r="P292" t="s">
        <v>579</v>
      </c>
      <c r="Q292" t="s">
        <v>0</v>
      </c>
      <c r="R292">
        <f t="shared" si="13"/>
        <v>53</v>
      </c>
      <c r="S292">
        <f t="shared" ca="1" si="14"/>
        <v>1</v>
      </c>
      <c r="T292">
        <f t="shared" si="15"/>
        <v>289</v>
      </c>
      <c r="U292" t="str">
        <f>IF($T292&lt;=Z$4,INDEX(TypicalCriticalitiesMAHBarrier[Barrier Family Description],MATCH($T292,TypicalCriticalitiesMAHBarrier[Barrier Family ID],0)),"")</f>
        <v/>
      </c>
      <c r="V292" t="str">
        <f ca="1">IF($T292&lt;=AA$4,INDEX(TypicalCriticalitiesMAHBarrier[Typical Components],MATCH($T292,TypicalCriticalitiesMAHBarrier[Column2],0)),"")</f>
        <v/>
      </c>
      <c r="W292" t="str">
        <f ca="1">IF($T292&lt;=AA$4,INDEX(TypicalCriticalitiesMAHBarrier[Typical Criticality],MATCH($T292,TypicalCriticalitiesMAHBarrier[Column2],0)),"")</f>
        <v/>
      </c>
      <c r="AE292" s="44"/>
      <c r="AF292" s="44"/>
      <c r="AG292" s="44"/>
      <c r="AH292" s="44"/>
      <c r="AI292" s="44"/>
      <c r="AJ292" s="44"/>
    </row>
    <row r="293" spans="14:36" x14ac:dyDescent="0.25">
      <c r="N293" t="s">
        <v>577</v>
      </c>
      <c r="O293" t="s">
        <v>578</v>
      </c>
      <c r="P293" t="s">
        <v>580</v>
      </c>
      <c r="Q293" t="s">
        <v>1</v>
      </c>
      <c r="R293">
        <f t="shared" si="13"/>
        <v>53</v>
      </c>
      <c r="S293">
        <f t="shared" ca="1" si="14"/>
        <v>1</v>
      </c>
      <c r="T293">
        <f t="shared" si="15"/>
        <v>290</v>
      </c>
      <c r="U293" t="str">
        <f>IF($T293&lt;=Z$4,INDEX(TypicalCriticalitiesMAHBarrier[Barrier Family Description],MATCH($T293,TypicalCriticalitiesMAHBarrier[Barrier Family ID],0)),"")</f>
        <v/>
      </c>
      <c r="V293" t="str">
        <f ca="1">IF($T293&lt;=AA$4,INDEX(TypicalCriticalitiesMAHBarrier[Typical Components],MATCH($T293,TypicalCriticalitiesMAHBarrier[Column2],0)),"")</f>
        <v/>
      </c>
      <c r="W293" t="str">
        <f ca="1">IF($T293&lt;=AA$4,INDEX(TypicalCriticalitiesMAHBarrier[Typical Criticality],MATCH($T293,TypicalCriticalitiesMAHBarrier[Column2],0)),"")</f>
        <v/>
      </c>
      <c r="AE293" s="44"/>
      <c r="AF293" s="44"/>
      <c r="AG293" s="44"/>
      <c r="AH293" s="44"/>
      <c r="AI293" s="44"/>
      <c r="AJ293" s="44"/>
    </row>
    <row r="294" spans="14:36" x14ac:dyDescent="0.25">
      <c r="N294" t="s">
        <v>577</v>
      </c>
      <c r="O294" t="s">
        <v>578</v>
      </c>
      <c r="P294" t="s">
        <v>581</v>
      </c>
      <c r="Q294" t="s">
        <v>0</v>
      </c>
      <c r="R294">
        <f t="shared" si="13"/>
        <v>53</v>
      </c>
      <c r="S294">
        <f t="shared" ca="1" si="14"/>
        <v>1</v>
      </c>
      <c r="T294">
        <f t="shared" si="15"/>
        <v>291</v>
      </c>
      <c r="U294" t="str">
        <f>IF($T294&lt;=Z$4,INDEX(TypicalCriticalitiesMAHBarrier[Barrier Family Description],MATCH($T294,TypicalCriticalitiesMAHBarrier[Barrier Family ID],0)),"")</f>
        <v/>
      </c>
      <c r="V294" t="str">
        <f ca="1">IF($T294&lt;=AA$4,INDEX(TypicalCriticalitiesMAHBarrier[Typical Components],MATCH($T294,TypicalCriticalitiesMAHBarrier[Column2],0)),"")</f>
        <v/>
      </c>
      <c r="W294" t="str">
        <f ca="1">IF($T294&lt;=AA$4,INDEX(TypicalCriticalitiesMAHBarrier[Typical Criticality],MATCH($T294,TypicalCriticalitiesMAHBarrier[Column2],0)),"")</f>
        <v/>
      </c>
      <c r="AE294" s="44"/>
      <c r="AF294" s="44"/>
      <c r="AG294" s="44"/>
      <c r="AH294" s="44"/>
      <c r="AI294" s="44"/>
      <c r="AJ294" s="44"/>
    </row>
    <row r="295" spans="14:36" x14ac:dyDescent="0.25">
      <c r="N295" t="s">
        <v>577</v>
      </c>
      <c r="O295" t="s">
        <v>578</v>
      </c>
      <c r="P295" t="s">
        <v>582</v>
      </c>
      <c r="Q295" t="s">
        <v>0</v>
      </c>
      <c r="R295">
        <f t="shared" si="13"/>
        <v>53</v>
      </c>
      <c r="S295">
        <f t="shared" ca="1" si="14"/>
        <v>1</v>
      </c>
      <c r="T295">
        <f t="shared" si="15"/>
        <v>292</v>
      </c>
      <c r="U295" t="str">
        <f>IF($T295&lt;=Z$4,INDEX(TypicalCriticalitiesMAHBarrier[Barrier Family Description],MATCH($T295,TypicalCriticalitiesMAHBarrier[Barrier Family ID],0)),"")</f>
        <v/>
      </c>
      <c r="V295" t="str">
        <f ca="1">IF($T295&lt;=AA$4,INDEX(TypicalCriticalitiesMAHBarrier[Typical Components],MATCH($T295,TypicalCriticalitiesMAHBarrier[Column2],0)),"")</f>
        <v/>
      </c>
      <c r="W295" t="str">
        <f ca="1">IF($T295&lt;=AA$4,INDEX(TypicalCriticalitiesMAHBarrier[Typical Criticality],MATCH($T295,TypicalCriticalitiesMAHBarrier[Column2],0)),"")</f>
        <v/>
      </c>
      <c r="AE295" s="44"/>
      <c r="AF295" s="44"/>
      <c r="AG295" s="44"/>
      <c r="AH295" s="44"/>
      <c r="AI295" s="44"/>
      <c r="AJ295" s="44"/>
    </row>
    <row r="296" spans="14:36" x14ac:dyDescent="0.25">
      <c r="N296" t="s">
        <v>577</v>
      </c>
      <c r="O296" t="s">
        <v>578</v>
      </c>
      <c r="P296" t="s">
        <v>583</v>
      </c>
      <c r="Q296" t="s">
        <v>1</v>
      </c>
      <c r="R296">
        <f t="shared" si="13"/>
        <v>53</v>
      </c>
      <c r="S296">
        <f t="shared" ca="1" si="14"/>
        <v>1</v>
      </c>
      <c r="T296">
        <f t="shared" si="15"/>
        <v>293</v>
      </c>
      <c r="U296" t="str">
        <f>IF($T296&lt;=Z$4,INDEX(TypicalCriticalitiesMAHBarrier[Barrier Family Description],MATCH($T296,TypicalCriticalitiesMAHBarrier[Barrier Family ID],0)),"")</f>
        <v/>
      </c>
      <c r="V296" t="str">
        <f ca="1">IF($T296&lt;=AA$4,INDEX(TypicalCriticalitiesMAHBarrier[Typical Components],MATCH($T296,TypicalCriticalitiesMAHBarrier[Column2],0)),"")</f>
        <v/>
      </c>
      <c r="W296" t="str">
        <f ca="1">IF($T296&lt;=AA$4,INDEX(TypicalCriticalitiesMAHBarrier[Typical Criticality],MATCH($T296,TypicalCriticalitiesMAHBarrier[Column2],0)),"")</f>
        <v/>
      </c>
      <c r="AE296" s="44"/>
      <c r="AF296" s="44"/>
      <c r="AG296" s="44"/>
      <c r="AH296" s="44"/>
      <c r="AI296" s="44"/>
      <c r="AJ296" s="44"/>
    </row>
    <row r="297" spans="14:36" x14ac:dyDescent="0.25">
      <c r="N297" t="s">
        <v>577</v>
      </c>
      <c r="O297" t="s">
        <v>578</v>
      </c>
      <c r="P297" t="s">
        <v>584</v>
      </c>
      <c r="Q297" t="s">
        <v>0</v>
      </c>
      <c r="R297">
        <f t="shared" si="13"/>
        <v>53</v>
      </c>
      <c r="S297">
        <f t="shared" ca="1" si="14"/>
        <v>1</v>
      </c>
      <c r="T297">
        <f t="shared" si="15"/>
        <v>294</v>
      </c>
      <c r="U297" t="str">
        <f>IF($T297&lt;=Z$4,INDEX(TypicalCriticalitiesMAHBarrier[Barrier Family Description],MATCH($T297,TypicalCriticalitiesMAHBarrier[Barrier Family ID],0)),"")</f>
        <v/>
      </c>
      <c r="V297" t="str">
        <f ca="1">IF($T297&lt;=AA$4,INDEX(TypicalCriticalitiesMAHBarrier[Typical Components],MATCH($T297,TypicalCriticalitiesMAHBarrier[Column2],0)),"")</f>
        <v/>
      </c>
      <c r="W297" t="str">
        <f ca="1">IF($T297&lt;=AA$4,INDEX(TypicalCriticalitiesMAHBarrier[Typical Criticality],MATCH($T297,TypicalCriticalitiesMAHBarrier[Column2],0)),"")</f>
        <v/>
      </c>
      <c r="AE297" s="44"/>
      <c r="AF297" s="44"/>
      <c r="AG297" s="44"/>
      <c r="AH297" s="44"/>
      <c r="AI297" s="44"/>
      <c r="AJ297" s="44"/>
    </row>
    <row r="298" spans="14:36" x14ac:dyDescent="0.25">
      <c r="N298" t="s">
        <v>577</v>
      </c>
      <c r="O298" t="s">
        <v>578</v>
      </c>
      <c r="P298" t="s">
        <v>585</v>
      </c>
      <c r="Q298" t="s">
        <v>0</v>
      </c>
      <c r="R298">
        <f t="shared" si="13"/>
        <v>53</v>
      </c>
      <c r="S298">
        <f t="shared" ca="1" si="14"/>
        <v>1</v>
      </c>
      <c r="T298">
        <f t="shared" si="15"/>
        <v>295</v>
      </c>
      <c r="U298" t="str">
        <f>IF($T298&lt;=Z$4,INDEX(TypicalCriticalitiesMAHBarrier[Barrier Family Description],MATCH($T298,TypicalCriticalitiesMAHBarrier[Barrier Family ID],0)),"")</f>
        <v/>
      </c>
      <c r="V298" t="str">
        <f ca="1">IF($T298&lt;=AA$4,INDEX(TypicalCriticalitiesMAHBarrier[Typical Components],MATCH($T298,TypicalCriticalitiesMAHBarrier[Column2],0)),"")</f>
        <v/>
      </c>
      <c r="W298" t="str">
        <f ca="1">IF($T298&lt;=AA$4,INDEX(TypicalCriticalitiesMAHBarrier[Typical Criticality],MATCH($T298,TypicalCriticalitiesMAHBarrier[Column2],0)),"")</f>
        <v/>
      </c>
      <c r="AE298" s="44"/>
      <c r="AF298" s="44"/>
      <c r="AG298" s="44"/>
      <c r="AH298" s="44"/>
      <c r="AI298" s="44"/>
      <c r="AJ298" s="44"/>
    </row>
    <row r="299" spans="14:36" x14ac:dyDescent="0.25">
      <c r="N299" t="s">
        <v>577</v>
      </c>
      <c r="O299" t="s">
        <v>578</v>
      </c>
      <c r="P299" t="s">
        <v>586</v>
      </c>
      <c r="Q299" t="s">
        <v>0</v>
      </c>
      <c r="R299">
        <f t="shared" si="13"/>
        <v>53</v>
      </c>
      <c r="S299">
        <f t="shared" ca="1" si="14"/>
        <v>1</v>
      </c>
      <c r="T299">
        <f t="shared" si="15"/>
        <v>296</v>
      </c>
      <c r="U299" t="str">
        <f>IF($T299&lt;=Z$4,INDEX(TypicalCriticalitiesMAHBarrier[Barrier Family Description],MATCH($T299,TypicalCriticalitiesMAHBarrier[Barrier Family ID],0)),"")</f>
        <v/>
      </c>
      <c r="V299" t="str">
        <f ca="1">IF($T299&lt;=AA$4,INDEX(TypicalCriticalitiesMAHBarrier[Typical Components],MATCH($T299,TypicalCriticalitiesMAHBarrier[Column2],0)),"")</f>
        <v/>
      </c>
      <c r="W299" t="str">
        <f ca="1">IF($T299&lt;=AA$4,INDEX(TypicalCriticalitiesMAHBarrier[Typical Criticality],MATCH($T299,TypicalCriticalitiesMAHBarrier[Column2],0)),"")</f>
        <v/>
      </c>
      <c r="AE299" s="44"/>
      <c r="AF299" s="44"/>
      <c r="AG299" s="44"/>
      <c r="AH299" s="44"/>
      <c r="AI299" s="44"/>
      <c r="AJ299" s="44"/>
    </row>
    <row r="300" spans="14:36" x14ac:dyDescent="0.25">
      <c r="N300" t="s">
        <v>577</v>
      </c>
      <c r="O300" t="s">
        <v>578</v>
      </c>
      <c r="P300" t="s">
        <v>587</v>
      </c>
      <c r="Q300" t="s">
        <v>0</v>
      </c>
      <c r="R300">
        <f t="shared" si="13"/>
        <v>53</v>
      </c>
      <c r="S300">
        <f t="shared" ca="1" si="14"/>
        <v>1</v>
      </c>
      <c r="T300">
        <f t="shared" si="15"/>
        <v>297</v>
      </c>
      <c r="U300" t="str">
        <f>IF($T300&lt;=Z$4,INDEX(TypicalCriticalitiesMAHBarrier[Barrier Family Description],MATCH($T300,TypicalCriticalitiesMAHBarrier[Barrier Family ID],0)),"")</f>
        <v/>
      </c>
      <c r="V300" t="str">
        <f ca="1">IF($T300&lt;=AA$4,INDEX(TypicalCriticalitiesMAHBarrier[Typical Components],MATCH($T300,TypicalCriticalitiesMAHBarrier[Column2],0)),"")</f>
        <v/>
      </c>
      <c r="W300" t="str">
        <f ca="1">IF($T300&lt;=AA$4,INDEX(TypicalCriticalitiesMAHBarrier[Typical Criticality],MATCH($T300,TypicalCriticalitiesMAHBarrier[Column2],0)),"")</f>
        <v/>
      </c>
      <c r="AE300" s="44"/>
      <c r="AF300" s="44"/>
      <c r="AG300" s="44"/>
      <c r="AH300" s="44"/>
      <c r="AI300" s="44"/>
      <c r="AJ300" s="44"/>
    </row>
    <row r="301" spans="14:36" x14ac:dyDescent="0.25">
      <c r="N301" t="s">
        <v>577</v>
      </c>
      <c r="O301" t="s">
        <v>578</v>
      </c>
      <c r="P301" t="s">
        <v>588</v>
      </c>
      <c r="Q301" t="s">
        <v>0</v>
      </c>
      <c r="R301">
        <f t="shared" si="13"/>
        <v>53</v>
      </c>
      <c r="S301">
        <f t="shared" ca="1" si="14"/>
        <v>1</v>
      </c>
      <c r="T301">
        <f t="shared" si="15"/>
        <v>298</v>
      </c>
      <c r="U301" t="str">
        <f>IF($T301&lt;=Z$4,INDEX(TypicalCriticalitiesMAHBarrier[Barrier Family Description],MATCH($T301,TypicalCriticalitiesMAHBarrier[Barrier Family ID],0)),"")</f>
        <v/>
      </c>
      <c r="V301" t="str">
        <f ca="1">IF($T301&lt;=AA$4,INDEX(TypicalCriticalitiesMAHBarrier[Typical Components],MATCH($T301,TypicalCriticalitiesMAHBarrier[Column2],0)),"")</f>
        <v/>
      </c>
      <c r="W301" t="str">
        <f ca="1">IF($T301&lt;=AA$4,INDEX(TypicalCriticalitiesMAHBarrier[Typical Criticality],MATCH($T301,TypicalCriticalitiesMAHBarrier[Column2],0)),"")</f>
        <v/>
      </c>
      <c r="AE301" s="44"/>
      <c r="AF301" s="44"/>
      <c r="AG301" s="44"/>
      <c r="AH301" s="44"/>
      <c r="AI301" s="44"/>
      <c r="AJ301" s="44"/>
    </row>
    <row r="302" spans="14:36" x14ac:dyDescent="0.25">
      <c r="N302" t="s">
        <v>577</v>
      </c>
      <c r="O302" t="s">
        <v>578</v>
      </c>
      <c r="P302" t="s">
        <v>589</v>
      </c>
      <c r="Q302" t="s">
        <v>1</v>
      </c>
      <c r="R302">
        <f t="shared" si="13"/>
        <v>53</v>
      </c>
      <c r="S302">
        <f t="shared" ca="1" si="14"/>
        <v>1</v>
      </c>
      <c r="T302">
        <f t="shared" si="15"/>
        <v>299</v>
      </c>
      <c r="U302" t="str">
        <f>IF($T302&lt;=Z$4,INDEX(TypicalCriticalitiesMAHBarrier[Barrier Family Description],MATCH($T302,TypicalCriticalitiesMAHBarrier[Barrier Family ID],0)),"")</f>
        <v/>
      </c>
      <c r="V302" t="str">
        <f ca="1">IF($T302&lt;=AA$4,INDEX(TypicalCriticalitiesMAHBarrier[Typical Components],MATCH($T302,TypicalCriticalitiesMAHBarrier[Column2],0)),"")</f>
        <v/>
      </c>
      <c r="W302" t="str">
        <f ca="1">IF($T302&lt;=AA$4,INDEX(TypicalCriticalitiesMAHBarrier[Typical Criticality],MATCH($T302,TypicalCriticalitiesMAHBarrier[Column2],0)),"")</f>
        <v/>
      </c>
      <c r="AE302" s="44"/>
      <c r="AF302" s="44"/>
      <c r="AG302" s="44"/>
      <c r="AH302" s="44"/>
      <c r="AI302" s="44"/>
      <c r="AJ302" s="44"/>
    </row>
    <row r="303" spans="14:36" x14ac:dyDescent="0.25">
      <c r="N303" t="s">
        <v>577</v>
      </c>
      <c r="O303" t="s">
        <v>578</v>
      </c>
      <c r="P303" t="s">
        <v>590</v>
      </c>
      <c r="Q303" t="s">
        <v>1</v>
      </c>
      <c r="R303">
        <f t="shared" si="13"/>
        <v>53</v>
      </c>
      <c r="S303">
        <f t="shared" ca="1" si="14"/>
        <v>1</v>
      </c>
      <c r="T303">
        <f t="shared" si="15"/>
        <v>300</v>
      </c>
      <c r="U303" t="str">
        <f>IF($T303&lt;=Z$4,INDEX(TypicalCriticalitiesMAHBarrier[Barrier Family Description],MATCH($T303,TypicalCriticalitiesMAHBarrier[Barrier Family ID],0)),"")</f>
        <v/>
      </c>
      <c r="V303" t="str">
        <f ca="1">IF($T303&lt;=AA$4,INDEX(TypicalCriticalitiesMAHBarrier[Typical Components],MATCH($T303,TypicalCriticalitiesMAHBarrier[Column2],0)),"")</f>
        <v/>
      </c>
      <c r="W303" t="str">
        <f ca="1">IF($T303&lt;=AA$4,INDEX(TypicalCriticalitiesMAHBarrier[Typical Criticality],MATCH($T303,TypicalCriticalitiesMAHBarrier[Column2],0)),"")</f>
        <v/>
      </c>
      <c r="AE303" s="44"/>
      <c r="AF303" s="44"/>
      <c r="AG303" s="44"/>
      <c r="AH303" s="44"/>
      <c r="AI303" s="44"/>
      <c r="AJ303" s="44"/>
    </row>
    <row r="304" spans="14:36" x14ac:dyDescent="0.25">
      <c r="N304" t="s">
        <v>577</v>
      </c>
      <c r="O304" t="s">
        <v>578</v>
      </c>
      <c r="P304" t="s">
        <v>591</v>
      </c>
      <c r="Q304" t="s">
        <v>0</v>
      </c>
      <c r="R304">
        <f t="shared" si="13"/>
        <v>53</v>
      </c>
      <c r="S304">
        <f t="shared" ca="1" si="14"/>
        <v>1</v>
      </c>
      <c r="T304">
        <f t="shared" si="15"/>
        <v>301</v>
      </c>
      <c r="U304" t="str">
        <f>IF($T304&lt;=Z$4,INDEX(TypicalCriticalitiesMAHBarrier[Barrier Family Description],MATCH($T304,TypicalCriticalitiesMAHBarrier[Barrier Family ID],0)),"")</f>
        <v/>
      </c>
      <c r="V304" t="str">
        <f ca="1">IF($T304&lt;=AA$4,INDEX(TypicalCriticalitiesMAHBarrier[Typical Components],MATCH($T304,TypicalCriticalitiesMAHBarrier[Column2],0)),"")</f>
        <v/>
      </c>
      <c r="W304" t="str">
        <f ca="1">IF($T304&lt;=AA$4,INDEX(TypicalCriticalitiesMAHBarrier[Typical Criticality],MATCH($T304,TypicalCriticalitiesMAHBarrier[Column2],0)),"")</f>
        <v/>
      </c>
      <c r="AE304" s="44"/>
      <c r="AF304" s="44"/>
      <c r="AG304" s="44"/>
      <c r="AH304" s="44"/>
      <c r="AI304" s="44"/>
      <c r="AJ304" s="44"/>
    </row>
    <row r="305" spans="14:36" x14ac:dyDescent="0.25">
      <c r="N305" t="s">
        <v>592</v>
      </c>
      <c r="O305" t="s">
        <v>593</v>
      </c>
      <c r="P305" t="s">
        <v>594</v>
      </c>
      <c r="Q305" t="s">
        <v>1</v>
      </c>
      <c r="R305">
        <f t="shared" si="13"/>
        <v>54</v>
      </c>
      <c r="S305">
        <f t="shared" ca="1" si="14"/>
        <v>1</v>
      </c>
      <c r="T305">
        <f t="shared" si="15"/>
        <v>302</v>
      </c>
      <c r="U305" t="str">
        <f>IF($T305&lt;=Z$4,INDEX(TypicalCriticalitiesMAHBarrier[Barrier Family Description],MATCH($T305,TypicalCriticalitiesMAHBarrier[Barrier Family ID],0)),"")</f>
        <v/>
      </c>
      <c r="V305" t="str">
        <f ca="1">IF($T305&lt;=AA$4,INDEX(TypicalCriticalitiesMAHBarrier[Typical Components],MATCH($T305,TypicalCriticalitiesMAHBarrier[Column2],0)),"")</f>
        <v/>
      </c>
      <c r="W305" t="str">
        <f ca="1">IF($T305&lt;=AA$4,INDEX(TypicalCriticalitiesMAHBarrier[Typical Criticality],MATCH($T305,TypicalCriticalitiesMAHBarrier[Column2],0)),"")</f>
        <v/>
      </c>
      <c r="AE305" s="44"/>
      <c r="AF305" s="44"/>
      <c r="AG305" s="44"/>
      <c r="AH305" s="44"/>
      <c r="AI305" s="44"/>
      <c r="AJ305" s="44"/>
    </row>
    <row r="306" spans="14:36" x14ac:dyDescent="0.25">
      <c r="N306" t="s">
        <v>592</v>
      </c>
      <c r="O306" t="s">
        <v>593</v>
      </c>
      <c r="P306" t="s">
        <v>595</v>
      </c>
      <c r="Q306" t="s">
        <v>1</v>
      </c>
      <c r="R306">
        <f t="shared" si="13"/>
        <v>54</v>
      </c>
      <c r="S306">
        <f t="shared" ca="1" si="14"/>
        <v>1</v>
      </c>
      <c r="T306">
        <f t="shared" si="15"/>
        <v>303</v>
      </c>
      <c r="U306" t="str">
        <f>IF($T306&lt;=Z$4,INDEX(TypicalCriticalitiesMAHBarrier[Barrier Family Description],MATCH($T306,TypicalCriticalitiesMAHBarrier[Barrier Family ID],0)),"")</f>
        <v/>
      </c>
      <c r="V306" t="str">
        <f ca="1">IF($T306&lt;=AA$4,INDEX(TypicalCriticalitiesMAHBarrier[Typical Components],MATCH($T306,TypicalCriticalitiesMAHBarrier[Column2],0)),"")</f>
        <v/>
      </c>
      <c r="W306" t="str">
        <f ca="1">IF($T306&lt;=AA$4,INDEX(TypicalCriticalitiesMAHBarrier[Typical Criticality],MATCH($T306,TypicalCriticalitiesMAHBarrier[Column2],0)),"")</f>
        <v/>
      </c>
      <c r="AE306" s="44"/>
      <c r="AF306" s="44"/>
      <c r="AG306" s="44"/>
      <c r="AH306" s="44"/>
      <c r="AI306" s="44"/>
      <c r="AJ306" s="44"/>
    </row>
    <row r="307" spans="14:36" x14ac:dyDescent="0.25">
      <c r="N307" t="s">
        <v>592</v>
      </c>
      <c r="O307" t="s">
        <v>593</v>
      </c>
      <c r="P307" t="s">
        <v>596</v>
      </c>
      <c r="Q307" t="s">
        <v>1</v>
      </c>
      <c r="R307">
        <f t="shared" si="13"/>
        <v>54</v>
      </c>
      <c r="S307">
        <f t="shared" ca="1" si="14"/>
        <v>1</v>
      </c>
      <c r="T307">
        <f t="shared" si="15"/>
        <v>304</v>
      </c>
      <c r="U307" t="str">
        <f>IF($T307&lt;=Z$4,INDEX(TypicalCriticalitiesMAHBarrier[Barrier Family Description],MATCH($T307,TypicalCriticalitiesMAHBarrier[Barrier Family ID],0)),"")</f>
        <v/>
      </c>
      <c r="V307" t="str">
        <f ca="1">IF($T307&lt;=AA$4,INDEX(TypicalCriticalitiesMAHBarrier[Typical Components],MATCH($T307,TypicalCriticalitiesMAHBarrier[Column2],0)),"")</f>
        <v/>
      </c>
      <c r="W307" t="str">
        <f ca="1">IF($T307&lt;=AA$4,INDEX(TypicalCriticalitiesMAHBarrier[Typical Criticality],MATCH($T307,TypicalCriticalitiesMAHBarrier[Column2],0)),"")</f>
        <v/>
      </c>
      <c r="AE307" s="44"/>
      <c r="AF307" s="44"/>
      <c r="AG307" s="44"/>
      <c r="AH307" s="44"/>
      <c r="AI307" s="44"/>
      <c r="AJ307" s="44"/>
    </row>
    <row r="308" spans="14:36" x14ac:dyDescent="0.25">
      <c r="N308" t="s">
        <v>592</v>
      </c>
      <c r="O308" t="s">
        <v>593</v>
      </c>
      <c r="P308" t="s">
        <v>597</v>
      </c>
      <c r="Q308" t="s">
        <v>0</v>
      </c>
      <c r="R308">
        <f t="shared" si="13"/>
        <v>54</v>
      </c>
      <c r="S308">
        <f t="shared" ca="1" si="14"/>
        <v>1</v>
      </c>
      <c r="T308">
        <f t="shared" si="15"/>
        <v>305</v>
      </c>
      <c r="U308" t="str">
        <f>IF($T308&lt;=Z$4,INDEX(TypicalCriticalitiesMAHBarrier[Barrier Family Description],MATCH($T308,TypicalCriticalitiesMAHBarrier[Barrier Family ID],0)),"")</f>
        <v/>
      </c>
      <c r="V308" t="str">
        <f ca="1">IF($T308&lt;=AA$4,INDEX(TypicalCriticalitiesMAHBarrier[Typical Components],MATCH($T308,TypicalCriticalitiesMAHBarrier[Column2],0)),"")</f>
        <v/>
      </c>
      <c r="W308" t="str">
        <f ca="1">IF($T308&lt;=AA$4,INDEX(TypicalCriticalitiesMAHBarrier[Typical Criticality],MATCH($T308,TypicalCriticalitiesMAHBarrier[Column2],0)),"")</f>
        <v/>
      </c>
      <c r="AE308" s="44"/>
      <c r="AF308" s="44"/>
      <c r="AG308" s="44"/>
      <c r="AH308" s="44"/>
      <c r="AI308" s="44"/>
      <c r="AJ308" s="44"/>
    </row>
    <row r="309" spans="14:36" x14ac:dyDescent="0.25">
      <c r="N309" t="s">
        <v>592</v>
      </c>
      <c r="O309" t="s">
        <v>593</v>
      </c>
      <c r="P309" t="s">
        <v>598</v>
      </c>
      <c r="Q309" t="s">
        <v>1</v>
      </c>
      <c r="R309">
        <f t="shared" si="13"/>
        <v>54</v>
      </c>
      <c r="S309">
        <f t="shared" ca="1" si="14"/>
        <v>1</v>
      </c>
      <c r="T309">
        <f t="shared" si="15"/>
        <v>306</v>
      </c>
      <c r="U309" t="str">
        <f>IF($T309&lt;=Z$4,INDEX(TypicalCriticalitiesMAHBarrier[Barrier Family Description],MATCH($T309,TypicalCriticalitiesMAHBarrier[Barrier Family ID],0)),"")</f>
        <v/>
      </c>
      <c r="V309" t="str">
        <f ca="1">IF($T309&lt;=AA$4,INDEX(TypicalCriticalitiesMAHBarrier[Typical Components],MATCH($T309,TypicalCriticalitiesMAHBarrier[Column2],0)),"")</f>
        <v/>
      </c>
      <c r="W309" t="str">
        <f ca="1">IF($T309&lt;=AA$4,INDEX(TypicalCriticalitiesMAHBarrier[Typical Criticality],MATCH($T309,TypicalCriticalitiesMAHBarrier[Column2],0)),"")</f>
        <v/>
      </c>
      <c r="AE309" s="44"/>
      <c r="AF309" s="44"/>
      <c r="AG309" s="44"/>
      <c r="AH309" s="44"/>
      <c r="AI309" s="44"/>
      <c r="AJ309" s="44"/>
    </row>
  </sheetData>
  <sheetProtection insertRows="0" deleteRows="0" autoFilter="0"/>
  <dataConsolidate link="1"/>
  <mergeCells count="6">
    <mergeCell ref="A14:F14"/>
    <mergeCell ref="A6:D6"/>
    <mergeCell ref="I7:K9"/>
    <mergeCell ref="A5:D5"/>
    <mergeCell ref="F5:G5"/>
    <mergeCell ref="H5:K5"/>
  </mergeCells>
  <conditionalFormatting sqref="G6">
    <cfRule type="containsText" dxfId="52" priority="1" operator="containsText" text="YES">
      <formula>NOT(ISERROR(SEARCH("YES",G6)))</formula>
    </cfRule>
  </conditionalFormatting>
  <conditionalFormatting sqref="I7">
    <cfRule type="expression" dxfId="51" priority="2">
      <formula>NOT(K6)</formula>
    </cfRule>
  </conditionalFormatting>
  <dataValidations count="6">
    <dataValidation type="list" allowBlank="1" showInputMessage="1" showErrorMessage="1" errorTitle="Invalid Impact Code" error="Codes must be A-H Uppercase only _x000a_(blank cells are allowed)" sqref="B16">
      <formula1>"A,B,C,D,E,F,G,H"</formula1>
    </dataValidation>
    <dataValidation type="custom" allowBlank="1" showInputMessage="1" showErrorMessage="1" sqref="I7">
      <formula1>K6</formula1>
    </dataValidation>
    <dataValidation type="list" allowBlank="1" showInputMessage="1" showErrorMessage="1" sqref="B34:B36 B22:B24 B28:B31 B17:B19">
      <formula1>"A,B,C,D,E,F,G,H"</formula1>
    </dataValidation>
    <dataValidation type="list" allowBlank="1" showInputMessage="1" showErrorMessage="1" sqref="I17">
      <formula1>TypicalComponents</formula1>
    </dataValidation>
    <dataValidation type="list" allowBlank="1" showInputMessage="1" showErrorMessage="1" sqref="H17">
      <formula1>BarrierFamilies</formula1>
    </dataValidation>
    <dataValidation type="list" allowBlank="1" showInputMessage="1" showErrorMessage="1" sqref="I37 J35 G9">
      <formula1>"Yes,No"</formula1>
    </dataValidation>
  </dataValidations>
  <pageMargins left="0.7" right="0.7" top="0.75" bottom="0.75" header="0.3" footer="0.3"/>
  <pageSetup paperSize="9" orientation="portrait" r:id="rId1"/>
  <ignoredErrors>
    <ignoredError sqref="B9:B12 C9:D12" calculatedColumn="1"/>
  </ignoredErrors>
  <tableParts count="6">
    <tablePart r:id="rId2"/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'https://addenergygroup-my.sharepoint.com/personal/douglas_crooke_addenergy_no/Documents/CriticalityVBA/[WND Criticality Template.xlsx]DataTables'!#REF!</xm:f>
          </x14:formula1>
          <xm:sqref>C16:C19 C22:C24 C34:C38 C28:C31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204"/>
  <sheetViews>
    <sheetView workbookViewId="0"/>
  </sheetViews>
  <sheetFormatPr defaultColWidth="63.140625" defaultRowHeight="15" x14ac:dyDescent="0.25"/>
  <cols>
    <col min="1" max="1" width="20" customWidth="1"/>
    <col min="2" max="2" width="62.140625" customWidth="1"/>
    <col min="3" max="3" width="15.140625" customWidth="1"/>
    <col min="4" max="4" width="18.140625" customWidth="1"/>
    <col min="5" max="5" width="27.85546875" customWidth="1"/>
  </cols>
  <sheetData>
    <row r="1" spans="1:6" x14ac:dyDescent="0.25">
      <c r="A1" s="100" t="s">
        <v>642</v>
      </c>
      <c r="B1" s="101" t="s">
        <v>643</v>
      </c>
      <c r="C1" s="101" t="s">
        <v>644</v>
      </c>
      <c r="D1" s="101" t="s">
        <v>645</v>
      </c>
      <c r="E1" s="101" t="s">
        <v>646</v>
      </c>
      <c r="F1" s="102" t="s">
        <v>641</v>
      </c>
    </row>
    <row r="2" spans="1:6" x14ac:dyDescent="0.25">
      <c r="A2" s="96" t="s">
        <v>647</v>
      </c>
      <c r="B2" s="91" t="s">
        <v>648</v>
      </c>
      <c r="C2" s="91" t="s">
        <v>649</v>
      </c>
      <c r="D2" s="91" t="s">
        <v>650</v>
      </c>
      <c r="E2" s="91" t="s">
        <v>49</v>
      </c>
      <c r="F2" s="98"/>
    </row>
    <row r="3" spans="1:6" x14ac:dyDescent="0.25">
      <c r="A3" s="96" t="s">
        <v>651</v>
      </c>
      <c r="B3" s="91" t="s">
        <v>652</v>
      </c>
      <c r="C3" s="91" t="s">
        <v>653</v>
      </c>
      <c r="D3" s="91" t="s">
        <v>650</v>
      </c>
      <c r="E3" s="91" t="s">
        <v>49</v>
      </c>
      <c r="F3" s="98" t="s">
        <v>654</v>
      </c>
    </row>
    <row r="4" spans="1:6" x14ac:dyDescent="0.25">
      <c r="A4" s="96" t="s">
        <v>655</v>
      </c>
      <c r="B4" s="91" t="s">
        <v>652</v>
      </c>
      <c r="C4" s="91" t="s">
        <v>656</v>
      </c>
      <c r="D4" s="91" t="s">
        <v>650</v>
      </c>
      <c r="E4" s="91" t="s">
        <v>49</v>
      </c>
      <c r="F4" s="98" t="s">
        <v>654</v>
      </c>
    </row>
    <row r="5" spans="1:6" x14ac:dyDescent="0.25">
      <c r="A5" s="96" t="s">
        <v>657</v>
      </c>
      <c r="B5" s="91" t="s">
        <v>652</v>
      </c>
      <c r="C5" s="91" t="s">
        <v>658</v>
      </c>
      <c r="D5" s="91" t="s">
        <v>650</v>
      </c>
      <c r="E5" s="91" t="s">
        <v>49</v>
      </c>
      <c r="F5" s="98" t="s">
        <v>654</v>
      </c>
    </row>
    <row r="6" spans="1:6" x14ac:dyDescent="0.25">
      <c r="A6" s="96" t="s">
        <v>659</v>
      </c>
      <c r="B6" s="91" t="s">
        <v>652</v>
      </c>
      <c r="C6" s="91" t="s">
        <v>660</v>
      </c>
      <c r="D6" s="91" t="s">
        <v>650</v>
      </c>
      <c r="E6" s="91" t="s">
        <v>49</v>
      </c>
      <c r="F6" s="98" t="s">
        <v>654</v>
      </c>
    </row>
    <row r="7" spans="1:6" x14ac:dyDescent="0.25">
      <c r="A7" s="96" t="s">
        <v>661</v>
      </c>
      <c r="B7" s="91" t="s">
        <v>662</v>
      </c>
      <c r="C7" s="91" t="s">
        <v>663</v>
      </c>
      <c r="D7" s="91" t="s">
        <v>650</v>
      </c>
      <c r="E7" s="91" t="s">
        <v>49</v>
      </c>
      <c r="F7" s="98"/>
    </row>
    <row r="8" spans="1:6" x14ac:dyDescent="0.25">
      <c r="A8" s="96" t="s">
        <v>664</v>
      </c>
      <c r="B8" s="91" t="s">
        <v>652</v>
      </c>
      <c r="C8" s="91" t="s">
        <v>665</v>
      </c>
      <c r="D8" s="91" t="s">
        <v>650</v>
      </c>
      <c r="E8" s="91" t="s">
        <v>49</v>
      </c>
      <c r="F8" s="98" t="s">
        <v>654</v>
      </c>
    </row>
    <row r="9" spans="1:6" x14ac:dyDescent="0.25">
      <c r="A9" s="96" t="s">
        <v>666</v>
      </c>
      <c r="B9" s="91" t="s">
        <v>652</v>
      </c>
      <c r="C9" s="91" t="s">
        <v>667</v>
      </c>
      <c r="D9" s="91" t="s">
        <v>650</v>
      </c>
      <c r="E9" s="91" t="s">
        <v>49</v>
      </c>
      <c r="F9" s="98" t="s">
        <v>654</v>
      </c>
    </row>
    <row r="10" spans="1:6" x14ac:dyDescent="0.25">
      <c r="A10" s="96" t="s">
        <v>668</v>
      </c>
      <c r="B10" s="91" t="s">
        <v>652</v>
      </c>
      <c r="C10" s="91" t="s">
        <v>669</v>
      </c>
      <c r="D10" s="91" t="s">
        <v>650</v>
      </c>
      <c r="E10" s="91" t="s">
        <v>49</v>
      </c>
      <c r="F10" s="98" t="s">
        <v>654</v>
      </c>
    </row>
    <row r="11" spans="1:6" x14ac:dyDescent="0.25">
      <c r="A11" s="96" t="s">
        <v>670</v>
      </c>
      <c r="B11" s="91" t="s">
        <v>652</v>
      </c>
      <c r="C11" s="91" t="s">
        <v>671</v>
      </c>
      <c r="D11" s="91" t="s">
        <v>650</v>
      </c>
      <c r="E11" s="91" t="s">
        <v>49</v>
      </c>
      <c r="F11" s="98" t="s">
        <v>654</v>
      </c>
    </row>
    <row r="12" spans="1:6" x14ac:dyDescent="0.25">
      <c r="A12" s="96" t="s">
        <v>672</v>
      </c>
      <c r="B12" s="91" t="s">
        <v>652</v>
      </c>
      <c r="C12" s="91" t="s">
        <v>673</v>
      </c>
      <c r="D12" s="91" t="s">
        <v>650</v>
      </c>
      <c r="E12" s="91" t="s">
        <v>49</v>
      </c>
      <c r="F12" s="98" t="s">
        <v>654</v>
      </c>
    </row>
    <row r="13" spans="1:6" x14ac:dyDescent="0.25">
      <c r="A13" s="96" t="s">
        <v>674</v>
      </c>
      <c r="B13" s="91" t="s">
        <v>652</v>
      </c>
      <c r="C13" s="91" t="s">
        <v>675</v>
      </c>
      <c r="D13" s="91" t="s">
        <v>650</v>
      </c>
      <c r="E13" s="91" t="s">
        <v>49</v>
      </c>
      <c r="F13" s="98" t="s">
        <v>654</v>
      </c>
    </row>
    <row r="14" spans="1:6" x14ac:dyDescent="0.25">
      <c r="A14" s="96" t="s">
        <v>676</v>
      </c>
      <c r="B14" s="91" t="s">
        <v>652</v>
      </c>
      <c r="C14" s="91" t="s">
        <v>677</v>
      </c>
      <c r="D14" s="91" t="s">
        <v>650</v>
      </c>
      <c r="E14" s="91" t="s">
        <v>49</v>
      </c>
      <c r="F14" s="98" t="s">
        <v>654</v>
      </c>
    </row>
    <row r="15" spans="1:6" x14ac:dyDescent="0.25">
      <c r="A15" s="96" t="s">
        <v>678</v>
      </c>
      <c r="B15" s="91" t="s">
        <v>679</v>
      </c>
      <c r="C15" s="91" t="s">
        <v>680</v>
      </c>
      <c r="D15" s="91" t="s">
        <v>650</v>
      </c>
      <c r="E15" s="91" t="s">
        <v>49</v>
      </c>
      <c r="F15" s="98"/>
    </row>
    <row r="16" spans="1:6" x14ac:dyDescent="0.25">
      <c r="A16" s="96" t="s">
        <v>681</v>
      </c>
      <c r="B16" s="91" t="s">
        <v>652</v>
      </c>
      <c r="C16" s="91" t="s">
        <v>682</v>
      </c>
      <c r="D16" s="91" t="s">
        <v>650</v>
      </c>
      <c r="E16" s="91" t="s">
        <v>49</v>
      </c>
      <c r="F16" s="98" t="s">
        <v>654</v>
      </c>
    </row>
    <row r="17" spans="1:6" x14ac:dyDescent="0.25">
      <c r="A17" s="96" t="s">
        <v>683</v>
      </c>
      <c r="B17" s="91" t="s">
        <v>652</v>
      </c>
      <c r="C17" s="91" t="s">
        <v>684</v>
      </c>
      <c r="D17" s="91" t="s">
        <v>650</v>
      </c>
      <c r="E17" s="91" t="s">
        <v>49</v>
      </c>
      <c r="F17" s="98" t="s">
        <v>654</v>
      </c>
    </row>
    <row r="18" spans="1:6" x14ac:dyDescent="0.25">
      <c r="A18" s="96" t="s">
        <v>685</v>
      </c>
      <c r="B18" s="91" t="s">
        <v>652</v>
      </c>
      <c r="C18" s="91" t="s">
        <v>686</v>
      </c>
      <c r="D18" s="91" t="s">
        <v>650</v>
      </c>
      <c r="E18" s="91" t="s">
        <v>49</v>
      </c>
      <c r="F18" s="98" t="s">
        <v>654</v>
      </c>
    </row>
    <row r="19" spans="1:6" x14ac:dyDescent="0.25">
      <c r="A19" s="96" t="s">
        <v>687</v>
      </c>
      <c r="B19" s="91" t="s">
        <v>652</v>
      </c>
      <c r="C19" s="91" t="s">
        <v>688</v>
      </c>
      <c r="D19" s="91" t="s">
        <v>650</v>
      </c>
      <c r="E19" s="91" t="s">
        <v>49</v>
      </c>
      <c r="F19" s="98" t="s">
        <v>654</v>
      </c>
    </row>
    <row r="20" spans="1:6" x14ac:dyDescent="0.25">
      <c r="A20" s="96" t="s">
        <v>689</v>
      </c>
      <c r="B20" s="91" t="s">
        <v>652</v>
      </c>
      <c r="C20" s="91" t="s">
        <v>690</v>
      </c>
      <c r="D20" s="91" t="s">
        <v>650</v>
      </c>
      <c r="E20" s="91" t="s">
        <v>49</v>
      </c>
      <c r="F20" s="98" t="s">
        <v>654</v>
      </c>
    </row>
    <row r="21" spans="1:6" x14ac:dyDescent="0.25">
      <c r="A21" s="96" t="s">
        <v>691</v>
      </c>
      <c r="B21" s="91" t="s">
        <v>652</v>
      </c>
      <c r="C21" s="91" t="s">
        <v>692</v>
      </c>
      <c r="D21" s="91" t="s">
        <v>650</v>
      </c>
      <c r="E21" s="91" t="s">
        <v>49</v>
      </c>
      <c r="F21" s="98" t="s">
        <v>654</v>
      </c>
    </row>
    <row r="22" spans="1:6" x14ac:dyDescent="0.25">
      <c r="A22" s="96" t="s">
        <v>693</v>
      </c>
      <c r="B22" s="91" t="s">
        <v>694</v>
      </c>
      <c r="C22" s="91" t="s">
        <v>695</v>
      </c>
      <c r="D22" s="91" t="s">
        <v>650</v>
      </c>
      <c r="E22" s="91" t="s">
        <v>49</v>
      </c>
      <c r="F22" s="98"/>
    </row>
    <row r="23" spans="1:6" x14ac:dyDescent="0.25">
      <c r="A23" s="96" t="s">
        <v>696</v>
      </c>
      <c r="B23" s="91" t="s">
        <v>697</v>
      </c>
      <c r="C23" s="91" t="s">
        <v>698</v>
      </c>
      <c r="D23" s="91" t="s">
        <v>650</v>
      </c>
      <c r="E23" s="91" t="s">
        <v>49</v>
      </c>
      <c r="F23" s="98"/>
    </row>
    <row r="24" spans="1:6" x14ac:dyDescent="0.25">
      <c r="A24" s="96" t="s">
        <v>699</v>
      </c>
      <c r="B24" s="91" t="s">
        <v>700</v>
      </c>
      <c r="C24" s="91" t="s">
        <v>701</v>
      </c>
      <c r="D24" s="91" t="s">
        <v>650</v>
      </c>
      <c r="E24" s="91" t="s">
        <v>49</v>
      </c>
      <c r="F24" s="98"/>
    </row>
    <row r="25" spans="1:6" x14ac:dyDescent="0.25">
      <c r="A25" s="96" t="s">
        <v>702</v>
      </c>
      <c r="B25" s="91" t="s">
        <v>703</v>
      </c>
      <c r="C25" s="91" t="s">
        <v>704</v>
      </c>
      <c r="D25" s="91" t="s">
        <v>650</v>
      </c>
      <c r="E25" s="91" t="s">
        <v>49</v>
      </c>
      <c r="F25" s="98"/>
    </row>
    <row r="26" spans="1:6" x14ac:dyDescent="0.25">
      <c r="A26" s="96" t="s">
        <v>705</v>
      </c>
      <c r="B26" s="91" t="s">
        <v>706</v>
      </c>
      <c r="C26" s="91" t="s">
        <v>707</v>
      </c>
      <c r="D26" s="91" t="s">
        <v>650</v>
      </c>
      <c r="E26" s="91" t="s">
        <v>49</v>
      </c>
      <c r="F26" s="98"/>
    </row>
    <row r="27" spans="1:6" x14ac:dyDescent="0.25">
      <c r="A27" s="96" t="s">
        <v>708</v>
      </c>
      <c r="B27" s="91" t="s">
        <v>709</v>
      </c>
      <c r="C27" s="91" t="s">
        <v>710</v>
      </c>
      <c r="D27" s="91" t="s">
        <v>650</v>
      </c>
      <c r="E27" s="91" t="s">
        <v>49</v>
      </c>
      <c r="F27" s="98"/>
    </row>
    <row r="28" spans="1:6" x14ac:dyDescent="0.25">
      <c r="A28" s="96" t="s">
        <v>711</v>
      </c>
      <c r="B28" s="91" t="s">
        <v>712</v>
      </c>
      <c r="C28" s="91" t="s">
        <v>713</v>
      </c>
      <c r="D28" s="91" t="s">
        <v>650</v>
      </c>
      <c r="E28" s="91" t="s">
        <v>49</v>
      </c>
      <c r="F28" s="98" t="s">
        <v>654</v>
      </c>
    </row>
    <row r="29" spans="1:6" x14ac:dyDescent="0.25">
      <c r="A29" s="96" t="s">
        <v>714</v>
      </c>
      <c r="B29" s="91" t="s">
        <v>715</v>
      </c>
      <c r="C29" s="91" t="s">
        <v>716</v>
      </c>
      <c r="D29" s="91" t="s">
        <v>650</v>
      </c>
      <c r="E29" s="91" t="s">
        <v>49</v>
      </c>
      <c r="F29" s="98"/>
    </row>
    <row r="30" spans="1:6" x14ac:dyDescent="0.25">
      <c r="A30" s="96" t="s">
        <v>717</v>
      </c>
      <c r="B30" s="91" t="s">
        <v>718</v>
      </c>
      <c r="C30" s="91" t="s">
        <v>719</v>
      </c>
      <c r="D30" s="91" t="s">
        <v>650</v>
      </c>
      <c r="E30" s="91" t="s">
        <v>49</v>
      </c>
      <c r="F30" s="98"/>
    </row>
    <row r="31" spans="1:6" x14ac:dyDescent="0.25">
      <c r="A31" s="96" t="s">
        <v>720</v>
      </c>
      <c r="B31" s="91" t="s">
        <v>721</v>
      </c>
      <c r="C31" s="91" t="s">
        <v>722</v>
      </c>
      <c r="D31" s="91" t="s">
        <v>650</v>
      </c>
      <c r="E31" s="91" t="s">
        <v>49</v>
      </c>
      <c r="F31" s="98"/>
    </row>
    <row r="32" spans="1:6" x14ac:dyDescent="0.25">
      <c r="A32" s="96" t="s">
        <v>723</v>
      </c>
      <c r="B32" s="91" t="s">
        <v>724</v>
      </c>
      <c r="C32" s="91" t="s">
        <v>725</v>
      </c>
      <c r="D32" s="91" t="s">
        <v>650</v>
      </c>
      <c r="E32" s="91" t="s">
        <v>49</v>
      </c>
      <c r="F32" s="98"/>
    </row>
    <row r="33" spans="1:6" x14ac:dyDescent="0.25">
      <c r="A33" s="96" t="s">
        <v>726</v>
      </c>
      <c r="B33" s="91" t="s">
        <v>712</v>
      </c>
      <c r="C33" s="91" t="s">
        <v>727</v>
      </c>
      <c r="D33" s="91" t="s">
        <v>650</v>
      </c>
      <c r="E33" s="91" t="s">
        <v>49</v>
      </c>
      <c r="F33" s="98" t="s">
        <v>654</v>
      </c>
    </row>
    <row r="34" spans="1:6" x14ac:dyDescent="0.25">
      <c r="A34" s="96" t="s">
        <v>728</v>
      </c>
      <c r="B34" s="91" t="s">
        <v>712</v>
      </c>
      <c r="C34" s="91" t="s">
        <v>729</v>
      </c>
      <c r="D34" s="91" t="s">
        <v>650</v>
      </c>
      <c r="E34" s="91" t="s">
        <v>49</v>
      </c>
      <c r="F34" s="98" t="s">
        <v>654</v>
      </c>
    </row>
    <row r="35" spans="1:6" x14ac:dyDescent="0.25">
      <c r="A35" s="96" t="s">
        <v>730</v>
      </c>
      <c r="B35" s="91" t="s">
        <v>712</v>
      </c>
      <c r="C35" s="91" t="s">
        <v>731</v>
      </c>
      <c r="D35" s="91" t="s">
        <v>650</v>
      </c>
      <c r="E35" s="91" t="s">
        <v>49</v>
      </c>
      <c r="F35" s="98" t="s">
        <v>654</v>
      </c>
    </row>
    <row r="36" spans="1:6" x14ac:dyDescent="0.25">
      <c r="A36" s="96" t="s">
        <v>732</v>
      </c>
      <c r="B36" s="91" t="s">
        <v>712</v>
      </c>
      <c r="C36" s="91" t="s">
        <v>733</v>
      </c>
      <c r="D36" s="91" t="s">
        <v>650</v>
      </c>
      <c r="E36" s="91" t="s">
        <v>49</v>
      </c>
      <c r="F36" s="98" t="s">
        <v>654</v>
      </c>
    </row>
    <row r="37" spans="1:6" x14ac:dyDescent="0.25">
      <c r="A37" s="96" t="s">
        <v>734</v>
      </c>
      <c r="B37" s="91" t="s">
        <v>712</v>
      </c>
      <c r="C37" s="91" t="s">
        <v>735</v>
      </c>
      <c r="D37" s="91" t="s">
        <v>650</v>
      </c>
      <c r="E37" s="91" t="s">
        <v>49</v>
      </c>
      <c r="F37" s="98" t="s">
        <v>654</v>
      </c>
    </row>
    <row r="38" spans="1:6" x14ac:dyDescent="0.25">
      <c r="A38" s="96" t="s">
        <v>736</v>
      </c>
      <c r="B38" s="91" t="s">
        <v>712</v>
      </c>
      <c r="C38" s="91" t="s">
        <v>737</v>
      </c>
      <c r="D38" s="91" t="s">
        <v>650</v>
      </c>
      <c r="E38" s="91" t="s">
        <v>49</v>
      </c>
      <c r="F38" s="98" t="s">
        <v>654</v>
      </c>
    </row>
    <row r="39" spans="1:6" x14ac:dyDescent="0.25">
      <c r="A39" s="96" t="s">
        <v>738</v>
      </c>
      <c r="B39" s="91" t="s">
        <v>712</v>
      </c>
      <c r="C39" s="91" t="s">
        <v>739</v>
      </c>
      <c r="D39" s="91" t="s">
        <v>650</v>
      </c>
      <c r="E39" s="91" t="s">
        <v>49</v>
      </c>
      <c r="F39" s="98" t="s">
        <v>654</v>
      </c>
    </row>
    <row r="40" spans="1:6" x14ac:dyDescent="0.25">
      <c r="A40" s="96" t="s">
        <v>740</v>
      </c>
      <c r="B40" s="91" t="s">
        <v>712</v>
      </c>
      <c r="C40" s="91" t="s">
        <v>741</v>
      </c>
      <c r="D40" s="91" t="s">
        <v>650</v>
      </c>
      <c r="E40" s="91" t="s">
        <v>49</v>
      </c>
      <c r="F40" s="98" t="s">
        <v>654</v>
      </c>
    </row>
    <row r="41" spans="1:6" x14ac:dyDescent="0.25">
      <c r="A41" s="96" t="s">
        <v>742</v>
      </c>
      <c r="B41" s="91" t="s">
        <v>712</v>
      </c>
      <c r="C41" s="91" t="s">
        <v>743</v>
      </c>
      <c r="D41" s="91" t="s">
        <v>650</v>
      </c>
      <c r="E41" s="91" t="s">
        <v>49</v>
      </c>
      <c r="F41" s="98" t="s">
        <v>654</v>
      </c>
    </row>
    <row r="42" spans="1:6" x14ac:dyDescent="0.25">
      <c r="A42" s="96" t="s">
        <v>744</v>
      </c>
      <c r="B42" s="91" t="s">
        <v>745</v>
      </c>
      <c r="C42" s="91" t="s">
        <v>746</v>
      </c>
      <c r="D42" s="91" t="s">
        <v>650</v>
      </c>
      <c r="E42" s="91" t="s">
        <v>49</v>
      </c>
      <c r="F42" s="98"/>
    </row>
    <row r="43" spans="1:6" x14ac:dyDescent="0.25">
      <c r="A43" s="96" t="s">
        <v>747</v>
      </c>
      <c r="B43" s="91" t="s">
        <v>748</v>
      </c>
      <c r="C43" s="91" t="s">
        <v>749</v>
      </c>
      <c r="D43" s="91" t="s">
        <v>650</v>
      </c>
      <c r="E43" s="91" t="s">
        <v>49</v>
      </c>
      <c r="F43" s="98"/>
    </row>
    <row r="44" spans="1:6" x14ac:dyDescent="0.25">
      <c r="A44" s="96" t="s">
        <v>750</v>
      </c>
      <c r="B44" s="91" t="s">
        <v>751</v>
      </c>
      <c r="C44" s="91" t="s">
        <v>752</v>
      </c>
      <c r="D44" s="91" t="s">
        <v>650</v>
      </c>
      <c r="E44" s="91" t="s">
        <v>49</v>
      </c>
      <c r="F44" s="98"/>
    </row>
    <row r="45" spans="1:6" x14ac:dyDescent="0.25">
      <c r="A45" s="96" t="s">
        <v>753</v>
      </c>
      <c r="B45" s="91" t="s">
        <v>754</v>
      </c>
      <c r="C45" s="91" t="s">
        <v>755</v>
      </c>
      <c r="D45" s="91" t="s">
        <v>650</v>
      </c>
      <c r="E45" s="91" t="s">
        <v>49</v>
      </c>
      <c r="F45" s="98"/>
    </row>
    <row r="46" spans="1:6" x14ac:dyDescent="0.25">
      <c r="A46" s="96" t="s">
        <v>756</v>
      </c>
      <c r="B46" s="91" t="s">
        <v>757</v>
      </c>
      <c r="C46" s="91" t="s">
        <v>758</v>
      </c>
      <c r="D46" s="91" t="s">
        <v>650</v>
      </c>
      <c r="E46" s="91" t="s">
        <v>49</v>
      </c>
      <c r="F46" s="98"/>
    </row>
    <row r="47" spans="1:6" x14ac:dyDescent="0.25">
      <c r="A47" s="96" t="s">
        <v>759</v>
      </c>
      <c r="B47" s="91" t="s">
        <v>760</v>
      </c>
      <c r="C47" s="91" t="s">
        <v>761</v>
      </c>
      <c r="D47" s="91" t="s">
        <v>650</v>
      </c>
      <c r="E47" s="91" t="s">
        <v>49</v>
      </c>
      <c r="F47" s="98"/>
    </row>
    <row r="48" spans="1:6" x14ac:dyDescent="0.25">
      <c r="A48" s="96" t="s">
        <v>762</v>
      </c>
      <c r="B48" s="91" t="s">
        <v>763</v>
      </c>
      <c r="C48" s="91" t="s">
        <v>764</v>
      </c>
      <c r="D48" s="91" t="s">
        <v>650</v>
      </c>
      <c r="E48" s="91" t="s">
        <v>49</v>
      </c>
      <c r="F48" s="98"/>
    </row>
    <row r="49" spans="1:6" x14ac:dyDescent="0.25">
      <c r="A49" s="96" t="s">
        <v>765</v>
      </c>
      <c r="B49" s="91" t="s">
        <v>766</v>
      </c>
      <c r="C49" s="91" t="s">
        <v>767</v>
      </c>
      <c r="D49" s="91" t="s">
        <v>650</v>
      </c>
      <c r="E49" s="91" t="s">
        <v>49</v>
      </c>
      <c r="F49" s="98"/>
    </row>
    <row r="50" spans="1:6" x14ac:dyDescent="0.25">
      <c r="A50" s="96" t="s">
        <v>768</v>
      </c>
      <c r="B50" s="91" t="s">
        <v>769</v>
      </c>
      <c r="C50" s="91" t="s">
        <v>770</v>
      </c>
      <c r="D50" s="91" t="s">
        <v>650</v>
      </c>
      <c r="E50" s="91" t="s">
        <v>49</v>
      </c>
      <c r="F50" s="98"/>
    </row>
    <row r="51" spans="1:6" x14ac:dyDescent="0.25">
      <c r="A51" s="96" t="s">
        <v>771</v>
      </c>
      <c r="B51" s="91" t="s">
        <v>772</v>
      </c>
      <c r="C51" s="91" t="s">
        <v>773</v>
      </c>
      <c r="D51" s="91" t="s">
        <v>650</v>
      </c>
      <c r="E51" s="91" t="s">
        <v>49</v>
      </c>
      <c r="F51" s="98"/>
    </row>
    <row r="52" spans="1:6" x14ac:dyDescent="0.25">
      <c r="A52" s="96" t="s">
        <v>774</v>
      </c>
      <c r="B52" s="91" t="s">
        <v>775</v>
      </c>
      <c r="C52" s="91" t="s">
        <v>776</v>
      </c>
      <c r="D52" s="91" t="s">
        <v>650</v>
      </c>
      <c r="E52" s="91" t="s">
        <v>49</v>
      </c>
      <c r="F52" s="98"/>
    </row>
    <row r="53" spans="1:6" x14ac:dyDescent="0.25">
      <c r="A53" s="96" t="s">
        <v>777</v>
      </c>
      <c r="B53" s="91" t="s">
        <v>778</v>
      </c>
      <c r="C53" s="91" t="s">
        <v>779</v>
      </c>
      <c r="D53" s="91" t="s">
        <v>650</v>
      </c>
      <c r="E53" s="91" t="s">
        <v>49</v>
      </c>
      <c r="F53" s="98"/>
    </row>
    <row r="54" spans="1:6" x14ac:dyDescent="0.25">
      <c r="A54" s="96" t="s">
        <v>780</v>
      </c>
      <c r="B54" s="91" t="s">
        <v>781</v>
      </c>
      <c r="C54" s="91" t="s">
        <v>782</v>
      </c>
      <c r="D54" s="91" t="s">
        <v>650</v>
      </c>
      <c r="E54" s="91" t="s">
        <v>49</v>
      </c>
      <c r="F54" s="98"/>
    </row>
    <row r="55" spans="1:6" x14ac:dyDescent="0.25">
      <c r="A55" s="96" t="s">
        <v>783</v>
      </c>
      <c r="B55" s="91" t="s">
        <v>784</v>
      </c>
      <c r="C55" s="91" t="s">
        <v>785</v>
      </c>
      <c r="D55" s="91" t="s">
        <v>650</v>
      </c>
      <c r="E55" s="91" t="s">
        <v>48</v>
      </c>
      <c r="F55" s="98"/>
    </row>
    <row r="56" spans="1:6" x14ac:dyDescent="0.25">
      <c r="A56" s="96" t="s">
        <v>786</v>
      </c>
      <c r="B56" s="91" t="s">
        <v>787</v>
      </c>
      <c r="C56" s="91" t="s">
        <v>788</v>
      </c>
      <c r="D56" s="91" t="s">
        <v>650</v>
      </c>
      <c r="E56" s="91" t="s">
        <v>48</v>
      </c>
      <c r="F56" s="98"/>
    </row>
    <row r="57" spans="1:6" x14ac:dyDescent="0.25">
      <c r="A57" s="96" t="s">
        <v>789</v>
      </c>
      <c r="B57" s="91" t="s">
        <v>790</v>
      </c>
      <c r="C57" s="91" t="s">
        <v>791</v>
      </c>
      <c r="D57" s="91" t="s">
        <v>650</v>
      </c>
      <c r="E57" s="91" t="s">
        <v>49</v>
      </c>
      <c r="F57" s="98"/>
    </row>
    <row r="58" spans="1:6" x14ac:dyDescent="0.25">
      <c r="A58" s="96" t="s">
        <v>792</v>
      </c>
      <c r="B58" s="91" t="s">
        <v>793</v>
      </c>
      <c r="C58" s="91" t="s">
        <v>794</v>
      </c>
      <c r="D58" s="91" t="s">
        <v>650</v>
      </c>
      <c r="E58" s="91" t="s">
        <v>49</v>
      </c>
      <c r="F58" s="98"/>
    </row>
    <row r="59" spans="1:6" x14ac:dyDescent="0.25">
      <c r="A59" s="96" t="s">
        <v>795</v>
      </c>
      <c r="B59" s="91" t="s">
        <v>796</v>
      </c>
      <c r="C59" s="91" t="s">
        <v>797</v>
      </c>
      <c r="D59" s="91" t="s">
        <v>650</v>
      </c>
      <c r="E59" s="91" t="s">
        <v>49</v>
      </c>
      <c r="F59" s="98"/>
    </row>
    <row r="60" spans="1:6" x14ac:dyDescent="0.25">
      <c r="A60" s="96" t="s">
        <v>798</v>
      </c>
      <c r="B60" s="91" t="s">
        <v>799</v>
      </c>
      <c r="C60" s="91" t="s">
        <v>800</v>
      </c>
      <c r="D60" s="91" t="s">
        <v>650</v>
      </c>
      <c r="E60" s="91" t="s">
        <v>48</v>
      </c>
      <c r="F60" s="98"/>
    </row>
    <row r="61" spans="1:6" x14ac:dyDescent="0.25">
      <c r="A61" s="96" t="s">
        <v>801</v>
      </c>
      <c r="B61" s="91" t="s">
        <v>802</v>
      </c>
      <c r="C61" s="91" t="s">
        <v>803</v>
      </c>
      <c r="D61" s="91" t="s">
        <v>650</v>
      </c>
      <c r="E61" s="91" t="s">
        <v>48</v>
      </c>
      <c r="F61" s="98"/>
    </row>
    <row r="62" spans="1:6" x14ac:dyDescent="0.25">
      <c r="A62" s="96" t="s">
        <v>804</v>
      </c>
      <c r="B62" s="91" t="s">
        <v>805</v>
      </c>
      <c r="C62" s="91" t="s">
        <v>806</v>
      </c>
      <c r="D62" s="91" t="s">
        <v>650</v>
      </c>
      <c r="E62" s="91" t="s">
        <v>49</v>
      </c>
      <c r="F62" s="98"/>
    </row>
    <row r="63" spans="1:6" s="93" customFormat="1" x14ac:dyDescent="0.25">
      <c r="A63" s="97" t="s">
        <v>807</v>
      </c>
      <c r="B63" s="92" t="s">
        <v>808</v>
      </c>
      <c r="C63" s="92" t="s">
        <v>809</v>
      </c>
      <c r="D63" s="92" t="s">
        <v>650</v>
      </c>
      <c r="E63" s="92" t="s">
        <v>49</v>
      </c>
      <c r="F63" s="99"/>
    </row>
    <row r="64" spans="1:6" x14ac:dyDescent="0.25">
      <c r="A64" s="96" t="s">
        <v>810</v>
      </c>
      <c r="B64" s="91" t="s">
        <v>811</v>
      </c>
      <c r="C64" s="91" t="s">
        <v>812</v>
      </c>
      <c r="D64" s="91" t="s">
        <v>650</v>
      </c>
      <c r="E64" s="91" t="s">
        <v>49</v>
      </c>
      <c r="F64" s="98"/>
    </row>
    <row r="65" spans="1:6" x14ac:dyDescent="0.25">
      <c r="A65" s="96" t="s">
        <v>813</v>
      </c>
      <c r="B65" s="91" t="s">
        <v>814</v>
      </c>
      <c r="C65" s="91" t="s">
        <v>815</v>
      </c>
      <c r="D65" s="91" t="s">
        <v>650</v>
      </c>
      <c r="E65" s="91" t="s">
        <v>48</v>
      </c>
      <c r="F65" s="98"/>
    </row>
    <row r="66" spans="1:6" x14ac:dyDescent="0.25">
      <c r="A66" s="96" t="s">
        <v>816</v>
      </c>
      <c r="B66" s="91" t="s">
        <v>817</v>
      </c>
      <c r="C66" s="91" t="s">
        <v>818</v>
      </c>
      <c r="D66" s="91" t="s">
        <v>650</v>
      </c>
      <c r="E66" s="91" t="s">
        <v>48</v>
      </c>
      <c r="F66" s="98"/>
    </row>
    <row r="67" spans="1:6" x14ac:dyDescent="0.25">
      <c r="A67" s="96" t="s">
        <v>819</v>
      </c>
      <c r="B67" s="91" t="s">
        <v>820</v>
      </c>
      <c r="C67" s="91" t="s">
        <v>821</v>
      </c>
      <c r="D67" s="91" t="s">
        <v>650</v>
      </c>
      <c r="E67" s="91" t="s">
        <v>48</v>
      </c>
      <c r="F67" s="98"/>
    </row>
    <row r="68" spans="1:6" x14ac:dyDescent="0.25">
      <c r="A68" s="96" t="s">
        <v>822</v>
      </c>
      <c r="B68" s="91" t="s">
        <v>823</v>
      </c>
      <c r="C68" s="91" t="s">
        <v>824</v>
      </c>
      <c r="D68" s="91" t="s">
        <v>650</v>
      </c>
      <c r="E68" s="91" t="s">
        <v>49</v>
      </c>
      <c r="F68" s="98"/>
    </row>
    <row r="69" spans="1:6" x14ac:dyDescent="0.25">
      <c r="A69" s="96" t="s">
        <v>825</v>
      </c>
      <c r="B69" s="91" t="s">
        <v>826</v>
      </c>
      <c r="C69" s="91" t="s">
        <v>827</v>
      </c>
      <c r="D69" s="91" t="s">
        <v>650</v>
      </c>
      <c r="E69" s="91" t="s">
        <v>49</v>
      </c>
      <c r="F69" s="98"/>
    </row>
    <row r="70" spans="1:6" x14ac:dyDescent="0.25">
      <c r="A70" s="96" t="s">
        <v>828</v>
      </c>
      <c r="B70" s="91" t="s">
        <v>712</v>
      </c>
      <c r="C70" s="91" t="s">
        <v>829</v>
      </c>
      <c r="D70" s="91" t="s">
        <v>650</v>
      </c>
      <c r="E70" s="91" t="s">
        <v>49</v>
      </c>
      <c r="F70" s="98" t="s">
        <v>654</v>
      </c>
    </row>
    <row r="71" spans="1:6" x14ac:dyDescent="0.25">
      <c r="A71" s="96" t="s">
        <v>830</v>
      </c>
      <c r="B71" s="91" t="s">
        <v>712</v>
      </c>
      <c r="C71" s="91" t="s">
        <v>831</v>
      </c>
      <c r="D71" s="91" t="s">
        <v>650</v>
      </c>
      <c r="E71" s="91" t="s">
        <v>49</v>
      </c>
      <c r="F71" s="98" t="s">
        <v>654</v>
      </c>
    </row>
    <row r="72" spans="1:6" x14ac:dyDescent="0.25">
      <c r="A72" s="96" t="s">
        <v>832</v>
      </c>
      <c r="B72" s="91" t="s">
        <v>712</v>
      </c>
      <c r="C72" s="91" t="s">
        <v>833</v>
      </c>
      <c r="D72" s="91" t="s">
        <v>650</v>
      </c>
      <c r="E72" s="91" t="s">
        <v>49</v>
      </c>
      <c r="F72" s="98" t="s">
        <v>654</v>
      </c>
    </row>
    <row r="73" spans="1:6" x14ac:dyDescent="0.25">
      <c r="A73" s="96" t="s">
        <v>834</v>
      </c>
      <c r="B73" s="91" t="s">
        <v>712</v>
      </c>
      <c r="C73" s="91" t="s">
        <v>835</v>
      </c>
      <c r="D73" s="91" t="s">
        <v>650</v>
      </c>
      <c r="E73" s="91" t="s">
        <v>49</v>
      </c>
      <c r="F73" s="98" t="s">
        <v>654</v>
      </c>
    </row>
    <row r="74" spans="1:6" x14ac:dyDescent="0.25">
      <c r="A74" s="96" t="s">
        <v>836</v>
      </c>
      <c r="B74" s="91" t="s">
        <v>712</v>
      </c>
      <c r="C74" s="91" t="s">
        <v>837</v>
      </c>
      <c r="D74" s="91" t="s">
        <v>650</v>
      </c>
      <c r="E74" s="91" t="s">
        <v>49</v>
      </c>
      <c r="F74" s="98" t="s">
        <v>654</v>
      </c>
    </row>
    <row r="75" spans="1:6" x14ac:dyDescent="0.25">
      <c r="A75" s="96" t="s">
        <v>838</v>
      </c>
      <c r="B75" s="91" t="s">
        <v>712</v>
      </c>
      <c r="C75" s="91" t="s">
        <v>839</v>
      </c>
      <c r="D75" s="91" t="s">
        <v>650</v>
      </c>
      <c r="E75" s="91" t="s">
        <v>49</v>
      </c>
      <c r="F75" s="98" t="s">
        <v>654</v>
      </c>
    </row>
    <row r="76" spans="1:6" x14ac:dyDescent="0.25">
      <c r="A76" s="96" t="s">
        <v>840</v>
      </c>
      <c r="B76" s="91" t="s">
        <v>712</v>
      </c>
      <c r="C76" s="91" t="s">
        <v>841</v>
      </c>
      <c r="D76" s="91" t="s">
        <v>650</v>
      </c>
      <c r="E76" s="91" t="s">
        <v>49</v>
      </c>
      <c r="F76" s="98" t="s">
        <v>654</v>
      </c>
    </row>
    <row r="77" spans="1:6" x14ac:dyDescent="0.25">
      <c r="A77" s="96" t="s">
        <v>842</v>
      </c>
      <c r="B77" s="91" t="s">
        <v>712</v>
      </c>
      <c r="C77" s="91" t="s">
        <v>843</v>
      </c>
      <c r="D77" s="91" t="s">
        <v>650</v>
      </c>
      <c r="E77" s="91" t="s">
        <v>49</v>
      </c>
      <c r="F77" s="98" t="s">
        <v>654</v>
      </c>
    </row>
    <row r="78" spans="1:6" x14ac:dyDescent="0.25">
      <c r="A78" s="96" t="s">
        <v>844</v>
      </c>
      <c r="B78" s="91" t="s">
        <v>845</v>
      </c>
      <c r="C78" s="91" t="s">
        <v>846</v>
      </c>
      <c r="D78" s="91" t="s">
        <v>650</v>
      </c>
      <c r="E78" s="91" t="s">
        <v>49</v>
      </c>
      <c r="F78" s="98"/>
    </row>
    <row r="79" spans="1:6" x14ac:dyDescent="0.25">
      <c r="A79" s="96" t="s">
        <v>847</v>
      </c>
      <c r="B79" s="91" t="s">
        <v>848</v>
      </c>
      <c r="C79" s="91" t="s">
        <v>849</v>
      </c>
      <c r="D79" s="91" t="s">
        <v>650</v>
      </c>
      <c r="E79" s="91" t="s">
        <v>49</v>
      </c>
      <c r="F79" s="98"/>
    </row>
    <row r="80" spans="1:6" x14ac:dyDescent="0.25">
      <c r="A80" s="96" t="s">
        <v>850</v>
      </c>
      <c r="B80" s="91" t="s">
        <v>851</v>
      </c>
      <c r="C80" s="91" t="s">
        <v>852</v>
      </c>
      <c r="D80" s="91" t="s">
        <v>650</v>
      </c>
      <c r="E80" s="91" t="s">
        <v>49</v>
      </c>
      <c r="F80" s="98"/>
    </row>
    <row r="81" spans="1:6" x14ac:dyDescent="0.25">
      <c r="A81" s="96" t="s">
        <v>853</v>
      </c>
      <c r="B81" s="91" t="s">
        <v>854</v>
      </c>
      <c r="C81" s="91" t="s">
        <v>855</v>
      </c>
      <c r="D81" s="91" t="s">
        <v>650</v>
      </c>
      <c r="E81" s="91" t="s">
        <v>49</v>
      </c>
      <c r="F81" s="98"/>
    </row>
    <row r="82" spans="1:6" x14ac:dyDescent="0.25">
      <c r="A82" s="96" t="s">
        <v>856</v>
      </c>
      <c r="B82" s="91" t="s">
        <v>857</v>
      </c>
      <c r="C82" s="91" t="s">
        <v>858</v>
      </c>
      <c r="D82" s="91" t="s">
        <v>650</v>
      </c>
      <c r="E82" s="91" t="s">
        <v>49</v>
      </c>
      <c r="F82" s="98"/>
    </row>
    <row r="83" spans="1:6" x14ac:dyDescent="0.25">
      <c r="A83" s="96" t="s">
        <v>859</v>
      </c>
      <c r="B83" s="91" t="s">
        <v>860</v>
      </c>
      <c r="C83" s="91" t="s">
        <v>861</v>
      </c>
      <c r="D83" s="91" t="s">
        <v>650</v>
      </c>
      <c r="E83" s="91" t="s">
        <v>49</v>
      </c>
      <c r="F83" s="98"/>
    </row>
    <row r="84" spans="1:6" x14ac:dyDescent="0.25">
      <c r="A84" s="96" t="s">
        <v>862</v>
      </c>
      <c r="B84" s="91" t="s">
        <v>863</v>
      </c>
      <c r="C84" s="91" t="s">
        <v>864</v>
      </c>
      <c r="D84" s="91" t="s">
        <v>650</v>
      </c>
      <c r="E84" s="91" t="s">
        <v>48</v>
      </c>
      <c r="F84" s="98"/>
    </row>
    <row r="85" spans="1:6" x14ac:dyDescent="0.25">
      <c r="A85" s="96" t="s">
        <v>865</v>
      </c>
      <c r="B85" s="91" t="s">
        <v>866</v>
      </c>
      <c r="C85" s="91" t="s">
        <v>867</v>
      </c>
      <c r="D85" s="91" t="s">
        <v>650</v>
      </c>
      <c r="E85" s="91" t="s">
        <v>49</v>
      </c>
      <c r="F85" s="98"/>
    </row>
    <row r="86" spans="1:6" x14ac:dyDescent="0.25">
      <c r="A86" s="96" t="s">
        <v>868</v>
      </c>
      <c r="B86" s="91" t="s">
        <v>869</v>
      </c>
      <c r="C86" s="91" t="s">
        <v>870</v>
      </c>
      <c r="D86" s="91" t="s">
        <v>650</v>
      </c>
      <c r="E86" s="91" t="s">
        <v>49</v>
      </c>
      <c r="F86" s="98"/>
    </row>
    <row r="87" spans="1:6" x14ac:dyDescent="0.25">
      <c r="A87" s="96" t="s">
        <v>871</v>
      </c>
      <c r="B87" s="91" t="s">
        <v>872</v>
      </c>
      <c r="C87" s="91" t="s">
        <v>873</v>
      </c>
      <c r="D87" s="91" t="s">
        <v>650</v>
      </c>
      <c r="E87" s="91" t="s">
        <v>49</v>
      </c>
      <c r="F87" s="98"/>
    </row>
    <row r="88" spans="1:6" x14ac:dyDescent="0.25">
      <c r="A88" s="96" t="s">
        <v>874</v>
      </c>
      <c r="B88" s="91" t="s">
        <v>875</v>
      </c>
      <c r="C88" s="91" t="s">
        <v>876</v>
      </c>
      <c r="D88" s="91" t="s">
        <v>650</v>
      </c>
      <c r="E88" s="91" t="s">
        <v>49</v>
      </c>
      <c r="F88" s="98"/>
    </row>
    <row r="89" spans="1:6" x14ac:dyDescent="0.25">
      <c r="A89" s="96" t="s">
        <v>877</v>
      </c>
      <c r="B89" s="91" t="s">
        <v>878</v>
      </c>
      <c r="C89" s="91" t="s">
        <v>879</v>
      </c>
      <c r="D89" s="91" t="s">
        <v>650</v>
      </c>
      <c r="E89" s="91" t="s">
        <v>49</v>
      </c>
      <c r="F89" s="98"/>
    </row>
    <row r="90" spans="1:6" x14ac:dyDescent="0.25">
      <c r="A90" s="96" t="s">
        <v>880</v>
      </c>
      <c r="B90" s="91" t="s">
        <v>881</v>
      </c>
      <c r="C90" s="91" t="s">
        <v>882</v>
      </c>
      <c r="D90" s="91" t="s">
        <v>650</v>
      </c>
      <c r="E90" s="91" t="s">
        <v>49</v>
      </c>
      <c r="F90" s="98"/>
    </row>
    <row r="91" spans="1:6" x14ac:dyDescent="0.25">
      <c r="A91" s="96" t="s">
        <v>883</v>
      </c>
      <c r="B91" s="91" t="s">
        <v>884</v>
      </c>
      <c r="C91" s="91" t="s">
        <v>885</v>
      </c>
      <c r="D91" s="91" t="s">
        <v>650</v>
      </c>
      <c r="E91" s="91" t="s">
        <v>49</v>
      </c>
      <c r="F91" s="98"/>
    </row>
    <row r="92" spans="1:6" x14ac:dyDescent="0.25">
      <c r="A92" s="96" t="s">
        <v>886</v>
      </c>
      <c r="B92" s="91" t="s">
        <v>887</v>
      </c>
      <c r="C92" s="91" t="s">
        <v>888</v>
      </c>
      <c r="D92" s="91" t="s">
        <v>650</v>
      </c>
      <c r="E92" s="91" t="s">
        <v>49</v>
      </c>
      <c r="F92" s="98"/>
    </row>
    <row r="93" spans="1:6" x14ac:dyDescent="0.25">
      <c r="A93" s="96" t="s">
        <v>889</v>
      </c>
      <c r="B93" s="91" t="s">
        <v>890</v>
      </c>
      <c r="C93" s="91" t="s">
        <v>891</v>
      </c>
      <c r="D93" s="91" t="s">
        <v>650</v>
      </c>
      <c r="E93" s="91" t="s">
        <v>49</v>
      </c>
      <c r="F93" s="98"/>
    </row>
    <row r="94" spans="1:6" x14ac:dyDescent="0.25">
      <c r="A94" s="96" t="s">
        <v>892</v>
      </c>
      <c r="B94" s="91" t="s">
        <v>893</v>
      </c>
      <c r="C94" s="91" t="s">
        <v>894</v>
      </c>
      <c r="D94" s="91" t="s">
        <v>650</v>
      </c>
      <c r="E94" s="91" t="s">
        <v>49</v>
      </c>
      <c r="F94" s="98"/>
    </row>
    <row r="95" spans="1:6" x14ac:dyDescent="0.25">
      <c r="A95" s="96" t="s">
        <v>895</v>
      </c>
      <c r="B95" s="91" t="s">
        <v>896</v>
      </c>
      <c r="C95" s="91" t="s">
        <v>897</v>
      </c>
      <c r="D95" s="91" t="s">
        <v>650</v>
      </c>
      <c r="E95" s="91" t="s">
        <v>49</v>
      </c>
      <c r="F95" s="98"/>
    </row>
    <row r="96" spans="1:6" x14ac:dyDescent="0.25">
      <c r="A96" s="96" t="s">
        <v>898</v>
      </c>
      <c r="B96" s="91" t="s">
        <v>899</v>
      </c>
      <c r="C96" s="91" t="s">
        <v>900</v>
      </c>
      <c r="D96" s="91" t="s">
        <v>650</v>
      </c>
      <c r="E96" s="94" t="s">
        <v>48</v>
      </c>
      <c r="F96" s="98"/>
    </row>
    <row r="97" spans="1:6" x14ac:dyDescent="0.25">
      <c r="A97" s="96" t="s">
        <v>901</v>
      </c>
      <c r="B97" s="91" t="s">
        <v>902</v>
      </c>
      <c r="C97" s="91" t="s">
        <v>903</v>
      </c>
      <c r="D97" s="91" t="s">
        <v>650</v>
      </c>
      <c r="E97" s="91" t="s">
        <v>49</v>
      </c>
      <c r="F97" s="98"/>
    </row>
    <row r="98" spans="1:6" x14ac:dyDescent="0.25">
      <c r="A98" s="96" t="s">
        <v>904</v>
      </c>
      <c r="B98" s="91" t="s">
        <v>905</v>
      </c>
      <c r="C98" s="91" t="s">
        <v>906</v>
      </c>
      <c r="D98" s="91" t="s">
        <v>650</v>
      </c>
      <c r="E98" s="91" t="s">
        <v>49</v>
      </c>
      <c r="F98" s="98"/>
    </row>
    <row r="99" spans="1:6" x14ac:dyDescent="0.25">
      <c r="A99" s="96" t="s">
        <v>907</v>
      </c>
      <c r="B99" s="91" t="s">
        <v>908</v>
      </c>
      <c r="C99" s="91" t="s">
        <v>909</v>
      </c>
      <c r="D99" s="91" t="s">
        <v>650</v>
      </c>
      <c r="E99" s="91" t="s">
        <v>49</v>
      </c>
      <c r="F99" s="98"/>
    </row>
    <row r="100" spans="1:6" x14ac:dyDescent="0.25">
      <c r="A100" s="96" t="s">
        <v>910</v>
      </c>
      <c r="B100" s="91" t="s">
        <v>911</v>
      </c>
      <c r="C100" s="91" t="s">
        <v>912</v>
      </c>
      <c r="D100" s="91" t="s">
        <v>650</v>
      </c>
      <c r="E100" s="91" t="s">
        <v>49</v>
      </c>
      <c r="F100" s="98"/>
    </row>
    <row r="101" spans="1:6" x14ac:dyDescent="0.25">
      <c r="A101" s="96" t="s">
        <v>913</v>
      </c>
      <c r="B101" s="91" t="s">
        <v>914</v>
      </c>
      <c r="C101" s="91" t="s">
        <v>915</v>
      </c>
      <c r="D101" s="91" t="s">
        <v>650</v>
      </c>
      <c r="E101" s="91" t="s">
        <v>49</v>
      </c>
      <c r="F101" s="98"/>
    </row>
    <row r="102" spans="1:6" x14ac:dyDescent="0.25">
      <c r="A102" s="96" t="s">
        <v>916</v>
      </c>
      <c r="B102" s="91" t="s">
        <v>648</v>
      </c>
      <c r="C102" s="91" t="s">
        <v>649</v>
      </c>
      <c r="D102" s="91" t="s">
        <v>650</v>
      </c>
      <c r="E102" s="91" t="s">
        <v>49</v>
      </c>
      <c r="F102" s="98"/>
    </row>
    <row r="103" spans="1:6" x14ac:dyDescent="0.25">
      <c r="A103" s="96" t="s">
        <v>917</v>
      </c>
      <c r="B103" s="91" t="s">
        <v>652</v>
      </c>
      <c r="C103" s="91" t="s">
        <v>653</v>
      </c>
      <c r="D103" s="91" t="s">
        <v>650</v>
      </c>
      <c r="E103" s="91" t="s">
        <v>49</v>
      </c>
      <c r="F103" s="98" t="s">
        <v>654</v>
      </c>
    </row>
    <row r="104" spans="1:6" x14ac:dyDescent="0.25">
      <c r="A104" s="96" t="s">
        <v>918</v>
      </c>
      <c r="B104" s="91" t="s">
        <v>652</v>
      </c>
      <c r="C104" s="91" t="s">
        <v>656</v>
      </c>
      <c r="D104" s="91" t="s">
        <v>650</v>
      </c>
      <c r="E104" s="91" t="s">
        <v>49</v>
      </c>
      <c r="F104" s="98" t="s">
        <v>654</v>
      </c>
    </row>
    <row r="105" spans="1:6" x14ac:dyDescent="0.25">
      <c r="A105" s="96" t="s">
        <v>919</v>
      </c>
      <c r="B105" s="91" t="s">
        <v>652</v>
      </c>
      <c r="C105" s="91" t="s">
        <v>11</v>
      </c>
      <c r="D105" s="91" t="s">
        <v>650</v>
      </c>
      <c r="E105" s="91" t="s">
        <v>49</v>
      </c>
      <c r="F105" s="98" t="s">
        <v>654</v>
      </c>
    </row>
    <row r="106" spans="1:6" x14ac:dyDescent="0.25">
      <c r="A106" s="96" t="s">
        <v>920</v>
      </c>
      <c r="B106" s="91" t="s">
        <v>652</v>
      </c>
      <c r="C106" s="91" t="s">
        <v>12</v>
      </c>
      <c r="D106" s="91" t="s">
        <v>650</v>
      </c>
      <c r="E106" s="91" t="s">
        <v>49</v>
      </c>
      <c r="F106" s="98" t="s">
        <v>654</v>
      </c>
    </row>
    <row r="107" spans="1:6" x14ac:dyDescent="0.25">
      <c r="A107" s="96" t="s">
        <v>921</v>
      </c>
      <c r="B107" s="91" t="s">
        <v>662</v>
      </c>
      <c r="C107" s="91" t="s">
        <v>13</v>
      </c>
      <c r="D107" s="91" t="s">
        <v>650</v>
      </c>
      <c r="E107" s="91" t="s">
        <v>49</v>
      </c>
      <c r="F107" s="98"/>
    </row>
    <row r="108" spans="1:6" x14ac:dyDescent="0.25">
      <c r="A108" s="96" t="s">
        <v>922</v>
      </c>
      <c r="B108" s="91" t="s">
        <v>652</v>
      </c>
      <c r="C108" s="91" t="s">
        <v>14</v>
      </c>
      <c r="D108" s="91" t="s">
        <v>650</v>
      </c>
      <c r="E108" s="91" t="s">
        <v>49</v>
      </c>
      <c r="F108" s="98" t="s">
        <v>654</v>
      </c>
    </row>
    <row r="109" spans="1:6" x14ac:dyDescent="0.25">
      <c r="A109" s="96" t="s">
        <v>923</v>
      </c>
      <c r="B109" s="91" t="s">
        <v>652</v>
      </c>
      <c r="C109" s="91" t="s">
        <v>15</v>
      </c>
      <c r="D109" s="91" t="s">
        <v>650</v>
      </c>
      <c r="E109" s="91" t="s">
        <v>49</v>
      </c>
      <c r="F109" s="98" t="s">
        <v>654</v>
      </c>
    </row>
    <row r="110" spans="1:6" x14ac:dyDescent="0.25">
      <c r="A110" s="96" t="s">
        <v>924</v>
      </c>
      <c r="B110" s="91" t="s">
        <v>652</v>
      </c>
      <c r="C110" s="91" t="s">
        <v>16</v>
      </c>
      <c r="D110" s="91" t="s">
        <v>650</v>
      </c>
      <c r="E110" s="91" t="s">
        <v>49</v>
      </c>
      <c r="F110" s="98" t="s">
        <v>654</v>
      </c>
    </row>
    <row r="111" spans="1:6" x14ac:dyDescent="0.25">
      <c r="A111" s="96" t="s">
        <v>925</v>
      </c>
      <c r="B111" s="91" t="s">
        <v>652</v>
      </c>
      <c r="C111" s="91" t="s">
        <v>926</v>
      </c>
      <c r="D111" s="91" t="s">
        <v>650</v>
      </c>
      <c r="E111" s="91" t="s">
        <v>49</v>
      </c>
      <c r="F111" s="98" t="s">
        <v>654</v>
      </c>
    </row>
    <row r="112" spans="1:6" x14ac:dyDescent="0.25">
      <c r="A112" s="96" t="s">
        <v>927</v>
      </c>
      <c r="B112" s="91" t="s">
        <v>652</v>
      </c>
      <c r="C112" s="91" t="s">
        <v>673</v>
      </c>
      <c r="D112" s="91" t="s">
        <v>650</v>
      </c>
      <c r="E112" s="91" t="s">
        <v>49</v>
      </c>
      <c r="F112" s="98" t="s">
        <v>654</v>
      </c>
    </row>
    <row r="113" spans="1:6" x14ac:dyDescent="0.25">
      <c r="A113" s="96" t="s">
        <v>928</v>
      </c>
      <c r="B113" s="91" t="s">
        <v>652</v>
      </c>
      <c r="C113" s="91" t="s">
        <v>675</v>
      </c>
      <c r="D113" s="91" t="s">
        <v>650</v>
      </c>
      <c r="E113" s="91" t="s">
        <v>49</v>
      </c>
      <c r="F113" s="98" t="s">
        <v>654</v>
      </c>
    </row>
    <row r="114" spans="1:6" x14ac:dyDescent="0.25">
      <c r="A114" s="96" t="s">
        <v>929</v>
      </c>
      <c r="B114" s="91" t="s">
        <v>652</v>
      </c>
      <c r="C114" s="91" t="s">
        <v>677</v>
      </c>
      <c r="D114" s="91" t="s">
        <v>650</v>
      </c>
      <c r="E114" s="91" t="s">
        <v>49</v>
      </c>
      <c r="F114" s="98" t="s">
        <v>654</v>
      </c>
    </row>
    <row r="115" spans="1:6" x14ac:dyDescent="0.25">
      <c r="A115" s="96" t="s">
        <v>930</v>
      </c>
      <c r="B115" s="91" t="s">
        <v>679</v>
      </c>
      <c r="C115" s="91" t="s">
        <v>680</v>
      </c>
      <c r="D115" s="91" t="s">
        <v>650</v>
      </c>
      <c r="E115" s="91" t="s">
        <v>49</v>
      </c>
      <c r="F115" s="98"/>
    </row>
    <row r="116" spans="1:6" x14ac:dyDescent="0.25">
      <c r="A116" s="96" t="s">
        <v>931</v>
      </c>
      <c r="B116" s="91" t="s">
        <v>652</v>
      </c>
      <c r="C116" s="91" t="s">
        <v>682</v>
      </c>
      <c r="D116" s="91" t="s">
        <v>650</v>
      </c>
      <c r="E116" s="91" t="s">
        <v>49</v>
      </c>
      <c r="F116" s="98" t="s">
        <v>654</v>
      </c>
    </row>
    <row r="117" spans="1:6" x14ac:dyDescent="0.25">
      <c r="A117" s="96" t="s">
        <v>932</v>
      </c>
      <c r="B117" s="91" t="s">
        <v>652</v>
      </c>
      <c r="C117" s="91" t="s">
        <v>684</v>
      </c>
      <c r="D117" s="91" t="s">
        <v>650</v>
      </c>
      <c r="E117" s="91" t="s">
        <v>49</v>
      </c>
      <c r="F117" s="98" t="s">
        <v>654</v>
      </c>
    </row>
    <row r="118" spans="1:6" x14ac:dyDescent="0.25">
      <c r="A118" s="96" t="s">
        <v>933</v>
      </c>
      <c r="B118" s="91" t="s">
        <v>652</v>
      </c>
      <c r="C118" s="91" t="s">
        <v>686</v>
      </c>
      <c r="D118" s="91" t="s">
        <v>650</v>
      </c>
      <c r="E118" s="91" t="s">
        <v>49</v>
      </c>
      <c r="F118" s="98" t="s">
        <v>654</v>
      </c>
    </row>
    <row r="119" spans="1:6" x14ac:dyDescent="0.25">
      <c r="A119" s="96" t="s">
        <v>934</v>
      </c>
      <c r="B119" s="91" t="s">
        <v>652</v>
      </c>
      <c r="C119" s="91" t="s">
        <v>688</v>
      </c>
      <c r="D119" s="91" t="s">
        <v>650</v>
      </c>
      <c r="E119" s="91" t="s">
        <v>49</v>
      </c>
      <c r="F119" s="98" t="s">
        <v>654</v>
      </c>
    </row>
    <row r="120" spans="1:6" x14ac:dyDescent="0.25">
      <c r="A120" s="96" t="s">
        <v>935</v>
      </c>
      <c r="B120" s="91" t="s">
        <v>652</v>
      </c>
      <c r="C120" s="91" t="s">
        <v>690</v>
      </c>
      <c r="D120" s="91" t="s">
        <v>650</v>
      </c>
      <c r="E120" s="91" t="s">
        <v>49</v>
      </c>
      <c r="F120" s="98" t="s">
        <v>654</v>
      </c>
    </row>
    <row r="121" spans="1:6" x14ac:dyDescent="0.25">
      <c r="A121" s="96" t="s">
        <v>936</v>
      </c>
      <c r="B121" s="91" t="s">
        <v>652</v>
      </c>
      <c r="C121" s="91" t="s">
        <v>692</v>
      </c>
      <c r="D121" s="91" t="s">
        <v>650</v>
      </c>
      <c r="E121" s="91" t="s">
        <v>49</v>
      </c>
      <c r="F121" s="98" t="s">
        <v>654</v>
      </c>
    </row>
    <row r="122" spans="1:6" x14ac:dyDescent="0.25">
      <c r="A122" s="96" t="s">
        <v>937</v>
      </c>
      <c r="B122" s="91" t="s">
        <v>694</v>
      </c>
      <c r="C122" s="91" t="s">
        <v>695</v>
      </c>
      <c r="D122" s="91" t="s">
        <v>650</v>
      </c>
      <c r="E122" s="91" t="s">
        <v>49</v>
      </c>
      <c r="F122" s="98"/>
    </row>
    <row r="123" spans="1:6" x14ac:dyDescent="0.25">
      <c r="A123" s="96" t="s">
        <v>938</v>
      </c>
      <c r="B123" s="91" t="s">
        <v>697</v>
      </c>
      <c r="C123" s="91" t="s">
        <v>698</v>
      </c>
      <c r="D123" s="91" t="s">
        <v>650</v>
      </c>
      <c r="E123" s="91" t="s">
        <v>49</v>
      </c>
      <c r="F123" s="98"/>
    </row>
    <row r="124" spans="1:6" x14ac:dyDescent="0.25">
      <c r="A124" s="96" t="s">
        <v>939</v>
      </c>
      <c r="B124" s="91" t="s">
        <v>700</v>
      </c>
      <c r="C124" s="91" t="s">
        <v>701</v>
      </c>
      <c r="D124" s="91" t="s">
        <v>650</v>
      </c>
      <c r="E124" s="91" t="s">
        <v>49</v>
      </c>
      <c r="F124" s="98"/>
    </row>
    <row r="125" spans="1:6" x14ac:dyDescent="0.25">
      <c r="A125" s="96" t="s">
        <v>940</v>
      </c>
      <c r="B125" s="91" t="s">
        <v>703</v>
      </c>
      <c r="C125" s="91" t="s">
        <v>704</v>
      </c>
      <c r="D125" s="91" t="s">
        <v>650</v>
      </c>
      <c r="E125" s="91" t="s">
        <v>49</v>
      </c>
      <c r="F125" s="98"/>
    </row>
    <row r="126" spans="1:6" x14ac:dyDescent="0.25">
      <c r="A126" s="96" t="s">
        <v>941</v>
      </c>
      <c r="B126" s="91" t="s">
        <v>706</v>
      </c>
      <c r="C126" s="91" t="s">
        <v>707</v>
      </c>
      <c r="D126" s="91" t="s">
        <v>650</v>
      </c>
      <c r="E126" s="91" t="s">
        <v>49</v>
      </c>
      <c r="F126" s="98"/>
    </row>
    <row r="127" spans="1:6" x14ac:dyDescent="0.25">
      <c r="A127" s="96" t="s">
        <v>942</v>
      </c>
      <c r="B127" s="91" t="s">
        <v>709</v>
      </c>
      <c r="C127" s="91" t="s">
        <v>710</v>
      </c>
      <c r="D127" s="91" t="s">
        <v>650</v>
      </c>
      <c r="E127" s="91" t="s">
        <v>49</v>
      </c>
      <c r="F127" s="98"/>
    </row>
    <row r="128" spans="1:6" x14ac:dyDescent="0.25">
      <c r="A128" s="96" t="s">
        <v>943</v>
      </c>
      <c r="B128" s="91" t="s">
        <v>712</v>
      </c>
      <c r="C128" s="91" t="s">
        <v>713</v>
      </c>
      <c r="D128" s="91" t="s">
        <v>650</v>
      </c>
      <c r="E128" s="91" t="s">
        <v>49</v>
      </c>
      <c r="F128" s="98" t="s">
        <v>654</v>
      </c>
    </row>
    <row r="129" spans="1:6" x14ac:dyDescent="0.25">
      <c r="A129" s="96" t="s">
        <v>944</v>
      </c>
      <c r="B129" s="91" t="s">
        <v>715</v>
      </c>
      <c r="C129" s="91" t="s">
        <v>716</v>
      </c>
      <c r="D129" s="91" t="s">
        <v>650</v>
      </c>
      <c r="E129" s="91" t="s">
        <v>49</v>
      </c>
      <c r="F129" s="98"/>
    </row>
    <row r="130" spans="1:6" x14ac:dyDescent="0.25">
      <c r="A130" s="96" t="s">
        <v>945</v>
      </c>
      <c r="B130" s="91" t="s">
        <v>718</v>
      </c>
      <c r="C130" s="91" t="s">
        <v>719</v>
      </c>
      <c r="D130" s="91" t="s">
        <v>650</v>
      </c>
      <c r="E130" s="91" t="s">
        <v>49</v>
      </c>
      <c r="F130" s="98"/>
    </row>
    <row r="131" spans="1:6" x14ac:dyDescent="0.25">
      <c r="A131" s="96" t="s">
        <v>946</v>
      </c>
      <c r="B131" s="91" t="s">
        <v>721</v>
      </c>
      <c r="C131" s="91" t="s">
        <v>722</v>
      </c>
      <c r="D131" s="91" t="s">
        <v>650</v>
      </c>
      <c r="E131" s="91" t="s">
        <v>49</v>
      </c>
      <c r="F131" s="98"/>
    </row>
    <row r="132" spans="1:6" x14ac:dyDescent="0.25">
      <c r="A132" s="96" t="s">
        <v>947</v>
      </c>
      <c r="B132" s="91" t="s">
        <v>724</v>
      </c>
      <c r="C132" s="91" t="s">
        <v>725</v>
      </c>
      <c r="D132" s="91" t="s">
        <v>650</v>
      </c>
      <c r="E132" s="91" t="s">
        <v>49</v>
      </c>
      <c r="F132" s="98"/>
    </row>
    <row r="133" spans="1:6" x14ac:dyDescent="0.25">
      <c r="A133" s="96" t="s">
        <v>948</v>
      </c>
      <c r="B133" s="91" t="s">
        <v>712</v>
      </c>
      <c r="C133" s="91" t="s">
        <v>727</v>
      </c>
      <c r="D133" s="91" t="s">
        <v>650</v>
      </c>
      <c r="E133" s="91" t="s">
        <v>49</v>
      </c>
      <c r="F133" s="98" t="s">
        <v>654</v>
      </c>
    </row>
    <row r="134" spans="1:6" x14ac:dyDescent="0.25">
      <c r="A134" s="96" t="s">
        <v>949</v>
      </c>
      <c r="B134" s="91" t="s">
        <v>712</v>
      </c>
      <c r="C134" s="91" t="s">
        <v>729</v>
      </c>
      <c r="D134" s="91" t="s">
        <v>650</v>
      </c>
      <c r="E134" s="91" t="s">
        <v>49</v>
      </c>
      <c r="F134" s="98" t="s">
        <v>654</v>
      </c>
    </row>
    <row r="135" spans="1:6" x14ac:dyDescent="0.25">
      <c r="A135" s="96" t="s">
        <v>950</v>
      </c>
      <c r="B135" s="91" t="s">
        <v>712</v>
      </c>
      <c r="C135" s="91" t="s">
        <v>731</v>
      </c>
      <c r="D135" s="91" t="s">
        <v>650</v>
      </c>
      <c r="E135" s="91" t="s">
        <v>49</v>
      </c>
      <c r="F135" s="98" t="s">
        <v>654</v>
      </c>
    </row>
    <row r="136" spans="1:6" x14ac:dyDescent="0.25">
      <c r="A136" s="96" t="s">
        <v>951</v>
      </c>
      <c r="B136" s="91" t="s">
        <v>712</v>
      </c>
      <c r="C136" s="91" t="s">
        <v>733</v>
      </c>
      <c r="D136" s="91" t="s">
        <v>650</v>
      </c>
      <c r="E136" s="91" t="s">
        <v>49</v>
      </c>
      <c r="F136" s="98" t="s">
        <v>654</v>
      </c>
    </row>
    <row r="137" spans="1:6" x14ac:dyDescent="0.25">
      <c r="A137" s="96" t="s">
        <v>952</v>
      </c>
      <c r="B137" s="91" t="s">
        <v>712</v>
      </c>
      <c r="C137" s="91" t="s">
        <v>735</v>
      </c>
      <c r="D137" s="91" t="s">
        <v>650</v>
      </c>
      <c r="E137" s="91" t="s">
        <v>49</v>
      </c>
      <c r="F137" s="98" t="s">
        <v>654</v>
      </c>
    </row>
    <row r="138" spans="1:6" x14ac:dyDescent="0.25">
      <c r="A138" s="96" t="s">
        <v>953</v>
      </c>
      <c r="B138" s="91" t="s">
        <v>712</v>
      </c>
      <c r="C138" s="91" t="s">
        <v>737</v>
      </c>
      <c r="D138" s="91" t="s">
        <v>650</v>
      </c>
      <c r="E138" s="91" t="s">
        <v>49</v>
      </c>
      <c r="F138" s="98" t="s">
        <v>654</v>
      </c>
    </row>
    <row r="139" spans="1:6" x14ac:dyDescent="0.25">
      <c r="A139" s="96" t="s">
        <v>954</v>
      </c>
      <c r="B139" s="91" t="s">
        <v>712</v>
      </c>
      <c r="C139" s="91" t="s">
        <v>739</v>
      </c>
      <c r="D139" s="91" t="s">
        <v>650</v>
      </c>
      <c r="E139" s="91" t="s">
        <v>49</v>
      </c>
      <c r="F139" s="98" t="s">
        <v>654</v>
      </c>
    </row>
    <row r="140" spans="1:6" x14ac:dyDescent="0.25">
      <c r="A140" s="96" t="s">
        <v>955</v>
      </c>
      <c r="B140" s="91" t="s">
        <v>712</v>
      </c>
      <c r="C140" s="91" t="s">
        <v>741</v>
      </c>
      <c r="D140" s="91" t="s">
        <v>650</v>
      </c>
      <c r="E140" s="91" t="s">
        <v>49</v>
      </c>
      <c r="F140" s="98" t="s">
        <v>654</v>
      </c>
    </row>
    <row r="141" spans="1:6" x14ac:dyDescent="0.25">
      <c r="A141" s="96" t="s">
        <v>956</v>
      </c>
      <c r="B141" s="91" t="s">
        <v>712</v>
      </c>
      <c r="C141" s="91" t="s">
        <v>743</v>
      </c>
      <c r="D141" s="91" t="s">
        <v>650</v>
      </c>
      <c r="E141" s="91" t="s">
        <v>49</v>
      </c>
      <c r="F141" s="98" t="s">
        <v>654</v>
      </c>
    </row>
    <row r="142" spans="1:6" x14ac:dyDescent="0.25">
      <c r="A142" s="96" t="s">
        <v>957</v>
      </c>
      <c r="B142" s="91" t="s">
        <v>745</v>
      </c>
      <c r="C142" s="91" t="s">
        <v>746</v>
      </c>
      <c r="D142" s="91" t="s">
        <v>650</v>
      </c>
      <c r="E142" s="91" t="s">
        <v>49</v>
      </c>
      <c r="F142" s="98"/>
    </row>
    <row r="143" spans="1:6" x14ac:dyDescent="0.25">
      <c r="A143" s="96" t="s">
        <v>958</v>
      </c>
      <c r="B143" s="91" t="s">
        <v>748</v>
      </c>
      <c r="C143" s="91" t="s">
        <v>749</v>
      </c>
      <c r="D143" s="91" t="s">
        <v>650</v>
      </c>
      <c r="E143" s="91" t="s">
        <v>49</v>
      </c>
      <c r="F143" s="98"/>
    </row>
    <row r="144" spans="1:6" x14ac:dyDescent="0.25">
      <c r="A144" s="96" t="s">
        <v>959</v>
      </c>
      <c r="B144" s="91" t="s">
        <v>751</v>
      </c>
      <c r="C144" s="91" t="s">
        <v>752</v>
      </c>
      <c r="D144" s="91" t="s">
        <v>650</v>
      </c>
      <c r="E144" s="91" t="s">
        <v>49</v>
      </c>
      <c r="F144" s="98"/>
    </row>
    <row r="145" spans="1:6" x14ac:dyDescent="0.25">
      <c r="A145" s="96" t="s">
        <v>960</v>
      </c>
      <c r="B145" s="91" t="s">
        <v>754</v>
      </c>
      <c r="C145" s="91" t="s">
        <v>755</v>
      </c>
      <c r="D145" s="91" t="s">
        <v>650</v>
      </c>
      <c r="E145" s="91" t="s">
        <v>49</v>
      </c>
      <c r="F145" s="98"/>
    </row>
    <row r="146" spans="1:6" x14ac:dyDescent="0.25">
      <c r="A146" s="96" t="s">
        <v>961</v>
      </c>
      <c r="B146" s="91" t="s">
        <v>757</v>
      </c>
      <c r="C146" s="91" t="s">
        <v>758</v>
      </c>
      <c r="D146" s="91" t="s">
        <v>650</v>
      </c>
      <c r="E146" s="91" t="s">
        <v>49</v>
      </c>
      <c r="F146" s="98"/>
    </row>
    <row r="147" spans="1:6" x14ac:dyDescent="0.25">
      <c r="A147" s="96" t="s">
        <v>962</v>
      </c>
      <c r="B147" s="91" t="s">
        <v>760</v>
      </c>
      <c r="C147" s="91" t="s">
        <v>761</v>
      </c>
      <c r="D147" s="91" t="s">
        <v>650</v>
      </c>
      <c r="E147" s="91" t="s">
        <v>49</v>
      </c>
      <c r="F147" s="98"/>
    </row>
    <row r="148" spans="1:6" x14ac:dyDescent="0.25">
      <c r="A148" s="96" t="s">
        <v>963</v>
      </c>
      <c r="B148" s="91" t="s">
        <v>763</v>
      </c>
      <c r="C148" s="91" t="s">
        <v>764</v>
      </c>
      <c r="D148" s="91" t="s">
        <v>650</v>
      </c>
      <c r="E148" s="91" t="s">
        <v>49</v>
      </c>
      <c r="F148" s="98"/>
    </row>
    <row r="149" spans="1:6" x14ac:dyDescent="0.25">
      <c r="A149" s="96" t="s">
        <v>964</v>
      </c>
      <c r="B149" s="91" t="s">
        <v>766</v>
      </c>
      <c r="C149" s="91" t="s">
        <v>767</v>
      </c>
      <c r="D149" s="91" t="s">
        <v>650</v>
      </c>
      <c r="E149" s="91" t="s">
        <v>49</v>
      </c>
      <c r="F149" s="98"/>
    </row>
    <row r="150" spans="1:6" x14ac:dyDescent="0.25">
      <c r="A150" s="96" t="s">
        <v>965</v>
      </c>
      <c r="B150" s="91" t="s">
        <v>769</v>
      </c>
      <c r="C150" s="91" t="s">
        <v>770</v>
      </c>
      <c r="D150" s="91" t="s">
        <v>650</v>
      </c>
      <c r="E150" s="91" t="s">
        <v>49</v>
      </c>
      <c r="F150" s="98"/>
    </row>
    <row r="151" spans="1:6" x14ac:dyDescent="0.25">
      <c r="A151" s="96" t="s">
        <v>966</v>
      </c>
      <c r="B151" s="91" t="s">
        <v>772</v>
      </c>
      <c r="C151" s="91" t="s">
        <v>773</v>
      </c>
      <c r="D151" s="91" t="s">
        <v>650</v>
      </c>
      <c r="E151" s="91" t="s">
        <v>49</v>
      </c>
      <c r="F151" s="98"/>
    </row>
    <row r="152" spans="1:6" x14ac:dyDescent="0.25">
      <c r="A152" s="96" t="s">
        <v>967</v>
      </c>
      <c r="B152" s="91" t="s">
        <v>775</v>
      </c>
      <c r="C152" s="91" t="s">
        <v>776</v>
      </c>
      <c r="D152" s="91" t="s">
        <v>650</v>
      </c>
      <c r="E152" s="91" t="s">
        <v>49</v>
      </c>
      <c r="F152" s="98"/>
    </row>
    <row r="153" spans="1:6" x14ac:dyDescent="0.25">
      <c r="A153" s="96" t="s">
        <v>968</v>
      </c>
      <c r="B153" s="91" t="s">
        <v>778</v>
      </c>
      <c r="C153" s="91" t="s">
        <v>779</v>
      </c>
      <c r="D153" s="91" t="s">
        <v>650</v>
      </c>
      <c r="E153" s="91" t="s">
        <v>49</v>
      </c>
      <c r="F153" s="98"/>
    </row>
    <row r="154" spans="1:6" x14ac:dyDescent="0.25">
      <c r="A154" s="96" t="s">
        <v>969</v>
      </c>
      <c r="B154" s="91" t="s">
        <v>781</v>
      </c>
      <c r="C154" s="91" t="s">
        <v>782</v>
      </c>
      <c r="D154" s="91" t="s">
        <v>650</v>
      </c>
      <c r="E154" s="91" t="s">
        <v>49</v>
      </c>
      <c r="F154" s="98"/>
    </row>
    <row r="155" spans="1:6" x14ac:dyDescent="0.25">
      <c r="A155" s="96" t="s">
        <v>970</v>
      </c>
      <c r="B155" s="91" t="s">
        <v>784</v>
      </c>
      <c r="C155" s="91" t="s">
        <v>785</v>
      </c>
      <c r="D155" s="91" t="s">
        <v>650</v>
      </c>
      <c r="E155" s="91" t="s">
        <v>48</v>
      </c>
      <c r="F155" s="98"/>
    </row>
    <row r="156" spans="1:6" x14ac:dyDescent="0.25">
      <c r="A156" s="96" t="s">
        <v>971</v>
      </c>
      <c r="B156" s="91" t="s">
        <v>787</v>
      </c>
      <c r="C156" s="91" t="s">
        <v>788</v>
      </c>
      <c r="D156" s="91" t="s">
        <v>650</v>
      </c>
      <c r="E156" s="91" t="s">
        <v>48</v>
      </c>
      <c r="F156" s="98"/>
    </row>
    <row r="157" spans="1:6" x14ac:dyDescent="0.25">
      <c r="A157" s="96" t="s">
        <v>972</v>
      </c>
      <c r="B157" s="91" t="s">
        <v>790</v>
      </c>
      <c r="C157" s="91" t="s">
        <v>791</v>
      </c>
      <c r="D157" s="91" t="s">
        <v>650</v>
      </c>
      <c r="E157" s="91" t="s">
        <v>49</v>
      </c>
      <c r="F157" s="98"/>
    </row>
    <row r="158" spans="1:6" x14ac:dyDescent="0.25">
      <c r="A158" s="96" t="s">
        <v>973</v>
      </c>
      <c r="B158" s="91" t="s">
        <v>793</v>
      </c>
      <c r="C158" s="91" t="s">
        <v>794</v>
      </c>
      <c r="D158" s="91" t="s">
        <v>650</v>
      </c>
      <c r="E158" s="91" t="s">
        <v>49</v>
      </c>
      <c r="F158" s="98"/>
    </row>
    <row r="159" spans="1:6" x14ac:dyDescent="0.25">
      <c r="A159" s="96" t="s">
        <v>974</v>
      </c>
      <c r="B159" s="91" t="s">
        <v>796</v>
      </c>
      <c r="C159" s="91" t="s">
        <v>797</v>
      </c>
      <c r="D159" s="91" t="s">
        <v>650</v>
      </c>
      <c r="E159" s="91" t="s">
        <v>49</v>
      </c>
      <c r="F159" s="98"/>
    </row>
    <row r="160" spans="1:6" x14ac:dyDescent="0.25">
      <c r="A160" s="96" t="s">
        <v>975</v>
      </c>
      <c r="B160" s="91" t="s">
        <v>799</v>
      </c>
      <c r="C160" s="91" t="s">
        <v>800</v>
      </c>
      <c r="D160" s="91" t="s">
        <v>650</v>
      </c>
      <c r="E160" s="91" t="s">
        <v>48</v>
      </c>
      <c r="F160" s="98"/>
    </row>
    <row r="161" spans="1:6" x14ac:dyDescent="0.25">
      <c r="A161" s="96" t="s">
        <v>976</v>
      </c>
      <c r="B161" s="91" t="s">
        <v>802</v>
      </c>
      <c r="C161" s="91" t="s">
        <v>803</v>
      </c>
      <c r="D161" s="91" t="s">
        <v>650</v>
      </c>
      <c r="E161" s="91" t="s">
        <v>48</v>
      </c>
      <c r="F161" s="98"/>
    </row>
    <row r="162" spans="1:6" x14ac:dyDescent="0.25">
      <c r="A162" s="96" t="s">
        <v>977</v>
      </c>
      <c r="B162" s="91" t="s">
        <v>805</v>
      </c>
      <c r="C162" s="91" t="s">
        <v>806</v>
      </c>
      <c r="D162" s="91" t="s">
        <v>650</v>
      </c>
      <c r="E162" s="91" t="s">
        <v>49</v>
      </c>
      <c r="F162" s="98"/>
    </row>
    <row r="163" spans="1:6" x14ac:dyDescent="0.25">
      <c r="A163" s="96" t="s">
        <v>978</v>
      </c>
      <c r="B163" s="91" t="s">
        <v>808</v>
      </c>
      <c r="C163" s="91" t="s">
        <v>809</v>
      </c>
      <c r="D163" s="91" t="s">
        <v>650</v>
      </c>
      <c r="E163" s="91" t="s">
        <v>49</v>
      </c>
      <c r="F163" s="98"/>
    </row>
    <row r="164" spans="1:6" x14ac:dyDescent="0.25">
      <c r="A164" s="96" t="s">
        <v>979</v>
      </c>
      <c r="B164" s="91" t="s">
        <v>811</v>
      </c>
      <c r="C164" s="91" t="s">
        <v>812</v>
      </c>
      <c r="D164" s="91" t="s">
        <v>650</v>
      </c>
      <c r="E164" s="91" t="s">
        <v>49</v>
      </c>
      <c r="F164" s="98"/>
    </row>
    <row r="165" spans="1:6" x14ac:dyDescent="0.25">
      <c r="A165" s="96" t="s">
        <v>980</v>
      </c>
      <c r="B165" s="91" t="s">
        <v>814</v>
      </c>
      <c r="C165" s="91" t="s">
        <v>815</v>
      </c>
      <c r="D165" s="91" t="s">
        <v>650</v>
      </c>
      <c r="E165" s="91" t="s">
        <v>48</v>
      </c>
      <c r="F165" s="98"/>
    </row>
    <row r="166" spans="1:6" x14ac:dyDescent="0.25">
      <c r="A166" s="96" t="s">
        <v>981</v>
      </c>
      <c r="B166" s="91" t="s">
        <v>817</v>
      </c>
      <c r="C166" s="91" t="s">
        <v>818</v>
      </c>
      <c r="D166" s="91" t="s">
        <v>650</v>
      </c>
      <c r="E166" s="91" t="s">
        <v>48</v>
      </c>
      <c r="F166" s="98"/>
    </row>
    <row r="167" spans="1:6" x14ac:dyDescent="0.25">
      <c r="A167" s="96" t="s">
        <v>982</v>
      </c>
      <c r="B167" s="91" t="s">
        <v>820</v>
      </c>
      <c r="C167" s="91" t="s">
        <v>821</v>
      </c>
      <c r="D167" s="91" t="s">
        <v>650</v>
      </c>
      <c r="E167" s="91" t="s">
        <v>48</v>
      </c>
      <c r="F167" s="98"/>
    </row>
    <row r="168" spans="1:6" x14ac:dyDescent="0.25">
      <c r="A168" s="96" t="s">
        <v>983</v>
      </c>
      <c r="B168" s="91" t="s">
        <v>823</v>
      </c>
      <c r="C168" s="91" t="s">
        <v>824</v>
      </c>
      <c r="D168" s="91" t="s">
        <v>650</v>
      </c>
      <c r="E168" s="91" t="s">
        <v>49</v>
      </c>
      <c r="F168" s="98"/>
    </row>
    <row r="169" spans="1:6" x14ac:dyDescent="0.25">
      <c r="A169" s="96" t="s">
        <v>984</v>
      </c>
      <c r="B169" s="91" t="s">
        <v>826</v>
      </c>
      <c r="C169" s="91" t="s">
        <v>827</v>
      </c>
      <c r="D169" s="91" t="s">
        <v>650</v>
      </c>
      <c r="E169" s="91" t="s">
        <v>49</v>
      </c>
      <c r="F169" s="98"/>
    </row>
    <row r="170" spans="1:6" x14ac:dyDescent="0.25">
      <c r="A170" s="96" t="s">
        <v>985</v>
      </c>
      <c r="B170" s="91" t="s">
        <v>712</v>
      </c>
      <c r="C170" s="91" t="s">
        <v>829</v>
      </c>
      <c r="D170" s="91" t="s">
        <v>650</v>
      </c>
      <c r="E170" s="91" t="s">
        <v>49</v>
      </c>
      <c r="F170" s="98" t="s">
        <v>654</v>
      </c>
    </row>
    <row r="171" spans="1:6" x14ac:dyDescent="0.25">
      <c r="A171" s="96" t="s">
        <v>986</v>
      </c>
      <c r="B171" s="91" t="s">
        <v>712</v>
      </c>
      <c r="C171" s="91" t="s">
        <v>831</v>
      </c>
      <c r="D171" s="91" t="s">
        <v>650</v>
      </c>
      <c r="E171" s="91" t="s">
        <v>49</v>
      </c>
      <c r="F171" s="98" t="s">
        <v>654</v>
      </c>
    </row>
    <row r="172" spans="1:6" x14ac:dyDescent="0.25">
      <c r="A172" s="96" t="s">
        <v>987</v>
      </c>
      <c r="B172" s="91" t="s">
        <v>712</v>
      </c>
      <c r="C172" s="91" t="s">
        <v>833</v>
      </c>
      <c r="D172" s="91" t="s">
        <v>650</v>
      </c>
      <c r="E172" s="91" t="s">
        <v>49</v>
      </c>
      <c r="F172" s="98" t="s">
        <v>654</v>
      </c>
    </row>
    <row r="173" spans="1:6" x14ac:dyDescent="0.25">
      <c r="A173" s="96" t="s">
        <v>988</v>
      </c>
      <c r="B173" s="91" t="s">
        <v>712</v>
      </c>
      <c r="C173" s="91" t="s">
        <v>835</v>
      </c>
      <c r="D173" s="91" t="s">
        <v>650</v>
      </c>
      <c r="E173" s="91" t="s">
        <v>49</v>
      </c>
      <c r="F173" s="98" t="s">
        <v>654</v>
      </c>
    </row>
    <row r="174" spans="1:6" x14ac:dyDescent="0.25">
      <c r="A174" s="96" t="s">
        <v>989</v>
      </c>
      <c r="B174" s="91" t="s">
        <v>712</v>
      </c>
      <c r="C174" s="91" t="s">
        <v>837</v>
      </c>
      <c r="D174" s="91" t="s">
        <v>650</v>
      </c>
      <c r="E174" s="91" t="s">
        <v>49</v>
      </c>
      <c r="F174" s="98" t="s">
        <v>654</v>
      </c>
    </row>
    <row r="175" spans="1:6" x14ac:dyDescent="0.25">
      <c r="A175" s="96" t="s">
        <v>990</v>
      </c>
      <c r="B175" s="91" t="s">
        <v>712</v>
      </c>
      <c r="C175" s="91" t="s">
        <v>839</v>
      </c>
      <c r="D175" s="91" t="s">
        <v>650</v>
      </c>
      <c r="E175" s="91" t="s">
        <v>49</v>
      </c>
      <c r="F175" s="98" t="s">
        <v>654</v>
      </c>
    </row>
    <row r="176" spans="1:6" x14ac:dyDescent="0.25">
      <c r="A176" s="96" t="s">
        <v>991</v>
      </c>
      <c r="B176" s="91" t="s">
        <v>712</v>
      </c>
      <c r="C176" s="91" t="s">
        <v>841</v>
      </c>
      <c r="D176" s="91" t="s">
        <v>650</v>
      </c>
      <c r="E176" s="91" t="s">
        <v>49</v>
      </c>
      <c r="F176" s="98" t="s">
        <v>654</v>
      </c>
    </row>
    <row r="177" spans="1:6" x14ac:dyDescent="0.25">
      <c r="A177" s="96" t="s">
        <v>992</v>
      </c>
      <c r="B177" s="91" t="s">
        <v>712</v>
      </c>
      <c r="C177" s="91" t="s">
        <v>843</v>
      </c>
      <c r="D177" s="91" t="s">
        <v>650</v>
      </c>
      <c r="E177" s="91" t="s">
        <v>49</v>
      </c>
      <c r="F177" s="98" t="s">
        <v>654</v>
      </c>
    </row>
    <row r="178" spans="1:6" x14ac:dyDescent="0.25">
      <c r="A178" s="96" t="s">
        <v>993</v>
      </c>
      <c r="B178" s="91" t="s">
        <v>845</v>
      </c>
      <c r="C178" s="91" t="s">
        <v>846</v>
      </c>
      <c r="D178" s="91" t="s">
        <v>650</v>
      </c>
      <c r="E178" s="91" t="s">
        <v>49</v>
      </c>
      <c r="F178" s="98"/>
    </row>
    <row r="179" spans="1:6" x14ac:dyDescent="0.25">
      <c r="A179" s="96" t="s">
        <v>994</v>
      </c>
      <c r="B179" s="91" t="s">
        <v>848</v>
      </c>
      <c r="C179" s="91" t="s">
        <v>849</v>
      </c>
      <c r="D179" s="91" t="s">
        <v>650</v>
      </c>
      <c r="E179" s="91" t="s">
        <v>49</v>
      </c>
      <c r="F179" s="98"/>
    </row>
    <row r="180" spans="1:6" x14ac:dyDescent="0.25">
      <c r="A180" s="96" t="s">
        <v>995</v>
      </c>
      <c r="B180" s="91" t="s">
        <v>851</v>
      </c>
      <c r="C180" s="91" t="s">
        <v>852</v>
      </c>
      <c r="D180" s="91" t="s">
        <v>650</v>
      </c>
      <c r="E180" s="91" t="s">
        <v>49</v>
      </c>
      <c r="F180" s="98"/>
    </row>
    <row r="181" spans="1:6" x14ac:dyDescent="0.25">
      <c r="A181" s="96" t="s">
        <v>996</v>
      </c>
      <c r="B181" s="91" t="s">
        <v>854</v>
      </c>
      <c r="C181" s="91" t="s">
        <v>855</v>
      </c>
      <c r="D181" s="91" t="s">
        <v>650</v>
      </c>
      <c r="E181" s="91" t="s">
        <v>49</v>
      </c>
      <c r="F181" s="98"/>
    </row>
    <row r="182" spans="1:6" x14ac:dyDescent="0.25">
      <c r="A182" s="96" t="s">
        <v>997</v>
      </c>
      <c r="B182" s="91" t="s">
        <v>857</v>
      </c>
      <c r="C182" s="91" t="s">
        <v>858</v>
      </c>
      <c r="D182" s="91" t="s">
        <v>650</v>
      </c>
      <c r="E182" s="91" t="s">
        <v>49</v>
      </c>
      <c r="F182" s="98"/>
    </row>
    <row r="183" spans="1:6" x14ac:dyDescent="0.25">
      <c r="A183" s="96" t="s">
        <v>998</v>
      </c>
      <c r="B183" s="91" t="s">
        <v>860</v>
      </c>
      <c r="C183" s="91" t="s">
        <v>861</v>
      </c>
      <c r="D183" s="91" t="s">
        <v>650</v>
      </c>
      <c r="E183" s="91" t="s">
        <v>49</v>
      </c>
      <c r="F183" s="98"/>
    </row>
    <row r="184" spans="1:6" x14ac:dyDescent="0.25">
      <c r="A184" s="96" t="s">
        <v>999</v>
      </c>
      <c r="B184" s="91" t="s">
        <v>863</v>
      </c>
      <c r="C184" s="91" t="s">
        <v>864</v>
      </c>
      <c r="D184" s="91" t="s">
        <v>650</v>
      </c>
      <c r="E184" s="91" t="s">
        <v>48</v>
      </c>
      <c r="F184" s="98"/>
    </row>
    <row r="185" spans="1:6" x14ac:dyDescent="0.25">
      <c r="A185" s="96" t="s">
        <v>1000</v>
      </c>
      <c r="B185" s="91" t="s">
        <v>866</v>
      </c>
      <c r="C185" s="91" t="s">
        <v>867</v>
      </c>
      <c r="D185" s="91" t="s">
        <v>650</v>
      </c>
      <c r="E185" s="91" t="s">
        <v>49</v>
      </c>
      <c r="F185" s="98"/>
    </row>
    <row r="186" spans="1:6" x14ac:dyDescent="0.25">
      <c r="A186" s="96" t="s">
        <v>1001</v>
      </c>
      <c r="B186" s="91" t="s">
        <v>869</v>
      </c>
      <c r="C186" s="91" t="s">
        <v>870</v>
      </c>
      <c r="D186" s="91" t="s">
        <v>650</v>
      </c>
      <c r="E186" s="91" t="s">
        <v>49</v>
      </c>
      <c r="F186" s="98"/>
    </row>
    <row r="187" spans="1:6" x14ac:dyDescent="0.25">
      <c r="A187" s="96" t="s">
        <v>1002</v>
      </c>
      <c r="B187" s="91" t="s">
        <v>872</v>
      </c>
      <c r="C187" s="91" t="s">
        <v>873</v>
      </c>
      <c r="D187" s="91" t="s">
        <v>650</v>
      </c>
      <c r="E187" s="91" t="s">
        <v>49</v>
      </c>
      <c r="F187" s="98"/>
    </row>
    <row r="188" spans="1:6" x14ac:dyDescent="0.25">
      <c r="A188" s="96" t="s">
        <v>1003</v>
      </c>
      <c r="B188" s="91" t="s">
        <v>875</v>
      </c>
      <c r="C188" s="91" t="s">
        <v>876</v>
      </c>
      <c r="D188" s="91" t="s">
        <v>650</v>
      </c>
      <c r="E188" s="91" t="s">
        <v>49</v>
      </c>
      <c r="F188" s="98"/>
    </row>
    <row r="189" spans="1:6" x14ac:dyDescent="0.25">
      <c r="A189" s="96" t="s">
        <v>1004</v>
      </c>
      <c r="B189" s="91" t="s">
        <v>878</v>
      </c>
      <c r="C189" s="91" t="s">
        <v>879</v>
      </c>
      <c r="D189" s="91" t="s">
        <v>650</v>
      </c>
      <c r="E189" s="91" t="s">
        <v>49</v>
      </c>
      <c r="F189" s="98"/>
    </row>
    <row r="190" spans="1:6" x14ac:dyDescent="0.25">
      <c r="A190" s="96" t="s">
        <v>1005</v>
      </c>
      <c r="B190" s="91" t="s">
        <v>881</v>
      </c>
      <c r="C190" s="91" t="s">
        <v>882</v>
      </c>
      <c r="D190" s="91" t="s">
        <v>650</v>
      </c>
      <c r="E190" s="91" t="s">
        <v>49</v>
      </c>
      <c r="F190" s="98"/>
    </row>
    <row r="191" spans="1:6" x14ac:dyDescent="0.25">
      <c r="A191" s="96" t="s">
        <v>1006</v>
      </c>
      <c r="B191" s="91" t="s">
        <v>884</v>
      </c>
      <c r="C191" s="91" t="s">
        <v>885</v>
      </c>
      <c r="D191" s="91" t="s">
        <v>650</v>
      </c>
      <c r="E191" s="91" t="s">
        <v>49</v>
      </c>
      <c r="F191" s="98"/>
    </row>
    <row r="192" spans="1:6" x14ac:dyDescent="0.25">
      <c r="A192" s="96" t="s">
        <v>1007</v>
      </c>
      <c r="B192" s="91" t="s">
        <v>887</v>
      </c>
      <c r="C192" s="91" t="s">
        <v>888</v>
      </c>
      <c r="D192" s="91" t="s">
        <v>650</v>
      </c>
      <c r="E192" s="91" t="s">
        <v>49</v>
      </c>
      <c r="F192" s="98"/>
    </row>
    <row r="193" spans="1:6" x14ac:dyDescent="0.25">
      <c r="A193" s="96" t="s">
        <v>1008</v>
      </c>
      <c r="B193" s="91" t="s">
        <v>890</v>
      </c>
      <c r="C193" s="91" t="s">
        <v>891</v>
      </c>
      <c r="D193" s="91" t="s">
        <v>650</v>
      </c>
      <c r="E193" s="91" t="s">
        <v>49</v>
      </c>
      <c r="F193" s="98"/>
    </row>
    <row r="194" spans="1:6" x14ac:dyDescent="0.25">
      <c r="A194" s="96" t="s">
        <v>1009</v>
      </c>
      <c r="B194" s="91" t="s">
        <v>893</v>
      </c>
      <c r="C194" s="91" t="s">
        <v>894</v>
      </c>
      <c r="D194" s="91" t="s">
        <v>650</v>
      </c>
      <c r="E194" s="91" t="s">
        <v>49</v>
      </c>
      <c r="F194" s="98"/>
    </row>
    <row r="195" spans="1:6" x14ac:dyDescent="0.25">
      <c r="A195" s="96" t="s">
        <v>1010</v>
      </c>
      <c r="B195" s="91" t="s">
        <v>896</v>
      </c>
      <c r="C195" s="91" t="s">
        <v>897</v>
      </c>
      <c r="D195" s="91" t="s">
        <v>650</v>
      </c>
      <c r="E195" s="91" t="s">
        <v>49</v>
      </c>
      <c r="F195" s="98"/>
    </row>
    <row r="196" spans="1:6" x14ac:dyDescent="0.25">
      <c r="A196" s="96" t="s">
        <v>1011</v>
      </c>
      <c r="B196" s="91" t="s">
        <v>899</v>
      </c>
      <c r="C196" s="91" t="s">
        <v>900</v>
      </c>
      <c r="D196" s="91" t="s">
        <v>650</v>
      </c>
      <c r="E196" s="94" t="s">
        <v>48</v>
      </c>
      <c r="F196" s="98"/>
    </row>
    <row r="197" spans="1:6" x14ac:dyDescent="0.25">
      <c r="A197" s="96" t="s">
        <v>1012</v>
      </c>
      <c r="B197" s="91" t="s">
        <v>902</v>
      </c>
      <c r="C197" s="91" t="s">
        <v>903</v>
      </c>
      <c r="D197" s="91" t="s">
        <v>650</v>
      </c>
      <c r="E197" s="91" t="s">
        <v>49</v>
      </c>
      <c r="F197" s="98"/>
    </row>
    <row r="198" spans="1:6" x14ac:dyDescent="0.25">
      <c r="A198" s="96" t="s">
        <v>1013</v>
      </c>
      <c r="B198" s="91" t="s">
        <v>905</v>
      </c>
      <c r="C198" s="91" t="s">
        <v>906</v>
      </c>
      <c r="D198" s="91" t="s">
        <v>650</v>
      </c>
      <c r="E198" s="91" t="s">
        <v>49</v>
      </c>
      <c r="F198" s="98"/>
    </row>
    <row r="199" spans="1:6" x14ac:dyDescent="0.25">
      <c r="A199" s="96" t="s">
        <v>1014</v>
      </c>
      <c r="B199" s="91" t="s">
        <v>908</v>
      </c>
      <c r="C199" s="91" t="s">
        <v>909</v>
      </c>
      <c r="D199" s="91" t="s">
        <v>650</v>
      </c>
      <c r="E199" s="91" t="s">
        <v>49</v>
      </c>
      <c r="F199" s="98"/>
    </row>
    <row r="200" spans="1:6" x14ac:dyDescent="0.25">
      <c r="A200" s="96" t="s">
        <v>1015</v>
      </c>
      <c r="B200" s="91" t="s">
        <v>911</v>
      </c>
      <c r="C200" s="91" t="s">
        <v>912</v>
      </c>
      <c r="D200" s="91" t="s">
        <v>650</v>
      </c>
      <c r="E200" s="91" t="s">
        <v>49</v>
      </c>
      <c r="F200" s="98"/>
    </row>
    <row r="201" spans="1:6" x14ac:dyDescent="0.25">
      <c r="A201" s="103" t="s">
        <v>1016</v>
      </c>
      <c r="B201" s="104" t="s">
        <v>914</v>
      </c>
      <c r="C201" s="104" t="s">
        <v>915</v>
      </c>
      <c r="D201" s="104" t="s">
        <v>650</v>
      </c>
      <c r="E201" s="104" t="s">
        <v>49</v>
      </c>
      <c r="F201" s="105"/>
    </row>
    <row r="203" spans="1:6" x14ac:dyDescent="0.25">
      <c r="E203" s="95"/>
    </row>
    <row r="204" spans="1:6" x14ac:dyDescent="0.25">
      <c r="E204" s="95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C1:C15"/>
  <sheetViews>
    <sheetView workbookViewId="0">
      <selection activeCell="I25" sqref="I25"/>
    </sheetView>
  </sheetViews>
  <sheetFormatPr defaultRowHeight="15" x14ac:dyDescent="0.25"/>
  <sheetData>
    <row r="1" spans="3:3" x14ac:dyDescent="0.25">
      <c r="C1" t="s">
        <v>1058</v>
      </c>
    </row>
    <row r="3" spans="3:3" x14ac:dyDescent="0.25">
      <c r="C3" t="s">
        <v>1023</v>
      </c>
    </row>
    <row r="4" spans="3:3" x14ac:dyDescent="0.25">
      <c r="C4" s="106"/>
    </row>
    <row r="5" spans="3:3" x14ac:dyDescent="0.25">
      <c r="C5" s="106" t="s">
        <v>1050</v>
      </c>
    </row>
    <row r="6" spans="3:3" x14ac:dyDescent="0.25">
      <c r="C6" s="106" t="s">
        <v>1051</v>
      </c>
    </row>
    <row r="7" spans="3:3" x14ac:dyDescent="0.25">
      <c r="C7" s="106" t="s">
        <v>1052</v>
      </c>
    </row>
    <row r="8" spans="3:3" x14ac:dyDescent="0.25">
      <c r="C8" s="106" t="s">
        <v>1044</v>
      </c>
    </row>
    <row r="9" spans="3:3" x14ac:dyDescent="0.25">
      <c r="C9" s="106" t="s">
        <v>1036</v>
      </c>
    </row>
    <row r="10" spans="3:3" x14ac:dyDescent="0.25">
      <c r="C10" s="106" t="s">
        <v>1053</v>
      </c>
    </row>
    <row r="11" spans="3:3" x14ac:dyDescent="0.25">
      <c r="C11" s="106" t="s">
        <v>1030</v>
      </c>
    </row>
    <row r="12" spans="3:3" x14ac:dyDescent="0.25">
      <c r="C12" s="106" t="s">
        <v>1054</v>
      </c>
    </row>
    <row r="13" spans="3:3" x14ac:dyDescent="0.25">
      <c r="C13" s="106" t="s">
        <v>1055</v>
      </c>
    </row>
    <row r="14" spans="3:3" x14ac:dyDescent="0.25">
      <c r="C14" s="106" t="s">
        <v>1056</v>
      </c>
    </row>
    <row r="15" spans="3:3" x14ac:dyDescent="0.25">
      <c r="C15" s="106" t="s">
        <v>1057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C2:M25"/>
  <sheetViews>
    <sheetView workbookViewId="0">
      <selection activeCell="D3" sqref="D3:D25"/>
    </sheetView>
  </sheetViews>
  <sheetFormatPr defaultRowHeight="15" x14ac:dyDescent="0.25"/>
  <cols>
    <col min="3" max="3" width="20" customWidth="1"/>
    <col min="4" max="4" width="51.42578125" customWidth="1"/>
    <col min="5" max="5" width="14.42578125" customWidth="1"/>
    <col min="6" max="6" width="9.85546875" customWidth="1"/>
    <col min="7" max="7" width="13.28515625" customWidth="1"/>
    <col min="8" max="8" width="11.42578125" customWidth="1"/>
    <col min="9" max="9" width="10.7109375" customWidth="1"/>
    <col min="10" max="10" width="12.28515625" customWidth="1"/>
    <col min="11" max="11" width="21.140625" customWidth="1"/>
    <col min="12" max="12" width="11.85546875" customWidth="1"/>
    <col min="13" max="13" width="12" customWidth="1"/>
  </cols>
  <sheetData>
    <row r="2" spans="3:13" x14ac:dyDescent="0.25">
      <c r="C2" s="107" t="s">
        <v>642</v>
      </c>
      <c r="D2" s="108" t="s">
        <v>643</v>
      </c>
      <c r="E2" s="108" t="s">
        <v>1017</v>
      </c>
      <c r="F2" s="108" t="s">
        <v>144</v>
      </c>
      <c r="G2" s="109" t="s">
        <v>1018</v>
      </c>
      <c r="H2" s="109" t="s">
        <v>1019</v>
      </c>
      <c r="I2" s="109" t="s">
        <v>1020</v>
      </c>
      <c r="J2" s="109" t="s">
        <v>1021</v>
      </c>
      <c r="K2" s="109" t="s">
        <v>1022</v>
      </c>
      <c r="L2" s="109" t="s">
        <v>1023</v>
      </c>
      <c r="M2" s="110" t="s">
        <v>124</v>
      </c>
    </row>
    <row r="3" spans="3:13" x14ac:dyDescent="0.25">
      <c r="C3" t="s">
        <v>1024</v>
      </c>
      <c r="D3" t="s">
        <v>1025</v>
      </c>
      <c r="E3" t="s">
        <v>1026</v>
      </c>
      <c r="F3" t="s">
        <v>1027</v>
      </c>
      <c r="G3" t="s">
        <v>1028</v>
      </c>
      <c r="H3" t="s">
        <v>1029</v>
      </c>
      <c r="I3" t="s">
        <v>49</v>
      </c>
      <c r="J3" t="s">
        <v>49</v>
      </c>
      <c r="L3" t="s">
        <v>1030</v>
      </c>
      <c r="M3" t="s">
        <v>722</v>
      </c>
    </row>
    <row r="4" spans="3:13" x14ac:dyDescent="0.25">
      <c r="C4" t="s">
        <v>1031</v>
      </c>
      <c r="D4" t="s">
        <v>1032</v>
      </c>
      <c r="E4" t="s">
        <v>1033</v>
      </c>
      <c r="F4" t="s">
        <v>1027</v>
      </c>
      <c r="G4" t="s">
        <v>1034</v>
      </c>
      <c r="H4" t="s">
        <v>1035</v>
      </c>
      <c r="I4" t="s">
        <v>49</v>
      </c>
      <c r="J4" t="s">
        <v>49</v>
      </c>
      <c r="L4" t="s">
        <v>1036</v>
      </c>
      <c r="M4" t="s">
        <v>716</v>
      </c>
    </row>
    <row r="5" spans="3:13" x14ac:dyDescent="0.25">
      <c r="C5" t="s">
        <v>1037</v>
      </c>
      <c r="D5" t="s">
        <v>1032</v>
      </c>
      <c r="E5" t="s">
        <v>1033</v>
      </c>
      <c r="F5" t="s">
        <v>1027</v>
      </c>
      <c r="G5" t="s">
        <v>1034</v>
      </c>
      <c r="H5" t="s">
        <v>1035</v>
      </c>
      <c r="I5" t="s">
        <v>49</v>
      </c>
      <c r="J5" t="s">
        <v>49</v>
      </c>
      <c r="L5" t="s">
        <v>1036</v>
      </c>
      <c r="M5" t="s">
        <v>716</v>
      </c>
    </row>
    <row r="6" spans="3:13" x14ac:dyDescent="0.25">
      <c r="C6" t="s">
        <v>1038</v>
      </c>
      <c r="D6" t="s">
        <v>1025</v>
      </c>
      <c r="E6" t="s">
        <v>1026</v>
      </c>
      <c r="F6" t="s">
        <v>1027</v>
      </c>
      <c r="G6" t="s">
        <v>1028</v>
      </c>
      <c r="H6" t="s">
        <v>1029</v>
      </c>
      <c r="I6" t="s">
        <v>49</v>
      </c>
      <c r="J6" t="s">
        <v>49</v>
      </c>
      <c r="L6" t="s">
        <v>1030</v>
      </c>
      <c r="M6" t="s">
        <v>722</v>
      </c>
    </row>
    <row r="7" spans="3:13" x14ac:dyDescent="0.25">
      <c r="C7" t="s">
        <v>1060</v>
      </c>
      <c r="D7" t="s">
        <v>1061</v>
      </c>
      <c r="E7" t="s">
        <v>1062</v>
      </c>
      <c r="F7" t="s">
        <v>1027</v>
      </c>
      <c r="G7" t="s">
        <v>1063</v>
      </c>
      <c r="H7" t="s">
        <v>1064</v>
      </c>
      <c r="I7" t="s">
        <v>49</v>
      </c>
      <c r="J7" t="s">
        <v>49</v>
      </c>
      <c r="L7" t="s">
        <v>1036</v>
      </c>
      <c r="M7" t="s">
        <v>806</v>
      </c>
    </row>
    <row r="8" spans="3:13" x14ac:dyDescent="0.25">
      <c r="C8" t="s">
        <v>1065</v>
      </c>
      <c r="D8" t="s">
        <v>1066</v>
      </c>
      <c r="E8" t="s">
        <v>1047</v>
      </c>
      <c r="F8" t="s">
        <v>1027</v>
      </c>
      <c r="G8" t="s">
        <v>1048</v>
      </c>
      <c r="H8" t="s">
        <v>1049</v>
      </c>
      <c r="I8" t="s">
        <v>49</v>
      </c>
      <c r="J8" t="s">
        <v>49</v>
      </c>
      <c r="L8" t="s">
        <v>1044</v>
      </c>
      <c r="M8" t="s">
        <v>707</v>
      </c>
    </row>
    <row r="9" spans="3:13" x14ac:dyDescent="0.25">
      <c r="C9" t="s">
        <v>1067</v>
      </c>
      <c r="D9" t="s">
        <v>1068</v>
      </c>
      <c r="E9" t="s">
        <v>1047</v>
      </c>
      <c r="F9" t="s">
        <v>1027</v>
      </c>
      <c r="G9" t="s">
        <v>1048</v>
      </c>
      <c r="H9" t="s">
        <v>1049</v>
      </c>
      <c r="I9" t="s">
        <v>49</v>
      </c>
      <c r="J9" t="s">
        <v>49</v>
      </c>
      <c r="L9" t="s">
        <v>1044</v>
      </c>
      <c r="M9" t="s">
        <v>707</v>
      </c>
    </row>
    <row r="10" spans="3:13" x14ac:dyDescent="0.25">
      <c r="C10" t="s">
        <v>1069</v>
      </c>
      <c r="D10" t="s">
        <v>1070</v>
      </c>
      <c r="E10" t="s">
        <v>1047</v>
      </c>
      <c r="F10" t="s">
        <v>1027</v>
      </c>
      <c r="G10" t="s">
        <v>1048</v>
      </c>
      <c r="H10" t="s">
        <v>1049</v>
      </c>
      <c r="I10" t="s">
        <v>49</v>
      </c>
      <c r="J10" t="s">
        <v>49</v>
      </c>
      <c r="L10" t="s">
        <v>1044</v>
      </c>
      <c r="M10" t="s">
        <v>707</v>
      </c>
    </row>
    <row r="11" spans="3:13" x14ac:dyDescent="0.25">
      <c r="C11" t="s">
        <v>1071</v>
      </c>
      <c r="D11" t="s">
        <v>1072</v>
      </c>
      <c r="E11" t="s">
        <v>1047</v>
      </c>
      <c r="F11" t="s">
        <v>1027</v>
      </c>
      <c r="G11" t="s">
        <v>1048</v>
      </c>
      <c r="H11" t="s">
        <v>1049</v>
      </c>
      <c r="I11" t="s">
        <v>49</v>
      </c>
      <c r="J11" t="s">
        <v>49</v>
      </c>
      <c r="L11" t="s">
        <v>1044</v>
      </c>
      <c r="M11" t="s">
        <v>707</v>
      </c>
    </row>
    <row r="12" spans="3:13" x14ac:dyDescent="0.25">
      <c r="C12" t="s">
        <v>1073</v>
      </c>
      <c r="D12" t="s">
        <v>1074</v>
      </c>
      <c r="E12" t="s">
        <v>1033</v>
      </c>
      <c r="F12" t="s">
        <v>1075</v>
      </c>
      <c r="G12" t="s">
        <v>1034</v>
      </c>
      <c r="H12" t="s">
        <v>1035</v>
      </c>
      <c r="I12" t="s">
        <v>49</v>
      </c>
      <c r="J12" t="s">
        <v>49</v>
      </c>
      <c r="L12" t="s">
        <v>1036</v>
      </c>
      <c r="M12" t="s">
        <v>707</v>
      </c>
    </row>
    <row r="13" spans="3:13" x14ac:dyDescent="0.25">
      <c r="C13" t="s">
        <v>1076</v>
      </c>
      <c r="D13" t="s">
        <v>1077</v>
      </c>
      <c r="E13" t="s">
        <v>1033</v>
      </c>
      <c r="F13" t="s">
        <v>1075</v>
      </c>
      <c r="G13" t="s">
        <v>1034</v>
      </c>
      <c r="H13" t="s">
        <v>1035</v>
      </c>
      <c r="I13" t="s">
        <v>49</v>
      </c>
      <c r="J13" t="s">
        <v>49</v>
      </c>
      <c r="L13" t="s">
        <v>1036</v>
      </c>
      <c r="M13" t="s">
        <v>707</v>
      </c>
    </row>
    <row r="14" spans="3:13" x14ac:dyDescent="0.25">
      <c r="C14" t="s">
        <v>1078</v>
      </c>
      <c r="D14" t="s">
        <v>1074</v>
      </c>
      <c r="E14" t="s">
        <v>1033</v>
      </c>
      <c r="F14" t="s">
        <v>1075</v>
      </c>
      <c r="G14" t="s">
        <v>1034</v>
      </c>
      <c r="H14" t="s">
        <v>1035</v>
      </c>
      <c r="I14" t="s">
        <v>49</v>
      </c>
      <c r="J14" t="s">
        <v>49</v>
      </c>
      <c r="L14" t="s">
        <v>1036</v>
      </c>
      <c r="M14" t="s">
        <v>707</v>
      </c>
    </row>
    <row r="15" spans="3:13" x14ac:dyDescent="0.25">
      <c r="C15" t="s">
        <v>1079</v>
      </c>
      <c r="D15" t="s">
        <v>1077</v>
      </c>
      <c r="E15" t="s">
        <v>1033</v>
      </c>
      <c r="F15" t="s">
        <v>1075</v>
      </c>
      <c r="G15" t="s">
        <v>1034</v>
      </c>
      <c r="H15" t="s">
        <v>1035</v>
      </c>
      <c r="I15" t="s">
        <v>49</v>
      </c>
      <c r="J15" t="s">
        <v>49</v>
      </c>
      <c r="L15" t="s">
        <v>1036</v>
      </c>
      <c r="M15" t="s">
        <v>707</v>
      </c>
    </row>
    <row r="16" spans="3:13" x14ac:dyDescent="0.25">
      <c r="C16" t="s">
        <v>1080</v>
      </c>
      <c r="D16" t="s">
        <v>1081</v>
      </c>
      <c r="E16" t="s">
        <v>1047</v>
      </c>
      <c r="F16" t="s">
        <v>1027</v>
      </c>
      <c r="G16" t="s">
        <v>1048</v>
      </c>
      <c r="H16" t="s">
        <v>1082</v>
      </c>
      <c r="I16" t="s">
        <v>49</v>
      </c>
      <c r="J16" t="s">
        <v>49</v>
      </c>
      <c r="L16" t="s">
        <v>1044</v>
      </c>
      <c r="M16" t="s">
        <v>707</v>
      </c>
    </row>
    <row r="17" spans="3:13" x14ac:dyDescent="0.25">
      <c r="C17" t="s">
        <v>1083</v>
      </c>
      <c r="D17" t="s">
        <v>1084</v>
      </c>
      <c r="E17" t="s">
        <v>1033</v>
      </c>
      <c r="F17" t="s">
        <v>1027</v>
      </c>
      <c r="G17" t="s">
        <v>1034</v>
      </c>
      <c r="H17" t="s">
        <v>1035</v>
      </c>
      <c r="I17" t="s">
        <v>49</v>
      </c>
      <c r="J17" t="s">
        <v>49</v>
      </c>
      <c r="L17" t="s">
        <v>1036</v>
      </c>
      <c r="M17" t="s">
        <v>716</v>
      </c>
    </row>
    <row r="18" spans="3:13" x14ac:dyDescent="0.25">
      <c r="C18" t="s">
        <v>1085</v>
      </c>
      <c r="D18" t="s">
        <v>1086</v>
      </c>
      <c r="E18" t="s">
        <v>1033</v>
      </c>
      <c r="F18" t="s">
        <v>1027</v>
      </c>
      <c r="G18" t="s">
        <v>1034</v>
      </c>
      <c r="H18" t="s">
        <v>1035</v>
      </c>
      <c r="I18" t="s">
        <v>49</v>
      </c>
      <c r="J18" t="s">
        <v>49</v>
      </c>
      <c r="L18" t="s">
        <v>1036</v>
      </c>
      <c r="M18" t="s">
        <v>716</v>
      </c>
    </row>
    <row r="19" spans="3:13" x14ac:dyDescent="0.25">
      <c r="C19" t="s">
        <v>1087</v>
      </c>
      <c r="D19" t="s">
        <v>1025</v>
      </c>
      <c r="E19" t="s">
        <v>1026</v>
      </c>
      <c r="F19" t="s">
        <v>1027</v>
      </c>
      <c r="G19" t="s">
        <v>1028</v>
      </c>
      <c r="H19" t="s">
        <v>1029</v>
      </c>
      <c r="I19" t="s">
        <v>49</v>
      </c>
      <c r="J19" t="s">
        <v>49</v>
      </c>
      <c r="L19" t="s">
        <v>1030</v>
      </c>
      <c r="M19" t="s">
        <v>725</v>
      </c>
    </row>
    <row r="20" spans="3:13" x14ac:dyDescent="0.25">
      <c r="C20" t="s">
        <v>1088</v>
      </c>
      <c r="D20" t="s">
        <v>1089</v>
      </c>
      <c r="E20" t="s">
        <v>1026</v>
      </c>
      <c r="F20" t="s">
        <v>1027</v>
      </c>
      <c r="G20" t="s">
        <v>1028</v>
      </c>
      <c r="H20" t="s">
        <v>1029</v>
      </c>
      <c r="I20" t="s">
        <v>49</v>
      </c>
      <c r="J20" t="s">
        <v>49</v>
      </c>
      <c r="L20" t="s">
        <v>1030</v>
      </c>
      <c r="M20" t="s">
        <v>861</v>
      </c>
    </row>
    <row r="21" spans="3:13" x14ac:dyDescent="0.25">
      <c r="C21" t="s">
        <v>1090</v>
      </c>
      <c r="D21" t="s">
        <v>1025</v>
      </c>
      <c r="E21" t="s">
        <v>1026</v>
      </c>
      <c r="F21" t="s">
        <v>1027</v>
      </c>
      <c r="G21" t="s">
        <v>1028</v>
      </c>
      <c r="H21" t="s">
        <v>1029</v>
      </c>
      <c r="I21" t="s">
        <v>49</v>
      </c>
      <c r="J21" t="s">
        <v>49</v>
      </c>
      <c r="L21" t="s">
        <v>1030</v>
      </c>
      <c r="M21" t="s">
        <v>725</v>
      </c>
    </row>
    <row r="22" spans="3:13" x14ac:dyDescent="0.25">
      <c r="C22" t="s">
        <v>1091</v>
      </c>
      <c r="D22" t="s">
        <v>1092</v>
      </c>
      <c r="E22" t="s">
        <v>1093</v>
      </c>
      <c r="F22" t="s">
        <v>1027</v>
      </c>
      <c r="G22" t="s">
        <v>1094</v>
      </c>
      <c r="H22" t="s">
        <v>1095</v>
      </c>
      <c r="I22" t="s">
        <v>49</v>
      </c>
      <c r="J22" t="s">
        <v>49</v>
      </c>
      <c r="L22" t="s">
        <v>1044</v>
      </c>
      <c r="M22" t="s">
        <v>764</v>
      </c>
    </row>
    <row r="23" spans="3:13" x14ac:dyDescent="0.25">
      <c r="C23" t="s">
        <v>1045</v>
      </c>
      <c r="D23" t="s">
        <v>1046</v>
      </c>
      <c r="E23" t="s">
        <v>1047</v>
      </c>
      <c r="F23" t="s">
        <v>1027</v>
      </c>
      <c r="G23" t="s">
        <v>1048</v>
      </c>
      <c r="H23" t="s">
        <v>1049</v>
      </c>
      <c r="I23" t="s">
        <v>48</v>
      </c>
      <c r="J23" t="s">
        <v>48</v>
      </c>
      <c r="K23" t="s">
        <v>1043</v>
      </c>
      <c r="L23" t="s">
        <v>1044</v>
      </c>
      <c r="M23" t="s">
        <v>698</v>
      </c>
    </row>
    <row r="24" spans="3:13" x14ac:dyDescent="0.25">
      <c r="C24" t="s">
        <v>1096</v>
      </c>
      <c r="D24" t="s">
        <v>1097</v>
      </c>
      <c r="E24" t="s">
        <v>1047</v>
      </c>
      <c r="F24" t="s">
        <v>1027</v>
      </c>
      <c r="G24" t="s">
        <v>1048</v>
      </c>
      <c r="H24" t="s">
        <v>1098</v>
      </c>
      <c r="I24" t="s">
        <v>48</v>
      </c>
      <c r="J24" t="s">
        <v>48</v>
      </c>
      <c r="K24" t="s">
        <v>1043</v>
      </c>
      <c r="L24" t="s">
        <v>1044</v>
      </c>
      <c r="M24" t="s">
        <v>698</v>
      </c>
    </row>
    <row r="25" spans="3:13" x14ac:dyDescent="0.25">
      <c r="C25" t="s">
        <v>1099</v>
      </c>
      <c r="D25" t="s">
        <v>1100</v>
      </c>
      <c r="E25" t="s">
        <v>1047</v>
      </c>
      <c r="F25" t="s">
        <v>1027</v>
      </c>
      <c r="G25" t="s">
        <v>1048</v>
      </c>
      <c r="H25" t="s">
        <v>1049</v>
      </c>
      <c r="I25" t="s">
        <v>48</v>
      </c>
      <c r="J25" t="s">
        <v>48</v>
      </c>
      <c r="K25" t="s">
        <v>1043</v>
      </c>
      <c r="L25" t="s">
        <v>1044</v>
      </c>
      <c r="M25" t="s">
        <v>725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B50:Q21511"/>
  <sheetViews>
    <sheetView workbookViewId="0">
      <selection activeCell="H16" sqref="H16"/>
    </sheetView>
  </sheetViews>
  <sheetFormatPr defaultRowHeight="15" x14ac:dyDescent="0.25"/>
  <cols>
    <col min="2" max="2" width="19" customWidth="1"/>
    <col min="3" max="3" width="15" customWidth="1"/>
  </cols>
  <sheetData>
    <row r="50" spans="2:17" x14ac:dyDescent="0.25">
      <c r="B50" t="s">
        <v>1101</v>
      </c>
      <c r="C50" t="s">
        <v>1102</v>
      </c>
      <c r="D50" t="s">
        <v>599</v>
      </c>
      <c r="E50" t="s">
        <v>1103</v>
      </c>
      <c r="F50" t="s">
        <v>1104</v>
      </c>
      <c r="G50" t="s">
        <v>1105</v>
      </c>
      <c r="H50" t="s">
        <v>1106</v>
      </c>
      <c r="I50" t="s">
        <v>1107</v>
      </c>
      <c r="J50" t="s">
        <v>1108</v>
      </c>
      <c r="K50" t="s">
        <v>1109</v>
      </c>
      <c r="L50" t="s">
        <v>126</v>
      </c>
      <c r="M50" t="s">
        <v>1110</v>
      </c>
      <c r="N50" t="s">
        <v>1111</v>
      </c>
      <c r="O50" t="s">
        <v>1112</v>
      </c>
      <c r="P50" t="s">
        <v>1113</v>
      </c>
      <c r="Q50" t="s">
        <v>1114</v>
      </c>
    </row>
    <row r="21509" spans="3:3" x14ac:dyDescent="0.25">
      <c r="C21509" s="36"/>
    </row>
    <row r="21511" spans="3:3" x14ac:dyDescent="0.25">
      <c r="C21511" s="36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P26"/>
  <sheetViews>
    <sheetView workbookViewId="0"/>
  </sheetViews>
  <sheetFormatPr defaultRowHeight="15" x14ac:dyDescent="0.25"/>
  <sheetData>
    <row r="1" spans="1:16" x14ac:dyDescent="0.25">
      <c r="A1" t="s">
        <v>1101</v>
      </c>
      <c r="B1" t="s">
        <v>1102</v>
      </c>
      <c r="C1" t="s">
        <v>599</v>
      </c>
      <c r="D1" t="s">
        <v>1103</v>
      </c>
      <c r="E1" t="s">
        <v>1104</v>
      </c>
      <c r="F1" t="s">
        <v>1105</v>
      </c>
      <c r="G1" t="s">
        <v>1106</v>
      </c>
      <c r="H1" t="s">
        <v>1107</v>
      </c>
      <c r="I1" t="s">
        <v>1108</v>
      </c>
      <c r="J1" t="s">
        <v>1109</v>
      </c>
      <c r="K1" t="s">
        <v>126</v>
      </c>
      <c r="L1" t="s">
        <v>1110</v>
      </c>
      <c r="M1" t="s">
        <v>1111</v>
      </c>
      <c r="N1" t="s">
        <v>1112</v>
      </c>
      <c r="O1" t="s">
        <v>1113</v>
      </c>
      <c r="P1" t="s">
        <v>1114</v>
      </c>
    </row>
    <row r="2" spans="1:16" x14ac:dyDescent="0.25">
      <c r="A2" t="s">
        <v>1115</v>
      </c>
      <c r="B2" t="s">
        <v>1116</v>
      </c>
      <c r="C2" t="s">
        <v>1117</v>
      </c>
      <c r="D2" t="s">
        <v>1027</v>
      </c>
      <c r="G2" t="b">
        <v>0</v>
      </c>
      <c r="H2" t="b">
        <v>0</v>
      </c>
      <c r="K2" t="s">
        <v>1043</v>
      </c>
    </row>
    <row r="3" spans="1:16" x14ac:dyDescent="0.25">
      <c r="A3" t="s">
        <v>1118</v>
      </c>
      <c r="B3" t="s">
        <v>1119</v>
      </c>
      <c r="C3" t="s">
        <v>1117</v>
      </c>
      <c r="D3" t="s">
        <v>1027</v>
      </c>
      <c r="G3" t="b">
        <v>0</v>
      </c>
      <c r="H3" t="b">
        <v>0</v>
      </c>
      <c r="K3" t="s">
        <v>1043</v>
      </c>
    </row>
    <row r="4" spans="1:16" x14ac:dyDescent="0.25">
      <c r="A4" t="s">
        <v>1120</v>
      </c>
      <c r="B4" t="s">
        <v>1121</v>
      </c>
      <c r="C4" t="s">
        <v>1117</v>
      </c>
      <c r="D4" t="s">
        <v>1027</v>
      </c>
      <c r="G4" t="b">
        <v>0</v>
      </c>
      <c r="H4" t="b">
        <v>0</v>
      </c>
      <c r="K4" t="s">
        <v>1043</v>
      </c>
    </row>
    <row r="5" spans="1:16" x14ac:dyDescent="0.25">
      <c r="A5" t="s">
        <v>1122</v>
      </c>
      <c r="B5" t="s">
        <v>1123</v>
      </c>
      <c r="C5" t="s">
        <v>1117</v>
      </c>
      <c r="D5" t="s">
        <v>1027</v>
      </c>
      <c r="G5" t="b">
        <v>0</v>
      </c>
      <c r="H5" t="b">
        <v>0</v>
      </c>
      <c r="K5" t="s">
        <v>1043</v>
      </c>
    </row>
    <row r="6" spans="1:16" x14ac:dyDescent="0.25">
      <c r="A6" t="s">
        <v>1124</v>
      </c>
      <c r="B6" t="s">
        <v>1125</v>
      </c>
      <c r="C6" t="s">
        <v>1117</v>
      </c>
      <c r="D6" t="s">
        <v>1027</v>
      </c>
      <c r="G6" t="b">
        <v>0</v>
      </c>
      <c r="H6" t="b">
        <v>0</v>
      </c>
      <c r="K6" t="s">
        <v>1043</v>
      </c>
    </row>
    <row r="7" spans="1:16" x14ac:dyDescent="0.25">
      <c r="A7" t="s">
        <v>1126</v>
      </c>
      <c r="B7" t="s">
        <v>1127</v>
      </c>
      <c r="C7" t="s">
        <v>1117</v>
      </c>
      <c r="D7" t="s">
        <v>1027</v>
      </c>
      <c r="G7" t="b">
        <v>0</v>
      </c>
      <c r="H7" t="b">
        <v>0</v>
      </c>
      <c r="K7" t="s">
        <v>1043</v>
      </c>
    </row>
    <row r="8" spans="1:16" x14ac:dyDescent="0.25">
      <c r="A8" t="s">
        <v>1128</v>
      </c>
      <c r="B8" t="s">
        <v>905</v>
      </c>
      <c r="C8" t="s">
        <v>1117</v>
      </c>
      <c r="D8" t="s">
        <v>1027</v>
      </c>
      <c r="G8" t="b">
        <v>0</v>
      </c>
      <c r="H8" t="b">
        <v>0</v>
      </c>
      <c r="K8" t="s">
        <v>1043</v>
      </c>
    </row>
    <row r="9" spans="1:16" x14ac:dyDescent="0.25">
      <c r="A9" t="s">
        <v>1129</v>
      </c>
      <c r="B9" t="s">
        <v>902</v>
      </c>
      <c r="C9" t="s">
        <v>1117</v>
      </c>
      <c r="D9" t="s">
        <v>1027</v>
      </c>
      <c r="G9" t="b">
        <v>0</v>
      </c>
      <c r="H9" t="b">
        <v>0</v>
      </c>
      <c r="K9" t="s">
        <v>1043</v>
      </c>
    </row>
    <row r="10" spans="1:16" x14ac:dyDescent="0.25">
      <c r="A10" t="s">
        <v>1130</v>
      </c>
      <c r="B10" t="s">
        <v>1131</v>
      </c>
      <c r="C10" t="s">
        <v>1117</v>
      </c>
      <c r="D10" t="s">
        <v>1027</v>
      </c>
      <c r="G10" t="b">
        <v>0</v>
      </c>
      <c r="H10" t="b">
        <v>0</v>
      </c>
      <c r="K10" t="s">
        <v>1043</v>
      </c>
    </row>
    <row r="11" spans="1:16" x14ac:dyDescent="0.25">
      <c r="A11" t="s">
        <v>1132</v>
      </c>
      <c r="B11" t="s">
        <v>1133</v>
      </c>
      <c r="C11" t="s">
        <v>1117</v>
      </c>
      <c r="D11" t="s">
        <v>1027</v>
      </c>
      <c r="G11" t="b">
        <v>0</v>
      </c>
      <c r="H11" t="b">
        <v>0</v>
      </c>
      <c r="K11" t="s">
        <v>1043</v>
      </c>
    </row>
    <row r="12" spans="1:16" x14ac:dyDescent="0.25">
      <c r="A12" t="s">
        <v>1134</v>
      </c>
      <c r="B12" t="s">
        <v>1135</v>
      </c>
      <c r="C12" t="s">
        <v>1117</v>
      </c>
      <c r="D12" t="s">
        <v>1027</v>
      </c>
      <c r="G12" t="b">
        <v>0</v>
      </c>
      <c r="H12" t="b">
        <v>0</v>
      </c>
      <c r="K12" t="s">
        <v>1043</v>
      </c>
    </row>
    <row r="13" spans="1:16" x14ac:dyDescent="0.25">
      <c r="A13" t="s">
        <v>1136</v>
      </c>
      <c r="B13" t="s">
        <v>1137</v>
      </c>
      <c r="C13" t="s">
        <v>1117</v>
      </c>
      <c r="D13" t="s">
        <v>1027</v>
      </c>
      <c r="G13" t="b">
        <v>0</v>
      </c>
      <c r="H13" t="b">
        <v>0</v>
      </c>
      <c r="K13" t="s">
        <v>1043</v>
      </c>
    </row>
    <row r="14" spans="1:16" x14ac:dyDescent="0.25">
      <c r="A14" t="s">
        <v>1138</v>
      </c>
      <c r="B14" t="s">
        <v>1139</v>
      </c>
      <c r="C14" t="s">
        <v>1117</v>
      </c>
      <c r="D14" t="s">
        <v>1027</v>
      </c>
      <c r="G14" t="b">
        <v>0</v>
      </c>
      <c r="H14" t="b">
        <v>0</v>
      </c>
      <c r="K14" t="s">
        <v>1043</v>
      </c>
    </row>
    <row r="15" spans="1:16" x14ac:dyDescent="0.25">
      <c r="A15" t="s">
        <v>1140</v>
      </c>
      <c r="B15" t="s">
        <v>1141</v>
      </c>
      <c r="C15" t="s">
        <v>1117</v>
      </c>
      <c r="D15" t="s">
        <v>1027</v>
      </c>
      <c r="G15" t="b">
        <v>0</v>
      </c>
      <c r="H15" t="b">
        <v>0</v>
      </c>
      <c r="K15" t="s">
        <v>1043</v>
      </c>
    </row>
    <row r="16" spans="1:16" x14ac:dyDescent="0.25">
      <c r="A16" t="s">
        <v>1142</v>
      </c>
      <c r="B16" t="s">
        <v>1143</v>
      </c>
      <c r="C16" t="s">
        <v>1117</v>
      </c>
      <c r="D16" t="s">
        <v>1027</v>
      </c>
      <c r="G16" t="b">
        <v>0</v>
      </c>
      <c r="H16" t="b">
        <v>0</v>
      </c>
      <c r="K16" t="s">
        <v>1043</v>
      </c>
    </row>
    <row r="17" spans="1:11" x14ac:dyDescent="0.25">
      <c r="A17" t="s">
        <v>1144</v>
      </c>
      <c r="B17" t="s">
        <v>1145</v>
      </c>
      <c r="C17" t="s">
        <v>1117</v>
      </c>
      <c r="D17" t="s">
        <v>1027</v>
      </c>
      <c r="G17" t="b">
        <v>0</v>
      </c>
      <c r="H17" t="b">
        <v>0</v>
      </c>
      <c r="K17" t="s">
        <v>1043</v>
      </c>
    </row>
    <row r="18" spans="1:11" x14ac:dyDescent="0.25">
      <c r="A18" t="s">
        <v>1146</v>
      </c>
      <c r="B18" t="s">
        <v>1147</v>
      </c>
      <c r="C18" t="s">
        <v>1117</v>
      </c>
      <c r="D18" t="s">
        <v>1027</v>
      </c>
      <c r="G18" t="b">
        <v>0</v>
      </c>
      <c r="H18" t="b">
        <v>0</v>
      </c>
      <c r="K18" t="s">
        <v>1043</v>
      </c>
    </row>
    <row r="19" spans="1:11" x14ac:dyDescent="0.25">
      <c r="A19" t="s">
        <v>1148</v>
      </c>
      <c r="B19" t="s">
        <v>1149</v>
      </c>
      <c r="C19" t="s">
        <v>1117</v>
      </c>
      <c r="D19" t="s">
        <v>1027</v>
      </c>
      <c r="G19" t="b">
        <v>0</v>
      </c>
      <c r="H19" t="b">
        <v>0</v>
      </c>
      <c r="K19" t="s">
        <v>1043</v>
      </c>
    </row>
    <row r="20" spans="1:11" x14ac:dyDescent="0.25">
      <c r="A20" t="s">
        <v>1150</v>
      </c>
      <c r="B20" t="s">
        <v>1151</v>
      </c>
      <c r="C20" t="s">
        <v>1117</v>
      </c>
      <c r="D20" t="s">
        <v>1027</v>
      </c>
      <c r="G20" t="b">
        <v>0</v>
      </c>
      <c r="H20" t="b">
        <v>0</v>
      </c>
      <c r="K20" t="s">
        <v>1043</v>
      </c>
    </row>
    <row r="21" spans="1:11" x14ac:dyDescent="0.25">
      <c r="A21" t="s">
        <v>1152</v>
      </c>
      <c r="B21" t="s">
        <v>1153</v>
      </c>
      <c r="C21" t="s">
        <v>1117</v>
      </c>
      <c r="D21" t="s">
        <v>1027</v>
      </c>
      <c r="G21" t="b">
        <v>0</v>
      </c>
      <c r="H21" t="b">
        <v>0</v>
      </c>
      <c r="K21" t="s">
        <v>1043</v>
      </c>
    </row>
    <row r="22" spans="1:11" x14ac:dyDescent="0.25">
      <c r="A22" t="s">
        <v>1154</v>
      </c>
      <c r="B22" t="s">
        <v>1155</v>
      </c>
      <c r="C22" t="s">
        <v>1117</v>
      </c>
      <c r="D22" t="s">
        <v>1027</v>
      </c>
      <c r="G22" t="b">
        <v>0</v>
      </c>
      <c r="H22" t="b">
        <v>0</v>
      </c>
      <c r="K22" t="s">
        <v>1043</v>
      </c>
    </row>
    <row r="23" spans="1:11" x14ac:dyDescent="0.25">
      <c r="A23" t="s">
        <v>1156</v>
      </c>
      <c r="B23" t="s">
        <v>1157</v>
      </c>
      <c r="C23" t="s">
        <v>1117</v>
      </c>
      <c r="D23" t="s">
        <v>1027</v>
      </c>
      <c r="G23" t="b">
        <v>0</v>
      </c>
      <c r="H23" t="b">
        <v>0</v>
      </c>
      <c r="K23" t="s">
        <v>1043</v>
      </c>
    </row>
    <row r="24" spans="1:11" x14ac:dyDescent="0.25">
      <c r="A24" t="s">
        <v>1158</v>
      </c>
      <c r="B24" t="s">
        <v>1159</v>
      </c>
      <c r="C24" t="s">
        <v>1117</v>
      </c>
      <c r="D24" t="s">
        <v>1027</v>
      </c>
      <c r="G24" t="b">
        <v>0</v>
      </c>
      <c r="H24" t="b">
        <v>0</v>
      </c>
      <c r="K24" t="s">
        <v>1043</v>
      </c>
    </row>
    <row r="25" spans="1:11" x14ac:dyDescent="0.25">
      <c r="A25" t="s">
        <v>1160</v>
      </c>
      <c r="B25" t="s">
        <v>1161</v>
      </c>
      <c r="C25" t="s">
        <v>1117</v>
      </c>
      <c r="D25" t="s">
        <v>1027</v>
      </c>
      <c r="G25" t="b">
        <v>0</v>
      </c>
      <c r="H25" t="b">
        <v>0</v>
      </c>
      <c r="K25" t="s">
        <v>1043</v>
      </c>
    </row>
    <row r="26" spans="1:11" x14ac:dyDescent="0.25">
      <c r="A26" t="s">
        <v>1162</v>
      </c>
      <c r="B26" t="s">
        <v>790</v>
      </c>
      <c r="C26" t="s">
        <v>1117</v>
      </c>
      <c r="D26" t="s">
        <v>1027</v>
      </c>
      <c r="G26" t="b">
        <v>0</v>
      </c>
      <c r="H26" t="b">
        <v>0</v>
      </c>
      <c r="K26" t="s">
        <v>1043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P3290"/>
  <sheetViews>
    <sheetView workbookViewId="0"/>
  </sheetViews>
  <sheetFormatPr defaultRowHeight="15" x14ac:dyDescent="0.25"/>
  <cols>
    <col min="2" max="2" width="60.7109375" customWidth="1"/>
    <col min="3" max="3" width="11.7109375" bestFit="1" customWidth="1"/>
  </cols>
  <sheetData>
    <row r="1" spans="1:16" x14ac:dyDescent="0.25">
      <c r="A1" t="s">
        <v>1101</v>
      </c>
      <c r="B1" t="s">
        <v>1102</v>
      </c>
      <c r="C1" t="s">
        <v>599</v>
      </c>
      <c r="D1" t="s">
        <v>1103</v>
      </c>
      <c r="E1" t="s">
        <v>1104</v>
      </c>
      <c r="F1" t="s">
        <v>1105</v>
      </c>
      <c r="G1" t="s">
        <v>1106</v>
      </c>
      <c r="H1" t="s">
        <v>1107</v>
      </c>
      <c r="I1" t="s">
        <v>1108</v>
      </c>
      <c r="J1" t="s">
        <v>1109</v>
      </c>
      <c r="K1" t="s">
        <v>126</v>
      </c>
      <c r="L1" t="s">
        <v>1110</v>
      </c>
      <c r="M1" t="s">
        <v>1111</v>
      </c>
      <c r="N1" t="s">
        <v>1112</v>
      </c>
      <c r="O1" t="s">
        <v>1113</v>
      </c>
      <c r="P1" t="s">
        <v>1114</v>
      </c>
    </row>
    <row r="2" spans="1:16" x14ac:dyDescent="0.25">
      <c r="A2" t="s">
        <v>1163</v>
      </c>
      <c r="B2" t="s">
        <v>1164</v>
      </c>
      <c r="C2" t="s">
        <v>1165</v>
      </c>
      <c r="D2" t="s">
        <v>1027</v>
      </c>
      <c r="E2">
        <v>63774</v>
      </c>
      <c r="F2" t="s">
        <v>1166</v>
      </c>
      <c r="G2" t="b">
        <v>0</v>
      </c>
      <c r="H2" t="b">
        <v>0</v>
      </c>
      <c r="I2" t="s">
        <v>1050</v>
      </c>
      <c r="J2">
        <v>24</v>
      </c>
      <c r="K2" t="s">
        <v>1</v>
      </c>
      <c r="L2" t="s">
        <v>1167</v>
      </c>
      <c r="M2" t="s">
        <v>1168</v>
      </c>
      <c r="N2" t="s">
        <v>1169</v>
      </c>
      <c r="O2" t="s">
        <v>1168</v>
      </c>
      <c r="P2" t="s">
        <v>1170</v>
      </c>
    </row>
    <row r="3" spans="1:16" x14ac:dyDescent="0.25">
      <c r="A3" t="s">
        <v>1171</v>
      </c>
      <c r="B3" t="s">
        <v>1172</v>
      </c>
      <c r="C3" t="s">
        <v>1173</v>
      </c>
      <c r="D3" t="s">
        <v>1027</v>
      </c>
      <c r="E3">
        <v>63771</v>
      </c>
      <c r="F3" t="s">
        <v>1174</v>
      </c>
      <c r="G3" t="b">
        <v>0</v>
      </c>
      <c r="H3" t="b">
        <v>0</v>
      </c>
      <c r="I3" t="s">
        <v>1050</v>
      </c>
      <c r="J3">
        <v>80</v>
      </c>
      <c r="K3" t="s">
        <v>1</v>
      </c>
      <c r="L3" t="s">
        <v>1175</v>
      </c>
      <c r="M3" t="s">
        <v>1175</v>
      </c>
      <c r="N3" t="s">
        <v>1176</v>
      </c>
      <c r="O3" t="s">
        <v>1176</v>
      </c>
      <c r="P3" t="s">
        <v>1177</v>
      </c>
    </row>
    <row r="4" spans="1:16" x14ac:dyDescent="0.25">
      <c r="A4" t="s">
        <v>1178</v>
      </c>
      <c r="B4" t="s">
        <v>1172</v>
      </c>
      <c r="C4" t="s">
        <v>1173</v>
      </c>
      <c r="D4" t="s">
        <v>1027</v>
      </c>
      <c r="E4">
        <v>63771</v>
      </c>
      <c r="F4" t="s">
        <v>1174</v>
      </c>
      <c r="G4" t="b">
        <v>0</v>
      </c>
      <c r="H4" t="b">
        <v>0</v>
      </c>
      <c r="I4" t="s">
        <v>1050</v>
      </c>
      <c r="J4">
        <v>80</v>
      </c>
      <c r="K4" t="s">
        <v>1</v>
      </c>
      <c r="L4" t="s">
        <v>1175</v>
      </c>
      <c r="M4" t="s">
        <v>1175</v>
      </c>
      <c r="N4" t="s">
        <v>1176</v>
      </c>
      <c r="O4" t="s">
        <v>1176</v>
      </c>
      <c r="P4" t="s">
        <v>1177</v>
      </c>
    </row>
    <row r="5" spans="1:16" x14ac:dyDescent="0.25">
      <c r="A5" t="s">
        <v>1179</v>
      </c>
      <c r="B5" t="s">
        <v>1180</v>
      </c>
      <c r="C5" t="s">
        <v>1181</v>
      </c>
      <c r="D5" t="s">
        <v>1027</v>
      </c>
      <c r="E5">
        <v>63765</v>
      </c>
      <c r="F5" t="s">
        <v>1182</v>
      </c>
      <c r="G5" t="b">
        <v>0</v>
      </c>
      <c r="H5" t="b">
        <v>0</v>
      </c>
      <c r="I5" t="s">
        <v>1050</v>
      </c>
      <c r="J5">
        <v>21</v>
      </c>
      <c r="K5" t="s">
        <v>2</v>
      </c>
      <c r="L5" t="s">
        <v>1167</v>
      </c>
      <c r="M5" t="s">
        <v>1168</v>
      </c>
      <c r="N5" t="s">
        <v>1169</v>
      </c>
      <c r="O5" t="s">
        <v>1168</v>
      </c>
      <c r="P5" t="s">
        <v>1183</v>
      </c>
    </row>
    <row r="6" spans="1:16" x14ac:dyDescent="0.25">
      <c r="A6" t="s">
        <v>1184</v>
      </c>
      <c r="B6" t="s">
        <v>1180</v>
      </c>
      <c r="C6" t="s">
        <v>1181</v>
      </c>
      <c r="D6" t="s">
        <v>1027</v>
      </c>
      <c r="E6">
        <v>63765</v>
      </c>
      <c r="F6" t="s">
        <v>1182</v>
      </c>
      <c r="G6" t="b">
        <v>0</v>
      </c>
      <c r="H6" t="b">
        <v>0</v>
      </c>
      <c r="I6" t="s">
        <v>1050</v>
      </c>
      <c r="J6">
        <v>21</v>
      </c>
      <c r="K6" t="s">
        <v>2</v>
      </c>
      <c r="L6" t="s">
        <v>1167</v>
      </c>
      <c r="M6" t="s">
        <v>1168</v>
      </c>
      <c r="N6" t="s">
        <v>1169</v>
      </c>
      <c r="O6" t="s">
        <v>1168</v>
      </c>
      <c r="P6" t="s">
        <v>1183</v>
      </c>
    </row>
    <row r="7" spans="1:16" x14ac:dyDescent="0.25">
      <c r="A7" t="s">
        <v>1185</v>
      </c>
      <c r="B7" t="s">
        <v>1180</v>
      </c>
      <c r="C7" t="s">
        <v>1181</v>
      </c>
      <c r="D7" t="s">
        <v>1027</v>
      </c>
      <c r="E7">
        <v>63765</v>
      </c>
      <c r="F7" t="s">
        <v>1182</v>
      </c>
      <c r="G7" t="b">
        <v>0</v>
      </c>
      <c r="H7" t="b">
        <v>0</v>
      </c>
      <c r="I7" t="s">
        <v>1050</v>
      </c>
      <c r="J7">
        <v>21</v>
      </c>
      <c r="K7" t="s">
        <v>2</v>
      </c>
      <c r="L7" t="s">
        <v>1167</v>
      </c>
      <c r="M7" t="s">
        <v>1168</v>
      </c>
      <c r="N7" t="s">
        <v>1169</v>
      </c>
      <c r="O7" t="s">
        <v>1168</v>
      </c>
      <c r="P7" t="s">
        <v>1183</v>
      </c>
    </row>
    <row r="8" spans="1:16" x14ac:dyDescent="0.25">
      <c r="A8" t="s">
        <v>1186</v>
      </c>
      <c r="B8" t="s">
        <v>1180</v>
      </c>
      <c r="C8" t="s">
        <v>1181</v>
      </c>
      <c r="D8" t="s">
        <v>1027</v>
      </c>
      <c r="E8">
        <v>63765</v>
      </c>
      <c r="F8" t="s">
        <v>1182</v>
      </c>
      <c r="G8" t="b">
        <v>0</v>
      </c>
      <c r="H8" t="b">
        <v>0</v>
      </c>
      <c r="I8" t="s">
        <v>1050</v>
      </c>
      <c r="J8">
        <v>21</v>
      </c>
      <c r="K8" t="s">
        <v>2</v>
      </c>
      <c r="L8" t="s">
        <v>1167</v>
      </c>
      <c r="M8" t="s">
        <v>1168</v>
      </c>
      <c r="N8" t="s">
        <v>1169</v>
      </c>
      <c r="O8" t="s">
        <v>1168</v>
      </c>
      <c r="P8" t="s">
        <v>1183</v>
      </c>
    </row>
    <row r="9" spans="1:16" x14ac:dyDescent="0.25">
      <c r="A9" t="s">
        <v>1187</v>
      </c>
      <c r="B9" t="s">
        <v>1180</v>
      </c>
      <c r="C9" t="s">
        <v>1181</v>
      </c>
      <c r="D9" t="s">
        <v>1027</v>
      </c>
      <c r="E9">
        <v>63765</v>
      </c>
      <c r="F9" t="s">
        <v>1182</v>
      </c>
      <c r="G9" t="b">
        <v>0</v>
      </c>
      <c r="H9" t="b">
        <v>0</v>
      </c>
      <c r="I9" t="s">
        <v>1050</v>
      </c>
      <c r="J9">
        <v>21</v>
      </c>
      <c r="K9" t="s">
        <v>2</v>
      </c>
      <c r="L9" t="s">
        <v>1167</v>
      </c>
      <c r="M9" t="s">
        <v>1168</v>
      </c>
      <c r="N9" t="s">
        <v>1169</v>
      </c>
      <c r="O9" t="s">
        <v>1168</v>
      </c>
      <c r="P9" t="s">
        <v>1183</v>
      </c>
    </row>
    <row r="10" spans="1:16" x14ac:dyDescent="0.25">
      <c r="A10" t="s">
        <v>1188</v>
      </c>
      <c r="B10" t="s">
        <v>1180</v>
      </c>
      <c r="C10" t="s">
        <v>1181</v>
      </c>
      <c r="D10" t="s">
        <v>1027</v>
      </c>
      <c r="E10">
        <v>63765</v>
      </c>
      <c r="F10" t="s">
        <v>1182</v>
      </c>
      <c r="G10" t="b">
        <v>0</v>
      </c>
      <c r="H10" t="b">
        <v>0</v>
      </c>
      <c r="I10" t="s">
        <v>1050</v>
      </c>
      <c r="J10">
        <v>21</v>
      </c>
      <c r="K10" t="s">
        <v>2</v>
      </c>
      <c r="L10" t="s">
        <v>1167</v>
      </c>
      <c r="M10" t="s">
        <v>1168</v>
      </c>
      <c r="N10" t="s">
        <v>1169</v>
      </c>
      <c r="O10" t="s">
        <v>1168</v>
      </c>
      <c r="P10" t="s">
        <v>1183</v>
      </c>
    </row>
    <row r="11" spans="1:16" x14ac:dyDescent="0.25">
      <c r="A11" t="s">
        <v>1189</v>
      </c>
      <c r="B11" t="s">
        <v>1190</v>
      </c>
      <c r="C11" t="s">
        <v>1173</v>
      </c>
      <c r="D11" t="s">
        <v>1027</v>
      </c>
      <c r="E11">
        <v>63771</v>
      </c>
      <c r="F11" t="s">
        <v>1174</v>
      </c>
      <c r="G11" t="b">
        <v>0</v>
      </c>
      <c r="H11" t="b">
        <v>0</v>
      </c>
      <c r="I11" t="s">
        <v>1050</v>
      </c>
      <c r="J11">
        <v>80</v>
      </c>
      <c r="K11" t="s">
        <v>1</v>
      </c>
      <c r="L11" t="s">
        <v>1175</v>
      </c>
      <c r="M11" t="s">
        <v>1175</v>
      </c>
      <c r="N11" t="s">
        <v>1176</v>
      </c>
      <c r="O11" t="s">
        <v>1176</v>
      </c>
      <c r="P11" t="s">
        <v>1177</v>
      </c>
    </row>
    <row r="12" spans="1:16" x14ac:dyDescent="0.25">
      <c r="A12" t="s">
        <v>1191</v>
      </c>
      <c r="B12" t="s">
        <v>1190</v>
      </c>
      <c r="C12" t="s">
        <v>1173</v>
      </c>
      <c r="D12" t="s">
        <v>1027</v>
      </c>
      <c r="E12">
        <v>63771</v>
      </c>
      <c r="F12" t="s">
        <v>1174</v>
      </c>
      <c r="G12" t="b">
        <v>0</v>
      </c>
      <c r="H12" t="b">
        <v>0</v>
      </c>
      <c r="I12" t="s">
        <v>1050</v>
      </c>
      <c r="J12">
        <v>80</v>
      </c>
      <c r="K12" t="s">
        <v>1</v>
      </c>
      <c r="L12" t="s">
        <v>1175</v>
      </c>
      <c r="M12" t="s">
        <v>1175</v>
      </c>
      <c r="N12" t="s">
        <v>1176</v>
      </c>
      <c r="O12" t="s">
        <v>1176</v>
      </c>
      <c r="P12" t="s">
        <v>1177</v>
      </c>
    </row>
    <row r="13" spans="1:16" x14ac:dyDescent="0.25">
      <c r="A13" t="s">
        <v>1192</v>
      </c>
      <c r="B13" t="s">
        <v>1193</v>
      </c>
      <c r="C13" t="s">
        <v>1181</v>
      </c>
      <c r="D13" t="s">
        <v>1027</v>
      </c>
      <c r="E13">
        <v>63765</v>
      </c>
      <c r="F13" t="s">
        <v>1182</v>
      </c>
      <c r="G13" t="b">
        <v>0</v>
      </c>
      <c r="H13" t="b">
        <v>0</v>
      </c>
      <c r="I13" t="s">
        <v>1050</v>
      </c>
      <c r="J13">
        <v>47</v>
      </c>
      <c r="K13" t="s">
        <v>2</v>
      </c>
      <c r="L13" t="s">
        <v>1167</v>
      </c>
      <c r="M13" t="s">
        <v>1168</v>
      </c>
      <c r="N13" t="s">
        <v>1169</v>
      </c>
      <c r="O13" t="s">
        <v>1168</v>
      </c>
      <c r="P13" t="s">
        <v>1183</v>
      </c>
    </row>
    <row r="14" spans="1:16" x14ac:dyDescent="0.25">
      <c r="A14" t="s">
        <v>1194</v>
      </c>
      <c r="B14" t="s">
        <v>1193</v>
      </c>
      <c r="C14" t="s">
        <v>1181</v>
      </c>
      <c r="D14" t="s">
        <v>1027</v>
      </c>
      <c r="E14">
        <v>63765</v>
      </c>
      <c r="F14" t="s">
        <v>1182</v>
      </c>
      <c r="G14" t="b">
        <v>0</v>
      </c>
      <c r="H14" t="b">
        <v>0</v>
      </c>
      <c r="I14" t="s">
        <v>1050</v>
      </c>
      <c r="J14">
        <v>47</v>
      </c>
      <c r="K14" t="s">
        <v>2</v>
      </c>
      <c r="L14" t="s">
        <v>1167</v>
      </c>
      <c r="M14" t="s">
        <v>1168</v>
      </c>
      <c r="N14" t="s">
        <v>1169</v>
      </c>
      <c r="O14" t="s">
        <v>1168</v>
      </c>
      <c r="P14" t="s">
        <v>1183</v>
      </c>
    </row>
    <row r="15" spans="1:16" x14ac:dyDescent="0.25">
      <c r="A15" t="s">
        <v>1195</v>
      </c>
      <c r="B15" t="s">
        <v>1193</v>
      </c>
      <c r="C15" t="s">
        <v>1181</v>
      </c>
      <c r="D15" t="s">
        <v>1027</v>
      </c>
      <c r="E15">
        <v>63765</v>
      </c>
      <c r="F15" t="s">
        <v>1182</v>
      </c>
      <c r="G15" t="b">
        <v>0</v>
      </c>
      <c r="H15" t="b">
        <v>0</v>
      </c>
      <c r="I15" t="s">
        <v>1050</v>
      </c>
      <c r="J15">
        <v>47</v>
      </c>
      <c r="K15" t="s">
        <v>2</v>
      </c>
      <c r="L15" t="s">
        <v>1167</v>
      </c>
      <c r="M15" t="s">
        <v>1168</v>
      </c>
      <c r="N15" t="s">
        <v>1169</v>
      </c>
      <c r="O15" t="s">
        <v>1168</v>
      </c>
      <c r="P15" t="s">
        <v>1183</v>
      </c>
    </row>
    <row r="16" spans="1:16" x14ac:dyDescent="0.25">
      <c r="A16" t="s">
        <v>1196</v>
      </c>
      <c r="B16" t="s">
        <v>1193</v>
      </c>
      <c r="C16" t="s">
        <v>1181</v>
      </c>
      <c r="D16" t="s">
        <v>1027</v>
      </c>
      <c r="E16">
        <v>63765</v>
      </c>
      <c r="F16" t="s">
        <v>1182</v>
      </c>
      <c r="G16" t="b">
        <v>0</v>
      </c>
      <c r="H16" t="b">
        <v>0</v>
      </c>
      <c r="I16" t="s">
        <v>1050</v>
      </c>
      <c r="J16">
        <v>47</v>
      </c>
      <c r="K16" t="s">
        <v>2</v>
      </c>
      <c r="L16" t="s">
        <v>1167</v>
      </c>
      <c r="M16" t="s">
        <v>1168</v>
      </c>
      <c r="N16" t="s">
        <v>1169</v>
      </c>
      <c r="O16" t="s">
        <v>1168</v>
      </c>
      <c r="P16" t="s">
        <v>1183</v>
      </c>
    </row>
    <row r="17" spans="1:16" x14ac:dyDescent="0.25">
      <c r="A17" t="s">
        <v>1197</v>
      </c>
      <c r="B17" t="s">
        <v>1193</v>
      </c>
      <c r="C17" t="s">
        <v>1181</v>
      </c>
      <c r="D17" t="s">
        <v>1027</v>
      </c>
      <c r="E17">
        <v>63765</v>
      </c>
      <c r="F17" t="s">
        <v>1182</v>
      </c>
      <c r="G17" t="b">
        <v>0</v>
      </c>
      <c r="H17" t="b">
        <v>0</v>
      </c>
      <c r="I17" t="s">
        <v>1050</v>
      </c>
      <c r="J17">
        <v>51</v>
      </c>
      <c r="K17" t="s">
        <v>2</v>
      </c>
      <c r="L17" t="s">
        <v>1167</v>
      </c>
      <c r="M17" t="s">
        <v>1168</v>
      </c>
      <c r="N17" t="s">
        <v>1169</v>
      </c>
      <c r="O17" t="s">
        <v>1168</v>
      </c>
      <c r="P17" t="s">
        <v>1183</v>
      </c>
    </row>
    <row r="18" spans="1:16" x14ac:dyDescent="0.25">
      <c r="A18" t="s">
        <v>1198</v>
      </c>
      <c r="B18" t="s">
        <v>1193</v>
      </c>
      <c r="C18" t="s">
        <v>1181</v>
      </c>
      <c r="D18" t="s">
        <v>1027</v>
      </c>
      <c r="E18">
        <v>63765</v>
      </c>
      <c r="F18" t="s">
        <v>1182</v>
      </c>
      <c r="G18" t="b">
        <v>0</v>
      </c>
      <c r="H18" t="b">
        <v>0</v>
      </c>
      <c r="I18" t="s">
        <v>1050</v>
      </c>
      <c r="J18">
        <v>51</v>
      </c>
      <c r="K18" t="s">
        <v>2</v>
      </c>
      <c r="L18" t="s">
        <v>1167</v>
      </c>
      <c r="M18" t="s">
        <v>1168</v>
      </c>
      <c r="N18" t="s">
        <v>1169</v>
      </c>
      <c r="O18" t="s">
        <v>1168</v>
      </c>
      <c r="P18" t="s">
        <v>1183</v>
      </c>
    </row>
    <row r="19" spans="1:16" x14ac:dyDescent="0.25">
      <c r="A19" t="s">
        <v>1199</v>
      </c>
      <c r="B19" t="s">
        <v>1193</v>
      </c>
      <c r="C19" t="s">
        <v>1181</v>
      </c>
      <c r="D19" t="s">
        <v>1027</v>
      </c>
      <c r="E19">
        <v>63765</v>
      </c>
      <c r="F19" t="s">
        <v>1182</v>
      </c>
      <c r="G19" t="b">
        <v>0</v>
      </c>
      <c r="H19" t="b">
        <v>0</v>
      </c>
      <c r="I19" t="s">
        <v>1050</v>
      </c>
      <c r="J19">
        <v>51</v>
      </c>
      <c r="K19" t="s">
        <v>2</v>
      </c>
      <c r="L19" t="s">
        <v>1167</v>
      </c>
      <c r="M19" t="s">
        <v>1168</v>
      </c>
      <c r="N19" t="s">
        <v>1169</v>
      </c>
      <c r="O19" t="s">
        <v>1168</v>
      </c>
      <c r="P19" t="s">
        <v>1183</v>
      </c>
    </row>
    <row r="20" spans="1:16" x14ac:dyDescent="0.25">
      <c r="A20" t="s">
        <v>1200</v>
      </c>
      <c r="B20" t="s">
        <v>1193</v>
      </c>
      <c r="C20" t="s">
        <v>1181</v>
      </c>
      <c r="D20" t="s">
        <v>1027</v>
      </c>
      <c r="E20">
        <v>63765</v>
      </c>
      <c r="F20" t="s">
        <v>1182</v>
      </c>
      <c r="G20" t="b">
        <v>0</v>
      </c>
      <c r="H20" t="b">
        <v>0</v>
      </c>
      <c r="I20" t="s">
        <v>1050</v>
      </c>
      <c r="J20">
        <v>51</v>
      </c>
      <c r="K20" t="s">
        <v>2</v>
      </c>
      <c r="L20" t="s">
        <v>1167</v>
      </c>
      <c r="M20" t="s">
        <v>1168</v>
      </c>
      <c r="N20" t="s">
        <v>1169</v>
      </c>
      <c r="O20" t="s">
        <v>1168</v>
      </c>
      <c r="P20" t="s">
        <v>1183</v>
      </c>
    </row>
    <row r="21" spans="1:16" x14ac:dyDescent="0.25">
      <c r="A21" t="s">
        <v>1201</v>
      </c>
      <c r="B21" t="s">
        <v>1193</v>
      </c>
      <c r="C21" t="s">
        <v>1181</v>
      </c>
      <c r="D21" t="s">
        <v>1027</v>
      </c>
      <c r="E21">
        <v>63765</v>
      </c>
      <c r="F21" t="s">
        <v>1182</v>
      </c>
      <c r="G21" t="b">
        <v>0</v>
      </c>
      <c r="H21" t="b">
        <v>0</v>
      </c>
      <c r="I21" t="s">
        <v>1050</v>
      </c>
      <c r="J21">
        <v>51</v>
      </c>
      <c r="K21" t="s">
        <v>2</v>
      </c>
      <c r="L21" t="s">
        <v>1167</v>
      </c>
      <c r="M21" t="s">
        <v>1168</v>
      </c>
      <c r="N21" t="s">
        <v>1169</v>
      </c>
      <c r="O21" t="s">
        <v>1168</v>
      </c>
      <c r="P21" t="s">
        <v>1183</v>
      </c>
    </row>
    <row r="22" spans="1:16" x14ac:dyDescent="0.25">
      <c r="A22" t="s">
        <v>1202</v>
      </c>
      <c r="B22" t="s">
        <v>1193</v>
      </c>
      <c r="C22" t="s">
        <v>1181</v>
      </c>
      <c r="D22" t="s">
        <v>1027</v>
      </c>
      <c r="E22">
        <v>63765</v>
      </c>
      <c r="F22" t="s">
        <v>1182</v>
      </c>
      <c r="G22" t="b">
        <v>0</v>
      </c>
      <c r="H22" t="b">
        <v>0</v>
      </c>
      <c r="I22" t="s">
        <v>1050</v>
      </c>
      <c r="J22">
        <v>51</v>
      </c>
      <c r="K22" t="s">
        <v>2</v>
      </c>
      <c r="L22" t="s">
        <v>1167</v>
      </c>
      <c r="M22" t="s">
        <v>1168</v>
      </c>
      <c r="N22" t="s">
        <v>1169</v>
      </c>
      <c r="O22" t="s">
        <v>1168</v>
      </c>
      <c r="P22" t="s">
        <v>1183</v>
      </c>
    </row>
    <row r="23" spans="1:16" x14ac:dyDescent="0.25">
      <c r="A23" t="s">
        <v>1203</v>
      </c>
      <c r="B23" t="s">
        <v>1193</v>
      </c>
      <c r="C23" t="s">
        <v>1181</v>
      </c>
      <c r="D23" t="s">
        <v>1027</v>
      </c>
      <c r="E23">
        <v>63765</v>
      </c>
      <c r="F23" t="s">
        <v>1182</v>
      </c>
      <c r="G23" t="b">
        <v>0</v>
      </c>
      <c r="H23" t="b">
        <v>0</v>
      </c>
      <c r="I23" t="s">
        <v>1050</v>
      </c>
      <c r="J23">
        <v>51</v>
      </c>
      <c r="K23" t="s">
        <v>2</v>
      </c>
      <c r="L23" t="s">
        <v>1167</v>
      </c>
      <c r="M23" t="s">
        <v>1168</v>
      </c>
      <c r="N23" t="s">
        <v>1169</v>
      </c>
      <c r="O23" t="s">
        <v>1168</v>
      </c>
      <c r="P23" t="s">
        <v>1183</v>
      </c>
    </row>
    <row r="24" spans="1:16" x14ac:dyDescent="0.25">
      <c r="A24" t="s">
        <v>1204</v>
      </c>
      <c r="B24" t="s">
        <v>1193</v>
      </c>
      <c r="C24" t="s">
        <v>1181</v>
      </c>
      <c r="D24" t="s">
        <v>1027</v>
      </c>
      <c r="E24">
        <v>63765</v>
      </c>
      <c r="F24" t="s">
        <v>1182</v>
      </c>
      <c r="G24" t="b">
        <v>0</v>
      </c>
      <c r="H24" t="b">
        <v>0</v>
      </c>
      <c r="I24" t="s">
        <v>1050</v>
      </c>
      <c r="J24">
        <v>51</v>
      </c>
      <c r="K24" t="s">
        <v>2</v>
      </c>
      <c r="L24" t="s">
        <v>1167</v>
      </c>
      <c r="M24" t="s">
        <v>1168</v>
      </c>
      <c r="N24" t="s">
        <v>1169</v>
      </c>
      <c r="O24" t="s">
        <v>1168</v>
      </c>
      <c r="P24" t="s">
        <v>1183</v>
      </c>
    </row>
    <row r="25" spans="1:16" x14ac:dyDescent="0.25">
      <c r="A25" t="s">
        <v>1205</v>
      </c>
      <c r="B25" t="s">
        <v>1193</v>
      </c>
      <c r="C25" t="s">
        <v>1181</v>
      </c>
      <c r="D25" t="s">
        <v>1027</v>
      </c>
      <c r="E25">
        <v>63765</v>
      </c>
      <c r="F25" t="s">
        <v>1182</v>
      </c>
      <c r="G25" t="b">
        <v>0</v>
      </c>
      <c r="H25" t="b">
        <v>0</v>
      </c>
      <c r="I25" t="s">
        <v>1050</v>
      </c>
      <c r="J25">
        <v>47</v>
      </c>
      <c r="K25" t="s">
        <v>2</v>
      </c>
      <c r="L25" t="s">
        <v>1167</v>
      </c>
      <c r="M25" t="s">
        <v>1168</v>
      </c>
      <c r="N25" t="s">
        <v>1169</v>
      </c>
      <c r="O25" t="s">
        <v>1168</v>
      </c>
      <c r="P25" t="s">
        <v>1183</v>
      </c>
    </row>
    <row r="26" spans="1:16" x14ac:dyDescent="0.25">
      <c r="A26" t="s">
        <v>1206</v>
      </c>
      <c r="B26" t="s">
        <v>1193</v>
      </c>
      <c r="C26" t="s">
        <v>1181</v>
      </c>
      <c r="D26" t="s">
        <v>1027</v>
      </c>
      <c r="E26">
        <v>63765</v>
      </c>
      <c r="F26" t="s">
        <v>1182</v>
      </c>
      <c r="G26" t="b">
        <v>0</v>
      </c>
      <c r="H26" t="b">
        <v>0</v>
      </c>
      <c r="I26" t="s">
        <v>1050</v>
      </c>
      <c r="J26">
        <v>47</v>
      </c>
      <c r="K26" t="s">
        <v>2</v>
      </c>
      <c r="L26" t="s">
        <v>1167</v>
      </c>
      <c r="M26" t="s">
        <v>1168</v>
      </c>
      <c r="N26" t="s">
        <v>1169</v>
      </c>
      <c r="O26" t="s">
        <v>1168</v>
      </c>
      <c r="P26" t="s">
        <v>1183</v>
      </c>
    </row>
    <row r="27" spans="1:16" x14ac:dyDescent="0.25">
      <c r="A27" t="s">
        <v>1207</v>
      </c>
      <c r="B27" t="s">
        <v>1193</v>
      </c>
      <c r="C27" t="s">
        <v>1181</v>
      </c>
      <c r="D27" t="s">
        <v>1027</v>
      </c>
      <c r="E27">
        <v>63765</v>
      </c>
      <c r="F27" t="s">
        <v>1182</v>
      </c>
      <c r="G27" t="b">
        <v>0</v>
      </c>
      <c r="H27" t="b">
        <v>0</v>
      </c>
      <c r="I27" t="s">
        <v>1050</v>
      </c>
      <c r="J27">
        <v>47</v>
      </c>
      <c r="K27" t="s">
        <v>2</v>
      </c>
      <c r="L27" t="s">
        <v>1167</v>
      </c>
      <c r="M27" t="s">
        <v>1168</v>
      </c>
      <c r="N27" t="s">
        <v>1169</v>
      </c>
      <c r="O27" t="s">
        <v>1168</v>
      </c>
      <c r="P27" t="s">
        <v>1183</v>
      </c>
    </row>
    <row r="28" spans="1:16" x14ac:dyDescent="0.25">
      <c r="A28" t="s">
        <v>1208</v>
      </c>
      <c r="B28" t="s">
        <v>1193</v>
      </c>
      <c r="C28" t="s">
        <v>1181</v>
      </c>
      <c r="D28" t="s">
        <v>1027</v>
      </c>
      <c r="E28">
        <v>63765</v>
      </c>
      <c r="F28" t="s">
        <v>1182</v>
      </c>
      <c r="G28" t="b">
        <v>0</v>
      </c>
      <c r="H28" t="b">
        <v>0</v>
      </c>
      <c r="I28" t="s">
        <v>1050</v>
      </c>
      <c r="J28">
        <v>47</v>
      </c>
      <c r="K28" t="s">
        <v>2</v>
      </c>
      <c r="L28" t="s">
        <v>1167</v>
      </c>
      <c r="M28" t="s">
        <v>1168</v>
      </c>
      <c r="N28" t="s">
        <v>1169</v>
      </c>
      <c r="O28" t="s">
        <v>1168</v>
      </c>
      <c r="P28" t="s">
        <v>1183</v>
      </c>
    </row>
    <row r="29" spans="1:16" x14ac:dyDescent="0.25">
      <c r="A29" t="s">
        <v>1209</v>
      </c>
      <c r="B29" t="s">
        <v>1210</v>
      </c>
      <c r="C29" t="s">
        <v>1211</v>
      </c>
      <c r="D29" t="s">
        <v>1027</v>
      </c>
      <c r="E29">
        <v>1383</v>
      </c>
      <c r="F29" t="s">
        <v>1212</v>
      </c>
      <c r="G29" t="b">
        <v>0</v>
      </c>
      <c r="H29" t="b">
        <v>0</v>
      </c>
      <c r="I29" t="s">
        <v>1050</v>
      </c>
      <c r="J29">
        <v>90</v>
      </c>
      <c r="K29" t="s">
        <v>2</v>
      </c>
      <c r="L29" t="s">
        <v>1169</v>
      </c>
      <c r="M29" t="s">
        <v>1168</v>
      </c>
      <c r="N29" t="s">
        <v>1213</v>
      </c>
      <c r="O29" t="s">
        <v>1213</v>
      </c>
      <c r="P29" t="s">
        <v>1214</v>
      </c>
    </row>
    <row r="30" spans="1:16" x14ac:dyDescent="0.25">
      <c r="A30" t="s">
        <v>1215</v>
      </c>
      <c r="B30" t="s">
        <v>1216</v>
      </c>
      <c r="C30" t="s">
        <v>1217</v>
      </c>
      <c r="D30" t="s">
        <v>1027</v>
      </c>
      <c r="E30">
        <v>1450</v>
      </c>
      <c r="F30" t="s">
        <v>1218</v>
      </c>
      <c r="G30" t="b">
        <v>0</v>
      </c>
      <c r="H30" t="b">
        <v>0</v>
      </c>
      <c r="I30" t="s">
        <v>1050</v>
      </c>
      <c r="J30">
        <v>91</v>
      </c>
      <c r="K30" t="s">
        <v>0</v>
      </c>
      <c r="L30" t="s">
        <v>1167</v>
      </c>
      <c r="M30" t="s">
        <v>1168</v>
      </c>
      <c r="N30" t="s">
        <v>1169</v>
      </c>
      <c r="O30" t="s">
        <v>1168</v>
      </c>
      <c r="P30" t="s">
        <v>1219</v>
      </c>
    </row>
    <row r="31" spans="1:16" x14ac:dyDescent="0.25">
      <c r="A31" t="s">
        <v>1220</v>
      </c>
      <c r="B31" t="s">
        <v>1221</v>
      </c>
      <c r="C31" t="s">
        <v>1217</v>
      </c>
      <c r="D31" t="s">
        <v>1027</v>
      </c>
      <c r="E31">
        <v>1450</v>
      </c>
      <c r="F31" t="s">
        <v>1218</v>
      </c>
      <c r="G31" t="b">
        <v>0</v>
      </c>
      <c r="H31" t="b">
        <v>0</v>
      </c>
      <c r="I31" t="s">
        <v>1050</v>
      </c>
      <c r="J31">
        <v>91</v>
      </c>
      <c r="K31" t="s">
        <v>0</v>
      </c>
      <c r="L31" t="s">
        <v>1167</v>
      </c>
      <c r="M31" t="s">
        <v>1168</v>
      </c>
      <c r="N31" t="s">
        <v>1169</v>
      </c>
      <c r="O31" t="s">
        <v>1168</v>
      </c>
      <c r="P31" t="s">
        <v>1219</v>
      </c>
    </row>
    <row r="32" spans="1:16" x14ac:dyDescent="0.25">
      <c r="A32" t="s">
        <v>1222</v>
      </c>
      <c r="B32" t="s">
        <v>1223</v>
      </c>
      <c r="C32" t="s">
        <v>1217</v>
      </c>
      <c r="D32" t="s">
        <v>1027</v>
      </c>
      <c r="E32">
        <v>1450</v>
      </c>
      <c r="F32" t="s">
        <v>1218</v>
      </c>
      <c r="G32" t="b">
        <v>0</v>
      </c>
      <c r="H32" t="b">
        <v>0</v>
      </c>
      <c r="I32" t="s">
        <v>1050</v>
      </c>
      <c r="J32">
        <v>91</v>
      </c>
      <c r="K32" t="s">
        <v>0</v>
      </c>
      <c r="L32" t="s">
        <v>1167</v>
      </c>
      <c r="M32" t="s">
        <v>1168</v>
      </c>
      <c r="N32" t="s">
        <v>1169</v>
      </c>
      <c r="O32" t="s">
        <v>1168</v>
      </c>
      <c r="P32" t="s">
        <v>1219</v>
      </c>
    </row>
    <row r="33" spans="1:16" x14ac:dyDescent="0.25">
      <c r="A33" t="s">
        <v>1224</v>
      </c>
      <c r="B33" t="s">
        <v>1225</v>
      </c>
      <c r="C33" t="s">
        <v>1217</v>
      </c>
      <c r="D33" t="s">
        <v>1027</v>
      </c>
      <c r="E33">
        <v>1450</v>
      </c>
      <c r="F33" t="s">
        <v>1218</v>
      </c>
      <c r="G33" t="b">
        <v>0</v>
      </c>
      <c r="H33" t="b">
        <v>0</v>
      </c>
      <c r="I33" t="s">
        <v>1050</v>
      </c>
      <c r="J33">
        <v>91</v>
      </c>
      <c r="K33" t="s">
        <v>0</v>
      </c>
      <c r="L33" t="s">
        <v>1167</v>
      </c>
      <c r="M33" t="s">
        <v>1168</v>
      </c>
      <c r="N33" t="s">
        <v>1169</v>
      </c>
      <c r="O33" t="s">
        <v>1168</v>
      </c>
      <c r="P33" t="s">
        <v>1219</v>
      </c>
    </row>
    <row r="34" spans="1:16" x14ac:dyDescent="0.25">
      <c r="A34" t="s">
        <v>1226</v>
      </c>
      <c r="B34" t="s">
        <v>1227</v>
      </c>
      <c r="C34" t="s">
        <v>1228</v>
      </c>
      <c r="D34" t="s">
        <v>1027</v>
      </c>
      <c r="E34">
        <v>1660</v>
      </c>
      <c r="F34" t="s">
        <v>1229</v>
      </c>
      <c r="G34" t="b">
        <v>0</v>
      </c>
      <c r="H34" t="b">
        <v>0</v>
      </c>
      <c r="I34" t="s">
        <v>1050</v>
      </c>
      <c r="J34">
        <v>85</v>
      </c>
      <c r="K34" t="s">
        <v>2</v>
      </c>
      <c r="L34" t="s">
        <v>1167</v>
      </c>
      <c r="M34" t="s">
        <v>1168</v>
      </c>
      <c r="N34" t="s">
        <v>1169</v>
      </c>
      <c r="O34" t="s">
        <v>1168</v>
      </c>
      <c r="P34" t="s">
        <v>1230</v>
      </c>
    </row>
    <row r="35" spans="1:16" x14ac:dyDescent="0.25">
      <c r="A35" t="s">
        <v>1231</v>
      </c>
      <c r="B35" t="s">
        <v>1232</v>
      </c>
      <c r="C35" t="s">
        <v>1233</v>
      </c>
      <c r="D35" t="s">
        <v>1027</v>
      </c>
      <c r="E35">
        <v>63762</v>
      </c>
      <c r="F35" t="s">
        <v>1234</v>
      </c>
      <c r="G35" t="b">
        <v>0</v>
      </c>
      <c r="H35" t="b">
        <v>0</v>
      </c>
      <c r="I35" t="s">
        <v>1050</v>
      </c>
      <c r="J35">
        <v>88</v>
      </c>
      <c r="K35" t="s">
        <v>0</v>
      </c>
      <c r="L35" t="s">
        <v>1167</v>
      </c>
      <c r="M35" t="s">
        <v>1168</v>
      </c>
      <c r="N35" t="s">
        <v>1169</v>
      </c>
      <c r="O35" t="s">
        <v>1168</v>
      </c>
      <c r="P35" t="s">
        <v>1235</v>
      </c>
    </row>
    <row r="36" spans="1:16" x14ac:dyDescent="0.25">
      <c r="A36" t="s">
        <v>1236</v>
      </c>
      <c r="B36" t="s">
        <v>1237</v>
      </c>
      <c r="C36" t="s">
        <v>1233</v>
      </c>
      <c r="D36" t="s">
        <v>1027</v>
      </c>
      <c r="E36">
        <v>63762</v>
      </c>
      <c r="F36" t="s">
        <v>1234</v>
      </c>
      <c r="G36" t="b">
        <v>0</v>
      </c>
      <c r="H36" t="b">
        <v>0</v>
      </c>
      <c r="I36" t="s">
        <v>1050</v>
      </c>
      <c r="J36">
        <v>88</v>
      </c>
      <c r="K36" t="s">
        <v>0</v>
      </c>
      <c r="L36" t="s">
        <v>1167</v>
      </c>
      <c r="M36" t="s">
        <v>1168</v>
      </c>
      <c r="N36" t="s">
        <v>1169</v>
      </c>
      <c r="O36" t="s">
        <v>1168</v>
      </c>
      <c r="P36" t="s">
        <v>1235</v>
      </c>
    </row>
    <row r="37" spans="1:16" x14ac:dyDescent="0.25">
      <c r="A37" t="s">
        <v>1238</v>
      </c>
      <c r="B37" t="s">
        <v>1239</v>
      </c>
      <c r="C37" t="s">
        <v>1165</v>
      </c>
      <c r="D37" t="s">
        <v>1027</v>
      </c>
      <c r="E37">
        <v>63774</v>
      </c>
      <c r="F37" t="s">
        <v>1166</v>
      </c>
      <c r="G37" t="b">
        <v>0</v>
      </c>
      <c r="H37" t="b">
        <v>0</v>
      </c>
      <c r="I37" t="s">
        <v>1050</v>
      </c>
      <c r="J37">
        <v>24</v>
      </c>
      <c r="K37" t="s">
        <v>1</v>
      </c>
      <c r="L37" t="s">
        <v>1167</v>
      </c>
      <c r="M37" t="s">
        <v>1168</v>
      </c>
      <c r="N37" t="s">
        <v>1169</v>
      </c>
      <c r="O37" t="s">
        <v>1168</v>
      </c>
      <c r="P37" t="s">
        <v>1170</v>
      </c>
    </row>
    <row r="38" spans="1:16" x14ac:dyDescent="0.25">
      <c r="A38" t="s">
        <v>1240</v>
      </c>
      <c r="B38" t="s">
        <v>1241</v>
      </c>
      <c r="C38" t="s">
        <v>1165</v>
      </c>
      <c r="D38" t="s">
        <v>1027</v>
      </c>
      <c r="E38">
        <v>63774</v>
      </c>
      <c r="F38" t="s">
        <v>1166</v>
      </c>
      <c r="G38" t="b">
        <v>0</v>
      </c>
      <c r="H38" t="b">
        <v>0</v>
      </c>
      <c r="I38" t="s">
        <v>1050</v>
      </c>
      <c r="J38">
        <v>24</v>
      </c>
      <c r="K38" t="s">
        <v>1</v>
      </c>
      <c r="L38" t="s">
        <v>1167</v>
      </c>
      <c r="M38" t="s">
        <v>1168</v>
      </c>
      <c r="N38" t="s">
        <v>1169</v>
      </c>
      <c r="O38" t="s">
        <v>1168</v>
      </c>
      <c r="P38" t="s">
        <v>1170</v>
      </c>
    </row>
    <row r="39" spans="1:16" x14ac:dyDescent="0.25">
      <c r="A39" t="s">
        <v>1242</v>
      </c>
      <c r="B39" t="s">
        <v>1243</v>
      </c>
      <c r="C39" t="s">
        <v>1165</v>
      </c>
      <c r="D39" t="s">
        <v>1027</v>
      </c>
      <c r="E39">
        <v>63774</v>
      </c>
      <c r="F39" t="s">
        <v>1166</v>
      </c>
      <c r="G39" t="b">
        <v>0</v>
      </c>
      <c r="H39" t="b">
        <v>0</v>
      </c>
      <c r="I39" t="s">
        <v>1050</v>
      </c>
      <c r="J39">
        <v>24</v>
      </c>
      <c r="K39" t="s">
        <v>1</v>
      </c>
      <c r="L39" t="s">
        <v>1167</v>
      </c>
      <c r="M39" t="s">
        <v>1168</v>
      </c>
      <c r="N39" t="s">
        <v>1169</v>
      </c>
      <c r="O39" t="s">
        <v>1168</v>
      </c>
      <c r="P39" t="s">
        <v>1170</v>
      </c>
    </row>
    <row r="40" spans="1:16" x14ac:dyDescent="0.25">
      <c r="A40" t="s">
        <v>1244</v>
      </c>
      <c r="B40" t="s">
        <v>1245</v>
      </c>
      <c r="C40" t="s">
        <v>1165</v>
      </c>
      <c r="D40" t="s">
        <v>1027</v>
      </c>
      <c r="E40">
        <v>63774</v>
      </c>
      <c r="F40" t="s">
        <v>1166</v>
      </c>
      <c r="G40" t="b">
        <v>0</v>
      </c>
      <c r="H40" t="b">
        <v>0</v>
      </c>
      <c r="I40" t="s">
        <v>1050</v>
      </c>
      <c r="J40">
        <v>24</v>
      </c>
      <c r="K40" t="s">
        <v>1</v>
      </c>
      <c r="L40" t="s">
        <v>1167</v>
      </c>
      <c r="M40" t="s">
        <v>1168</v>
      </c>
      <c r="N40" t="s">
        <v>1169</v>
      </c>
      <c r="O40" t="s">
        <v>1168</v>
      </c>
      <c r="P40" t="s">
        <v>1170</v>
      </c>
    </row>
    <row r="41" spans="1:16" x14ac:dyDescent="0.25">
      <c r="A41" t="s">
        <v>1246</v>
      </c>
      <c r="B41" t="s">
        <v>1247</v>
      </c>
      <c r="C41" t="s">
        <v>1165</v>
      </c>
      <c r="D41" t="s">
        <v>1027</v>
      </c>
      <c r="E41">
        <v>63774</v>
      </c>
      <c r="F41" t="s">
        <v>1166</v>
      </c>
      <c r="G41" t="b">
        <v>0</v>
      </c>
      <c r="H41" t="b">
        <v>0</v>
      </c>
      <c r="I41" t="s">
        <v>1050</v>
      </c>
      <c r="J41">
        <v>24</v>
      </c>
      <c r="K41" t="s">
        <v>1</v>
      </c>
      <c r="L41" t="s">
        <v>1167</v>
      </c>
      <c r="M41" t="s">
        <v>1168</v>
      </c>
      <c r="N41" t="s">
        <v>1169</v>
      </c>
      <c r="O41" t="s">
        <v>1168</v>
      </c>
      <c r="P41" t="s">
        <v>1170</v>
      </c>
    </row>
    <row r="42" spans="1:16" x14ac:dyDescent="0.25">
      <c r="A42" t="s">
        <v>1248</v>
      </c>
      <c r="B42" t="s">
        <v>1249</v>
      </c>
      <c r="C42" t="s">
        <v>1165</v>
      </c>
      <c r="D42" t="s">
        <v>1027</v>
      </c>
      <c r="E42">
        <v>63774</v>
      </c>
      <c r="F42" t="s">
        <v>1166</v>
      </c>
      <c r="G42" t="b">
        <v>0</v>
      </c>
      <c r="H42" t="b">
        <v>0</v>
      </c>
      <c r="I42" t="s">
        <v>1050</v>
      </c>
      <c r="J42">
        <v>24</v>
      </c>
      <c r="K42" t="s">
        <v>1</v>
      </c>
      <c r="L42" t="s">
        <v>1167</v>
      </c>
      <c r="M42" t="s">
        <v>1168</v>
      </c>
      <c r="N42" t="s">
        <v>1169</v>
      </c>
      <c r="O42" t="s">
        <v>1168</v>
      </c>
      <c r="P42" t="s">
        <v>1170</v>
      </c>
    </row>
    <row r="43" spans="1:16" x14ac:dyDescent="0.25">
      <c r="A43" t="s">
        <v>1250</v>
      </c>
      <c r="B43" t="s">
        <v>1251</v>
      </c>
      <c r="C43" t="s">
        <v>1181</v>
      </c>
      <c r="D43" t="s">
        <v>1027</v>
      </c>
      <c r="E43">
        <v>63765</v>
      </c>
      <c r="F43" t="s">
        <v>1182</v>
      </c>
      <c r="G43" t="b">
        <v>0</v>
      </c>
      <c r="H43" t="b">
        <v>0</v>
      </c>
      <c r="I43" t="s">
        <v>1050</v>
      </c>
      <c r="J43">
        <v>60</v>
      </c>
      <c r="K43" t="s">
        <v>2</v>
      </c>
      <c r="L43" t="s">
        <v>1167</v>
      </c>
      <c r="M43" t="s">
        <v>1168</v>
      </c>
      <c r="N43" t="s">
        <v>1169</v>
      </c>
      <c r="O43" t="s">
        <v>1168</v>
      </c>
      <c r="P43" t="s">
        <v>1183</v>
      </c>
    </row>
    <row r="44" spans="1:16" x14ac:dyDescent="0.25">
      <c r="A44" t="s">
        <v>1252</v>
      </c>
      <c r="B44" t="s">
        <v>1251</v>
      </c>
      <c r="C44" t="s">
        <v>1181</v>
      </c>
      <c r="D44" t="s">
        <v>1027</v>
      </c>
      <c r="E44">
        <v>63765</v>
      </c>
      <c r="F44" t="s">
        <v>1182</v>
      </c>
      <c r="G44" t="b">
        <v>0</v>
      </c>
      <c r="H44" t="b">
        <v>0</v>
      </c>
      <c r="I44" t="s">
        <v>1050</v>
      </c>
      <c r="J44">
        <v>60</v>
      </c>
      <c r="K44" t="s">
        <v>2</v>
      </c>
      <c r="L44" t="s">
        <v>1167</v>
      </c>
      <c r="M44" t="s">
        <v>1168</v>
      </c>
      <c r="N44" t="s">
        <v>1169</v>
      </c>
      <c r="O44" t="s">
        <v>1168</v>
      </c>
      <c r="P44" t="s">
        <v>1183</v>
      </c>
    </row>
    <row r="45" spans="1:16" x14ac:dyDescent="0.25">
      <c r="A45" t="s">
        <v>1253</v>
      </c>
      <c r="B45" t="s">
        <v>1251</v>
      </c>
      <c r="C45" t="s">
        <v>1181</v>
      </c>
      <c r="D45" t="s">
        <v>1027</v>
      </c>
      <c r="E45">
        <v>63765</v>
      </c>
      <c r="F45" t="s">
        <v>1182</v>
      </c>
      <c r="G45" t="b">
        <v>0</v>
      </c>
      <c r="H45" t="b">
        <v>0</v>
      </c>
      <c r="I45" t="s">
        <v>1050</v>
      </c>
      <c r="J45">
        <v>66</v>
      </c>
      <c r="K45" t="s">
        <v>2</v>
      </c>
      <c r="L45" t="s">
        <v>1167</v>
      </c>
      <c r="M45" t="s">
        <v>1168</v>
      </c>
      <c r="N45" t="s">
        <v>1169</v>
      </c>
      <c r="O45" t="s">
        <v>1168</v>
      </c>
      <c r="P45" t="s">
        <v>1183</v>
      </c>
    </row>
    <row r="46" spans="1:16" x14ac:dyDescent="0.25">
      <c r="A46" t="s">
        <v>1254</v>
      </c>
      <c r="B46" t="s">
        <v>1251</v>
      </c>
      <c r="C46" t="s">
        <v>1181</v>
      </c>
      <c r="D46" t="s">
        <v>1027</v>
      </c>
      <c r="E46">
        <v>63765</v>
      </c>
      <c r="F46" t="s">
        <v>1182</v>
      </c>
      <c r="G46" t="b">
        <v>0</v>
      </c>
      <c r="H46" t="b">
        <v>0</v>
      </c>
      <c r="I46" t="s">
        <v>1050</v>
      </c>
      <c r="J46">
        <v>66</v>
      </c>
      <c r="K46" t="s">
        <v>2</v>
      </c>
      <c r="L46" t="s">
        <v>1167</v>
      </c>
      <c r="M46" t="s">
        <v>1168</v>
      </c>
      <c r="N46" t="s">
        <v>1169</v>
      </c>
      <c r="O46" t="s">
        <v>1168</v>
      </c>
      <c r="P46" t="s">
        <v>1183</v>
      </c>
    </row>
    <row r="47" spans="1:16" x14ac:dyDescent="0.25">
      <c r="A47" t="s">
        <v>1255</v>
      </c>
      <c r="B47" t="s">
        <v>1251</v>
      </c>
      <c r="C47" t="s">
        <v>1181</v>
      </c>
      <c r="D47" t="s">
        <v>1027</v>
      </c>
      <c r="E47">
        <v>63765</v>
      </c>
      <c r="F47" t="s">
        <v>1182</v>
      </c>
      <c r="G47" t="b">
        <v>0</v>
      </c>
      <c r="H47" t="b">
        <v>0</v>
      </c>
      <c r="I47" t="s">
        <v>1050</v>
      </c>
      <c r="J47">
        <v>60</v>
      </c>
      <c r="K47" t="s">
        <v>2</v>
      </c>
      <c r="L47" t="s">
        <v>1167</v>
      </c>
      <c r="M47" t="s">
        <v>1168</v>
      </c>
      <c r="N47" t="s">
        <v>1169</v>
      </c>
      <c r="O47" t="s">
        <v>1168</v>
      </c>
      <c r="P47" t="s">
        <v>1183</v>
      </c>
    </row>
    <row r="48" spans="1:16" x14ac:dyDescent="0.25">
      <c r="A48" t="s">
        <v>1256</v>
      </c>
      <c r="B48" t="s">
        <v>1251</v>
      </c>
      <c r="C48" t="s">
        <v>1181</v>
      </c>
      <c r="D48" t="s">
        <v>1027</v>
      </c>
      <c r="E48">
        <v>63765</v>
      </c>
      <c r="F48" t="s">
        <v>1182</v>
      </c>
      <c r="G48" t="b">
        <v>0</v>
      </c>
      <c r="H48" t="b">
        <v>0</v>
      </c>
      <c r="I48" t="s">
        <v>1050</v>
      </c>
      <c r="J48">
        <v>60</v>
      </c>
      <c r="K48" t="s">
        <v>2</v>
      </c>
      <c r="L48" t="s">
        <v>1167</v>
      </c>
      <c r="M48" t="s">
        <v>1168</v>
      </c>
      <c r="N48" t="s">
        <v>1169</v>
      </c>
      <c r="O48" t="s">
        <v>1168</v>
      </c>
      <c r="P48" t="s">
        <v>1183</v>
      </c>
    </row>
    <row r="49" spans="1:16" x14ac:dyDescent="0.25">
      <c r="A49" t="s">
        <v>1257</v>
      </c>
      <c r="B49" t="s">
        <v>1251</v>
      </c>
      <c r="C49" t="s">
        <v>1181</v>
      </c>
      <c r="D49" t="s">
        <v>1027</v>
      </c>
      <c r="E49">
        <v>63765</v>
      </c>
      <c r="F49" t="s">
        <v>1182</v>
      </c>
      <c r="G49" t="b">
        <v>0</v>
      </c>
      <c r="H49" t="b">
        <v>0</v>
      </c>
      <c r="I49" t="s">
        <v>1050</v>
      </c>
      <c r="J49">
        <v>60</v>
      </c>
      <c r="K49" t="s">
        <v>2</v>
      </c>
      <c r="L49" t="s">
        <v>1167</v>
      </c>
      <c r="M49" t="s">
        <v>1168</v>
      </c>
      <c r="N49" t="s">
        <v>1169</v>
      </c>
      <c r="O49" t="s">
        <v>1168</v>
      </c>
      <c r="P49" t="s">
        <v>1183</v>
      </c>
    </row>
    <row r="50" spans="1:16" x14ac:dyDescent="0.25">
      <c r="A50" t="s">
        <v>1258</v>
      </c>
      <c r="B50" t="s">
        <v>1251</v>
      </c>
      <c r="C50" t="s">
        <v>1181</v>
      </c>
      <c r="D50" t="s">
        <v>1027</v>
      </c>
      <c r="E50">
        <v>63765</v>
      </c>
      <c r="F50" t="s">
        <v>1182</v>
      </c>
      <c r="G50" t="b">
        <v>0</v>
      </c>
      <c r="H50" t="b">
        <v>0</v>
      </c>
      <c r="I50" t="s">
        <v>1050</v>
      </c>
      <c r="J50">
        <v>60</v>
      </c>
      <c r="K50" t="s">
        <v>2</v>
      </c>
      <c r="L50" t="s">
        <v>1167</v>
      </c>
      <c r="M50" t="s">
        <v>1168</v>
      </c>
      <c r="N50" t="s">
        <v>1169</v>
      </c>
      <c r="O50" t="s">
        <v>1168</v>
      </c>
      <c r="P50" t="s">
        <v>1183</v>
      </c>
    </row>
    <row r="51" spans="1:16" x14ac:dyDescent="0.25">
      <c r="A51" t="s">
        <v>1259</v>
      </c>
      <c r="B51" t="s">
        <v>1251</v>
      </c>
      <c r="C51" t="s">
        <v>1181</v>
      </c>
      <c r="D51" t="s">
        <v>1027</v>
      </c>
      <c r="E51">
        <v>63765</v>
      </c>
      <c r="F51" t="s">
        <v>1182</v>
      </c>
      <c r="G51" t="b">
        <v>0</v>
      </c>
      <c r="H51" t="b">
        <v>0</v>
      </c>
      <c r="I51" t="s">
        <v>1050</v>
      </c>
      <c r="J51">
        <v>60</v>
      </c>
      <c r="K51" t="s">
        <v>2</v>
      </c>
      <c r="L51" t="s">
        <v>1167</v>
      </c>
      <c r="M51" t="s">
        <v>1168</v>
      </c>
      <c r="N51" t="s">
        <v>1169</v>
      </c>
      <c r="O51" t="s">
        <v>1168</v>
      </c>
      <c r="P51" t="s">
        <v>1183</v>
      </c>
    </row>
    <row r="52" spans="1:16" x14ac:dyDescent="0.25">
      <c r="A52" t="s">
        <v>1260</v>
      </c>
      <c r="B52" t="s">
        <v>1251</v>
      </c>
      <c r="C52" t="s">
        <v>1181</v>
      </c>
      <c r="D52" t="s">
        <v>1027</v>
      </c>
      <c r="E52">
        <v>63765</v>
      </c>
      <c r="F52" t="s">
        <v>1182</v>
      </c>
      <c r="G52" t="b">
        <v>0</v>
      </c>
      <c r="H52" t="b">
        <v>0</v>
      </c>
      <c r="I52" t="s">
        <v>1050</v>
      </c>
      <c r="J52">
        <v>60</v>
      </c>
      <c r="K52" t="s">
        <v>2</v>
      </c>
      <c r="L52" t="s">
        <v>1167</v>
      </c>
      <c r="M52" t="s">
        <v>1168</v>
      </c>
      <c r="N52" t="s">
        <v>1169</v>
      </c>
      <c r="O52" t="s">
        <v>1168</v>
      </c>
      <c r="P52" t="s">
        <v>1183</v>
      </c>
    </row>
    <row r="53" spans="1:16" x14ac:dyDescent="0.25">
      <c r="A53" t="s">
        <v>1261</v>
      </c>
      <c r="B53" t="s">
        <v>1251</v>
      </c>
      <c r="C53" t="s">
        <v>1181</v>
      </c>
      <c r="D53" t="s">
        <v>1027</v>
      </c>
      <c r="E53">
        <v>63765</v>
      </c>
      <c r="F53" t="s">
        <v>1182</v>
      </c>
      <c r="G53" t="b">
        <v>0</v>
      </c>
      <c r="H53" t="b">
        <v>0</v>
      </c>
      <c r="I53" t="s">
        <v>1050</v>
      </c>
      <c r="J53">
        <v>66</v>
      </c>
      <c r="K53" t="s">
        <v>2</v>
      </c>
      <c r="L53" t="s">
        <v>1167</v>
      </c>
      <c r="M53" t="s">
        <v>1168</v>
      </c>
      <c r="N53" t="s">
        <v>1169</v>
      </c>
      <c r="O53" t="s">
        <v>1168</v>
      </c>
      <c r="P53" t="s">
        <v>1183</v>
      </c>
    </row>
    <row r="54" spans="1:16" x14ac:dyDescent="0.25">
      <c r="A54" t="s">
        <v>1262</v>
      </c>
      <c r="B54" t="s">
        <v>1251</v>
      </c>
      <c r="C54" t="s">
        <v>1181</v>
      </c>
      <c r="D54" t="s">
        <v>1027</v>
      </c>
      <c r="E54">
        <v>63765</v>
      </c>
      <c r="F54" t="s">
        <v>1182</v>
      </c>
      <c r="G54" t="b">
        <v>0</v>
      </c>
      <c r="H54" t="b">
        <v>0</v>
      </c>
      <c r="I54" t="s">
        <v>1050</v>
      </c>
      <c r="J54">
        <v>66</v>
      </c>
      <c r="K54" t="s">
        <v>2</v>
      </c>
      <c r="L54" t="s">
        <v>1167</v>
      </c>
      <c r="M54" t="s">
        <v>1168</v>
      </c>
      <c r="N54" t="s">
        <v>1169</v>
      </c>
      <c r="O54" t="s">
        <v>1168</v>
      </c>
      <c r="P54" t="s">
        <v>1183</v>
      </c>
    </row>
    <row r="55" spans="1:16" x14ac:dyDescent="0.25">
      <c r="A55" t="s">
        <v>1263</v>
      </c>
      <c r="B55" t="s">
        <v>1251</v>
      </c>
      <c r="C55" t="s">
        <v>1181</v>
      </c>
      <c r="D55" t="s">
        <v>1027</v>
      </c>
      <c r="E55">
        <v>63765</v>
      </c>
      <c r="F55" t="s">
        <v>1182</v>
      </c>
      <c r="G55" t="b">
        <v>0</v>
      </c>
      <c r="H55" t="b">
        <v>0</v>
      </c>
      <c r="I55" t="s">
        <v>1050</v>
      </c>
      <c r="J55">
        <v>60</v>
      </c>
      <c r="K55" t="s">
        <v>2</v>
      </c>
      <c r="L55" t="s">
        <v>1167</v>
      </c>
      <c r="M55" t="s">
        <v>1168</v>
      </c>
      <c r="N55" t="s">
        <v>1169</v>
      </c>
      <c r="O55" t="s">
        <v>1168</v>
      </c>
      <c r="P55" t="s">
        <v>1183</v>
      </c>
    </row>
    <row r="56" spans="1:16" x14ac:dyDescent="0.25">
      <c r="A56" t="s">
        <v>1264</v>
      </c>
      <c r="B56" t="s">
        <v>1251</v>
      </c>
      <c r="C56" t="s">
        <v>1181</v>
      </c>
      <c r="D56" t="s">
        <v>1027</v>
      </c>
      <c r="E56">
        <v>63765</v>
      </c>
      <c r="F56" t="s">
        <v>1182</v>
      </c>
      <c r="G56" t="b">
        <v>0</v>
      </c>
      <c r="H56" t="b">
        <v>0</v>
      </c>
      <c r="I56" t="s">
        <v>1050</v>
      </c>
      <c r="J56">
        <v>60</v>
      </c>
      <c r="K56" t="s">
        <v>2</v>
      </c>
      <c r="L56" t="s">
        <v>1167</v>
      </c>
      <c r="M56" t="s">
        <v>1168</v>
      </c>
      <c r="N56" t="s">
        <v>1169</v>
      </c>
      <c r="O56" t="s">
        <v>1168</v>
      </c>
      <c r="P56" t="s">
        <v>1183</v>
      </c>
    </row>
    <row r="57" spans="1:16" x14ac:dyDescent="0.25">
      <c r="A57" t="s">
        <v>1265</v>
      </c>
      <c r="B57" t="s">
        <v>1251</v>
      </c>
      <c r="C57" t="s">
        <v>1181</v>
      </c>
      <c r="D57" t="s">
        <v>1027</v>
      </c>
      <c r="E57">
        <v>63765</v>
      </c>
      <c r="F57" t="s">
        <v>1182</v>
      </c>
      <c r="G57" t="b">
        <v>0</v>
      </c>
      <c r="H57" t="b">
        <v>0</v>
      </c>
      <c r="I57" t="s">
        <v>1050</v>
      </c>
      <c r="J57">
        <v>60</v>
      </c>
      <c r="K57" t="s">
        <v>2</v>
      </c>
      <c r="L57" t="s">
        <v>1167</v>
      </c>
      <c r="M57" t="s">
        <v>1168</v>
      </c>
      <c r="N57" t="s">
        <v>1169</v>
      </c>
      <c r="O57" t="s">
        <v>1168</v>
      </c>
      <c r="P57" t="s">
        <v>1183</v>
      </c>
    </row>
    <row r="58" spans="1:16" x14ac:dyDescent="0.25">
      <c r="A58" t="s">
        <v>1266</v>
      </c>
      <c r="B58" t="s">
        <v>1251</v>
      </c>
      <c r="C58" t="s">
        <v>1181</v>
      </c>
      <c r="D58" t="s">
        <v>1027</v>
      </c>
      <c r="E58">
        <v>63765</v>
      </c>
      <c r="F58" t="s">
        <v>1182</v>
      </c>
      <c r="G58" t="b">
        <v>0</v>
      </c>
      <c r="H58" t="b">
        <v>0</v>
      </c>
      <c r="I58" t="s">
        <v>1050</v>
      </c>
      <c r="J58">
        <v>60</v>
      </c>
      <c r="K58" t="s">
        <v>2</v>
      </c>
      <c r="L58" t="s">
        <v>1167</v>
      </c>
      <c r="M58" t="s">
        <v>1168</v>
      </c>
      <c r="N58" t="s">
        <v>1169</v>
      </c>
      <c r="O58" t="s">
        <v>1168</v>
      </c>
      <c r="P58" t="s">
        <v>1183</v>
      </c>
    </row>
    <row r="59" spans="1:16" x14ac:dyDescent="0.25">
      <c r="A59" t="s">
        <v>1267</v>
      </c>
      <c r="B59" t="s">
        <v>1251</v>
      </c>
      <c r="C59" t="s">
        <v>1181</v>
      </c>
      <c r="D59" t="s">
        <v>1027</v>
      </c>
      <c r="E59">
        <v>63765</v>
      </c>
      <c r="F59" t="s">
        <v>1182</v>
      </c>
      <c r="G59" t="b">
        <v>0</v>
      </c>
      <c r="H59" t="b">
        <v>0</v>
      </c>
      <c r="I59" t="s">
        <v>1050</v>
      </c>
      <c r="J59">
        <v>60</v>
      </c>
      <c r="K59" t="s">
        <v>2</v>
      </c>
      <c r="L59" t="s">
        <v>1167</v>
      </c>
      <c r="M59" t="s">
        <v>1168</v>
      </c>
      <c r="N59" t="s">
        <v>1169</v>
      </c>
      <c r="O59" t="s">
        <v>1168</v>
      </c>
      <c r="P59" t="s">
        <v>1183</v>
      </c>
    </row>
    <row r="60" spans="1:16" x14ac:dyDescent="0.25">
      <c r="A60" t="s">
        <v>1268</v>
      </c>
      <c r="B60" t="s">
        <v>1269</v>
      </c>
      <c r="C60" t="s">
        <v>1228</v>
      </c>
      <c r="D60" t="s">
        <v>1027</v>
      </c>
      <c r="E60">
        <v>1660</v>
      </c>
      <c r="F60" t="s">
        <v>1229</v>
      </c>
      <c r="G60" t="b">
        <v>0</v>
      </c>
      <c r="H60" t="b">
        <v>0</v>
      </c>
      <c r="I60" t="s">
        <v>1050</v>
      </c>
      <c r="J60">
        <v>85</v>
      </c>
      <c r="K60" t="s">
        <v>2</v>
      </c>
      <c r="L60" t="s">
        <v>1167</v>
      </c>
      <c r="M60" t="s">
        <v>1168</v>
      </c>
      <c r="N60" t="s">
        <v>1169</v>
      </c>
      <c r="O60" t="s">
        <v>1168</v>
      </c>
      <c r="P60" t="s">
        <v>1230</v>
      </c>
    </row>
    <row r="61" spans="1:16" x14ac:dyDescent="0.25">
      <c r="A61" t="s">
        <v>1270</v>
      </c>
      <c r="B61" t="s">
        <v>1271</v>
      </c>
      <c r="C61" t="s">
        <v>1233</v>
      </c>
      <c r="D61" t="s">
        <v>1027</v>
      </c>
      <c r="E61">
        <v>63762</v>
      </c>
      <c r="F61" t="s">
        <v>1234</v>
      </c>
      <c r="G61" t="b">
        <v>0</v>
      </c>
      <c r="H61" t="b">
        <v>0</v>
      </c>
      <c r="I61" t="s">
        <v>1050</v>
      </c>
      <c r="J61">
        <v>80</v>
      </c>
      <c r="K61" t="s">
        <v>0</v>
      </c>
      <c r="L61" t="s">
        <v>1167</v>
      </c>
      <c r="M61" t="s">
        <v>1168</v>
      </c>
      <c r="N61" t="s">
        <v>1169</v>
      </c>
      <c r="O61" t="s">
        <v>1168</v>
      </c>
      <c r="P61" t="s">
        <v>1235</v>
      </c>
    </row>
    <row r="62" spans="1:16" x14ac:dyDescent="0.25">
      <c r="A62" t="s">
        <v>1272</v>
      </c>
      <c r="B62" t="s">
        <v>1273</v>
      </c>
      <c r="C62" t="s">
        <v>1181</v>
      </c>
      <c r="D62" t="s">
        <v>1027</v>
      </c>
      <c r="E62">
        <v>63765</v>
      </c>
      <c r="F62" t="s">
        <v>1182</v>
      </c>
      <c r="G62" t="b">
        <v>0</v>
      </c>
      <c r="H62" t="b">
        <v>0</v>
      </c>
      <c r="I62" t="s">
        <v>1050</v>
      </c>
      <c r="J62">
        <v>56</v>
      </c>
      <c r="K62" t="s">
        <v>2</v>
      </c>
      <c r="L62" t="s">
        <v>1167</v>
      </c>
      <c r="M62" t="s">
        <v>1168</v>
      </c>
      <c r="N62" t="s">
        <v>1169</v>
      </c>
      <c r="O62" t="s">
        <v>1168</v>
      </c>
      <c r="P62" t="s">
        <v>1183</v>
      </c>
    </row>
    <row r="63" spans="1:16" x14ac:dyDescent="0.25">
      <c r="A63" t="s">
        <v>1274</v>
      </c>
      <c r="B63" t="s">
        <v>1273</v>
      </c>
      <c r="C63" t="s">
        <v>1181</v>
      </c>
      <c r="D63" t="s">
        <v>1027</v>
      </c>
      <c r="E63">
        <v>63765</v>
      </c>
      <c r="F63" t="s">
        <v>1182</v>
      </c>
      <c r="G63" t="b">
        <v>0</v>
      </c>
      <c r="H63" t="b">
        <v>0</v>
      </c>
      <c r="I63" t="s">
        <v>1050</v>
      </c>
      <c r="J63">
        <v>56</v>
      </c>
      <c r="K63" t="s">
        <v>2</v>
      </c>
      <c r="L63" t="s">
        <v>1167</v>
      </c>
      <c r="M63" t="s">
        <v>1168</v>
      </c>
      <c r="N63" t="s">
        <v>1169</v>
      </c>
      <c r="O63" t="s">
        <v>1168</v>
      </c>
      <c r="P63" t="s">
        <v>1183</v>
      </c>
    </row>
    <row r="64" spans="1:16" x14ac:dyDescent="0.25">
      <c r="A64" t="s">
        <v>1275</v>
      </c>
      <c r="B64" t="s">
        <v>1276</v>
      </c>
      <c r="C64" t="s">
        <v>1181</v>
      </c>
      <c r="D64" t="s">
        <v>1027</v>
      </c>
      <c r="E64">
        <v>63765</v>
      </c>
      <c r="F64" t="s">
        <v>1182</v>
      </c>
      <c r="G64" t="b">
        <v>0</v>
      </c>
      <c r="H64" t="b">
        <v>0</v>
      </c>
      <c r="I64" t="s">
        <v>1050</v>
      </c>
      <c r="J64">
        <v>47</v>
      </c>
      <c r="K64" t="s">
        <v>2</v>
      </c>
      <c r="L64" t="s">
        <v>1167</v>
      </c>
      <c r="M64" t="s">
        <v>1168</v>
      </c>
      <c r="N64" t="s">
        <v>1169</v>
      </c>
      <c r="O64" t="s">
        <v>1168</v>
      </c>
      <c r="P64" t="s">
        <v>1183</v>
      </c>
    </row>
    <row r="65" spans="1:16" x14ac:dyDescent="0.25">
      <c r="A65" t="s">
        <v>1277</v>
      </c>
      <c r="B65" t="s">
        <v>1278</v>
      </c>
      <c r="C65" t="s">
        <v>1211</v>
      </c>
      <c r="D65" t="s">
        <v>1027</v>
      </c>
      <c r="E65">
        <v>1383</v>
      </c>
      <c r="F65" t="s">
        <v>1212</v>
      </c>
      <c r="G65" t="b">
        <v>0</v>
      </c>
      <c r="H65" t="b">
        <v>0</v>
      </c>
      <c r="I65" t="s">
        <v>1050</v>
      </c>
      <c r="J65">
        <v>90</v>
      </c>
      <c r="K65" t="s">
        <v>2</v>
      </c>
      <c r="L65" t="s">
        <v>1169</v>
      </c>
      <c r="M65" t="s">
        <v>1168</v>
      </c>
      <c r="N65" t="s">
        <v>1213</v>
      </c>
      <c r="O65" t="s">
        <v>1213</v>
      </c>
      <c r="P65" t="s">
        <v>1214</v>
      </c>
    </row>
    <row r="66" spans="1:16" x14ac:dyDescent="0.25">
      <c r="A66" t="s">
        <v>1279</v>
      </c>
      <c r="B66" t="s">
        <v>1278</v>
      </c>
      <c r="C66" t="s">
        <v>1211</v>
      </c>
      <c r="D66" t="s">
        <v>1027</v>
      </c>
      <c r="E66">
        <v>1383</v>
      </c>
      <c r="F66" t="s">
        <v>1212</v>
      </c>
      <c r="G66" t="b">
        <v>0</v>
      </c>
      <c r="H66" t="b">
        <v>0</v>
      </c>
      <c r="I66" t="s">
        <v>1050</v>
      </c>
      <c r="J66">
        <v>90</v>
      </c>
      <c r="K66" t="s">
        <v>2</v>
      </c>
      <c r="L66" t="s">
        <v>1169</v>
      </c>
      <c r="M66" t="s">
        <v>1168</v>
      </c>
      <c r="N66" t="s">
        <v>1213</v>
      </c>
      <c r="O66" t="s">
        <v>1213</v>
      </c>
      <c r="P66" t="s">
        <v>1214</v>
      </c>
    </row>
    <row r="67" spans="1:16" x14ac:dyDescent="0.25">
      <c r="A67" t="s">
        <v>1280</v>
      </c>
      <c r="B67" t="s">
        <v>1281</v>
      </c>
      <c r="C67" t="s">
        <v>1282</v>
      </c>
      <c r="D67" t="s">
        <v>1027</v>
      </c>
      <c r="G67" t="b">
        <v>0</v>
      </c>
      <c r="H67" t="b">
        <v>0</v>
      </c>
      <c r="I67" t="s">
        <v>1050</v>
      </c>
      <c r="J67">
        <v>50</v>
      </c>
      <c r="K67" t="s">
        <v>0</v>
      </c>
      <c r="L67" t="s">
        <v>1167</v>
      </c>
      <c r="M67" t="s">
        <v>1168</v>
      </c>
      <c r="N67" t="s">
        <v>1169</v>
      </c>
      <c r="O67" t="s">
        <v>1168</v>
      </c>
      <c r="P67" t="s">
        <v>1283</v>
      </c>
    </row>
    <row r="68" spans="1:16" x14ac:dyDescent="0.25">
      <c r="A68" t="s">
        <v>1284</v>
      </c>
      <c r="B68" t="s">
        <v>1281</v>
      </c>
      <c r="C68" t="s">
        <v>1282</v>
      </c>
      <c r="D68" t="s">
        <v>1027</v>
      </c>
      <c r="G68" t="b">
        <v>0</v>
      </c>
      <c r="H68" t="b">
        <v>0</v>
      </c>
      <c r="I68" t="s">
        <v>1050</v>
      </c>
      <c r="J68">
        <v>50</v>
      </c>
      <c r="K68" t="s">
        <v>0</v>
      </c>
      <c r="L68" t="s">
        <v>1167</v>
      </c>
      <c r="M68" t="s">
        <v>1168</v>
      </c>
      <c r="N68" t="s">
        <v>1169</v>
      </c>
      <c r="O68" t="s">
        <v>1168</v>
      </c>
      <c r="P68" t="s">
        <v>1283</v>
      </c>
    </row>
    <row r="69" spans="1:16" x14ac:dyDescent="0.25">
      <c r="A69" t="s">
        <v>1285</v>
      </c>
      <c r="B69" t="s">
        <v>1286</v>
      </c>
      <c r="C69" t="s">
        <v>1211</v>
      </c>
      <c r="D69" t="s">
        <v>1027</v>
      </c>
      <c r="E69">
        <v>1383</v>
      </c>
      <c r="F69" t="s">
        <v>1212</v>
      </c>
      <c r="G69" t="b">
        <v>0</v>
      </c>
      <c r="H69" t="b">
        <v>0</v>
      </c>
      <c r="I69" t="s">
        <v>1050</v>
      </c>
      <c r="J69">
        <v>90</v>
      </c>
      <c r="K69" t="s">
        <v>2</v>
      </c>
      <c r="L69" t="s">
        <v>1169</v>
      </c>
      <c r="M69" t="s">
        <v>1168</v>
      </c>
      <c r="N69" t="s">
        <v>1213</v>
      </c>
      <c r="O69" t="s">
        <v>1213</v>
      </c>
      <c r="P69" t="s">
        <v>1214</v>
      </c>
    </row>
    <row r="70" spans="1:16" x14ac:dyDescent="0.25">
      <c r="A70" t="s">
        <v>1287</v>
      </c>
      <c r="B70" t="s">
        <v>1286</v>
      </c>
      <c r="C70" t="s">
        <v>1211</v>
      </c>
      <c r="D70" t="s">
        <v>1027</v>
      </c>
      <c r="E70">
        <v>1383</v>
      </c>
      <c r="F70" t="s">
        <v>1212</v>
      </c>
      <c r="G70" t="b">
        <v>0</v>
      </c>
      <c r="H70" t="b">
        <v>0</v>
      </c>
      <c r="I70" t="s">
        <v>1050</v>
      </c>
      <c r="J70">
        <v>90</v>
      </c>
      <c r="K70" t="s">
        <v>2</v>
      </c>
      <c r="L70" t="s">
        <v>1169</v>
      </c>
      <c r="M70" t="s">
        <v>1168</v>
      </c>
      <c r="N70" t="s">
        <v>1213</v>
      </c>
      <c r="O70" t="s">
        <v>1213</v>
      </c>
      <c r="P70" t="s">
        <v>1214</v>
      </c>
    </row>
    <row r="71" spans="1:16" x14ac:dyDescent="0.25">
      <c r="A71" t="s">
        <v>1288</v>
      </c>
      <c r="B71" t="s">
        <v>1286</v>
      </c>
      <c r="C71" t="s">
        <v>1211</v>
      </c>
      <c r="D71" t="s">
        <v>1027</v>
      </c>
      <c r="E71">
        <v>1383</v>
      </c>
      <c r="F71" t="s">
        <v>1212</v>
      </c>
      <c r="G71" t="b">
        <v>0</v>
      </c>
      <c r="H71" t="b">
        <v>0</v>
      </c>
      <c r="I71" t="s">
        <v>1050</v>
      </c>
      <c r="J71">
        <v>90</v>
      </c>
      <c r="K71" t="s">
        <v>2</v>
      </c>
      <c r="L71" t="s">
        <v>1169</v>
      </c>
      <c r="M71" t="s">
        <v>1168</v>
      </c>
      <c r="N71" t="s">
        <v>1213</v>
      </c>
      <c r="O71" t="s">
        <v>1213</v>
      </c>
      <c r="P71" t="s">
        <v>1214</v>
      </c>
    </row>
    <row r="72" spans="1:16" x14ac:dyDescent="0.25">
      <c r="A72" t="s">
        <v>1289</v>
      </c>
      <c r="B72" t="s">
        <v>1286</v>
      </c>
      <c r="C72" t="s">
        <v>1211</v>
      </c>
      <c r="D72" t="s">
        <v>1027</v>
      </c>
      <c r="E72">
        <v>1383</v>
      </c>
      <c r="F72" t="s">
        <v>1212</v>
      </c>
      <c r="G72" t="b">
        <v>0</v>
      </c>
      <c r="H72" t="b">
        <v>0</v>
      </c>
      <c r="I72" t="s">
        <v>1050</v>
      </c>
      <c r="J72">
        <v>90</v>
      </c>
      <c r="K72" t="s">
        <v>2</v>
      </c>
      <c r="L72" t="s">
        <v>1169</v>
      </c>
      <c r="M72" t="s">
        <v>1168</v>
      </c>
      <c r="N72" t="s">
        <v>1213</v>
      </c>
      <c r="O72" t="s">
        <v>1213</v>
      </c>
      <c r="P72" t="s">
        <v>1214</v>
      </c>
    </row>
    <row r="73" spans="1:16" x14ac:dyDescent="0.25">
      <c r="A73" t="s">
        <v>1290</v>
      </c>
      <c r="B73" t="s">
        <v>1286</v>
      </c>
      <c r="C73" t="s">
        <v>1211</v>
      </c>
      <c r="D73" t="s">
        <v>1027</v>
      </c>
      <c r="E73">
        <v>1383</v>
      </c>
      <c r="F73" t="s">
        <v>1212</v>
      </c>
      <c r="G73" t="b">
        <v>0</v>
      </c>
      <c r="H73" t="b">
        <v>0</v>
      </c>
      <c r="I73" t="s">
        <v>1050</v>
      </c>
      <c r="J73">
        <v>90</v>
      </c>
      <c r="K73" t="s">
        <v>2</v>
      </c>
      <c r="L73" t="s">
        <v>1169</v>
      </c>
      <c r="M73" t="s">
        <v>1168</v>
      </c>
      <c r="N73" t="s">
        <v>1213</v>
      </c>
      <c r="O73" t="s">
        <v>1213</v>
      </c>
      <c r="P73" t="s">
        <v>1214</v>
      </c>
    </row>
    <row r="74" spans="1:16" x14ac:dyDescent="0.25">
      <c r="A74" t="s">
        <v>1291</v>
      </c>
      <c r="B74" t="s">
        <v>1286</v>
      </c>
      <c r="C74" t="s">
        <v>1211</v>
      </c>
      <c r="D74" t="s">
        <v>1027</v>
      </c>
      <c r="E74">
        <v>1383</v>
      </c>
      <c r="F74" t="s">
        <v>1212</v>
      </c>
      <c r="G74" t="b">
        <v>0</v>
      </c>
      <c r="H74" t="b">
        <v>0</v>
      </c>
      <c r="I74" t="s">
        <v>1050</v>
      </c>
      <c r="J74">
        <v>90</v>
      </c>
      <c r="K74" t="s">
        <v>2</v>
      </c>
      <c r="L74" t="s">
        <v>1169</v>
      </c>
      <c r="M74" t="s">
        <v>1168</v>
      </c>
      <c r="N74" t="s">
        <v>1213</v>
      </c>
      <c r="O74" t="s">
        <v>1213</v>
      </c>
      <c r="P74" t="s">
        <v>1214</v>
      </c>
    </row>
    <row r="75" spans="1:16" x14ac:dyDescent="0.25">
      <c r="A75" t="s">
        <v>1292</v>
      </c>
      <c r="B75" t="s">
        <v>1286</v>
      </c>
      <c r="C75" t="s">
        <v>1211</v>
      </c>
      <c r="D75" t="s">
        <v>1027</v>
      </c>
      <c r="E75">
        <v>1383</v>
      </c>
      <c r="F75" t="s">
        <v>1212</v>
      </c>
      <c r="G75" t="b">
        <v>0</v>
      </c>
      <c r="H75" t="b">
        <v>0</v>
      </c>
      <c r="I75" t="s">
        <v>1050</v>
      </c>
      <c r="J75">
        <v>90</v>
      </c>
      <c r="K75" t="s">
        <v>2</v>
      </c>
      <c r="L75" t="s">
        <v>1169</v>
      </c>
      <c r="M75" t="s">
        <v>1168</v>
      </c>
      <c r="N75" t="s">
        <v>1213</v>
      </c>
      <c r="O75" t="s">
        <v>1213</v>
      </c>
      <c r="P75" t="s">
        <v>1214</v>
      </c>
    </row>
    <row r="76" spans="1:16" x14ac:dyDescent="0.25">
      <c r="A76" t="s">
        <v>1293</v>
      </c>
      <c r="B76" t="s">
        <v>1286</v>
      </c>
      <c r="C76" t="s">
        <v>1211</v>
      </c>
      <c r="D76" t="s">
        <v>1027</v>
      </c>
      <c r="E76">
        <v>1383</v>
      </c>
      <c r="F76" t="s">
        <v>1212</v>
      </c>
      <c r="G76" t="b">
        <v>0</v>
      </c>
      <c r="H76" t="b">
        <v>0</v>
      </c>
      <c r="I76" t="s">
        <v>1050</v>
      </c>
      <c r="J76">
        <v>90</v>
      </c>
      <c r="K76" t="s">
        <v>2</v>
      </c>
      <c r="L76" t="s">
        <v>1169</v>
      </c>
      <c r="M76" t="s">
        <v>1168</v>
      </c>
      <c r="N76" t="s">
        <v>1213</v>
      </c>
      <c r="O76" t="s">
        <v>1213</v>
      </c>
      <c r="P76" t="s">
        <v>1214</v>
      </c>
    </row>
    <row r="77" spans="1:16" x14ac:dyDescent="0.25">
      <c r="A77" t="s">
        <v>1294</v>
      </c>
      <c r="B77" t="s">
        <v>1286</v>
      </c>
      <c r="C77" t="s">
        <v>1211</v>
      </c>
      <c r="D77" t="s">
        <v>1027</v>
      </c>
      <c r="E77">
        <v>1383</v>
      </c>
      <c r="F77" t="s">
        <v>1212</v>
      </c>
      <c r="G77" t="b">
        <v>0</v>
      </c>
      <c r="H77" t="b">
        <v>0</v>
      </c>
      <c r="I77" t="s">
        <v>1050</v>
      </c>
      <c r="J77">
        <v>90</v>
      </c>
      <c r="K77" t="s">
        <v>2</v>
      </c>
      <c r="L77" t="s">
        <v>1169</v>
      </c>
      <c r="M77" t="s">
        <v>1168</v>
      </c>
      <c r="N77" t="s">
        <v>1213</v>
      </c>
      <c r="O77" t="s">
        <v>1213</v>
      </c>
      <c r="P77" t="s">
        <v>1214</v>
      </c>
    </row>
    <row r="78" spans="1:16" x14ac:dyDescent="0.25">
      <c r="A78" t="s">
        <v>1295</v>
      </c>
      <c r="B78" t="s">
        <v>1286</v>
      </c>
      <c r="C78" t="s">
        <v>1211</v>
      </c>
      <c r="D78" t="s">
        <v>1027</v>
      </c>
      <c r="E78">
        <v>1383</v>
      </c>
      <c r="F78" t="s">
        <v>1212</v>
      </c>
      <c r="G78" t="b">
        <v>0</v>
      </c>
      <c r="H78" t="b">
        <v>0</v>
      </c>
      <c r="I78" t="s">
        <v>1050</v>
      </c>
      <c r="J78">
        <v>90</v>
      </c>
      <c r="K78" t="s">
        <v>2</v>
      </c>
      <c r="L78" t="s">
        <v>1169</v>
      </c>
      <c r="M78" t="s">
        <v>1168</v>
      </c>
      <c r="N78" t="s">
        <v>1213</v>
      </c>
      <c r="O78" t="s">
        <v>1213</v>
      </c>
      <c r="P78" t="s">
        <v>1214</v>
      </c>
    </row>
    <row r="79" spans="1:16" x14ac:dyDescent="0.25">
      <c r="A79" t="s">
        <v>1296</v>
      </c>
      <c r="B79" t="s">
        <v>1286</v>
      </c>
      <c r="C79" t="s">
        <v>1211</v>
      </c>
      <c r="D79" t="s">
        <v>1027</v>
      </c>
      <c r="E79">
        <v>1383</v>
      </c>
      <c r="F79" t="s">
        <v>1212</v>
      </c>
      <c r="G79" t="b">
        <v>0</v>
      </c>
      <c r="H79" t="b">
        <v>0</v>
      </c>
      <c r="I79" t="s">
        <v>1050</v>
      </c>
      <c r="J79">
        <v>90</v>
      </c>
      <c r="K79" t="s">
        <v>2</v>
      </c>
      <c r="L79" t="s">
        <v>1169</v>
      </c>
      <c r="M79" t="s">
        <v>1168</v>
      </c>
      <c r="N79" t="s">
        <v>1213</v>
      </c>
      <c r="O79" t="s">
        <v>1213</v>
      </c>
      <c r="P79" t="s">
        <v>1214</v>
      </c>
    </row>
    <row r="80" spans="1:16" x14ac:dyDescent="0.25">
      <c r="A80" t="s">
        <v>1297</v>
      </c>
      <c r="B80" t="s">
        <v>1286</v>
      </c>
      <c r="C80" t="s">
        <v>1211</v>
      </c>
      <c r="D80" t="s">
        <v>1027</v>
      </c>
      <c r="E80">
        <v>1383</v>
      </c>
      <c r="F80" t="s">
        <v>1212</v>
      </c>
      <c r="G80" t="b">
        <v>0</v>
      </c>
      <c r="H80" t="b">
        <v>0</v>
      </c>
      <c r="I80" t="s">
        <v>1050</v>
      </c>
      <c r="J80">
        <v>90</v>
      </c>
      <c r="K80" t="s">
        <v>2</v>
      </c>
      <c r="L80" t="s">
        <v>1169</v>
      </c>
      <c r="M80" t="s">
        <v>1168</v>
      </c>
      <c r="N80" t="s">
        <v>1213</v>
      </c>
      <c r="O80" t="s">
        <v>1213</v>
      </c>
      <c r="P80" t="s">
        <v>1214</v>
      </c>
    </row>
    <row r="81" spans="1:16" x14ac:dyDescent="0.25">
      <c r="A81" t="s">
        <v>1298</v>
      </c>
      <c r="B81" t="s">
        <v>1286</v>
      </c>
      <c r="C81" t="s">
        <v>1211</v>
      </c>
      <c r="D81" t="s">
        <v>1027</v>
      </c>
      <c r="E81">
        <v>1383</v>
      </c>
      <c r="F81" t="s">
        <v>1212</v>
      </c>
      <c r="G81" t="b">
        <v>0</v>
      </c>
      <c r="H81" t="b">
        <v>0</v>
      </c>
      <c r="I81" t="s">
        <v>1050</v>
      </c>
      <c r="J81">
        <v>90</v>
      </c>
      <c r="K81" t="s">
        <v>2</v>
      </c>
      <c r="L81" t="s">
        <v>1169</v>
      </c>
      <c r="M81" t="s">
        <v>1168</v>
      </c>
      <c r="N81" t="s">
        <v>1213</v>
      </c>
      <c r="O81" t="s">
        <v>1213</v>
      </c>
      <c r="P81" t="s">
        <v>1214</v>
      </c>
    </row>
    <row r="82" spans="1:16" x14ac:dyDescent="0.25">
      <c r="A82" t="s">
        <v>1299</v>
      </c>
      <c r="B82" t="s">
        <v>1286</v>
      </c>
      <c r="C82" t="s">
        <v>1211</v>
      </c>
      <c r="D82" t="s">
        <v>1027</v>
      </c>
      <c r="E82">
        <v>1383</v>
      </c>
      <c r="F82" t="s">
        <v>1212</v>
      </c>
      <c r="G82" t="b">
        <v>0</v>
      </c>
      <c r="H82" t="b">
        <v>0</v>
      </c>
      <c r="I82" t="s">
        <v>1050</v>
      </c>
      <c r="J82">
        <v>90</v>
      </c>
      <c r="K82" t="s">
        <v>2</v>
      </c>
      <c r="L82" t="s">
        <v>1169</v>
      </c>
      <c r="M82" t="s">
        <v>1168</v>
      </c>
      <c r="N82" t="s">
        <v>1213</v>
      </c>
      <c r="O82" t="s">
        <v>1213</v>
      </c>
      <c r="P82" t="s">
        <v>1214</v>
      </c>
    </row>
    <row r="83" spans="1:16" x14ac:dyDescent="0.25">
      <c r="A83" t="s">
        <v>1300</v>
      </c>
      <c r="B83" t="s">
        <v>1286</v>
      </c>
      <c r="C83" t="s">
        <v>1211</v>
      </c>
      <c r="D83" t="s">
        <v>1027</v>
      </c>
      <c r="E83">
        <v>1383</v>
      </c>
      <c r="F83" t="s">
        <v>1212</v>
      </c>
      <c r="G83" t="b">
        <v>0</v>
      </c>
      <c r="H83" t="b">
        <v>0</v>
      </c>
      <c r="I83" t="s">
        <v>1050</v>
      </c>
      <c r="J83">
        <v>90</v>
      </c>
      <c r="K83" t="s">
        <v>2</v>
      </c>
      <c r="L83" t="s">
        <v>1169</v>
      </c>
      <c r="M83" t="s">
        <v>1168</v>
      </c>
      <c r="N83" t="s">
        <v>1213</v>
      </c>
      <c r="O83" t="s">
        <v>1213</v>
      </c>
      <c r="P83" t="s">
        <v>1214</v>
      </c>
    </row>
    <row r="84" spans="1:16" x14ac:dyDescent="0.25">
      <c r="A84" t="s">
        <v>1301</v>
      </c>
      <c r="B84" t="s">
        <v>1286</v>
      </c>
      <c r="C84" t="s">
        <v>1211</v>
      </c>
      <c r="D84" t="s">
        <v>1027</v>
      </c>
      <c r="E84">
        <v>1383</v>
      </c>
      <c r="F84" t="s">
        <v>1212</v>
      </c>
      <c r="G84" t="b">
        <v>0</v>
      </c>
      <c r="H84" t="b">
        <v>0</v>
      </c>
      <c r="I84" t="s">
        <v>1050</v>
      </c>
      <c r="J84">
        <v>90</v>
      </c>
      <c r="K84" t="s">
        <v>2</v>
      </c>
      <c r="L84" t="s">
        <v>1169</v>
      </c>
      <c r="M84" t="s">
        <v>1168</v>
      </c>
      <c r="N84" t="s">
        <v>1213</v>
      </c>
      <c r="O84" t="s">
        <v>1213</v>
      </c>
      <c r="P84" t="s">
        <v>1214</v>
      </c>
    </row>
    <row r="85" spans="1:16" x14ac:dyDescent="0.25">
      <c r="A85" t="s">
        <v>1302</v>
      </c>
      <c r="B85" t="s">
        <v>1303</v>
      </c>
      <c r="C85" t="s">
        <v>1211</v>
      </c>
      <c r="D85" t="s">
        <v>1027</v>
      </c>
      <c r="E85">
        <v>1383</v>
      </c>
      <c r="F85" t="s">
        <v>1212</v>
      </c>
      <c r="G85" t="b">
        <v>0</v>
      </c>
      <c r="H85" t="b">
        <v>0</v>
      </c>
      <c r="I85" t="s">
        <v>1050</v>
      </c>
      <c r="J85">
        <v>90</v>
      </c>
      <c r="K85" t="s">
        <v>2</v>
      </c>
      <c r="L85" t="s">
        <v>1169</v>
      </c>
      <c r="M85" t="s">
        <v>1168</v>
      </c>
      <c r="N85" t="s">
        <v>1213</v>
      </c>
      <c r="O85" t="s">
        <v>1213</v>
      </c>
      <c r="P85" t="s">
        <v>1214</v>
      </c>
    </row>
    <row r="86" spans="1:16" x14ac:dyDescent="0.25">
      <c r="A86" t="s">
        <v>1304</v>
      </c>
      <c r="B86" t="s">
        <v>1303</v>
      </c>
      <c r="C86" t="s">
        <v>1211</v>
      </c>
      <c r="D86" t="s">
        <v>1027</v>
      </c>
      <c r="E86">
        <v>1383</v>
      </c>
      <c r="F86" t="s">
        <v>1212</v>
      </c>
      <c r="G86" t="b">
        <v>0</v>
      </c>
      <c r="H86" t="b">
        <v>0</v>
      </c>
      <c r="I86" t="s">
        <v>1050</v>
      </c>
      <c r="J86">
        <v>90</v>
      </c>
      <c r="K86" t="s">
        <v>2</v>
      </c>
      <c r="L86" t="s">
        <v>1169</v>
      </c>
      <c r="M86" t="s">
        <v>1168</v>
      </c>
      <c r="N86" t="s">
        <v>1213</v>
      </c>
      <c r="O86" t="s">
        <v>1213</v>
      </c>
      <c r="P86" t="s">
        <v>1214</v>
      </c>
    </row>
    <row r="87" spans="1:16" x14ac:dyDescent="0.25">
      <c r="A87" t="s">
        <v>1305</v>
      </c>
      <c r="B87" t="s">
        <v>1303</v>
      </c>
      <c r="C87" t="s">
        <v>1211</v>
      </c>
      <c r="D87" t="s">
        <v>1027</v>
      </c>
      <c r="E87">
        <v>1383</v>
      </c>
      <c r="F87" t="s">
        <v>1212</v>
      </c>
      <c r="G87" t="b">
        <v>0</v>
      </c>
      <c r="H87" t="b">
        <v>0</v>
      </c>
      <c r="I87" t="s">
        <v>1050</v>
      </c>
      <c r="J87">
        <v>90</v>
      </c>
      <c r="K87" t="s">
        <v>2</v>
      </c>
      <c r="L87" t="s">
        <v>1169</v>
      </c>
      <c r="M87" t="s">
        <v>1168</v>
      </c>
      <c r="N87" t="s">
        <v>1213</v>
      </c>
      <c r="O87" t="s">
        <v>1213</v>
      </c>
      <c r="P87" t="s">
        <v>1214</v>
      </c>
    </row>
    <row r="88" spans="1:16" x14ac:dyDescent="0.25">
      <c r="A88" t="s">
        <v>1306</v>
      </c>
      <c r="B88" t="s">
        <v>1307</v>
      </c>
      <c r="C88" t="s">
        <v>1211</v>
      </c>
      <c r="D88" t="s">
        <v>1027</v>
      </c>
      <c r="E88">
        <v>1383</v>
      </c>
      <c r="F88" t="s">
        <v>1212</v>
      </c>
      <c r="G88" t="b">
        <v>0</v>
      </c>
      <c r="H88" t="b">
        <v>0</v>
      </c>
      <c r="I88" t="s">
        <v>1050</v>
      </c>
      <c r="J88">
        <v>90</v>
      </c>
      <c r="K88" t="s">
        <v>2</v>
      </c>
      <c r="L88" t="s">
        <v>1169</v>
      </c>
      <c r="M88" t="s">
        <v>1168</v>
      </c>
      <c r="N88" t="s">
        <v>1213</v>
      </c>
      <c r="O88" t="s">
        <v>1213</v>
      </c>
      <c r="P88" t="s">
        <v>1214</v>
      </c>
    </row>
    <row r="89" spans="1:16" x14ac:dyDescent="0.25">
      <c r="A89" t="s">
        <v>1308</v>
      </c>
      <c r="B89" t="s">
        <v>1307</v>
      </c>
      <c r="C89" t="s">
        <v>1211</v>
      </c>
      <c r="D89" t="s">
        <v>1027</v>
      </c>
      <c r="E89">
        <v>1383</v>
      </c>
      <c r="F89" t="s">
        <v>1212</v>
      </c>
      <c r="G89" t="b">
        <v>0</v>
      </c>
      <c r="H89" t="b">
        <v>0</v>
      </c>
      <c r="I89" t="s">
        <v>1050</v>
      </c>
      <c r="J89">
        <v>90</v>
      </c>
      <c r="K89" t="s">
        <v>2</v>
      </c>
      <c r="L89" t="s">
        <v>1169</v>
      </c>
      <c r="M89" t="s">
        <v>1168</v>
      </c>
      <c r="N89" t="s">
        <v>1213</v>
      </c>
      <c r="O89" t="s">
        <v>1213</v>
      </c>
      <c r="P89" t="s">
        <v>1214</v>
      </c>
    </row>
    <row r="90" spans="1:16" x14ac:dyDescent="0.25">
      <c r="A90" t="s">
        <v>1309</v>
      </c>
      <c r="B90" t="s">
        <v>1307</v>
      </c>
      <c r="C90" t="s">
        <v>1211</v>
      </c>
      <c r="D90" t="s">
        <v>1027</v>
      </c>
      <c r="E90">
        <v>1383</v>
      </c>
      <c r="F90" t="s">
        <v>1212</v>
      </c>
      <c r="G90" t="b">
        <v>0</v>
      </c>
      <c r="H90" t="b">
        <v>0</v>
      </c>
      <c r="I90" t="s">
        <v>1050</v>
      </c>
      <c r="J90">
        <v>90</v>
      </c>
      <c r="K90" t="s">
        <v>2</v>
      </c>
      <c r="L90" t="s">
        <v>1169</v>
      </c>
      <c r="M90" t="s">
        <v>1168</v>
      </c>
      <c r="N90" t="s">
        <v>1213</v>
      </c>
      <c r="O90" t="s">
        <v>1213</v>
      </c>
      <c r="P90" t="s">
        <v>1214</v>
      </c>
    </row>
    <row r="91" spans="1:16" x14ac:dyDescent="0.25">
      <c r="A91" t="s">
        <v>1310</v>
      </c>
      <c r="B91" t="s">
        <v>1307</v>
      </c>
      <c r="C91" t="s">
        <v>1211</v>
      </c>
      <c r="D91" t="s">
        <v>1027</v>
      </c>
      <c r="E91">
        <v>1383</v>
      </c>
      <c r="F91" t="s">
        <v>1212</v>
      </c>
      <c r="G91" t="b">
        <v>0</v>
      </c>
      <c r="H91" t="b">
        <v>0</v>
      </c>
      <c r="I91" t="s">
        <v>1050</v>
      </c>
      <c r="J91">
        <v>90</v>
      </c>
      <c r="K91" t="s">
        <v>2</v>
      </c>
      <c r="L91" t="s">
        <v>1169</v>
      </c>
      <c r="M91" t="s">
        <v>1168</v>
      </c>
      <c r="N91" t="s">
        <v>1213</v>
      </c>
      <c r="O91" t="s">
        <v>1213</v>
      </c>
      <c r="P91" t="s">
        <v>1214</v>
      </c>
    </row>
    <row r="92" spans="1:16" x14ac:dyDescent="0.25">
      <c r="A92" t="s">
        <v>1311</v>
      </c>
      <c r="B92" t="s">
        <v>1307</v>
      </c>
      <c r="C92" t="s">
        <v>1211</v>
      </c>
      <c r="D92" t="s">
        <v>1027</v>
      </c>
      <c r="E92">
        <v>1383</v>
      </c>
      <c r="F92" t="s">
        <v>1212</v>
      </c>
      <c r="G92" t="b">
        <v>0</v>
      </c>
      <c r="H92" t="b">
        <v>0</v>
      </c>
      <c r="I92" t="s">
        <v>1050</v>
      </c>
      <c r="J92">
        <v>90</v>
      </c>
      <c r="K92" t="s">
        <v>2</v>
      </c>
      <c r="L92" t="s">
        <v>1169</v>
      </c>
      <c r="M92" t="s">
        <v>1168</v>
      </c>
      <c r="N92" t="s">
        <v>1213</v>
      </c>
      <c r="O92" t="s">
        <v>1213</v>
      </c>
      <c r="P92" t="s">
        <v>1214</v>
      </c>
    </row>
    <row r="93" spans="1:16" x14ac:dyDescent="0.25">
      <c r="A93" t="s">
        <v>1312</v>
      </c>
      <c r="B93" t="s">
        <v>1307</v>
      </c>
      <c r="C93" t="s">
        <v>1211</v>
      </c>
      <c r="D93" t="s">
        <v>1027</v>
      </c>
      <c r="E93">
        <v>1383</v>
      </c>
      <c r="F93" t="s">
        <v>1212</v>
      </c>
      <c r="G93" t="b">
        <v>0</v>
      </c>
      <c r="H93" t="b">
        <v>0</v>
      </c>
      <c r="I93" t="s">
        <v>1050</v>
      </c>
      <c r="J93">
        <v>90</v>
      </c>
      <c r="K93" t="s">
        <v>2</v>
      </c>
      <c r="L93" t="s">
        <v>1169</v>
      </c>
      <c r="M93" t="s">
        <v>1168</v>
      </c>
      <c r="N93" t="s">
        <v>1213</v>
      </c>
      <c r="O93" t="s">
        <v>1213</v>
      </c>
      <c r="P93" t="s">
        <v>1214</v>
      </c>
    </row>
    <row r="94" spans="1:16" x14ac:dyDescent="0.25">
      <c r="A94" t="s">
        <v>1313</v>
      </c>
      <c r="B94" t="s">
        <v>1307</v>
      </c>
      <c r="C94" t="s">
        <v>1211</v>
      </c>
      <c r="D94" t="s">
        <v>1027</v>
      </c>
      <c r="E94">
        <v>1383</v>
      </c>
      <c r="F94" t="s">
        <v>1212</v>
      </c>
      <c r="G94" t="b">
        <v>0</v>
      </c>
      <c r="H94" t="b">
        <v>0</v>
      </c>
      <c r="I94" t="s">
        <v>1050</v>
      </c>
      <c r="J94">
        <v>90</v>
      </c>
      <c r="K94" t="s">
        <v>2</v>
      </c>
      <c r="L94" t="s">
        <v>1169</v>
      </c>
      <c r="M94" t="s">
        <v>1168</v>
      </c>
      <c r="N94" t="s">
        <v>1213</v>
      </c>
      <c r="O94" t="s">
        <v>1213</v>
      </c>
      <c r="P94" t="s">
        <v>1214</v>
      </c>
    </row>
    <row r="95" spans="1:16" x14ac:dyDescent="0.25">
      <c r="A95" t="s">
        <v>1314</v>
      </c>
      <c r="B95" t="s">
        <v>1307</v>
      </c>
      <c r="C95" t="s">
        <v>1211</v>
      </c>
      <c r="D95" t="s">
        <v>1027</v>
      </c>
      <c r="E95">
        <v>1383</v>
      </c>
      <c r="F95" t="s">
        <v>1212</v>
      </c>
      <c r="G95" t="b">
        <v>0</v>
      </c>
      <c r="H95" t="b">
        <v>0</v>
      </c>
      <c r="I95" t="s">
        <v>1050</v>
      </c>
      <c r="J95">
        <v>90</v>
      </c>
      <c r="K95" t="s">
        <v>2</v>
      </c>
      <c r="L95" t="s">
        <v>1169</v>
      </c>
      <c r="M95" t="s">
        <v>1168</v>
      </c>
      <c r="N95" t="s">
        <v>1213</v>
      </c>
      <c r="O95" t="s">
        <v>1213</v>
      </c>
      <c r="P95" t="s">
        <v>1214</v>
      </c>
    </row>
    <row r="96" spans="1:16" x14ac:dyDescent="0.25">
      <c r="A96" t="s">
        <v>1315</v>
      </c>
      <c r="B96" t="s">
        <v>1307</v>
      </c>
      <c r="C96" t="s">
        <v>1211</v>
      </c>
      <c r="D96" t="s">
        <v>1027</v>
      </c>
      <c r="E96">
        <v>1383</v>
      </c>
      <c r="F96" t="s">
        <v>1212</v>
      </c>
      <c r="G96" t="b">
        <v>0</v>
      </c>
      <c r="H96" t="b">
        <v>0</v>
      </c>
      <c r="I96" t="s">
        <v>1050</v>
      </c>
      <c r="J96">
        <v>90</v>
      </c>
      <c r="K96" t="s">
        <v>2</v>
      </c>
      <c r="L96" t="s">
        <v>1169</v>
      </c>
      <c r="M96" t="s">
        <v>1168</v>
      </c>
      <c r="N96" t="s">
        <v>1213</v>
      </c>
      <c r="O96" t="s">
        <v>1213</v>
      </c>
      <c r="P96" t="s">
        <v>1214</v>
      </c>
    </row>
    <row r="97" spans="1:16" x14ac:dyDescent="0.25">
      <c r="A97" t="s">
        <v>1316</v>
      </c>
      <c r="B97" t="s">
        <v>1307</v>
      </c>
      <c r="C97" t="s">
        <v>1211</v>
      </c>
      <c r="D97" t="s">
        <v>1027</v>
      </c>
      <c r="E97">
        <v>1383</v>
      </c>
      <c r="F97" t="s">
        <v>1212</v>
      </c>
      <c r="G97" t="b">
        <v>0</v>
      </c>
      <c r="H97" t="b">
        <v>0</v>
      </c>
      <c r="I97" t="s">
        <v>1050</v>
      </c>
      <c r="J97">
        <v>90</v>
      </c>
      <c r="K97" t="s">
        <v>2</v>
      </c>
      <c r="L97" t="s">
        <v>1169</v>
      </c>
      <c r="M97" t="s">
        <v>1168</v>
      </c>
      <c r="N97" t="s">
        <v>1213</v>
      </c>
      <c r="O97" t="s">
        <v>1213</v>
      </c>
      <c r="P97" t="s">
        <v>1214</v>
      </c>
    </row>
    <row r="98" spans="1:16" x14ac:dyDescent="0.25">
      <c r="A98" t="s">
        <v>1317</v>
      </c>
      <c r="B98" t="s">
        <v>1307</v>
      </c>
      <c r="C98" t="s">
        <v>1211</v>
      </c>
      <c r="D98" t="s">
        <v>1027</v>
      </c>
      <c r="E98">
        <v>1383</v>
      </c>
      <c r="F98" t="s">
        <v>1212</v>
      </c>
      <c r="G98" t="b">
        <v>0</v>
      </c>
      <c r="H98" t="b">
        <v>0</v>
      </c>
      <c r="I98" t="s">
        <v>1050</v>
      </c>
      <c r="J98">
        <v>90</v>
      </c>
      <c r="K98" t="s">
        <v>2</v>
      </c>
      <c r="L98" t="s">
        <v>1169</v>
      </c>
      <c r="M98" t="s">
        <v>1168</v>
      </c>
      <c r="N98" t="s">
        <v>1213</v>
      </c>
      <c r="O98" t="s">
        <v>1213</v>
      </c>
      <c r="P98" t="s">
        <v>1214</v>
      </c>
    </row>
    <row r="99" spans="1:16" x14ac:dyDescent="0.25">
      <c r="A99" t="s">
        <v>1318</v>
      </c>
      <c r="B99" t="s">
        <v>1307</v>
      </c>
      <c r="C99" t="s">
        <v>1211</v>
      </c>
      <c r="D99" t="s">
        <v>1027</v>
      </c>
      <c r="E99">
        <v>1383</v>
      </c>
      <c r="F99" t="s">
        <v>1212</v>
      </c>
      <c r="G99" t="b">
        <v>0</v>
      </c>
      <c r="H99" t="b">
        <v>0</v>
      </c>
      <c r="I99" t="s">
        <v>1050</v>
      </c>
      <c r="J99">
        <v>90</v>
      </c>
      <c r="K99" t="s">
        <v>2</v>
      </c>
      <c r="L99" t="s">
        <v>1169</v>
      </c>
      <c r="M99" t="s">
        <v>1168</v>
      </c>
      <c r="N99" t="s">
        <v>1213</v>
      </c>
      <c r="O99" t="s">
        <v>1213</v>
      </c>
      <c r="P99" t="s">
        <v>1214</v>
      </c>
    </row>
    <row r="100" spans="1:16" x14ac:dyDescent="0.25">
      <c r="A100" t="s">
        <v>1319</v>
      </c>
      <c r="B100" t="s">
        <v>1303</v>
      </c>
      <c r="C100" t="s">
        <v>1211</v>
      </c>
      <c r="D100" t="s">
        <v>1027</v>
      </c>
      <c r="E100">
        <v>1383</v>
      </c>
      <c r="F100" t="s">
        <v>1212</v>
      </c>
      <c r="G100" t="b">
        <v>0</v>
      </c>
      <c r="H100" t="b">
        <v>0</v>
      </c>
      <c r="I100" t="s">
        <v>1050</v>
      </c>
      <c r="J100">
        <v>90</v>
      </c>
      <c r="K100" t="s">
        <v>2</v>
      </c>
      <c r="L100" t="s">
        <v>1169</v>
      </c>
      <c r="M100" t="s">
        <v>1168</v>
      </c>
      <c r="N100" t="s">
        <v>1213</v>
      </c>
      <c r="O100" t="s">
        <v>1213</v>
      </c>
      <c r="P100" t="s">
        <v>1214</v>
      </c>
    </row>
    <row r="101" spans="1:16" x14ac:dyDescent="0.25">
      <c r="A101" t="s">
        <v>1320</v>
      </c>
      <c r="B101" t="s">
        <v>1321</v>
      </c>
      <c r="C101" t="s">
        <v>1181</v>
      </c>
      <c r="D101" t="s">
        <v>1027</v>
      </c>
      <c r="E101">
        <v>63765</v>
      </c>
      <c r="F101" t="s">
        <v>1182</v>
      </c>
      <c r="G101" t="b">
        <v>0</v>
      </c>
      <c r="H101" t="b">
        <v>0</v>
      </c>
      <c r="I101" t="s">
        <v>1050</v>
      </c>
      <c r="J101">
        <v>57</v>
      </c>
      <c r="K101" t="s">
        <v>2</v>
      </c>
      <c r="L101" t="s">
        <v>1167</v>
      </c>
      <c r="M101" t="s">
        <v>1168</v>
      </c>
      <c r="N101" t="s">
        <v>1169</v>
      </c>
      <c r="O101" t="s">
        <v>1168</v>
      </c>
      <c r="P101" t="s">
        <v>1183</v>
      </c>
    </row>
    <row r="102" spans="1:16" x14ac:dyDescent="0.25">
      <c r="A102" t="s">
        <v>1322</v>
      </c>
      <c r="B102" t="s">
        <v>1321</v>
      </c>
      <c r="C102" t="s">
        <v>1181</v>
      </c>
      <c r="D102" t="s">
        <v>1027</v>
      </c>
      <c r="E102">
        <v>63765</v>
      </c>
      <c r="F102" t="s">
        <v>1182</v>
      </c>
      <c r="G102" t="b">
        <v>0</v>
      </c>
      <c r="H102" t="b">
        <v>0</v>
      </c>
      <c r="I102" t="s">
        <v>1050</v>
      </c>
      <c r="J102">
        <v>57</v>
      </c>
      <c r="K102" t="s">
        <v>2</v>
      </c>
      <c r="L102" t="s">
        <v>1167</v>
      </c>
      <c r="M102" t="s">
        <v>1168</v>
      </c>
      <c r="N102" t="s">
        <v>1169</v>
      </c>
      <c r="O102" t="s">
        <v>1168</v>
      </c>
      <c r="P102" t="s">
        <v>1183</v>
      </c>
    </row>
    <row r="103" spans="1:16" x14ac:dyDescent="0.25">
      <c r="A103" t="s">
        <v>1323</v>
      </c>
      <c r="B103" t="s">
        <v>1321</v>
      </c>
      <c r="C103" t="s">
        <v>1181</v>
      </c>
      <c r="D103" t="s">
        <v>1027</v>
      </c>
      <c r="E103">
        <v>63765</v>
      </c>
      <c r="F103" t="s">
        <v>1182</v>
      </c>
      <c r="G103" t="b">
        <v>0</v>
      </c>
      <c r="H103" t="b">
        <v>0</v>
      </c>
      <c r="I103" t="s">
        <v>1050</v>
      </c>
      <c r="J103">
        <v>56</v>
      </c>
      <c r="K103" t="s">
        <v>2</v>
      </c>
      <c r="L103" t="s">
        <v>1167</v>
      </c>
      <c r="M103" t="s">
        <v>1168</v>
      </c>
      <c r="N103" t="s">
        <v>1169</v>
      </c>
      <c r="O103" t="s">
        <v>1168</v>
      </c>
      <c r="P103" t="s">
        <v>1183</v>
      </c>
    </row>
    <row r="104" spans="1:16" x14ac:dyDescent="0.25">
      <c r="A104" t="s">
        <v>1324</v>
      </c>
      <c r="B104" t="s">
        <v>1321</v>
      </c>
      <c r="C104" t="s">
        <v>1181</v>
      </c>
      <c r="D104" t="s">
        <v>1027</v>
      </c>
      <c r="E104">
        <v>63765</v>
      </c>
      <c r="F104" t="s">
        <v>1182</v>
      </c>
      <c r="G104" t="b">
        <v>0</v>
      </c>
      <c r="H104" t="b">
        <v>0</v>
      </c>
      <c r="I104" t="s">
        <v>1050</v>
      </c>
      <c r="J104">
        <v>56</v>
      </c>
      <c r="K104" t="s">
        <v>2</v>
      </c>
      <c r="L104" t="s">
        <v>1167</v>
      </c>
      <c r="M104" t="s">
        <v>1168</v>
      </c>
      <c r="N104" t="s">
        <v>1169</v>
      </c>
      <c r="O104" t="s">
        <v>1168</v>
      </c>
      <c r="P104" t="s">
        <v>1183</v>
      </c>
    </row>
    <row r="105" spans="1:16" x14ac:dyDescent="0.25">
      <c r="A105" t="s">
        <v>1325</v>
      </c>
      <c r="B105" t="s">
        <v>1326</v>
      </c>
      <c r="C105" t="s">
        <v>1217</v>
      </c>
      <c r="D105" t="s">
        <v>1027</v>
      </c>
      <c r="G105" t="b">
        <v>0</v>
      </c>
      <c r="H105" t="b">
        <v>0</v>
      </c>
      <c r="I105" t="s">
        <v>1050</v>
      </c>
      <c r="J105">
        <v>91</v>
      </c>
      <c r="K105" t="s">
        <v>0</v>
      </c>
      <c r="L105" t="s">
        <v>1167</v>
      </c>
      <c r="M105" t="s">
        <v>1168</v>
      </c>
      <c r="N105" t="s">
        <v>1169</v>
      </c>
      <c r="O105" t="s">
        <v>1168</v>
      </c>
      <c r="P105" t="s">
        <v>1219</v>
      </c>
    </row>
    <row r="106" spans="1:16" x14ac:dyDescent="0.25">
      <c r="A106" t="s">
        <v>1327</v>
      </c>
      <c r="B106" t="s">
        <v>1328</v>
      </c>
      <c r="C106" t="s">
        <v>1217</v>
      </c>
      <c r="D106" t="s">
        <v>1027</v>
      </c>
      <c r="G106" t="b">
        <v>0</v>
      </c>
      <c r="H106" t="b">
        <v>0</v>
      </c>
      <c r="I106" t="s">
        <v>1050</v>
      </c>
      <c r="J106">
        <v>91</v>
      </c>
      <c r="K106" t="s">
        <v>0</v>
      </c>
      <c r="L106" t="s">
        <v>1167</v>
      </c>
      <c r="M106" t="s">
        <v>1168</v>
      </c>
      <c r="N106" t="s">
        <v>1169</v>
      </c>
      <c r="O106" t="s">
        <v>1168</v>
      </c>
      <c r="P106" t="s">
        <v>1219</v>
      </c>
    </row>
    <row r="107" spans="1:16" x14ac:dyDescent="0.25">
      <c r="A107" t="s">
        <v>1329</v>
      </c>
      <c r="B107" t="s">
        <v>1330</v>
      </c>
      <c r="C107" t="s">
        <v>1217</v>
      </c>
      <c r="D107" t="s">
        <v>1027</v>
      </c>
      <c r="G107" t="b">
        <v>0</v>
      </c>
      <c r="H107" t="b">
        <v>0</v>
      </c>
      <c r="I107" t="s">
        <v>1050</v>
      </c>
      <c r="J107">
        <v>91</v>
      </c>
      <c r="K107" t="s">
        <v>0</v>
      </c>
      <c r="L107" t="s">
        <v>1167</v>
      </c>
      <c r="M107" t="s">
        <v>1168</v>
      </c>
      <c r="N107" t="s">
        <v>1169</v>
      </c>
      <c r="O107" t="s">
        <v>1168</v>
      </c>
      <c r="P107" t="s">
        <v>1219</v>
      </c>
    </row>
    <row r="108" spans="1:16" x14ac:dyDescent="0.25">
      <c r="A108" t="s">
        <v>1331</v>
      </c>
      <c r="B108" t="s">
        <v>1332</v>
      </c>
      <c r="C108" t="s">
        <v>1217</v>
      </c>
      <c r="D108" t="s">
        <v>1027</v>
      </c>
      <c r="G108" t="b">
        <v>0</v>
      </c>
      <c r="H108" t="b">
        <v>0</v>
      </c>
      <c r="I108" t="s">
        <v>1050</v>
      </c>
      <c r="J108">
        <v>91</v>
      </c>
      <c r="K108" t="s">
        <v>0</v>
      </c>
      <c r="L108" t="s">
        <v>1167</v>
      </c>
      <c r="M108" t="s">
        <v>1168</v>
      </c>
      <c r="N108" t="s">
        <v>1169</v>
      </c>
      <c r="O108" t="s">
        <v>1168</v>
      </c>
      <c r="P108" t="s">
        <v>1219</v>
      </c>
    </row>
    <row r="109" spans="1:16" x14ac:dyDescent="0.25">
      <c r="A109" t="s">
        <v>1333</v>
      </c>
      <c r="B109" t="s">
        <v>1334</v>
      </c>
      <c r="C109" t="s">
        <v>1335</v>
      </c>
      <c r="D109" t="s">
        <v>1027</v>
      </c>
      <c r="E109">
        <v>1459</v>
      </c>
      <c r="F109" t="s">
        <v>1336</v>
      </c>
      <c r="G109" t="b">
        <v>0</v>
      </c>
      <c r="H109" t="b">
        <v>0</v>
      </c>
      <c r="I109" t="s">
        <v>1050</v>
      </c>
      <c r="J109" t="s">
        <v>1053</v>
      </c>
      <c r="K109" t="s">
        <v>1043</v>
      </c>
    </row>
    <row r="110" spans="1:16" x14ac:dyDescent="0.25">
      <c r="A110" t="s">
        <v>1337</v>
      </c>
      <c r="B110" t="s">
        <v>1334</v>
      </c>
      <c r="C110" t="s">
        <v>1335</v>
      </c>
      <c r="D110" t="s">
        <v>1027</v>
      </c>
      <c r="E110">
        <v>1459</v>
      </c>
      <c r="F110" t="s">
        <v>1336</v>
      </c>
      <c r="G110" t="b">
        <v>0</v>
      </c>
      <c r="H110" t="b">
        <v>0</v>
      </c>
      <c r="I110" t="s">
        <v>1050</v>
      </c>
      <c r="J110" t="s">
        <v>1053</v>
      </c>
      <c r="K110" t="s">
        <v>1043</v>
      </c>
    </row>
    <row r="111" spans="1:16" x14ac:dyDescent="0.25">
      <c r="A111" t="s">
        <v>1338</v>
      </c>
      <c r="B111" t="s">
        <v>1334</v>
      </c>
      <c r="C111" t="s">
        <v>1335</v>
      </c>
      <c r="D111" t="s">
        <v>1027</v>
      </c>
      <c r="E111">
        <v>1459</v>
      </c>
      <c r="F111" t="s">
        <v>1336</v>
      </c>
      <c r="G111" t="b">
        <v>0</v>
      </c>
      <c r="H111" t="b">
        <v>0</v>
      </c>
      <c r="I111" t="s">
        <v>1050</v>
      </c>
      <c r="J111" t="s">
        <v>1053</v>
      </c>
      <c r="K111" t="s">
        <v>1043</v>
      </c>
    </row>
    <row r="112" spans="1:16" x14ac:dyDescent="0.25">
      <c r="A112" t="s">
        <v>1339</v>
      </c>
      <c r="B112" t="s">
        <v>1334</v>
      </c>
      <c r="C112" t="s">
        <v>1335</v>
      </c>
      <c r="D112" t="s">
        <v>1027</v>
      </c>
      <c r="E112">
        <v>1459</v>
      </c>
      <c r="F112" t="s">
        <v>1336</v>
      </c>
      <c r="G112" t="b">
        <v>0</v>
      </c>
      <c r="H112" t="b">
        <v>0</v>
      </c>
      <c r="I112" t="s">
        <v>1050</v>
      </c>
      <c r="J112" t="s">
        <v>1053</v>
      </c>
      <c r="K112" t="s">
        <v>1043</v>
      </c>
    </row>
    <row r="113" spans="1:16" x14ac:dyDescent="0.25">
      <c r="A113" t="s">
        <v>1340</v>
      </c>
      <c r="B113" t="s">
        <v>1334</v>
      </c>
      <c r="C113" t="s">
        <v>1335</v>
      </c>
      <c r="D113" t="s">
        <v>1027</v>
      </c>
      <c r="E113">
        <v>1459</v>
      </c>
      <c r="F113" t="s">
        <v>1336</v>
      </c>
      <c r="G113" t="b">
        <v>0</v>
      </c>
      <c r="H113" t="b">
        <v>0</v>
      </c>
      <c r="I113" t="s">
        <v>1050</v>
      </c>
      <c r="J113" t="s">
        <v>1053</v>
      </c>
      <c r="K113" t="s">
        <v>1043</v>
      </c>
    </row>
    <row r="114" spans="1:16" x14ac:dyDescent="0.25">
      <c r="A114" t="s">
        <v>1341</v>
      </c>
      <c r="B114" t="s">
        <v>1334</v>
      </c>
      <c r="C114" t="s">
        <v>1335</v>
      </c>
      <c r="D114" t="s">
        <v>1027</v>
      </c>
      <c r="E114">
        <v>1459</v>
      </c>
      <c r="F114" t="s">
        <v>1336</v>
      </c>
      <c r="G114" t="b">
        <v>0</v>
      </c>
      <c r="H114" t="b">
        <v>0</v>
      </c>
      <c r="I114" t="s">
        <v>1050</v>
      </c>
      <c r="J114" t="s">
        <v>1053</v>
      </c>
      <c r="K114" t="s">
        <v>1043</v>
      </c>
    </row>
    <row r="115" spans="1:16" x14ac:dyDescent="0.25">
      <c r="A115" t="s">
        <v>1342</v>
      </c>
      <c r="B115" t="s">
        <v>1343</v>
      </c>
      <c r="C115" t="s">
        <v>1181</v>
      </c>
      <c r="D115" t="s">
        <v>1027</v>
      </c>
      <c r="E115">
        <v>63765</v>
      </c>
      <c r="F115" t="s">
        <v>1182</v>
      </c>
      <c r="G115" t="b">
        <v>0</v>
      </c>
      <c r="H115" t="b">
        <v>0</v>
      </c>
      <c r="I115" t="s">
        <v>1050</v>
      </c>
      <c r="J115">
        <v>65</v>
      </c>
      <c r="K115" t="s">
        <v>2</v>
      </c>
      <c r="L115" t="s">
        <v>1167</v>
      </c>
      <c r="M115" t="s">
        <v>1168</v>
      </c>
      <c r="N115" t="s">
        <v>1169</v>
      </c>
      <c r="O115" t="s">
        <v>1168</v>
      </c>
      <c r="P115" t="s">
        <v>1183</v>
      </c>
    </row>
    <row r="116" spans="1:16" x14ac:dyDescent="0.25">
      <c r="A116" t="s">
        <v>1344</v>
      </c>
      <c r="B116" t="s">
        <v>1343</v>
      </c>
      <c r="C116" t="s">
        <v>1181</v>
      </c>
      <c r="D116" t="s">
        <v>1027</v>
      </c>
      <c r="E116">
        <v>63765</v>
      </c>
      <c r="F116" t="s">
        <v>1182</v>
      </c>
      <c r="G116" t="b">
        <v>0</v>
      </c>
      <c r="H116" t="b">
        <v>0</v>
      </c>
      <c r="I116" t="s">
        <v>1050</v>
      </c>
      <c r="J116">
        <v>65</v>
      </c>
      <c r="K116" t="s">
        <v>2</v>
      </c>
      <c r="L116" t="s">
        <v>1167</v>
      </c>
      <c r="M116" t="s">
        <v>1168</v>
      </c>
      <c r="N116" t="s">
        <v>1169</v>
      </c>
      <c r="O116" t="s">
        <v>1168</v>
      </c>
      <c r="P116" t="s">
        <v>1183</v>
      </c>
    </row>
    <row r="117" spans="1:16" x14ac:dyDescent="0.25">
      <c r="A117" t="s">
        <v>1345</v>
      </c>
      <c r="B117" t="s">
        <v>1343</v>
      </c>
      <c r="C117" t="s">
        <v>1181</v>
      </c>
      <c r="D117" t="s">
        <v>1027</v>
      </c>
      <c r="E117">
        <v>63765</v>
      </c>
      <c r="F117" t="s">
        <v>1182</v>
      </c>
      <c r="G117" t="b">
        <v>0</v>
      </c>
      <c r="H117" t="b">
        <v>0</v>
      </c>
      <c r="I117" t="s">
        <v>1050</v>
      </c>
      <c r="J117">
        <v>65</v>
      </c>
      <c r="K117" t="s">
        <v>2</v>
      </c>
      <c r="L117" t="s">
        <v>1167</v>
      </c>
      <c r="M117" t="s">
        <v>1168</v>
      </c>
      <c r="N117" t="s">
        <v>1169</v>
      </c>
      <c r="O117" t="s">
        <v>1168</v>
      </c>
      <c r="P117" t="s">
        <v>1183</v>
      </c>
    </row>
    <row r="118" spans="1:16" x14ac:dyDescent="0.25">
      <c r="A118" t="s">
        <v>1346</v>
      </c>
      <c r="B118" t="s">
        <v>1343</v>
      </c>
      <c r="C118" t="s">
        <v>1181</v>
      </c>
      <c r="D118" t="s">
        <v>1027</v>
      </c>
      <c r="E118">
        <v>63765</v>
      </c>
      <c r="F118" t="s">
        <v>1182</v>
      </c>
      <c r="G118" t="b">
        <v>0</v>
      </c>
      <c r="H118" t="b">
        <v>0</v>
      </c>
      <c r="I118" t="s">
        <v>1050</v>
      </c>
      <c r="J118">
        <v>65</v>
      </c>
      <c r="K118" t="s">
        <v>2</v>
      </c>
      <c r="L118" t="s">
        <v>1167</v>
      </c>
      <c r="M118" t="s">
        <v>1168</v>
      </c>
      <c r="N118" t="s">
        <v>1169</v>
      </c>
      <c r="O118" t="s">
        <v>1168</v>
      </c>
      <c r="P118" t="s">
        <v>1183</v>
      </c>
    </row>
    <row r="119" spans="1:16" x14ac:dyDescent="0.25">
      <c r="A119" t="s">
        <v>1347</v>
      </c>
      <c r="B119" t="s">
        <v>1343</v>
      </c>
      <c r="C119" t="s">
        <v>1181</v>
      </c>
      <c r="D119" t="s">
        <v>1027</v>
      </c>
      <c r="E119">
        <v>63765</v>
      </c>
      <c r="F119" t="s">
        <v>1182</v>
      </c>
      <c r="G119" t="b">
        <v>0</v>
      </c>
      <c r="H119" t="b">
        <v>0</v>
      </c>
      <c r="I119" t="s">
        <v>1050</v>
      </c>
      <c r="J119">
        <v>65</v>
      </c>
      <c r="K119" t="s">
        <v>2</v>
      </c>
      <c r="L119" t="s">
        <v>1167</v>
      </c>
      <c r="M119" t="s">
        <v>1168</v>
      </c>
      <c r="N119" t="s">
        <v>1169</v>
      </c>
      <c r="O119" t="s">
        <v>1168</v>
      </c>
      <c r="P119" t="s">
        <v>1183</v>
      </c>
    </row>
    <row r="120" spans="1:16" x14ac:dyDescent="0.25">
      <c r="A120" t="s">
        <v>1348</v>
      </c>
      <c r="B120" t="s">
        <v>1343</v>
      </c>
      <c r="C120" t="s">
        <v>1181</v>
      </c>
      <c r="D120" t="s">
        <v>1027</v>
      </c>
      <c r="E120">
        <v>63765</v>
      </c>
      <c r="F120" t="s">
        <v>1182</v>
      </c>
      <c r="G120" t="b">
        <v>0</v>
      </c>
      <c r="H120" t="b">
        <v>0</v>
      </c>
      <c r="I120" t="s">
        <v>1050</v>
      </c>
      <c r="J120">
        <v>65</v>
      </c>
      <c r="K120" t="s">
        <v>2</v>
      </c>
      <c r="L120" t="s">
        <v>1167</v>
      </c>
      <c r="M120" t="s">
        <v>1168</v>
      </c>
      <c r="N120" t="s">
        <v>1169</v>
      </c>
      <c r="O120" t="s">
        <v>1168</v>
      </c>
      <c r="P120" t="s">
        <v>1183</v>
      </c>
    </row>
    <row r="121" spans="1:16" x14ac:dyDescent="0.25">
      <c r="A121" t="s">
        <v>1349</v>
      </c>
      <c r="B121" t="s">
        <v>1343</v>
      </c>
      <c r="C121" t="s">
        <v>1181</v>
      </c>
      <c r="D121" t="s">
        <v>1027</v>
      </c>
      <c r="E121">
        <v>63765</v>
      </c>
      <c r="F121" t="s">
        <v>1182</v>
      </c>
      <c r="G121" t="b">
        <v>0</v>
      </c>
      <c r="H121" t="b">
        <v>0</v>
      </c>
      <c r="I121" t="s">
        <v>1050</v>
      </c>
      <c r="J121">
        <v>65</v>
      </c>
      <c r="K121" t="s">
        <v>2</v>
      </c>
      <c r="L121" t="s">
        <v>1167</v>
      </c>
      <c r="M121" t="s">
        <v>1168</v>
      </c>
      <c r="N121" t="s">
        <v>1169</v>
      </c>
      <c r="O121" t="s">
        <v>1168</v>
      </c>
      <c r="P121" t="s">
        <v>1183</v>
      </c>
    </row>
    <row r="122" spans="1:16" x14ac:dyDescent="0.25">
      <c r="A122" t="s">
        <v>1350</v>
      </c>
      <c r="B122" t="s">
        <v>1343</v>
      </c>
      <c r="C122" t="s">
        <v>1181</v>
      </c>
      <c r="D122" t="s">
        <v>1027</v>
      </c>
      <c r="E122">
        <v>63765</v>
      </c>
      <c r="F122" t="s">
        <v>1182</v>
      </c>
      <c r="G122" t="b">
        <v>0</v>
      </c>
      <c r="H122" t="b">
        <v>0</v>
      </c>
      <c r="I122" t="s">
        <v>1050</v>
      </c>
      <c r="J122">
        <v>65</v>
      </c>
      <c r="K122" t="s">
        <v>2</v>
      </c>
      <c r="L122" t="s">
        <v>1167</v>
      </c>
      <c r="M122" t="s">
        <v>1168</v>
      </c>
      <c r="N122" t="s">
        <v>1169</v>
      </c>
      <c r="O122" t="s">
        <v>1168</v>
      </c>
      <c r="P122" t="s">
        <v>1183</v>
      </c>
    </row>
    <row r="123" spans="1:16" x14ac:dyDescent="0.25">
      <c r="A123" t="s">
        <v>1351</v>
      </c>
      <c r="B123" t="s">
        <v>1343</v>
      </c>
      <c r="C123" t="s">
        <v>1181</v>
      </c>
      <c r="D123" t="s">
        <v>1027</v>
      </c>
      <c r="E123">
        <v>63765</v>
      </c>
      <c r="F123" t="s">
        <v>1182</v>
      </c>
      <c r="G123" t="b">
        <v>0</v>
      </c>
      <c r="H123" t="b">
        <v>0</v>
      </c>
      <c r="I123" t="s">
        <v>1050</v>
      </c>
      <c r="J123">
        <v>65</v>
      </c>
      <c r="K123" t="s">
        <v>2</v>
      </c>
      <c r="L123" t="s">
        <v>1167</v>
      </c>
      <c r="M123" t="s">
        <v>1168</v>
      </c>
      <c r="N123" t="s">
        <v>1169</v>
      </c>
      <c r="O123" t="s">
        <v>1168</v>
      </c>
      <c r="P123" t="s">
        <v>1183</v>
      </c>
    </row>
    <row r="124" spans="1:16" x14ac:dyDescent="0.25">
      <c r="A124" t="s">
        <v>1352</v>
      </c>
      <c r="B124" t="s">
        <v>1343</v>
      </c>
      <c r="C124" t="s">
        <v>1181</v>
      </c>
      <c r="D124" t="s">
        <v>1027</v>
      </c>
      <c r="E124">
        <v>63765</v>
      </c>
      <c r="F124" t="s">
        <v>1182</v>
      </c>
      <c r="G124" t="b">
        <v>0</v>
      </c>
      <c r="H124" t="b">
        <v>0</v>
      </c>
      <c r="I124" t="s">
        <v>1050</v>
      </c>
      <c r="J124">
        <v>65</v>
      </c>
      <c r="K124" t="s">
        <v>2</v>
      </c>
      <c r="L124" t="s">
        <v>1167</v>
      </c>
      <c r="M124" t="s">
        <v>1168</v>
      </c>
      <c r="N124" t="s">
        <v>1169</v>
      </c>
      <c r="O124" t="s">
        <v>1168</v>
      </c>
      <c r="P124" t="s">
        <v>1183</v>
      </c>
    </row>
    <row r="125" spans="1:16" x14ac:dyDescent="0.25">
      <c r="A125" t="s">
        <v>1353</v>
      </c>
      <c r="B125" t="s">
        <v>1343</v>
      </c>
      <c r="C125" t="s">
        <v>1181</v>
      </c>
      <c r="D125" t="s">
        <v>1027</v>
      </c>
      <c r="E125">
        <v>63765</v>
      </c>
      <c r="F125" t="s">
        <v>1182</v>
      </c>
      <c r="G125" t="b">
        <v>0</v>
      </c>
      <c r="H125" t="b">
        <v>0</v>
      </c>
      <c r="I125" t="s">
        <v>1050</v>
      </c>
      <c r="J125">
        <v>65</v>
      </c>
      <c r="K125" t="s">
        <v>2</v>
      </c>
      <c r="L125" t="s">
        <v>1167</v>
      </c>
      <c r="M125" t="s">
        <v>1168</v>
      </c>
      <c r="N125" t="s">
        <v>1169</v>
      </c>
      <c r="O125" t="s">
        <v>1168</v>
      </c>
      <c r="P125" t="s">
        <v>1183</v>
      </c>
    </row>
    <row r="126" spans="1:16" x14ac:dyDescent="0.25">
      <c r="A126" t="s">
        <v>1354</v>
      </c>
      <c r="B126" t="s">
        <v>1343</v>
      </c>
      <c r="C126" t="s">
        <v>1181</v>
      </c>
      <c r="D126" t="s">
        <v>1027</v>
      </c>
      <c r="E126">
        <v>63765</v>
      </c>
      <c r="F126" t="s">
        <v>1182</v>
      </c>
      <c r="G126" t="b">
        <v>0</v>
      </c>
      <c r="H126" t="b">
        <v>0</v>
      </c>
      <c r="I126" t="s">
        <v>1050</v>
      </c>
      <c r="J126">
        <v>65</v>
      </c>
      <c r="K126" t="s">
        <v>2</v>
      </c>
      <c r="L126" t="s">
        <v>1167</v>
      </c>
      <c r="M126" t="s">
        <v>1168</v>
      </c>
      <c r="N126" t="s">
        <v>1169</v>
      </c>
      <c r="O126" t="s">
        <v>1168</v>
      </c>
      <c r="P126" t="s">
        <v>1183</v>
      </c>
    </row>
    <row r="127" spans="1:16" x14ac:dyDescent="0.25">
      <c r="A127" t="s">
        <v>1355</v>
      </c>
      <c r="B127" t="s">
        <v>1343</v>
      </c>
      <c r="C127" t="s">
        <v>1181</v>
      </c>
      <c r="D127" t="s">
        <v>1027</v>
      </c>
      <c r="E127">
        <v>63765</v>
      </c>
      <c r="F127" t="s">
        <v>1182</v>
      </c>
      <c r="G127" t="b">
        <v>0</v>
      </c>
      <c r="H127" t="b">
        <v>0</v>
      </c>
      <c r="I127" t="s">
        <v>1050</v>
      </c>
      <c r="J127">
        <v>65</v>
      </c>
      <c r="K127" t="s">
        <v>2</v>
      </c>
      <c r="L127" t="s">
        <v>1167</v>
      </c>
      <c r="M127" t="s">
        <v>1168</v>
      </c>
      <c r="N127" t="s">
        <v>1169</v>
      </c>
      <c r="O127" t="s">
        <v>1168</v>
      </c>
      <c r="P127" t="s">
        <v>1183</v>
      </c>
    </row>
    <row r="128" spans="1:16" x14ac:dyDescent="0.25">
      <c r="A128" t="s">
        <v>1356</v>
      </c>
      <c r="B128" t="s">
        <v>1343</v>
      </c>
      <c r="C128" t="s">
        <v>1181</v>
      </c>
      <c r="D128" t="s">
        <v>1027</v>
      </c>
      <c r="E128">
        <v>63765</v>
      </c>
      <c r="F128" t="s">
        <v>1182</v>
      </c>
      <c r="G128" t="b">
        <v>0</v>
      </c>
      <c r="H128" t="b">
        <v>0</v>
      </c>
      <c r="I128" t="s">
        <v>1050</v>
      </c>
      <c r="J128">
        <v>65</v>
      </c>
      <c r="K128" t="s">
        <v>2</v>
      </c>
      <c r="L128" t="s">
        <v>1167</v>
      </c>
      <c r="M128" t="s">
        <v>1168</v>
      </c>
      <c r="N128" t="s">
        <v>1169</v>
      </c>
      <c r="O128" t="s">
        <v>1168</v>
      </c>
      <c r="P128" t="s">
        <v>1183</v>
      </c>
    </row>
    <row r="129" spans="1:16" x14ac:dyDescent="0.25">
      <c r="A129" t="s">
        <v>1357</v>
      </c>
      <c r="B129" t="s">
        <v>1343</v>
      </c>
      <c r="C129" t="s">
        <v>1181</v>
      </c>
      <c r="D129" t="s">
        <v>1027</v>
      </c>
      <c r="E129">
        <v>63765</v>
      </c>
      <c r="F129" t="s">
        <v>1182</v>
      </c>
      <c r="G129" t="b">
        <v>0</v>
      </c>
      <c r="H129" t="b">
        <v>0</v>
      </c>
      <c r="I129" t="s">
        <v>1050</v>
      </c>
      <c r="J129">
        <v>65</v>
      </c>
      <c r="K129" t="s">
        <v>2</v>
      </c>
      <c r="L129" t="s">
        <v>1167</v>
      </c>
      <c r="M129" t="s">
        <v>1168</v>
      </c>
      <c r="N129" t="s">
        <v>1169</v>
      </c>
      <c r="O129" t="s">
        <v>1168</v>
      </c>
      <c r="P129" t="s">
        <v>1183</v>
      </c>
    </row>
    <row r="130" spans="1:16" x14ac:dyDescent="0.25">
      <c r="A130" t="s">
        <v>1358</v>
      </c>
      <c r="B130" t="s">
        <v>1343</v>
      </c>
      <c r="C130" t="s">
        <v>1181</v>
      </c>
      <c r="D130" t="s">
        <v>1027</v>
      </c>
      <c r="E130">
        <v>63765</v>
      </c>
      <c r="F130" t="s">
        <v>1182</v>
      </c>
      <c r="G130" t="b">
        <v>0</v>
      </c>
      <c r="H130" t="b">
        <v>0</v>
      </c>
      <c r="I130" t="s">
        <v>1050</v>
      </c>
      <c r="J130">
        <v>65</v>
      </c>
      <c r="K130" t="s">
        <v>2</v>
      </c>
      <c r="L130" t="s">
        <v>1167</v>
      </c>
      <c r="M130" t="s">
        <v>1168</v>
      </c>
      <c r="N130" t="s">
        <v>1169</v>
      </c>
      <c r="O130" t="s">
        <v>1168</v>
      </c>
      <c r="P130" t="s">
        <v>1183</v>
      </c>
    </row>
    <row r="131" spans="1:16" x14ac:dyDescent="0.25">
      <c r="A131" t="s">
        <v>1359</v>
      </c>
      <c r="B131" t="s">
        <v>1343</v>
      </c>
      <c r="C131" t="s">
        <v>1181</v>
      </c>
      <c r="D131" t="s">
        <v>1027</v>
      </c>
      <c r="E131">
        <v>63765</v>
      </c>
      <c r="F131" t="s">
        <v>1182</v>
      </c>
      <c r="G131" t="b">
        <v>0</v>
      </c>
      <c r="H131" t="b">
        <v>0</v>
      </c>
      <c r="I131" t="s">
        <v>1050</v>
      </c>
      <c r="J131">
        <v>65</v>
      </c>
      <c r="K131" t="s">
        <v>2</v>
      </c>
      <c r="L131" t="s">
        <v>1167</v>
      </c>
      <c r="M131" t="s">
        <v>1168</v>
      </c>
      <c r="N131" t="s">
        <v>1169</v>
      </c>
      <c r="O131" t="s">
        <v>1168</v>
      </c>
      <c r="P131" t="s">
        <v>1183</v>
      </c>
    </row>
    <row r="132" spans="1:16" x14ac:dyDescent="0.25">
      <c r="A132" t="s">
        <v>1360</v>
      </c>
      <c r="B132" t="s">
        <v>1343</v>
      </c>
      <c r="C132" t="s">
        <v>1181</v>
      </c>
      <c r="D132" t="s">
        <v>1027</v>
      </c>
      <c r="E132">
        <v>63765</v>
      </c>
      <c r="F132" t="s">
        <v>1182</v>
      </c>
      <c r="G132" t="b">
        <v>0</v>
      </c>
      <c r="H132" t="b">
        <v>0</v>
      </c>
      <c r="I132" t="s">
        <v>1050</v>
      </c>
      <c r="J132">
        <v>65</v>
      </c>
      <c r="K132" t="s">
        <v>2</v>
      </c>
      <c r="L132" t="s">
        <v>1167</v>
      </c>
      <c r="M132" t="s">
        <v>1168</v>
      </c>
      <c r="N132" t="s">
        <v>1169</v>
      </c>
      <c r="O132" t="s">
        <v>1168</v>
      </c>
      <c r="P132" t="s">
        <v>1183</v>
      </c>
    </row>
    <row r="133" spans="1:16" x14ac:dyDescent="0.25">
      <c r="A133" t="s">
        <v>1361</v>
      </c>
      <c r="B133" t="s">
        <v>1343</v>
      </c>
      <c r="C133" t="s">
        <v>1181</v>
      </c>
      <c r="D133" t="s">
        <v>1027</v>
      </c>
      <c r="E133">
        <v>63765</v>
      </c>
      <c r="F133" t="s">
        <v>1182</v>
      </c>
      <c r="G133" t="b">
        <v>0</v>
      </c>
      <c r="H133" t="b">
        <v>0</v>
      </c>
      <c r="I133" t="s">
        <v>1050</v>
      </c>
      <c r="J133">
        <v>65</v>
      </c>
      <c r="K133" t="s">
        <v>2</v>
      </c>
      <c r="L133" t="s">
        <v>1167</v>
      </c>
      <c r="M133" t="s">
        <v>1168</v>
      </c>
      <c r="N133" t="s">
        <v>1169</v>
      </c>
      <c r="O133" t="s">
        <v>1168</v>
      </c>
      <c r="P133" t="s">
        <v>1183</v>
      </c>
    </row>
    <row r="134" spans="1:16" x14ac:dyDescent="0.25">
      <c r="A134" t="s">
        <v>1362</v>
      </c>
      <c r="B134" t="s">
        <v>1343</v>
      </c>
      <c r="C134" t="s">
        <v>1181</v>
      </c>
      <c r="D134" t="s">
        <v>1027</v>
      </c>
      <c r="E134">
        <v>63765</v>
      </c>
      <c r="F134" t="s">
        <v>1182</v>
      </c>
      <c r="G134" t="b">
        <v>0</v>
      </c>
      <c r="H134" t="b">
        <v>0</v>
      </c>
      <c r="I134" t="s">
        <v>1050</v>
      </c>
      <c r="J134">
        <v>65</v>
      </c>
      <c r="K134" t="s">
        <v>2</v>
      </c>
      <c r="L134" t="s">
        <v>1167</v>
      </c>
      <c r="M134" t="s">
        <v>1168</v>
      </c>
      <c r="N134" t="s">
        <v>1169</v>
      </c>
      <c r="O134" t="s">
        <v>1168</v>
      </c>
      <c r="P134" t="s">
        <v>1183</v>
      </c>
    </row>
    <row r="135" spans="1:16" x14ac:dyDescent="0.25">
      <c r="A135" t="s">
        <v>1363</v>
      </c>
      <c r="B135" t="s">
        <v>1343</v>
      </c>
      <c r="C135" t="s">
        <v>1181</v>
      </c>
      <c r="D135" t="s">
        <v>1027</v>
      </c>
      <c r="E135">
        <v>63765</v>
      </c>
      <c r="F135" t="s">
        <v>1182</v>
      </c>
      <c r="G135" t="b">
        <v>0</v>
      </c>
      <c r="H135" t="b">
        <v>0</v>
      </c>
      <c r="I135" t="s">
        <v>1050</v>
      </c>
      <c r="J135">
        <v>65</v>
      </c>
      <c r="K135" t="s">
        <v>2</v>
      </c>
      <c r="L135" t="s">
        <v>1167</v>
      </c>
      <c r="M135" t="s">
        <v>1168</v>
      </c>
      <c r="N135" t="s">
        <v>1169</v>
      </c>
      <c r="O135" t="s">
        <v>1168</v>
      </c>
      <c r="P135" t="s">
        <v>1183</v>
      </c>
    </row>
    <row r="136" spans="1:16" x14ac:dyDescent="0.25">
      <c r="A136" t="s">
        <v>1364</v>
      </c>
      <c r="B136" t="s">
        <v>1343</v>
      </c>
      <c r="C136" t="s">
        <v>1181</v>
      </c>
      <c r="D136" t="s">
        <v>1027</v>
      </c>
      <c r="E136">
        <v>63765</v>
      </c>
      <c r="F136" t="s">
        <v>1182</v>
      </c>
      <c r="G136" t="b">
        <v>0</v>
      </c>
      <c r="H136" t="b">
        <v>0</v>
      </c>
      <c r="I136" t="s">
        <v>1050</v>
      </c>
      <c r="J136">
        <v>65</v>
      </c>
      <c r="K136" t="s">
        <v>2</v>
      </c>
      <c r="L136" t="s">
        <v>1167</v>
      </c>
      <c r="M136" t="s">
        <v>1168</v>
      </c>
      <c r="N136" t="s">
        <v>1169</v>
      </c>
      <c r="O136" t="s">
        <v>1168</v>
      </c>
      <c r="P136" t="s">
        <v>1183</v>
      </c>
    </row>
    <row r="137" spans="1:16" x14ac:dyDescent="0.25">
      <c r="A137" t="s">
        <v>1365</v>
      </c>
      <c r="B137" t="s">
        <v>1343</v>
      </c>
      <c r="C137" t="s">
        <v>1181</v>
      </c>
      <c r="D137" t="s">
        <v>1027</v>
      </c>
      <c r="E137">
        <v>63765</v>
      </c>
      <c r="F137" t="s">
        <v>1182</v>
      </c>
      <c r="G137" t="b">
        <v>0</v>
      </c>
      <c r="H137" t="b">
        <v>0</v>
      </c>
      <c r="I137" t="s">
        <v>1050</v>
      </c>
      <c r="J137">
        <v>65</v>
      </c>
      <c r="K137" t="s">
        <v>2</v>
      </c>
      <c r="L137" t="s">
        <v>1167</v>
      </c>
      <c r="M137" t="s">
        <v>1168</v>
      </c>
      <c r="N137" t="s">
        <v>1169</v>
      </c>
      <c r="O137" t="s">
        <v>1168</v>
      </c>
      <c r="P137" t="s">
        <v>1183</v>
      </c>
    </row>
    <row r="138" spans="1:16" x14ac:dyDescent="0.25">
      <c r="A138" t="s">
        <v>1366</v>
      </c>
      <c r="B138" t="s">
        <v>1343</v>
      </c>
      <c r="C138" t="s">
        <v>1181</v>
      </c>
      <c r="D138" t="s">
        <v>1027</v>
      </c>
      <c r="E138">
        <v>63765</v>
      </c>
      <c r="F138" t="s">
        <v>1182</v>
      </c>
      <c r="G138" t="b">
        <v>0</v>
      </c>
      <c r="H138" t="b">
        <v>0</v>
      </c>
      <c r="I138" t="s">
        <v>1050</v>
      </c>
      <c r="J138">
        <v>65</v>
      </c>
      <c r="K138" t="s">
        <v>2</v>
      </c>
      <c r="L138" t="s">
        <v>1167</v>
      </c>
      <c r="M138" t="s">
        <v>1168</v>
      </c>
      <c r="N138" t="s">
        <v>1169</v>
      </c>
      <c r="O138" t="s">
        <v>1168</v>
      </c>
      <c r="P138" t="s">
        <v>1183</v>
      </c>
    </row>
    <row r="139" spans="1:16" x14ac:dyDescent="0.25">
      <c r="A139" t="s">
        <v>1367</v>
      </c>
      <c r="B139" t="s">
        <v>1343</v>
      </c>
      <c r="C139" t="s">
        <v>1181</v>
      </c>
      <c r="D139" t="s">
        <v>1027</v>
      </c>
      <c r="E139">
        <v>63765</v>
      </c>
      <c r="F139" t="s">
        <v>1182</v>
      </c>
      <c r="G139" t="b">
        <v>0</v>
      </c>
      <c r="H139" t="b">
        <v>0</v>
      </c>
      <c r="I139" t="s">
        <v>1050</v>
      </c>
      <c r="J139">
        <v>65</v>
      </c>
      <c r="K139" t="s">
        <v>2</v>
      </c>
      <c r="L139" t="s">
        <v>1167</v>
      </c>
      <c r="M139" t="s">
        <v>1168</v>
      </c>
      <c r="N139" t="s">
        <v>1169</v>
      </c>
      <c r="O139" t="s">
        <v>1168</v>
      </c>
      <c r="P139" t="s">
        <v>1183</v>
      </c>
    </row>
    <row r="140" spans="1:16" x14ac:dyDescent="0.25">
      <c r="A140" t="s">
        <v>1368</v>
      </c>
      <c r="B140" t="s">
        <v>1369</v>
      </c>
      <c r="C140" t="s">
        <v>1181</v>
      </c>
      <c r="D140" t="s">
        <v>1027</v>
      </c>
      <c r="E140">
        <v>63765</v>
      </c>
      <c r="F140" t="s">
        <v>1182</v>
      </c>
      <c r="G140" t="b">
        <v>0</v>
      </c>
      <c r="H140" t="b">
        <v>0</v>
      </c>
      <c r="I140" t="s">
        <v>1050</v>
      </c>
      <c r="J140">
        <v>28</v>
      </c>
      <c r="K140" t="s">
        <v>2</v>
      </c>
      <c r="L140" t="s">
        <v>1167</v>
      </c>
      <c r="M140" t="s">
        <v>1168</v>
      </c>
      <c r="N140" t="s">
        <v>1169</v>
      </c>
      <c r="O140" t="s">
        <v>1168</v>
      </c>
      <c r="P140" t="s">
        <v>1183</v>
      </c>
    </row>
    <row r="141" spans="1:16" x14ac:dyDescent="0.25">
      <c r="A141" t="s">
        <v>1370</v>
      </c>
      <c r="B141" t="s">
        <v>1369</v>
      </c>
      <c r="C141" t="s">
        <v>1181</v>
      </c>
      <c r="D141" t="s">
        <v>1027</v>
      </c>
      <c r="E141">
        <v>63765</v>
      </c>
      <c r="F141" t="s">
        <v>1182</v>
      </c>
      <c r="G141" t="b">
        <v>0</v>
      </c>
      <c r="H141" t="b">
        <v>0</v>
      </c>
      <c r="I141" t="s">
        <v>1050</v>
      </c>
      <c r="J141">
        <v>30</v>
      </c>
      <c r="K141" t="s">
        <v>2</v>
      </c>
      <c r="L141" t="s">
        <v>1167</v>
      </c>
      <c r="M141" t="s">
        <v>1168</v>
      </c>
      <c r="N141" t="s">
        <v>1169</v>
      </c>
      <c r="O141" t="s">
        <v>1168</v>
      </c>
      <c r="P141" t="s">
        <v>1183</v>
      </c>
    </row>
    <row r="142" spans="1:16" x14ac:dyDescent="0.25">
      <c r="A142" t="s">
        <v>1371</v>
      </c>
      <c r="B142" t="s">
        <v>1369</v>
      </c>
      <c r="C142" t="s">
        <v>1181</v>
      </c>
      <c r="D142" t="s">
        <v>1027</v>
      </c>
      <c r="E142">
        <v>63765</v>
      </c>
      <c r="F142" t="s">
        <v>1182</v>
      </c>
      <c r="G142" t="b">
        <v>0</v>
      </c>
      <c r="H142" t="b">
        <v>0</v>
      </c>
      <c r="I142" t="s">
        <v>1050</v>
      </c>
      <c r="J142">
        <v>30</v>
      </c>
      <c r="K142" t="s">
        <v>2</v>
      </c>
      <c r="L142" t="s">
        <v>1167</v>
      </c>
      <c r="M142" t="s">
        <v>1168</v>
      </c>
      <c r="N142" t="s">
        <v>1169</v>
      </c>
      <c r="O142" t="s">
        <v>1168</v>
      </c>
      <c r="P142" t="s">
        <v>1183</v>
      </c>
    </row>
    <row r="143" spans="1:16" x14ac:dyDescent="0.25">
      <c r="A143" t="s">
        <v>1372</v>
      </c>
      <c r="B143" t="s">
        <v>1369</v>
      </c>
      <c r="C143" t="s">
        <v>1181</v>
      </c>
      <c r="D143" t="s">
        <v>1027</v>
      </c>
      <c r="E143">
        <v>63765</v>
      </c>
      <c r="F143" t="s">
        <v>1182</v>
      </c>
      <c r="G143" t="b">
        <v>0</v>
      </c>
      <c r="H143" t="b">
        <v>0</v>
      </c>
      <c r="I143" t="s">
        <v>1050</v>
      </c>
      <c r="J143">
        <v>30</v>
      </c>
      <c r="K143" t="s">
        <v>2</v>
      </c>
      <c r="L143" t="s">
        <v>1167</v>
      </c>
      <c r="M143" t="s">
        <v>1168</v>
      </c>
      <c r="N143" t="s">
        <v>1169</v>
      </c>
      <c r="O143" t="s">
        <v>1168</v>
      </c>
      <c r="P143" t="s">
        <v>1183</v>
      </c>
    </row>
    <row r="144" spans="1:16" x14ac:dyDescent="0.25">
      <c r="A144" t="s">
        <v>1373</v>
      </c>
      <c r="B144" t="s">
        <v>1369</v>
      </c>
      <c r="C144" t="s">
        <v>1181</v>
      </c>
      <c r="D144" t="s">
        <v>1027</v>
      </c>
      <c r="E144">
        <v>63765</v>
      </c>
      <c r="F144" t="s">
        <v>1182</v>
      </c>
      <c r="G144" t="b">
        <v>0</v>
      </c>
      <c r="H144" t="b">
        <v>0</v>
      </c>
      <c r="I144" t="s">
        <v>1050</v>
      </c>
      <c r="J144">
        <v>30</v>
      </c>
      <c r="K144" t="s">
        <v>2</v>
      </c>
      <c r="L144" t="s">
        <v>1167</v>
      </c>
      <c r="M144" t="s">
        <v>1168</v>
      </c>
      <c r="N144" t="s">
        <v>1169</v>
      </c>
      <c r="O144" t="s">
        <v>1168</v>
      </c>
      <c r="P144" t="s">
        <v>1183</v>
      </c>
    </row>
    <row r="145" spans="1:16" x14ac:dyDescent="0.25">
      <c r="A145" t="s">
        <v>1374</v>
      </c>
      <c r="B145" t="s">
        <v>1369</v>
      </c>
      <c r="C145" t="s">
        <v>1181</v>
      </c>
      <c r="D145" t="s">
        <v>1027</v>
      </c>
      <c r="E145">
        <v>63765</v>
      </c>
      <c r="F145" t="s">
        <v>1182</v>
      </c>
      <c r="G145" t="b">
        <v>0</v>
      </c>
      <c r="H145" t="b">
        <v>0</v>
      </c>
      <c r="I145" t="s">
        <v>1050</v>
      </c>
      <c r="J145">
        <v>52</v>
      </c>
      <c r="K145" t="s">
        <v>2</v>
      </c>
      <c r="L145" t="s">
        <v>1167</v>
      </c>
      <c r="M145" t="s">
        <v>1168</v>
      </c>
      <c r="N145" t="s">
        <v>1169</v>
      </c>
      <c r="O145" t="s">
        <v>1168</v>
      </c>
      <c r="P145" t="s">
        <v>1183</v>
      </c>
    </row>
    <row r="146" spans="1:16" x14ac:dyDescent="0.25">
      <c r="A146" t="s">
        <v>1375</v>
      </c>
      <c r="B146" t="s">
        <v>1369</v>
      </c>
      <c r="C146" t="s">
        <v>1181</v>
      </c>
      <c r="D146" t="s">
        <v>1027</v>
      </c>
      <c r="E146">
        <v>63765</v>
      </c>
      <c r="F146" t="s">
        <v>1182</v>
      </c>
      <c r="G146" t="b">
        <v>0</v>
      </c>
      <c r="H146" t="b">
        <v>0</v>
      </c>
      <c r="I146" t="s">
        <v>1050</v>
      </c>
      <c r="J146">
        <v>52</v>
      </c>
      <c r="K146" t="s">
        <v>2</v>
      </c>
      <c r="L146" t="s">
        <v>1167</v>
      </c>
      <c r="M146" t="s">
        <v>1168</v>
      </c>
      <c r="N146" t="s">
        <v>1169</v>
      </c>
      <c r="O146" t="s">
        <v>1168</v>
      </c>
      <c r="P146" t="s">
        <v>1183</v>
      </c>
    </row>
    <row r="147" spans="1:16" x14ac:dyDescent="0.25">
      <c r="A147" t="s">
        <v>1376</v>
      </c>
      <c r="B147" t="s">
        <v>1377</v>
      </c>
      <c r="C147" t="s">
        <v>1211</v>
      </c>
      <c r="D147" t="s">
        <v>1027</v>
      </c>
      <c r="E147">
        <v>1383</v>
      </c>
      <c r="F147" t="s">
        <v>1212</v>
      </c>
      <c r="G147" t="b">
        <v>0</v>
      </c>
      <c r="H147" t="b">
        <v>0</v>
      </c>
      <c r="I147" t="s">
        <v>1050</v>
      </c>
      <c r="J147">
        <v>90</v>
      </c>
      <c r="K147" t="s">
        <v>2</v>
      </c>
      <c r="L147" t="s">
        <v>1169</v>
      </c>
      <c r="M147" t="s">
        <v>1168</v>
      </c>
      <c r="N147" t="s">
        <v>1213</v>
      </c>
      <c r="O147" t="s">
        <v>1213</v>
      </c>
      <c r="P147" t="s">
        <v>1214</v>
      </c>
    </row>
    <row r="148" spans="1:16" x14ac:dyDescent="0.25">
      <c r="A148" t="s">
        <v>1378</v>
      </c>
      <c r="B148" t="s">
        <v>1379</v>
      </c>
      <c r="C148" t="s">
        <v>1165</v>
      </c>
      <c r="D148" t="s">
        <v>1027</v>
      </c>
      <c r="E148">
        <v>63774</v>
      </c>
      <c r="F148" t="s">
        <v>1166</v>
      </c>
      <c r="G148" t="b">
        <v>0</v>
      </c>
      <c r="H148" t="b">
        <v>0</v>
      </c>
      <c r="I148" t="s">
        <v>1050</v>
      </c>
      <c r="J148">
        <v>24</v>
      </c>
      <c r="K148" t="s">
        <v>1</v>
      </c>
      <c r="L148" t="s">
        <v>1167</v>
      </c>
      <c r="M148" t="s">
        <v>1168</v>
      </c>
      <c r="N148" t="s">
        <v>1169</v>
      </c>
      <c r="O148" t="s">
        <v>1168</v>
      </c>
      <c r="P148" t="s">
        <v>1170</v>
      </c>
    </row>
    <row r="149" spans="1:16" x14ac:dyDescent="0.25">
      <c r="A149" t="s">
        <v>1380</v>
      </c>
      <c r="B149" t="s">
        <v>1379</v>
      </c>
      <c r="C149" t="s">
        <v>1165</v>
      </c>
      <c r="D149" t="s">
        <v>1027</v>
      </c>
      <c r="E149">
        <v>63774</v>
      </c>
      <c r="F149" t="s">
        <v>1166</v>
      </c>
      <c r="G149" t="b">
        <v>0</v>
      </c>
      <c r="H149" t="b">
        <v>0</v>
      </c>
      <c r="I149" t="s">
        <v>1050</v>
      </c>
      <c r="J149">
        <v>24</v>
      </c>
      <c r="K149" t="s">
        <v>1</v>
      </c>
      <c r="L149" t="s">
        <v>1167</v>
      </c>
      <c r="M149" t="s">
        <v>1168</v>
      </c>
      <c r="N149" t="s">
        <v>1169</v>
      </c>
      <c r="O149" t="s">
        <v>1168</v>
      </c>
      <c r="P149" t="s">
        <v>1170</v>
      </c>
    </row>
    <row r="150" spans="1:16" x14ac:dyDescent="0.25">
      <c r="A150" t="s">
        <v>1381</v>
      </c>
      <c r="B150" t="s">
        <v>1382</v>
      </c>
      <c r="C150" t="s">
        <v>1165</v>
      </c>
      <c r="D150" t="s">
        <v>1027</v>
      </c>
      <c r="E150">
        <v>63774</v>
      </c>
      <c r="F150" t="s">
        <v>1166</v>
      </c>
      <c r="G150" t="b">
        <v>0</v>
      </c>
      <c r="H150" t="b">
        <v>0</v>
      </c>
      <c r="I150" t="s">
        <v>1050</v>
      </c>
      <c r="J150">
        <v>24</v>
      </c>
      <c r="K150" t="s">
        <v>1</v>
      </c>
      <c r="L150" t="s">
        <v>1167</v>
      </c>
      <c r="M150" t="s">
        <v>1168</v>
      </c>
      <c r="N150" t="s">
        <v>1169</v>
      </c>
      <c r="O150" t="s">
        <v>1168</v>
      </c>
      <c r="P150" t="s">
        <v>1170</v>
      </c>
    </row>
    <row r="151" spans="1:16" x14ac:dyDescent="0.25">
      <c r="A151" t="s">
        <v>1383</v>
      </c>
      <c r="B151" t="s">
        <v>1382</v>
      </c>
      <c r="C151" t="s">
        <v>1165</v>
      </c>
      <c r="D151" t="s">
        <v>1027</v>
      </c>
      <c r="E151">
        <v>63774</v>
      </c>
      <c r="F151" t="s">
        <v>1166</v>
      </c>
      <c r="G151" t="b">
        <v>0</v>
      </c>
      <c r="H151" t="b">
        <v>0</v>
      </c>
      <c r="I151" t="s">
        <v>1050</v>
      </c>
      <c r="J151">
        <v>24</v>
      </c>
      <c r="K151" t="s">
        <v>1</v>
      </c>
      <c r="L151" t="s">
        <v>1167</v>
      </c>
      <c r="M151" t="s">
        <v>1168</v>
      </c>
      <c r="N151" t="s">
        <v>1169</v>
      </c>
      <c r="O151" t="s">
        <v>1168</v>
      </c>
      <c r="P151" t="s">
        <v>1170</v>
      </c>
    </row>
    <row r="152" spans="1:16" x14ac:dyDescent="0.25">
      <c r="A152" t="s">
        <v>1384</v>
      </c>
      <c r="B152" t="s">
        <v>1385</v>
      </c>
      <c r="C152" t="s">
        <v>1181</v>
      </c>
      <c r="D152" t="s">
        <v>1027</v>
      </c>
      <c r="E152">
        <v>63765</v>
      </c>
      <c r="F152" t="s">
        <v>1182</v>
      </c>
      <c r="G152" t="b">
        <v>0</v>
      </c>
      <c r="H152" t="b">
        <v>0</v>
      </c>
      <c r="I152" t="s">
        <v>1050</v>
      </c>
      <c r="J152">
        <v>29</v>
      </c>
      <c r="K152" t="s">
        <v>2</v>
      </c>
      <c r="L152" t="s">
        <v>1167</v>
      </c>
      <c r="M152" t="s">
        <v>1168</v>
      </c>
      <c r="N152" t="s">
        <v>1169</v>
      </c>
      <c r="O152" t="s">
        <v>1168</v>
      </c>
      <c r="P152" t="s">
        <v>1183</v>
      </c>
    </row>
    <row r="153" spans="1:16" x14ac:dyDescent="0.25">
      <c r="A153" t="s">
        <v>1386</v>
      </c>
      <c r="B153" t="s">
        <v>1385</v>
      </c>
      <c r="C153" t="s">
        <v>1181</v>
      </c>
      <c r="D153" t="s">
        <v>1027</v>
      </c>
      <c r="E153">
        <v>63765</v>
      </c>
      <c r="F153" t="s">
        <v>1182</v>
      </c>
      <c r="G153" t="b">
        <v>0</v>
      </c>
      <c r="H153" t="b">
        <v>0</v>
      </c>
      <c r="I153" t="s">
        <v>1050</v>
      </c>
      <c r="J153">
        <v>29</v>
      </c>
      <c r="K153" t="s">
        <v>2</v>
      </c>
      <c r="L153" t="s">
        <v>1167</v>
      </c>
      <c r="M153" t="s">
        <v>1168</v>
      </c>
      <c r="N153" t="s">
        <v>1169</v>
      </c>
      <c r="O153" t="s">
        <v>1168</v>
      </c>
      <c r="P153" t="s">
        <v>1183</v>
      </c>
    </row>
    <row r="154" spans="1:16" x14ac:dyDescent="0.25">
      <c r="A154" t="s">
        <v>1387</v>
      </c>
      <c r="B154" t="s">
        <v>1385</v>
      </c>
      <c r="C154" t="s">
        <v>1181</v>
      </c>
      <c r="D154" t="s">
        <v>1027</v>
      </c>
      <c r="E154">
        <v>63765</v>
      </c>
      <c r="F154" t="s">
        <v>1182</v>
      </c>
      <c r="G154" t="b">
        <v>0</v>
      </c>
      <c r="H154" t="b">
        <v>0</v>
      </c>
      <c r="I154" t="s">
        <v>1050</v>
      </c>
      <c r="J154">
        <v>29</v>
      </c>
      <c r="K154" t="s">
        <v>2</v>
      </c>
      <c r="L154" t="s">
        <v>1167</v>
      </c>
      <c r="M154" t="s">
        <v>1168</v>
      </c>
      <c r="N154" t="s">
        <v>1169</v>
      </c>
      <c r="O154" t="s">
        <v>1168</v>
      </c>
      <c r="P154" t="s">
        <v>1183</v>
      </c>
    </row>
    <row r="155" spans="1:16" x14ac:dyDescent="0.25">
      <c r="A155" t="s">
        <v>1388</v>
      </c>
      <c r="B155" t="s">
        <v>1389</v>
      </c>
      <c r="C155" t="s">
        <v>1181</v>
      </c>
      <c r="D155" t="s">
        <v>1027</v>
      </c>
      <c r="E155">
        <v>63765</v>
      </c>
      <c r="F155" t="s">
        <v>1182</v>
      </c>
      <c r="G155" t="b">
        <v>0</v>
      </c>
      <c r="H155" t="b">
        <v>0</v>
      </c>
      <c r="I155" t="s">
        <v>1050</v>
      </c>
      <c r="J155">
        <v>56</v>
      </c>
      <c r="K155" t="s">
        <v>2</v>
      </c>
      <c r="L155" t="s">
        <v>1167</v>
      </c>
      <c r="M155" t="s">
        <v>1168</v>
      </c>
      <c r="N155" t="s">
        <v>1169</v>
      </c>
      <c r="O155" t="s">
        <v>1168</v>
      </c>
      <c r="P155" t="s">
        <v>1183</v>
      </c>
    </row>
    <row r="156" spans="1:16" x14ac:dyDescent="0.25">
      <c r="A156" t="s">
        <v>1390</v>
      </c>
      <c r="B156" t="s">
        <v>1389</v>
      </c>
      <c r="C156" t="s">
        <v>1181</v>
      </c>
      <c r="D156" t="s">
        <v>1027</v>
      </c>
      <c r="E156">
        <v>63765</v>
      </c>
      <c r="F156" t="s">
        <v>1182</v>
      </c>
      <c r="G156" t="b">
        <v>0</v>
      </c>
      <c r="H156" t="b">
        <v>0</v>
      </c>
      <c r="I156" t="s">
        <v>1050</v>
      </c>
      <c r="J156">
        <v>56</v>
      </c>
      <c r="K156" t="s">
        <v>2</v>
      </c>
      <c r="L156" t="s">
        <v>1167</v>
      </c>
      <c r="M156" t="s">
        <v>1168</v>
      </c>
      <c r="N156" t="s">
        <v>1169</v>
      </c>
      <c r="O156" t="s">
        <v>1168</v>
      </c>
      <c r="P156" t="s">
        <v>1183</v>
      </c>
    </row>
    <row r="157" spans="1:16" x14ac:dyDescent="0.25">
      <c r="A157" t="s">
        <v>1391</v>
      </c>
      <c r="B157" t="s">
        <v>1389</v>
      </c>
      <c r="C157" t="s">
        <v>1181</v>
      </c>
      <c r="D157" t="s">
        <v>1027</v>
      </c>
      <c r="E157">
        <v>63765</v>
      </c>
      <c r="F157" t="s">
        <v>1182</v>
      </c>
      <c r="G157" t="b">
        <v>0</v>
      </c>
      <c r="H157" t="b">
        <v>0</v>
      </c>
      <c r="I157" t="s">
        <v>1050</v>
      </c>
      <c r="J157">
        <v>67</v>
      </c>
      <c r="K157" t="s">
        <v>2</v>
      </c>
      <c r="L157" t="s">
        <v>1167</v>
      </c>
      <c r="M157" t="s">
        <v>1168</v>
      </c>
      <c r="N157" t="s">
        <v>1169</v>
      </c>
      <c r="O157" t="s">
        <v>1168</v>
      </c>
      <c r="P157" t="s">
        <v>1183</v>
      </c>
    </row>
    <row r="158" spans="1:16" x14ac:dyDescent="0.25">
      <c r="A158" t="s">
        <v>1392</v>
      </c>
      <c r="B158" t="s">
        <v>1389</v>
      </c>
      <c r="C158" t="s">
        <v>1181</v>
      </c>
      <c r="D158" t="s">
        <v>1027</v>
      </c>
      <c r="E158">
        <v>63765</v>
      </c>
      <c r="F158" t="s">
        <v>1182</v>
      </c>
      <c r="G158" t="b">
        <v>0</v>
      </c>
      <c r="H158" t="b">
        <v>0</v>
      </c>
      <c r="I158" t="s">
        <v>1050</v>
      </c>
      <c r="J158">
        <v>67</v>
      </c>
      <c r="K158" t="s">
        <v>2</v>
      </c>
      <c r="L158" t="s">
        <v>1167</v>
      </c>
      <c r="M158" t="s">
        <v>1168</v>
      </c>
      <c r="N158" t="s">
        <v>1169</v>
      </c>
      <c r="O158" t="s">
        <v>1168</v>
      </c>
      <c r="P158" t="s">
        <v>1183</v>
      </c>
    </row>
    <row r="159" spans="1:16" x14ac:dyDescent="0.25">
      <c r="A159" t="s">
        <v>1393</v>
      </c>
      <c r="B159" t="s">
        <v>1389</v>
      </c>
      <c r="C159" t="s">
        <v>1181</v>
      </c>
      <c r="D159" t="s">
        <v>1027</v>
      </c>
      <c r="E159">
        <v>63765</v>
      </c>
      <c r="F159" t="s">
        <v>1182</v>
      </c>
      <c r="G159" t="b">
        <v>0</v>
      </c>
      <c r="H159" t="b">
        <v>0</v>
      </c>
      <c r="I159" t="s">
        <v>1050</v>
      </c>
      <c r="J159">
        <v>67</v>
      </c>
      <c r="K159" t="s">
        <v>2</v>
      </c>
      <c r="L159" t="s">
        <v>1167</v>
      </c>
      <c r="M159" t="s">
        <v>1168</v>
      </c>
      <c r="N159" t="s">
        <v>1169</v>
      </c>
      <c r="O159" t="s">
        <v>1168</v>
      </c>
      <c r="P159" t="s">
        <v>1183</v>
      </c>
    </row>
    <row r="160" spans="1:16" x14ac:dyDescent="0.25">
      <c r="A160" t="s">
        <v>1394</v>
      </c>
      <c r="B160" t="s">
        <v>1389</v>
      </c>
      <c r="C160" t="s">
        <v>1181</v>
      </c>
      <c r="D160" t="s">
        <v>1027</v>
      </c>
      <c r="E160">
        <v>63765</v>
      </c>
      <c r="F160" t="s">
        <v>1182</v>
      </c>
      <c r="G160" t="b">
        <v>0</v>
      </c>
      <c r="H160" t="b">
        <v>0</v>
      </c>
      <c r="I160" t="s">
        <v>1050</v>
      </c>
      <c r="J160">
        <v>67</v>
      </c>
      <c r="K160" t="s">
        <v>2</v>
      </c>
      <c r="L160" t="s">
        <v>1167</v>
      </c>
      <c r="M160" t="s">
        <v>1168</v>
      </c>
      <c r="N160" t="s">
        <v>1169</v>
      </c>
      <c r="O160" t="s">
        <v>1168</v>
      </c>
      <c r="P160" t="s">
        <v>1183</v>
      </c>
    </row>
    <row r="161" spans="1:16" x14ac:dyDescent="0.25">
      <c r="A161" t="s">
        <v>1395</v>
      </c>
      <c r="B161" t="s">
        <v>1389</v>
      </c>
      <c r="C161" t="s">
        <v>1181</v>
      </c>
      <c r="D161" t="s">
        <v>1027</v>
      </c>
      <c r="E161">
        <v>63765</v>
      </c>
      <c r="F161" t="s">
        <v>1182</v>
      </c>
      <c r="G161" t="b">
        <v>0</v>
      </c>
      <c r="H161" t="b">
        <v>0</v>
      </c>
      <c r="I161" t="s">
        <v>1050</v>
      </c>
      <c r="J161">
        <v>67</v>
      </c>
      <c r="K161" t="s">
        <v>2</v>
      </c>
      <c r="L161" t="s">
        <v>1167</v>
      </c>
      <c r="M161" t="s">
        <v>1168</v>
      </c>
      <c r="N161" t="s">
        <v>1169</v>
      </c>
      <c r="O161" t="s">
        <v>1168</v>
      </c>
      <c r="P161" t="s">
        <v>1183</v>
      </c>
    </row>
    <row r="162" spans="1:16" x14ac:dyDescent="0.25">
      <c r="A162" t="s">
        <v>1396</v>
      </c>
      <c r="B162" t="s">
        <v>1389</v>
      </c>
      <c r="C162" t="s">
        <v>1181</v>
      </c>
      <c r="D162" t="s">
        <v>1027</v>
      </c>
      <c r="E162">
        <v>63765</v>
      </c>
      <c r="F162" t="s">
        <v>1182</v>
      </c>
      <c r="G162" t="b">
        <v>0</v>
      </c>
      <c r="H162" t="b">
        <v>0</v>
      </c>
      <c r="I162" t="s">
        <v>1050</v>
      </c>
      <c r="J162">
        <v>67</v>
      </c>
      <c r="K162" t="s">
        <v>2</v>
      </c>
      <c r="L162" t="s">
        <v>1167</v>
      </c>
      <c r="M162" t="s">
        <v>1168</v>
      </c>
      <c r="N162" t="s">
        <v>1169</v>
      </c>
      <c r="O162" t="s">
        <v>1168</v>
      </c>
      <c r="P162" t="s">
        <v>1183</v>
      </c>
    </row>
    <row r="163" spans="1:16" x14ac:dyDescent="0.25">
      <c r="A163" t="s">
        <v>1397</v>
      </c>
      <c r="B163" t="s">
        <v>1389</v>
      </c>
      <c r="C163" t="s">
        <v>1181</v>
      </c>
      <c r="D163" t="s">
        <v>1027</v>
      </c>
      <c r="E163">
        <v>63765</v>
      </c>
      <c r="F163" t="s">
        <v>1182</v>
      </c>
      <c r="G163" t="b">
        <v>0</v>
      </c>
      <c r="H163" t="b">
        <v>0</v>
      </c>
      <c r="I163" t="s">
        <v>1050</v>
      </c>
      <c r="J163">
        <v>67</v>
      </c>
      <c r="K163" t="s">
        <v>2</v>
      </c>
      <c r="L163" t="s">
        <v>1167</v>
      </c>
      <c r="M163" t="s">
        <v>1168</v>
      </c>
      <c r="N163" t="s">
        <v>1169</v>
      </c>
      <c r="O163" t="s">
        <v>1168</v>
      </c>
      <c r="P163" t="s">
        <v>1183</v>
      </c>
    </row>
    <row r="164" spans="1:16" x14ac:dyDescent="0.25">
      <c r="A164" t="s">
        <v>1398</v>
      </c>
      <c r="B164" t="s">
        <v>1399</v>
      </c>
      <c r="C164" t="s">
        <v>1165</v>
      </c>
      <c r="D164" t="s">
        <v>1027</v>
      </c>
      <c r="E164">
        <v>63774</v>
      </c>
      <c r="F164" t="s">
        <v>1166</v>
      </c>
      <c r="G164" t="b">
        <v>0</v>
      </c>
      <c r="H164" t="b">
        <v>0</v>
      </c>
      <c r="I164" t="s">
        <v>1050</v>
      </c>
      <c r="J164">
        <v>24</v>
      </c>
      <c r="K164" t="s">
        <v>1</v>
      </c>
      <c r="L164" t="s">
        <v>1167</v>
      </c>
      <c r="M164" t="s">
        <v>1168</v>
      </c>
      <c r="N164" t="s">
        <v>1169</v>
      </c>
      <c r="O164" t="s">
        <v>1168</v>
      </c>
      <c r="P164" t="s">
        <v>1170</v>
      </c>
    </row>
    <row r="165" spans="1:16" x14ac:dyDescent="0.25">
      <c r="A165" t="s">
        <v>1400</v>
      </c>
      <c r="B165" t="s">
        <v>1399</v>
      </c>
      <c r="C165" t="s">
        <v>1165</v>
      </c>
      <c r="D165" t="s">
        <v>1027</v>
      </c>
      <c r="E165">
        <v>63774</v>
      </c>
      <c r="F165" t="s">
        <v>1166</v>
      </c>
      <c r="G165" t="b">
        <v>0</v>
      </c>
      <c r="H165" t="b">
        <v>0</v>
      </c>
      <c r="I165" t="s">
        <v>1050</v>
      </c>
      <c r="J165">
        <v>24</v>
      </c>
      <c r="K165" t="s">
        <v>1</v>
      </c>
      <c r="L165" t="s">
        <v>1167</v>
      </c>
      <c r="M165" t="s">
        <v>1168</v>
      </c>
      <c r="N165" t="s">
        <v>1169</v>
      </c>
      <c r="O165" t="s">
        <v>1168</v>
      </c>
      <c r="P165" t="s">
        <v>1170</v>
      </c>
    </row>
    <row r="166" spans="1:16" x14ac:dyDescent="0.25">
      <c r="A166" t="s">
        <v>1401</v>
      </c>
      <c r="B166" t="s">
        <v>1402</v>
      </c>
      <c r="C166" t="s">
        <v>1217</v>
      </c>
      <c r="D166" t="s">
        <v>1027</v>
      </c>
      <c r="G166" t="b">
        <v>0</v>
      </c>
      <c r="H166" t="b">
        <v>0</v>
      </c>
      <c r="I166" t="s">
        <v>1050</v>
      </c>
      <c r="J166">
        <v>91</v>
      </c>
      <c r="K166" t="s">
        <v>0</v>
      </c>
      <c r="L166" t="s">
        <v>1167</v>
      </c>
      <c r="M166" t="s">
        <v>1168</v>
      </c>
      <c r="N166" t="s">
        <v>1169</v>
      </c>
      <c r="O166" t="s">
        <v>1168</v>
      </c>
      <c r="P166" t="s">
        <v>1219</v>
      </c>
    </row>
    <row r="167" spans="1:16" x14ac:dyDescent="0.25">
      <c r="A167" t="s">
        <v>1403</v>
      </c>
      <c r="B167" t="s">
        <v>1402</v>
      </c>
      <c r="C167" t="s">
        <v>1217</v>
      </c>
      <c r="D167" t="s">
        <v>1027</v>
      </c>
      <c r="G167" t="b">
        <v>0</v>
      </c>
      <c r="H167" t="b">
        <v>0</v>
      </c>
      <c r="I167" t="s">
        <v>1050</v>
      </c>
      <c r="J167">
        <v>91</v>
      </c>
      <c r="K167" t="s">
        <v>0</v>
      </c>
      <c r="L167" t="s">
        <v>1167</v>
      </c>
      <c r="M167" t="s">
        <v>1168</v>
      </c>
      <c r="N167" t="s">
        <v>1169</v>
      </c>
      <c r="O167" t="s">
        <v>1168</v>
      </c>
      <c r="P167" t="s">
        <v>1219</v>
      </c>
    </row>
    <row r="168" spans="1:16" x14ac:dyDescent="0.25">
      <c r="A168" t="s">
        <v>1404</v>
      </c>
      <c r="B168" t="s">
        <v>1405</v>
      </c>
      <c r="C168" t="s">
        <v>1217</v>
      </c>
      <c r="D168" t="s">
        <v>1027</v>
      </c>
      <c r="G168" t="b">
        <v>0</v>
      </c>
      <c r="H168" t="b">
        <v>0</v>
      </c>
      <c r="I168" t="s">
        <v>1050</v>
      </c>
      <c r="J168">
        <v>91</v>
      </c>
      <c r="K168" t="s">
        <v>0</v>
      </c>
      <c r="L168" t="s">
        <v>1167</v>
      </c>
      <c r="M168" t="s">
        <v>1168</v>
      </c>
      <c r="N168" t="s">
        <v>1169</v>
      </c>
      <c r="O168" t="s">
        <v>1168</v>
      </c>
      <c r="P168" t="s">
        <v>1219</v>
      </c>
    </row>
    <row r="169" spans="1:16" x14ac:dyDescent="0.25">
      <c r="A169" t="s">
        <v>1406</v>
      </c>
      <c r="B169" t="s">
        <v>1405</v>
      </c>
      <c r="C169" t="s">
        <v>1217</v>
      </c>
      <c r="D169" t="s">
        <v>1027</v>
      </c>
      <c r="G169" t="b">
        <v>0</v>
      </c>
      <c r="H169" t="b">
        <v>0</v>
      </c>
      <c r="I169" t="s">
        <v>1050</v>
      </c>
      <c r="J169">
        <v>91</v>
      </c>
      <c r="K169" t="s">
        <v>0</v>
      </c>
      <c r="L169" t="s">
        <v>1167</v>
      </c>
      <c r="M169" t="s">
        <v>1168</v>
      </c>
      <c r="N169" t="s">
        <v>1169</v>
      </c>
      <c r="O169" t="s">
        <v>1168</v>
      </c>
      <c r="P169" t="s">
        <v>1219</v>
      </c>
    </row>
    <row r="170" spans="1:16" x14ac:dyDescent="0.25">
      <c r="A170" t="s">
        <v>1407</v>
      </c>
      <c r="B170" t="s">
        <v>1408</v>
      </c>
      <c r="C170" t="s">
        <v>1217</v>
      </c>
      <c r="D170" t="s">
        <v>1027</v>
      </c>
      <c r="G170" t="b">
        <v>0</v>
      </c>
      <c r="H170" t="b">
        <v>0</v>
      </c>
      <c r="I170" t="s">
        <v>1050</v>
      </c>
      <c r="J170">
        <v>91</v>
      </c>
      <c r="K170" t="s">
        <v>0</v>
      </c>
      <c r="L170" t="s">
        <v>1167</v>
      </c>
      <c r="M170" t="s">
        <v>1168</v>
      </c>
      <c r="N170" t="s">
        <v>1169</v>
      </c>
      <c r="O170" t="s">
        <v>1168</v>
      </c>
      <c r="P170" t="s">
        <v>1219</v>
      </c>
    </row>
    <row r="171" spans="1:16" x14ac:dyDescent="0.25">
      <c r="A171" t="s">
        <v>1409</v>
      </c>
      <c r="B171" t="s">
        <v>1408</v>
      </c>
      <c r="C171" t="s">
        <v>1217</v>
      </c>
      <c r="D171" t="s">
        <v>1027</v>
      </c>
      <c r="G171" t="b">
        <v>0</v>
      </c>
      <c r="H171" t="b">
        <v>0</v>
      </c>
      <c r="I171" t="s">
        <v>1050</v>
      </c>
      <c r="J171">
        <v>91</v>
      </c>
      <c r="K171" t="s">
        <v>0</v>
      </c>
      <c r="L171" t="s">
        <v>1167</v>
      </c>
      <c r="M171" t="s">
        <v>1168</v>
      </c>
      <c r="N171" t="s">
        <v>1169</v>
      </c>
      <c r="O171" t="s">
        <v>1168</v>
      </c>
      <c r="P171" t="s">
        <v>1219</v>
      </c>
    </row>
    <row r="172" spans="1:16" x14ac:dyDescent="0.25">
      <c r="A172" t="s">
        <v>1410</v>
      </c>
      <c r="B172" t="s">
        <v>1411</v>
      </c>
      <c r="C172" t="s">
        <v>1217</v>
      </c>
      <c r="D172" t="s">
        <v>1027</v>
      </c>
      <c r="G172" t="b">
        <v>0</v>
      </c>
      <c r="H172" t="b">
        <v>0</v>
      </c>
      <c r="I172" t="s">
        <v>1050</v>
      </c>
      <c r="J172">
        <v>91</v>
      </c>
      <c r="K172" t="s">
        <v>0</v>
      </c>
      <c r="L172" t="s">
        <v>1167</v>
      </c>
      <c r="M172" t="s">
        <v>1168</v>
      </c>
      <c r="N172" t="s">
        <v>1169</v>
      </c>
      <c r="O172" t="s">
        <v>1168</v>
      </c>
      <c r="P172" t="s">
        <v>1219</v>
      </c>
    </row>
    <row r="173" spans="1:16" x14ac:dyDescent="0.25">
      <c r="A173" t="s">
        <v>1412</v>
      </c>
      <c r="B173" t="s">
        <v>1411</v>
      </c>
      <c r="C173" t="s">
        <v>1217</v>
      </c>
      <c r="D173" t="s">
        <v>1027</v>
      </c>
      <c r="G173" t="b">
        <v>0</v>
      </c>
      <c r="H173" t="b">
        <v>0</v>
      </c>
      <c r="I173" t="s">
        <v>1050</v>
      </c>
      <c r="J173">
        <v>91</v>
      </c>
      <c r="K173" t="s">
        <v>0</v>
      </c>
      <c r="L173" t="s">
        <v>1167</v>
      </c>
      <c r="M173" t="s">
        <v>1168</v>
      </c>
      <c r="N173" t="s">
        <v>1169</v>
      </c>
      <c r="O173" t="s">
        <v>1168</v>
      </c>
      <c r="P173" t="s">
        <v>1219</v>
      </c>
    </row>
    <row r="174" spans="1:16" x14ac:dyDescent="0.25">
      <c r="A174" t="s">
        <v>1413</v>
      </c>
      <c r="B174" t="s">
        <v>1414</v>
      </c>
      <c r="C174" t="s">
        <v>1165</v>
      </c>
      <c r="D174" t="s">
        <v>1027</v>
      </c>
      <c r="E174">
        <v>63774</v>
      </c>
      <c r="F174" t="s">
        <v>1166</v>
      </c>
      <c r="G174" t="b">
        <v>0</v>
      </c>
      <c r="H174" t="b">
        <v>0</v>
      </c>
      <c r="I174" t="s">
        <v>1050</v>
      </c>
      <c r="J174">
        <v>24</v>
      </c>
      <c r="K174" t="s">
        <v>1</v>
      </c>
      <c r="L174" t="s">
        <v>1167</v>
      </c>
      <c r="M174" t="s">
        <v>1168</v>
      </c>
      <c r="N174" t="s">
        <v>1169</v>
      </c>
      <c r="O174" t="s">
        <v>1168</v>
      </c>
      <c r="P174" t="s">
        <v>1170</v>
      </c>
    </row>
    <row r="175" spans="1:16" x14ac:dyDescent="0.25">
      <c r="A175" t="s">
        <v>1415</v>
      </c>
      <c r="B175" t="s">
        <v>1416</v>
      </c>
      <c r="C175" t="s">
        <v>1165</v>
      </c>
      <c r="D175" t="s">
        <v>1027</v>
      </c>
      <c r="E175">
        <v>63774</v>
      </c>
      <c r="F175" t="s">
        <v>1166</v>
      </c>
      <c r="G175" t="b">
        <v>0</v>
      </c>
      <c r="H175" t="b">
        <v>0</v>
      </c>
      <c r="I175" t="s">
        <v>1050</v>
      </c>
      <c r="J175">
        <v>24</v>
      </c>
      <c r="K175" t="s">
        <v>1</v>
      </c>
      <c r="L175" t="s">
        <v>1167</v>
      </c>
      <c r="M175" t="s">
        <v>1168</v>
      </c>
      <c r="N175" t="s">
        <v>1169</v>
      </c>
      <c r="O175" t="s">
        <v>1168</v>
      </c>
      <c r="P175" t="s">
        <v>1170</v>
      </c>
    </row>
    <row r="176" spans="1:16" x14ac:dyDescent="0.25">
      <c r="A176" t="s">
        <v>1417</v>
      </c>
      <c r="B176" t="s">
        <v>1418</v>
      </c>
      <c r="C176" t="s">
        <v>1282</v>
      </c>
      <c r="D176" t="s">
        <v>1027</v>
      </c>
      <c r="G176" t="b">
        <v>0</v>
      </c>
      <c r="H176" t="b">
        <v>0</v>
      </c>
      <c r="I176" t="s">
        <v>1050</v>
      </c>
      <c r="J176">
        <v>50</v>
      </c>
      <c r="K176" t="s">
        <v>0</v>
      </c>
      <c r="L176" t="s">
        <v>1167</v>
      </c>
      <c r="M176" t="s">
        <v>1168</v>
      </c>
      <c r="N176" t="s">
        <v>1169</v>
      </c>
      <c r="O176" t="s">
        <v>1168</v>
      </c>
      <c r="P176" t="s">
        <v>1283</v>
      </c>
    </row>
    <row r="177" spans="1:16" x14ac:dyDescent="0.25">
      <c r="A177" t="s">
        <v>1419</v>
      </c>
      <c r="B177" t="s">
        <v>1420</v>
      </c>
      <c r="C177" t="s">
        <v>1282</v>
      </c>
      <c r="D177" t="s">
        <v>1027</v>
      </c>
      <c r="G177" t="b">
        <v>0</v>
      </c>
      <c r="H177" t="b">
        <v>0</v>
      </c>
      <c r="I177" t="s">
        <v>1050</v>
      </c>
      <c r="J177">
        <v>50</v>
      </c>
      <c r="K177" t="s">
        <v>0</v>
      </c>
      <c r="L177" t="s">
        <v>1167</v>
      </c>
      <c r="M177" t="s">
        <v>1168</v>
      </c>
      <c r="N177" t="s">
        <v>1169</v>
      </c>
      <c r="O177" t="s">
        <v>1168</v>
      </c>
      <c r="P177" t="s">
        <v>1283</v>
      </c>
    </row>
    <row r="178" spans="1:16" x14ac:dyDescent="0.25">
      <c r="A178" t="s">
        <v>1421</v>
      </c>
      <c r="B178" t="s">
        <v>1422</v>
      </c>
      <c r="C178" t="s">
        <v>1217</v>
      </c>
      <c r="D178" t="s">
        <v>1027</v>
      </c>
      <c r="G178" t="b">
        <v>0</v>
      </c>
      <c r="H178" t="b">
        <v>0</v>
      </c>
      <c r="I178" t="s">
        <v>1050</v>
      </c>
      <c r="J178">
        <v>91</v>
      </c>
      <c r="K178" t="s">
        <v>0</v>
      </c>
      <c r="L178" t="s">
        <v>1167</v>
      </c>
      <c r="M178" t="s">
        <v>1168</v>
      </c>
      <c r="N178" t="s">
        <v>1169</v>
      </c>
      <c r="O178" t="s">
        <v>1168</v>
      </c>
      <c r="P178" t="s">
        <v>1219</v>
      </c>
    </row>
    <row r="179" spans="1:16" x14ac:dyDescent="0.25">
      <c r="A179" t="s">
        <v>1423</v>
      </c>
      <c r="B179" t="s">
        <v>1424</v>
      </c>
      <c r="C179" t="s">
        <v>1217</v>
      </c>
      <c r="D179" t="s">
        <v>1027</v>
      </c>
      <c r="G179" t="b">
        <v>0</v>
      </c>
      <c r="H179" t="b">
        <v>0</v>
      </c>
      <c r="I179" t="s">
        <v>1050</v>
      </c>
      <c r="J179">
        <v>91</v>
      </c>
      <c r="K179" t="s">
        <v>0</v>
      </c>
      <c r="L179" t="s">
        <v>1167</v>
      </c>
      <c r="M179" t="s">
        <v>1168</v>
      </c>
      <c r="N179" t="s">
        <v>1169</v>
      </c>
      <c r="O179" t="s">
        <v>1168</v>
      </c>
      <c r="P179" t="s">
        <v>1219</v>
      </c>
    </row>
    <row r="180" spans="1:16" x14ac:dyDescent="0.25">
      <c r="A180" t="s">
        <v>1425</v>
      </c>
      <c r="B180" t="s">
        <v>1426</v>
      </c>
      <c r="C180" t="s">
        <v>1217</v>
      </c>
      <c r="D180" t="s">
        <v>1027</v>
      </c>
      <c r="G180" t="b">
        <v>0</v>
      </c>
      <c r="H180" t="b">
        <v>0</v>
      </c>
      <c r="I180" t="s">
        <v>1050</v>
      </c>
      <c r="J180">
        <v>91</v>
      </c>
      <c r="K180" t="s">
        <v>0</v>
      </c>
      <c r="L180" t="s">
        <v>1167</v>
      </c>
      <c r="M180" t="s">
        <v>1168</v>
      </c>
      <c r="N180" t="s">
        <v>1169</v>
      </c>
      <c r="O180" t="s">
        <v>1168</v>
      </c>
      <c r="P180" t="s">
        <v>1219</v>
      </c>
    </row>
    <row r="181" spans="1:16" x14ac:dyDescent="0.25">
      <c r="A181" t="s">
        <v>1427</v>
      </c>
      <c r="B181" t="s">
        <v>1428</v>
      </c>
      <c r="C181" t="s">
        <v>1217</v>
      </c>
      <c r="D181" t="s">
        <v>1027</v>
      </c>
      <c r="G181" t="b">
        <v>0</v>
      </c>
      <c r="H181" t="b">
        <v>0</v>
      </c>
      <c r="I181" t="s">
        <v>1050</v>
      </c>
      <c r="J181">
        <v>91</v>
      </c>
      <c r="K181" t="s">
        <v>0</v>
      </c>
      <c r="L181" t="s">
        <v>1167</v>
      </c>
      <c r="M181" t="s">
        <v>1168</v>
      </c>
      <c r="N181" t="s">
        <v>1169</v>
      </c>
      <c r="O181" t="s">
        <v>1168</v>
      </c>
      <c r="P181" t="s">
        <v>1219</v>
      </c>
    </row>
    <row r="182" spans="1:16" x14ac:dyDescent="0.25">
      <c r="A182" t="s">
        <v>1429</v>
      </c>
      <c r="B182" t="s">
        <v>1430</v>
      </c>
      <c r="C182" t="s">
        <v>1431</v>
      </c>
      <c r="D182" t="s">
        <v>1027</v>
      </c>
      <c r="E182">
        <v>41348</v>
      </c>
      <c r="F182" t="s">
        <v>1432</v>
      </c>
      <c r="G182" t="b">
        <v>0</v>
      </c>
      <c r="H182" t="b">
        <v>0</v>
      </c>
      <c r="I182" t="s">
        <v>1050</v>
      </c>
      <c r="J182" t="s">
        <v>1053</v>
      </c>
      <c r="K182" t="s">
        <v>1043</v>
      </c>
    </row>
    <row r="183" spans="1:16" x14ac:dyDescent="0.25">
      <c r="A183" t="s">
        <v>1433</v>
      </c>
      <c r="B183" t="s">
        <v>1430</v>
      </c>
      <c r="C183" t="s">
        <v>1431</v>
      </c>
      <c r="D183" t="s">
        <v>1027</v>
      </c>
      <c r="E183">
        <v>41348</v>
      </c>
      <c r="F183" t="s">
        <v>1432</v>
      </c>
      <c r="G183" t="b">
        <v>0</v>
      </c>
      <c r="H183" t="b">
        <v>0</v>
      </c>
      <c r="I183" t="s">
        <v>1050</v>
      </c>
      <c r="J183">
        <v>80</v>
      </c>
      <c r="K183" t="s">
        <v>2</v>
      </c>
      <c r="L183" t="s">
        <v>1168</v>
      </c>
      <c r="M183" t="s">
        <v>1168</v>
      </c>
      <c r="N183" t="s">
        <v>1169</v>
      </c>
      <c r="O183" t="s">
        <v>1168</v>
      </c>
      <c r="P183" t="s">
        <v>1434</v>
      </c>
    </row>
    <row r="184" spans="1:16" x14ac:dyDescent="0.25">
      <c r="A184" t="s">
        <v>1435</v>
      </c>
      <c r="B184" t="s">
        <v>1436</v>
      </c>
      <c r="C184" t="s">
        <v>1165</v>
      </c>
      <c r="D184" t="s">
        <v>1027</v>
      </c>
      <c r="E184">
        <v>63774</v>
      </c>
      <c r="F184" t="s">
        <v>1166</v>
      </c>
      <c r="G184" t="b">
        <v>0</v>
      </c>
      <c r="H184" t="b">
        <v>0</v>
      </c>
      <c r="I184" t="s">
        <v>1050</v>
      </c>
      <c r="J184">
        <v>24</v>
      </c>
      <c r="K184" t="s">
        <v>1</v>
      </c>
      <c r="L184" t="s">
        <v>1167</v>
      </c>
      <c r="M184" t="s">
        <v>1168</v>
      </c>
      <c r="N184" t="s">
        <v>1169</v>
      </c>
      <c r="O184" t="s">
        <v>1168</v>
      </c>
      <c r="P184" t="s">
        <v>1170</v>
      </c>
    </row>
    <row r="185" spans="1:16" x14ac:dyDescent="0.25">
      <c r="A185" t="s">
        <v>1437</v>
      </c>
      <c r="B185" t="s">
        <v>1438</v>
      </c>
      <c r="C185" t="s">
        <v>1165</v>
      </c>
      <c r="D185" t="s">
        <v>1027</v>
      </c>
      <c r="E185">
        <v>63774</v>
      </c>
      <c r="F185" t="s">
        <v>1166</v>
      </c>
      <c r="G185" t="b">
        <v>0</v>
      </c>
      <c r="H185" t="b">
        <v>0</v>
      </c>
      <c r="I185" t="s">
        <v>1050</v>
      </c>
      <c r="J185">
        <v>24</v>
      </c>
      <c r="K185" t="s">
        <v>1</v>
      </c>
      <c r="L185" t="s">
        <v>1167</v>
      </c>
      <c r="M185" t="s">
        <v>1168</v>
      </c>
      <c r="N185" t="s">
        <v>1169</v>
      </c>
      <c r="O185" t="s">
        <v>1168</v>
      </c>
      <c r="P185" t="s">
        <v>1170</v>
      </c>
    </row>
    <row r="186" spans="1:16" x14ac:dyDescent="0.25">
      <c r="A186" t="s">
        <v>1439</v>
      </c>
      <c r="B186" t="s">
        <v>1440</v>
      </c>
      <c r="C186" t="s">
        <v>1181</v>
      </c>
      <c r="D186" t="s">
        <v>1027</v>
      </c>
      <c r="E186">
        <v>63765</v>
      </c>
      <c r="F186" t="s">
        <v>1182</v>
      </c>
      <c r="G186" t="b">
        <v>0</v>
      </c>
      <c r="H186" t="b">
        <v>0</v>
      </c>
      <c r="I186" t="s">
        <v>1050</v>
      </c>
      <c r="J186">
        <v>66</v>
      </c>
      <c r="K186" t="s">
        <v>2</v>
      </c>
      <c r="L186" t="s">
        <v>1167</v>
      </c>
      <c r="M186" t="s">
        <v>1168</v>
      </c>
      <c r="N186" t="s">
        <v>1169</v>
      </c>
      <c r="O186" t="s">
        <v>1168</v>
      </c>
      <c r="P186" t="s">
        <v>1183</v>
      </c>
    </row>
    <row r="187" spans="1:16" x14ac:dyDescent="0.25">
      <c r="A187" t="s">
        <v>1441</v>
      </c>
      <c r="B187" t="s">
        <v>1442</v>
      </c>
      <c r="C187" t="s">
        <v>1233</v>
      </c>
      <c r="D187" t="s">
        <v>1027</v>
      </c>
      <c r="E187">
        <v>63762</v>
      </c>
      <c r="F187" t="s">
        <v>1234</v>
      </c>
      <c r="G187" t="b">
        <v>0</v>
      </c>
      <c r="H187" t="b">
        <v>0</v>
      </c>
      <c r="I187" t="s">
        <v>1050</v>
      </c>
      <c r="J187">
        <v>88</v>
      </c>
      <c r="K187" t="s">
        <v>0</v>
      </c>
      <c r="L187" t="s">
        <v>1167</v>
      </c>
      <c r="M187" t="s">
        <v>1168</v>
      </c>
      <c r="N187" t="s">
        <v>1169</v>
      </c>
      <c r="O187" t="s">
        <v>1168</v>
      </c>
      <c r="P187" t="s">
        <v>1235</v>
      </c>
    </row>
    <row r="188" spans="1:16" x14ac:dyDescent="0.25">
      <c r="A188" t="s">
        <v>1443</v>
      </c>
      <c r="B188" t="s">
        <v>1444</v>
      </c>
      <c r="C188" t="s">
        <v>1233</v>
      </c>
      <c r="D188" t="s">
        <v>1027</v>
      </c>
      <c r="E188">
        <v>63762</v>
      </c>
      <c r="F188" t="s">
        <v>1234</v>
      </c>
      <c r="G188" t="b">
        <v>0</v>
      </c>
      <c r="H188" t="b">
        <v>0</v>
      </c>
      <c r="I188" t="s">
        <v>1050</v>
      </c>
      <c r="J188">
        <v>88</v>
      </c>
      <c r="K188" t="s">
        <v>0</v>
      </c>
      <c r="L188" t="s">
        <v>1167</v>
      </c>
      <c r="M188" t="s">
        <v>1168</v>
      </c>
      <c r="N188" t="s">
        <v>1169</v>
      </c>
      <c r="O188" t="s">
        <v>1168</v>
      </c>
      <c r="P188" t="s">
        <v>1235</v>
      </c>
    </row>
    <row r="189" spans="1:16" x14ac:dyDescent="0.25">
      <c r="A189" t="s">
        <v>1445</v>
      </c>
      <c r="B189" t="s">
        <v>1446</v>
      </c>
      <c r="C189" t="s">
        <v>1211</v>
      </c>
      <c r="D189" t="s">
        <v>1027</v>
      </c>
      <c r="E189">
        <v>1383</v>
      </c>
      <c r="F189" t="s">
        <v>1212</v>
      </c>
      <c r="G189" t="b">
        <v>0</v>
      </c>
      <c r="H189" t="b">
        <v>0</v>
      </c>
      <c r="I189" t="s">
        <v>1050</v>
      </c>
      <c r="J189">
        <v>90</v>
      </c>
      <c r="K189" t="s">
        <v>2</v>
      </c>
      <c r="L189" t="s">
        <v>1169</v>
      </c>
      <c r="M189" t="s">
        <v>1168</v>
      </c>
      <c r="N189" t="s">
        <v>1213</v>
      </c>
      <c r="O189" t="s">
        <v>1213</v>
      </c>
      <c r="P189" t="s">
        <v>1214</v>
      </c>
    </row>
    <row r="190" spans="1:16" x14ac:dyDescent="0.25">
      <c r="A190" t="s">
        <v>1447</v>
      </c>
      <c r="B190" t="s">
        <v>1446</v>
      </c>
      <c r="C190" t="s">
        <v>1211</v>
      </c>
      <c r="D190" t="s">
        <v>1027</v>
      </c>
      <c r="E190">
        <v>1383</v>
      </c>
      <c r="F190" t="s">
        <v>1212</v>
      </c>
      <c r="G190" t="b">
        <v>0</v>
      </c>
      <c r="H190" t="b">
        <v>0</v>
      </c>
      <c r="I190" t="s">
        <v>1050</v>
      </c>
      <c r="J190">
        <v>90</v>
      </c>
      <c r="K190" t="s">
        <v>2</v>
      </c>
      <c r="L190" t="s">
        <v>1169</v>
      </c>
      <c r="M190" t="s">
        <v>1168</v>
      </c>
      <c r="N190" t="s">
        <v>1213</v>
      </c>
      <c r="O190" t="s">
        <v>1213</v>
      </c>
      <c r="P190" t="s">
        <v>1214</v>
      </c>
    </row>
    <row r="191" spans="1:16" x14ac:dyDescent="0.25">
      <c r="A191" t="s">
        <v>1448</v>
      </c>
      <c r="B191" t="s">
        <v>1446</v>
      </c>
      <c r="C191" t="s">
        <v>1211</v>
      </c>
      <c r="D191" t="s">
        <v>1027</v>
      </c>
      <c r="E191">
        <v>1383</v>
      </c>
      <c r="F191" t="s">
        <v>1212</v>
      </c>
      <c r="G191" t="b">
        <v>0</v>
      </c>
      <c r="H191" t="b">
        <v>0</v>
      </c>
      <c r="I191" t="s">
        <v>1050</v>
      </c>
      <c r="J191">
        <v>90</v>
      </c>
      <c r="K191" t="s">
        <v>2</v>
      </c>
      <c r="L191" t="s">
        <v>1169</v>
      </c>
      <c r="M191" t="s">
        <v>1168</v>
      </c>
      <c r="N191" t="s">
        <v>1213</v>
      </c>
      <c r="O191" t="s">
        <v>1213</v>
      </c>
      <c r="P191" t="s">
        <v>1214</v>
      </c>
    </row>
    <row r="192" spans="1:16" x14ac:dyDescent="0.25">
      <c r="A192" t="s">
        <v>1449</v>
      </c>
      <c r="B192" t="s">
        <v>1446</v>
      </c>
      <c r="C192" t="s">
        <v>1211</v>
      </c>
      <c r="D192" t="s">
        <v>1027</v>
      </c>
      <c r="E192">
        <v>1383</v>
      </c>
      <c r="F192" t="s">
        <v>1212</v>
      </c>
      <c r="G192" t="b">
        <v>0</v>
      </c>
      <c r="H192" t="b">
        <v>0</v>
      </c>
      <c r="I192" t="s">
        <v>1050</v>
      </c>
      <c r="J192">
        <v>90</v>
      </c>
      <c r="K192" t="s">
        <v>2</v>
      </c>
      <c r="L192" t="s">
        <v>1169</v>
      </c>
      <c r="M192" t="s">
        <v>1168</v>
      </c>
      <c r="N192" t="s">
        <v>1213</v>
      </c>
      <c r="O192" t="s">
        <v>1213</v>
      </c>
      <c r="P192" t="s">
        <v>1214</v>
      </c>
    </row>
    <row r="193" spans="1:16" x14ac:dyDescent="0.25">
      <c r="A193" t="s">
        <v>1450</v>
      </c>
      <c r="B193" t="s">
        <v>1446</v>
      </c>
      <c r="C193" t="s">
        <v>1211</v>
      </c>
      <c r="D193" t="s">
        <v>1027</v>
      </c>
      <c r="E193">
        <v>1383</v>
      </c>
      <c r="F193" t="s">
        <v>1212</v>
      </c>
      <c r="G193" t="b">
        <v>0</v>
      </c>
      <c r="H193" t="b">
        <v>0</v>
      </c>
      <c r="I193" t="s">
        <v>1050</v>
      </c>
      <c r="J193">
        <v>90</v>
      </c>
      <c r="K193" t="s">
        <v>2</v>
      </c>
      <c r="L193" t="s">
        <v>1169</v>
      </c>
      <c r="M193" t="s">
        <v>1168</v>
      </c>
      <c r="N193" t="s">
        <v>1213</v>
      </c>
      <c r="O193" t="s">
        <v>1213</v>
      </c>
      <c r="P193" t="s">
        <v>1214</v>
      </c>
    </row>
    <row r="194" spans="1:16" x14ac:dyDescent="0.25">
      <c r="A194" t="s">
        <v>1451</v>
      </c>
      <c r="B194" t="s">
        <v>1446</v>
      </c>
      <c r="C194" t="s">
        <v>1211</v>
      </c>
      <c r="D194" t="s">
        <v>1027</v>
      </c>
      <c r="E194">
        <v>1383</v>
      </c>
      <c r="F194" t="s">
        <v>1212</v>
      </c>
      <c r="G194" t="b">
        <v>0</v>
      </c>
      <c r="H194" t="b">
        <v>0</v>
      </c>
      <c r="I194" t="s">
        <v>1050</v>
      </c>
      <c r="J194">
        <v>90</v>
      </c>
      <c r="K194" t="s">
        <v>2</v>
      </c>
      <c r="L194" t="s">
        <v>1169</v>
      </c>
      <c r="M194" t="s">
        <v>1168</v>
      </c>
      <c r="N194" t="s">
        <v>1213</v>
      </c>
      <c r="O194" t="s">
        <v>1213</v>
      </c>
      <c r="P194" t="s">
        <v>1214</v>
      </c>
    </row>
    <row r="195" spans="1:16" x14ac:dyDescent="0.25">
      <c r="A195" t="s">
        <v>1452</v>
      </c>
      <c r="B195" t="s">
        <v>1446</v>
      </c>
      <c r="C195" t="s">
        <v>1211</v>
      </c>
      <c r="D195" t="s">
        <v>1027</v>
      </c>
      <c r="E195">
        <v>1383</v>
      </c>
      <c r="F195" t="s">
        <v>1212</v>
      </c>
      <c r="G195" t="b">
        <v>0</v>
      </c>
      <c r="H195" t="b">
        <v>0</v>
      </c>
      <c r="I195" t="s">
        <v>1050</v>
      </c>
      <c r="J195">
        <v>90</v>
      </c>
      <c r="K195" t="s">
        <v>2</v>
      </c>
      <c r="L195" t="s">
        <v>1169</v>
      </c>
      <c r="M195" t="s">
        <v>1168</v>
      </c>
      <c r="N195" t="s">
        <v>1213</v>
      </c>
      <c r="O195" t="s">
        <v>1213</v>
      </c>
      <c r="P195" t="s">
        <v>1214</v>
      </c>
    </row>
    <row r="196" spans="1:16" x14ac:dyDescent="0.25">
      <c r="A196" t="s">
        <v>1453</v>
      </c>
      <c r="B196" t="s">
        <v>1446</v>
      </c>
      <c r="C196" t="s">
        <v>1211</v>
      </c>
      <c r="D196" t="s">
        <v>1027</v>
      </c>
      <c r="E196">
        <v>1383</v>
      </c>
      <c r="F196" t="s">
        <v>1212</v>
      </c>
      <c r="G196" t="b">
        <v>0</v>
      </c>
      <c r="H196" t="b">
        <v>0</v>
      </c>
      <c r="I196" t="s">
        <v>1050</v>
      </c>
      <c r="J196">
        <v>90</v>
      </c>
      <c r="K196" t="s">
        <v>2</v>
      </c>
      <c r="L196" t="s">
        <v>1169</v>
      </c>
      <c r="M196" t="s">
        <v>1168</v>
      </c>
      <c r="N196" t="s">
        <v>1213</v>
      </c>
      <c r="O196" t="s">
        <v>1213</v>
      </c>
      <c r="P196" t="s">
        <v>1214</v>
      </c>
    </row>
    <row r="197" spans="1:16" x14ac:dyDescent="0.25">
      <c r="A197" t="s">
        <v>1454</v>
      </c>
      <c r="B197" t="s">
        <v>1446</v>
      </c>
      <c r="C197" t="s">
        <v>1211</v>
      </c>
      <c r="D197" t="s">
        <v>1027</v>
      </c>
      <c r="E197">
        <v>1383</v>
      </c>
      <c r="F197" t="s">
        <v>1212</v>
      </c>
      <c r="G197" t="b">
        <v>0</v>
      </c>
      <c r="H197" t="b">
        <v>0</v>
      </c>
      <c r="I197" t="s">
        <v>1050</v>
      </c>
      <c r="J197">
        <v>90</v>
      </c>
      <c r="K197" t="s">
        <v>2</v>
      </c>
      <c r="L197" t="s">
        <v>1169</v>
      </c>
      <c r="M197" t="s">
        <v>1168</v>
      </c>
      <c r="N197" t="s">
        <v>1213</v>
      </c>
      <c r="O197" t="s">
        <v>1213</v>
      </c>
      <c r="P197" t="s">
        <v>1214</v>
      </c>
    </row>
    <row r="198" spans="1:16" x14ac:dyDescent="0.25">
      <c r="A198" t="s">
        <v>1455</v>
      </c>
      <c r="B198" t="s">
        <v>1446</v>
      </c>
      <c r="C198" t="s">
        <v>1211</v>
      </c>
      <c r="D198" t="s">
        <v>1027</v>
      </c>
      <c r="E198">
        <v>1383</v>
      </c>
      <c r="F198" t="s">
        <v>1212</v>
      </c>
      <c r="G198" t="b">
        <v>0</v>
      </c>
      <c r="H198" t="b">
        <v>0</v>
      </c>
      <c r="I198" t="s">
        <v>1050</v>
      </c>
      <c r="J198">
        <v>90</v>
      </c>
      <c r="K198" t="s">
        <v>2</v>
      </c>
      <c r="L198" t="s">
        <v>1169</v>
      </c>
      <c r="M198" t="s">
        <v>1168</v>
      </c>
      <c r="N198" t="s">
        <v>1213</v>
      </c>
      <c r="O198" t="s">
        <v>1213</v>
      </c>
      <c r="P198" t="s">
        <v>1214</v>
      </c>
    </row>
    <row r="199" spans="1:16" x14ac:dyDescent="0.25">
      <c r="A199" t="s">
        <v>1456</v>
      </c>
      <c r="B199" t="s">
        <v>1457</v>
      </c>
      <c r="C199" t="s">
        <v>1217</v>
      </c>
      <c r="D199" t="s">
        <v>1027</v>
      </c>
      <c r="E199">
        <v>1450</v>
      </c>
      <c r="F199" t="s">
        <v>1218</v>
      </c>
      <c r="G199" t="b">
        <v>0</v>
      </c>
      <c r="H199" t="b">
        <v>0</v>
      </c>
      <c r="I199" t="s">
        <v>1050</v>
      </c>
      <c r="J199">
        <v>29</v>
      </c>
      <c r="K199" t="s">
        <v>0</v>
      </c>
      <c r="L199" t="s">
        <v>1167</v>
      </c>
      <c r="M199" t="s">
        <v>1168</v>
      </c>
      <c r="N199" t="s">
        <v>1169</v>
      </c>
      <c r="O199" t="s">
        <v>1168</v>
      </c>
      <c r="P199" t="s">
        <v>1219</v>
      </c>
    </row>
    <row r="200" spans="1:16" x14ac:dyDescent="0.25">
      <c r="A200" t="s">
        <v>1458</v>
      </c>
      <c r="B200" t="s">
        <v>1457</v>
      </c>
      <c r="C200" t="s">
        <v>1217</v>
      </c>
      <c r="D200" t="s">
        <v>1027</v>
      </c>
      <c r="E200">
        <v>1450</v>
      </c>
      <c r="F200" t="s">
        <v>1218</v>
      </c>
      <c r="G200" t="b">
        <v>0</v>
      </c>
      <c r="H200" t="b">
        <v>0</v>
      </c>
      <c r="I200" t="s">
        <v>1050</v>
      </c>
      <c r="J200">
        <v>29</v>
      </c>
      <c r="K200" t="s">
        <v>0</v>
      </c>
      <c r="L200" t="s">
        <v>1167</v>
      </c>
      <c r="M200" t="s">
        <v>1168</v>
      </c>
      <c r="N200" t="s">
        <v>1169</v>
      </c>
      <c r="O200" t="s">
        <v>1168</v>
      </c>
      <c r="P200" t="s">
        <v>1219</v>
      </c>
    </row>
    <row r="201" spans="1:16" x14ac:dyDescent="0.25">
      <c r="A201" t="s">
        <v>1459</v>
      </c>
      <c r="B201" t="s">
        <v>1457</v>
      </c>
      <c r="C201" t="s">
        <v>1217</v>
      </c>
      <c r="D201" t="s">
        <v>1027</v>
      </c>
      <c r="E201">
        <v>1450</v>
      </c>
      <c r="F201" t="s">
        <v>1218</v>
      </c>
      <c r="G201" t="b">
        <v>0</v>
      </c>
      <c r="H201" t="b">
        <v>0</v>
      </c>
      <c r="I201" t="s">
        <v>1050</v>
      </c>
      <c r="J201">
        <v>29</v>
      </c>
      <c r="K201" t="s">
        <v>0</v>
      </c>
      <c r="L201" t="s">
        <v>1167</v>
      </c>
      <c r="M201" t="s">
        <v>1168</v>
      </c>
      <c r="N201" t="s">
        <v>1169</v>
      </c>
      <c r="O201" t="s">
        <v>1168</v>
      </c>
      <c r="P201" t="s">
        <v>1219</v>
      </c>
    </row>
    <row r="202" spans="1:16" x14ac:dyDescent="0.25">
      <c r="A202" t="s">
        <v>1460</v>
      </c>
      <c r="B202" t="s">
        <v>1461</v>
      </c>
      <c r="C202" t="s">
        <v>1165</v>
      </c>
      <c r="D202" t="s">
        <v>1027</v>
      </c>
      <c r="E202">
        <v>63774</v>
      </c>
      <c r="F202" t="s">
        <v>1166</v>
      </c>
      <c r="G202" t="b">
        <v>0</v>
      </c>
      <c r="H202" t="b">
        <v>0</v>
      </c>
      <c r="I202" t="s">
        <v>1050</v>
      </c>
      <c r="J202">
        <v>30</v>
      </c>
      <c r="K202" t="s">
        <v>1</v>
      </c>
      <c r="L202" t="s">
        <v>1167</v>
      </c>
      <c r="M202" t="s">
        <v>1168</v>
      </c>
      <c r="N202" t="s">
        <v>1169</v>
      </c>
      <c r="O202" t="s">
        <v>1168</v>
      </c>
      <c r="P202" t="s">
        <v>1170</v>
      </c>
    </row>
    <row r="203" spans="1:16" x14ac:dyDescent="0.25">
      <c r="A203" t="s">
        <v>1462</v>
      </c>
      <c r="B203" t="s">
        <v>1463</v>
      </c>
      <c r="C203" t="s">
        <v>1165</v>
      </c>
      <c r="D203" t="s">
        <v>1027</v>
      </c>
      <c r="E203">
        <v>63774</v>
      </c>
      <c r="F203" t="s">
        <v>1166</v>
      </c>
      <c r="G203" t="b">
        <v>0</v>
      </c>
      <c r="H203" t="b">
        <v>0</v>
      </c>
      <c r="I203" t="s">
        <v>1050</v>
      </c>
      <c r="J203">
        <v>91</v>
      </c>
      <c r="K203" t="s">
        <v>1</v>
      </c>
      <c r="L203" t="s">
        <v>1167</v>
      </c>
      <c r="M203" t="s">
        <v>1168</v>
      </c>
      <c r="N203" t="s">
        <v>1169</v>
      </c>
      <c r="O203" t="s">
        <v>1168</v>
      </c>
      <c r="P203" t="s">
        <v>1170</v>
      </c>
    </row>
    <row r="204" spans="1:16" x14ac:dyDescent="0.25">
      <c r="A204" t="s">
        <v>1464</v>
      </c>
      <c r="B204" t="s">
        <v>1463</v>
      </c>
      <c r="C204" t="s">
        <v>1165</v>
      </c>
      <c r="D204" t="s">
        <v>1027</v>
      </c>
      <c r="E204">
        <v>63774</v>
      </c>
      <c r="F204" t="s">
        <v>1166</v>
      </c>
      <c r="G204" t="b">
        <v>0</v>
      </c>
      <c r="H204" t="b">
        <v>0</v>
      </c>
      <c r="I204" t="s">
        <v>1050</v>
      </c>
      <c r="J204">
        <v>91</v>
      </c>
      <c r="K204" t="s">
        <v>1</v>
      </c>
      <c r="L204" t="s">
        <v>1167</v>
      </c>
      <c r="M204" t="s">
        <v>1168</v>
      </c>
      <c r="N204" t="s">
        <v>1169</v>
      </c>
      <c r="O204" t="s">
        <v>1168</v>
      </c>
      <c r="P204" t="s">
        <v>1170</v>
      </c>
    </row>
    <row r="205" spans="1:16" x14ac:dyDescent="0.25">
      <c r="A205" t="s">
        <v>1465</v>
      </c>
      <c r="B205" t="s">
        <v>1463</v>
      </c>
      <c r="C205" t="s">
        <v>1165</v>
      </c>
      <c r="D205" t="s">
        <v>1027</v>
      </c>
      <c r="E205">
        <v>63774</v>
      </c>
      <c r="F205" t="s">
        <v>1166</v>
      </c>
      <c r="G205" t="b">
        <v>0</v>
      </c>
      <c r="H205" t="b">
        <v>0</v>
      </c>
      <c r="I205" t="s">
        <v>1050</v>
      </c>
      <c r="J205">
        <v>91</v>
      </c>
      <c r="K205" t="s">
        <v>1</v>
      </c>
      <c r="L205" t="s">
        <v>1167</v>
      </c>
      <c r="M205" t="s">
        <v>1168</v>
      </c>
      <c r="N205" t="s">
        <v>1169</v>
      </c>
      <c r="O205" t="s">
        <v>1168</v>
      </c>
      <c r="P205" t="s">
        <v>1170</v>
      </c>
    </row>
    <row r="206" spans="1:16" x14ac:dyDescent="0.25">
      <c r="A206" t="s">
        <v>1466</v>
      </c>
      <c r="B206" t="s">
        <v>1467</v>
      </c>
      <c r="C206" t="s">
        <v>1165</v>
      </c>
      <c r="D206" t="s">
        <v>1027</v>
      </c>
      <c r="E206">
        <v>63774</v>
      </c>
      <c r="F206" t="s">
        <v>1166</v>
      </c>
      <c r="G206" t="b">
        <v>0</v>
      </c>
      <c r="H206" t="b">
        <v>0</v>
      </c>
      <c r="I206" t="s">
        <v>1050</v>
      </c>
      <c r="J206">
        <v>91</v>
      </c>
      <c r="K206" t="s">
        <v>1</v>
      </c>
      <c r="L206" t="s">
        <v>1167</v>
      </c>
      <c r="M206" t="s">
        <v>1168</v>
      </c>
      <c r="N206" t="s">
        <v>1169</v>
      </c>
      <c r="O206" t="s">
        <v>1168</v>
      </c>
      <c r="P206" t="s">
        <v>1170</v>
      </c>
    </row>
    <row r="207" spans="1:16" x14ac:dyDescent="0.25">
      <c r="A207" t="s">
        <v>1468</v>
      </c>
      <c r="B207" t="s">
        <v>1467</v>
      </c>
      <c r="C207" t="s">
        <v>1165</v>
      </c>
      <c r="D207" t="s">
        <v>1027</v>
      </c>
      <c r="E207">
        <v>63774</v>
      </c>
      <c r="F207" t="s">
        <v>1166</v>
      </c>
      <c r="G207" t="b">
        <v>0</v>
      </c>
      <c r="H207" t="b">
        <v>0</v>
      </c>
      <c r="I207" t="s">
        <v>1050</v>
      </c>
      <c r="J207">
        <v>91</v>
      </c>
      <c r="K207" t="s">
        <v>1</v>
      </c>
      <c r="L207" t="s">
        <v>1167</v>
      </c>
      <c r="M207" t="s">
        <v>1168</v>
      </c>
      <c r="N207" t="s">
        <v>1169</v>
      </c>
      <c r="O207" t="s">
        <v>1168</v>
      </c>
      <c r="P207" t="s">
        <v>1170</v>
      </c>
    </row>
    <row r="208" spans="1:16" x14ac:dyDescent="0.25">
      <c r="A208" t="s">
        <v>1469</v>
      </c>
      <c r="B208" t="s">
        <v>1467</v>
      </c>
      <c r="C208" t="s">
        <v>1165</v>
      </c>
      <c r="D208" t="s">
        <v>1027</v>
      </c>
      <c r="E208">
        <v>63774</v>
      </c>
      <c r="F208" t="s">
        <v>1166</v>
      </c>
      <c r="G208" t="b">
        <v>0</v>
      </c>
      <c r="H208" t="b">
        <v>0</v>
      </c>
      <c r="I208" t="s">
        <v>1050</v>
      </c>
      <c r="J208">
        <v>91</v>
      </c>
      <c r="K208" t="s">
        <v>1</v>
      </c>
      <c r="L208" t="s">
        <v>1167</v>
      </c>
      <c r="M208" t="s">
        <v>1168</v>
      </c>
      <c r="N208" t="s">
        <v>1169</v>
      </c>
      <c r="O208" t="s">
        <v>1168</v>
      </c>
      <c r="P208" t="s">
        <v>1170</v>
      </c>
    </row>
    <row r="209" spans="1:16" x14ac:dyDescent="0.25">
      <c r="A209" t="s">
        <v>1470</v>
      </c>
      <c r="B209" t="s">
        <v>1471</v>
      </c>
      <c r="C209" t="s">
        <v>1165</v>
      </c>
      <c r="D209" t="s">
        <v>1027</v>
      </c>
      <c r="E209">
        <v>63774</v>
      </c>
      <c r="F209" t="s">
        <v>1166</v>
      </c>
      <c r="G209" t="b">
        <v>0</v>
      </c>
      <c r="H209" t="b">
        <v>0</v>
      </c>
      <c r="I209" t="s">
        <v>1050</v>
      </c>
      <c r="J209">
        <v>91</v>
      </c>
      <c r="K209" t="s">
        <v>1</v>
      </c>
      <c r="L209" t="s">
        <v>1167</v>
      </c>
      <c r="M209" t="s">
        <v>1168</v>
      </c>
      <c r="N209" t="s">
        <v>1169</v>
      </c>
      <c r="O209" t="s">
        <v>1168</v>
      </c>
      <c r="P209" t="s">
        <v>1170</v>
      </c>
    </row>
    <row r="210" spans="1:16" x14ac:dyDescent="0.25">
      <c r="A210" t="s">
        <v>1472</v>
      </c>
      <c r="B210" t="s">
        <v>1471</v>
      </c>
      <c r="C210" t="s">
        <v>1165</v>
      </c>
      <c r="D210" t="s">
        <v>1027</v>
      </c>
      <c r="E210">
        <v>63774</v>
      </c>
      <c r="F210" t="s">
        <v>1166</v>
      </c>
      <c r="G210" t="b">
        <v>0</v>
      </c>
      <c r="H210" t="b">
        <v>0</v>
      </c>
      <c r="I210" t="s">
        <v>1050</v>
      </c>
      <c r="J210">
        <v>91</v>
      </c>
      <c r="K210" t="s">
        <v>1</v>
      </c>
      <c r="L210" t="s">
        <v>1167</v>
      </c>
      <c r="M210" t="s">
        <v>1168</v>
      </c>
      <c r="N210" t="s">
        <v>1169</v>
      </c>
      <c r="O210" t="s">
        <v>1168</v>
      </c>
      <c r="P210" t="s">
        <v>1170</v>
      </c>
    </row>
    <row r="211" spans="1:16" x14ac:dyDescent="0.25">
      <c r="A211" t="s">
        <v>1473</v>
      </c>
      <c r="B211" t="s">
        <v>1471</v>
      </c>
      <c r="C211" t="s">
        <v>1165</v>
      </c>
      <c r="D211" t="s">
        <v>1027</v>
      </c>
      <c r="E211">
        <v>63774</v>
      </c>
      <c r="F211" t="s">
        <v>1166</v>
      </c>
      <c r="G211" t="b">
        <v>0</v>
      </c>
      <c r="H211" t="b">
        <v>0</v>
      </c>
      <c r="I211" t="s">
        <v>1050</v>
      </c>
      <c r="J211">
        <v>91</v>
      </c>
      <c r="K211" t="s">
        <v>1</v>
      </c>
      <c r="L211" t="s">
        <v>1167</v>
      </c>
      <c r="M211" t="s">
        <v>1168</v>
      </c>
      <c r="N211" t="s">
        <v>1169</v>
      </c>
      <c r="O211" t="s">
        <v>1168</v>
      </c>
      <c r="P211" t="s">
        <v>1170</v>
      </c>
    </row>
    <row r="212" spans="1:16" x14ac:dyDescent="0.25">
      <c r="A212" t="s">
        <v>1474</v>
      </c>
      <c r="B212" t="s">
        <v>1475</v>
      </c>
      <c r="C212" t="s">
        <v>1165</v>
      </c>
      <c r="D212" t="s">
        <v>1027</v>
      </c>
      <c r="E212">
        <v>63774</v>
      </c>
      <c r="F212" t="s">
        <v>1166</v>
      </c>
      <c r="G212" t="b">
        <v>0</v>
      </c>
      <c r="H212" t="b">
        <v>0</v>
      </c>
      <c r="I212" t="s">
        <v>1050</v>
      </c>
      <c r="J212">
        <v>91</v>
      </c>
      <c r="K212" t="s">
        <v>1</v>
      </c>
      <c r="L212" t="s">
        <v>1167</v>
      </c>
      <c r="M212" t="s">
        <v>1168</v>
      </c>
      <c r="N212" t="s">
        <v>1169</v>
      </c>
      <c r="O212" t="s">
        <v>1168</v>
      </c>
      <c r="P212" t="s">
        <v>1170</v>
      </c>
    </row>
    <row r="213" spans="1:16" x14ac:dyDescent="0.25">
      <c r="A213" t="s">
        <v>1476</v>
      </c>
      <c r="B213" t="s">
        <v>1475</v>
      </c>
      <c r="C213" t="s">
        <v>1165</v>
      </c>
      <c r="D213" t="s">
        <v>1027</v>
      </c>
      <c r="E213">
        <v>63774</v>
      </c>
      <c r="F213" t="s">
        <v>1166</v>
      </c>
      <c r="G213" t="b">
        <v>0</v>
      </c>
      <c r="H213" t="b">
        <v>0</v>
      </c>
      <c r="I213" t="s">
        <v>1050</v>
      </c>
      <c r="J213">
        <v>91</v>
      </c>
      <c r="K213" t="s">
        <v>1</v>
      </c>
      <c r="L213" t="s">
        <v>1167</v>
      </c>
      <c r="M213" t="s">
        <v>1168</v>
      </c>
      <c r="N213" t="s">
        <v>1169</v>
      </c>
      <c r="O213" t="s">
        <v>1168</v>
      </c>
      <c r="P213" t="s">
        <v>1170</v>
      </c>
    </row>
    <row r="214" spans="1:16" x14ac:dyDescent="0.25">
      <c r="A214" t="s">
        <v>1477</v>
      </c>
      <c r="B214" t="s">
        <v>1475</v>
      </c>
      <c r="C214" t="s">
        <v>1165</v>
      </c>
      <c r="D214" t="s">
        <v>1027</v>
      </c>
      <c r="E214">
        <v>63774</v>
      </c>
      <c r="F214" t="s">
        <v>1166</v>
      </c>
      <c r="G214" t="b">
        <v>0</v>
      </c>
      <c r="H214" t="b">
        <v>0</v>
      </c>
      <c r="I214" t="s">
        <v>1050</v>
      </c>
      <c r="J214">
        <v>91</v>
      </c>
      <c r="K214" t="s">
        <v>1</v>
      </c>
      <c r="L214" t="s">
        <v>1167</v>
      </c>
      <c r="M214" t="s">
        <v>1168</v>
      </c>
      <c r="N214" t="s">
        <v>1169</v>
      </c>
      <c r="O214" t="s">
        <v>1168</v>
      </c>
      <c r="P214" t="s">
        <v>1170</v>
      </c>
    </row>
    <row r="215" spans="1:16" x14ac:dyDescent="0.25">
      <c r="A215" t="s">
        <v>1478</v>
      </c>
      <c r="B215" t="s">
        <v>1479</v>
      </c>
      <c r="C215" t="s">
        <v>1228</v>
      </c>
      <c r="D215" t="s">
        <v>1027</v>
      </c>
      <c r="E215">
        <v>1660</v>
      </c>
      <c r="F215" t="s">
        <v>1229</v>
      </c>
      <c r="G215" t="b">
        <v>0</v>
      </c>
      <c r="H215" t="b">
        <v>0</v>
      </c>
      <c r="I215" t="s">
        <v>1050</v>
      </c>
      <c r="J215">
        <v>66</v>
      </c>
      <c r="K215" t="s">
        <v>2</v>
      </c>
      <c r="L215" t="s">
        <v>1167</v>
      </c>
      <c r="M215" t="s">
        <v>1168</v>
      </c>
      <c r="N215" t="s">
        <v>1169</v>
      </c>
      <c r="O215" t="s">
        <v>1168</v>
      </c>
      <c r="P215" t="s">
        <v>1230</v>
      </c>
    </row>
    <row r="216" spans="1:16" x14ac:dyDescent="0.25">
      <c r="A216" t="s">
        <v>1480</v>
      </c>
      <c r="B216" t="s">
        <v>1481</v>
      </c>
      <c r="C216" t="s">
        <v>1482</v>
      </c>
      <c r="D216" t="s">
        <v>1027</v>
      </c>
      <c r="E216">
        <v>1664</v>
      </c>
      <c r="F216" t="s">
        <v>1483</v>
      </c>
      <c r="G216" t="b">
        <v>0</v>
      </c>
      <c r="H216" t="b">
        <v>0</v>
      </c>
      <c r="I216" t="s">
        <v>1050</v>
      </c>
      <c r="J216">
        <v>80</v>
      </c>
      <c r="K216" t="s">
        <v>1</v>
      </c>
      <c r="L216" t="s">
        <v>1213</v>
      </c>
      <c r="M216" t="s">
        <v>1168</v>
      </c>
      <c r="N216" t="s">
        <v>1168</v>
      </c>
      <c r="O216" t="s">
        <v>1168</v>
      </c>
      <c r="P216" t="s">
        <v>1484</v>
      </c>
    </row>
    <row r="217" spans="1:16" x14ac:dyDescent="0.25">
      <c r="A217" t="s">
        <v>1485</v>
      </c>
      <c r="B217" t="s">
        <v>1486</v>
      </c>
      <c r="C217" t="s">
        <v>1228</v>
      </c>
      <c r="D217" t="s">
        <v>1027</v>
      </c>
      <c r="E217">
        <v>1660</v>
      </c>
      <c r="F217" t="s">
        <v>1229</v>
      </c>
      <c r="G217" t="b">
        <v>0</v>
      </c>
      <c r="H217" t="b">
        <v>0</v>
      </c>
      <c r="I217" t="s">
        <v>1050</v>
      </c>
      <c r="J217">
        <v>88</v>
      </c>
      <c r="K217" t="s">
        <v>2</v>
      </c>
      <c r="L217" t="s">
        <v>1167</v>
      </c>
      <c r="M217" t="s">
        <v>1168</v>
      </c>
      <c r="N217" t="s">
        <v>1169</v>
      </c>
      <c r="O217" t="s">
        <v>1168</v>
      </c>
      <c r="P217" t="s">
        <v>1230</v>
      </c>
    </row>
    <row r="218" spans="1:16" x14ac:dyDescent="0.25">
      <c r="A218" t="s">
        <v>1487</v>
      </c>
      <c r="B218" t="s">
        <v>1488</v>
      </c>
      <c r="C218" t="s">
        <v>1228</v>
      </c>
      <c r="D218" t="s">
        <v>1027</v>
      </c>
      <c r="E218">
        <v>1660</v>
      </c>
      <c r="F218" t="s">
        <v>1229</v>
      </c>
      <c r="G218" t="b">
        <v>0</v>
      </c>
      <c r="H218" t="b">
        <v>0</v>
      </c>
      <c r="I218" t="s">
        <v>1050</v>
      </c>
      <c r="J218">
        <v>94</v>
      </c>
      <c r="K218" t="s">
        <v>2</v>
      </c>
      <c r="L218" t="s">
        <v>1167</v>
      </c>
      <c r="M218" t="s">
        <v>1168</v>
      </c>
      <c r="N218" t="s">
        <v>1169</v>
      </c>
      <c r="O218" t="s">
        <v>1168</v>
      </c>
      <c r="P218" t="s">
        <v>1230</v>
      </c>
    </row>
    <row r="219" spans="1:16" x14ac:dyDescent="0.25">
      <c r="A219" t="s">
        <v>1489</v>
      </c>
      <c r="B219" t="s">
        <v>1490</v>
      </c>
      <c r="C219" t="s">
        <v>1228</v>
      </c>
      <c r="D219" t="s">
        <v>1027</v>
      </c>
      <c r="E219">
        <v>1660</v>
      </c>
      <c r="F219" t="s">
        <v>1229</v>
      </c>
      <c r="G219" t="b">
        <v>0</v>
      </c>
      <c r="H219" t="b">
        <v>0</v>
      </c>
      <c r="I219" t="s">
        <v>1050</v>
      </c>
      <c r="J219">
        <v>90</v>
      </c>
      <c r="K219" t="s">
        <v>2</v>
      </c>
      <c r="L219" t="s">
        <v>1167</v>
      </c>
      <c r="M219" t="s">
        <v>1168</v>
      </c>
      <c r="N219" t="s">
        <v>1169</v>
      </c>
      <c r="O219" t="s">
        <v>1168</v>
      </c>
      <c r="P219" t="s">
        <v>1230</v>
      </c>
    </row>
    <row r="220" spans="1:16" x14ac:dyDescent="0.25">
      <c r="A220" t="s">
        <v>1491</v>
      </c>
      <c r="B220" t="s">
        <v>1492</v>
      </c>
      <c r="C220" t="s">
        <v>1181</v>
      </c>
      <c r="D220" t="s">
        <v>1027</v>
      </c>
      <c r="E220">
        <v>63765</v>
      </c>
      <c r="F220" t="s">
        <v>1182</v>
      </c>
      <c r="G220" t="b">
        <v>0</v>
      </c>
      <c r="H220" t="b">
        <v>0</v>
      </c>
      <c r="I220" t="s">
        <v>1050</v>
      </c>
      <c r="J220">
        <v>56</v>
      </c>
      <c r="K220" t="s">
        <v>2</v>
      </c>
      <c r="L220" t="s">
        <v>1167</v>
      </c>
      <c r="M220" t="s">
        <v>1168</v>
      </c>
      <c r="N220" t="s">
        <v>1169</v>
      </c>
      <c r="O220" t="s">
        <v>1168</v>
      </c>
      <c r="P220" t="s">
        <v>1183</v>
      </c>
    </row>
    <row r="221" spans="1:16" x14ac:dyDescent="0.25">
      <c r="A221" t="s">
        <v>1493</v>
      </c>
      <c r="B221" t="s">
        <v>1492</v>
      </c>
      <c r="C221" t="s">
        <v>1181</v>
      </c>
      <c r="D221" t="s">
        <v>1027</v>
      </c>
      <c r="E221">
        <v>63765</v>
      </c>
      <c r="F221" t="s">
        <v>1182</v>
      </c>
      <c r="G221" t="b">
        <v>0</v>
      </c>
      <c r="H221" t="b">
        <v>0</v>
      </c>
      <c r="I221" t="s">
        <v>1050</v>
      </c>
      <c r="J221">
        <v>56</v>
      </c>
      <c r="K221" t="s">
        <v>2</v>
      </c>
      <c r="L221" t="s">
        <v>1167</v>
      </c>
      <c r="M221" t="s">
        <v>1168</v>
      </c>
      <c r="N221" t="s">
        <v>1169</v>
      </c>
      <c r="O221" t="s">
        <v>1168</v>
      </c>
      <c r="P221" t="s">
        <v>1183</v>
      </c>
    </row>
    <row r="222" spans="1:16" x14ac:dyDescent="0.25">
      <c r="A222" t="s">
        <v>1494</v>
      </c>
      <c r="B222" t="s">
        <v>1492</v>
      </c>
      <c r="C222" t="s">
        <v>1181</v>
      </c>
      <c r="D222" t="s">
        <v>1027</v>
      </c>
      <c r="E222">
        <v>63765</v>
      </c>
      <c r="F222" t="s">
        <v>1182</v>
      </c>
      <c r="G222" t="b">
        <v>0</v>
      </c>
      <c r="H222" t="b">
        <v>0</v>
      </c>
      <c r="I222" t="s">
        <v>1050</v>
      </c>
      <c r="J222">
        <v>57</v>
      </c>
      <c r="K222" t="s">
        <v>2</v>
      </c>
      <c r="L222" t="s">
        <v>1167</v>
      </c>
      <c r="M222" t="s">
        <v>1168</v>
      </c>
      <c r="N222" t="s">
        <v>1169</v>
      </c>
      <c r="O222" t="s">
        <v>1168</v>
      </c>
      <c r="P222" t="s">
        <v>1183</v>
      </c>
    </row>
    <row r="223" spans="1:16" x14ac:dyDescent="0.25">
      <c r="A223" t="s">
        <v>1495</v>
      </c>
      <c r="B223" t="s">
        <v>1492</v>
      </c>
      <c r="C223" t="s">
        <v>1181</v>
      </c>
      <c r="D223" t="s">
        <v>1027</v>
      </c>
      <c r="E223">
        <v>63765</v>
      </c>
      <c r="F223" t="s">
        <v>1182</v>
      </c>
      <c r="G223" t="b">
        <v>0</v>
      </c>
      <c r="H223" t="b">
        <v>0</v>
      </c>
      <c r="I223" t="s">
        <v>1050</v>
      </c>
      <c r="J223">
        <v>57</v>
      </c>
      <c r="K223" t="s">
        <v>2</v>
      </c>
      <c r="L223" t="s">
        <v>1167</v>
      </c>
      <c r="M223" t="s">
        <v>1168</v>
      </c>
      <c r="N223" t="s">
        <v>1169</v>
      </c>
      <c r="O223" t="s">
        <v>1168</v>
      </c>
      <c r="P223" t="s">
        <v>1183</v>
      </c>
    </row>
    <row r="224" spans="1:16" x14ac:dyDescent="0.25">
      <c r="A224" t="s">
        <v>1496</v>
      </c>
      <c r="B224" t="s">
        <v>1497</v>
      </c>
      <c r="C224" t="s">
        <v>1431</v>
      </c>
      <c r="D224" t="s">
        <v>1027</v>
      </c>
      <c r="E224">
        <v>41348</v>
      </c>
      <c r="F224" t="s">
        <v>1432</v>
      </c>
      <c r="G224" t="b">
        <v>0</v>
      </c>
      <c r="H224" t="b">
        <v>0</v>
      </c>
      <c r="I224" t="s">
        <v>1050</v>
      </c>
      <c r="J224">
        <v>21</v>
      </c>
      <c r="K224" t="s">
        <v>2</v>
      </c>
      <c r="L224" t="s">
        <v>1168</v>
      </c>
      <c r="M224" t="s">
        <v>1168</v>
      </c>
      <c r="N224" t="s">
        <v>1169</v>
      </c>
      <c r="O224" t="s">
        <v>1168</v>
      </c>
      <c r="P224" t="s">
        <v>1434</v>
      </c>
    </row>
    <row r="225" spans="1:16" x14ac:dyDescent="0.25">
      <c r="A225" t="s">
        <v>1498</v>
      </c>
      <c r="B225" t="s">
        <v>1499</v>
      </c>
      <c r="C225" t="s">
        <v>1228</v>
      </c>
      <c r="D225" t="s">
        <v>1027</v>
      </c>
      <c r="E225">
        <v>1660</v>
      </c>
      <c r="F225" t="s">
        <v>1229</v>
      </c>
      <c r="G225" t="b">
        <v>0</v>
      </c>
      <c r="H225" t="b">
        <v>0</v>
      </c>
      <c r="I225" t="s">
        <v>1050</v>
      </c>
      <c r="J225">
        <v>85</v>
      </c>
      <c r="K225" t="s">
        <v>2</v>
      </c>
      <c r="L225" t="s">
        <v>1167</v>
      </c>
      <c r="M225" t="s">
        <v>1168</v>
      </c>
      <c r="N225" t="s">
        <v>1169</v>
      </c>
      <c r="O225" t="s">
        <v>1168</v>
      </c>
      <c r="P225" t="s">
        <v>1230</v>
      </c>
    </row>
    <row r="226" spans="1:16" x14ac:dyDescent="0.25">
      <c r="A226" t="s">
        <v>1500</v>
      </c>
      <c r="B226" t="s">
        <v>1501</v>
      </c>
      <c r="C226" t="s">
        <v>1181</v>
      </c>
      <c r="D226" t="s">
        <v>1027</v>
      </c>
      <c r="E226">
        <v>63765</v>
      </c>
      <c r="F226" t="s">
        <v>1182</v>
      </c>
      <c r="G226" t="b">
        <v>0</v>
      </c>
      <c r="H226" t="b">
        <v>0</v>
      </c>
      <c r="I226" t="s">
        <v>1050</v>
      </c>
      <c r="J226">
        <v>28</v>
      </c>
      <c r="K226" t="s">
        <v>2</v>
      </c>
      <c r="L226" t="s">
        <v>1167</v>
      </c>
      <c r="M226" t="s">
        <v>1168</v>
      </c>
      <c r="N226" t="s">
        <v>1169</v>
      </c>
      <c r="O226" t="s">
        <v>1168</v>
      </c>
      <c r="P226" t="s">
        <v>1183</v>
      </c>
    </row>
    <row r="227" spans="1:16" x14ac:dyDescent="0.25">
      <c r="A227" t="s">
        <v>1502</v>
      </c>
      <c r="B227" t="s">
        <v>1501</v>
      </c>
      <c r="C227" t="s">
        <v>1181</v>
      </c>
      <c r="D227" t="s">
        <v>1027</v>
      </c>
      <c r="E227">
        <v>63765</v>
      </c>
      <c r="F227" t="s">
        <v>1182</v>
      </c>
      <c r="G227" t="b">
        <v>0</v>
      </c>
      <c r="H227" t="b">
        <v>0</v>
      </c>
      <c r="I227" t="s">
        <v>1050</v>
      </c>
      <c r="J227">
        <v>52</v>
      </c>
      <c r="K227" t="s">
        <v>2</v>
      </c>
      <c r="L227" t="s">
        <v>1167</v>
      </c>
      <c r="M227" t="s">
        <v>1168</v>
      </c>
      <c r="N227" t="s">
        <v>1169</v>
      </c>
      <c r="O227" t="s">
        <v>1168</v>
      </c>
      <c r="P227" t="s">
        <v>1183</v>
      </c>
    </row>
    <row r="228" spans="1:16" x14ac:dyDescent="0.25">
      <c r="A228" t="s">
        <v>1503</v>
      </c>
      <c r="B228" t="s">
        <v>1501</v>
      </c>
      <c r="C228" t="s">
        <v>1181</v>
      </c>
      <c r="D228" t="s">
        <v>1027</v>
      </c>
      <c r="E228">
        <v>63765</v>
      </c>
      <c r="F228" t="s">
        <v>1182</v>
      </c>
      <c r="G228" t="b">
        <v>0</v>
      </c>
      <c r="H228" t="b">
        <v>0</v>
      </c>
      <c r="I228" t="s">
        <v>1050</v>
      </c>
      <c r="J228">
        <v>52</v>
      </c>
      <c r="K228" t="s">
        <v>2</v>
      </c>
      <c r="L228" t="s">
        <v>1167</v>
      </c>
      <c r="M228" t="s">
        <v>1168</v>
      </c>
      <c r="N228" t="s">
        <v>1169</v>
      </c>
      <c r="O228" t="s">
        <v>1168</v>
      </c>
      <c r="P228" t="s">
        <v>1183</v>
      </c>
    </row>
    <row r="229" spans="1:16" x14ac:dyDescent="0.25">
      <c r="A229" t="s">
        <v>1504</v>
      </c>
      <c r="B229" t="s">
        <v>1501</v>
      </c>
      <c r="C229" t="s">
        <v>1181</v>
      </c>
      <c r="D229" t="s">
        <v>1027</v>
      </c>
      <c r="E229">
        <v>63765</v>
      </c>
      <c r="F229" t="s">
        <v>1182</v>
      </c>
      <c r="G229" t="b">
        <v>0</v>
      </c>
      <c r="H229" t="b">
        <v>0</v>
      </c>
      <c r="I229" t="s">
        <v>1050</v>
      </c>
      <c r="J229">
        <v>52</v>
      </c>
      <c r="K229" t="s">
        <v>2</v>
      </c>
      <c r="L229" t="s">
        <v>1167</v>
      </c>
      <c r="M229" t="s">
        <v>1168</v>
      </c>
      <c r="N229" t="s">
        <v>1169</v>
      </c>
      <c r="O229" t="s">
        <v>1168</v>
      </c>
      <c r="P229" t="s">
        <v>1183</v>
      </c>
    </row>
    <row r="230" spans="1:16" x14ac:dyDescent="0.25">
      <c r="A230" t="s">
        <v>1505</v>
      </c>
      <c r="B230" t="s">
        <v>1501</v>
      </c>
      <c r="C230" t="s">
        <v>1181</v>
      </c>
      <c r="D230" t="s">
        <v>1027</v>
      </c>
      <c r="E230">
        <v>63765</v>
      </c>
      <c r="F230" t="s">
        <v>1182</v>
      </c>
      <c r="G230" t="b">
        <v>0</v>
      </c>
      <c r="H230" t="b">
        <v>0</v>
      </c>
      <c r="I230" t="s">
        <v>1050</v>
      </c>
      <c r="J230">
        <v>29</v>
      </c>
      <c r="K230" t="s">
        <v>2</v>
      </c>
      <c r="L230" t="s">
        <v>1167</v>
      </c>
      <c r="M230" t="s">
        <v>1168</v>
      </c>
      <c r="N230" t="s">
        <v>1169</v>
      </c>
      <c r="O230" t="s">
        <v>1168</v>
      </c>
      <c r="P230" t="s">
        <v>1183</v>
      </c>
    </row>
    <row r="231" spans="1:16" x14ac:dyDescent="0.25">
      <c r="A231" t="s">
        <v>1506</v>
      </c>
      <c r="B231" t="s">
        <v>1501</v>
      </c>
      <c r="C231" t="s">
        <v>1181</v>
      </c>
      <c r="D231" t="s">
        <v>1027</v>
      </c>
      <c r="E231">
        <v>63765</v>
      </c>
      <c r="F231" t="s">
        <v>1182</v>
      </c>
      <c r="G231" t="b">
        <v>0</v>
      </c>
      <c r="H231" t="b">
        <v>0</v>
      </c>
      <c r="I231" t="s">
        <v>1050</v>
      </c>
      <c r="J231">
        <v>29</v>
      </c>
      <c r="K231" t="s">
        <v>2</v>
      </c>
      <c r="L231" t="s">
        <v>1167</v>
      </c>
      <c r="M231" t="s">
        <v>1168</v>
      </c>
      <c r="N231" t="s">
        <v>1169</v>
      </c>
      <c r="O231" t="s">
        <v>1168</v>
      </c>
      <c r="P231" t="s">
        <v>1183</v>
      </c>
    </row>
    <row r="232" spans="1:16" x14ac:dyDescent="0.25">
      <c r="A232" t="s">
        <v>1507</v>
      </c>
      <c r="B232" t="s">
        <v>1501</v>
      </c>
      <c r="C232" t="s">
        <v>1181</v>
      </c>
      <c r="D232" t="s">
        <v>1027</v>
      </c>
      <c r="E232">
        <v>63765</v>
      </c>
      <c r="F232" t="s">
        <v>1182</v>
      </c>
      <c r="G232" t="b">
        <v>0</v>
      </c>
      <c r="H232" t="b">
        <v>0</v>
      </c>
      <c r="I232" t="s">
        <v>1050</v>
      </c>
      <c r="J232">
        <v>52</v>
      </c>
      <c r="K232" t="s">
        <v>2</v>
      </c>
      <c r="L232" t="s">
        <v>1167</v>
      </c>
      <c r="M232" t="s">
        <v>1168</v>
      </c>
      <c r="N232" t="s">
        <v>1169</v>
      </c>
      <c r="O232" t="s">
        <v>1168</v>
      </c>
      <c r="P232" t="s">
        <v>1183</v>
      </c>
    </row>
    <row r="233" spans="1:16" x14ac:dyDescent="0.25">
      <c r="A233" t="s">
        <v>1508</v>
      </c>
      <c r="B233" t="s">
        <v>1501</v>
      </c>
      <c r="C233" t="s">
        <v>1181</v>
      </c>
      <c r="D233" t="s">
        <v>1027</v>
      </c>
      <c r="E233">
        <v>63765</v>
      </c>
      <c r="F233" t="s">
        <v>1182</v>
      </c>
      <c r="G233" t="b">
        <v>0</v>
      </c>
      <c r="H233" t="b">
        <v>0</v>
      </c>
      <c r="I233" t="s">
        <v>1050</v>
      </c>
      <c r="J233">
        <v>52</v>
      </c>
      <c r="K233" t="s">
        <v>2</v>
      </c>
      <c r="L233" t="s">
        <v>1167</v>
      </c>
      <c r="M233" t="s">
        <v>1168</v>
      </c>
      <c r="N233" t="s">
        <v>1169</v>
      </c>
      <c r="O233" t="s">
        <v>1168</v>
      </c>
      <c r="P233" t="s">
        <v>1183</v>
      </c>
    </row>
    <row r="234" spans="1:16" x14ac:dyDescent="0.25">
      <c r="A234" t="s">
        <v>1509</v>
      </c>
      <c r="B234" t="s">
        <v>1501</v>
      </c>
      <c r="C234" t="s">
        <v>1181</v>
      </c>
      <c r="D234" t="s">
        <v>1027</v>
      </c>
      <c r="E234">
        <v>63765</v>
      </c>
      <c r="F234" t="s">
        <v>1182</v>
      </c>
      <c r="G234" t="b">
        <v>0</v>
      </c>
      <c r="H234" t="b">
        <v>0</v>
      </c>
      <c r="I234" t="s">
        <v>1050</v>
      </c>
      <c r="J234">
        <v>52</v>
      </c>
      <c r="K234" t="s">
        <v>2</v>
      </c>
      <c r="L234" t="s">
        <v>1167</v>
      </c>
      <c r="M234" t="s">
        <v>1168</v>
      </c>
      <c r="N234" t="s">
        <v>1169</v>
      </c>
      <c r="O234" t="s">
        <v>1168</v>
      </c>
      <c r="P234" t="s">
        <v>1183</v>
      </c>
    </row>
    <row r="235" spans="1:16" x14ac:dyDescent="0.25">
      <c r="A235" t="s">
        <v>1510</v>
      </c>
      <c r="B235" t="s">
        <v>1501</v>
      </c>
      <c r="C235" t="s">
        <v>1181</v>
      </c>
      <c r="D235" t="s">
        <v>1027</v>
      </c>
      <c r="E235">
        <v>63765</v>
      </c>
      <c r="F235" t="s">
        <v>1182</v>
      </c>
      <c r="G235" t="b">
        <v>0</v>
      </c>
      <c r="H235" t="b">
        <v>0</v>
      </c>
      <c r="I235" t="s">
        <v>1050</v>
      </c>
      <c r="J235">
        <v>52</v>
      </c>
      <c r="K235" t="s">
        <v>2</v>
      </c>
      <c r="L235" t="s">
        <v>1167</v>
      </c>
      <c r="M235" t="s">
        <v>1168</v>
      </c>
      <c r="N235" t="s">
        <v>1169</v>
      </c>
      <c r="O235" t="s">
        <v>1168</v>
      </c>
      <c r="P235" t="s">
        <v>1183</v>
      </c>
    </row>
    <row r="236" spans="1:16" x14ac:dyDescent="0.25">
      <c r="A236" t="s">
        <v>1511</v>
      </c>
      <c r="B236" t="s">
        <v>1501</v>
      </c>
      <c r="C236" t="s">
        <v>1181</v>
      </c>
      <c r="D236" t="s">
        <v>1027</v>
      </c>
      <c r="E236">
        <v>63765</v>
      </c>
      <c r="F236" t="s">
        <v>1182</v>
      </c>
      <c r="G236" t="b">
        <v>0</v>
      </c>
      <c r="H236" t="b">
        <v>0</v>
      </c>
      <c r="I236" t="s">
        <v>1050</v>
      </c>
      <c r="J236">
        <v>52</v>
      </c>
      <c r="K236" t="s">
        <v>2</v>
      </c>
      <c r="L236" t="s">
        <v>1167</v>
      </c>
      <c r="M236" t="s">
        <v>1168</v>
      </c>
      <c r="N236" t="s">
        <v>1169</v>
      </c>
      <c r="O236" t="s">
        <v>1168</v>
      </c>
      <c r="P236" t="s">
        <v>1183</v>
      </c>
    </row>
    <row r="237" spans="1:16" x14ac:dyDescent="0.25">
      <c r="A237" t="s">
        <v>1512</v>
      </c>
      <c r="B237" t="s">
        <v>1501</v>
      </c>
      <c r="C237" t="s">
        <v>1181</v>
      </c>
      <c r="D237" t="s">
        <v>1027</v>
      </c>
      <c r="E237">
        <v>63765</v>
      </c>
      <c r="F237" t="s">
        <v>1182</v>
      </c>
      <c r="G237" t="b">
        <v>0</v>
      </c>
      <c r="H237" t="b">
        <v>0</v>
      </c>
      <c r="I237" t="s">
        <v>1050</v>
      </c>
      <c r="J237">
        <v>52</v>
      </c>
      <c r="K237" t="s">
        <v>2</v>
      </c>
      <c r="L237" t="s">
        <v>1167</v>
      </c>
      <c r="M237" t="s">
        <v>1168</v>
      </c>
      <c r="N237" t="s">
        <v>1169</v>
      </c>
      <c r="O237" t="s">
        <v>1168</v>
      </c>
      <c r="P237" t="s">
        <v>1183</v>
      </c>
    </row>
    <row r="238" spans="1:16" x14ac:dyDescent="0.25">
      <c r="A238" t="s">
        <v>1513</v>
      </c>
      <c r="B238" t="s">
        <v>1501</v>
      </c>
      <c r="C238" t="s">
        <v>1181</v>
      </c>
      <c r="D238" t="s">
        <v>1027</v>
      </c>
      <c r="E238">
        <v>63765</v>
      </c>
      <c r="F238" t="s">
        <v>1182</v>
      </c>
      <c r="G238" t="b">
        <v>0</v>
      </c>
      <c r="H238" t="b">
        <v>0</v>
      </c>
      <c r="I238" t="s">
        <v>1050</v>
      </c>
      <c r="J238">
        <v>52</v>
      </c>
      <c r="K238" t="s">
        <v>2</v>
      </c>
      <c r="L238" t="s">
        <v>1167</v>
      </c>
      <c r="M238" t="s">
        <v>1168</v>
      </c>
      <c r="N238" t="s">
        <v>1169</v>
      </c>
      <c r="O238" t="s">
        <v>1168</v>
      </c>
      <c r="P238" t="s">
        <v>1183</v>
      </c>
    </row>
    <row r="239" spans="1:16" x14ac:dyDescent="0.25">
      <c r="A239" t="s">
        <v>1514</v>
      </c>
      <c r="B239" t="s">
        <v>1501</v>
      </c>
      <c r="C239" t="s">
        <v>1181</v>
      </c>
      <c r="D239" t="s">
        <v>1027</v>
      </c>
      <c r="E239">
        <v>63765</v>
      </c>
      <c r="F239" t="s">
        <v>1182</v>
      </c>
      <c r="G239" t="b">
        <v>0</v>
      </c>
      <c r="H239" t="b">
        <v>0</v>
      </c>
      <c r="I239" t="s">
        <v>1050</v>
      </c>
      <c r="J239">
        <v>52</v>
      </c>
      <c r="K239" t="s">
        <v>2</v>
      </c>
      <c r="L239" t="s">
        <v>1167</v>
      </c>
      <c r="M239" t="s">
        <v>1168</v>
      </c>
      <c r="N239" t="s">
        <v>1169</v>
      </c>
      <c r="O239" t="s">
        <v>1168</v>
      </c>
      <c r="P239" t="s">
        <v>1183</v>
      </c>
    </row>
    <row r="240" spans="1:16" x14ac:dyDescent="0.25">
      <c r="A240" t="s">
        <v>1515</v>
      </c>
      <c r="B240" t="s">
        <v>1501</v>
      </c>
      <c r="C240" t="s">
        <v>1181</v>
      </c>
      <c r="D240" t="s">
        <v>1027</v>
      </c>
      <c r="E240">
        <v>63765</v>
      </c>
      <c r="F240" t="s">
        <v>1182</v>
      </c>
      <c r="G240" t="b">
        <v>0</v>
      </c>
      <c r="H240" t="b">
        <v>0</v>
      </c>
      <c r="I240" t="s">
        <v>1050</v>
      </c>
      <c r="J240">
        <v>52</v>
      </c>
      <c r="K240" t="s">
        <v>2</v>
      </c>
      <c r="L240" t="s">
        <v>1167</v>
      </c>
      <c r="M240" t="s">
        <v>1168</v>
      </c>
      <c r="N240" t="s">
        <v>1169</v>
      </c>
      <c r="O240" t="s">
        <v>1168</v>
      </c>
      <c r="P240" t="s">
        <v>1183</v>
      </c>
    </row>
    <row r="241" spans="1:16" x14ac:dyDescent="0.25">
      <c r="A241" t="s">
        <v>1516</v>
      </c>
      <c r="B241" t="s">
        <v>1501</v>
      </c>
      <c r="C241" t="s">
        <v>1181</v>
      </c>
      <c r="D241" t="s">
        <v>1027</v>
      </c>
      <c r="E241">
        <v>63765</v>
      </c>
      <c r="F241" t="s">
        <v>1182</v>
      </c>
      <c r="G241" t="b">
        <v>0</v>
      </c>
      <c r="H241" t="b">
        <v>0</v>
      </c>
      <c r="I241" t="s">
        <v>1050</v>
      </c>
      <c r="J241">
        <v>52</v>
      </c>
      <c r="K241" t="s">
        <v>2</v>
      </c>
      <c r="L241" t="s">
        <v>1167</v>
      </c>
      <c r="M241" t="s">
        <v>1168</v>
      </c>
      <c r="N241" t="s">
        <v>1169</v>
      </c>
      <c r="O241" t="s">
        <v>1168</v>
      </c>
      <c r="P241" t="s">
        <v>1183</v>
      </c>
    </row>
    <row r="242" spans="1:16" x14ac:dyDescent="0.25">
      <c r="A242" t="s">
        <v>1517</v>
      </c>
      <c r="B242" t="s">
        <v>1518</v>
      </c>
      <c r="C242" t="s">
        <v>1181</v>
      </c>
      <c r="D242" t="s">
        <v>1027</v>
      </c>
      <c r="E242">
        <v>63765</v>
      </c>
      <c r="F242" t="s">
        <v>1182</v>
      </c>
      <c r="G242" t="b">
        <v>0</v>
      </c>
      <c r="H242" t="b">
        <v>0</v>
      </c>
      <c r="I242" t="s">
        <v>1050</v>
      </c>
      <c r="J242">
        <v>28</v>
      </c>
      <c r="K242" t="s">
        <v>2</v>
      </c>
      <c r="L242" t="s">
        <v>1167</v>
      </c>
      <c r="M242" t="s">
        <v>1168</v>
      </c>
      <c r="N242" t="s">
        <v>1169</v>
      </c>
      <c r="O242" t="s">
        <v>1168</v>
      </c>
      <c r="P242" t="s">
        <v>1183</v>
      </c>
    </row>
    <row r="243" spans="1:16" x14ac:dyDescent="0.25">
      <c r="A243" t="s">
        <v>1519</v>
      </c>
      <c r="B243" t="s">
        <v>1520</v>
      </c>
      <c r="C243" t="s">
        <v>1228</v>
      </c>
      <c r="D243" t="s">
        <v>1027</v>
      </c>
      <c r="E243">
        <v>1660</v>
      </c>
      <c r="F243" t="s">
        <v>1229</v>
      </c>
      <c r="G243" t="b">
        <v>0</v>
      </c>
      <c r="H243" t="b">
        <v>0</v>
      </c>
      <c r="I243" t="s">
        <v>1050</v>
      </c>
      <c r="J243">
        <v>85</v>
      </c>
      <c r="K243" t="s">
        <v>2</v>
      </c>
      <c r="L243" t="s">
        <v>1167</v>
      </c>
      <c r="M243" t="s">
        <v>1168</v>
      </c>
      <c r="N243" t="s">
        <v>1169</v>
      </c>
      <c r="O243" t="s">
        <v>1168</v>
      </c>
      <c r="P243" t="s">
        <v>1230</v>
      </c>
    </row>
    <row r="244" spans="1:16" x14ac:dyDescent="0.25">
      <c r="A244" t="s">
        <v>1521</v>
      </c>
      <c r="B244" t="s">
        <v>1522</v>
      </c>
      <c r="C244" t="s">
        <v>1228</v>
      </c>
      <c r="D244" t="s">
        <v>1027</v>
      </c>
      <c r="E244">
        <v>1660</v>
      </c>
      <c r="F244" t="s">
        <v>1229</v>
      </c>
      <c r="G244" t="b">
        <v>0</v>
      </c>
      <c r="H244" t="b">
        <v>0</v>
      </c>
      <c r="I244" t="s">
        <v>1050</v>
      </c>
      <c r="J244">
        <v>85</v>
      </c>
      <c r="K244" t="s">
        <v>2</v>
      </c>
      <c r="L244" t="s">
        <v>1167</v>
      </c>
      <c r="M244" t="s">
        <v>1168</v>
      </c>
      <c r="N244" t="s">
        <v>1169</v>
      </c>
      <c r="O244" t="s">
        <v>1168</v>
      </c>
      <c r="P244" t="s">
        <v>1230</v>
      </c>
    </row>
    <row r="245" spans="1:16" x14ac:dyDescent="0.25">
      <c r="A245" t="s">
        <v>1523</v>
      </c>
      <c r="B245" t="s">
        <v>1524</v>
      </c>
      <c r="C245" t="s">
        <v>1233</v>
      </c>
      <c r="D245" t="s">
        <v>1027</v>
      </c>
      <c r="E245">
        <v>63762</v>
      </c>
      <c r="F245" t="s">
        <v>1234</v>
      </c>
      <c r="G245" t="b">
        <v>0</v>
      </c>
      <c r="H245" t="b">
        <v>0</v>
      </c>
      <c r="I245" t="s">
        <v>1050</v>
      </c>
      <c r="J245">
        <v>80</v>
      </c>
      <c r="K245" t="s">
        <v>0</v>
      </c>
      <c r="L245" t="s">
        <v>1167</v>
      </c>
      <c r="M245" t="s">
        <v>1168</v>
      </c>
      <c r="N245" t="s">
        <v>1169</v>
      </c>
      <c r="O245" t="s">
        <v>1168</v>
      </c>
      <c r="P245" t="s">
        <v>1235</v>
      </c>
    </row>
    <row r="246" spans="1:16" x14ac:dyDescent="0.25">
      <c r="A246" t="s">
        <v>1525</v>
      </c>
      <c r="B246" t="s">
        <v>1526</v>
      </c>
      <c r="C246" t="s">
        <v>1527</v>
      </c>
      <c r="D246" t="s">
        <v>1027</v>
      </c>
      <c r="E246">
        <v>1394</v>
      </c>
      <c r="F246" t="s">
        <v>1528</v>
      </c>
      <c r="G246" t="b">
        <v>0</v>
      </c>
      <c r="H246" t="b">
        <v>0</v>
      </c>
      <c r="I246" t="s">
        <v>1050</v>
      </c>
      <c r="J246">
        <v>80</v>
      </c>
      <c r="K246" t="s">
        <v>2</v>
      </c>
      <c r="L246" t="s">
        <v>1167</v>
      </c>
      <c r="M246" t="s">
        <v>1168</v>
      </c>
      <c r="N246" t="s">
        <v>1169</v>
      </c>
      <c r="O246" t="s">
        <v>1213</v>
      </c>
      <c r="P246" t="s">
        <v>1529</v>
      </c>
    </row>
    <row r="247" spans="1:16" x14ac:dyDescent="0.25">
      <c r="A247" t="s">
        <v>1530</v>
      </c>
      <c r="B247" t="s">
        <v>1531</v>
      </c>
      <c r="C247" t="s">
        <v>1527</v>
      </c>
      <c r="D247" t="s">
        <v>1027</v>
      </c>
      <c r="E247">
        <v>1394</v>
      </c>
      <c r="F247" t="s">
        <v>1528</v>
      </c>
      <c r="G247" t="b">
        <v>0</v>
      </c>
      <c r="H247" t="b">
        <v>0</v>
      </c>
      <c r="I247" t="s">
        <v>1050</v>
      </c>
      <c r="J247">
        <v>80</v>
      </c>
      <c r="K247" t="s">
        <v>2</v>
      </c>
      <c r="L247" t="s">
        <v>1167</v>
      </c>
      <c r="M247" t="s">
        <v>1168</v>
      </c>
      <c r="N247" t="s">
        <v>1169</v>
      </c>
      <c r="O247" t="s">
        <v>1213</v>
      </c>
      <c r="P247" t="s">
        <v>1529</v>
      </c>
    </row>
    <row r="248" spans="1:16" x14ac:dyDescent="0.25">
      <c r="A248" t="s">
        <v>1532</v>
      </c>
      <c r="B248" t="s">
        <v>1533</v>
      </c>
      <c r="C248" t="s">
        <v>1228</v>
      </c>
      <c r="D248" t="s">
        <v>1027</v>
      </c>
      <c r="E248">
        <v>1660</v>
      </c>
      <c r="F248" t="s">
        <v>1229</v>
      </c>
      <c r="G248" t="b">
        <v>0</v>
      </c>
      <c r="H248" t="b">
        <v>0</v>
      </c>
      <c r="I248" t="s">
        <v>1050</v>
      </c>
      <c r="J248">
        <v>94</v>
      </c>
      <c r="K248" t="s">
        <v>2</v>
      </c>
      <c r="L248" t="s">
        <v>1167</v>
      </c>
      <c r="M248" t="s">
        <v>1168</v>
      </c>
      <c r="N248" t="s">
        <v>1169</v>
      </c>
      <c r="O248" t="s">
        <v>1168</v>
      </c>
      <c r="P248" t="s">
        <v>1230</v>
      </c>
    </row>
    <row r="249" spans="1:16" x14ac:dyDescent="0.25">
      <c r="A249" t="s">
        <v>1534</v>
      </c>
      <c r="B249" t="s">
        <v>1535</v>
      </c>
      <c r="C249" t="s">
        <v>1233</v>
      </c>
      <c r="D249" t="s">
        <v>1027</v>
      </c>
      <c r="E249">
        <v>63762</v>
      </c>
      <c r="F249" t="s">
        <v>1234</v>
      </c>
      <c r="G249" t="b">
        <v>0</v>
      </c>
      <c r="H249" t="b">
        <v>0</v>
      </c>
      <c r="I249" t="s">
        <v>1050</v>
      </c>
      <c r="J249">
        <v>87</v>
      </c>
      <c r="K249" t="s">
        <v>0</v>
      </c>
      <c r="L249" t="s">
        <v>1167</v>
      </c>
      <c r="M249" t="s">
        <v>1168</v>
      </c>
      <c r="N249" t="s">
        <v>1169</v>
      </c>
      <c r="O249" t="s">
        <v>1168</v>
      </c>
      <c r="P249" t="s">
        <v>1235</v>
      </c>
    </row>
    <row r="250" spans="1:16" x14ac:dyDescent="0.25">
      <c r="A250" t="s">
        <v>1536</v>
      </c>
      <c r="B250" t="s">
        <v>1537</v>
      </c>
      <c r="C250" t="s">
        <v>1211</v>
      </c>
      <c r="D250" t="s">
        <v>1027</v>
      </c>
      <c r="E250">
        <v>1383</v>
      </c>
      <c r="F250" t="s">
        <v>1212</v>
      </c>
      <c r="G250" t="b">
        <v>0</v>
      </c>
      <c r="H250" t="b">
        <v>0</v>
      </c>
      <c r="I250" t="s">
        <v>1050</v>
      </c>
      <c r="J250">
        <v>90</v>
      </c>
      <c r="K250" t="s">
        <v>2</v>
      </c>
      <c r="L250" t="s">
        <v>1169</v>
      </c>
      <c r="M250" t="s">
        <v>1168</v>
      </c>
      <c r="N250" t="s">
        <v>1213</v>
      </c>
      <c r="O250" t="s">
        <v>1213</v>
      </c>
      <c r="P250" t="s">
        <v>1214</v>
      </c>
    </row>
    <row r="251" spans="1:16" x14ac:dyDescent="0.25">
      <c r="A251" t="s">
        <v>1538</v>
      </c>
      <c r="B251" t="s">
        <v>1537</v>
      </c>
      <c r="C251" t="s">
        <v>1211</v>
      </c>
      <c r="D251" t="s">
        <v>1027</v>
      </c>
      <c r="E251">
        <v>1383</v>
      </c>
      <c r="F251" t="s">
        <v>1212</v>
      </c>
      <c r="G251" t="b">
        <v>0</v>
      </c>
      <c r="H251" t="b">
        <v>0</v>
      </c>
      <c r="I251" t="s">
        <v>1050</v>
      </c>
      <c r="J251">
        <v>90</v>
      </c>
      <c r="K251" t="s">
        <v>2</v>
      </c>
      <c r="L251" t="s">
        <v>1169</v>
      </c>
      <c r="M251" t="s">
        <v>1168</v>
      </c>
      <c r="N251" t="s">
        <v>1213</v>
      </c>
      <c r="O251" t="s">
        <v>1213</v>
      </c>
      <c r="P251" t="s">
        <v>1214</v>
      </c>
    </row>
    <row r="252" spans="1:16" x14ac:dyDescent="0.25">
      <c r="A252" t="s">
        <v>1539</v>
      </c>
      <c r="B252" t="s">
        <v>1540</v>
      </c>
      <c r="C252" t="s">
        <v>1228</v>
      </c>
      <c r="D252" t="s">
        <v>1027</v>
      </c>
      <c r="E252">
        <v>1660</v>
      </c>
      <c r="F252" t="s">
        <v>1229</v>
      </c>
      <c r="G252" t="b">
        <v>0</v>
      </c>
      <c r="H252" t="b">
        <v>0</v>
      </c>
      <c r="I252" t="s">
        <v>1050</v>
      </c>
      <c r="J252">
        <v>85</v>
      </c>
      <c r="K252" t="s">
        <v>2</v>
      </c>
      <c r="L252" t="s">
        <v>1167</v>
      </c>
      <c r="M252" t="s">
        <v>1168</v>
      </c>
      <c r="N252" t="s">
        <v>1169</v>
      </c>
      <c r="O252" t="s">
        <v>1168</v>
      </c>
      <c r="P252" t="s">
        <v>1230</v>
      </c>
    </row>
    <row r="253" spans="1:16" x14ac:dyDescent="0.25">
      <c r="A253" t="s">
        <v>1541</v>
      </c>
      <c r="B253" t="s">
        <v>1542</v>
      </c>
      <c r="C253" t="s">
        <v>1211</v>
      </c>
      <c r="D253" t="s">
        <v>1027</v>
      </c>
      <c r="E253">
        <v>1383</v>
      </c>
      <c r="F253" t="s">
        <v>1212</v>
      </c>
      <c r="G253" t="b">
        <v>0</v>
      </c>
      <c r="H253" t="b">
        <v>0</v>
      </c>
      <c r="I253" t="s">
        <v>1050</v>
      </c>
      <c r="J253">
        <v>90</v>
      </c>
      <c r="K253" t="s">
        <v>2</v>
      </c>
      <c r="L253" t="s">
        <v>1169</v>
      </c>
      <c r="M253" t="s">
        <v>1168</v>
      </c>
      <c r="N253" t="s">
        <v>1213</v>
      </c>
      <c r="O253" t="s">
        <v>1213</v>
      </c>
      <c r="P253" t="s">
        <v>1214</v>
      </c>
    </row>
    <row r="254" spans="1:16" x14ac:dyDescent="0.25">
      <c r="A254" t="s">
        <v>1543</v>
      </c>
      <c r="B254" t="s">
        <v>1544</v>
      </c>
      <c r="C254" t="s">
        <v>1545</v>
      </c>
      <c r="D254" t="s">
        <v>1027</v>
      </c>
      <c r="E254">
        <v>1322</v>
      </c>
      <c r="F254" t="s">
        <v>1546</v>
      </c>
      <c r="G254" t="b">
        <v>0</v>
      </c>
      <c r="H254" t="b">
        <v>0</v>
      </c>
      <c r="I254" t="s">
        <v>1050</v>
      </c>
      <c r="J254">
        <v>91</v>
      </c>
      <c r="K254" t="s">
        <v>2</v>
      </c>
      <c r="L254" t="s">
        <v>1547</v>
      </c>
      <c r="M254" t="s">
        <v>1548</v>
      </c>
      <c r="N254" t="s">
        <v>1549</v>
      </c>
      <c r="O254" t="s">
        <v>1549</v>
      </c>
      <c r="P254" t="s">
        <v>1550</v>
      </c>
    </row>
    <row r="255" spans="1:16" x14ac:dyDescent="0.25">
      <c r="A255" t="s">
        <v>1551</v>
      </c>
      <c r="B255" t="s">
        <v>1544</v>
      </c>
      <c r="C255" t="s">
        <v>1545</v>
      </c>
      <c r="D255" t="s">
        <v>1027</v>
      </c>
      <c r="E255">
        <v>1322</v>
      </c>
      <c r="F255" t="s">
        <v>1546</v>
      </c>
      <c r="G255" t="b">
        <v>0</v>
      </c>
      <c r="H255" t="b">
        <v>0</v>
      </c>
      <c r="I255" t="s">
        <v>1050</v>
      </c>
      <c r="J255">
        <v>91</v>
      </c>
      <c r="K255" t="s">
        <v>2</v>
      </c>
      <c r="L255" t="s">
        <v>1547</v>
      </c>
      <c r="M255" t="s">
        <v>1548</v>
      </c>
      <c r="N255" t="s">
        <v>1549</v>
      </c>
      <c r="O255" t="s">
        <v>1549</v>
      </c>
      <c r="P255" t="s">
        <v>1550</v>
      </c>
    </row>
    <row r="256" spans="1:16" x14ac:dyDescent="0.25">
      <c r="A256" t="s">
        <v>1552</v>
      </c>
      <c r="B256" t="s">
        <v>1553</v>
      </c>
      <c r="C256" t="s">
        <v>1482</v>
      </c>
      <c r="D256" t="s">
        <v>1027</v>
      </c>
      <c r="E256">
        <v>1664</v>
      </c>
      <c r="F256" t="s">
        <v>1483</v>
      </c>
      <c r="G256" t="b">
        <v>0</v>
      </c>
      <c r="H256" t="b">
        <v>0</v>
      </c>
      <c r="I256" t="s">
        <v>1050</v>
      </c>
      <c r="J256">
        <v>66</v>
      </c>
      <c r="K256" t="s">
        <v>1</v>
      </c>
      <c r="L256" t="s">
        <v>1213</v>
      </c>
      <c r="M256" t="s">
        <v>1168</v>
      </c>
      <c r="N256" t="s">
        <v>1168</v>
      </c>
      <c r="O256" t="s">
        <v>1168</v>
      </c>
      <c r="P256" t="s">
        <v>1484</v>
      </c>
    </row>
    <row r="257" spans="1:16" x14ac:dyDescent="0.25">
      <c r="A257" t="s">
        <v>1554</v>
      </c>
      <c r="B257" t="s">
        <v>1553</v>
      </c>
      <c r="C257" t="s">
        <v>1482</v>
      </c>
      <c r="D257" t="s">
        <v>1027</v>
      </c>
      <c r="E257">
        <v>1664</v>
      </c>
      <c r="F257" t="s">
        <v>1483</v>
      </c>
      <c r="G257" t="b">
        <v>0</v>
      </c>
      <c r="H257" t="b">
        <v>0</v>
      </c>
      <c r="I257" t="s">
        <v>1050</v>
      </c>
      <c r="J257">
        <v>66</v>
      </c>
      <c r="K257" t="s">
        <v>1</v>
      </c>
      <c r="L257" t="s">
        <v>1213</v>
      </c>
      <c r="M257" t="s">
        <v>1168</v>
      </c>
      <c r="N257" t="s">
        <v>1168</v>
      </c>
      <c r="O257" t="s">
        <v>1168</v>
      </c>
      <c r="P257" t="s">
        <v>1484</v>
      </c>
    </row>
    <row r="258" spans="1:16" x14ac:dyDescent="0.25">
      <c r="A258" t="s">
        <v>1555</v>
      </c>
      <c r="B258" t="s">
        <v>1556</v>
      </c>
      <c r="C258" t="s">
        <v>1233</v>
      </c>
      <c r="D258" t="s">
        <v>1027</v>
      </c>
      <c r="E258">
        <v>63762</v>
      </c>
      <c r="F258" t="s">
        <v>1234</v>
      </c>
      <c r="G258" t="b">
        <v>0</v>
      </c>
      <c r="H258" t="b">
        <v>0</v>
      </c>
      <c r="I258" t="s">
        <v>1050</v>
      </c>
      <c r="J258">
        <v>88</v>
      </c>
      <c r="K258" t="s">
        <v>0</v>
      </c>
      <c r="L258" t="s">
        <v>1167</v>
      </c>
      <c r="M258" t="s">
        <v>1168</v>
      </c>
      <c r="N258" t="s">
        <v>1169</v>
      </c>
      <c r="O258" t="s">
        <v>1168</v>
      </c>
      <c r="P258" t="s">
        <v>1235</v>
      </c>
    </row>
    <row r="259" spans="1:16" x14ac:dyDescent="0.25">
      <c r="A259" t="s">
        <v>1557</v>
      </c>
      <c r="B259" t="s">
        <v>1558</v>
      </c>
      <c r="C259" t="s">
        <v>1233</v>
      </c>
      <c r="D259" t="s">
        <v>1027</v>
      </c>
      <c r="E259">
        <v>63762</v>
      </c>
      <c r="F259" t="s">
        <v>1234</v>
      </c>
      <c r="G259" t="b">
        <v>0</v>
      </c>
      <c r="H259" t="b">
        <v>0</v>
      </c>
      <c r="I259" t="s">
        <v>1050</v>
      </c>
      <c r="J259">
        <v>88</v>
      </c>
      <c r="K259" t="s">
        <v>0</v>
      </c>
      <c r="L259" t="s">
        <v>1167</v>
      </c>
      <c r="M259" t="s">
        <v>1168</v>
      </c>
      <c r="N259" t="s">
        <v>1169</v>
      </c>
      <c r="O259" t="s">
        <v>1168</v>
      </c>
      <c r="P259" t="s">
        <v>1235</v>
      </c>
    </row>
    <row r="260" spans="1:16" x14ac:dyDescent="0.25">
      <c r="A260" t="s">
        <v>1559</v>
      </c>
      <c r="B260" t="s">
        <v>1560</v>
      </c>
      <c r="C260" t="s">
        <v>1233</v>
      </c>
      <c r="D260" t="s">
        <v>1027</v>
      </c>
      <c r="E260">
        <v>63762</v>
      </c>
      <c r="F260" t="s">
        <v>1234</v>
      </c>
      <c r="G260" t="b">
        <v>0</v>
      </c>
      <c r="H260" t="b">
        <v>0</v>
      </c>
      <c r="I260" t="s">
        <v>1050</v>
      </c>
      <c r="J260">
        <v>88</v>
      </c>
      <c r="K260" t="s">
        <v>0</v>
      </c>
      <c r="L260" t="s">
        <v>1167</v>
      </c>
      <c r="M260" t="s">
        <v>1168</v>
      </c>
      <c r="N260" t="s">
        <v>1169</v>
      </c>
      <c r="O260" t="s">
        <v>1168</v>
      </c>
      <c r="P260" t="s">
        <v>1235</v>
      </c>
    </row>
    <row r="261" spans="1:16" x14ac:dyDescent="0.25">
      <c r="A261" t="s">
        <v>1561</v>
      </c>
      <c r="B261" t="s">
        <v>1562</v>
      </c>
      <c r="C261" t="s">
        <v>1233</v>
      </c>
      <c r="D261" t="s">
        <v>1027</v>
      </c>
      <c r="E261">
        <v>63762</v>
      </c>
      <c r="F261" t="s">
        <v>1234</v>
      </c>
      <c r="G261" t="b">
        <v>0</v>
      </c>
      <c r="H261" t="b">
        <v>0</v>
      </c>
      <c r="I261" t="s">
        <v>1050</v>
      </c>
      <c r="J261">
        <v>88</v>
      </c>
      <c r="K261" t="s">
        <v>0</v>
      </c>
      <c r="L261" t="s">
        <v>1167</v>
      </c>
      <c r="M261" t="s">
        <v>1168</v>
      </c>
      <c r="N261" t="s">
        <v>1169</v>
      </c>
      <c r="O261" t="s">
        <v>1168</v>
      </c>
      <c r="P261" t="s">
        <v>1235</v>
      </c>
    </row>
    <row r="262" spans="1:16" x14ac:dyDescent="0.25">
      <c r="A262" t="s">
        <v>1563</v>
      </c>
      <c r="B262" t="s">
        <v>1564</v>
      </c>
      <c r="C262" t="s">
        <v>1228</v>
      </c>
      <c r="D262" t="s">
        <v>1027</v>
      </c>
      <c r="E262">
        <v>1660</v>
      </c>
      <c r="F262" t="s">
        <v>1229</v>
      </c>
      <c r="G262" t="b">
        <v>0</v>
      </c>
      <c r="H262" t="b">
        <v>0</v>
      </c>
      <c r="I262" t="s">
        <v>1050</v>
      </c>
      <c r="J262">
        <v>85</v>
      </c>
      <c r="K262" t="s">
        <v>2</v>
      </c>
      <c r="L262" t="s">
        <v>1167</v>
      </c>
      <c r="M262" t="s">
        <v>1168</v>
      </c>
      <c r="N262" t="s">
        <v>1169</v>
      </c>
      <c r="O262" t="s">
        <v>1168</v>
      </c>
      <c r="P262" t="s">
        <v>1230</v>
      </c>
    </row>
    <row r="263" spans="1:16" x14ac:dyDescent="0.25">
      <c r="A263" t="s">
        <v>1565</v>
      </c>
      <c r="B263" t="s">
        <v>1566</v>
      </c>
      <c r="C263" t="s">
        <v>1181</v>
      </c>
      <c r="D263" t="s">
        <v>1027</v>
      </c>
      <c r="E263">
        <v>63765</v>
      </c>
      <c r="F263" t="s">
        <v>1182</v>
      </c>
      <c r="G263" t="b">
        <v>0</v>
      </c>
      <c r="H263" t="b">
        <v>0</v>
      </c>
      <c r="I263" t="s">
        <v>1050</v>
      </c>
      <c r="J263">
        <v>67</v>
      </c>
      <c r="K263" t="s">
        <v>2</v>
      </c>
      <c r="L263" t="s">
        <v>1167</v>
      </c>
      <c r="M263" t="s">
        <v>1168</v>
      </c>
      <c r="N263" t="s">
        <v>1169</v>
      </c>
      <c r="O263" t="s">
        <v>1168</v>
      </c>
      <c r="P263" t="s">
        <v>1183</v>
      </c>
    </row>
    <row r="264" spans="1:16" x14ac:dyDescent="0.25">
      <c r="A264" t="s">
        <v>1567</v>
      </c>
      <c r="B264" t="s">
        <v>1568</v>
      </c>
      <c r="C264" t="s">
        <v>1211</v>
      </c>
      <c r="D264" t="s">
        <v>1027</v>
      </c>
      <c r="E264">
        <v>1383</v>
      </c>
      <c r="F264" t="s">
        <v>1212</v>
      </c>
      <c r="G264" t="b">
        <v>0</v>
      </c>
      <c r="H264" t="b">
        <v>0</v>
      </c>
      <c r="I264" t="s">
        <v>1050</v>
      </c>
      <c r="J264">
        <v>90</v>
      </c>
      <c r="K264" t="s">
        <v>2</v>
      </c>
      <c r="L264" t="s">
        <v>1169</v>
      </c>
      <c r="M264" t="s">
        <v>1168</v>
      </c>
      <c r="N264" t="s">
        <v>1213</v>
      </c>
      <c r="O264" t="s">
        <v>1213</v>
      </c>
      <c r="P264" t="s">
        <v>1214</v>
      </c>
    </row>
    <row r="265" spans="1:16" x14ac:dyDescent="0.25">
      <c r="A265" t="s">
        <v>1569</v>
      </c>
      <c r="B265" t="s">
        <v>1570</v>
      </c>
      <c r="C265" t="s">
        <v>1571</v>
      </c>
      <c r="D265" t="s">
        <v>1027</v>
      </c>
      <c r="E265">
        <v>63767</v>
      </c>
      <c r="G265" t="b">
        <v>0</v>
      </c>
      <c r="H265" t="b">
        <v>0</v>
      </c>
      <c r="I265" t="s">
        <v>1050</v>
      </c>
      <c r="J265">
        <v>80</v>
      </c>
      <c r="K265" t="s">
        <v>0</v>
      </c>
      <c r="L265" t="s">
        <v>1167</v>
      </c>
      <c r="M265" t="s">
        <v>1168</v>
      </c>
      <c r="N265" t="s">
        <v>1169</v>
      </c>
      <c r="O265" t="s">
        <v>1168</v>
      </c>
      <c r="P265" t="s">
        <v>1283</v>
      </c>
    </row>
    <row r="266" spans="1:16" x14ac:dyDescent="0.25">
      <c r="A266" t="s">
        <v>1572</v>
      </c>
      <c r="B266" t="s">
        <v>1573</v>
      </c>
      <c r="C266" t="s">
        <v>1571</v>
      </c>
      <c r="D266" t="s">
        <v>1027</v>
      </c>
      <c r="E266">
        <v>63767</v>
      </c>
      <c r="G266" t="b">
        <v>0</v>
      </c>
      <c r="H266" t="b">
        <v>0</v>
      </c>
      <c r="I266" t="s">
        <v>1050</v>
      </c>
      <c r="J266">
        <v>80</v>
      </c>
      <c r="K266" t="s">
        <v>0</v>
      </c>
      <c r="L266" t="s">
        <v>1167</v>
      </c>
      <c r="M266" t="s">
        <v>1168</v>
      </c>
      <c r="N266" t="s">
        <v>1169</v>
      </c>
      <c r="O266" t="s">
        <v>1168</v>
      </c>
      <c r="P266" t="s">
        <v>1283</v>
      </c>
    </row>
    <row r="267" spans="1:16" x14ac:dyDescent="0.25">
      <c r="A267" t="s">
        <v>1574</v>
      </c>
      <c r="B267" t="s">
        <v>1575</v>
      </c>
      <c r="C267" t="s">
        <v>1165</v>
      </c>
      <c r="D267" t="s">
        <v>1027</v>
      </c>
      <c r="E267">
        <v>63774</v>
      </c>
      <c r="F267" t="s">
        <v>1166</v>
      </c>
      <c r="G267" t="b">
        <v>0</v>
      </c>
      <c r="H267" t="b">
        <v>0</v>
      </c>
      <c r="I267" t="s">
        <v>1050</v>
      </c>
      <c r="J267">
        <v>91</v>
      </c>
      <c r="K267" t="s">
        <v>1</v>
      </c>
      <c r="L267" t="s">
        <v>1167</v>
      </c>
      <c r="M267" t="s">
        <v>1168</v>
      </c>
      <c r="N267" t="s">
        <v>1169</v>
      </c>
      <c r="O267" t="s">
        <v>1168</v>
      </c>
      <c r="P267" t="s">
        <v>1170</v>
      </c>
    </row>
    <row r="268" spans="1:16" x14ac:dyDescent="0.25">
      <c r="A268" t="s">
        <v>1576</v>
      </c>
      <c r="B268" t="s">
        <v>1575</v>
      </c>
      <c r="C268" t="s">
        <v>1165</v>
      </c>
      <c r="D268" t="s">
        <v>1027</v>
      </c>
      <c r="E268">
        <v>63774</v>
      </c>
      <c r="F268" t="s">
        <v>1166</v>
      </c>
      <c r="G268" t="b">
        <v>0</v>
      </c>
      <c r="H268" t="b">
        <v>0</v>
      </c>
      <c r="I268" t="s">
        <v>1050</v>
      </c>
      <c r="J268">
        <v>91</v>
      </c>
      <c r="K268" t="s">
        <v>1</v>
      </c>
      <c r="L268" t="s">
        <v>1167</v>
      </c>
      <c r="M268" t="s">
        <v>1168</v>
      </c>
      <c r="N268" t="s">
        <v>1169</v>
      </c>
      <c r="O268" t="s">
        <v>1168</v>
      </c>
      <c r="P268" t="s">
        <v>1170</v>
      </c>
    </row>
    <row r="269" spans="1:16" x14ac:dyDescent="0.25">
      <c r="A269" t="s">
        <v>1577</v>
      </c>
      <c r="B269" t="s">
        <v>1578</v>
      </c>
      <c r="C269" t="s">
        <v>1165</v>
      </c>
      <c r="D269" t="s">
        <v>1027</v>
      </c>
      <c r="E269">
        <v>63774</v>
      </c>
      <c r="F269" t="s">
        <v>1166</v>
      </c>
      <c r="G269" t="b">
        <v>0</v>
      </c>
      <c r="H269" t="b">
        <v>0</v>
      </c>
      <c r="I269" t="s">
        <v>1050</v>
      </c>
      <c r="J269">
        <v>91</v>
      </c>
      <c r="K269" t="s">
        <v>1</v>
      </c>
      <c r="L269" t="s">
        <v>1167</v>
      </c>
      <c r="M269" t="s">
        <v>1168</v>
      </c>
      <c r="N269" t="s">
        <v>1169</v>
      </c>
      <c r="O269" t="s">
        <v>1168</v>
      </c>
      <c r="P269" t="s">
        <v>1170</v>
      </c>
    </row>
    <row r="270" spans="1:16" x14ac:dyDescent="0.25">
      <c r="A270" t="s">
        <v>1579</v>
      </c>
      <c r="B270" t="s">
        <v>1578</v>
      </c>
      <c r="C270" t="s">
        <v>1165</v>
      </c>
      <c r="D270" t="s">
        <v>1027</v>
      </c>
      <c r="E270">
        <v>63774</v>
      </c>
      <c r="F270" t="s">
        <v>1166</v>
      </c>
      <c r="G270" t="b">
        <v>0</v>
      </c>
      <c r="H270" t="b">
        <v>0</v>
      </c>
      <c r="I270" t="s">
        <v>1050</v>
      </c>
      <c r="J270">
        <v>91</v>
      </c>
      <c r="K270" t="s">
        <v>1</v>
      </c>
      <c r="L270" t="s">
        <v>1167</v>
      </c>
      <c r="M270" t="s">
        <v>1168</v>
      </c>
      <c r="N270" t="s">
        <v>1169</v>
      </c>
      <c r="O270" t="s">
        <v>1168</v>
      </c>
      <c r="P270" t="s">
        <v>1170</v>
      </c>
    </row>
    <row r="271" spans="1:16" x14ac:dyDescent="0.25">
      <c r="A271" t="s">
        <v>1580</v>
      </c>
      <c r="B271" t="s">
        <v>1581</v>
      </c>
      <c r="C271" t="s">
        <v>1165</v>
      </c>
      <c r="D271" t="s">
        <v>1027</v>
      </c>
      <c r="E271">
        <v>63774</v>
      </c>
      <c r="F271" t="s">
        <v>1166</v>
      </c>
      <c r="G271" t="b">
        <v>0</v>
      </c>
      <c r="H271" t="b">
        <v>0</v>
      </c>
      <c r="I271" t="s">
        <v>1050</v>
      </c>
      <c r="J271">
        <v>91</v>
      </c>
      <c r="K271" t="s">
        <v>1</v>
      </c>
      <c r="L271" t="s">
        <v>1167</v>
      </c>
      <c r="M271" t="s">
        <v>1168</v>
      </c>
      <c r="N271" t="s">
        <v>1169</v>
      </c>
      <c r="O271" t="s">
        <v>1168</v>
      </c>
      <c r="P271" t="s">
        <v>1170</v>
      </c>
    </row>
    <row r="272" spans="1:16" x14ac:dyDescent="0.25">
      <c r="A272" t="s">
        <v>1582</v>
      </c>
      <c r="B272" t="s">
        <v>1581</v>
      </c>
      <c r="C272" t="s">
        <v>1165</v>
      </c>
      <c r="D272" t="s">
        <v>1027</v>
      </c>
      <c r="E272">
        <v>63774</v>
      </c>
      <c r="F272" t="s">
        <v>1166</v>
      </c>
      <c r="G272" t="b">
        <v>0</v>
      </c>
      <c r="H272" t="b">
        <v>0</v>
      </c>
      <c r="I272" t="s">
        <v>1050</v>
      </c>
      <c r="J272">
        <v>91</v>
      </c>
      <c r="K272" t="s">
        <v>1</v>
      </c>
      <c r="L272" t="s">
        <v>1167</v>
      </c>
      <c r="M272" t="s">
        <v>1168</v>
      </c>
      <c r="N272" t="s">
        <v>1169</v>
      </c>
      <c r="O272" t="s">
        <v>1168</v>
      </c>
      <c r="P272" t="s">
        <v>1170</v>
      </c>
    </row>
    <row r="273" spans="1:16" x14ac:dyDescent="0.25">
      <c r="A273" t="s">
        <v>1583</v>
      </c>
      <c r="B273" t="s">
        <v>1584</v>
      </c>
      <c r="C273" t="s">
        <v>1165</v>
      </c>
      <c r="D273" t="s">
        <v>1027</v>
      </c>
      <c r="E273">
        <v>63774</v>
      </c>
      <c r="F273" t="s">
        <v>1166</v>
      </c>
      <c r="G273" t="b">
        <v>0</v>
      </c>
      <c r="H273" t="b">
        <v>0</v>
      </c>
      <c r="I273" t="s">
        <v>1050</v>
      </c>
      <c r="J273">
        <v>91</v>
      </c>
      <c r="K273" t="s">
        <v>1</v>
      </c>
      <c r="L273" t="s">
        <v>1167</v>
      </c>
      <c r="M273" t="s">
        <v>1168</v>
      </c>
      <c r="N273" t="s">
        <v>1169</v>
      </c>
      <c r="O273" t="s">
        <v>1168</v>
      </c>
      <c r="P273" t="s">
        <v>1170</v>
      </c>
    </row>
    <row r="274" spans="1:16" x14ac:dyDescent="0.25">
      <c r="A274" t="s">
        <v>1585</v>
      </c>
      <c r="B274" t="s">
        <v>1584</v>
      </c>
      <c r="C274" t="s">
        <v>1165</v>
      </c>
      <c r="D274" t="s">
        <v>1027</v>
      </c>
      <c r="E274">
        <v>63774</v>
      </c>
      <c r="F274" t="s">
        <v>1166</v>
      </c>
      <c r="G274" t="b">
        <v>0</v>
      </c>
      <c r="H274" t="b">
        <v>0</v>
      </c>
      <c r="I274" t="s">
        <v>1050</v>
      </c>
      <c r="J274">
        <v>91</v>
      </c>
      <c r="K274" t="s">
        <v>1</v>
      </c>
      <c r="L274" t="s">
        <v>1167</v>
      </c>
      <c r="M274" t="s">
        <v>1168</v>
      </c>
      <c r="N274" t="s">
        <v>1169</v>
      </c>
      <c r="O274" t="s">
        <v>1168</v>
      </c>
      <c r="P274" t="s">
        <v>1170</v>
      </c>
    </row>
    <row r="275" spans="1:16" x14ac:dyDescent="0.25">
      <c r="A275" t="s">
        <v>1586</v>
      </c>
      <c r="B275" t="s">
        <v>1587</v>
      </c>
      <c r="C275" t="s">
        <v>1233</v>
      </c>
      <c r="D275" t="s">
        <v>1027</v>
      </c>
      <c r="E275">
        <v>63762</v>
      </c>
      <c r="F275" t="s">
        <v>1234</v>
      </c>
      <c r="G275" t="b">
        <v>0</v>
      </c>
      <c r="H275" t="b">
        <v>0</v>
      </c>
      <c r="I275" t="s">
        <v>1050</v>
      </c>
      <c r="J275">
        <v>80</v>
      </c>
      <c r="K275" t="s">
        <v>0</v>
      </c>
      <c r="L275" t="s">
        <v>1167</v>
      </c>
      <c r="M275" t="s">
        <v>1168</v>
      </c>
      <c r="N275" t="s">
        <v>1169</v>
      </c>
      <c r="O275" t="s">
        <v>1168</v>
      </c>
      <c r="P275" t="s">
        <v>1235</v>
      </c>
    </row>
    <row r="276" spans="1:16" x14ac:dyDescent="0.25">
      <c r="A276" t="s">
        <v>1588</v>
      </c>
      <c r="B276" t="s">
        <v>1589</v>
      </c>
      <c r="C276" t="s">
        <v>1181</v>
      </c>
      <c r="D276" t="s">
        <v>1027</v>
      </c>
      <c r="E276">
        <v>63765</v>
      </c>
      <c r="F276" t="s">
        <v>1182</v>
      </c>
      <c r="G276" t="b">
        <v>0</v>
      </c>
      <c r="H276" t="b">
        <v>0</v>
      </c>
      <c r="I276" t="s">
        <v>1050</v>
      </c>
      <c r="J276">
        <v>67</v>
      </c>
      <c r="K276" t="s">
        <v>2</v>
      </c>
      <c r="L276" t="s">
        <v>1167</v>
      </c>
      <c r="M276" t="s">
        <v>1168</v>
      </c>
      <c r="N276" t="s">
        <v>1169</v>
      </c>
      <c r="O276" t="s">
        <v>1168</v>
      </c>
      <c r="P276" t="s">
        <v>1183</v>
      </c>
    </row>
    <row r="277" spans="1:16" x14ac:dyDescent="0.25">
      <c r="A277" t="s">
        <v>1590</v>
      </c>
      <c r="B277" t="s">
        <v>1591</v>
      </c>
      <c r="C277" t="s">
        <v>1233</v>
      </c>
      <c r="D277" t="s">
        <v>1027</v>
      </c>
      <c r="E277">
        <v>63762</v>
      </c>
      <c r="F277" t="s">
        <v>1234</v>
      </c>
      <c r="G277" t="b">
        <v>0</v>
      </c>
      <c r="H277" t="b">
        <v>0</v>
      </c>
      <c r="I277" t="s">
        <v>1050</v>
      </c>
      <c r="J277">
        <v>88</v>
      </c>
      <c r="K277" t="s">
        <v>0</v>
      </c>
      <c r="L277" t="s">
        <v>1167</v>
      </c>
      <c r="M277" t="s">
        <v>1168</v>
      </c>
      <c r="N277" t="s">
        <v>1169</v>
      </c>
      <c r="O277" t="s">
        <v>1168</v>
      </c>
      <c r="P277" t="s">
        <v>1235</v>
      </c>
    </row>
    <row r="278" spans="1:16" x14ac:dyDescent="0.25">
      <c r="A278" t="s">
        <v>1592</v>
      </c>
      <c r="B278" t="s">
        <v>1593</v>
      </c>
      <c r="C278" t="s">
        <v>1233</v>
      </c>
      <c r="D278" t="s">
        <v>1027</v>
      </c>
      <c r="E278">
        <v>63762</v>
      </c>
      <c r="F278" t="s">
        <v>1234</v>
      </c>
      <c r="G278" t="b">
        <v>0</v>
      </c>
      <c r="H278" t="b">
        <v>0</v>
      </c>
      <c r="I278" t="s">
        <v>1050</v>
      </c>
      <c r="J278">
        <v>88</v>
      </c>
      <c r="K278" t="s">
        <v>0</v>
      </c>
      <c r="L278" t="s">
        <v>1167</v>
      </c>
      <c r="M278" t="s">
        <v>1168</v>
      </c>
      <c r="N278" t="s">
        <v>1169</v>
      </c>
      <c r="O278" t="s">
        <v>1168</v>
      </c>
      <c r="P278" t="s">
        <v>1235</v>
      </c>
    </row>
    <row r="279" spans="1:16" x14ac:dyDescent="0.25">
      <c r="A279" t="s">
        <v>1594</v>
      </c>
      <c r="B279" t="s">
        <v>1595</v>
      </c>
      <c r="C279" t="s">
        <v>1228</v>
      </c>
      <c r="D279" t="s">
        <v>1027</v>
      </c>
      <c r="E279">
        <v>1660</v>
      </c>
      <c r="F279" t="s">
        <v>1229</v>
      </c>
      <c r="G279" t="b">
        <v>0</v>
      </c>
      <c r="H279" t="b">
        <v>0</v>
      </c>
      <c r="I279" t="s">
        <v>1050</v>
      </c>
      <c r="J279">
        <v>86</v>
      </c>
      <c r="K279" t="s">
        <v>2</v>
      </c>
      <c r="L279" t="s">
        <v>1167</v>
      </c>
      <c r="M279" t="s">
        <v>1168</v>
      </c>
      <c r="N279" t="s">
        <v>1169</v>
      </c>
      <c r="O279" t="s">
        <v>1168</v>
      </c>
      <c r="P279" t="s">
        <v>1230</v>
      </c>
    </row>
    <row r="280" spans="1:16" x14ac:dyDescent="0.25">
      <c r="A280" t="s">
        <v>1596</v>
      </c>
      <c r="B280" t="s">
        <v>1597</v>
      </c>
      <c r="C280" t="s">
        <v>1233</v>
      </c>
      <c r="D280" t="s">
        <v>1027</v>
      </c>
      <c r="E280">
        <v>63762</v>
      </c>
      <c r="F280" t="s">
        <v>1234</v>
      </c>
      <c r="G280" t="b">
        <v>0</v>
      </c>
      <c r="H280" t="b">
        <v>0</v>
      </c>
      <c r="I280" t="s">
        <v>1050</v>
      </c>
      <c r="J280">
        <v>80</v>
      </c>
      <c r="K280" t="s">
        <v>0</v>
      </c>
      <c r="L280" t="s">
        <v>1167</v>
      </c>
      <c r="M280" t="s">
        <v>1168</v>
      </c>
      <c r="N280" t="s">
        <v>1169</v>
      </c>
      <c r="O280" t="s">
        <v>1168</v>
      </c>
      <c r="P280" t="s">
        <v>1235</v>
      </c>
    </row>
    <row r="281" spans="1:16" x14ac:dyDescent="0.25">
      <c r="A281" t="s">
        <v>1598</v>
      </c>
      <c r="B281" t="s">
        <v>1599</v>
      </c>
      <c r="C281" t="s">
        <v>1233</v>
      </c>
      <c r="D281" t="s">
        <v>1027</v>
      </c>
      <c r="E281">
        <v>63762</v>
      </c>
      <c r="F281" t="s">
        <v>1234</v>
      </c>
      <c r="G281" t="b">
        <v>0</v>
      </c>
      <c r="H281" t="b">
        <v>0</v>
      </c>
      <c r="I281" t="s">
        <v>1050</v>
      </c>
      <c r="J281">
        <v>87</v>
      </c>
      <c r="K281" t="s">
        <v>0</v>
      </c>
      <c r="L281" t="s">
        <v>1167</v>
      </c>
      <c r="M281" t="s">
        <v>1168</v>
      </c>
      <c r="N281" t="s">
        <v>1169</v>
      </c>
      <c r="O281" t="s">
        <v>1168</v>
      </c>
      <c r="P281" t="s">
        <v>1235</v>
      </c>
    </row>
    <row r="282" spans="1:16" x14ac:dyDescent="0.25">
      <c r="A282" t="s">
        <v>1600</v>
      </c>
      <c r="B282" t="s">
        <v>1601</v>
      </c>
      <c r="C282" t="s">
        <v>1165</v>
      </c>
      <c r="D282" t="s">
        <v>1027</v>
      </c>
      <c r="E282">
        <v>63774</v>
      </c>
      <c r="F282" t="s">
        <v>1166</v>
      </c>
      <c r="G282" t="b">
        <v>0</v>
      </c>
      <c r="H282" t="b">
        <v>0</v>
      </c>
      <c r="I282" t="s">
        <v>1050</v>
      </c>
      <c r="J282">
        <v>30</v>
      </c>
      <c r="K282" t="s">
        <v>1</v>
      </c>
      <c r="L282" t="s">
        <v>1167</v>
      </c>
      <c r="M282" t="s">
        <v>1168</v>
      </c>
      <c r="N282" t="s">
        <v>1169</v>
      </c>
      <c r="O282" t="s">
        <v>1168</v>
      </c>
      <c r="P282" t="s">
        <v>1170</v>
      </c>
    </row>
    <row r="283" spans="1:16" x14ac:dyDescent="0.25">
      <c r="A283" t="s">
        <v>1602</v>
      </c>
      <c r="B283" t="s">
        <v>1603</v>
      </c>
      <c r="C283" t="s">
        <v>1165</v>
      </c>
      <c r="D283" t="s">
        <v>1027</v>
      </c>
      <c r="E283">
        <v>63774</v>
      </c>
      <c r="F283" t="s">
        <v>1166</v>
      </c>
      <c r="G283" t="b">
        <v>0</v>
      </c>
      <c r="H283" t="b">
        <v>0</v>
      </c>
      <c r="I283" t="s">
        <v>1050</v>
      </c>
      <c r="J283">
        <v>30</v>
      </c>
      <c r="K283" t="s">
        <v>1</v>
      </c>
      <c r="L283" t="s">
        <v>1167</v>
      </c>
      <c r="M283" t="s">
        <v>1168</v>
      </c>
      <c r="N283" t="s">
        <v>1169</v>
      </c>
      <c r="O283" t="s">
        <v>1168</v>
      </c>
      <c r="P283" t="s">
        <v>1170</v>
      </c>
    </row>
    <row r="284" spans="1:16" x14ac:dyDescent="0.25">
      <c r="A284" t="s">
        <v>1604</v>
      </c>
      <c r="B284" t="s">
        <v>1605</v>
      </c>
      <c r="C284" t="s">
        <v>1606</v>
      </c>
      <c r="D284" t="s">
        <v>1027</v>
      </c>
      <c r="E284">
        <v>1324</v>
      </c>
      <c r="F284" t="s">
        <v>1607</v>
      </c>
      <c r="G284" t="b">
        <v>0</v>
      </c>
      <c r="H284" t="b">
        <v>0</v>
      </c>
      <c r="I284" t="s">
        <v>1050</v>
      </c>
      <c r="J284">
        <v>90</v>
      </c>
      <c r="K284" t="s">
        <v>2</v>
      </c>
      <c r="L284" t="s">
        <v>1608</v>
      </c>
      <c r="M284" t="s">
        <v>1609</v>
      </c>
      <c r="N284" t="s">
        <v>1608</v>
      </c>
      <c r="O284" t="s">
        <v>1610</v>
      </c>
      <c r="P284" t="s">
        <v>1611</v>
      </c>
    </row>
    <row r="285" spans="1:16" x14ac:dyDescent="0.25">
      <c r="A285" t="s">
        <v>1612</v>
      </c>
      <c r="B285" t="s">
        <v>1605</v>
      </c>
      <c r="C285" t="s">
        <v>1606</v>
      </c>
      <c r="D285" t="s">
        <v>1027</v>
      </c>
      <c r="E285">
        <v>1324</v>
      </c>
      <c r="F285" t="s">
        <v>1607</v>
      </c>
      <c r="G285" t="b">
        <v>0</v>
      </c>
      <c r="H285" t="b">
        <v>0</v>
      </c>
      <c r="I285" t="s">
        <v>1050</v>
      </c>
      <c r="J285">
        <v>90</v>
      </c>
      <c r="K285" t="s">
        <v>2</v>
      </c>
      <c r="L285" t="s">
        <v>1608</v>
      </c>
      <c r="M285" t="s">
        <v>1609</v>
      </c>
      <c r="N285" t="s">
        <v>1608</v>
      </c>
      <c r="O285" t="s">
        <v>1610</v>
      </c>
      <c r="P285" t="s">
        <v>1611</v>
      </c>
    </row>
    <row r="286" spans="1:16" x14ac:dyDescent="0.25">
      <c r="A286" t="s">
        <v>1613</v>
      </c>
      <c r="B286" t="s">
        <v>1605</v>
      </c>
      <c r="C286" t="s">
        <v>1606</v>
      </c>
      <c r="D286" t="s">
        <v>1027</v>
      </c>
      <c r="E286">
        <v>1324</v>
      </c>
      <c r="F286" t="s">
        <v>1607</v>
      </c>
      <c r="G286" t="b">
        <v>0</v>
      </c>
      <c r="H286" t="b">
        <v>0</v>
      </c>
      <c r="I286" t="s">
        <v>1050</v>
      </c>
      <c r="J286">
        <v>90</v>
      </c>
      <c r="K286" t="s">
        <v>2</v>
      </c>
      <c r="L286" t="s">
        <v>1608</v>
      </c>
      <c r="M286" t="s">
        <v>1609</v>
      </c>
      <c r="N286" t="s">
        <v>1608</v>
      </c>
      <c r="O286" t="s">
        <v>1610</v>
      </c>
      <c r="P286" t="s">
        <v>1611</v>
      </c>
    </row>
    <row r="287" spans="1:16" x14ac:dyDescent="0.25">
      <c r="A287" t="s">
        <v>1614</v>
      </c>
      <c r="B287" t="s">
        <v>1605</v>
      </c>
      <c r="C287" t="s">
        <v>1606</v>
      </c>
      <c r="D287" t="s">
        <v>1027</v>
      </c>
      <c r="E287">
        <v>1324</v>
      </c>
      <c r="F287" t="s">
        <v>1607</v>
      </c>
      <c r="G287" t="b">
        <v>0</v>
      </c>
      <c r="H287" t="b">
        <v>0</v>
      </c>
      <c r="I287" t="s">
        <v>1050</v>
      </c>
      <c r="J287">
        <v>90</v>
      </c>
      <c r="K287" t="s">
        <v>2</v>
      </c>
      <c r="L287" t="s">
        <v>1608</v>
      </c>
      <c r="M287" t="s">
        <v>1609</v>
      </c>
      <c r="N287" t="s">
        <v>1608</v>
      </c>
      <c r="O287" t="s">
        <v>1610</v>
      </c>
      <c r="P287" t="s">
        <v>1611</v>
      </c>
    </row>
    <row r="288" spans="1:16" x14ac:dyDescent="0.25">
      <c r="A288" t="s">
        <v>1615</v>
      </c>
      <c r="B288" t="s">
        <v>1616</v>
      </c>
      <c r="C288" t="s">
        <v>1482</v>
      </c>
      <c r="D288" t="s">
        <v>1027</v>
      </c>
      <c r="E288">
        <v>1664</v>
      </c>
      <c r="F288" t="s">
        <v>1483</v>
      </c>
      <c r="G288" t="b">
        <v>0</v>
      </c>
      <c r="H288" t="b">
        <v>0</v>
      </c>
      <c r="I288" t="s">
        <v>1050</v>
      </c>
      <c r="J288">
        <v>80</v>
      </c>
      <c r="K288" t="s">
        <v>1</v>
      </c>
      <c r="L288" t="s">
        <v>1213</v>
      </c>
      <c r="M288" t="s">
        <v>1168</v>
      </c>
      <c r="N288" t="s">
        <v>1168</v>
      </c>
      <c r="O288" t="s">
        <v>1168</v>
      </c>
      <c r="P288" t="s">
        <v>1484</v>
      </c>
    </row>
    <row r="289" spans="1:16" x14ac:dyDescent="0.25">
      <c r="A289" t="s">
        <v>1617</v>
      </c>
      <c r="B289" t="s">
        <v>1618</v>
      </c>
      <c r="C289" t="s">
        <v>1228</v>
      </c>
      <c r="D289" t="s">
        <v>1027</v>
      </c>
      <c r="E289">
        <v>1660</v>
      </c>
      <c r="F289" t="s">
        <v>1229</v>
      </c>
      <c r="G289" t="b">
        <v>0</v>
      </c>
      <c r="H289" t="b">
        <v>0</v>
      </c>
      <c r="I289" t="s">
        <v>1050</v>
      </c>
      <c r="J289">
        <v>85</v>
      </c>
      <c r="K289" t="s">
        <v>2</v>
      </c>
      <c r="L289" t="s">
        <v>1167</v>
      </c>
      <c r="M289" t="s">
        <v>1168</v>
      </c>
      <c r="N289" t="s">
        <v>1169</v>
      </c>
      <c r="O289" t="s">
        <v>1168</v>
      </c>
      <c r="P289" t="s">
        <v>1230</v>
      </c>
    </row>
    <row r="290" spans="1:16" x14ac:dyDescent="0.25">
      <c r="A290" t="s">
        <v>1619</v>
      </c>
      <c r="B290" t="s">
        <v>1620</v>
      </c>
      <c r="C290" t="s">
        <v>1228</v>
      </c>
      <c r="D290" t="s">
        <v>1027</v>
      </c>
      <c r="E290">
        <v>1660</v>
      </c>
      <c r="F290" t="s">
        <v>1229</v>
      </c>
      <c r="G290" t="b">
        <v>0</v>
      </c>
      <c r="H290" t="b">
        <v>0</v>
      </c>
      <c r="I290" t="s">
        <v>1050</v>
      </c>
      <c r="J290">
        <v>85</v>
      </c>
      <c r="K290" t="s">
        <v>2</v>
      </c>
      <c r="L290" t="s">
        <v>1167</v>
      </c>
      <c r="M290" t="s">
        <v>1168</v>
      </c>
      <c r="N290" t="s">
        <v>1169</v>
      </c>
      <c r="O290" t="s">
        <v>1168</v>
      </c>
      <c r="P290" t="s">
        <v>1230</v>
      </c>
    </row>
    <row r="291" spans="1:16" x14ac:dyDescent="0.25">
      <c r="A291" t="s">
        <v>1621</v>
      </c>
      <c r="B291" t="s">
        <v>1616</v>
      </c>
      <c r="C291" t="s">
        <v>1482</v>
      </c>
      <c r="D291" t="s">
        <v>1027</v>
      </c>
      <c r="E291">
        <v>1664</v>
      </c>
      <c r="F291" t="s">
        <v>1483</v>
      </c>
      <c r="G291" t="b">
        <v>0</v>
      </c>
      <c r="H291" t="b">
        <v>0</v>
      </c>
      <c r="I291" t="s">
        <v>1050</v>
      </c>
      <c r="J291">
        <v>80</v>
      </c>
      <c r="K291" t="s">
        <v>1</v>
      </c>
      <c r="L291" t="s">
        <v>1213</v>
      </c>
      <c r="M291" t="s">
        <v>1168</v>
      </c>
      <c r="N291" t="s">
        <v>1168</v>
      </c>
      <c r="O291" t="s">
        <v>1168</v>
      </c>
      <c r="P291" t="s">
        <v>1484</v>
      </c>
    </row>
    <row r="292" spans="1:16" x14ac:dyDescent="0.25">
      <c r="A292" t="s">
        <v>1622</v>
      </c>
      <c r="B292" t="s">
        <v>1623</v>
      </c>
      <c r="C292" t="s">
        <v>1335</v>
      </c>
      <c r="D292" t="s">
        <v>1027</v>
      </c>
      <c r="E292">
        <v>1459</v>
      </c>
      <c r="F292" t="s">
        <v>1336</v>
      </c>
      <c r="G292" t="b">
        <v>0</v>
      </c>
      <c r="H292" t="b">
        <v>0</v>
      </c>
      <c r="I292" t="s">
        <v>1050</v>
      </c>
      <c r="J292" t="s">
        <v>1053</v>
      </c>
      <c r="K292" t="s">
        <v>1043</v>
      </c>
    </row>
    <row r="293" spans="1:16" x14ac:dyDescent="0.25">
      <c r="A293" t="s">
        <v>1624</v>
      </c>
      <c r="B293" t="s">
        <v>1625</v>
      </c>
      <c r="C293" t="s">
        <v>1181</v>
      </c>
      <c r="D293" t="s">
        <v>1027</v>
      </c>
      <c r="E293">
        <v>63765</v>
      </c>
      <c r="F293" t="s">
        <v>1182</v>
      </c>
      <c r="G293" t="b">
        <v>0</v>
      </c>
      <c r="H293" t="b">
        <v>0</v>
      </c>
      <c r="I293" t="s">
        <v>1050</v>
      </c>
      <c r="J293">
        <v>29</v>
      </c>
      <c r="K293" t="s">
        <v>2</v>
      </c>
      <c r="L293" t="s">
        <v>1167</v>
      </c>
      <c r="M293" t="s">
        <v>1168</v>
      </c>
      <c r="N293" t="s">
        <v>1169</v>
      </c>
      <c r="O293" t="s">
        <v>1168</v>
      </c>
      <c r="P293" t="s">
        <v>1183</v>
      </c>
    </row>
    <row r="294" spans="1:16" x14ac:dyDescent="0.25">
      <c r="A294" t="s">
        <v>1626</v>
      </c>
      <c r="B294" t="s">
        <v>1627</v>
      </c>
      <c r="C294" t="s">
        <v>1217</v>
      </c>
      <c r="D294" t="s">
        <v>1027</v>
      </c>
      <c r="E294">
        <v>1450</v>
      </c>
      <c r="F294" t="s">
        <v>1218</v>
      </c>
      <c r="G294" t="b">
        <v>0</v>
      </c>
      <c r="H294" t="b">
        <v>0</v>
      </c>
      <c r="I294" t="s">
        <v>1050</v>
      </c>
      <c r="J294">
        <v>91</v>
      </c>
      <c r="K294" t="s">
        <v>0</v>
      </c>
      <c r="L294" t="s">
        <v>1167</v>
      </c>
      <c r="M294" t="s">
        <v>1168</v>
      </c>
      <c r="N294" t="s">
        <v>1169</v>
      </c>
      <c r="O294" t="s">
        <v>1168</v>
      </c>
      <c r="P294" t="s">
        <v>1219</v>
      </c>
    </row>
    <row r="295" spans="1:16" x14ac:dyDescent="0.25">
      <c r="A295" t="s">
        <v>1628</v>
      </c>
      <c r="B295" t="s">
        <v>1629</v>
      </c>
      <c r="C295" t="s">
        <v>1211</v>
      </c>
      <c r="D295" t="s">
        <v>1027</v>
      </c>
      <c r="E295">
        <v>1383</v>
      </c>
      <c r="F295" t="s">
        <v>1212</v>
      </c>
      <c r="G295" t="b">
        <v>0</v>
      </c>
      <c r="H295" t="b">
        <v>0</v>
      </c>
      <c r="I295" t="s">
        <v>1050</v>
      </c>
      <c r="J295">
        <v>90</v>
      </c>
      <c r="K295" t="s">
        <v>2</v>
      </c>
      <c r="L295" t="s">
        <v>1169</v>
      </c>
      <c r="M295" t="s">
        <v>1168</v>
      </c>
      <c r="N295" t="s">
        <v>1213</v>
      </c>
      <c r="O295" t="s">
        <v>1213</v>
      </c>
      <c r="P295" t="s">
        <v>1214</v>
      </c>
    </row>
    <row r="296" spans="1:16" x14ac:dyDescent="0.25">
      <c r="A296" t="s">
        <v>1630</v>
      </c>
      <c r="B296" t="s">
        <v>1631</v>
      </c>
      <c r="C296" t="s">
        <v>1482</v>
      </c>
      <c r="D296" t="s">
        <v>1027</v>
      </c>
      <c r="E296">
        <v>1664</v>
      </c>
      <c r="F296" t="s">
        <v>1483</v>
      </c>
      <c r="G296" t="b">
        <v>0</v>
      </c>
      <c r="H296" t="b">
        <v>0</v>
      </c>
      <c r="I296" t="s">
        <v>1050</v>
      </c>
      <c r="J296">
        <v>80</v>
      </c>
      <c r="K296" t="s">
        <v>1</v>
      </c>
      <c r="L296" t="s">
        <v>1213</v>
      </c>
      <c r="M296" t="s">
        <v>1168</v>
      </c>
      <c r="N296" t="s">
        <v>1168</v>
      </c>
      <c r="O296" t="s">
        <v>1168</v>
      </c>
      <c r="P296" t="s">
        <v>1484</v>
      </c>
    </row>
    <row r="297" spans="1:16" x14ac:dyDescent="0.25">
      <c r="A297" t="s">
        <v>1632</v>
      </c>
      <c r="B297" t="s">
        <v>1631</v>
      </c>
      <c r="C297" t="s">
        <v>1482</v>
      </c>
      <c r="D297" t="s">
        <v>1027</v>
      </c>
      <c r="E297">
        <v>1664</v>
      </c>
      <c r="F297" t="s">
        <v>1483</v>
      </c>
      <c r="G297" t="b">
        <v>0</v>
      </c>
      <c r="H297" t="b">
        <v>0</v>
      </c>
      <c r="I297" t="s">
        <v>1050</v>
      </c>
      <c r="J297">
        <v>80</v>
      </c>
      <c r="K297" t="s">
        <v>1</v>
      </c>
      <c r="L297" t="s">
        <v>1213</v>
      </c>
      <c r="M297" t="s">
        <v>1168</v>
      </c>
      <c r="N297" t="s">
        <v>1168</v>
      </c>
      <c r="O297" t="s">
        <v>1168</v>
      </c>
      <c r="P297" t="s">
        <v>1484</v>
      </c>
    </row>
    <row r="298" spans="1:16" x14ac:dyDescent="0.25">
      <c r="A298" t="s">
        <v>1633</v>
      </c>
      <c r="B298" t="s">
        <v>1634</v>
      </c>
      <c r="C298" t="s">
        <v>1482</v>
      </c>
      <c r="D298" t="s">
        <v>1027</v>
      </c>
      <c r="E298">
        <v>1664</v>
      </c>
      <c r="F298" t="s">
        <v>1483</v>
      </c>
      <c r="G298" t="b">
        <v>0</v>
      </c>
      <c r="H298" t="b">
        <v>0</v>
      </c>
      <c r="I298" t="s">
        <v>1050</v>
      </c>
      <c r="J298">
        <v>80</v>
      </c>
      <c r="K298" t="s">
        <v>1</v>
      </c>
      <c r="L298" t="s">
        <v>1213</v>
      </c>
      <c r="M298" t="s">
        <v>1168</v>
      </c>
      <c r="N298" t="s">
        <v>1168</v>
      </c>
      <c r="O298" t="s">
        <v>1168</v>
      </c>
      <c r="P298" t="s">
        <v>1484</v>
      </c>
    </row>
    <row r="299" spans="1:16" x14ac:dyDescent="0.25">
      <c r="A299" t="s">
        <v>1635</v>
      </c>
      <c r="B299" t="s">
        <v>1636</v>
      </c>
      <c r="C299" t="s">
        <v>1165</v>
      </c>
      <c r="D299" t="s">
        <v>1027</v>
      </c>
      <c r="E299">
        <v>63774</v>
      </c>
      <c r="F299" t="s">
        <v>1166</v>
      </c>
      <c r="G299" t="b">
        <v>0</v>
      </c>
      <c r="H299" t="b">
        <v>0</v>
      </c>
      <c r="I299" t="s">
        <v>1050</v>
      </c>
      <c r="J299">
        <v>65</v>
      </c>
      <c r="K299" t="s">
        <v>1</v>
      </c>
      <c r="L299" t="s">
        <v>1167</v>
      </c>
      <c r="M299" t="s">
        <v>1168</v>
      </c>
      <c r="N299" t="s">
        <v>1169</v>
      </c>
      <c r="O299" t="s">
        <v>1168</v>
      </c>
      <c r="P299" t="s">
        <v>1170</v>
      </c>
    </row>
    <row r="300" spans="1:16" x14ac:dyDescent="0.25">
      <c r="A300" t="s">
        <v>1637</v>
      </c>
      <c r="B300" t="s">
        <v>1638</v>
      </c>
      <c r="C300" t="s">
        <v>1165</v>
      </c>
      <c r="D300" t="s">
        <v>1027</v>
      </c>
      <c r="E300">
        <v>63774</v>
      </c>
      <c r="F300" t="s">
        <v>1166</v>
      </c>
      <c r="G300" t="b">
        <v>0</v>
      </c>
      <c r="H300" t="b">
        <v>0</v>
      </c>
      <c r="I300" t="s">
        <v>1050</v>
      </c>
      <c r="J300">
        <v>21</v>
      </c>
      <c r="K300" t="s">
        <v>1</v>
      </c>
      <c r="L300" t="s">
        <v>1167</v>
      </c>
      <c r="M300" t="s">
        <v>1168</v>
      </c>
      <c r="N300" t="s">
        <v>1169</v>
      </c>
      <c r="O300" t="s">
        <v>1168</v>
      </c>
      <c r="P300" t="s">
        <v>1170</v>
      </c>
    </row>
    <row r="301" spans="1:16" x14ac:dyDescent="0.25">
      <c r="A301" t="s">
        <v>1639</v>
      </c>
      <c r="B301" t="s">
        <v>1638</v>
      </c>
      <c r="C301" t="s">
        <v>1165</v>
      </c>
      <c r="D301" t="s">
        <v>1027</v>
      </c>
      <c r="E301">
        <v>63774</v>
      </c>
      <c r="F301" t="s">
        <v>1166</v>
      </c>
      <c r="G301" t="b">
        <v>0</v>
      </c>
      <c r="H301" t="b">
        <v>0</v>
      </c>
      <c r="I301" t="s">
        <v>1050</v>
      </c>
      <c r="J301">
        <v>21</v>
      </c>
      <c r="K301" t="s">
        <v>1</v>
      </c>
      <c r="L301" t="s">
        <v>1167</v>
      </c>
      <c r="M301" t="s">
        <v>1168</v>
      </c>
      <c r="N301" t="s">
        <v>1169</v>
      </c>
      <c r="O301" t="s">
        <v>1168</v>
      </c>
      <c r="P301" t="s">
        <v>1170</v>
      </c>
    </row>
    <row r="302" spans="1:16" x14ac:dyDescent="0.25">
      <c r="A302" t="s">
        <v>1640</v>
      </c>
      <c r="B302" t="s">
        <v>1638</v>
      </c>
      <c r="C302" t="s">
        <v>1165</v>
      </c>
      <c r="D302" t="s">
        <v>1027</v>
      </c>
      <c r="E302">
        <v>63774</v>
      </c>
      <c r="F302" t="s">
        <v>1166</v>
      </c>
      <c r="G302" t="b">
        <v>0</v>
      </c>
      <c r="H302" t="b">
        <v>0</v>
      </c>
      <c r="I302" t="s">
        <v>1050</v>
      </c>
      <c r="J302">
        <v>21</v>
      </c>
      <c r="K302" t="s">
        <v>1</v>
      </c>
      <c r="L302" t="s">
        <v>1167</v>
      </c>
      <c r="M302" t="s">
        <v>1168</v>
      </c>
      <c r="N302" t="s">
        <v>1169</v>
      </c>
      <c r="O302" t="s">
        <v>1168</v>
      </c>
      <c r="P302" t="s">
        <v>1170</v>
      </c>
    </row>
    <row r="303" spans="1:16" x14ac:dyDescent="0.25">
      <c r="A303" t="s">
        <v>1641</v>
      </c>
      <c r="B303" t="s">
        <v>1638</v>
      </c>
      <c r="C303" t="s">
        <v>1165</v>
      </c>
      <c r="D303" t="s">
        <v>1027</v>
      </c>
      <c r="E303">
        <v>63774</v>
      </c>
      <c r="F303" t="s">
        <v>1166</v>
      </c>
      <c r="G303" t="b">
        <v>0</v>
      </c>
      <c r="H303" t="b">
        <v>0</v>
      </c>
      <c r="I303" t="s">
        <v>1050</v>
      </c>
      <c r="J303">
        <v>21</v>
      </c>
      <c r="K303" t="s">
        <v>1</v>
      </c>
      <c r="L303" t="s">
        <v>1167</v>
      </c>
      <c r="M303" t="s">
        <v>1168</v>
      </c>
      <c r="N303" t="s">
        <v>1169</v>
      </c>
      <c r="O303" t="s">
        <v>1168</v>
      </c>
      <c r="P303" t="s">
        <v>1170</v>
      </c>
    </row>
    <row r="304" spans="1:16" x14ac:dyDescent="0.25">
      <c r="A304" t="s">
        <v>1642</v>
      </c>
      <c r="B304" t="s">
        <v>1638</v>
      </c>
      <c r="C304" t="s">
        <v>1165</v>
      </c>
      <c r="D304" t="s">
        <v>1027</v>
      </c>
      <c r="E304">
        <v>63774</v>
      </c>
      <c r="F304" t="s">
        <v>1166</v>
      </c>
      <c r="G304" t="b">
        <v>0</v>
      </c>
      <c r="H304" t="b">
        <v>0</v>
      </c>
      <c r="I304" t="s">
        <v>1050</v>
      </c>
      <c r="J304">
        <v>21</v>
      </c>
      <c r="K304" t="s">
        <v>1</v>
      </c>
      <c r="L304" t="s">
        <v>1167</v>
      </c>
      <c r="M304" t="s">
        <v>1168</v>
      </c>
      <c r="N304" t="s">
        <v>1169</v>
      </c>
      <c r="O304" t="s">
        <v>1168</v>
      </c>
      <c r="P304" t="s">
        <v>1170</v>
      </c>
    </row>
    <row r="305" spans="1:16" x14ac:dyDescent="0.25">
      <c r="A305" t="s">
        <v>1643</v>
      </c>
      <c r="B305" t="s">
        <v>1638</v>
      </c>
      <c r="C305" t="s">
        <v>1165</v>
      </c>
      <c r="D305" t="s">
        <v>1027</v>
      </c>
      <c r="E305">
        <v>63774</v>
      </c>
      <c r="F305" t="s">
        <v>1166</v>
      </c>
      <c r="G305" t="b">
        <v>0</v>
      </c>
      <c r="H305" t="b">
        <v>0</v>
      </c>
      <c r="I305" t="s">
        <v>1050</v>
      </c>
      <c r="J305">
        <v>21</v>
      </c>
      <c r="K305" t="s">
        <v>1</v>
      </c>
      <c r="L305" t="s">
        <v>1167</v>
      </c>
      <c r="M305" t="s">
        <v>1168</v>
      </c>
      <c r="N305" t="s">
        <v>1169</v>
      </c>
      <c r="O305" t="s">
        <v>1168</v>
      </c>
      <c r="P305" t="s">
        <v>1170</v>
      </c>
    </row>
    <row r="306" spans="1:16" x14ac:dyDescent="0.25">
      <c r="A306" t="s">
        <v>1644</v>
      </c>
      <c r="B306" t="s">
        <v>1645</v>
      </c>
      <c r="C306" t="s">
        <v>1606</v>
      </c>
      <c r="D306" t="s">
        <v>1027</v>
      </c>
      <c r="E306">
        <v>1324</v>
      </c>
      <c r="F306" t="s">
        <v>1607</v>
      </c>
      <c r="G306" t="b">
        <v>0</v>
      </c>
      <c r="H306" t="b">
        <v>0</v>
      </c>
      <c r="I306" t="s">
        <v>1050</v>
      </c>
      <c r="J306">
        <v>90</v>
      </c>
      <c r="K306" t="s">
        <v>2</v>
      </c>
      <c r="L306" t="s">
        <v>1608</v>
      </c>
      <c r="M306" t="s">
        <v>1609</v>
      </c>
      <c r="N306" t="s">
        <v>1608</v>
      </c>
      <c r="O306" t="s">
        <v>1610</v>
      </c>
      <c r="P306" t="s">
        <v>1611</v>
      </c>
    </row>
    <row r="307" spans="1:16" x14ac:dyDescent="0.25">
      <c r="A307" t="s">
        <v>1646</v>
      </c>
      <c r="B307" t="s">
        <v>1645</v>
      </c>
      <c r="C307" t="s">
        <v>1606</v>
      </c>
      <c r="D307" t="s">
        <v>1027</v>
      </c>
      <c r="E307">
        <v>1324</v>
      </c>
      <c r="F307" t="s">
        <v>1607</v>
      </c>
      <c r="G307" t="b">
        <v>0</v>
      </c>
      <c r="H307" t="b">
        <v>0</v>
      </c>
      <c r="I307" t="s">
        <v>1050</v>
      </c>
      <c r="J307">
        <v>90</v>
      </c>
      <c r="K307" t="s">
        <v>2</v>
      </c>
      <c r="L307" t="s">
        <v>1608</v>
      </c>
      <c r="M307" t="s">
        <v>1609</v>
      </c>
      <c r="N307" t="s">
        <v>1608</v>
      </c>
      <c r="O307" t="s">
        <v>1610</v>
      </c>
      <c r="P307" t="s">
        <v>1611</v>
      </c>
    </row>
    <row r="308" spans="1:16" x14ac:dyDescent="0.25">
      <c r="A308" t="s">
        <v>1647</v>
      </c>
      <c r="B308" t="s">
        <v>1648</v>
      </c>
      <c r="C308" t="s">
        <v>1211</v>
      </c>
      <c r="D308" t="s">
        <v>1027</v>
      </c>
      <c r="E308">
        <v>1383</v>
      </c>
      <c r="F308" t="s">
        <v>1212</v>
      </c>
      <c r="G308" t="b">
        <v>0</v>
      </c>
      <c r="H308" t="b">
        <v>0</v>
      </c>
      <c r="I308" t="s">
        <v>1050</v>
      </c>
      <c r="J308">
        <v>90</v>
      </c>
      <c r="K308" t="s">
        <v>2</v>
      </c>
      <c r="L308" t="s">
        <v>1169</v>
      </c>
      <c r="M308" t="s">
        <v>1168</v>
      </c>
      <c r="N308" t="s">
        <v>1213</v>
      </c>
      <c r="O308" t="s">
        <v>1213</v>
      </c>
      <c r="P308" t="s">
        <v>1214</v>
      </c>
    </row>
    <row r="309" spans="1:16" x14ac:dyDescent="0.25">
      <c r="A309" t="s">
        <v>1649</v>
      </c>
      <c r="B309" t="s">
        <v>1645</v>
      </c>
      <c r="C309" t="s">
        <v>1606</v>
      </c>
      <c r="D309" t="s">
        <v>1027</v>
      </c>
      <c r="E309">
        <v>1324</v>
      </c>
      <c r="F309" t="s">
        <v>1607</v>
      </c>
      <c r="G309" t="b">
        <v>0</v>
      </c>
      <c r="H309" t="b">
        <v>0</v>
      </c>
      <c r="I309" t="s">
        <v>1050</v>
      </c>
      <c r="J309">
        <v>90</v>
      </c>
      <c r="K309" t="s">
        <v>2</v>
      </c>
      <c r="L309" t="s">
        <v>1608</v>
      </c>
      <c r="M309" t="s">
        <v>1609</v>
      </c>
      <c r="N309" t="s">
        <v>1608</v>
      </c>
      <c r="O309" t="s">
        <v>1610</v>
      </c>
      <c r="P309" t="s">
        <v>1611</v>
      </c>
    </row>
    <row r="310" spans="1:16" x14ac:dyDescent="0.25">
      <c r="A310" t="s">
        <v>1650</v>
      </c>
      <c r="B310" t="s">
        <v>1645</v>
      </c>
      <c r="C310" t="s">
        <v>1606</v>
      </c>
      <c r="D310" t="s">
        <v>1027</v>
      </c>
      <c r="E310">
        <v>1324</v>
      </c>
      <c r="F310" t="s">
        <v>1607</v>
      </c>
      <c r="G310" t="b">
        <v>0</v>
      </c>
      <c r="H310" t="b">
        <v>0</v>
      </c>
      <c r="I310" t="s">
        <v>1050</v>
      </c>
      <c r="J310">
        <v>90</v>
      </c>
      <c r="K310" t="s">
        <v>2</v>
      </c>
      <c r="L310" t="s">
        <v>1608</v>
      </c>
      <c r="M310" t="s">
        <v>1609</v>
      </c>
      <c r="N310" t="s">
        <v>1608</v>
      </c>
      <c r="O310" t="s">
        <v>1610</v>
      </c>
      <c r="P310" t="s">
        <v>1611</v>
      </c>
    </row>
    <row r="311" spans="1:16" x14ac:dyDescent="0.25">
      <c r="A311" t="s">
        <v>1651</v>
      </c>
      <c r="B311" t="s">
        <v>1645</v>
      </c>
      <c r="C311" t="s">
        <v>1606</v>
      </c>
      <c r="D311" t="s">
        <v>1027</v>
      </c>
      <c r="E311">
        <v>1324</v>
      </c>
      <c r="F311" t="s">
        <v>1607</v>
      </c>
      <c r="G311" t="b">
        <v>0</v>
      </c>
      <c r="H311" t="b">
        <v>0</v>
      </c>
      <c r="I311" t="s">
        <v>1050</v>
      </c>
      <c r="J311">
        <v>90</v>
      </c>
      <c r="K311" t="s">
        <v>2</v>
      </c>
      <c r="L311" t="s">
        <v>1608</v>
      </c>
      <c r="M311" t="s">
        <v>1609</v>
      </c>
      <c r="N311" t="s">
        <v>1608</v>
      </c>
      <c r="O311" t="s">
        <v>1610</v>
      </c>
      <c r="P311" t="s">
        <v>1611</v>
      </c>
    </row>
    <row r="312" spans="1:16" x14ac:dyDescent="0.25">
      <c r="A312" t="s">
        <v>1652</v>
      </c>
      <c r="B312" t="s">
        <v>1648</v>
      </c>
      <c r="C312" t="s">
        <v>1211</v>
      </c>
      <c r="D312" t="s">
        <v>1027</v>
      </c>
      <c r="E312">
        <v>1383</v>
      </c>
      <c r="F312" t="s">
        <v>1212</v>
      </c>
      <c r="G312" t="b">
        <v>0</v>
      </c>
      <c r="H312" t="b">
        <v>0</v>
      </c>
      <c r="I312" t="s">
        <v>1050</v>
      </c>
      <c r="J312">
        <v>90</v>
      </c>
      <c r="K312" t="s">
        <v>2</v>
      </c>
      <c r="L312" t="s">
        <v>1169</v>
      </c>
      <c r="M312" t="s">
        <v>1168</v>
      </c>
      <c r="N312" t="s">
        <v>1213</v>
      </c>
      <c r="O312" t="s">
        <v>1213</v>
      </c>
      <c r="P312" t="s">
        <v>1214</v>
      </c>
    </row>
    <row r="313" spans="1:16" x14ac:dyDescent="0.25">
      <c r="A313" t="s">
        <v>1653</v>
      </c>
      <c r="B313" t="s">
        <v>1645</v>
      </c>
      <c r="C313" t="s">
        <v>1606</v>
      </c>
      <c r="D313" t="s">
        <v>1027</v>
      </c>
      <c r="E313">
        <v>1324</v>
      </c>
      <c r="F313" t="s">
        <v>1607</v>
      </c>
      <c r="G313" t="b">
        <v>0</v>
      </c>
      <c r="H313" t="b">
        <v>0</v>
      </c>
      <c r="I313" t="s">
        <v>1050</v>
      </c>
      <c r="J313">
        <v>90</v>
      </c>
      <c r="K313" t="s">
        <v>2</v>
      </c>
      <c r="L313" t="s">
        <v>1608</v>
      </c>
      <c r="M313" t="s">
        <v>1609</v>
      </c>
      <c r="N313" t="s">
        <v>1608</v>
      </c>
      <c r="O313" t="s">
        <v>1610</v>
      </c>
      <c r="P313" t="s">
        <v>1611</v>
      </c>
    </row>
    <row r="314" spans="1:16" x14ac:dyDescent="0.25">
      <c r="A314" t="s">
        <v>1654</v>
      </c>
      <c r="B314" t="s">
        <v>1645</v>
      </c>
      <c r="C314" t="s">
        <v>1606</v>
      </c>
      <c r="D314" t="s">
        <v>1027</v>
      </c>
      <c r="E314">
        <v>1324</v>
      </c>
      <c r="F314" t="s">
        <v>1607</v>
      </c>
      <c r="G314" t="b">
        <v>0</v>
      </c>
      <c r="H314" t="b">
        <v>0</v>
      </c>
      <c r="I314" t="s">
        <v>1050</v>
      </c>
      <c r="J314">
        <v>90</v>
      </c>
      <c r="K314" t="s">
        <v>2</v>
      </c>
      <c r="L314" t="s">
        <v>1608</v>
      </c>
      <c r="M314" t="s">
        <v>1609</v>
      </c>
      <c r="N314" t="s">
        <v>1608</v>
      </c>
      <c r="O314" t="s">
        <v>1610</v>
      </c>
      <c r="P314" t="s">
        <v>1611</v>
      </c>
    </row>
    <row r="315" spans="1:16" x14ac:dyDescent="0.25">
      <c r="A315" t="s">
        <v>1655</v>
      </c>
      <c r="B315" t="s">
        <v>1645</v>
      </c>
      <c r="C315" t="s">
        <v>1606</v>
      </c>
      <c r="D315" t="s">
        <v>1027</v>
      </c>
      <c r="E315">
        <v>1324</v>
      </c>
      <c r="F315" t="s">
        <v>1607</v>
      </c>
      <c r="G315" t="b">
        <v>0</v>
      </c>
      <c r="H315" t="b">
        <v>0</v>
      </c>
      <c r="I315" t="s">
        <v>1050</v>
      </c>
      <c r="J315">
        <v>90</v>
      </c>
      <c r="K315" t="s">
        <v>2</v>
      </c>
      <c r="L315" t="s">
        <v>1608</v>
      </c>
      <c r="M315" t="s">
        <v>1609</v>
      </c>
      <c r="N315" t="s">
        <v>1608</v>
      </c>
      <c r="O315" t="s">
        <v>1610</v>
      </c>
      <c r="P315" t="s">
        <v>1611</v>
      </c>
    </row>
    <row r="316" spans="1:16" x14ac:dyDescent="0.25">
      <c r="A316" t="s">
        <v>1656</v>
      </c>
      <c r="B316" t="s">
        <v>1657</v>
      </c>
      <c r="C316" t="s">
        <v>1571</v>
      </c>
      <c r="D316" t="s">
        <v>1027</v>
      </c>
      <c r="E316">
        <v>63767</v>
      </c>
      <c r="G316" t="b">
        <v>0</v>
      </c>
      <c r="H316" t="b">
        <v>0</v>
      </c>
      <c r="I316" t="s">
        <v>1050</v>
      </c>
      <c r="J316">
        <v>80</v>
      </c>
      <c r="K316" t="s">
        <v>0</v>
      </c>
      <c r="L316" t="s">
        <v>1167</v>
      </c>
      <c r="M316" t="s">
        <v>1168</v>
      </c>
      <c r="N316" t="s">
        <v>1169</v>
      </c>
      <c r="O316" t="s">
        <v>1168</v>
      </c>
      <c r="P316" t="s">
        <v>1283</v>
      </c>
    </row>
    <row r="317" spans="1:16" x14ac:dyDescent="0.25">
      <c r="A317" t="s">
        <v>1658</v>
      </c>
      <c r="B317" t="s">
        <v>1659</v>
      </c>
      <c r="C317" t="s">
        <v>1571</v>
      </c>
      <c r="D317" t="s">
        <v>1027</v>
      </c>
      <c r="E317">
        <v>63767</v>
      </c>
      <c r="G317" t="b">
        <v>0</v>
      </c>
      <c r="H317" t="b">
        <v>0</v>
      </c>
      <c r="I317" t="s">
        <v>1050</v>
      </c>
      <c r="J317">
        <v>80</v>
      </c>
      <c r="K317" t="s">
        <v>0</v>
      </c>
      <c r="L317" t="s">
        <v>1167</v>
      </c>
      <c r="M317" t="s">
        <v>1168</v>
      </c>
      <c r="N317" t="s">
        <v>1169</v>
      </c>
      <c r="O317" t="s">
        <v>1168</v>
      </c>
      <c r="P317" t="s">
        <v>1283</v>
      </c>
    </row>
    <row r="318" spans="1:16" x14ac:dyDescent="0.25">
      <c r="A318" t="s">
        <v>1660</v>
      </c>
      <c r="B318" t="s">
        <v>1661</v>
      </c>
      <c r="C318" t="s">
        <v>1571</v>
      </c>
      <c r="D318" t="s">
        <v>1027</v>
      </c>
      <c r="E318">
        <v>63767</v>
      </c>
      <c r="G318" t="b">
        <v>0</v>
      </c>
      <c r="H318" t="b">
        <v>0</v>
      </c>
      <c r="I318" t="s">
        <v>1050</v>
      </c>
      <c r="J318">
        <v>80</v>
      </c>
      <c r="K318" t="s">
        <v>0</v>
      </c>
      <c r="L318" t="s">
        <v>1167</v>
      </c>
      <c r="M318" t="s">
        <v>1168</v>
      </c>
      <c r="N318" t="s">
        <v>1169</v>
      </c>
      <c r="O318" t="s">
        <v>1168</v>
      </c>
      <c r="P318" t="s">
        <v>1283</v>
      </c>
    </row>
    <row r="319" spans="1:16" x14ac:dyDescent="0.25">
      <c r="A319" t="s">
        <v>1662</v>
      </c>
      <c r="B319" t="s">
        <v>1663</v>
      </c>
      <c r="C319" t="s">
        <v>1571</v>
      </c>
      <c r="D319" t="s">
        <v>1027</v>
      </c>
      <c r="E319">
        <v>63767</v>
      </c>
      <c r="G319" t="b">
        <v>0</v>
      </c>
      <c r="H319" t="b">
        <v>0</v>
      </c>
      <c r="I319" t="s">
        <v>1050</v>
      </c>
      <c r="J319">
        <v>80</v>
      </c>
      <c r="K319" t="s">
        <v>0</v>
      </c>
      <c r="L319" t="s">
        <v>1167</v>
      </c>
      <c r="M319" t="s">
        <v>1168</v>
      </c>
      <c r="N319" t="s">
        <v>1169</v>
      </c>
      <c r="O319" t="s">
        <v>1168</v>
      </c>
      <c r="P319" t="s">
        <v>1283</v>
      </c>
    </row>
    <row r="320" spans="1:16" x14ac:dyDescent="0.25">
      <c r="A320" t="s">
        <v>1664</v>
      </c>
      <c r="B320" t="s">
        <v>1665</v>
      </c>
      <c r="C320" t="s">
        <v>1165</v>
      </c>
      <c r="D320" t="s">
        <v>1027</v>
      </c>
      <c r="E320">
        <v>63774</v>
      </c>
      <c r="F320" t="s">
        <v>1166</v>
      </c>
      <c r="G320" t="b">
        <v>0</v>
      </c>
      <c r="H320" t="b">
        <v>0</v>
      </c>
      <c r="I320" t="s">
        <v>1050</v>
      </c>
      <c r="J320">
        <v>30</v>
      </c>
      <c r="K320" t="s">
        <v>1</v>
      </c>
      <c r="L320" t="s">
        <v>1167</v>
      </c>
      <c r="M320" t="s">
        <v>1168</v>
      </c>
      <c r="N320" t="s">
        <v>1169</v>
      </c>
      <c r="O320" t="s">
        <v>1168</v>
      </c>
      <c r="P320" t="s">
        <v>1170</v>
      </c>
    </row>
    <row r="321" spans="1:16" x14ac:dyDescent="0.25">
      <c r="A321" t="s">
        <v>1666</v>
      </c>
      <c r="B321" t="s">
        <v>1667</v>
      </c>
      <c r="C321" t="s">
        <v>1165</v>
      </c>
      <c r="D321" t="s">
        <v>1027</v>
      </c>
      <c r="E321">
        <v>63774</v>
      </c>
      <c r="F321" t="s">
        <v>1166</v>
      </c>
      <c r="G321" t="b">
        <v>0</v>
      </c>
      <c r="H321" t="b">
        <v>0</v>
      </c>
      <c r="I321" t="s">
        <v>1050</v>
      </c>
      <c r="J321">
        <v>30</v>
      </c>
      <c r="K321" t="s">
        <v>1</v>
      </c>
      <c r="L321" t="s">
        <v>1167</v>
      </c>
      <c r="M321" t="s">
        <v>1168</v>
      </c>
      <c r="N321" t="s">
        <v>1169</v>
      </c>
      <c r="O321" t="s">
        <v>1168</v>
      </c>
      <c r="P321" t="s">
        <v>1170</v>
      </c>
    </row>
    <row r="322" spans="1:16" x14ac:dyDescent="0.25">
      <c r="A322" t="s">
        <v>1668</v>
      </c>
      <c r="B322" t="s">
        <v>1669</v>
      </c>
      <c r="C322" t="s">
        <v>1165</v>
      </c>
      <c r="D322" t="s">
        <v>1027</v>
      </c>
      <c r="E322">
        <v>63774</v>
      </c>
      <c r="F322" t="s">
        <v>1166</v>
      </c>
      <c r="G322" t="b">
        <v>0</v>
      </c>
      <c r="H322" t="b">
        <v>0</v>
      </c>
      <c r="I322" t="s">
        <v>1050</v>
      </c>
      <c r="J322">
        <v>91</v>
      </c>
      <c r="K322" t="s">
        <v>1</v>
      </c>
      <c r="L322" t="s">
        <v>1167</v>
      </c>
      <c r="M322" t="s">
        <v>1168</v>
      </c>
      <c r="N322" t="s">
        <v>1169</v>
      </c>
      <c r="O322" t="s">
        <v>1168</v>
      </c>
      <c r="P322" t="s">
        <v>1170</v>
      </c>
    </row>
    <row r="323" spans="1:16" x14ac:dyDescent="0.25">
      <c r="A323" t="s">
        <v>1670</v>
      </c>
      <c r="B323" t="s">
        <v>1671</v>
      </c>
      <c r="C323" t="s">
        <v>1482</v>
      </c>
      <c r="D323" t="s">
        <v>1027</v>
      </c>
      <c r="E323">
        <v>1664</v>
      </c>
      <c r="F323" t="s">
        <v>1483</v>
      </c>
      <c r="G323" t="b">
        <v>0</v>
      </c>
      <c r="H323" t="b">
        <v>0</v>
      </c>
      <c r="I323" t="s">
        <v>1050</v>
      </c>
      <c r="J323">
        <v>80</v>
      </c>
      <c r="K323" t="s">
        <v>1</v>
      </c>
      <c r="L323" t="s">
        <v>1213</v>
      </c>
      <c r="M323" t="s">
        <v>1168</v>
      </c>
      <c r="N323" t="s">
        <v>1168</v>
      </c>
      <c r="O323" t="s">
        <v>1168</v>
      </c>
      <c r="P323" t="s">
        <v>1484</v>
      </c>
    </row>
    <row r="324" spans="1:16" x14ac:dyDescent="0.25">
      <c r="A324" t="s">
        <v>1672</v>
      </c>
      <c r="B324" t="s">
        <v>1673</v>
      </c>
      <c r="C324" t="s">
        <v>1233</v>
      </c>
      <c r="D324" t="s">
        <v>1027</v>
      </c>
      <c r="E324">
        <v>63762</v>
      </c>
      <c r="F324" t="s">
        <v>1234</v>
      </c>
      <c r="G324" t="b">
        <v>0</v>
      </c>
      <c r="H324" t="b">
        <v>0</v>
      </c>
      <c r="I324" t="s">
        <v>1050</v>
      </c>
      <c r="J324">
        <v>80</v>
      </c>
      <c r="K324" t="s">
        <v>0</v>
      </c>
      <c r="L324" t="s">
        <v>1167</v>
      </c>
      <c r="M324" t="s">
        <v>1168</v>
      </c>
      <c r="N324" t="s">
        <v>1169</v>
      </c>
      <c r="O324" t="s">
        <v>1168</v>
      </c>
      <c r="P324" t="s">
        <v>1235</v>
      </c>
    </row>
    <row r="325" spans="1:16" x14ac:dyDescent="0.25">
      <c r="A325" t="s">
        <v>1674</v>
      </c>
      <c r="B325" t="s">
        <v>1675</v>
      </c>
      <c r="C325" t="s">
        <v>1233</v>
      </c>
      <c r="D325" t="s">
        <v>1027</v>
      </c>
      <c r="E325">
        <v>63762</v>
      </c>
      <c r="F325" t="s">
        <v>1234</v>
      </c>
      <c r="G325" t="b">
        <v>0</v>
      </c>
      <c r="H325" t="b">
        <v>0</v>
      </c>
      <c r="I325" t="s">
        <v>1050</v>
      </c>
      <c r="J325">
        <v>87</v>
      </c>
      <c r="K325" t="s">
        <v>0</v>
      </c>
      <c r="L325" t="s">
        <v>1167</v>
      </c>
      <c r="M325" t="s">
        <v>1168</v>
      </c>
      <c r="N325" t="s">
        <v>1169</v>
      </c>
      <c r="O325" t="s">
        <v>1168</v>
      </c>
      <c r="P325" t="s">
        <v>1235</v>
      </c>
    </row>
    <row r="326" spans="1:16" x14ac:dyDescent="0.25">
      <c r="A326" t="s">
        <v>1676</v>
      </c>
      <c r="B326" t="s">
        <v>1677</v>
      </c>
      <c r="C326" t="s">
        <v>1678</v>
      </c>
      <c r="D326" t="s">
        <v>1027</v>
      </c>
      <c r="E326">
        <v>63786</v>
      </c>
      <c r="F326" t="s">
        <v>1679</v>
      </c>
      <c r="G326" t="b">
        <v>0</v>
      </c>
      <c r="H326" t="b">
        <v>0</v>
      </c>
      <c r="I326" t="s">
        <v>1050</v>
      </c>
      <c r="J326">
        <v>42</v>
      </c>
      <c r="K326" t="s">
        <v>2</v>
      </c>
      <c r="L326" t="s">
        <v>1680</v>
      </c>
      <c r="M326" t="s">
        <v>1680</v>
      </c>
      <c r="N326" t="s">
        <v>1681</v>
      </c>
      <c r="O326" t="s">
        <v>1680</v>
      </c>
      <c r="P326" t="s">
        <v>1682</v>
      </c>
    </row>
    <row r="327" spans="1:16" x14ac:dyDescent="0.25">
      <c r="A327" t="s">
        <v>1683</v>
      </c>
      <c r="B327" t="s">
        <v>1677</v>
      </c>
      <c r="C327" t="s">
        <v>1678</v>
      </c>
      <c r="D327" t="s">
        <v>1027</v>
      </c>
      <c r="E327">
        <v>63786</v>
      </c>
      <c r="F327" t="s">
        <v>1679</v>
      </c>
      <c r="G327" t="b">
        <v>0</v>
      </c>
      <c r="H327" t="b">
        <v>0</v>
      </c>
      <c r="I327" t="s">
        <v>1050</v>
      </c>
      <c r="J327">
        <v>42</v>
      </c>
      <c r="K327" t="s">
        <v>2</v>
      </c>
      <c r="L327" t="s">
        <v>1680</v>
      </c>
      <c r="M327" t="s">
        <v>1680</v>
      </c>
      <c r="N327" t="s">
        <v>1681</v>
      </c>
      <c r="O327" t="s">
        <v>1680</v>
      </c>
      <c r="P327" t="s">
        <v>1682</v>
      </c>
    </row>
    <row r="328" spans="1:16" x14ac:dyDescent="0.25">
      <c r="A328" t="s">
        <v>1684</v>
      </c>
      <c r="B328" t="s">
        <v>1685</v>
      </c>
      <c r="C328" t="s">
        <v>1431</v>
      </c>
      <c r="D328" t="s">
        <v>1027</v>
      </c>
      <c r="E328">
        <v>41348</v>
      </c>
      <c r="F328" t="s">
        <v>1432</v>
      </c>
      <c r="G328" t="b">
        <v>0</v>
      </c>
      <c r="H328" t="b">
        <v>0</v>
      </c>
      <c r="I328" t="s">
        <v>1050</v>
      </c>
      <c r="J328">
        <v>90</v>
      </c>
      <c r="K328" t="s">
        <v>2</v>
      </c>
      <c r="L328" t="s">
        <v>1168</v>
      </c>
      <c r="M328" t="s">
        <v>1168</v>
      </c>
      <c r="N328" t="s">
        <v>1169</v>
      </c>
      <c r="O328" t="s">
        <v>1168</v>
      </c>
      <c r="P328" t="s">
        <v>1434</v>
      </c>
    </row>
    <row r="329" spans="1:16" x14ac:dyDescent="0.25">
      <c r="A329" t="s">
        <v>1686</v>
      </c>
      <c r="B329" t="s">
        <v>1685</v>
      </c>
      <c r="C329" t="s">
        <v>1431</v>
      </c>
      <c r="D329" t="s">
        <v>1027</v>
      </c>
      <c r="E329">
        <v>41348</v>
      </c>
      <c r="F329" t="s">
        <v>1432</v>
      </c>
      <c r="G329" t="b">
        <v>0</v>
      </c>
      <c r="H329" t="b">
        <v>0</v>
      </c>
      <c r="I329" t="s">
        <v>1050</v>
      </c>
      <c r="J329">
        <v>90</v>
      </c>
      <c r="K329" t="s">
        <v>2</v>
      </c>
      <c r="L329" t="s">
        <v>1168</v>
      </c>
      <c r="M329" t="s">
        <v>1168</v>
      </c>
      <c r="N329" t="s">
        <v>1169</v>
      </c>
      <c r="O329" t="s">
        <v>1168</v>
      </c>
      <c r="P329" t="s">
        <v>1434</v>
      </c>
    </row>
    <row r="330" spans="1:16" x14ac:dyDescent="0.25">
      <c r="A330" t="s">
        <v>1687</v>
      </c>
      <c r="B330" t="s">
        <v>1685</v>
      </c>
      <c r="C330" t="s">
        <v>1431</v>
      </c>
      <c r="D330" t="s">
        <v>1027</v>
      </c>
      <c r="E330">
        <v>41348</v>
      </c>
      <c r="F330" t="s">
        <v>1432</v>
      </c>
      <c r="G330" t="b">
        <v>0</v>
      </c>
      <c r="H330" t="b">
        <v>0</v>
      </c>
      <c r="I330" t="s">
        <v>1050</v>
      </c>
      <c r="J330">
        <v>90</v>
      </c>
      <c r="K330" t="s">
        <v>2</v>
      </c>
      <c r="L330" t="s">
        <v>1168</v>
      </c>
      <c r="M330" t="s">
        <v>1168</v>
      </c>
      <c r="N330" t="s">
        <v>1169</v>
      </c>
      <c r="O330" t="s">
        <v>1168</v>
      </c>
      <c r="P330" t="s">
        <v>1434</v>
      </c>
    </row>
    <row r="331" spans="1:16" x14ac:dyDescent="0.25">
      <c r="A331" t="s">
        <v>1688</v>
      </c>
      <c r="B331" t="s">
        <v>1685</v>
      </c>
      <c r="C331" t="s">
        <v>1431</v>
      </c>
      <c r="D331" t="s">
        <v>1027</v>
      </c>
      <c r="E331">
        <v>41348</v>
      </c>
      <c r="F331" t="s">
        <v>1432</v>
      </c>
      <c r="G331" t="b">
        <v>0</v>
      </c>
      <c r="H331" t="b">
        <v>0</v>
      </c>
      <c r="I331" t="s">
        <v>1050</v>
      </c>
      <c r="J331">
        <v>90</v>
      </c>
      <c r="K331" t="s">
        <v>2</v>
      </c>
      <c r="L331" t="s">
        <v>1168</v>
      </c>
      <c r="M331" t="s">
        <v>1168</v>
      </c>
      <c r="N331" t="s">
        <v>1169</v>
      </c>
      <c r="O331" t="s">
        <v>1168</v>
      </c>
      <c r="P331" t="s">
        <v>1434</v>
      </c>
    </row>
    <row r="332" spans="1:16" x14ac:dyDescent="0.25">
      <c r="A332" t="s">
        <v>1689</v>
      </c>
      <c r="B332" t="s">
        <v>1685</v>
      </c>
      <c r="C332" t="s">
        <v>1431</v>
      </c>
      <c r="D332" t="s">
        <v>1027</v>
      </c>
      <c r="E332">
        <v>41348</v>
      </c>
      <c r="F332" t="s">
        <v>1432</v>
      </c>
      <c r="G332" t="b">
        <v>0</v>
      </c>
      <c r="H332" t="b">
        <v>0</v>
      </c>
      <c r="I332" t="s">
        <v>1050</v>
      </c>
      <c r="J332">
        <v>90</v>
      </c>
      <c r="K332" t="s">
        <v>2</v>
      </c>
      <c r="L332" t="s">
        <v>1168</v>
      </c>
      <c r="M332" t="s">
        <v>1168</v>
      </c>
      <c r="N332" t="s">
        <v>1169</v>
      </c>
      <c r="O332" t="s">
        <v>1168</v>
      </c>
      <c r="P332" t="s">
        <v>1434</v>
      </c>
    </row>
    <row r="333" spans="1:16" x14ac:dyDescent="0.25">
      <c r="A333" t="s">
        <v>1690</v>
      </c>
      <c r="B333" t="s">
        <v>1691</v>
      </c>
      <c r="C333" t="s">
        <v>1211</v>
      </c>
      <c r="D333" t="s">
        <v>1027</v>
      </c>
      <c r="E333">
        <v>1383</v>
      </c>
      <c r="F333" t="s">
        <v>1212</v>
      </c>
      <c r="G333" t="b">
        <v>0</v>
      </c>
      <c r="H333" t="b">
        <v>0</v>
      </c>
      <c r="I333" t="s">
        <v>1050</v>
      </c>
      <c r="J333">
        <v>90</v>
      </c>
      <c r="K333" t="s">
        <v>2</v>
      </c>
      <c r="L333" t="s">
        <v>1169</v>
      </c>
      <c r="M333" t="s">
        <v>1168</v>
      </c>
      <c r="N333" t="s">
        <v>1213</v>
      </c>
      <c r="O333" t="s">
        <v>1213</v>
      </c>
      <c r="P333" t="s">
        <v>1214</v>
      </c>
    </row>
    <row r="334" spans="1:16" x14ac:dyDescent="0.25">
      <c r="A334" t="s">
        <v>1692</v>
      </c>
      <c r="B334" t="s">
        <v>1691</v>
      </c>
      <c r="C334" t="s">
        <v>1211</v>
      </c>
      <c r="D334" t="s">
        <v>1027</v>
      </c>
      <c r="E334">
        <v>1383</v>
      </c>
      <c r="F334" t="s">
        <v>1212</v>
      </c>
      <c r="G334" t="b">
        <v>0</v>
      </c>
      <c r="H334" t="b">
        <v>0</v>
      </c>
      <c r="I334" t="s">
        <v>1050</v>
      </c>
      <c r="J334">
        <v>90</v>
      </c>
      <c r="K334" t="s">
        <v>2</v>
      </c>
      <c r="L334" t="s">
        <v>1169</v>
      </c>
      <c r="M334" t="s">
        <v>1168</v>
      </c>
      <c r="N334" t="s">
        <v>1213</v>
      </c>
      <c r="O334" t="s">
        <v>1213</v>
      </c>
      <c r="P334" t="s">
        <v>1214</v>
      </c>
    </row>
    <row r="335" spans="1:16" x14ac:dyDescent="0.25">
      <c r="A335" t="s">
        <v>1693</v>
      </c>
      <c r="B335" t="s">
        <v>1691</v>
      </c>
      <c r="C335" t="s">
        <v>1211</v>
      </c>
      <c r="D335" t="s">
        <v>1027</v>
      </c>
      <c r="E335">
        <v>1383</v>
      </c>
      <c r="F335" t="s">
        <v>1212</v>
      </c>
      <c r="G335" t="b">
        <v>0</v>
      </c>
      <c r="H335" t="b">
        <v>0</v>
      </c>
      <c r="I335" t="s">
        <v>1050</v>
      </c>
      <c r="J335">
        <v>90</v>
      </c>
      <c r="K335" t="s">
        <v>2</v>
      </c>
      <c r="L335" t="s">
        <v>1169</v>
      </c>
      <c r="M335" t="s">
        <v>1168</v>
      </c>
      <c r="N335" t="s">
        <v>1213</v>
      </c>
      <c r="O335" t="s">
        <v>1213</v>
      </c>
      <c r="P335" t="s">
        <v>1214</v>
      </c>
    </row>
    <row r="336" spans="1:16" x14ac:dyDescent="0.25">
      <c r="A336" t="s">
        <v>1694</v>
      </c>
      <c r="B336" t="s">
        <v>1691</v>
      </c>
      <c r="C336" t="s">
        <v>1211</v>
      </c>
      <c r="D336" t="s">
        <v>1027</v>
      </c>
      <c r="E336">
        <v>1383</v>
      </c>
      <c r="F336" t="s">
        <v>1212</v>
      </c>
      <c r="G336" t="b">
        <v>0</v>
      </c>
      <c r="H336" t="b">
        <v>0</v>
      </c>
      <c r="I336" t="s">
        <v>1050</v>
      </c>
      <c r="J336">
        <v>90</v>
      </c>
      <c r="K336" t="s">
        <v>2</v>
      </c>
      <c r="L336" t="s">
        <v>1169</v>
      </c>
      <c r="M336" t="s">
        <v>1168</v>
      </c>
      <c r="N336" t="s">
        <v>1213</v>
      </c>
      <c r="O336" t="s">
        <v>1213</v>
      </c>
      <c r="P336" t="s">
        <v>1214</v>
      </c>
    </row>
    <row r="337" spans="1:16" x14ac:dyDescent="0.25">
      <c r="A337" t="s">
        <v>1695</v>
      </c>
      <c r="B337" t="s">
        <v>1691</v>
      </c>
      <c r="C337" t="s">
        <v>1211</v>
      </c>
      <c r="D337" t="s">
        <v>1027</v>
      </c>
      <c r="E337">
        <v>1383</v>
      </c>
      <c r="F337" t="s">
        <v>1212</v>
      </c>
      <c r="G337" t="b">
        <v>0</v>
      </c>
      <c r="H337" t="b">
        <v>0</v>
      </c>
      <c r="I337" t="s">
        <v>1050</v>
      </c>
      <c r="J337">
        <v>90</v>
      </c>
      <c r="K337" t="s">
        <v>2</v>
      </c>
      <c r="L337" t="s">
        <v>1169</v>
      </c>
      <c r="M337" t="s">
        <v>1168</v>
      </c>
      <c r="N337" t="s">
        <v>1213</v>
      </c>
      <c r="O337" t="s">
        <v>1213</v>
      </c>
      <c r="P337" t="s">
        <v>1214</v>
      </c>
    </row>
    <row r="338" spans="1:16" x14ac:dyDescent="0.25">
      <c r="A338" t="s">
        <v>1696</v>
      </c>
      <c r="B338" t="s">
        <v>1691</v>
      </c>
      <c r="C338" t="s">
        <v>1211</v>
      </c>
      <c r="D338" t="s">
        <v>1027</v>
      </c>
      <c r="E338">
        <v>1383</v>
      </c>
      <c r="F338" t="s">
        <v>1212</v>
      </c>
      <c r="G338" t="b">
        <v>0</v>
      </c>
      <c r="H338" t="b">
        <v>0</v>
      </c>
      <c r="I338" t="s">
        <v>1050</v>
      </c>
      <c r="J338">
        <v>90</v>
      </c>
      <c r="K338" t="s">
        <v>2</v>
      </c>
      <c r="L338" t="s">
        <v>1169</v>
      </c>
      <c r="M338" t="s">
        <v>1168</v>
      </c>
      <c r="N338" t="s">
        <v>1213</v>
      </c>
      <c r="O338" t="s">
        <v>1213</v>
      </c>
      <c r="P338" t="s">
        <v>1214</v>
      </c>
    </row>
    <row r="339" spans="1:16" x14ac:dyDescent="0.25">
      <c r="A339" t="s">
        <v>1697</v>
      </c>
      <c r="B339" t="s">
        <v>1691</v>
      </c>
      <c r="C339" t="s">
        <v>1211</v>
      </c>
      <c r="D339" t="s">
        <v>1027</v>
      </c>
      <c r="E339">
        <v>1383</v>
      </c>
      <c r="F339" t="s">
        <v>1212</v>
      </c>
      <c r="G339" t="b">
        <v>0</v>
      </c>
      <c r="H339" t="b">
        <v>0</v>
      </c>
      <c r="I339" t="s">
        <v>1050</v>
      </c>
      <c r="J339">
        <v>90</v>
      </c>
      <c r="K339" t="s">
        <v>2</v>
      </c>
      <c r="L339" t="s">
        <v>1169</v>
      </c>
      <c r="M339" t="s">
        <v>1168</v>
      </c>
      <c r="N339" t="s">
        <v>1213</v>
      </c>
      <c r="O339" t="s">
        <v>1213</v>
      </c>
      <c r="P339" t="s">
        <v>1214</v>
      </c>
    </row>
    <row r="340" spans="1:16" x14ac:dyDescent="0.25">
      <c r="A340" t="s">
        <v>1698</v>
      </c>
      <c r="B340" t="s">
        <v>1691</v>
      </c>
      <c r="C340" t="s">
        <v>1211</v>
      </c>
      <c r="D340" t="s">
        <v>1027</v>
      </c>
      <c r="E340">
        <v>1383</v>
      </c>
      <c r="F340" t="s">
        <v>1212</v>
      </c>
      <c r="G340" t="b">
        <v>0</v>
      </c>
      <c r="H340" t="b">
        <v>0</v>
      </c>
      <c r="I340" t="s">
        <v>1050</v>
      </c>
      <c r="J340">
        <v>90</v>
      </c>
      <c r="K340" t="s">
        <v>2</v>
      </c>
      <c r="L340" t="s">
        <v>1169</v>
      </c>
      <c r="M340" t="s">
        <v>1168</v>
      </c>
      <c r="N340" t="s">
        <v>1213</v>
      </c>
      <c r="O340" t="s">
        <v>1213</v>
      </c>
      <c r="P340" t="s">
        <v>1214</v>
      </c>
    </row>
    <row r="341" spans="1:16" x14ac:dyDescent="0.25">
      <c r="A341" t="s">
        <v>1699</v>
      </c>
      <c r="B341" t="s">
        <v>1691</v>
      </c>
      <c r="C341" t="s">
        <v>1211</v>
      </c>
      <c r="D341" t="s">
        <v>1027</v>
      </c>
      <c r="E341">
        <v>1383</v>
      </c>
      <c r="F341" t="s">
        <v>1212</v>
      </c>
      <c r="G341" t="b">
        <v>0</v>
      </c>
      <c r="H341" t="b">
        <v>0</v>
      </c>
      <c r="I341" t="s">
        <v>1050</v>
      </c>
      <c r="J341">
        <v>90</v>
      </c>
      <c r="K341" t="s">
        <v>2</v>
      </c>
      <c r="L341" t="s">
        <v>1169</v>
      </c>
      <c r="M341" t="s">
        <v>1168</v>
      </c>
      <c r="N341" t="s">
        <v>1213</v>
      </c>
      <c r="O341" t="s">
        <v>1213</v>
      </c>
      <c r="P341" t="s">
        <v>1214</v>
      </c>
    </row>
    <row r="342" spans="1:16" x14ac:dyDescent="0.25">
      <c r="A342" t="s">
        <v>1700</v>
      </c>
      <c r="B342" t="s">
        <v>1691</v>
      </c>
      <c r="C342" t="s">
        <v>1211</v>
      </c>
      <c r="D342" t="s">
        <v>1027</v>
      </c>
      <c r="E342">
        <v>1383</v>
      </c>
      <c r="F342" t="s">
        <v>1212</v>
      </c>
      <c r="G342" t="b">
        <v>0</v>
      </c>
      <c r="H342" t="b">
        <v>0</v>
      </c>
      <c r="I342" t="s">
        <v>1050</v>
      </c>
      <c r="J342">
        <v>90</v>
      </c>
      <c r="K342" t="s">
        <v>2</v>
      </c>
      <c r="L342" t="s">
        <v>1169</v>
      </c>
      <c r="M342" t="s">
        <v>1168</v>
      </c>
      <c r="N342" t="s">
        <v>1213</v>
      </c>
      <c r="O342" t="s">
        <v>1213</v>
      </c>
      <c r="P342" t="s">
        <v>1214</v>
      </c>
    </row>
    <row r="343" spans="1:16" x14ac:dyDescent="0.25">
      <c r="A343" t="s">
        <v>1701</v>
      </c>
      <c r="B343" t="s">
        <v>1691</v>
      </c>
      <c r="C343" t="s">
        <v>1211</v>
      </c>
      <c r="D343" t="s">
        <v>1027</v>
      </c>
      <c r="E343">
        <v>1383</v>
      </c>
      <c r="F343" t="s">
        <v>1212</v>
      </c>
      <c r="G343" t="b">
        <v>0</v>
      </c>
      <c r="H343" t="b">
        <v>0</v>
      </c>
      <c r="I343" t="s">
        <v>1050</v>
      </c>
      <c r="J343">
        <v>90</v>
      </c>
      <c r="K343" t="s">
        <v>2</v>
      </c>
      <c r="L343" t="s">
        <v>1169</v>
      </c>
      <c r="M343" t="s">
        <v>1168</v>
      </c>
      <c r="N343" t="s">
        <v>1213</v>
      </c>
      <c r="O343" t="s">
        <v>1213</v>
      </c>
      <c r="P343" t="s">
        <v>1214</v>
      </c>
    </row>
    <row r="344" spans="1:16" x14ac:dyDescent="0.25">
      <c r="A344" t="s">
        <v>1702</v>
      </c>
      <c r="B344" t="s">
        <v>1691</v>
      </c>
      <c r="C344" t="s">
        <v>1211</v>
      </c>
      <c r="D344" t="s">
        <v>1027</v>
      </c>
      <c r="E344">
        <v>1383</v>
      </c>
      <c r="F344" t="s">
        <v>1212</v>
      </c>
      <c r="G344" t="b">
        <v>0</v>
      </c>
      <c r="H344" t="b">
        <v>0</v>
      </c>
      <c r="I344" t="s">
        <v>1050</v>
      </c>
      <c r="J344">
        <v>90</v>
      </c>
      <c r="K344" t="s">
        <v>2</v>
      </c>
      <c r="L344" t="s">
        <v>1169</v>
      </c>
      <c r="M344" t="s">
        <v>1168</v>
      </c>
      <c r="N344" t="s">
        <v>1213</v>
      </c>
      <c r="O344" t="s">
        <v>1213</v>
      </c>
      <c r="P344" t="s">
        <v>1214</v>
      </c>
    </row>
    <row r="345" spans="1:16" x14ac:dyDescent="0.25">
      <c r="A345" t="s">
        <v>1703</v>
      </c>
      <c r="B345" t="s">
        <v>1691</v>
      </c>
      <c r="C345" t="s">
        <v>1211</v>
      </c>
      <c r="D345" t="s">
        <v>1027</v>
      </c>
      <c r="E345">
        <v>1383</v>
      </c>
      <c r="F345" t="s">
        <v>1212</v>
      </c>
      <c r="G345" t="b">
        <v>0</v>
      </c>
      <c r="H345" t="b">
        <v>0</v>
      </c>
      <c r="I345" t="s">
        <v>1050</v>
      </c>
      <c r="J345">
        <v>90</v>
      </c>
      <c r="K345" t="s">
        <v>2</v>
      </c>
      <c r="L345" t="s">
        <v>1169</v>
      </c>
      <c r="M345" t="s">
        <v>1168</v>
      </c>
      <c r="N345" t="s">
        <v>1213</v>
      </c>
      <c r="O345" t="s">
        <v>1213</v>
      </c>
      <c r="P345" t="s">
        <v>1214</v>
      </c>
    </row>
    <row r="346" spans="1:16" x14ac:dyDescent="0.25">
      <c r="A346" t="s">
        <v>1704</v>
      </c>
      <c r="B346" t="s">
        <v>1691</v>
      </c>
      <c r="C346" t="s">
        <v>1211</v>
      </c>
      <c r="D346" t="s">
        <v>1027</v>
      </c>
      <c r="E346">
        <v>1383</v>
      </c>
      <c r="F346" t="s">
        <v>1212</v>
      </c>
      <c r="G346" t="b">
        <v>0</v>
      </c>
      <c r="H346" t="b">
        <v>0</v>
      </c>
      <c r="I346" t="s">
        <v>1050</v>
      </c>
      <c r="J346">
        <v>90</v>
      </c>
      <c r="K346" t="s">
        <v>2</v>
      </c>
      <c r="L346" t="s">
        <v>1169</v>
      </c>
      <c r="M346" t="s">
        <v>1168</v>
      </c>
      <c r="N346" t="s">
        <v>1213</v>
      </c>
      <c r="O346" t="s">
        <v>1213</v>
      </c>
      <c r="P346" t="s">
        <v>1214</v>
      </c>
    </row>
    <row r="347" spans="1:16" x14ac:dyDescent="0.25">
      <c r="A347" t="s">
        <v>1705</v>
      </c>
      <c r="B347" t="s">
        <v>1691</v>
      </c>
      <c r="C347" t="s">
        <v>1211</v>
      </c>
      <c r="D347" t="s">
        <v>1027</v>
      </c>
      <c r="E347">
        <v>1383</v>
      </c>
      <c r="F347" t="s">
        <v>1212</v>
      </c>
      <c r="G347" t="b">
        <v>0</v>
      </c>
      <c r="H347" t="b">
        <v>0</v>
      </c>
      <c r="I347" t="s">
        <v>1050</v>
      </c>
      <c r="J347">
        <v>90</v>
      </c>
      <c r="K347" t="s">
        <v>2</v>
      </c>
      <c r="L347" t="s">
        <v>1169</v>
      </c>
      <c r="M347" t="s">
        <v>1168</v>
      </c>
      <c r="N347" t="s">
        <v>1213</v>
      </c>
      <c r="O347" t="s">
        <v>1213</v>
      </c>
      <c r="P347" t="s">
        <v>1214</v>
      </c>
    </row>
    <row r="348" spans="1:16" x14ac:dyDescent="0.25">
      <c r="A348" t="s">
        <v>1706</v>
      </c>
      <c r="B348" t="s">
        <v>1691</v>
      </c>
      <c r="C348" t="s">
        <v>1211</v>
      </c>
      <c r="D348" t="s">
        <v>1027</v>
      </c>
      <c r="E348">
        <v>1383</v>
      </c>
      <c r="F348" t="s">
        <v>1212</v>
      </c>
      <c r="G348" t="b">
        <v>0</v>
      </c>
      <c r="H348" t="b">
        <v>0</v>
      </c>
      <c r="I348" t="s">
        <v>1050</v>
      </c>
      <c r="J348">
        <v>90</v>
      </c>
      <c r="K348" t="s">
        <v>2</v>
      </c>
      <c r="L348" t="s">
        <v>1169</v>
      </c>
      <c r="M348" t="s">
        <v>1168</v>
      </c>
      <c r="N348" t="s">
        <v>1213</v>
      </c>
      <c r="O348" t="s">
        <v>1213</v>
      </c>
      <c r="P348" t="s">
        <v>1214</v>
      </c>
    </row>
    <row r="349" spans="1:16" x14ac:dyDescent="0.25">
      <c r="A349" t="s">
        <v>1707</v>
      </c>
      <c r="B349" t="s">
        <v>1691</v>
      </c>
      <c r="C349" t="s">
        <v>1211</v>
      </c>
      <c r="D349" t="s">
        <v>1027</v>
      </c>
      <c r="E349">
        <v>1383</v>
      </c>
      <c r="F349" t="s">
        <v>1212</v>
      </c>
      <c r="G349" t="b">
        <v>0</v>
      </c>
      <c r="H349" t="b">
        <v>0</v>
      </c>
      <c r="I349" t="s">
        <v>1050</v>
      </c>
      <c r="J349">
        <v>90</v>
      </c>
      <c r="K349" t="s">
        <v>2</v>
      </c>
      <c r="L349" t="s">
        <v>1169</v>
      </c>
      <c r="M349" t="s">
        <v>1168</v>
      </c>
      <c r="N349" t="s">
        <v>1213</v>
      </c>
      <c r="O349" t="s">
        <v>1213</v>
      </c>
      <c r="P349" t="s">
        <v>1214</v>
      </c>
    </row>
    <row r="350" spans="1:16" x14ac:dyDescent="0.25">
      <c r="A350" t="s">
        <v>1708</v>
      </c>
      <c r="B350" t="s">
        <v>1691</v>
      </c>
      <c r="C350" t="s">
        <v>1211</v>
      </c>
      <c r="D350" t="s">
        <v>1027</v>
      </c>
      <c r="E350">
        <v>1383</v>
      </c>
      <c r="F350" t="s">
        <v>1212</v>
      </c>
      <c r="G350" t="b">
        <v>0</v>
      </c>
      <c r="H350" t="b">
        <v>0</v>
      </c>
      <c r="I350" t="s">
        <v>1050</v>
      </c>
      <c r="J350">
        <v>90</v>
      </c>
      <c r="K350" t="s">
        <v>2</v>
      </c>
      <c r="L350" t="s">
        <v>1169</v>
      </c>
      <c r="M350" t="s">
        <v>1168</v>
      </c>
      <c r="N350" t="s">
        <v>1213</v>
      </c>
      <c r="O350" t="s">
        <v>1213</v>
      </c>
      <c r="P350" t="s">
        <v>1214</v>
      </c>
    </row>
    <row r="351" spans="1:16" x14ac:dyDescent="0.25">
      <c r="A351" t="s">
        <v>1709</v>
      </c>
      <c r="B351" t="s">
        <v>1691</v>
      </c>
      <c r="C351" t="s">
        <v>1211</v>
      </c>
      <c r="D351" t="s">
        <v>1027</v>
      </c>
      <c r="E351">
        <v>1383</v>
      </c>
      <c r="F351" t="s">
        <v>1212</v>
      </c>
      <c r="G351" t="b">
        <v>0</v>
      </c>
      <c r="H351" t="b">
        <v>0</v>
      </c>
      <c r="I351" t="s">
        <v>1050</v>
      </c>
      <c r="J351">
        <v>90</v>
      </c>
      <c r="K351" t="s">
        <v>2</v>
      </c>
      <c r="L351" t="s">
        <v>1169</v>
      </c>
      <c r="M351" t="s">
        <v>1168</v>
      </c>
      <c r="N351" t="s">
        <v>1213</v>
      </c>
      <c r="O351" t="s">
        <v>1213</v>
      </c>
      <c r="P351" t="s">
        <v>1214</v>
      </c>
    </row>
    <row r="352" spans="1:16" x14ac:dyDescent="0.25">
      <c r="A352" t="s">
        <v>1710</v>
      </c>
      <c r="B352" t="s">
        <v>1691</v>
      </c>
      <c r="C352" t="s">
        <v>1211</v>
      </c>
      <c r="D352" t="s">
        <v>1027</v>
      </c>
      <c r="E352">
        <v>1383</v>
      </c>
      <c r="F352" t="s">
        <v>1212</v>
      </c>
      <c r="G352" t="b">
        <v>0</v>
      </c>
      <c r="H352" t="b">
        <v>0</v>
      </c>
      <c r="I352" t="s">
        <v>1050</v>
      </c>
      <c r="J352">
        <v>90</v>
      </c>
      <c r="K352" t="s">
        <v>2</v>
      </c>
      <c r="L352" t="s">
        <v>1169</v>
      </c>
      <c r="M352" t="s">
        <v>1168</v>
      </c>
      <c r="N352" t="s">
        <v>1213</v>
      </c>
      <c r="O352" t="s">
        <v>1213</v>
      </c>
      <c r="P352" t="s">
        <v>1214</v>
      </c>
    </row>
    <row r="353" spans="1:16" x14ac:dyDescent="0.25">
      <c r="A353" t="s">
        <v>1711</v>
      </c>
      <c r="B353" t="s">
        <v>1691</v>
      </c>
      <c r="C353" t="s">
        <v>1211</v>
      </c>
      <c r="D353" t="s">
        <v>1027</v>
      </c>
      <c r="E353">
        <v>1383</v>
      </c>
      <c r="F353" t="s">
        <v>1212</v>
      </c>
      <c r="G353" t="b">
        <v>0</v>
      </c>
      <c r="H353" t="b">
        <v>0</v>
      </c>
      <c r="I353" t="s">
        <v>1050</v>
      </c>
      <c r="J353">
        <v>90</v>
      </c>
      <c r="K353" t="s">
        <v>2</v>
      </c>
      <c r="L353" t="s">
        <v>1169</v>
      </c>
      <c r="M353" t="s">
        <v>1168</v>
      </c>
      <c r="N353" t="s">
        <v>1213</v>
      </c>
      <c r="O353" t="s">
        <v>1213</v>
      </c>
      <c r="P353" t="s">
        <v>1214</v>
      </c>
    </row>
    <row r="354" spans="1:16" x14ac:dyDescent="0.25">
      <c r="A354" t="s">
        <v>1712</v>
      </c>
      <c r="B354" t="s">
        <v>1713</v>
      </c>
      <c r="C354" t="s">
        <v>1211</v>
      </c>
      <c r="D354" t="s">
        <v>1027</v>
      </c>
      <c r="E354">
        <v>1383</v>
      </c>
      <c r="F354" t="s">
        <v>1212</v>
      </c>
      <c r="G354" t="b">
        <v>0</v>
      </c>
      <c r="H354" t="b">
        <v>0</v>
      </c>
      <c r="I354" t="s">
        <v>1050</v>
      </c>
      <c r="J354">
        <v>90</v>
      </c>
      <c r="K354" t="s">
        <v>2</v>
      </c>
      <c r="L354" t="s">
        <v>1169</v>
      </c>
      <c r="M354" t="s">
        <v>1168</v>
      </c>
      <c r="N354" t="s">
        <v>1213</v>
      </c>
      <c r="O354" t="s">
        <v>1213</v>
      </c>
      <c r="P354" t="s">
        <v>1214</v>
      </c>
    </row>
    <row r="355" spans="1:16" x14ac:dyDescent="0.25">
      <c r="A355" t="s">
        <v>1714</v>
      </c>
      <c r="B355" t="s">
        <v>1715</v>
      </c>
      <c r="C355" t="s">
        <v>1211</v>
      </c>
      <c r="D355" t="s">
        <v>1027</v>
      </c>
      <c r="E355">
        <v>1383</v>
      </c>
      <c r="F355" t="s">
        <v>1212</v>
      </c>
      <c r="G355" t="b">
        <v>0</v>
      </c>
      <c r="H355" t="b">
        <v>0</v>
      </c>
      <c r="I355" t="s">
        <v>1050</v>
      </c>
      <c r="J355">
        <v>90</v>
      </c>
      <c r="K355" t="s">
        <v>2</v>
      </c>
      <c r="L355" t="s">
        <v>1169</v>
      </c>
      <c r="M355" t="s">
        <v>1168</v>
      </c>
      <c r="N355" t="s">
        <v>1213</v>
      </c>
      <c r="O355" t="s">
        <v>1213</v>
      </c>
      <c r="P355" t="s">
        <v>1214</v>
      </c>
    </row>
    <row r="356" spans="1:16" x14ac:dyDescent="0.25">
      <c r="A356" t="s">
        <v>1716</v>
      </c>
      <c r="B356" t="s">
        <v>1715</v>
      </c>
      <c r="C356" t="s">
        <v>1211</v>
      </c>
      <c r="D356" t="s">
        <v>1027</v>
      </c>
      <c r="E356">
        <v>1383</v>
      </c>
      <c r="F356" t="s">
        <v>1212</v>
      </c>
      <c r="G356" t="b">
        <v>0</v>
      </c>
      <c r="H356" t="b">
        <v>0</v>
      </c>
      <c r="I356" t="s">
        <v>1050</v>
      </c>
      <c r="J356">
        <v>90</v>
      </c>
      <c r="K356" t="s">
        <v>2</v>
      </c>
      <c r="L356" t="s">
        <v>1169</v>
      </c>
      <c r="M356" t="s">
        <v>1168</v>
      </c>
      <c r="N356" t="s">
        <v>1213</v>
      </c>
      <c r="O356" t="s">
        <v>1213</v>
      </c>
      <c r="P356" t="s">
        <v>1214</v>
      </c>
    </row>
    <row r="357" spans="1:16" x14ac:dyDescent="0.25">
      <c r="A357" t="s">
        <v>1717</v>
      </c>
      <c r="B357" t="s">
        <v>1715</v>
      </c>
      <c r="C357" t="s">
        <v>1211</v>
      </c>
      <c r="D357" t="s">
        <v>1027</v>
      </c>
      <c r="E357">
        <v>1383</v>
      </c>
      <c r="F357" t="s">
        <v>1212</v>
      </c>
      <c r="G357" t="b">
        <v>0</v>
      </c>
      <c r="H357" t="b">
        <v>0</v>
      </c>
      <c r="I357" t="s">
        <v>1050</v>
      </c>
      <c r="J357">
        <v>90</v>
      </c>
      <c r="K357" t="s">
        <v>2</v>
      </c>
      <c r="L357" t="s">
        <v>1169</v>
      </c>
      <c r="M357" t="s">
        <v>1168</v>
      </c>
      <c r="N357" t="s">
        <v>1213</v>
      </c>
      <c r="O357" t="s">
        <v>1213</v>
      </c>
      <c r="P357" t="s">
        <v>1214</v>
      </c>
    </row>
    <row r="358" spans="1:16" x14ac:dyDescent="0.25">
      <c r="A358" t="s">
        <v>1718</v>
      </c>
      <c r="B358" t="s">
        <v>1715</v>
      </c>
      <c r="C358" t="s">
        <v>1211</v>
      </c>
      <c r="D358" t="s">
        <v>1027</v>
      </c>
      <c r="E358">
        <v>1383</v>
      </c>
      <c r="F358" t="s">
        <v>1212</v>
      </c>
      <c r="G358" t="b">
        <v>0</v>
      </c>
      <c r="H358" t="b">
        <v>0</v>
      </c>
      <c r="I358" t="s">
        <v>1050</v>
      </c>
      <c r="J358">
        <v>90</v>
      </c>
      <c r="K358" t="s">
        <v>2</v>
      </c>
      <c r="L358" t="s">
        <v>1169</v>
      </c>
      <c r="M358" t="s">
        <v>1168</v>
      </c>
      <c r="N358" t="s">
        <v>1213</v>
      </c>
      <c r="O358" t="s">
        <v>1213</v>
      </c>
      <c r="P358" t="s">
        <v>1214</v>
      </c>
    </row>
    <row r="359" spans="1:16" x14ac:dyDescent="0.25">
      <c r="A359" t="s">
        <v>1719</v>
      </c>
      <c r="B359" t="s">
        <v>1715</v>
      </c>
      <c r="C359" t="s">
        <v>1211</v>
      </c>
      <c r="D359" t="s">
        <v>1027</v>
      </c>
      <c r="E359">
        <v>1383</v>
      </c>
      <c r="F359" t="s">
        <v>1212</v>
      </c>
      <c r="G359" t="b">
        <v>0</v>
      </c>
      <c r="H359" t="b">
        <v>0</v>
      </c>
      <c r="I359" t="s">
        <v>1050</v>
      </c>
      <c r="J359">
        <v>90</v>
      </c>
      <c r="K359" t="s">
        <v>2</v>
      </c>
      <c r="L359" t="s">
        <v>1169</v>
      </c>
      <c r="M359" t="s">
        <v>1168</v>
      </c>
      <c r="N359" t="s">
        <v>1213</v>
      </c>
      <c r="O359" t="s">
        <v>1213</v>
      </c>
      <c r="P359" t="s">
        <v>1214</v>
      </c>
    </row>
    <row r="360" spans="1:16" x14ac:dyDescent="0.25">
      <c r="A360" t="s">
        <v>1720</v>
      </c>
      <c r="B360" t="s">
        <v>1715</v>
      </c>
      <c r="C360" t="s">
        <v>1211</v>
      </c>
      <c r="D360" t="s">
        <v>1027</v>
      </c>
      <c r="E360">
        <v>1383</v>
      </c>
      <c r="F360" t="s">
        <v>1212</v>
      </c>
      <c r="G360" t="b">
        <v>0</v>
      </c>
      <c r="H360" t="b">
        <v>0</v>
      </c>
      <c r="I360" t="s">
        <v>1050</v>
      </c>
      <c r="J360">
        <v>90</v>
      </c>
      <c r="K360" t="s">
        <v>2</v>
      </c>
      <c r="L360" t="s">
        <v>1169</v>
      </c>
      <c r="M360" t="s">
        <v>1168</v>
      </c>
      <c r="N360" t="s">
        <v>1213</v>
      </c>
      <c r="O360" t="s">
        <v>1213</v>
      </c>
      <c r="P360" t="s">
        <v>1214</v>
      </c>
    </row>
    <row r="361" spans="1:16" x14ac:dyDescent="0.25">
      <c r="A361" t="s">
        <v>1721</v>
      </c>
      <c r="B361" t="s">
        <v>1715</v>
      </c>
      <c r="C361" t="s">
        <v>1211</v>
      </c>
      <c r="D361" t="s">
        <v>1027</v>
      </c>
      <c r="E361">
        <v>1383</v>
      </c>
      <c r="F361" t="s">
        <v>1212</v>
      </c>
      <c r="G361" t="b">
        <v>0</v>
      </c>
      <c r="H361" t="b">
        <v>0</v>
      </c>
      <c r="I361" t="s">
        <v>1050</v>
      </c>
      <c r="J361">
        <v>90</v>
      </c>
      <c r="K361" t="s">
        <v>2</v>
      </c>
      <c r="L361" t="s">
        <v>1169</v>
      </c>
      <c r="M361" t="s">
        <v>1168</v>
      </c>
      <c r="N361" t="s">
        <v>1213</v>
      </c>
      <c r="O361" t="s">
        <v>1213</v>
      </c>
      <c r="P361" t="s">
        <v>1214</v>
      </c>
    </row>
    <row r="362" spans="1:16" x14ac:dyDescent="0.25">
      <c r="A362" t="s">
        <v>1722</v>
      </c>
      <c r="B362" t="s">
        <v>1715</v>
      </c>
      <c r="C362" t="s">
        <v>1211</v>
      </c>
      <c r="D362" t="s">
        <v>1027</v>
      </c>
      <c r="E362">
        <v>1383</v>
      </c>
      <c r="F362" t="s">
        <v>1212</v>
      </c>
      <c r="G362" t="b">
        <v>0</v>
      </c>
      <c r="H362" t="b">
        <v>0</v>
      </c>
      <c r="I362" t="s">
        <v>1050</v>
      </c>
      <c r="J362">
        <v>90</v>
      </c>
      <c r="K362" t="s">
        <v>2</v>
      </c>
      <c r="L362" t="s">
        <v>1169</v>
      </c>
      <c r="M362" t="s">
        <v>1168</v>
      </c>
      <c r="N362" t="s">
        <v>1213</v>
      </c>
      <c r="O362" t="s">
        <v>1213</v>
      </c>
      <c r="P362" t="s">
        <v>1214</v>
      </c>
    </row>
    <row r="363" spans="1:16" x14ac:dyDescent="0.25">
      <c r="A363" t="s">
        <v>1723</v>
      </c>
      <c r="B363" t="s">
        <v>1715</v>
      </c>
      <c r="C363" t="s">
        <v>1211</v>
      </c>
      <c r="D363" t="s">
        <v>1027</v>
      </c>
      <c r="E363">
        <v>1383</v>
      </c>
      <c r="F363" t="s">
        <v>1212</v>
      </c>
      <c r="G363" t="b">
        <v>0</v>
      </c>
      <c r="H363" t="b">
        <v>0</v>
      </c>
      <c r="I363" t="s">
        <v>1050</v>
      </c>
      <c r="J363">
        <v>90</v>
      </c>
      <c r="K363" t="s">
        <v>2</v>
      </c>
      <c r="L363" t="s">
        <v>1169</v>
      </c>
      <c r="M363" t="s">
        <v>1168</v>
      </c>
      <c r="N363" t="s">
        <v>1213</v>
      </c>
      <c r="O363" t="s">
        <v>1213</v>
      </c>
      <c r="P363" t="s">
        <v>1214</v>
      </c>
    </row>
    <row r="364" spans="1:16" x14ac:dyDescent="0.25">
      <c r="A364" t="s">
        <v>1724</v>
      </c>
      <c r="B364" t="s">
        <v>1715</v>
      </c>
      <c r="C364" t="s">
        <v>1211</v>
      </c>
      <c r="D364" t="s">
        <v>1027</v>
      </c>
      <c r="E364">
        <v>1383</v>
      </c>
      <c r="F364" t="s">
        <v>1212</v>
      </c>
      <c r="G364" t="b">
        <v>0</v>
      </c>
      <c r="H364" t="b">
        <v>0</v>
      </c>
      <c r="I364" t="s">
        <v>1050</v>
      </c>
      <c r="J364">
        <v>90</v>
      </c>
      <c r="K364" t="s">
        <v>2</v>
      </c>
      <c r="L364" t="s">
        <v>1169</v>
      </c>
      <c r="M364" t="s">
        <v>1168</v>
      </c>
      <c r="N364" t="s">
        <v>1213</v>
      </c>
      <c r="O364" t="s">
        <v>1213</v>
      </c>
      <c r="P364" t="s">
        <v>1214</v>
      </c>
    </row>
    <row r="365" spans="1:16" x14ac:dyDescent="0.25">
      <c r="A365" t="s">
        <v>1725</v>
      </c>
      <c r="B365" t="s">
        <v>1715</v>
      </c>
      <c r="C365" t="s">
        <v>1211</v>
      </c>
      <c r="D365" t="s">
        <v>1027</v>
      </c>
      <c r="E365">
        <v>1383</v>
      </c>
      <c r="F365" t="s">
        <v>1212</v>
      </c>
      <c r="G365" t="b">
        <v>0</v>
      </c>
      <c r="H365" t="b">
        <v>0</v>
      </c>
      <c r="I365" t="s">
        <v>1050</v>
      </c>
      <c r="J365">
        <v>90</v>
      </c>
      <c r="K365" t="s">
        <v>2</v>
      </c>
      <c r="L365" t="s">
        <v>1169</v>
      </c>
      <c r="M365" t="s">
        <v>1168</v>
      </c>
      <c r="N365" t="s">
        <v>1213</v>
      </c>
      <c r="O365" t="s">
        <v>1213</v>
      </c>
      <c r="P365" t="s">
        <v>1214</v>
      </c>
    </row>
    <row r="366" spans="1:16" x14ac:dyDescent="0.25">
      <c r="A366" t="s">
        <v>1726</v>
      </c>
      <c r="B366" t="s">
        <v>1727</v>
      </c>
      <c r="C366" t="s">
        <v>1571</v>
      </c>
      <c r="D366" t="s">
        <v>1027</v>
      </c>
      <c r="E366">
        <v>63767</v>
      </c>
      <c r="G366" t="b">
        <v>0</v>
      </c>
      <c r="H366" t="b">
        <v>0</v>
      </c>
      <c r="I366" t="s">
        <v>1050</v>
      </c>
      <c r="J366">
        <v>80</v>
      </c>
      <c r="K366" t="s">
        <v>0</v>
      </c>
      <c r="L366" t="s">
        <v>1167</v>
      </c>
      <c r="M366" t="s">
        <v>1168</v>
      </c>
      <c r="N366" t="s">
        <v>1169</v>
      </c>
      <c r="O366" t="s">
        <v>1168</v>
      </c>
      <c r="P366" t="s">
        <v>1283</v>
      </c>
    </row>
    <row r="367" spans="1:16" x14ac:dyDescent="0.25">
      <c r="A367" t="s">
        <v>1728</v>
      </c>
      <c r="B367" t="s">
        <v>1729</v>
      </c>
      <c r="C367" t="s">
        <v>1233</v>
      </c>
      <c r="D367" t="s">
        <v>1027</v>
      </c>
      <c r="E367">
        <v>63762</v>
      </c>
      <c r="F367" t="s">
        <v>1234</v>
      </c>
      <c r="G367" t="b">
        <v>0</v>
      </c>
      <c r="H367" t="b">
        <v>0</v>
      </c>
      <c r="I367" t="s">
        <v>1050</v>
      </c>
      <c r="J367">
        <v>80</v>
      </c>
      <c r="K367" t="s">
        <v>0</v>
      </c>
      <c r="L367" t="s">
        <v>1167</v>
      </c>
      <c r="M367" t="s">
        <v>1168</v>
      </c>
      <c r="N367" t="s">
        <v>1169</v>
      </c>
      <c r="O367" t="s">
        <v>1168</v>
      </c>
      <c r="P367" t="s">
        <v>1235</v>
      </c>
    </row>
    <row r="368" spans="1:16" x14ac:dyDescent="0.25">
      <c r="A368" t="s">
        <v>1730</v>
      </c>
      <c r="B368" t="s">
        <v>1731</v>
      </c>
      <c r="C368" t="s">
        <v>1233</v>
      </c>
      <c r="D368" t="s">
        <v>1027</v>
      </c>
      <c r="E368">
        <v>63762</v>
      </c>
      <c r="F368" t="s">
        <v>1234</v>
      </c>
      <c r="G368" t="b">
        <v>0</v>
      </c>
      <c r="H368" t="b">
        <v>0</v>
      </c>
      <c r="I368" t="s">
        <v>1050</v>
      </c>
      <c r="J368">
        <v>80</v>
      </c>
      <c r="K368" t="s">
        <v>0</v>
      </c>
      <c r="L368" t="s">
        <v>1167</v>
      </c>
      <c r="M368" t="s">
        <v>1168</v>
      </c>
      <c r="N368" t="s">
        <v>1169</v>
      </c>
      <c r="O368" t="s">
        <v>1168</v>
      </c>
      <c r="P368" t="s">
        <v>1235</v>
      </c>
    </row>
    <row r="369" spans="1:16" x14ac:dyDescent="0.25">
      <c r="A369" t="s">
        <v>1732</v>
      </c>
      <c r="B369" t="s">
        <v>1733</v>
      </c>
      <c r="C369" t="s">
        <v>1233</v>
      </c>
      <c r="D369" t="s">
        <v>1027</v>
      </c>
      <c r="E369">
        <v>63762</v>
      </c>
      <c r="F369" t="s">
        <v>1234</v>
      </c>
      <c r="G369" t="b">
        <v>0</v>
      </c>
      <c r="H369" t="b">
        <v>0</v>
      </c>
      <c r="I369" t="s">
        <v>1050</v>
      </c>
      <c r="J369">
        <v>80</v>
      </c>
      <c r="K369" t="s">
        <v>0</v>
      </c>
      <c r="L369" t="s">
        <v>1167</v>
      </c>
      <c r="M369" t="s">
        <v>1168</v>
      </c>
      <c r="N369" t="s">
        <v>1169</v>
      </c>
      <c r="O369" t="s">
        <v>1168</v>
      </c>
      <c r="P369" t="s">
        <v>1235</v>
      </c>
    </row>
    <row r="370" spans="1:16" x14ac:dyDescent="0.25">
      <c r="A370" t="s">
        <v>1734</v>
      </c>
      <c r="B370" t="s">
        <v>1735</v>
      </c>
      <c r="C370" t="s">
        <v>1217</v>
      </c>
      <c r="D370" t="s">
        <v>1027</v>
      </c>
      <c r="E370">
        <v>1450</v>
      </c>
      <c r="F370" t="s">
        <v>1218</v>
      </c>
      <c r="G370" t="b">
        <v>0</v>
      </c>
      <c r="H370" t="b">
        <v>0</v>
      </c>
      <c r="I370" t="s">
        <v>1050</v>
      </c>
      <c r="J370">
        <v>91</v>
      </c>
      <c r="K370" t="s">
        <v>0</v>
      </c>
      <c r="L370" t="s">
        <v>1167</v>
      </c>
      <c r="M370" t="s">
        <v>1168</v>
      </c>
      <c r="N370" t="s">
        <v>1169</v>
      </c>
      <c r="O370" t="s">
        <v>1168</v>
      </c>
      <c r="P370" t="s">
        <v>1219</v>
      </c>
    </row>
    <row r="371" spans="1:16" x14ac:dyDescent="0.25">
      <c r="A371" t="s">
        <v>1736</v>
      </c>
      <c r="B371" t="s">
        <v>1735</v>
      </c>
      <c r="C371" t="s">
        <v>1217</v>
      </c>
      <c r="D371" t="s">
        <v>1027</v>
      </c>
      <c r="E371">
        <v>1450</v>
      </c>
      <c r="F371" t="s">
        <v>1218</v>
      </c>
      <c r="G371" t="b">
        <v>0</v>
      </c>
      <c r="H371" t="b">
        <v>0</v>
      </c>
      <c r="I371" t="s">
        <v>1050</v>
      </c>
      <c r="J371">
        <v>91</v>
      </c>
      <c r="K371" t="s">
        <v>0</v>
      </c>
      <c r="L371" t="s">
        <v>1167</v>
      </c>
      <c r="M371" t="s">
        <v>1168</v>
      </c>
      <c r="N371" t="s">
        <v>1169</v>
      </c>
      <c r="O371" t="s">
        <v>1168</v>
      </c>
      <c r="P371" t="s">
        <v>1219</v>
      </c>
    </row>
    <row r="372" spans="1:16" x14ac:dyDescent="0.25">
      <c r="A372" t="s">
        <v>1737</v>
      </c>
      <c r="B372" t="s">
        <v>1738</v>
      </c>
      <c r="C372" t="s">
        <v>1217</v>
      </c>
      <c r="D372" t="s">
        <v>1027</v>
      </c>
      <c r="E372">
        <v>1450</v>
      </c>
      <c r="F372" t="s">
        <v>1218</v>
      </c>
      <c r="G372" t="b">
        <v>0</v>
      </c>
      <c r="H372" t="b">
        <v>0</v>
      </c>
      <c r="I372" t="s">
        <v>1050</v>
      </c>
      <c r="J372">
        <v>91</v>
      </c>
      <c r="K372" t="s">
        <v>0</v>
      </c>
      <c r="L372" t="s">
        <v>1167</v>
      </c>
      <c r="M372" t="s">
        <v>1168</v>
      </c>
      <c r="N372" t="s">
        <v>1169</v>
      </c>
      <c r="O372" t="s">
        <v>1168</v>
      </c>
      <c r="P372" t="s">
        <v>1219</v>
      </c>
    </row>
    <row r="373" spans="1:16" x14ac:dyDescent="0.25">
      <c r="A373" t="s">
        <v>1739</v>
      </c>
      <c r="B373" t="s">
        <v>1738</v>
      </c>
      <c r="C373" t="s">
        <v>1217</v>
      </c>
      <c r="D373" t="s">
        <v>1027</v>
      </c>
      <c r="E373">
        <v>1450</v>
      </c>
      <c r="F373" t="s">
        <v>1218</v>
      </c>
      <c r="G373" t="b">
        <v>0</v>
      </c>
      <c r="H373" t="b">
        <v>0</v>
      </c>
      <c r="I373" t="s">
        <v>1050</v>
      </c>
      <c r="J373">
        <v>91</v>
      </c>
      <c r="K373" t="s">
        <v>0</v>
      </c>
      <c r="L373" t="s">
        <v>1167</v>
      </c>
      <c r="M373" t="s">
        <v>1168</v>
      </c>
      <c r="N373" t="s">
        <v>1169</v>
      </c>
      <c r="O373" t="s">
        <v>1168</v>
      </c>
      <c r="P373" t="s">
        <v>1219</v>
      </c>
    </row>
    <row r="374" spans="1:16" x14ac:dyDescent="0.25">
      <c r="A374" t="s">
        <v>1740</v>
      </c>
      <c r="B374" t="s">
        <v>1741</v>
      </c>
      <c r="C374" t="s">
        <v>1217</v>
      </c>
      <c r="D374" t="s">
        <v>1027</v>
      </c>
      <c r="E374">
        <v>1450</v>
      </c>
      <c r="F374" t="s">
        <v>1218</v>
      </c>
      <c r="G374" t="b">
        <v>0</v>
      </c>
      <c r="H374" t="b">
        <v>0</v>
      </c>
      <c r="I374" t="s">
        <v>1050</v>
      </c>
      <c r="J374">
        <v>91</v>
      </c>
      <c r="K374" t="s">
        <v>0</v>
      </c>
      <c r="L374" t="s">
        <v>1167</v>
      </c>
      <c r="M374" t="s">
        <v>1168</v>
      </c>
      <c r="N374" t="s">
        <v>1169</v>
      </c>
      <c r="O374" t="s">
        <v>1168</v>
      </c>
      <c r="P374" t="s">
        <v>1219</v>
      </c>
    </row>
    <row r="375" spans="1:16" x14ac:dyDescent="0.25">
      <c r="A375" t="s">
        <v>1742</v>
      </c>
      <c r="B375" t="s">
        <v>1741</v>
      </c>
      <c r="C375" t="s">
        <v>1217</v>
      </c>
      <c r="D375" t="s">
        <v>1027</v>
      </c>
      <c r="E375">
        <v>1450</v>
      </c>
      <c r="F375" t="s">
        <v>1218</v>
      </c>
      <c r="G375" t="b">
        <v>0</v>
      </c>
      <c r="H375" t="b">
        <v>0</v>
      </c>
      <c r="I375" t="s">
        <v>1050</v>
      </c>
      <c r="J375">
        <v>91</v>
      </c>
      <c r="K375" t="s">
        <v>0</v>
      </c>
      <c r="L375" t="s">
        <v>1167</v>
      </c>
      <c r="M375" t="s">
        <v>1168</v>
      </c>
      <c r="N375" t="s">
        <v>1169</v>
      </c>
      <c r="O375" t="s">
        <v>1168</v>
      </c>
      <c r="P375" t="s">
        <v>1219</v>
      </c>
    </row>
    <row r="376" spans="1:16" x14ac:dyDescent="0.25">
      <c r="A376" t="s">
        <v>1743</v>
      </c>
      <c r="B376" t="s">
        <v>1744</v>
      </c>
      <c r="C376" t="s">
        <v>1217</v>
      </c>
      <c r="D376" t="s">
        <v>1027</v>
      </c>
      <c r="E376">
        <v>1450</v>
      </c>
      <c r="F376" t="s">
        <v>1218</v>
      </c>
      <c r="G376" t="b">
        <v>0</v>
      </c>
      <c r="H376" t="b">
        <v>0</v>
      </c>
      <c r="I376" t="s">
        <v>1050</v>
      </c>
      <c r="J376">
        <v>91</v>
      </c>
      <c r="K376" t="s">
        <v>0</v>
      </c>
      <c r="L376" t="s">
        <v>1167</v>
      </c>
      <c r="M376" t="s">
        <v>1168</v>
      </c>
      <c r="N376" t="s">
        <v>1169</v>
      </c>
      <c r="O376" t="s">
        <v>1168</v>
      </c>
      <c r="P376" t="s">
        <v>1219</v>
      </c>
    </row>
    <row r="377" spans="1:16" x14ac:dyDescent="0.25">
      <c r="A377" t="s">
        <v>1745</v>
      </c>
      <c r="B377" t="s">
        <v>1744</v>
      </c>
      <c r="C377" t="s">
        <v>1217</v>
      </c>
      <c r="D377" t="s">
        <v>1027</v>
      </c>
      <c r="E377">
        <v>1450</v>
      </c>
      <c r="F377" t="s">
        <v>1218</v>
      </c>
      <c r="G377" t="b">
        <v>0</v>
      </c>
      <c r="H377" t="b">
        <v>0</v>
      </c>
      <c r="I377" t="s">
        <v>1050</v>
      </c>
      <c r="J377">
        <v>91</v>
      </c>
      <c r="K377" t="s">
        <v>0</v>
      </c>
      <c r="L377" t="s">
        <v>1167</v>
      </c>
      <c r="M377" t="s">
        <v>1168</v>
      </c>
      <c r="N377" t="s">
        <v>1169</v>
      </c>
      <c r="O377" t="s">
        <v>1168</v>
      </c>
      <c r="P377" t="s">
        <v>1219</v>
      </c>
    </row>
    <row r="378" spans="1:16" x14ac:dyDescent="0.25">
      <c r="A378" t="s">
        <v>1746</v>
      </c>
      <c r="B378" t="s">
        <v>1747</v>
      </c>
      <c r="C378" t="s">
        <v>1482</v>
      </c>
      <c r="D378" t="s">
        <v>1027</v>
      </c>
      <c r="E378">
        <v>1664</v>
      </c>
      <c r="F378" t="s">
        <v>1483</v>
      </c>
      <c r="G378" t="b">
        <v>0</v>
      </c>
      <c r="H378" t="b">
        <v>0</v>
      </c>
      <c r="I378" t="s">
        <v>1050</v>
      </c>
      <c r="J378">
        <v>80</v>
      </c>
      <c r="K378" t="s">
        <v>1</v>
      </c>
      <c r="L378" t="s">
        <v>1213</v>
      </c>
      <c r="M378" t="s">
        <v>1168</v>
      </c>
      <c r="N378" t="s">
        <v>1168</v>
      </c>
      <c r="O378" t="s">
        <v>1168</v>
      </c>
      <c r="P378" t="s">
        <v>1484</v>
      </c>
    </row>
    <row r="379" spans="1:16" x14ac:dyDescent="0.25">
      <c r="A379" t="s">
        <v>1748</v>
      </c>
      <c r="B379" t="s">
        <v>1749</v>
      </c>
      <c r="C379" t="s">
        <v>1750</v>
      </c>
      <c r="D379" t="s">
        <v>1027</v>
      </c>
      <c r="E379">
        <v>1494</v>
      </c>
      <c r="F379" t="s">
        <v>1751</v>
      </c>
      <c r="G379" t="b">
        <v>0</v>
      </c>
      <c r="H379" t="b">
        <v>0</v>
      </c>
      <c r="I379" t="s">
        <v>1050</v>
      </c>
      <c r="J379">
        <v>89</v>
      </c>
      <c r="K379" t="s">
        <v>1</v>
      </c>
      <c r="L379" t="s">
        <v>1547</v>
      </c>
      <c r="M379" t="s">
        <v>1548</v>
      </c>
      <c r="N379" t="s">
        <v>1548</v>
      </c>
      <c r="O379" t="s">
        <v>1548</v>
      </c>
      <c r="P379" t="s">
        <v>1752</v>
      </c>
    </row>
    <row r="380" spans="1:16" x14ac:dyDescent="0.25">
      <c r="A380" t="s">
        <v>1753</v>
      </c>
      <c r="B380" t="s">
        <v>1749</v>
      </c>
      <c r="C380" t="s">
        <v>1750</v>
      </c>
      <c r="D380" t="s">
        <v>1027</v>
      </c>
      <c r="E380">
        <v>1494</v>
      </c>
      <c r="F380" t="s">
        <v>1751</v>
      </c>
      <c r="G380" t="b">
        <v>0</v>
      </c>
      <c r="H380" t="b">
        <v>0</v>
      </c>
      <c r="I380" t="s">
        <v>1050</v>
      </c>
      <c r="J380">
        <v>89</v>
      </c>
      <c r="K380" t="s">
        <v>1</v>
      </c>
      <c r="L380" t="s">
        <v>1547</v>
      </c>
      <c r="M380" t="s">
        <v>1548</v>
      </c>
      <c r="N380" t="s">
        <v>1548</v>
      </c>
      <c r="O380" t="s">
        <v>1548</v>
      </c>
      <c r="P380" t="s">
        <v>1752</v>
      </c>
    </row>
    <row r="381" spans="1:16" x14ac:dyDescent="0.25">
      <c r="A381" t="s">
        <v>1754</v>
      </c>
      <c r="B381" t="s">
        <v>1749</v>
      </c>
      <c r="C381" t="s">
        <v>1750</v>
      </c>
      <c r="D381" t="s">
        <v>1027</v>
      </c>
      <c r="E381">
        <v>1494</v>
      </c>
      <c r="F381" t="s">
        <v>1751</v>
      </c>
      <c r="G381" t="b">
        <v>0</v>
      </c>
      <c r="H381" t="b">
        <v>0</v>
      </c>
      <c r="I381" t="s">
        <v>1050</v>
      </c>
      <c r="J381">
        <v>89</v>
      </c>
      <c r="K381" t="s">
        <v>1</v>
      </c>
      <c r="L381" t="s">
        <v>1547</v>
      </c>
      <c r="M381" t="s">
        <v>1548</v>
      </c>
      <c r="N381" t="s">
        <v>1548</v>
      </c>
      <c r="O381" t="s">
        <v>1548</v>
      </c>
      <c r="P381" t="s">
        <v>1752</v>
      </c>
    </row>
    <row r="382" spans="1:16" x14ac:dyDescent="0.25">
      <c r="A382" t="s">
        <v>1755</v>
      </c>
      <c r="B382" t="s">
        <v>1749</v>
      </c>
      <c r="C382" t="s">
        <v>1750</v>
      </c>
      <c r="D382" t="s">
        <v>1027</v>
      </c>
      <c r="E382">
        <v>1494</v>
      </c>
      <c r="F382" t="s">
        <v>1751</v>
      </c>
      <c r="G382" t="b">
        <v>0</v>
      </c>
      <c r="H382" t="b">
        <v>0</v>
      </c>
      <c r="I382" t="s">
        <v>1050</v>
      </c>
      <c r="J382">
        <v>89</v>
      </c>
      <c r="K382" t="s">
        <v>1</v>
      </c>
      <c r="L382" t="s">
        <v>1547</v>
      </c>
      <c r="M382" t="s">
        <v>1548</v>
      </c>
      <c r="N382" t="s">
        <v>1548</v>
      </c>
      <c r="O382" t="s">
        <v>1548</v>
      </c>
      <c r="P382" t="s">
        <v>1752</v>
      </c>
    </row>
    <row r="383" spans="1:16" x14ac:dyDescent="0.25">
      <c r="A383" t="s">
        <v>1756</v>
      </c>
      <c r="B383" t="s">
        <v>1749</v>
      </c>
      <c r="C383" t="s">
        <v>1750</v>
      </c>
      <c r="D383" t="s">
        <v>1027</v>
      </c>
      <c r="E383">
        <v>1494</v>
      </c>
      <c r="F383" t="s">
        <v>1751</v>
      </c>
      <c r="G383" t="b">
        <v>0</v>
      </c>
      <c r="H383" t="b">
        <v>0</v>
      </c>
      <c r="I383" t="s">
        <v>1050</v>
      </c>
      <c r="J383">
        <v>89</v>
      </c>
      <c r="K383" t="s">
        <v>1</v>
      </c>
      <c r="L383" t="s">
        <v>1547</v>
      </c>
      <c r="M383" t="s">
        <v>1548</v>
      </c>
      <c r="N383" t="s">
        <v>1548</v>
      </c>
      <c r="O383" t="s">
        <v>1548</v>
      </c>
      <c r="P383" t="s">
        <v>1752</v>
      </c>
    </row>
    <row r="384" spans="1:16" x14ac:dyDescent="0.25">
      <c r="A384" t="s">
        <v>1757</v>
      </c>
      <c r="B384" t="s">
        <v>1749</v>
      </c>
      <c r="C384" t="s">
        <v>1750</v>
      </c>
      <c r="D384" t="s">
        <v>1027</v>
      </c>
      <c r="E384">
        <v>1494</v>
      </c>
      <c r="F384" t="s">
        <v>1751</v>
      </c>
      <c r="G384" t="b">
        <v>0</v>
      </c>
      <c r="H384" t="b">
        <v>0</v>
      </c>
      <c r="I384" t="s">
        <v>1050</v>
      </c>
      <c r="J384">
        <v>89</v>
      </c>
      <c r="K384" t="s">
        <v>1</v>
      </c>
      <c r="L384" t="s">
        <v>1547</v>
      </c>
      <c r="M384" t="s">
        <v>1548</v>
      </c>
      <c r="N384" t="s">
        <v>1548</v>
      </c>
      <c r="O384" t="s">
        <v>1548</v>
      </c>
      <c r="P384" t="s">
        <v>1752</v>
      </c>
    </row>
    <row r="385" spans="1:16" x14ac:dyDescent="0.25">
      <c r="A385" t="s">
        <v>1758</v>
      </c>
      <c r="B385" t="s">
        <v>1749</v>
      </c>
      <c r="C385" t="s">
        <v>1750</v>
      </c>
      <c r="D385" t="s">
        <v>1027</v>
      </c>
      <c r="E385">
        <v>1494</v>
      </c>
      <c r="F385" t="s">
        <v>1751</v>
      </c>
      <c r="G385" t="b">
        <v>0</v>
      </c>
      <c r="H385" t="b">
        <v>0</v>
      </c>
      <c r="I385" t="s">
        <v>1050</v>
      </c>
      <c r="J385">
        <v>89</v>
      </c>
      <c r="K385" t="s">
        <v>1</v>
      </c>
      <c r="L385" t="s">
        <v>1547</v>
      </c>
      <c r="M385" t="s">
        <v>1548</v>
      </c>
      <c r="N385" t="s">
        <v>1548</v>
      </c>
      <c r="O385" t="s">
        <v>1548</v>
      </c>
      <c r="P385" t="s">
        <v>1752</v>
      </c>
    </row>
    <row r="386" spans="1:16" x14ac:dyDescent="0.25">
      <c r="A386" t="s">
        <v>1759</v>
      </c>
      <c r="B386" t="s">
        <v>1749</v>
      </c>
      <c r="C386" t="s">
        <v>1750</v>
      </c>
      <c r="D386" t="s">
        <v>1027</v>
      </c>
      <c r="E386">
        <v>1494</v>
      </c>
      <c r="F386" t="s">
        <v>1751</v>
      </c>
      <c r="G386" t="b">
        <v>0</v>
      </c>
      <c r="H386" t="b">
        <v>0</v>
      </c>
      <c r="I386" t="s">
        <v>1050</v>
      </c>
      <c r="J386">
        <v>89</v>
      </c>
      <c r="K386" t="s">
        <v>1</v>
      </c>
      <c r="L386" t="s">
        <v>1547</v>
      </c>
      <c r="M386" t="s">
        <v>1548</v>
      </c>
      <c r="N386" t="s">
        <v>1548</v>
      </c>
      <c r="O386" t="s">
        <v>1548</v>
      </c>
      <c r="P386" t="s">
        <v>1752</v>
      </c>
    </row>
    <row r="387" spans="1:16" x14ac:dyDescent="0.25">
      <c r="A387" t="s">
        <v>1760</v>
      </c>
      <c r="B387" t="s">
        <v>1749</v>
      </c>
      <c r="C387" t="s">
        <v>1750</v>
      </c>
      <c r="D387" t="s">
        <v>1027</v>
      </c>
      <c r="E387">
        <v>1494</v>
      </c>
      <c r="F387" t="s">
        <v>1751</v>
      </c>
      <c r="G387" t="b">
        <v>0</v>
      </c>
      <c r="H387" t="b">
        <v>0</v>
      </c>
      <c r="I387" t="s">
        <v>1050</v>
      </c>
      <c r="J387">
        <v>89</v>
      </c>
      <c r="K387" t="s">
        <v>1</v>
      </c>
      <c r="L387" t="s">
        <v>1547</v>
      </c>
      <c r="M387" t="s">
        <v>1548</v>
      </c>
      <c r="N387" t="s">
        <v>1548</v>
      </c>
      <c r="O387" t="s">
        <v>1548</v>
      </c>
      <c r="P387" t="s">
        <v>1752</v>
      </c>
    </row>
    <row r="388" spans="1:16" x14ac:dyDescent="0.25">
      <c r="A388" t="s">
        <v>1761</v>
      </c>
      <c r="B388" t="s">
        <v>1749</v>
      </c>
      <c r="C388" t="s">
        <v>1750</v>
      </c>
      <c r="D388" t="s">
        <v>1027</v>
      </c>
      <c r="E388">
        <v>1494</v>
      </c>
      <c r="F388" t="s">
        <v>1751</v>
      </c>
      <c r="G388" t="b">
        <v>0</v>
      </c>
      <c r="H388" t="b">
        <v>0</v>
      </c>
      <c r="I388" t="s">
        <v>1050</v>
      </c>
      <c r="J388">
        <v>89</v>
      </c>
      <c r="K388" t="s">
        <v>1</v>
      </c>
      <c r="L388" t="s">
        <v>1547</v>
      </c>
      <c r="M388" t="s">
        <v>1548</v>
      </c>
      <c r="N388" t="s">
        <v>1548</v>
      </c>
      <c r="O388" t="s">
        <v>1548</v>
      </c>
      <c r="P388" t="s">
        <v>1752</v>
      </c>
    </row>
    <row r="389" spans="1:16" x14ac:dyDescent="0.25">
      <c r="A389" t="s">
        <v>1762</v>
      </c>
      <c r="B389" t="s">
        <v>1749</v>
      </c>
      <c r="C389" t="s">
        <v>1750</v>
      </c>
      <c r="D389" t="s">
        <v>1027</v>
      </c>
      <c r="E389">
        <v>1494</v>
      </c>
      <c r="F389" t="s">
        <v>1751</v>
      </c>
      <c r="G389" t="b">
        <v>0</v>
      </c>
      <c r="H389" t="b">
        <v>0</v>
      </c>
      <c r="I389" t="s">
        <v>1050</v>
      </c>
      <c r="J389">
        <v>89</v>
      </c>
      <c r="K389" t="s">
        <v>1</v>
      </c>
      <c r="L389" t="s">
        <v>1547</v>
      </c>
      <c r="M389" t="s">
        <v>1548</v>
      </c>
      <c r="N389" t="s">
        <v>1548</v>
      </c>
      <c r="O389" t="s">
        <v>1548</v>
      </c>
      <c r="P389" t="s">
        <v>1752</v>
      </c>
    </row>
    <row r="390" spans="1:16" x14ac:dyDescent="0.25">
      <c r="A390" t="s">
        <v>1763</v>
      </c>
      <c r="B390" t="s">
        <v>1749</v>
      </c>
      <c r="C390" t="s">
        <v>1750</v>
      </c>
      <c r="D390" t="s">
        <v>1027</v>
      </c>
      <c r="E390">
        <v>1494</v>
      </c>
      <c r="F390" t="s">
        <v>1751</v>
      </c>
      <c r="G390" t="b">
        <v>0</v>
      </c>
      <c r="H390" t="b">
        <v>0</v>
      </c>
      <c r="I390" t="s">
        <v>1050</v>
      </c>
      <c r="J390">
        <v>89</v>
      </c>
      <c r="K390" t="s">
        <v>1</v>
      </c>
      <c r="L390" t="s">
        <v>1547</v>
      </c>
      <c r="M390" t="s">
        <v>1548</v>
      </c>
      <c r="N390" t="s">
        <v>1548</v>
      </c>
      <c r="O390" t="s">
        <v>1548</v>
      </c>
      <c r="P390" t="s">
        <v>1752</v>
      </c>
    </row>
    <row r="391" spans="1:16" x14ac:dyDescent="0.25">
      <c r="A391" t="s">
        <v>1764</v>
      </c>
      <c r="B391" t="s">
        <v>1749</v>
      </c>
      <c r="C391" t="s">
        <v>1750</v>
      </c>
      <c r="D391" t="s">
        <v>1027</v>
      </c>
      <c r="E391">
        <v>1494</v>
      </c>
      <c r="F391" t="s">
        <v>1751</v>
      </c>
      <c r="G391" t="b">
        <v>0</v>
      </c>
      <c r="H391" t="b">
        <v>0</v>
      </c>
      <c r="I391" t="s">
        <v>1050</v>
      </c>
      <c r="J391">
        <v>89</v>
      </c>
      <c r="K391" t="s">
        <v>1</v>
      </c>
      <c r="L391" t="s">
        <v>1547</v>
      </c>
      <c r="M391" t="s">
        <v>1548</v>
      </c>
      <c r="N391" t="s">
        <v>1548</v>
      </c>
      <c r="O391" t="s">
        <v>1548</v>
      </c>
      <c r="P391" t="s">
        <v>1752</v>
      </c>
    </row>
    <row r="392" spans="1:16" x14ac:dyDescent="0.25">
      <c r="A392" t="s">
        <v>1765</v>
      </c>
      <c r="B392" t="s">
        <v>1749</v>
      </c>
      <c r="C392" t="s">
        <v>1750</v>
      </c>
      <c r="D392" t="s">
        <v>1027</v>
      </c>
      <c r="E392">
        <v>1494</v>
      </c>
      <c r="F392" t="s">
        <v>1751</v>
      </c>
      <c r="G392" t="b">
        <v>0</v>
      </c>
      <c r="H392" t="b">
        <v>0</v>
      </c>
      <c r="I392" t="s">
        <v>1050</v>
      </c>
      <c r="J392">
        <v>89</v>
      </c>
      <c r="K392" t="s">
        <v>1</v>
      </c>
      <c r="L392" t="s">
        <v>1547</v>
      </c>
      <c r="M392" t="s">
        <v>1548</v>
      </c>
      <c r="N392" t="s">
        <v>1548</v>
      </c>
      <c r="O392" t="s">
        <v>1548</v>
      </c>
      <c r="P392" t="s">
        <v>1752</v>
      </c>
    </row>
    <row r="393" spans="1:16" x14ac:dyDescent="0.25">
      <c r="A393" t="s">
        <v>1766</v>
      </c>
      <c r="B393" t="s">
        <v>1749</v>
      </c>
      <c r="C393" t="s">
        <v>1750</v>
      </c>
      <c r="D393" t="s">
        <v>1027</v>
      </c>
      <c r="E393">
        <v>1494</v>
      </c>
      <c r="F393" t="s">
        <v>1751</v>
      </c>
      <c r="G393" t="b">
        <v>0</v>
      </c>
      <c r="H393" t="b">
        <v>0</v>
      </c>
      <c r="I393" t="s">
        <v>1050</v>
      </c>
      <c r="J393">
        <v>89</v>
      </c>
      <c r="K393" t="s">
        <v>1</v>
      </c>
      <c r="L393" t="s">
        <v>1547</v>
      </c>
      <c r="M393" t="s">
        <v>1548</v>
      </c>
      <c r="N393" t="s">
        <v>1548</v>
      </c>
      <c r="O393" t="s">
        <v>1548</v>
      </c>
      <c r="P393" t="s">
        <v>1752</v>
      </c>
    </row>
    <row r="394" spans="1:16" x14ac:dyDescent="0.25">
      <c r="A394" t="s">
        <v>1767</v>
      </c>
      <c r="B394" t="s">
        <v>1749</v>
      </c>
      <c r="C394" t="s">
        <v>1750</v>
      </c>
      <c r="D394" t="s">
        <v>1027</v>
      </c>
      <c r="E394">
        <v>1494</v>
      </c>
      <c r="F394" t="s">
        <v>1751</v>
      </c>
      <c r="G394" t="b">
        <v>0</v>
      </c>
      <c r="H394" t="b">
        <v>0</v>
      </c>
      <c r="I394" t="s">
        <v>1050</v>
      </c>
      <c r="J394">
        <v>89</v>
      </c>
      <c r="K394" t="s">
        <v>1</v>
      </c>
      <c r="L394" t="s">
        <v>1547</v>
      </c>
      <c r="M394" t="s">
        <v>1548</v>
      </c>
      <c r="N394" t="s">
        <v>1548</v>
      </c>
      <c r="O394" t="s">
        <v>1548</v>
      </c>
      <c r="P394" t="s">
        <v>1752</v>
      </c>
    </row>
    <row r="395" spans="1:16" x14ac:dyDescent="0.25">
      <c r="A395" t="s">
        <v>1768</v>
      </c>
      <c r="B395" t="s">
        <v>1749</v>
      </c>
      <c r="C395" t="s">
        <v>1750</v>
      </c>
      <c r="D395" t="s">
        <v>1027</v>
      </c>
      <c r="E395">
        <v>1494</v>
      </c>
      <c r="F395" t="s">
        <v>1751</v>
      </c>
      <c r="G395" t="b">
        <v>0</v>
      </c>
      <c r="H395" t="b">
        <v>0</v>
      </c>
      <c r="I395" t="s">
        <v>1050</v>
      </c>
      <c r="J395">
        <v>89</v>
      </c>
      <c r="K395" t="s">
        <v>1</v>
      </c>
      <c r="L395" t="s">
        <v>1547</v>
      </c>
      <c r="M395" t="s">
        <v>1548</v>
      </c>
      <c r="N395" t="s">
        <v>1548</v>
      </c>
      <c r="O395" t="s">
        <v>1548</v>
      </c>
      <c r="P395" t="s">
        <v>1752</v>
      </c>
    </row>
    <row r="396" spans="1:16" x14ac:dyDescent="0.25">
      <c r="A396" t="s">
        <v>1769</v>
      </c>
      <c r="B396" t="s">
        <v>1749</v>
      </c>
      <c r="C396" t="s">
        <v>1750</v>
      </c>
      <c r="D396" t="s">
        <v>1027</v>
      </c>
      <c r="E396">
        <v>1494</v>
      </c>
      <c r="F396" t="s">
        <v>1751</v>
      </c>
      <c r="G396" t="b">
        <v>0</v>
      </c>
      <c r="H396" t="b">
        <v>0</v>
      </c>
      <c r="I396" t="s">
        <v>1050</v>
      </c>
      <c r="J396">
        <v>89</v>
      </c>
      <c r="K396" t="s">
        <v>1</v>
      </c>
      <c r="L396" t="s">
        <v>1547</v>
      </c>
      <c r="M396" t="s">
        <v>1548</v>
      </c>
      <c r="N396" t="s">
        <v>1548</v>
      </c>
      <c r="O396" t="s">
        <v>1548</v>
      </c>
      <c r="P396" t="s">
        <v>1752</v>
      </c>
    </row>
    <row r="397" spans="1:16" x14ac:dyDescent="0.25">
      <c r="A397" t="s">
        <v>1770</v>
      </c>
      <c r="B397" t="s">
        <v>1749</v>
      </c>
      <c r="C397" t="s">
        <v>1750</v>
      </c>
      <c r="D397" t="s">
        <v>1027</v>
      </c>
      <c r="E397">
        <v>1494</v>
      </c>
      <c r="F397" t="s">
        <v>1751</v>
      </c>
      <c r="G397" t="b">
        <v>0</v>
      </c>
      <c r="H397" t="b">
        <v>0</v>
      </c>
      <c r="I397" t="s">
        <v>1050</v>
      </c>
      <c r="J397">
        <v>89</v>
      </c>
      <c r="K397" t="s">
        <v>1</v>
      </c>
      <c r="L397" t="s">
        <v>1547</v>
      </c>
      <c r="M397" t="s">
        <v>1548</v>
      </c>
      <c r="N397" t="s">
        <v>1548</v>
      </c>
      <c r="O397" t="s">
        <v>1548</v>
      </c>
      <c r="P397" t="s">
        <v>1752</v>
      </c>
    </row>
    <row r="398" spans="1:16" x14ac:dyDescent="0.25">
      <c r="A398" t="s">
        <v>1771</v>
      </c>
      <c r="B398" t="s">
        <v>1749</v>
      </c>
      <c r="C398" t="s">
        <v>1750</v>
      </c>
      <c r="D398" t="s">
        <v>1027</v>
      </c>
      <c r="E398">
        <v>1494</v>
      </c>
      <c r="F398" t="s">
        <v>1751</v>
      </c>
      <c r="G398" t="b">
        <v>0</v>
      </c>
      <c r="H398" t="b">
        <v>0</v>
      </c>
      <c r="I398" t="s">
        <v>1050</v>
      </c>
      <c r="J398">
        <v>89</v>
      </c>
      <c r="K398" t="s">
        <v>1</v>
      </c>
      <c r="L398" t="s">
        <v>1547</v>
      </c>
      <c r="M398" t="s">
        <v>1548</v>
      </c>
      <c r="N398" t="s">
        <v>1548</v>
      </c>
      <c r="O398" t="s">
        <v>1548</v>
      </c>
      <c r="P398" t="s">
        <v>1752</v>
      </c>
    </row>
    <row r="399" spans="1:16" x14ac:dyDescent="0.25">
      <c r="A399" t="s">
        <v>1772</v>
      </c>
      <c r="B399" t="s">
        <v>1749</v>
      </c>
      <c r="C399" t="s">
        <v>1750</v>
      </c>
      <c r="D399" t="s">
        <v>1027</v>
      </c>
      <c r="E399">
        <v>1494</v>
      </c>
      <c r="F399" t="s">
        <v>1751</v>
      </c>
      <c r="G399" t="b">
        <v>0</v>
      </c>
      <c r="H399" t="b">
        <v>0</v>
      </c>
      <c r="I399" t="s">
        <v>1050</v>
      </c>
      <c r="J399">
        <v>89</v>
      </c>
      <c r="K399" t="s">
        <v>1</v>
      </c>
      <c r="L399" t="s">
        <v>1547</v>
      </c>
      <c r="M399" t="s">
        <v>1548</v>
      </c>
      <c r="N399" t="s">
        <v>1548</v>
      </c>
      <c r="O399" t="s">
        <v>1548</v>
      </c>
      <c r="P399" t="s">
        <v>1752</v>
      </c>
    </row>
    <row r="400" spans="1:16" x14ac:dyDescent="0.25">
      <c r="A400" t="s">
        <v>1773</v>
      </c>
      <c r="B400" t="s">
        <v>1749</v>
      </c>
      <c r="C400" t="s">
        <v>1750</v>
      </c>
      <c r="D400" t="s">
        <v>1027</v>
      </c>
      <c r="E400">
        <v>1494</v>
      </c>
      <c r="F400" t="s">
        <v>1751</v>
      </c>
      <c r="G400" t="b">
        <v>0</v>
      </c>
      <c r="H400" t="b">
        <v>0</v>
      </c>
      <c r="I400" t="s">
        <v>1050</v>
      </c>
      <c r="J400">
        <v>89</v>
      </c>
      <c r="K400" t="s">
        <v>1</v>
      </c>
      <c r="L400" t="s">
        <v>1547</v>
      </c>
      <c r="M400" t="s">
        <v>1548</v>
      </c>
      <c r="N400" t="s">
        <v>1548</v>
      </c>
      <c r="O400" t="s">
        <v>1548</v>
      </c>
      <c r="P400" t="s">
        <v>1752</v>
      </c>
    </row>
    <row r="401" spans="1:16" x14ac:dyDescent="0.25">
      <c r="A401" t="s">
        <v>1774</v>
      </c>
      <c r="B401" t="s">
        <v>1749</v>
      </c>
      <c r="C401" t="s">
        <v>1750</v>
      </c>
      <c r="D401" t="s">
        <v>1027</v>
      </c>
      <c r="E401">
        <v>1494</v>
      </c>
      <c r="F401" t="s">
        <v>1751</v>
      </c>
      <c r="G401" t="b">
        <v>0</v>
      </c>
      <c r="H401" t="b">
        <v>0</v>
      </c>
      <c r="I401" t="s">
        <v>1050</v>
      </c>
      <c r="J401">
        <v>89</v>
      </c>
      <c r="K401" t="s">
        <v>1</v>
      </c>
      <c r="L401" t="s">
        <v>1547</v>
      </c>
      <c r="M401" t="s">
        <v>1548</v>
      </c>
      <c r="N401" t="s">
        <v>1548</v>
      </c>
      <c r="O401" t="s">
        <v>1548</v>
      </c>
      <c r="P401" t="s">
        <v>1752</v>
      </c>
    </row>
    <row r="402" spans="1:16" x14ac:dyDescent="0.25">
      <c r="A402" t="s">
        <v>1775</v>
      </c>
      <c r="B402" t="s">
        <v>1749</v>
      </c>
      <c r="C402" t="s">
        <v>1750</v>
      </c>
      <c r="D402" t="s">
        <v>1027</v>
      </c>
      <c r="E402">
        <v>1494</v>
      </c>
      <c r="F402" t="s">
        <v>1751</v>
      </c>
      <c r="G402" t="b">
        <v>0</v>
      </c>
      <c r="H402" t="b">
        <v>0</v>
      </c>
      <c r="I402" t="s">
        <v>1050</v>
      </c>
      <c r="J402">
        <v>89</v>
      </c>
      <c r="K402" t="s">
        <v>1</v>
      </c>
      <c r="L402" t="s">
        <v>1547</v>
      </c>
      <c r="M402" t="s">
        <v>1548</v>
      </c>
      <c r="N402" t="s">
        <v>1548</v>
      </c>
      <c r="O402" t="s">
        <v>1548</v>
      </c>
      <c r="P402" t="s">
        <v>1752</v>
      </c>
    </row>
    <row r="403" spans="1:16" x14ac:dyDescent="0.25">
      <c r="A403" t="s">
        <v>1776</v>
      </c>
      <c r="B403" t="s">
        <v>1749</v>
      </c>
      <c r="C403" t="s">
        <v>1750</v>
      </c>
      <c r="D403" t="s">
        <v>1027</v>
      </c>
      <c r="E403">
        <v>1494</v>
      </c>
      <c r="F403" t="s">
        <v>1751</v>
      </c>
      <c r="G403" t="b">
        <v>0</v>
      </c>
      <c r="H403" t="b">
        <v>0</v>
      </c>
      <c r="I403" t="s">
        <v>1050</v>
      </c>
      <c r="J403">
        <v>89</v>
      </c>
      <c r="K403" t="s">
        <v>1</v>
      </c>
      <c r="L403" t="s">
        <v>1547</v>
      </c>
      <c r="M403" t="s">
        <v>1548</v>
      </c>
      <c r="N403" t="s">
        <v>1548</v>
      </c>
      <c r="O403" t="s">
        <v>1548</v>
      </c>
      <c r="P403" t="s">
        <v>1752</v>
      </c>
    </row>
    <row r="404" spans="1:16" x14ac:dyDescent="0.25">
      <c r="A404" t="s">
        <v>1777</v>
      </c>
      <c r="B404" t="s">
        <v>1749</v>
      </c>
      <c r="C404" t="s">
        <v>1750</v>
      </c>
      <c r="D404" t="s">
        <v>1027</v>
      </c>
      <c r="E404">
        <v>1494</v>
      </c>
      <c r="F404" t="s">
        <v>1751</v>
      </c>
      <c r="G404" t="b">
        <v>0</v>
      </c>
      <c r="H404" t="b">
        <v>0</v>
      </c>
      <c r="I404" t="s">
        <v>1050</v>
      </c>
      <c r="J404">
        <v>89</v>
      </c>
      <c r="K404" t="s">
        <v>1</v>
      </c>
      <c r="L404" t="s">
        <v>1547</v>
      </c>
      <c r="M404" t="s">
        <v>1548</v>
      </c>
      <c r="N404" t="s">
        <v>1548</v>
      </c>
      <c r="O404" t="s">
        <v>1548</v>
      </c>
      <c r="P404" t="s">
        <v>1752</v>
      </c>
    </row>
    <row r="405" spans="1:16" x14ac:dyDescent="0.25">
      <c r="A405" t="s">
        <v>1778</v>
      </c>
      <c r="B405" t="s">
        <v>1749</v>
      </c>
      <c r="C405" t="s">
        <v>1750</v>
      </c>
      <c r="D405" t="s">
        <v>1027</v>
      </c>
      <c r="E405">
        <v>1494</v>
      </c>
      <c r="F405" t="s">
        <v>1751</v>
      </c>
      <c r="G405" t="b">
        <v>0</v>
      </c>
      <c r="H405" t="b">
        <v>0</v>
      </c>
      <c r="I405" t="s">
        <v>1050</v>
      </c>
      <c r="J405">
        <v>89</v>
      </c>
      <c r="K405" t="s">
        <v>1</v>
      </c>
      <c r="L405" t="s">
        <v>1547</v>
      </c>
      <c r="M405" t="s">
        <v>1548</v>
      </c>
      <c r="N405" t="s">
        <v>1548</v>
      </c>
      <c r="O405" t="s">
        <v>1548</v>
      </c>
      <c r="P405" t="s">
        <v>1752</v>
      </c>
    </row>
    <row r="406" spans="1:16" x14ac:dyDescent="0.25">
      <c r="A406" t="s">
        <v>1779</v>
      </c>
      <c r="B406" t="s">
        <v>1749</v>
      </c>
      <c r="C406" t="s">
        <v>1750</v>
      </c>
      <c r="D406" t="s">
        <v>1027</v>
      </c>
      <c r="E406">
        <v>1494</v>
      </c>
      <c r="F406" t="s">
        <v>1751</v>
      </c>
      <c r="G406" t="b">
        <v>0</v>
      </c>
      <c r="H406" t="b">
        <v>0</v>
      </c>
      <c r="I406" t="s">
        <v>1050</v>
      </c>
      <c r="J406">
        <v>89</v>
      </c>
      <c r="K406" t="s">
        <v>1</v>
      </c>
      <c r="L406" t="s">
        <v>1547</v>
      </c>
      <c r="M406" t="s">
        <v>1548</v>
      </c>
      <c r="N406" t="s">
        <v>1548</v>
      </c>
      <c r="O406" t="s">
        <v>1548</v>
      </c>
      <c r="P406" t="s">
        <v>1752</v>
      </c>
    </row>
    <row r="407" spans="1:16" x14ac:dyDescent="0.25">
      <c r="A407" t="s">
        <v>1780</v>
      </c>
      <c r="B407" t="s">
        <v>1781</v>
      </c>
      <c r="C407" t="s">
        <v>1606</v>
      </c>
      <c r="D407" t="s">
        <v>1027</v>
      </c>
      <c r="E407">
        <v>1324</v>
      </c>
      <c r="F407" t="s">
        <v>1607</v>
      </c>
      <c r="G407" t="b">
        <v>0</v>
      </c>
      <c r="H407" t="b">
        <v>0</v>
      </c>
      <c r="I407" t="s">
        <v>1050</v>
      </c>
      <c r="J407">
        <v>90</v>
      </c>
      <c r="K407" t="s">
        <v>2</v>
      </c>
      <c r="L407" t="s">
        <v>1608</v>
      </c>
      <c r="M407" t="s">
        <v>1609</v>
      </c>
      <c r="N407" t="s">
        <v>1608</v>
      </c>
      <c r="O407" t="s">
        <v>1610</v>
      </c>
      <c r="P407" t="s">
        <v>1611</v>
      </c>
    </row>
    <row r="408" spans="1:16" x14ac:dyDescent="0.25">
      <c r="A408" t="s">
        <v>1782</v>
      </c>
      <c r="B408" t="s">
        <v>1781</v>
      </c>
      <c r="C408" t="s">
        <v>1606</v>
      </c>
      <c r="D408" t="s">
        <v>1027</v>
      </c>
      <c r="E408">
        <v>1324</v>
      </c>
      <c r="F408" t="s">
        <v>1607</v>
      </c>
      <c r="G408" t="b">
        <v>0</v>
      </c>
      <c r="H408" t="b">
        <v>0</v>
      </c>
      <c r="I408" t="s">
        <v>1050</v>
      </c>
      <c r="J408">
        <v>90</v>
      </c>
      <c r="K408" t="s">
        <v>2</v>
      </c>
      <c r="L408" t="s">
        <v>1608</v>
      </c>
      <c r="M408" t="s">
        <v>1609</v>
      </c>
      <c r="N408" t="s">
        <v>1608</v>
      </c>
      <c r="O408" t="s">
        <v>1610</v>
      </c>
      <c r="P408" t="s">
        <v>1611</v>
      </c>
    </row>
    <row r="409" spans="1:16" x14ac:dyDescent="0.25">
      <c r="A409" t="s">
        <v>1783</v>
      </c>
      <c r="B409" t="s">
        <v>1781</v>
      </c>
      <c r="C409" t="s">
        <v>1606</v>
      </c>
      <c r="D409" t="s">
        <v>1027</v>
      </c>
      <c r="E409">
        <v>1324</v>
      </c>
      <c r="F409" t="s">
        <v>1607</v>
      </c>
      <c r="G409" t="b">
        <v>0</v>
      </c>
      <c r="H409" t="b">
        <v>0</v>
      </c>
      <c r="I409" t="s">
        <v>1050</v>
      </c>
      <c r="J409">
        <v>90</v>
      </c>
      <c r="K409" t="s">
        <v>2</v>
      </c>
      <c r="L409" t="s">
        <v>1608</v>
      </c>
      <c r="M409" t="s">
        <v>1609</v>
      </c>
      <c r="N409" t="s">
        <v>1608</v>
      </c>
      <c r="O409" t="s">
        <v>1610</v>
      </c>
      <c r="P409" t="s">
        <v>1611</v>
      </c>
    </row>
    <row r="410" spans="1:16" x14ac:dyDescent="0.25">
      <c r="A410" t="s">
        <v>1784</v>
      </c>
      <c r="B410" t="s">
        <v>1781</v>
      </c>
      <c r="C410" t="s">
        <v>1606</v>
      </c>
      <c r="D410" t="s">
        <v>1027</v>
      </c>
      <c r="E410">
        <v>1324</v>
      </c>
      <c r="F410" t="s">
        <v>1607</v>
      </c>
      <c r="G410" t="b">
        <v>0</v>
      </c>
      <c r="H410" t="b">
        <v>0</v>
      </c>
      <c r="I410" t="s">
        <v>1050</v>
      </c>
      <c r="J410">
        <v>90</v>
      </c>
      <c r="K410" t="s">
        <v>2</v>
      </c>
      <c r="L410" t="s">
        <v>1608</v>
      </c>
      <c r="M410" t="s">
        <v>1609</v>
      </c>
      <c r="N410" t="s">
        <v>1608</v>
      </c>
      <c r="O410" t="s">
        <v>1610</v>
      </c>
      <c r="P410" t="s">
        <v>1611</v>
      </c>
    </row>
    <row r="411" spans="1:16" x14ac:dyDescent="0.25">
      <c r="A411" t="s">
        <v>1785</v>
      </c>
      <c r="B411" t="s">
        <v>1781</v>
      </c>
      <c r="C411" t="s">
        <v>1606</v>
      </c>
      <c r="D411" t="s">
        <v>1027</v>
      </c>
      <c r="E411">
        <v>1324</v>
      </c>
      <c r="F411" t="s">
        <v>1607</v>
      </c>
      <c r="G411" t="b">
        <v>0</v>
      </c>
      <c r="H411" t="b">
        <v>0</v>
      </c>
      <c r="I411" t="s">
        <v>1050</v>
      </c>
      <c r="J411">
        <v>90</v>
      </c>
      <c r="K411" t="s">
        <v>2</v>
      </c>
      <c r="L411" t="s">
        <v>1608</v>
      </c>
      <c r="M411" t="s">
        <v>1609</v>
      </c>
      <c r="N411" t="s">
        <v>1608</v>
      </c>
      <c r="O411" t="s">
        <v>1610</v>
      </c>
      <c r="P411" t="s">
        <v>1611</v>
      </c>
    </row>
    <row r="412" spans="1:16" x14ac:dyDescent="0.25">
      <c r="A412" t="s">
        <v>1786</v>
      </c>
      <c r="B412" t="s">
        <v>1781</v>
      </c>
      <c r="C412" t="s">
        <v>1606</v>
      </c>
      <c r="D412" t="s">
        <v>1027</v>
      </c>
      <c r="E412">
        <v>1324</v>
      </c>
      <c r="F412" t="s">
        <v>1607</v>
      </c>
      <c r="G412" t="b">
        <v>0</v>
      </c>
      <c r="H412" t="b">
        <v>0</v>
      </c>
      <c r="I412" t="s">
        <v>1050</v>
      </c>
      <c r="J412">
        <v>90</v>
      </c>
      <c r="K412" t="s">
        <v>2</v>
      </c>
      <c r="L412" t="s">
        <v>1608</v>
      </c>
      <c r="M412" t="s">
        <v>1609</v>
      </c>
      <c r="N412" t="s">
        <v>1608</v>
      </c>
      <c r="O412" t="s">
        <v>1610</v>
      </c>
      <c r="P412" t="s">
        <v>1611</v>
      </c>
    </row>
    <row r="413" spans="1:16" x14ac:dyDescent="0.25">
      <c r="A413" t="s">
        <v>1787</v>
      </c>
      <c r="B413" t="s">
        <v>1749</v>
      </c>
      <c r="C413" t="s">
        <v>1750</v>
      </c>
      <c r="D413" t="s">
        <v>1027</v>
      </c>
      <c r="E413">
        <v>1494</v>
      </c>
      <c r="F413" t="s">
        <v>1751</v>
      </c>
      <c r="G413" t="b">
        <v>0</v>
      </c>
      <c r="H413" t="b">
        <v>0</v>
      </c>
      <c r="I413" t="s">
        <v>1050</v>
      </c>
      <c r="J413">
        <v>89</v>
      </c>
      <c r="K413" t="s">
        <v>1</v>
      </c>
      <c r="L413" t="s">
        <v>1547</v>
      </c>
      <c r="M413" t="s">
        <v>1548</v>
      </c>
      <c r="N413" t="s">
        <v>1548</v>
      </c>
      <c r="O413" t="s">
        <v>1548</v>
      </c>
      <c r="P413" t="s">
        <v>1752</v>
      </c>
    </row>
    <row r="414" spans="1:16" x14ac:dyDescent="0.25">
      <c r="A414" t="s">
        <v>1788</v>
      </c>
      <c r="B414" t="s">
        <v>1749</v>
      </c>
      <c r="C414" t="s">
        <v>1750</v>
      </c>
      <c r="D414" t="s">
        <v>1027</v>
      </c>
      <c r="E414">
        <v>1494</v>
      </c>
      <c r="F414" t="s">
        <v>1751</v>
      </c>
      <c r="G414" t="b">
        <v>0</v>
      </c>
      <c r="H414" t="b">
        <v>0</v>
      </c>
      <c r="I414" t="s">
        <v>1050</v>
      </c>
      <c r="J414">
        <v>89</v>
      </c>
      <c r="K414" t="s">
        <v>1</v>
      </c>
      <c r="L414" t="s">
        <v>1547</v>
      </c>
      <c r="M414" t="s">
        <v>1548</v>
      </c>
      <c r="N414" t="s">
        <v>1548</v>
      </c>
      <c r="O414" t="s">
        <v>1548</v>
      </c>
      <c r="P414" t="s">
        <v>1752</v>
      </c>
    </row>
    <row r="415" spans="1:16" x14ac:dyDescent="0.25">
      <c r="A415" t="s">
        <v>1789</v>
      </c>
      <c r="B415" t="s">
        <v>1749</v>
      </c>
      <c r="C415" t="s">
        <v>1750</v>
      </c>
      <c r="D415" t="s">
        <v>1027</v>
      </c>
      <c r="E415">
        <v>1494</v>
      </c>
      <c r="F415" t="s">
        <v>1751</v>
      </c>
      <c r="G415" t="b">
        <v>0</v>
      </c>
      <c r="H415" t="b">
        <v>0</v>
      </c>
      <c r="I415" t="s">
        <v>1050</v>
      </c>
      <c r="J415">
        <v>89</v>
      </c>
      <c r="K415" t="s">
        <v>1</v>
      </c>
      <c r="L415" t="s">
        <v>1547</v>
      </c>
      <c r="M415" t="s">
        <v>1548</v>
      </c>
      <c r="N415" t="s">
        <v>1548</v>
      </c>
      <c r="O415" t="s">
        <v>1548</v>
      </c>
      <c r="P415" t="s">
        <v>1752</v>
      </c>
    </row>
    <row r="416" spans="1:16" x14ac:dyDescent="0.25">
      <c r="A416" t="s">
        <v>1790</v>
      </c>
      <c r="B416" t="s">
        <v>1749</v>
      </c>
      <c r="C416" t="s">
        <v>1750</v>
      </c>
      <c r="D416" t="s">
        <v>1027</v>
      </c>
      <c r="E416">
        <v>1494</v>
      </c>
      <c r="F416" t="s">
        <v>1751</v>
      </c>
      <c r="G416" t="b">
        <v>0</v>
      </c>
      <c r="H416" t="b">
        <v>0</v>
      </c>
      <c r="I416" t="s">
        <v>1050</v>
      </c>
      <c r="J416">
        <v>89</v>
      </c>
      <c r="K416" t="s">
        <v>1</v>
      </c>
      <c r="L416" t="s">
        <v>1547</v>
      </c>
      <c r="M416" t="s">
        <v>1548</v>
      </c>
      <c r="N416" t="s">
        <v>1548</v>
      </c>
      <c r="O416" t="s">
        <v>1548</v>
      </c>
      <c r="P416" t="s">
        <v>1752</v>
      </c>
    </row>
    <row r="417" spans="1:16" x14ac:dyDescent="0.25">
      <c r="A417" t="s">
        <v>1791</v>
      </c>
      <c r="B417" t="s">
        <v>1749</v>
      </c>
      <c r="C417" t="s">
        <v>1750</v>
      </c>
      <c r="D417" t="s">
        <v>1027</v>
      </c>
      <c r="E417">
        <v>1494</v>
      </c>
      <c r="F417" t="s">
        <v>1751</v>
      </c>
      <c r="G417" t="b">
        <v>0</v>
      </c>
      <c r="H417" t="b">
        <v>0</v>
      </c>
      <c r="I417" t="s">
        <v>1050</v>
      </c>
      <c r="J417">
        <v>89</v>
      </c>
      <c r="K417" t="s">
        <v>1</v>
      </c>
      <c r="L417" t="s">
        <v>1547</v>
      </c>
      <c r="M417" t="s">
        <v>1548</v>
      </c>
      <c r="N417" t="s">
        <v>1548</v>
      </c>
      <c r="O417" t="s">
        <v>1548</v>
      </c>
      <c r="P417" t="s">
        <v>1752</v>
      </c>
    </row>
    <row r="418" spans="1:16" x14ac:dyDescent="0.25">
      <c r="A418" t="s">
        <v>1792</v>
      </c>
      <c r="B418" t="s">
        <v>1749</v>
      </c>
      <c r="C418" t="s">
        <v>1750</v>
      </c>
      <c r="D418" t="s">
        <v>1027</v>
      </c>
      <c r="E418">
        <v>1494</v>
      </c>
      <c r="F418" t="s">
        <v>1751</v>
      </c>
      <c r="G418" t="b">
        <v>0</v>
      </c>
      <c r="H418" t="b">
        <v>0</v>
      </c>
      <c r="I418" t="s">
        <v>1050</v>
      </c>
      <c r="J418">
        <v>89</v>
      </c>
      <c r="K418" t="s">
        <v>1</v>
      </c>
      <c r="L418" t="s">
        <v>1547</v>
      </c>
      <c r="M418" t="s">
        <v>1548</v>
      </c>
      <c r="N418" t="s">
        <v>1548</v>
      </c>
      <c r="O418" t="s">
        <v>1548</v>
      </c>
      <c r="P418" t="s">
        <v>1752</v>
      </c>
    </row>
    <row r="419" spans="1:16" x14ac:dyDescent="0.25">
      <c r="A419" t="s">
        <v>1793</v>
      </c>
      <c r="B419" t="s">
        <v>1749</v>
      </c>
      <c r="C419" t="s">
        <v>1750</v>
      </c>
      <c r="D419" t="s">
        <v>1027</v>
      </c>
      <c r="E419">
        <v>1494</v>
      </c>
      <c r="F419" t="s">
        <v>1751</v>
      </c>
      <c r="G419" t="b">
        <v>0</v>
      </c>
      <c r="H419" t="b">
        <v>0</v>
      </c>
      <c r="I419" t="s">
        <v>1050</v>
      </c>
      <c r="J419">
        <v>89</v>
      </c>
      <c r="K419" t="s">
        <v>1</v>
      </c>
      <c r="L419" t="s">
        <v>1547</v>
      </c>
      <c r="M419" t="s">
        <v>1548</v>
      </c>
      <c r="N419" t="s">
        <v>1548</v>
      </c>
      <c r="O419" t="s">
        <v>1548</v>
      </c>
      <c r="P419" t="s">
        <v>1752</v>
      </c>
    </row>
    <row r="420" spans="1:16" x14ac:dyDescent="0.25">
      <c r="A420" t="s">
        <v>1794</v>
      </c>
      <c r="B420" t="s">
        <v>1749</v>
      </c>
      <c r="C420" t="s">
        <v>1750</v>
      </c>
      <c r="D420" t="s">
        <v>1027</v>
      </c>
      <c r="E420">
        <v>1494</v>
      </c>
      <c r="F420" t="s">
        <v>1751</v>
      </c>
      <c r="G420" t="b">
        <v>0</v>
      </c>
      <c r="H420" t="b">
        <v>0</v>
      </c>
      <c r="I420" t="s">
        <v>1050</v>
      </c>
      <c r="J420">
        <v>89</v>
      </c>
      <c r="K420" t="s">
        <v>1</v>
      </c>
      <c r="L420" t="s">
        <v>1547</v>
      </c>
      <c r="M420" t="s">
        <v>1548</v>
      </c>
      <c r="N420" t="s">
        <v>1548</v>
      </c>
      <c r="O420" t="s">
        <v>1548</v>
      </c>
      <c r="P420" t="s">
        <v>1752</v>
      </c>
    </row>
    <row r="421" spans="1:16" x14ac:dyDescent="0.25">
      <c r="A421" t="s">
        <v>1795</v>
      </c>
      <c r="B421" t="s">
        <v>1749</v>
      </c>
      <c r="C421" t="s">
        <v>1750</v>
      </c>
      <c r="D421" t="s">
        <v>1027</v>
      </c>
      <c r="E421">
        <v>1494</v>
      </c>
      <c r="F421" t="s">
        <v>1751</v>
      </c>
      <c r="G421" t="b">
        <v>0</v>
      </c>
      <c r="H421" t="b">
        <v>0</v>
      </c>
      <c r="I421" t="s">
        <v>1050</v>
      </c>
      <c r="J421">
        <v>89</v>
      </c>
      <c r="K421" t="s">
        <v>1</v>
      </c>
      <c r="L421" t="s">
        <v>1547</v>
      </c>
      <c r="M421" t="s">
        <v>1548</v>
      </c>
      <c r="N421" t="s">
        <v>1548</v>
      </c>
      <c r="O421" t="s">
        <v>1548</v>
      </c>
      <c r="P421" t="s">
        <v>1752</v>
      </c>
    </row>
    <row r="422" spans="1:16" x14ac:dyDescent="0.25">
      <c r="A422" t="s">
        <v>1796</v>
      </c>
      <c r="B422" t="s">
        <v>1749</v>
      </c>
      <c r="C422" t="s">
        <v>1750</v>
      </c>
      <c r="D422" t="s">
        <v>1027</v>
      </c>
      <c r="E422">
        <v>1494</v>
      </c>
      <c r="F422" t="s">
        <v>1751</v>
      </c>
      <c r="G422" t="b">
        <v>0</v>
      </c>
      <c r="H422" t="b">
        <v>0</v>
      </c>
      <c r="I422" t="s">
        <v>1050</v>
      </c>
      <c r="J422">
        <v>89</v>
      </c>
      <c r="K422" t="s">
        <v>1</v>
      </c>
      <c r="L422" t="s">
        <v>1547</v>
      </c>
      <c r="M422" t="s">
        <v>1548</v>
      </c>
      <c r="N422" t="s">
        <v>1548</v>
      </c>
      <c r="O422" t="s">
        <v>1548</v>
      </c>
      <c r="P422" t="s">
        <v>1752</v>
      </c>
    </row>
    <row r="423" spans="1:16" x14ac:dyDescent="0.25">
      <c r="A423" t="s">
        <v>1797</v>
      </c>
      <c r="B423" t="s">
        <v>1749</v>
      </c>
      <c r="C423" t="s">
        <v>1750</v>
      </c>
      <c r="D423" t="s">
        <v>1027</v>
      </c>
      <c r="E423">
        <v>1494</v>
      </c>
      <c r="F423" t="s">
        <v>1751</v>
      </c>
      <c r="G423" t="b">
        <v>0</v>
      </c>
      <c r="H423" t="b">
        <v>0</v>
      </c>
      <c r="I423" t="s">
        <v>1050</v>
      </c>
      <c r="J423">
        <v>89</v>
      </c>
      <c r="K423" t="s">
        <v>1</v>
      </c>
      <c r="L423" t="s">
        <v>1547</v>
      </c>
      <c r="M423" t="s">
        <v>1548</v>
      </c>
      <c r="N423" t="s">
        <v>1548</v>
      </c>
      <c r="O423" t="s">
        <v>1548</v>
      </c>
      <c r="P423" t="s">
        <v>1752</v>
      </c>
    </row>
    <row r="424" spans="1:16" x14ac:dyDescent="0.25">
      <c r="A424" t="s">
        <v>1798</v>
      </c>
      <c r="B424" t="s">
        <v>1749</v>
      </c>
      <c r="C424" t="s">
        <v>1750</v>
      </c>
      <c r="D424" t="s">
        <v>1027</v>
      </c>
      <c r="E424">
        <v>1494</v>
      </c>
      <c r="F424" t="s">
        <v>1751</v>
      </c>
      <c r="G424" t="b">
        <v>0</v>
      </c>
      <c r="H424" t="b">
        <v>0</v>
      </c>
      <c r="I424" t="s">
        <v>1050</v>
      </c>
      <c r="J424">
        <v>89</v>
      </c>
      <c r="K424" t="s">
        <v>1</v>
      </c>
      <c r="L424" t="s">
        <v>1547</v>
      </c>
      <c r="M424" t="s">
        <v>1548</v>
      </c>
      <c r="N424" t="s">
        <v>1548</v>
      </c>
      <c r="O424" t="s">
        <v>1548</v>
      </c>
      <c r="P424" t="s">
        <v>1752</v>
      </c>
    </row>
    <row r="425" spans="1:16" x14ac:dyDescent="0.25">
      <c r="A425" t="s">
        <v>1799</v>
      </c>
      <c r="B425" t="s">
        <v>1749</v>
      </c>
      <c r="C425" t="s">
        <v>1750</v>
      </c>
      <c r="D425" t="s">
        <v>1027</v>
      </c>
      <c r="E425">
        <v>1494</v>
      </c>
      <c r="F425" t="s">
        <v>1751</v>
      </c>
      <c r="G425" t="b">
        <v>0</v>
      </c>
      <c r="H425" t="b">
        <v>0</v>
      </c>
      <c r="I425" t="s">
        <v>1050</v>
      </c>
      <c r="J425">
        <v>89</v>
      </c>
      <c r="K425" t="s">
        <v>1</v>
      </c>
      <c r="L425" t="s">
        <v>1547</v>
      </c>
      <c r="M425" t="s">
        <v>1548</v>
      </c>
      <c r="N425" t="s">
        <v>1548</v>
      </c>
      <c r="O425" t="s">
        <v>1548</v>
      </c>
      <c r="P425" t="s">
        <v>1752</v>
      </c>
    </row>
    <row r="426" spans="1:16" x14ac:dyDescent="0.25">
      <c r="A426" t="s">
        <v>1800</v>
      </c>
      <c r="B426" t="s">
        <v>1749</v>
      </c>
      <c r="C426" t="s">
        <v>1750</v>
      </c>
      <c r="D426" t="s">
        <v>1027</v>
      </c>
      <c r="E426">
        <v>1494</v>
      </c>
      <c r="F426" t="s">
        <v>1751</v>
      </c>
      <c r="G426" t="b">
        <v>0</v>
      </c>
      <c r="H426" t="b">
        <v>0</v>
      </c>
      <c r="I426" t="s">
        <v>1050</v>
      </c>
      <c r="J426">
        <v>89</v>
      </c>
      <c r="K426" t="s">
        <v>1</v>
      </c>
      <c r="L426" t="s">
        <v>1547</v>
      </c>
      <c r="M426" t="s">
        <v>1548</v>
      </c>
      <c r="N426" t="s">
        <v>1548</v>
      </c>
      <c r="O426" t="s">
        <v>1548</v>
      </c>
      <c r="P426" t="s">
        <v>1752</v>
      </c>
    </row>
    <row r="427" spans="1:16" x14ac:dyDescent="0.25">
      <c r="A427" t="s">
        <v>1801</v>
      </c>
      <c r="B427" t="s">
        <v>1749</v>
      </c>
      <c r="C427" t="s">
        <v>1750</v>
      </c>
      <c r="D427" t="s">
        <v>1027</v>
      </c>
      <c r="E427">
        <v>1494</v>
      </c>
      <c r="F427" t="s">
        <v>1751</v>
      </c>
      <c r="G427" t="b">
        <v>0</v>
      </c>
      <c r="H427" t="b">
        <v>0</v>
      </c>
      <c r="I427" t="s">
        <v>1050</v>
      </c>
      <c r="J427">
        <v>89</v>
      </c>
      <c r="K427" t="s">
        <v>1</v>
      </c>
      <c r="L427" t="s">
        <v>1547</v>
      </c>
      <c r="M427" t="s">
        <v>1548</v>
      </c>
      <c r="N427" t="s">
        <v>1548</v>
      </c>
      <c r="O427" t="s">
        <v>1548</v>
      </c>
      <c r="P427" t="s">
        <v>1752</v>
      </c>
    </row>
    <row r="428" spans="1:16" x14ac:dyDescent="0.25">
      <c r="A428" t="s">
        <v>1802</v>
      </c>
      <c r="B428" t="s">
        <v>1749</v>
      </c>
      <c r="C428" t="s">
        <v>1750</v>
      </c>
      <c r="D428" t="s">
        <v>1027</v>
      </c>
      <c r="E428">
        <v>1494</v>
      </c>
      <c r="F428" t="s">
        <v>1751</v>
      </c>
      <c r="G428" t="b">
        <v>0</v>
      </c>
      <c r="H428" t="b">
        <v>0</v>
      </c>
      <c r="I428" t="s">
        <v>1050</v>
      </c>
      <c r="J428">
        <v>89</v>
      </c>
      <c r="K428" t="s">
        <v>1</v>
      </c>
      <c r="L428" t="s">
        <v>1547</v>
      </c>
      <c r="M428" t="s">
        <v>1548</v>
      </c>
      <c r="N428" t="s">
        <v>1548</v>
      </c>
      <c r="O428" t="s">
        <v>1548</v>
      </c>
      <c r="P428" t="s">
        <v>1752</v>
      </c>
    </row>
    <row r="429" spans="1:16" x14ac:dyDescent="0.25">
      <c r="A429" t="s">
        <v>1803</v>
      </c>
      <c r="B429" t="s">
        <v>1749</v>
      </c>
      <c r="C429" t="s">
        <v>1750</v>
      </c>
      <c r="D429" t="s">
        <v>1027</v>
      </c>
      <c r="E429">
        <v>1494</v>
      </c>
      <c r="F429" t="s">
        <v>1751</v>
      </c>
      <c r="G429" t="b">
        <v>0</v>
      </c>
      <c r="H429" t="b">
        <v>0</v>
      </c>
      <c r="I429" t="s">
        <v>1050</v>
      </c>
      <c r="J429">
        <v>89</v>
      </c>
      <c r="K429" t="s">
        <v>1</v>
      </c>
      <c r="L429" t="s">
        <v>1547</v>
      </c>
      <c r="M429" t="s">
        <v>1548</v>
      </c>
      <c r="N429" t="s">
        <v>1548</v>
      </c>
      <c r="O429" t="s">
        <v>1548</v>
      </c>
      <c r="P429" t="s">
        <v>1752</v>
      </c>
    </row>
    <row r="430" spans="1:16" x14ac:dyDescent="0.25">
      <c r="A430" t="s">
        <v>1804</v>
      </c>
      <c r="B430" t="s">
        <v>1749</v>
      </c>
      <c r="C430" t="s">
        <v>1750</v>
      </c>
      <c r="D430" t="s">
        <v>1027</v>
      </c>
      <c r="E430">
        <v>1494</v>
      </c>
      <c r="F430" t="s">
        <v>1751</v>
      </c>
      <c r="G430" t="b">
        <v>0</v>
      </c>
      <c r="H430" t="b">
        <v>0</v>
      </c>
      <c r="I430" t="s">
        <v>1050</v>
      </c>
      <c r="J430">
        <v>89</v>
      </c>
      <c r="K430" t="s">
        <v>1</v>
      </c>
      <c r="L430" t="s">
        <v>1547</v>
      </c>
      <c r="M430" t="s">
        <v>1548</v>
      </c>
      <c r="N430" t="s">
        <v>1548</v>
      </c>
      <c r="O430" t="s">
        <v>1548</v>
      </c>
      <c r="P430" t="s">
        <v>1752</v>
      </c>
    </row>
    <row r="431" spans="1:16" x14ac:dyDescent="0.25">
      <c r="A431" t="s">
        <v>1805</v>
      </c>
      <c r="B431" t="s">
        <v>1749</v>
      </c>
      <c r="C431" t="s">
        <v>1750</v>
      </c>
      <c r="D431" t="s">
        <v>1027</v>
      </c>
      <c r="E431">
        <v>1494</v>
      </c>
      <c r="F431" t="s">
        <v>1751</v>
      </c>
      <c r="G431" t="b">
        <v>0</v>
      </c>
      <c r="H431" t="b">
        <v>0</v>
      </c>
      <c r="I431" t="s">
        <v>1050</v>
      </c>
      <c r="J431">
        <v>89</v>
      </c>
      <c r="K431" t="s">
        <v>1</v>
      </c>
      <c r="L431" t="s">
        <v>1547</v>
      </c>
      <c r="M431" t="s">
        <v>1548</v>
      </c>
      <c r="N431" t="s">
        <v>1548</v>
      </c>
      <c r="O431" t="s">
        <v>1548</v>
      </c>
      <c r="P431" t="s">
        <v>1752</v>
      </c>
    </row>
    <row r="432" spans="1:16" x14ac:dyDescent="0.25">
      <c r="A432" t="s">
        <v>1806</v>
      </c>
      <c r="B432" t="s">
        <v>1749</v>
      </c>
      <c r="C432" t="s">
        <v>1750</v>
      </c>
      <c r="D432" t="s">
        <v>1027</v>
      </c>
      <c r="E432">
        <v>1494</v>
      </c>
      <c r="F432" t="s">
        <v>1751</v>
      </c>
      <c r="G432" t="b">
        <v>0</v>
      </c>
      <c r="H432" t="b">
        <v>0</v>
      </c>
      <c r="I432" t="s">
        <v>1050</v>
      </c>
      <c r="J432">
        <v>89</v>
      </c>
      <c r="K432" t="s">
        <v>1</v>
      </c>
      <c r="L432" t="s">
        <v>1547</v>
      </c>
      <c r="M432" t="s">
        <v>1548</v>
      </c>
      <c r="N432" t="s">
        <v>1548</v>
      </c>
      <c r="O432" t="s">
        <v>1548</v>
      </c>
      <c r="P432" t="s">
        <v>1752</v>
      </c>
    </row>
    <row r="433" spans="1:16" x14ac:dyDescent="0.25">
      <c r="A433" t="s">
        <v>1807</v>
      </c>
      <c r="B433" t="s">
        <v>1749</v>
      </c>
      <c r="C433" t="s">
        <v>1750</v>
      </c>
      <c r="D433" t="s">
        <v>1027</v>
      </c>
      <c r="E433">
        <v>1494</v>
      </c>
      <c r="F433" t="s">
        <v>1751</v>
      </c>
      <c r="G433" t="b">
        <v>0</v>
      </c>
      <c r="H433" t="b">
        <v>0</v>
      </c>
      <c r="I433" t="s">
        <v>1050</v>
      </c>
      <c r="J433">
        <v>89</v>
      </c>
      <c r="K433" t="s">
        <v>1</v>
      </c>
      <c r="L433" t="s">
        <v>1547</v>
      </c>
      <c r="M433" t="s">
        <v>1548</v>
      </c>
      <c r="N433" t="s">
        <v>1548</v>
      </c>
      <c r="O433" t="s">
        <v>1548</v>
      </c>
      <c r="P433" t="s">
        <v>1752</v>
      </c>
    </row>
    <row r="434" spans="1:16" x14ac:dyDescent="0.25">
      <c r="A434" t="s">
        <v>1808</v>
      </c>
      <c r="B434" t="s">
        <v>1749</v>
      </c>
      <c r="C434" t="s">
        <v>1750</v>
      </c>
      <c r="D434" t="s">
        <v>1027</v>
      </c>
      <c r="E434">
        <v>1494</v>
      </c>
      <c r="F434" t="s">
        <v>1751</v>
      </c>
      <c r="G434" t="b">
        <v>0</v>
      </c>
      <c r="H434" t="b">
        <v>0</v>
      </c>
      <c r="I434" t="s">
        <v>1050</v>
      </c>
      <c r="J434">
        <v>89</v>
      </c>
      <c r="K434" t="s">
        <v>1</v>
      </c>
      <c r="L434" t="s">
        <v>1547</v>
      </c>
      <c r="M434" t="s">
        <v>1548</v>
      </c>
      <c r="N434" t="s">
        <v>1548</v>
      </c>
      <c r="O434" t="s">
        <v>1548</v>
      </c>
      <c r="P434" t="s">
        <v>1752</v>
      </c>
    </row>
    <row r="435" spans="1:16" x14ac:dyDescent="0.25">
      <c r="A435" t="s">
        <v>1809</v>
      </c>
      <c r="B435" t="s">
        <v>1749</v>
      </c>
      <c r="C435" t="s">
        <v>1750</v>
      </c>
      <c r="D435" t="s">
        <v>1027</v>
      </c>
      <c r="E435">
        <v>1494</v>
      </c>
      <c r="F435" t="s">
        <v>1751</v>
      </c>
      <c r="G435" t="b">
        <v>0</v>
      </c>
      <c r="H435" t="b">
        <v>0</v>
      </c>
      <c r="I435" t="s">
        <v>1050</v>
      </c>
      <c r="J435">
        <v>89</v>
      </c>
      <c r="K435" t="s">
        <v>1</v>
      </c>
      <c r="L435" t="s">
        <v>1547</v>
      </c>
      <c r="M435" t="s">
        <v>1548</v>
      </c>
      <c r="N435" t="s">
        <v>1548</v>
      </c>
      <c r="O435" t="s">
        <v>1548</v>
      </c>
      <c r="P435" t="s">
        <v>1752</v>
      </c>
    </row>
    <row r="436" spans="1:16" x14ac:dyDescent="0.25">
      <c r="A436" t="s">
        <v>1810</v>
      </c>
      <c r="B436" t="s">
        <v>1749</v>
      </c>
      <c r="C436" t="s">
        <v>1750</v>
      </c>
      <c r="D436" t="s">
        <v>1027</v>
      </c>
      <c r="E436">
        <v>1494</v>
      </c>
      <c r="F436" t="s">
        <v>1751</v>
      </c>
      <c r="G436" t="b">
        <v>0</v>
      </c>
      <c r="H436" t="b">
        <v>0</v>
      </c>
      <c r="I436" t="s">
        <v>1050</v>
      </c>
      <c r="J436">
        <v>89</v>
      </c>
      <c r="K436" t="s">
        <v>1</v>
      </c>
      <c r="L436" t="s">
        <v>1547</v>
      </c>
      <c r="M436" t="s">
        <v>1548</v>
      </c>
      <c r="N436" t="s">
        <v>1548</v>
      </c>
      <c r="O436" t="s">
        <v>1548</v>
      </c>
      <c r="P436" t="s">
        <v>1752</v>
      </c>
    </row>
    <row r="437" spans="1:16" x14ac:dyDescent="0.25">
      <c r="A437" t="s">
        <v>1811</v>
      </c>
      <c r="B437" t="s">
        <v>1749</v>
      </c>
      <c r="C437" t="s">
        <v>1750</v>
      </c>
      <c r="D437" t="s">
        <v>1027</v>
      </c>
      <c r="E437">
        <v>1494</v>
      </c>
      <c r="F437" t="s">
        <v>1751</v>
      </c>
      <c r="G437" t="b">
        <v>0</v>
      </c>
      <c r="H437" t="b">
        <v>0</v>
      </c>
      <c r="I437" t="s">
        <v>1050</v>
      </c>
      <c r="J437">
        <v>89</v>
      </c>
      <c r="K437" t="s">
        <v>1</v>
      </c>
      <c r="L437" t="s">
        <v>1547</v>
      </c>
      <c r="M437" t="s">
        <v>1548</v>
      </c>
      <c r="N437" t="s">
        <v>1548</v>
      </c>
      <c r="O437" t="s">
        <v>1548</v>
      </c>
      <c r="P437" t="s">
        <v>1752</v>
      </c>
    </row>
    <row r="438" spans="1:16" x14ac:dyDescent="0.25">
      <c r="A438" t="s">
        <v>1812</v>
      </c>
      <c r="B438" t="s">
        <v>1749</v>
      </c>
      <c r="C438" t="s">
        <v>1750</v>
      </c>
      <c r="D438" t="s">
        <v>1027</v>
      </c>
      <c r="E438">
        <v>1494</v>
      </c>
      <c r="F438" t="s">
        <v>1751</v>
      </c>
      <c r="G438" t="b">
        <v>0</v>
      </c>
      <c r="H438" t="b">
        <v>0</v>
      </c>
      <c r="I438" t="s">
        <v>1050</v>
      </c>
      <c r="J438">
        <v>89</v>
      </c>
      <c r="K438" t="s">
        <v>1</v>
      </c>
      <c r="L438" t="s">
        <v>1547</v>
      </c>
      <c r="M438" t="s">
        <v>1548</v>
      </c>
      <c r="N438" t="s">
        <v>1548</v>
      </c>
      <c r="O438" t="s">
        <v>1548</v>
      </c>
      <c r="P438" t="s">
        <v>1752</v>
      </c>
    </row>
    <row r="439" spans="1:16" x14ac:dyDescent="0.25">
      <c r="A439" t="s">
        <v>1813</v>
      </c>
      <c r="B439" t="s">
        <v>1749</v>
      </c>
      <c r="C439" t="s">
        <v>1750</v>
      </c>
      <c r="D439" t="s">
        <v>1027</v>
      </c>
      <c r="E439">
        <v>1494</v>
      </c>
      <c r="F439" t="s">
        <v>1751</v>
      </c>
      <c r="G439" t="b">
        <v>0</v>
      </c>
      <c r="H439" t="b">
        <v>0</v>
      </c>
      <c r="I439" t="s">
        <v>1050</v>
      </c>
      <c r="J439">
        <v>89</v>
      </c>
      <c r="K439" t="s">
        <v>1</v>
      </c>
      <c r="L439" t="s">
        <v>1547</v>
      </c>
      <c r="M439" t="s">
        <v>1548</v>
      </c>
      <c r="N439" t="s">
        <v>1548</v>
      </c>
      <c r="O439" t="s">
        <v>1548</v>
      </c>
      <c r="P439" t="s">
        <v>1752</v>
      </c>
    </row>
    <row r="440" spans="1:16" x14ac:dyDescent="0.25">
      <c r="A440" t="s">
        <v>1814</v>
      </c>
      <c r="B440" t="s">
        <v>1749</v>
      </c>
      <c r="C440" t="s">
        <v>1750</v>
      </c>
      <c r="D440" t="s">
        <v>1027</v>
      </c>
      <c r="E440">
        <v>1494</v>
      </c>
      <c r="F440" t="s">
        <v>1751</v>
      </c>
      <c r="G440" t="b">
        <v>0</v>
      </c>
      <c r="H440" t="b">
        <v>0</v>
      </c>
      <c r="I440" t="s">
        <v>1050</v>
      </c>
      <c r="J440">
        <v>89</v>
      </c>
      <c r="K440" t="s">
        <v>1</v>
      </c>
      <c r="L440" t="s">
        <v>1547</v>
      </c>
      <c r="M440" t="s">
        <v>1548</v>
      </c>
      <c r="N440" t="s">
        <v>1548</v>
      </c>
      <c r="O440" t="s">
        <v>1548</v>
      </c>
      <c r="P440" t="s">
        <v>1752</v>
      </c>
    </row>
    <row r="441" spans="1:16" x14ac:dyDescent="0.25">
      <c r="A441" t="s">
        <v>1815</v>
      </c>
      <c r="B441" t="s">
        <v>1749</v>
      </c>
      <c r="C441" t="s">
        <v>1750</v>
      </c>
      <c r="D441" t="s">
        <v>1027</v>
      </c>
      <c r="E441">
        <v>1494</v>
      </c>
      <c r="F441" t="s">
        <v>1751</v>
      </c>
      <c r="G441" t="b">
        <v>0</v>
      </c>
      <c r="H441" t="b">
        <v>0</v>
      </c>
      <c r="I441" t="s">
        <v>1050</v>
      </c>
      <c r="J441">
        <v>89</v>
      </c>
      <c r="K441" t="s">
        <v>1</v>
      </c>
      <c r="L441" t="s">
        <v>1547</v>
      </c>
      <c r="M441" t="s">
        <v>1548</v>
      </c>
      <c r="N441" t="s">
        <v>1548</v>
      </c>
      <c r="O441" t="s">
        <v>1548</v>
      </c>
      <c r="P441" t="s">
        <v>1752</v>
      </c>
    </row>
    <row r="442" spans="1:16" x14ac:dyDescent="0.25">
      <c r="A442" t="s">
        <v>1816</v>
      </c>
      <c r="B442" t="s">
        <v>1749</v>
      </c>
      <c r="C442" t="s">
        <v>1750</v>
      </c>
      <c r="D442" t="s">
        <v>1027</v>
      </c>
      <c r="E442">
        <v>1494</v>
      </c>
      <c r="F442" t="s">
        <v>1751</v>
      </c>
      <c r="G442" t="b">
        <v>0</v>
      </c>
      <c r="H442" t="b">
        <v>0</v>
      </c>
      <c r="I442" t="s">
        <v>1050</v>
      </c>
      <c r="J442">
        <v>89</v>
      </c>
      <c r="K442" t="s">
        <v>1</v>
      </c>
      <c r="L442" t="s">
        <v>1547</v>
      </c>
      <c r="M442" t="s">
        <v>1548</v>
      </c>
      <c r="N442" t="s">
        <v>1548</v>
      </c>
      <c r="O442" t="s">
        <v>1548</v>
      </c>
      <c r="P442" t="s">
        <v>1752</v>
      </c>
    </row>
    <row r="443" spans="1:16" x14ac:dyDescent="0.25">
      <c r="A443" t="s">
        <v>1817</v>
      </c>
      <c r="B443" t="s">
        <v>1749</v>
      </c>
      <c r="C443" t="s">
        <v>1750</v>
      </c>
      <c r="D443" t="s">
        <v>1027</v>
      </c>
      <c r="E443">
        <v>1494</v>
      </c>
      <c r="F443" t="s">
        <v>1751</v>
      </c>
      <c r="G443" t="b">
        <v>0</v>
      </c>
      <c r="H443" t="b">
        <v>0</v>
      </c>
      <c r="I443" t="s">
        <v>1050</v>
      </c>
      <c r="J443">
        <v>89</v>
      </c>
      <c r="K443" t="s">
        <v>1</v>
      </c>
      <c r="L443" t="s">
        <v>1547</v>
      </c>
      <c r="M443" t="s">
        <v>1548</v>
      </c>
      <c r="N443" t="s">
        <v>1548</v>
      </c>
      <c r="O443" t="s">
        <v>1548</v>
      </c>
      <c r="P443" t="s">
        <v>1752</v>
      </c>
    </row>
    <row r="444" spans="1:16" x14ac:dyDescent="0.25">
      <c r="A444" t="s">
        <v>1818</v>
      </c>
      <c r="B444" t="s">
        <v>1749</v>
      </c>
      <c r="C444" t="s">
        <v>1750</v>
      </c>
      <c r="D444" t="s">
        <v>1027</v>
      </c>
      <c r="E444">
        <v>1494</v>
      </c>
      <c r="F444" t="s">
        <v>1751</v>
      </c>
      <c r="G444" t="b">
        <v>0</v>
      </c>
      <c r="H444" t="b">
        <v>0</v>
      </c>
      <c r="I444" t="s">
        <v>1050</v>
      </c>
      <c r="J444">
        <v>89</v>
      </c>
      <c r="K444" t="s">
        <v>1</v>
      </c>
      <c r="L444" t="s">
        <v>1547</v>
      </c>
      <c r="M444" t="s">
        <v>1548</v>
      </c>
      <c r="N444" t="s">
        <v>1548</v>
      </c>
      <c r="O444" t="s">
        <v>1548</v>
      </c>
      <c r="P444" t="s">
        <v>1752</v>
      </c>
    </row>
    <row r="445" spans="1:16" x14ac:dyDescent="0.25">
      <c r="A445" t="s">
        <v>1819</v>
      </c>
      <c r="B445" t="s">
        <v>1749</v>
      </c>
      <c r="C445" t="s">
        <v>1750</v>
      </c>
      <c r="D445" t="s">
        <v>1027</v>
      </c>
      <c r="E445">
        <v>1494</v>
      </c>
      <c r="F445" t="s">
        <v>1751</v>
      </c>
      <c r="G445" t="b">
        <v>0</v>
      </c>
      <c r="H445" t="b">
        <v>0</v>
      </c>
      <c r="I445" t="s">
        <v>1050</v>
      </c>
      <c r="J445">
        <v>89</v>
      </c>
      <c r="K445" t="s">
        <v>1</v>
      </c>
      <c r="L445" t="s">
        <v>1547</v>
      </c>
      <c r="M445" t="s">
        <v>1548</v>
      </c>
      <c r="N445" t="s">
        <v>1548</v>
      </c>
      <c r="O445" t="s">
        <v>1548</v>
      </c>
      <c r="P445" t="s">
        <v>1752</v>
      </c>
    </row>
    <row r="446" spans="1:16" x14ac:dyDescent="0.25">
      <c r="A446" t="s">
        <v>1820</v>
      </c>
      <c r="B446" t="s">
        <v>1749</v>
      </c>
      <c r="C446" t="s">
        <v>1750</v>
      </c>
      <c r="D446" t="s">
        <v>1027</v>
      </c>
      <c r="E446">
        <v>1494</v>
      </c>
      <c r="F446" t="s">
        <v>1751</v>
      </c>
      <c r="G446" t="b">
        <v>0</v>
      </c>
      <c r="H446" t="b">
        <v>0</v>
      </c>
      <c r="I446" t="s">
        <v>1050</v>
      </c>
      <c r="J446">
        <v>89</v>
      </c>
      <c r="K446" t="s">
        <v>1</v>
      </c>
      <c r="L446" t="s">
        <v>1547</v>
      </c>
      <c r="M446" t="s">
        <v>1548</v>
      </c>
      <c r="N446" t="s">
        <v>1548</v>
      </c>
      <c r="O446" t="s">
        <v>1548</v>
      </c>
      <c r="P446" t="s">
        <v>1752</v>
      </c>
    </row>
    <row r="447" spans="1:16" x14ac:dyDescent="0.25">
      <c r="A447" t="s">
        <v>1821</v>
      </c>
      <c r="B447" t="s">
        <v>1749</v>
      </c>
      <c r="C447" t="s">
        <v>1750</v>
      </c>
      <c r="D447" t="s">
        <v>1027</v>
      </c>
      <c r="E447">
        <v>1494</v>
      </c>
      <c r="F447" t="s">
        <v>1751</v>
      </c>
      <c r="G447" t="b">
        <v>0</v>
      </c>
      <c r="H447" t="b">
        <v>0</v>
      </c>
      <c r="I447" t="s">
        <v>1050</v>
      </c>
      <c r="J447">
        <v>89</v>
      </c>
      <c r="K447" t="s">
        <v>1</v>
      </c>
      <c r="L447" t="s">
        <v>1547</v>
      </c>
      <c r="M447" t="s">
        <v>1548</v>
      </c>
      <c r="N447" t="s">
        <v>1548</v>
      </c>
      <c r="O447" t="s">
        <v>1548</v>
      </c>
      <c r="P447" t="s">
        <v>1752</v>
      </c>
    </row>
    <row r="448" spans="1:16" x14ac:dyDescent="0.25">
      <c r="A448" t="s">
        <v>1822</v>
      </c>
      <c r="B448" t="s">
        <v>1749</v>
      </c>
      <c r="C448" t="s">
        <v>1750</v>
      </c>
      <c r="D448" t="s">
        <v>1027</v>
      </c>
      <c r="E448">
        <v>1494</v>
      </c>
      <c r="F448" t="s">
        <v>1751</v>
      </c>
      <c r="G448" t="b">
        <v>0</v>
      </c>
      <c r="H448" t="b">
        <v>0</v>
      </c>
      <c r="I448" t="s">
        <v>1050</v>
      </c>
      <c r="J448">
        <v>89</v>
      </c>
      <c r="K448" t="s">
        <v>1</v>
      </c>
      <c r="L448" t="s">
        <v>1547</v>
      </c>
      <c r="M448" t="s">
        <v>1548</v>
      </c>
      <c r="N448" t="s">
        <v>1548</v>
      </c>
      <c r="O448" t="s">
        <v>1548</v>
      </c>
      <c r="P448" t="s">
        <v>1752</v>
      </c>
    </row>
    <row r="449" spans="1:16" x14ac:dyDescent="0.25">
      <c r="A449" t="s">
        <v>1823</v>
      </c>
      <c r="B449" t="s">
        <v>1749</v>
      </c>
      <c r="C449" t="s">
        <v>1750</v>
      </c>
      <c r="D449" t="s">
        <v>1027</v>
      </c>
      <c r="E449">
        <v>1494</v>
      </c>
      <c r="F449" t="s">
        <v>1751</v>
      </c>
      <c r="G449" t="b">
        <v>0</v>
      </c>
      <c r="H449" t="b">
        <v>0</v>
      </c>
      <c r="I449" t="s">
        <v>1050</v>
      </c>
      <c r="J449">
        <v>89</v>
      </c>
      <c r="K449" t="s">
        <v>1</v>
      </c>
      <c r="L449" t="s">
        <v>1547</v>
      </c>
      <c r="M449" t="s">
        <v>1548</v>
      </c>
      <c r="N449" t="s">
        <v>1548</v>
      </c>
      <c r="O449" t="s">
        <v>1548</v>
      </c>
      <c r="P449" t="s">
        <v>1752</v>
      </c>
    </row>
    <row r="450" spans="1:16" x14ac:dyDescent="0.25">
      <c r="A450" t="s">
        <v>1824</v>
      </c>
      <c r="B450" t="s">
        <v>1749</v>
      </c>
      <c r="C450" t="s">
        <v>1750</v>
      </c>
      <c r="D450" t="s">
        <v>1027</v>
      </c>
      <c r="E450">
        <v>1494</v>
      </c>
      <c r="F450" t="s">
        <v>1751</v>
      </c>
      <c r="G450" t="b">
        <v>0</v>
      </c>
      <c r="H450" t="b">
        <v>0</v>
      </c>
      <c r="I450" t="s">
        <v>1050</v>
      </c>
      <c r="J450">
        <v>89</v>
      </c>
      <c r="K450" t="s">
        <v>1</v>
      </c>
      <c r="L450" t="s">
        <v>1547</v>
      </c>
      <c r="M450" t="s">
        <v>1548</v>
      </c>
      <c r="N450" t="s">
        <v>1548</v>
      </c>
      <c r="O450" t="s">
        <v>1548</v>
      </c>
      <c r="P450" t="s">
        <v>1752</v>
      </c>
    </row>
    <row r="451" spans="1:16" x14ac:dyDescent="0.25">
      <c r="A451" t="s">
        <v>1825</v>
      </c>
      <c r="B451" t="s">
        <v>1749</v>
      </c>
      <c r="C451" t="s">
        <v>1750</v>
      </c>
      <c r="D451" t="s">
        <v>1027</v>
      </c>
      <c r="E451">
        <v>1494</v>
      </c>
      <c r="F451" t="s">
        <v>1751</v>
      </c>
      <c r="G451" t="b">
        <v>0</v>
      </c>
      <c r="H451" t="b">
        <v>0</v>
      </c>
      <c r="I451" t="s">
        <v>1050</v>
      </c>
      <c r="J451">
        <v>89</v>
      </c>
      <c r="K451" t="s">
        <v>1</v>
      </c>
      <c r="L451" t="s">
        <v>1547</v>
      </c>
      <c r="M451" t="s">
        <v>1548</v>
      </c>
      <c r="N451" t="s">
        <v>1548</v>
      </c>
      <c r="O451" t="s">
        <v>1548</v>
      </c>
      <c r="P451" t="s">
        <v>1752</v>
      </c>
    </row>
    <row r="452" spans="1:16" x14ac:dyDescent="0.25">
      <c r="A452" t="s">
        <v>1826</v>
      </c>
      <c r="B452" t="s">
        <v>1749</v>
      </c>
      <c r="C452" t="s">
        <v>1750</v>
      </c>
      <c r="D452" t="s">
        <v>1027</v>
      </c>
      <c r="E452">
        <v>1494</v>
      </c>
      <c r="F452" t="s">
        <v>1751</v>
      </c>
      <c r="G452" t="b">
        <v>0</v>
      </c>
      <c r="H452" t="b">
        <v>0</v>
      </c>
      <c r="I452" t="s">
        <v>1050</v>
      </c>
      <c r="J452">
        <v>89</v>
      </c>
      <c r="K452" t="s">
        <v>1</v>
      </c>
      <c r="L452" t="s">
        <v>1547</v>
      </c>
      <c r="M452" t="s">
        <v>1548</v>
      </c>
      <c r="N452" t="s">
        <v>1548</v>
      </c>
      <c r="O452" t="s">
        <v>1548</v>
      </c>
      <c r="P452" t="s">
        <v>1752</v>
      </c>
    </row>
    <row r="453" spans="1:16" x14ac:dyDescent="0.25">
      <c r="A453" t="s">
        <v>1827</v>
      </c>
      <c r="B453" t="s">
        <v>1749</v>
      </c>
      <c r="C453" t="s">
        <v>1750</v>
      </c>
      <c r="D453" t="s">
        <v>1027</v>
      </c>
      <c r="E453">
        <v>1494</v>
      </c>
      <c r="F453" t="s">
        <v>1751</v>
      </c>
      <c r="G453" t="b">
        <v>0</v>
      </c>
      <c r="H453" t="b">
        <v>0</v>
      </c>
      <c r="I453" t="s">
        <v>1050</v>
      </c>
      <c r="J453">
        <v>89</v>
      </c>
      <c r="K453" t="s">
        <v>1</v>
      </c>
      <c r="L453" t="s">
        <v>1547</v>
      </c>
      <c r="M453" t="s">
        <v>1548</v>
      </c>
      <c r="N453" t="s">
        <v>1548</v>
      </c>
      <c r="O453" t="s">
        <v>1548</v>
      </c>
      <c r="P453" t="s">
        <v>1752</v>
      </c>
    </row>
    <row r="454" spans="1:16" x14ac:dyDescent="0.25">
      <c r="A454" t="s">
        <v>1828</v>
      </c>
      <c r="B454" t="s">
        <v>1749</v>
      </c>
      <c r="C454" t="s">
        <v>1750</v>
      </c>
      <c r="D454" t="s">
        <v>1027</v>
      </c>
      <c r="E454">
        <v>1494</v>
      </c>
      <c r="F454" t="s">
        <v>1751</v>
      </c>
      <c r="G454" t="b">
        <v>0</v>
      </c>
      <c r="H454" t="b">
        <v>0</v>
      </c>
      <c r="I454" t="s">
        <v>1050</v>
      </c>
      <c r="J454">
        <v>89</v>
      </c>
      <c r="K454" t="s">
        <v>1</v>
      </c>
      <c r="L454" t="s">
        <v>1547</v>
      </c>
      <c r="M454" t="s">
        <v>1548</v>
      </c>
      <c r="N454" t="s">
        <v>1548</v>
      </c>
      <c r="O454" t="s">
        <v>1548</v>
      </c>
      <c r="P454" t="s">
        <v>1752</v>
      </c>
    </row>
    <row r="455" spans="1:16" x14ac:dyDescent="0.25">
      <c r="A455" t="s">
        <v>1829</v>
      </c>
      <c r="B455" t="s">
        <v>1749</v>
      </c>
      <c r="C455" t="s">
        <v>1750</v>
      </c>
      <c r="D455" t="s">
        <v>1027</v>
      </c>
      <c r="E455">
        <v>1494</v>
      </c>
      <c r="F455" t="s">
        <v>1751</v>
      </c>
      <c r="G455" t="b">
        <v>0</v>
      </c>
      <c r="H455" t="b">
        <v>0</v>
      </c>
      <c r="I455" t="s">
        <v>1050</v>
      </c>
      <c r="J455">
        <v>89</v>
      </c>
      <c r="K455" t="s">
        <v>1</v>
      </c>
      <c r="L455" t="s">
        <v>1547</v>
      </c>
      <c r="M455" t="s">
        <v>1548</v>
      </c>
      <c r="N455" t="s">
        <v>1548</v>
      </c>
      <c r="O455" t="s">
        <v>1548</v>
      </c>
      <c r="P455" t="s">
        <v>1752</v>
      </c>
    </row>
    <row r="456" spans="1:16" x14ac:dyDescent="0.25">
      <c r="A456" t="s">
        <v>1830</v>
      </c>
      <c r="B456" t="s">
        <v>1749</v>
      </c>
      <c r="C456" t="s">
        <v>1750</v>
      </c>
      <c r="D456" t="s">
        <v>1027</v>
      </c>
      <c r="E456">
        <v>1494</v>
      </c>
      <c r="F456" t="s">
        <v>1751</v>
      </c>
      <c r="G456" t="b">
        <v>0</v>
      </c>
      <c r="H456" t="b">
        <v>0</v>
      </c>
      <c r="I456" t="s">
        <v>1050</v>
      </c>
      <c r="J456">
        <v>89</v>
      </c>
      <c r="K456" t="s">
        <v>1</v>
      </c>
      <c r="L456" t="s">
        <v>1547</v>
      </c>
      <c r="M456" t="s">
        <v>1548</v>
      </c>
      <c r="N456" t="s">
        <v>1548</v>
      </c>
      <c r="O456" t="s">
        <v>1548</v>
      </c>
      <c r="P456" t="s">
        <v>1752</v>
      </c>
    </row>
    <row r="457" spans="1:16" x14ac:dyDescent="0.25">
      <c r="A457" t="s">
        <v>1831</v>
      </c>
      <c r="B457" t="s">
        <v>1749</v>
      </c>
      <c r="C457" t="s">
        <v>1750</v>
      </c>
      <c r="D457" t="s">
        <v>1027</v>
      </c>
      <c r="E457">
        <v>1494</v>
      </c>
      <c r="F457" t="s">
        <v>1751</v>
      </c>
      <c r="G457" t="b">
        <v>0</v>
      </c>
      <c r="H457" t="b">
        <v>0</v>
      </c>
      <c r="I457" t="s">
        <v>1050</v>
      </c>
      <c r="J457">
        <v>89</v>
      </c>
      <c r="K457" t="s">
        <v>1</v>
      </c>
      <c r="L457" t="s">
        <v>1547</v>
      </c>
      <c r="M457" t="s">
        <v>1548</v>
      </c>
      <c r="N457" t="s">
        <v>1548</v>
      </c>
      <c r="O457" t="s">
        <v>1548</v>
      </c>
      <c r="P457" t="s">
        <v>1752</v>
      </c>
    </row>
    <row r="458" spans="1:16" x14ac:dyDescent="0.25">
      <c r="A458" t="s">
        <v>1832</v>
      </c>
      <c r="B458" t="s">
        <v>1749</v>
      </c>
      <c r="C458" t="s">
        <v>1750</v>
      </c>
      <c r="D458" t="s">
        <v>1027</v>
      </c>
      <c r="E458">
        <v>1494</v>
      </c>
      <c r="F458" t="s">
        <v>1751</v>
      </c>
      <c r="G458" t="b">
        <v>0</v>
      </c>
      <c r="H458" t="b">
        <v>0</v>
      </c>
      <c r="I458" t="s">
        <v>1050</v>
      </c>
      <c r="J458">
        <v>89</v>
      </c>
      <c r="K458" t="s">
        <v>1</v>
      </c>
      <c r="L458" t="s">
        <v>1547</v>
      </c>
      <c r="M458" t="s">
        <v>1548</v>
      </c>
      <c r="N458" t="s">
        <v>1548</v>
      </c>
      <c r="O458" t="s">
        <v>1548</v>
      </c>
      <c r="P458" t="s">
        <v>1752</v>
      </c>
    </row>
    <row r="459" spans="1:16" x14ac:dyDescent="0.25">
      <c r="A459" t="s">
        <v>1833</v>
      </c>
      <c r="B459" t="s">
        <v>1749</v>
      </c>
      <c r="C459" t="s">
        <v>1750</v>
      </c>
      <c r="D459" t="s">
        <v>1027</v>
      </c>
      <c r="E459">
        <v>1494</v>
      </c>
      <c r="F459" t="s">
        <v>1751</v>
      </c>
      <c r="G459" t="b">
        <v>0</v>
      </c>
      <c r="H459" t="b">
        <v>0</v>
      </c>
      <c r="I459" t="s">
        <v>1050</v>
      </c>
      <c r="J459">
        <v>89</v>
      </c>
      <c r="K459" t="s">
        <v>1</v>
      </c>
      <c r="L459" t="s">
        <v>1547</v>
      </c>
      <c r="M459" t="s">
        <v>1548</v>
      </c>
      <c r="N459" t="s">
        <v>1548</v>
      </c>
      <c r="O459" t="s">
        <v>1548</v>
      </c>
      <c r="P459" t="s">
        <v>1752</v>
      </c>
    </row>
    <row r="460" spans="1:16" x14ac:dyDescent="0.25">
      <c r="A460" t="s">
        <v>1834</v>
      </c>
      <c r="B460" t="s">
        <v>1749</v>
      </c>
      <c r="C460" t="s">
        <v>1750</v>
      </c>
      <c r="D460" t="s">
        <v>1027</v>
      </c>
      <c r="E460">
        <v>1494</v>
      </c>
      <c r="F460" t="s">
        <v>1751</v>
      </c>
      <c r="G460" t="b">
        <v>0</v>
      </c>
      <c r="H460" t="b">
        <v>0</v>
      </c>
      <c r="I460" t="s">
        <v>1050</v>
      </c>
      <c r="J460">
        <v>89</v>
      </c>
      <c r="K460" t="s">
        <v>1</v>
      </c>
      <c r="L460" t="s">
        <v>1547</v>
      </c>
      <c r="M460" t="s">
        <v>1548</v>
      </c>
      <c r="N460" t="s">
        <v>1548</v>
      </c>
      <c r="O460" t="s">
        <v>1548</v>
      </c>
      <c r="P460" t="s">
        <v>1752</v>
      </c>
    </row>
    <row r="461" spans="1:16" x14ac:dyDescent="0.25">
      <c r="A461" t="s">
        <v>1835</v>
      </c>
      <c r="B461" t="s">
        <v>1749</v>
      </c>
      <c r="C461" t="s">
        <v>1750</v>
      </c>
      <c r="D461" t="s">
        <v>1027</v>
      </c>
      <c r="E461">
        <v>1494</v>
      </c>
      <c r="F461" t="s">
        <v>1751</v>
      </c>
      <c r="G461" t="b">
        <v>0</v>
      </c>
      <c r="H461" t="b">
        <v>0</v>
      </c>
      <c r="I461" t="s">
        <v>1050</v>
      </c>
      <c r="J461">
        <v>89</v>
      </c>
      <c r="K461" t="s">
        <v>1</v>
      </c>
      <c r="L461" t="s">
        <v>1547</v>
      </c>
      <c r="M461" t="s">
        <v>1548</v>
      </c>
      <c r="N461" t="s">
        <v>1548</v>
      </c>
      <c r="O461" t="s">
        <v>1548</v>
      </c>
      <c r="P461" t="s">
        <v>1752</v>
      </c>
    </row>
    <row r="462" spans="1:16" x14ac:dyDescent="0.25">
      <c r="A462" t="s">
        <v>1836</v>
      </c>
      <c r="B462" t="s">
        <v>1749</v>
      </c>
      <c r="C462" t="s">
        <v>1750</v>
      </c>
      <c r="D462" t="s">
        <v>1027</v>
      </c>
      <c r="E462">
        <v>1494</v>
      </c>
      <c r="F462" t="s">
        <v>1751</v>
      </c>
      <c r="G462" t="b">
        <v>0</v>
      </c>
      <c r="H462" t="b">
        <v>0</v>
      </c>
      <c r="I462" t="s">
        <v>1050</v>
      </c>
      <c r="J462">
        <v>89</v>
      </c>
      <c r="K462" t="s">
        <v>1</v>
      </c>
      <c r="L462" t="s">
        <v>1547</v>
      </c>
      <c r="M462" t="s">
        <v>1548</v>
      </c>
      <c r="N462" t="s">
        <v>1548</v>
      </c>
      <c r="O462" t="s">
        <v>1548</v>
      </c>
      <c r="P462" t="s">
        <v>1752</v>
      </c>
    </row>
    <row r="463" spans="1:16" x14ac:dyDescent="0.25">
      <c r="A463" t="s">
        <v>1837</v>
      </c>
      <c r="B463" t="s">
        <v>1749</v>
      </c>
      <c r="C463" t="s">
        <v>1750</v>
      </c>
      <c r="D463" t="s">
        <v>1027</v>
      </c>
      <c r="E463">
        <v>1494</v>
      </c>
      <c r="F463" t="s">
        <v>1751</v>
      </c>
      <c r="G463" t="b">
        <v>0</v>
      </c>
      <c r="H463" t="b">
        <v>0</v>
      </c>
      <c r="I463" t="s">
        <v>1050</v>
      </c>
      <c r="J463">
        <v>89</v>
      </c>
      <c r="K463" t="s">
        <v>1</v>
      </c>
      <c r="L463" t="s">
        <v>1547</v>
      </c>
      <c r="M463" t="s">
        <v>1548</v>
      </c>
      <c r="N463" t="s">
        <v>1548</v>
      </c>
      <c r="O463" t="s">
        <v>1548</v>
      </c>
      <c r="P463" t="s">
        <v>1752</v>
      </c>
    </row>
    <row r="464" spans="1:16" x14ac:dyDescent="0.25">
      <c r="A464" t="s">
        <v>1838</v>
      </c>
      <c r="B464" t="s">
        <v>1749</v>
      </c>
      <c r="C464" t="s">
        <v>1750</v>
      </c>
      <c r="D464" t="s">
        <v>1027</v>
      </c>
      <c r="E464">
        <v>1494</v>
      </c>
      <c r="F464" t="s">
        <v>1751</v>
      </c>
      <c r="G464" t="b">
        <v>0</v>
      </c>
      <c r="H464" t="b">
        <v>0</v>
      </c>
      <c r="I464" t="s">
        <v>1050</v>
      </c>
      <c r="J464">
        <v>89</v>
      </c>
      <c r="K464" t="s">
        <v>1</v>
      </c>
      <c r="L464" t="s">
        <v>1547</v>
      </c>
      <c r="M464" t="s">
        <v>1548</v>
      </c>
      <c r="N464" t="s">
        <v>1548</v>
      </c>
      <c r="O464" t="s">
        <v>1548</v>
      </c>
      <c r="P464" t="s">
        <v>1752</v>
      </c>
    </row>
    <row r="465" spans="1:16" x14ac:dyDescent="0.25">
      <c r="A465" t="s">
        <v>1839</v>
      </c>
      <c r="B465" t="s">
        <v>1749</v>
      </c>
      <c r="C465" t="s">
        <v>1750</v>
      </c>
      <c r="D465" t="s">
        <v>1027</v>
      </c>
      <c r="E465">
        <v>1494</v>
      </c>
      <c r="F465" t="s">
        <v>1751</v>
      </c>
      <c r="G465" t="b">
        <v>0</v>
      </c>
      <c r="H465" t="b">
        <v>0</v>
      </c>
      <c r="I465" t="s">
        <v>1050</v>
      </c>
      <c r="J465">
        <v>89</v>
      </c>
      <c r="K465" t="s">
        <v>1</v>
      </c>
      <c r="L465" t="s">
        <v>1547</v>
      </c>
      <c r="M465" t="s">
        <v>1548</v>
      </c>
      <c r="N465" t="s">
        <v>1548</v>
      </c>
      <c r="O465" t="s">
        <v>1548</v>
      </c>
      <c r="P465" t="s">
        <v>1752</v>
      </c>
    </row>
    <row r="466" spans="1:16" x14ac:dyDescent="0.25">
      <c r="A466" t="s">
        <v>1840</v>
      </c>
      <c r="B466" t="s">
        <v>1749</v>
      </c>
      <c r="C466" t="s">
        <v>1750</v>
      </c>
      <c r="D466" t="s">
        <v>1027</v>
      </c>
      <c r="E466">
        <v>1494</v>
      </c>
      <c r="F466" t="s">
        <v>1751</v>
      </c>
      <c r="G466" t="b">
        <v>0</v>
      </c>
      <c r="H466" t="b">
        <v>0</v>
      </c>
      <c r="I466" t="s">
        <v>1050</v>
      </c>
      <c r="J466">
        <v>89</v>
      </c>
      <c r="K466" t="s">
        <v>1</v>
      </c>
      <c r="L466" t="s">
        <v>1547</v>
      </c>
      <c r="M466" t="s">
        <v>1548</v>
      </c>
      <c r="N466" t="s">
        <v>1548</v>
      </c>
      <c r="O466" t="s">
        <v>1548</v>
      </c>
      <c r="P466" t="s">
        <v>1752</v>
      </c>
    </row>
    <row r="467" spans="1:16" x14ac:dyDescent="0.25">
      <c r="A467" t="s">
        <v>1841</v>
      </c>
      <c r="B467" t="s">
        <v>1749</v>
      </c>
      <c r="C467" t="s">
        <v>1750</v>
      </c>
      <c r="D467" t="s">
        <v>1027</v>
      </c>
      <c r="E467">
        <v>1494</v>
      </c>
      <c r="F467" t="s">
        <v>1751</v>
      </c>
      <c r="G467" t="b">
        <v>0</v>
      </c>
      <c r="H467" t="b">
        <v>0</v>
      </c>
      <c r="I467" t="s">
        <v>1050</v>
      </c>
      <c r="J467">
        <v>89</v>
      </c>
      <c r="K467" t="s">
        <v>1</v>
      </c>
      <c r="L467" t="s">
        <v>1547</v>
      </c>
      <c r="M467" t="s">
        <v>1548</v>
      </c>
      <c r="N467" t="s">
        <v>1548</v>
      </c>
      <c r="O467" t="s">
        <v>1548</v>
      </c>
      <c r="P467" t="s">
        <v>1752</v>
      </c>
    </row>
    <row r="468" spans="1:16" x14ac:dyDescent="0.25">
      <c r="A468" t="s">
        <v>1842</v>
      </c>
      <c r="B468" t="s">
        <v>1749</v>
      </c>
      <c r="C468" t="s">
        <v>1750</v>
      </c>
      <c r="D468" t="s">
        <v>1027</v>
      </c>
      <c r="E468">
        <v>1494</v>
      </c>
      <c r="F468" t="s">
        <v>1751</v>
      </c>
      <c r="G468" t="b">
        <v>0</v>
      </c>
      <c r="H468" t="b">
        <v>0</v>
      </c>
      <c r="I468" t="s">
        <v>1050</v>
      </c>
      <c r="J468">
        <v>89</v>
      </c>
      <c r="K468" t="s">
        <v>1</v>
      </c>
      <c r="L468" t="s">
        <v>1547</v>
      </c>
      <c r="M468" t="s">
        <v>1548</v>
      </c>
      <c r="N468" t="s">
        <v>1548</v>
      </c>
      <c r="O468" t="s">
        <v>1548</v>
      </c>
      <c r="P468" t="s">
        <v>1752</v>
      </c>
    </row>
    <row r="469" spans="1:16" x14ac:dyDescent="0.25">
      <c r="A469" t="s">
        <v>1843</v>
      </c>
      <c r="B469" t="s">
        <v>1749</v>
      </c>
      <c r="C469" t="s">
        <v>1750</v>
      </c>
      <c r="D469" t="s">
        <v>1027</v>
      </c>
      <c r="E469">
        <v>1494</v>
      </c>
      <c r="F469" t="s">
        <v>1751</v>
      </c>
      <c r="G469" t="b">
        <v>0</v>
      </c>
      <c r="H469" t="b">
        <v>0</v>
      </c>
      <c r="I469" t="s">
        <v>1050</v>
      </c>
      <c r="J469">
        <v>89</v>
      </c>
      <c r="K469" t="s">
        <v>1</v>
      </c>
      <c r="L469" t="s">
        <v>1547</v>
      </c>
      <c r="M469" t="s">
        <v>1548</v>
      </c>
      <c r="N469" t="s">
        <v>1548</v>
      </c>
      <c r="O469" t="s">
        <v>1548</v>
      </c>
      <c r="P469" t="s">
        <v>1752</v>
      </c>
    </row>
    <row r="470" spans="1:16" x14ac:dyDescent="0.25">
      <c r="A470" t="s">
        <v>1844</v>
      </c>
      <c r="B470" t="s">
        <v>1749</v>
      </c>
      <c r="C470" t="s">
        <v>1750</v>
      </c>
      <c r="D470" t="s">
        <v>1027</v>
      </c>
      <c r="E470">
        <v>1494</v>
      </c>
      <c r="F470" t="s">
        <v>1751</v>
      </c>
      <c r="G470" t="b">
        <v>0</v>
      </c>
      <c r="H470" t="b">
        <v>0</v>
      </c>
      <c r="I470" t="s">
        <v>1050</v>
      </c>
      <c r="J470">
        <v>89</v>
      </c>
      <c r="K470" t="s">
        <v>1</v>
      </c>
      <c r="L470" t="s">
        <v>1547</v>
      </c>
      <c r="M470" t="s">
        <v>1548</v>
      </c>
      <c r="N470" t="s">
        <v>1548</v>
      </c>
      <c r="O470" t="s">
        <v>1548</v>
      </c>
      <c r="P470" t="s">
        <v>1752</v>
      </c>
    </row>
    <row r="471" spans="1:16" x14ac:dyDescent="0.25">
      <c r="A471" t="s">
        <v>1845</v>
      </c>
      <c r="B471" t="s">
        <v>1749</v>
      </c>
      <c r="C471" t="s">
        <v>1750</v>
      </c>
      <c r="D471" t="s">
        <v>1027</v>
      </c>
      <c r="E471">
        <v>1494</v>
      </c>
      <c r="F471" t="s">
        <v>1751</v>
      </c>
      <c r="G471" t="b">
        <v>0</v>
      </c>
      <c r="H471" t="b">
        <v>0</v>
      </c>
      <c r="I471" t="s">
        <v>1050</v>
      </c>
      <c r="J471">
        <v>89</v>
      </c>
      <c r="K471" t="s">
        <v>1</v>
      </c>
      <c r="L471" t="s">
        <v>1547</v>
      </c>
      <c r="M471" t="s">
        <v>1548</v>
      </c>
      <c r="N471" t="s">
        <v>1548</v>
      </c>
      <c r="O471" t="s">
        <v>1548</v>
      </c>
      <c r="P471" t="s">
        <v>1752</v>
      </c>
    </row>
    <row r="472" spans="1:16" x14ac:dyDescent="0.25">
      <c r="A472" t="s">
        <v>1846</v>
      </c>
      <c r="B472" t="s">
        <v>1749</v>
      </c>
      <c r="C472" t="s">
        <v>1750</v>
      </c>
      <c r="D472" t="s">
        <v>1027</v>
      </c>
      <c r="E472">
        <v>1494</v>
      </c>
      <c r="F472" t="s">
        <v>1751</v>
      </c>
      <c r="G472" t="b">
        <v>0</v>
      </c>
      <c r="H472" t="b">
        <v>0</v>
      </c>
      <c r="I472" t="s">
        <v>1050</v>
      </c>
      <c r="J472">
        <v>89</v>
      </c>
      <c r="K472" t="s">
        <v>1</v>
      </c>
      <c r="L472" t="s">
        <v>1547</v>
      </c>
      <c r="M472" t="s">
        <v>1548</v>
      </c>
      <c r="N472" t="s">
        <v>1548</v>
      </c>
      <c r="O472" t="s">
        <v>1548</v>
      </c>
      <c r="P472" t="s">
        <v>1752</v>
      </c>
    </row>
    <row r="473" spans="1:16" x14ac:dyDescent="0.25">
      <c r="A473" t="s">
        <v>1847</v>
      </c>
      <c r="B473" t="s">
        <v>1749</v>
      </c>
      <c r="C473" t="s">
        <v>1750</v>
      </c>
      <c r="D473" t="s">
        <v>1027</v>
      </c>
      <c r="E473">
        <v>1494</v>
      </c>
      <c r="F473" t="s">
        <v>1751</v>
      </c>
      <c r="G473" t="b">
        <v>0</v>
      </c>
      <c r="H473" t="b">
        <v>0</v>
      </c>
      <c r="I473" t="s">
        <v>1050</v>
      </c>
      <c r="J473">
        <v>89</v>
      </c>
      <c r="K473" t="s">
        <v>1</v>
      </c>
      <c r="L473" t="s">
        <v>1547</v>
      </c>
      <c r="M473" t="s">
        <v>1548</v>
      </c>
      <c r="N473" t="s">
        <v>1548</v>
      </c>
      <c r="O473" t="s">
        <v>1548</v>
      </c>
      <c r="P473" t="s">
        <v>1752</v>
      </c>
    </row>
    <row r="474" spans="1:16" x14ac:dyDescent="0.25">
      <c r="A474" t="s">
        <v>1848</v>
      </c>
      <c r="B474" t="s">
        <v>1749</v>
      </c>
      <c r="C474" t="s">
        <v>1750</v>
      </c>
      <c r="D474" t="s">
        <v>1027</v>
      </c>
      <c r="E474">
        <v>1494</v>
      </c>
      <c r="F474" t="s">
        <v>1751</v>
      </c>
      <c r="G474" t="b">
        <v>0</v>
      </c>
      <c r="H474" t="b">
        <v>0</v>
      </c>
      <c r="I474" t="s">
        <v>1050</v>
      </c>
      <c r="J474">
        <v>89</v>
      </c>
      <c r="K474" t="s">
        <v>1</v>
      </c>
      <c r="L474" t="s">
        <v>1547</v>
      </c>
      <c r="M474" t="s">
        <v>1548</v>
      </c>
      <c r="N474" t="s">
        <v>1548</v>
      </c>
      <c r="O474" t="s">
        <v>1548</v>
      </c>
      <c r="P474" t="s">
        <v>1752</v>
      </c>
    </row>
    <row r="475" spans="1:16" x14ac:dyDescent="0.25">
      <c r="A475" t="s">
        <v>1849</v>
      </c>
      <c r="B475" t="s">
        <v>1749</v>
      </c>
      <c r="C475" t="s">
        <v>1750</v>
      </c>
      <c r="D475" t="s">
        <v>1027</v>
      </c>
      <c r="E475">
        <v>1494</v>
      </c>
      <c r="F475" t="s">
        <v>1751</v>
      </c>
      <c r="G475" t="b">
        <v>0</v>
      </c>
      <c r="H475" t="b">
        <v>0</v>
      </c>
      <c r="I475" t="s">
        <v>1050</v>
      </c>
      <c r="J475">
        <v>89</v>
      </c>
      <c r="K475" t="s">
        <v>1</v>
      </c>
      <c r="L475" t="s">
        <v>1547</v>
      </c>
      <c r="M475" t="s">
        <v>1548</v>
      </c>
      <c r="N475" t="s">
        <v>1548</v>
      </c>
      <c r="O475" t="s">
        <v>1548</v>
      </c>
      <c r="P475" t="s">
        <v>1752</v>
      </c>
    </row>
    <row r="476" spans="1:16" x14ac:dyDescent="0.25">
      <c r="A476" t="s">
        <v>1850</v>
      </c>
      <c r="B476" t="s">
        <v>1749</v>
      </c>
      <c r="C476" t="s">
        <v>1750</v>
      </c>
      <c r="D476" t="s">
        <v>1027</v>
      </c>
      <c r="E476">
        <v>1494</v>
      </c>
      <c r="F476" t="s">
        <v>1751</v>
      </c>
      <c r="G476" t="b">
        <v>0</v>
      </c>
      <c r="H476" t="b">
        <v>0</v>
      </c>
      <c r="I476" t="s">
        <v>1050</v>
      </c>
      <c r="J476">
        <v>89</v>
      </c>
      <c r="K476" t="s">
        <v>1</v>
      </c>
      <c r="L476" t="s">
        <v>1547</v>
      </c>
      <c r="M476" t="s">
        <v>1548</v>
      </c>
      <c r="N476" t="s">
        <v>1548</v>
      </c>
      <c r="O476" t="s">
        <v>1548</v>
      </c>
      <c r="P476" t="s">
        <v>1752</v>
      </c>
    </row>
    <row r="477" spans="1:16" x14ac:dyDescent="0.25">
      <c r="A477" t="s">
        <v>1851</v>
      </c>
      <c r="B477" t="s">
        <v>1749</v>
      </c>
      <c r="C477" t="s">
        <v>1750</v>
      </c>
      <c r="D477" t="s">
        <v>1027</v>
      </c>
      <c r="E477">
        <v>1494</v>
      </c>
      <c r="F477" t="s">
        <v>1751</v>
      </c>
      <c r="G477" t="b">
        <v>0</v>
      </c>
      <c r="H477" t="b">
        <v>0</v>
      </c>
      <c r="I477" t="s">
        <v>1050</v>
      </c>
      <c r="J477">
        <v>89</v>
      </c>
      <c r="K477" t="s">
        <v>1</v>
      </c>
      <c r="L477" t="s">
        <v>1547</v>
      </c>
      <c r="M477" t="s">
        <v>1548</v>
      </c>
      <c r="N477" t="s">
        <v>1548</v>
      </c>
      <c r="O477" t="s">
        <v>1548</v>
      </c>
      <c r="P477" t="s">
        <v>1752</v>
      </c>
    </row>
    <row r="478" spans="1:16" x14ac:dyDescent="0.25">
      <c r="A478" t="s">
        <v>1852</v>
      </c>
      <c r="B478" t="s">
        <v>1749</v>
      </c>
      <c r="C478" t="s">
        <v>1750</v>
      </c>
      <c r="D478" t="s">
        <v>1027</v>
      </c>
      <c r="E478">
        <v>1494</v>
      </c>
      <c r="F478" t="s">
        <v>1751</v>
      </c>
      <c r="G478" t="b">
        <v>0</v>
      </c>
      <c r="H478" t="b">
        <v>0</v>
      </c>
      <c r="I478" t="s">
        <v>1050</v>
      </c>
      <c r="J478">
        <v>89</v>
      </c>
      <c r="K478" t="s">
        <v>1</v>
      </c>
      <c r="L478" t="s">
        <v>1547</v>
      </c>
      <c r="M478" t="s">
        <v>1548</v>
      </c>
      <c r="N478" t="s">
        <v>1548</v>
      </c>
      <c r="O478" t="s">
        <v>1548</v>
      </c>
      <c r="P478" t="s">
        <v>1752</v>
      </c>
    </row>
    <row r="479" spans="1:16" x14ac:dyDescent="0.25">
      <c r="A479" t="s">
        <v>1853</v>
      </c>
      <c r="B479" t="s">
        <v>1749</v>
      </c>
      <c r="C479" t="s">
        <v>1750</v>
      </c>
      <c r="D479" t="s">
        <v>1027</v>
      </c>
      <c r="E479">
        <v>1494</v>
      </c>
      <c r="F479" t="s">
        <v>1751</v>
      </c>
      <c r="G479" t="b">
        <v>0</v>
      </c>
      <c r="H479" t="b">
        <v>0</v>
      </c>
      <c r="I479" t="s">
        <v>1050</v>
      </c>
      <c r="J479">
        <v>89</v>
      </c>
      <c r="K479" t="s">
        <v>1</v>
      </c>
      <c r="L479" t="s">
        <v>1547</v>
      </c>
      <c r="M479" t="s">
        <v>1548</v>
      </c>
      <c r="N479" t="s">
        <v>1548</v>
      </c>
      <c r="O479" t="s">
        <v>1548</v>
      </c>
      <c r="P479" t="s">
        <v>1752</v>
      </c>
    </row>
    <row r="480" spans="1:16" x14ac:dyDescent="0.25">
      <c r="A480" t="s">
        <v>1854</v>
      </c>
      <c r="B480" t="s">
        <v>1749</v>
      </c>
      <c r="C480" t="s">
        <v>1750</v>
      </c>
      <c r="D480" t="s">
        <v>1027</v>
      </c>
      <c r="E480">
        <v>1494</v>
      </c>
      <c r="F480" t="s">
        <v>1751</v>
      </c>
      <c r="G480" t="b">
        <v>0</v>
      </c>
      <c r="H480" t="b">
        <v>0</v>
      </c>
      <c r="I480" t="s">
        <v>1050</v>
      </c>
      <c r="J480">
        <v>89</v>
      </c>
      <c r="K480" t="s">
        <v>1</v>
      </c>
      <c r="L480" t="s">
        <v>1547</v>
      </c>
      <c r="M480" t="s">
        <v>1548</v>
      </c>
      <c r="N480" t="s">
        <v>1548</v>
      </c>
      <c r="O480" t="s">
        <v>1548</v>
      </c>
      <c r="P480" t="s">
        <v>1752</v>
      </c>
    </row>
    <row r="481" spans="1:16" x14ac:dyDescent="0.25">
      <c r="A481" t="s">
        <v>1855</v>
      </c>
      <c r="B481" t="s">
        <v>1749</v>
      </c>
      <c r="C481" t="s">
        <v>1750</v>
      </c>
      <c r="D481" t="s">
        <v>1027</v>
      </c>
      <c r="E481">
        <v>1494</v>
      </c>
      <c r="F481" t="s">
        <v>1751</v>
      </c>
      <c r="G481" t="b">
        <v>0</v>
      </c>
      <c r="H481" t="b">
        <v>0</v>
      </c>
      <c r="I481" t="s">
        <v>1050</v>
      </c>
      <c r="J481">
        <v>89</v>
      </c>
      <c r="K481" t="s">
        <v>1</v>
      </c>
      <c r="L481" t="s">
        <v>1547</v>
      </c>
      <c r="M481" t="s">
        <v>1548</v>
      </c>
      <c r="N481" t="s">
        <v>1548</v>
      </c>
      <c r="O481" t="s">
        <v>1548</v>
      </c>
      <c r="P481" t="s">
        <v>1752</v>
      </c>
    </row>
    <row r="482" spans="1:16" x14ac:dyDescent="0.25">
      <c r="A482" t="s">
        <v>1856</v>
      </c>
      <c r="B482" t="s">
        <v>1749</v>
      </c>
      <c r="C482" t="s">
        <v>1750</v>
      </c>
      <c r="D482" t="s">
        <v>1027</v>
      </c>
      <c r="E482">
        <v>1494</v>
      </c>
      <c r="F482" t="s">
        <v>1751</v>
      </c>
      <c r="G482" t="b">
        <v>0</v>
      </c>
      <c r="H482" t="b">
        <v>0</v>
      </c>
      <c r="I482" t="s">
        <v>1050</v>
      </c>
      <c r="J482">
        <v>89</v>
      </c>
      <c r="K482" t="s">
        <v>1</v>
      </c>
      <c r="L482" t="s">
        <v>1547</v>
      </c>
      <c r="M482" t="s">
        <v>1548</v>
      </c>
      <c r="N482" t="s">
        <v>1548</v>
      </c>
      <c r="O482" t="s">
        <v>1548</v>
      </c>
      <c r="P482" t="s">
        <v>1752</v>
      </c>
    </row>
    <row r="483" spans="1:16" x14ac:dyDescent="0.25">
      <c r="A483" t="s">
        <v>1857</v>
      </c>
      <c r="B483" t="s">
        <v>1749</v>
      </c>
      <c r="C483" t="s">
        <v>1750</v>
      </c>
      <c r="D483" t="s">
        <v>1027</v>
      </c>
      <c r="E483">
        <v>1494</v>
      </c>
      <c r="F483" t="s">
        <v>1751</v>
      </c>
      <c r="G483" t="b">
        <v>0</v>
      </c>
      <c r="H483" t="b">
        <v>0</v>
      </c>
      <c r="I483" t="s">
        <v>1050</v>
      </c>
      <c r="J483">
        <v>89</v>
      </c>
      <c r="K483" t="s">
        <v>1</v>
      </c>
      <c r="L483" t="s">
        <v>1547</v>
      </c>
      <c r="M483" t="s">
        <v>1548</v>
      </c>
      <c r="N483" t="s">
        <v>1548</v>
      </c>
      <c r="O483" t="s">
        <v>1548</v>
      </c>
      <c r="P483" t="s">
        <v>1752</v>
      </c>
    </row>
    <row r="484" spans="1:16" x14ac:dyDescent="0.25">
      <c r="A484" t="s">
        <v>1858</v>
      </c>
      <c r="B484" t="s">
        <v>1749</v>
      </c>
      <c r="C484" t="s">
        <v>1750</v>
      </c>
      <c r="D484" t="s">
        <v>1027</v>
      </c>
      <c r="E484">
        <v>1494</v>
      </c>
      <c r="F484" t="s">
        <v>1751</v>
      </c>
      <c r="G484" t="b">
        <v>0</v>
      </c>
      <c r="H484" t="b">
        <v>0</v>
      </c>
      <c r="I484" t="s">
        <v>1050</v>
      </c>
      <c r="J484">
        <v>89</v>
      </c>
      <c r="K484" t="s">
        <v>1</v>
      </c>
      <c r="L484" t="s">
        <v>1547</v>
      </c>
      <c r="M484" t="s">
        <v>1548</v>
      </c>
      <c r="N484" t="s">
        <v>1548</v>
      </c>
      <c r="O484" t="s">
        <v>1548</v>
      </c>
      <c r="P484" t="s">
        <v>1752</v>
      </c>
    </row>
    <row r="485" spans="1:16" x14ac:dyDescent="0.25">
      <c r="A485" t="s">
        <v>1859</v>
      </c>
      <c r="B485" t="s">
        <v>1749</v>
      </c>
      <c r="C485" t="s">
        <v>1750</v>
      </c>
      <c r="D485" t="s">
        <v>1027</v>
      </c>
      <c r="E485">
        <v>1494</v>
      </c>
      <c r="F485" t="s">
        <v>1751</v>
      </c>
      <c r="G485" t="b">
        <v>0</v>
      </c>
      <c r="H485" t="b">
        <v>0</v>
      </c>
      <c r="I485" t="s">
        <v>1050</v>
      </c>
      <c r="J485">
        <v>89</v>
      </c>
      <c r="K485" t="s">
        <v>1</v>
      </c>
      <c r="L485" t="s">
        <v>1547</v>
      </c>
      <c r="M485" t="s">
        <v>1548</v>
      </c>
      <c r="N485" t="s">
        <v>1548</v>
      </c>
      <c r="O485" t="s">
        <v>1548</v>
      </c>
      <c r="P485" t="s">
        <v>1752</v>
      </c>
    </row>
    <row r="486" spans="1:16" x14ac:dyDescent="0.25">
      <c r="A486" t="s">
        <v>1860</v>
      </c>
      <c r="B486" t="s">
        <v>1749</v>
      </c>
      <c r="C486" t="s">
        <v>1750</v>
      </c>
      <c r="D486" t="s">
        <v>1027</v>
      </c>
      <c r="E486">
        <v>1494</v>
      </c>
      <c r="F486" t="s">
        <v>1751</v>
      </c>
      <c r="G486" t="b">
        <v>0</v>
      </c>
      <c r="H486" t="b">
        <v>0</v>
      </c>
      <c r="I486" t="s">
        <v>1050</v>
      </c>
      <c r="J486">
        <v>89</v>
      </c>
      <c r="K486" t="s">
        <v>1</v>
      </c>
      <c r="L486" t="s">
        <v>1547</v>
      </c>
      <c r="M486" t="s">
        <v>1548</v>
      </c>
      <c r="N486" t="s">
        <v>1548</v>
      </c>
      <c r="O486" t="s">
        <v>1548</v>
      </c>
      <c r="P486" t="s">
        <v>1752</v>
      </c>
    </row>
    <row r="487" spans="1:16" x14ac:dyDescent="0.25">
      <c r="A487" t="s">
        <v>1861</v>
      </c>
      <c r="B487" t="s">
        <v>1749</v>
      </c>
      <c r="C487" t="s">
        <v>1750</v>
      </c>
      <c r="D487" t="s">
        <v>1027</v>
      </c>
      <c r="E487">
        <v>1494</v>
      </c>
      <c r="F487" t="s">
        <v>1751</v>
      </c>
      <c r="G487" t="b">
        <v>0</v>
      </c>
      <c r="H487" t="b">
        <v>0</v>
      </c>
      <c r="I487" t="s">
        <v>1050</v>
      </c>
      <c r="J487">
        <v>89</v>
      </c>
      <c r="K487" t="s">
        <v>1</v>
      </c>
      <c r="L487" t="s">
        <v>1547</v>
      </c>
      <c r="M487" t="s">
        <v>1548</v>
      </c>
      <c r="N487" t="s">
        <v>1548</v>
      </c>
      <c r="O487" t="s">
        <v>1548</v>
      </c>
      <c r="P487" t="s">
        <v>1752</v>
      </c>
    </row>
    <row r="488" spans="1:16" x14ac:dyDescent="0.25">
      <c r="A488" t="s">
        <v>1862</v>
      </c>
      <c r="B488" t="s">
        <v>1749</v>
      </c>
      <c r="C488" t="s">
        <v>1750</v>
      </c>
      <c r="D488" t="s">
        <v>1027</v>
      </c>
      <c r="E488">
        <v>1494</v>
      </c>
      <c r="F488" t="s">
        <v>1751</v>
      </c>
      <c r="G488" t="b">
        <v>0</v>
      </c>
      <c r="H488" t="b">
        <v>0</v>
      </c>
      <c r="I488" t="s">
        <v>1050</v>
      </c>
      <c r="J488">
        <v>89</v>
      </c>
      <c r="K488" t="s">
        <v>1</v>
      </c>
      <c r="L488" t="s">
        <v>1547</v>
      </c>
      <c r="M488" t="s">
        <v>1548</v>
      </c>
      <c r="N488" t="s">
        <v>1548</v>
      </c>
      <c r="O488" t="s">
        <v>1548</v>
      </c>
      <c r="P488" t="s">
        <v>1752</v>
      </c>
    </row>
    <row r="489" spans="1:16" x14ac:dyDescent="0.25">
      <c r="A489" t="s">
        <v>1863</v>
      </c>
      <c r="B489" t="s">
        <v>1749</v>
      </c>
      <c r="C489" t="s">
        <v>1750</v>
      </c>
      <c r="D489" t="s">
        <v>1027</v>
      </c>
      <c r="E489">
        <v>1494</v>
      </c>
      <c r="F489" t="s">
        <v>1751</v>
      </c>
      <c r="G489" t="b">
        <v>0</v>
      </c>
      <c r="H489" t="b">
        <v>0</v>
      </c>
      <c r="I489" t="s">
        <v>1050</v>
      </c>
      <c r="J489">
        <v>89</v>
      </c>
      <c r="K489" t="s">
        <v>1</v>
      </c>
      <c r="L489" t="s">
        <v>1547</v>
      </c>
      <c r="M489" t="s">
        <v>1548</v>
      </c>
      <c r="N489" t="s">
        <v>1548</v>
      </c>
      <c r="O489" t="s">
        <v>1548</v>
      </c>
      <c r="P489" t="s">
        <v>1752</v>
      </c>
    </row>
    <row r="490" spans="1:16" x14ac:dyDescent="0.25">
      <c r="A490" t="s">
        <v>1864</v>
      </c>
      <c r="B490" t="s">
        <v>1749</v>
      </c>
      <c r="C490" t="s">
        <v>1750</v>
      </c>
      <c r="D490" t="s">
        <v>1027</v>
      </c>
      <c r="E490">
        <v>1494</v>
      </c>
      <c r="F490" t="s">
        <v>1751</v>
      </c>
      <c r="G490" t="b">
        <v>0</v>
      </c>
      <c r="H490" t="b">
        <v>0</v>
      </c>
      <c r="I490" t="s">
        <v>1050</v>
      </c>
      <c r="J490">
        <v>89</v>
      </c>
      <c r="K490" t="s">
        <v>1</v>
      </c>
      <c r="L490" t="s">
        <v>1547</v>
      </c>
      <c r="M490" t="s">
        <v>1548</v>
      </c>
      <c r="N490" t="s">
        <v>1548</v>
      </c>
      <c r="O490" t="s">
        <v>1548</v>
      </c>
      <c r="P490" t="s">
        <v>1752</v>
      </c>
    </row>
    <row r="491" spans="1:16" x14ac:dyDescent="0.25">
      <c r="A491" t="s">
        <v>1865</v>
      </c>
      <c r="B491" t="s">
        <v>1749</v>
      </c>
      <c r="C491" t="s">
        <v>1750</v>
      </c>
      <c r="D491" t="s">
        <v>1027</v>
      </c>
      <c r="E491">
        <v>1494</v>
      </c>
      <c r="F491" t="s">
        <v>1751</v>
      </c>
      <c r="G491" t="b">
        <v>0</v>
      </c>
      <c r="H491" t="b">
        <v>0</v>
      </c>
      <c r="I491" t="s">
        <v>1050</v>
      </c>
      <c r="J491">
        <v>89</v>
      </c>
      <c r="K491" t="s">
        <v>1</v>
      </c>
      <c r="L491" t="s">
        <v>1547</v>
      </c>
      <c r="M491" t="s">
        <v>1548</v>
      </c>
      <c r="N491" t="s">
        <v>1548</v>
      </c>
      <c r="O491" t="s">
        <v>1548</v>
      </c>
      <c r="P491" t="s">
        <v>1752</v>
      </c>
    </row>
    <row r="492" spans="1:16" x14ac:dyDescent="0.25">
      <c r="A492" t="s">
        <v>1866</v>
      </c>
      <c r="B492" t="s">
        <v>1749</v>
      </c>
      <c r="C492" t="s">
        <v>1750</v>
      </c>
      <c r="D492" t="s">
        <v>1027</v>
      </c>
      <c r="E492">
        <v>1494</v>
      </c>
      <c r="F492" t="s">
        <v>1751</v>
      </c>
      <c r="G492" t="b">
        <v>0</v>
      </c>
      <c r="H492" t="b">
        <v>0</v>
      </c>
      <c r="I492" t="s">
        <v>1050</v>
      </c>
      <c r="J492">
        <v>89</v>
      </c>
      <c r="K492" t="s">
        <v>1</v>
      </c>
      <c r="L492" t="s">
        <v>1547</v>
      </c>
      <c r="M492" t="s">
        <v>1548</v>
      </c>
      <c r="N492" t="s">
        <v>1548</v>
      </c>
      <c r="O492" t="s">
        <v>1548</v>
      </c>
      <c r="P492" t="s">
        <v>1752</v>
      </c>
    </row>
    <row r="493" spans="1:16" x14ac:dyDescent="0.25">
      <c r="A493" t="s">
        <v>1867</v>
      </c>
      <c r="B493" t="s">
        <v>1749</v>
      </c>
      <c r="C493" t="s">
        <v>1750</v>
      </c>
      <c r="D493" t="s">
        <v>1027</v>
      </c>
      <c r="E493">
        <v>1494</v>
      </c>
      <c r="F493" t="s">
        <v>1751</v>
      </c>
      <c r="G493" t="b">
        <v>0</v>
      </c>
      <c r="H493" t="b">
        <v>0</v>
      </c>
      <c r="I493" t="s">
        <v>1050</v>
      </c>
      <c r="J493">
        <v>89</v>
      </c>
      <c r="K493" t="s">
        <v>1</v>
      </c>
      <c r="L493" t="s">
        <v>1547</v>
      </c>
      <c r="M493" t="s">
        <v>1548</v>
      </c>
      <c r="N493" t="s">
        <v>1548</v>
      </c>
      <c r="O493" t="s">
        <v>1548</v>
      </c>
      <c r="P493" t="s">
        <v>1752</v>
      </c>
    </row>
    <row r="494" spans="1:16" x14ac:dyDescent="0.25">
      <c r="A494" t="s">
        <v>1868</v>
      </c>
      <c r="B494" t="s">
        <v>1749</v>
      </c>
      <c r="C494" t="s">
        <v>1750</v>
      </c>
      <c r="D494" t="s">
        <v>1027</v>
      </c>
      <c r="E494">
        <v>1494</v>
      </c>
      <c r="F494" t="s">
        <v>1751</v>
      </c>
      <c r="G494" t="b">
        <v>0</v>
      </c>
      <c r="H494" t="b">
        <v>0</v>
      </c>
      <c r="I494" t="s">
        <v>1050</v>
      </c>
      <c r="J494">
        <v>89</v>
      </c>
      <c r="K494" t="s">
        <v>1</v>
      </c>
      <c r="L494" t="s">
        <v>1547</v>
      </c>
      <c r="M494" t="s">
        <v>1548</v>
      </c>
      <c r="N494" t="s">
        <v>1548</v>
      </c>
      <c r="O494" t="s">
        <v>1548</v>
      </c>
      <c r="P494" t="s">
        <v>1752</v>
      </c>
    </row>
    <row r="495" spans="1:16" x14ac:dyDescent="0.25">
      <c r="A495" t="s">
        <v>1869</v>
      </c>
      <c r="B495" t="s">
        <v>1749</v>
      </c>
      <c r="C495" t="s">
        <v>1750</v>
      </c>
      <c r="D495" t="s">
        <v>1027</v>
      </c>
      <c r="E495">
        <v>1494</v>
      </c>
      <c r="F495" t="s">
        <v>1751</v>
      </c>
      <c r="G495" t="b">
        <v>0</v>
      </c>
      <c r="H495" t="b">
        <v>0</v>
      </c>
      <c r="I495" t="s">
        <v>1050</v>
      </c>
      <c r="J495">
        <v>89</v>
      </c>
      <c r="K495" t="s">
        <v>1</v>
      </c>
      <c r="L495" t="s">
        <v>1547</v>
      </c>
      <c r="M495" t="s">
        <v>1548</v>
      </c>
      <c r="N495" t="s">
        <v>1548</v>
      </c>
      <c r="O495" t="s">
        <v>1548</v>
      </c>
      <c r="P495" t="s">
        <v>1752</v>
      </c>
    </row>
    <row r="496" spans="1:16" x14ac:dyDescent="0.25">
      <c r="A496" t="s">
        <v>1870</v>
      </c>
      <c r="B496" t="s">
        <v>1749</v>
      </c>
      <c r="C496" t="s">
        <v>1750</v>
      </c>
      <c r="D496" t="s">
        <v>1027</v>
      </c>
      <c r="E496">
        <v>1494</v>
      </c>
      <c r="F496" t="s">
        <v>1751</v>
      </c>
      <c r="G496" t="b">
        <v>0</v>
      </c>
      <c r="H496" t="b">
        <v>0</v>
      </c>
      <c r="I496" t="s">
        <v>1050</v>
      </c>
      <c r="J496">
        <v>89</v>
      </c>
      <c r="K496" t="s">
        <v>1</v>
      </c>
      <c r="L496" t="s">
        <v>1547</v>
      </c>
      <c r="M496" t="s">
        <v>1548</v>
      </c>
      <c r="N496" t="s">
        <v>1548</v>
      </c>
      <c r="O496" t="s">
        <v>1548</v>
      </c>
      <c r="P496" t="s">
        <v>1752</v>
      </c>
    </row>
    <row r="497" spans="1:16" x14ac:dyDescent="0.25">
      <c r="A497" t="s">
        <v>1871</v>
      </c>
      <c r="B497" t="s">
        <v>1749</v>
      </c>
      <c r="C497" t="s">
        <v>1750</v>
      </c>
      <c r="D497" t="s">
        <v>1027</v>
      </c>
      <c r="E497">
        <v>1494</v>
      </c>
      <c r="F497" t="s">
        <v>1751</v>
      </c>
      <c r="G497" t="b">
        <v>0</v>
      </c>
      <c r="H497" t="b">
        <v>0</v>
      </c>
      <c r="I497" t="s">
        <v>1050</v>
      </c>
      <c r="J497">
        <v>89</v>
      </c>
      <c r="K497" t="s">
        <v>1</v>
      </c>
      <c r="L497" t="s">
        <v>1547</v>
      </c>
      <c r="M497" t="s">
        <v>1548</v>
      </c>
      <c r="N497" t="s">
        <v>1548</v>
      </c>
      <c r="O497" t="s">
        <v>1548</v>
      </c>
      <c r="P497" t="s">
        <v>1752</v>
      </c>
    </row>
    <row r="498" spans="1:16" x14ac:dyDescent="0.25">
      <c r="A498" t="s">
        <v>1872</v>
      </c>
      <c r="B498" t="s">
        <v>1749</v>
      </c>
      <c r="C498" t="s">
        <v>1750</v>
      </c>
      <c r="D498" t="s">
        <v>1027</v>
      </c>
      <c r="E498">
        <v>1494</v>
      </c>
      <c r="F498" t="s">
        <v>1751</v>
      </c>
      <c r="G498" t="b">
        <v>0</v>
      </c>
      <c r="H498" t="b">
        <v>0</v>
      </c>
      <c r="I498" t="s">
        <v>1050</v>
      </c>
      <c r="J498">
        <v>89</v>
      </c>
      <c r="K498" t="s">
        <v>1</v>
      </c>
      <c r="L498" t="s">
        <v>1547</v>
      </c>
      <c r="M498" t="s">
        <v>1548</v>
      </c>
      <c r="N498" t="s">
        <v>1548</v>
      </c>
      <c r="O498" t="s">
        <v>1548</v>
      </c>
      <c r="P498" t="s">
        <v>1752</v>
      </c>
    </row>
    <row r="499" spans="1:16" x14ac:dyDescent="0.25">
      <c r="A499" t="s">
        <v>1873</v>
      </c>
      <c r="B499" t="s">
        <v>1749</v>
      </c>
      <c r="C499" t="s">
        <v>1750</v>
      </c>
      <c r="D499" t="s">
        <v>1027</v>
      </c>
      <c r="E499">
        <v>1494</v>
      </c>
      <c r="F499" t="s">
        <v>1751</v>
      </c>
      <c r="G499" t="b">
        <v>0</v>
      </c>
      <c r="H499" t="b">
        <v>0</v>
      </c>
      <c r="I499" t="s">
        <v>1050</v>
      </c>
      <c r="J499">
        <v>89</v>
      </c>
      <c r="K499" t="s">
        <v>1</v>
      </c>
      <c r="L499" t="s">
        <v>1547</v>
      </c>
      <c r="M499" t="s">
        <v>1548</v>
      </c>
      <c r="N499" t="s">
        <v>1548</v>
      </c>
      <c r="O499" t="s">
        <v>1548</v>
      </c>
      <c r="P499" t="s">
        <v>1752</v>
      </c>
    </row>
    <row r="500" spans="1:16" x14ac:dyDescent="0.25">
      <c r="A500" t="s">
        <v>1874</v>
      </c>
      <c r="B500" t="s">
        <v>1749</v>
      </c>
      <c r="C500" t="s">
        <v>1750</v>
      </c>
      <c r="D500" t="s">
        <v>1027</v>
      </c>
      <c r="E500">
        <v>1494</v>
      </c>
      <c r="F500" t="s">
        <v>1751</v>
      </c>
      <c r="G500" t="b">
        <v>0</v>
      </c>
      <c r="H500" t="b">
        <v>0</v>
      </c>
      <c r="I500" t="s">
        <v>1050</v>
      </c>
      <c r="J500">
        <v>89</v>
      </c>
      <c r="K500" t="s">
        <v>1</v>
      </c>
      <c r="L500" t="s">
        <v>1547</v>
      </c>
      <c r="M500" t="s">
        <v>1548</v>
      </c>
      <c r="N500" t="s">
        <v>1548</v>
      </c>
      <c r="O500" t="s">
        <v>1548</v>
      </c>
      <c r="P500" t="s">
        <v>1752</v>
      </c>
    </row>
    <row r="501" spans="1:16" x14ac:dyDescent="0.25">
      <c r="A501" t="s">
        <v>1875</v>
      </c>
      <c r="B501" t="s">
        <v>1749</v>
      </c>
      <c r="C501" t="s">
        <v>1750</v>
      </c>
      <c r="D501" t="s">
        <v>1027</v>
      </c>
      <c r="E501">
        <v>1494</v>
      </c>
      <c r="F501" t="s">
        <v>1751</v>
      </c>
      <c r="G501" t="b">
        <v>0</v>
      </c>
      <c r="H501" t="b">
        <v>0</v>
      </c>
      <c r="I501" t="s">
        <v>1050</v>
      </c>
      <c r="J501">
        <v>89</v>
      </c>
      <c r="K501" t="s">
        <v>1</v>
      </c>
      <c r="L501" t="s">
        <v>1547</v>
      </c>
      <c r="M501" t="s">
        <v>1548</v>
      </c>
      <c r="N501" t="s">
        <v>1548</v>
      </c>
      <c r="O501" t="s">
        <v>1548</v>
      </c>
      <c r="P501" t="s">
        <v>1752</v>
      </c>
    </row>
    <row r="502" spans="1:16" x14ac:dyDescent="0.25">
      <c r="A502" t="s">
        <v>1876</v>
      </c>
      <c r="B502" t="s">
        <v>1749</v>
      </c>
      <c r="C502" t="s">
        <v>1750</v>
      </c>
      <c r="D502" t="s">
        <v>1027</v>
      </c>
      <c r="E502">
        <v>1494</v>
      </c>
      <c r="F502" t="s">
        <v>1751</v>
      </c>
      <c r="G502" t="b">
        <v>0</v>
      </c>
      <c r="H502" t="b">
        <v>0</v>
      </c>
      <c r="I502" t="s">
        <v>1050</v>
      </c>
      <c r="J502">
        <v>89</v>
      </c>
      <c r="K502" t="s">
        <v>1</v>
      </c>
      <c r="L502" t="s">
        <v>1547</v>
      </c>
      <c r="M502" t="s">
        <v>1548</v>
      </c>
      <c r="N502" t="s">
        <v>1548</v>
      </c>
      <c r="O502" t="s">
        <v>1548</v>
      </c>
      <c r="P502" t="s">
        <v>1752</v>
      </c>
    </row>
    <row r="503" spans="1:16" x14ac:dyDescent="0.25">
      <c r="A503" t="s">
        <v>1877</v>
      </c>
      <c r="B503" t="s">
        <v>1749</v>
      </c>
      <c r="C503" t="s">
        <v>1750</v>
      </c>
      <c r="D503" t="s">
        <v>1027</v>
      </c>
      <c r="E503">
        <v>1494</v>
      </c>
      <c r="F503" t="s">
        <v>1751</v>
      </c>
      <c r="G503" t="b">
        <v>0</v>
      </c>
      <c r="H503" t="b">
        <v>0</v>
      </c>
      <c r="I503" t="s">
        <v>1050</v>
      </c>
      <c r="J503">
        <v>89</v>
      </c>
      <c r="K503" t="s">
        <v>1</v>
      </c>
      <c r="L503" t="s">
        <v>1547</v>
      </c>
      <c r="M503" t="s">
        <v>1548</v>
      </c>
      <c r="N503" t="s">
        <v>1548</v>
      </c>
      <c r="O503" t="s">
        <v>1548</v>
      </c>
      <c r="P503" t="s">
        <v>1752</v>
      </c>
    </row>
    <row r="504" spans="1:16" x14ac:dyDescent="0.25">
      <c r="A504" t="s">
        <v>1878</v>
      </c>
      <c r="B504" t="s">
        <v>1749</v>
      </c>
      <c r="C504" t="s">
        <v>1750</v>
      </c>
      <c r="D504" t="s">
        <v>1027</v>
      </c>
      <c r="E504">
        <v>1494</v>
      </c>
      <c r="F504" t="s">
        <v>1751</v>
      </c>
      <c r="G504" t="b">
        <v>0</v>
      </c>
      <c r="H504" t="b">
        <v>0</v>
      </c>
      <c r="I504" t="s">
        <v>1050</v>
      </c>
      <c r="J504">
        <v>89</v>
      </c>
      <c r="K504" t="s">
        <v>1</v>
      </c>
      <c r="L504" t="s">
        <v>1547</v>
      </c>
      <c r="M504" t="s">
        <v>1548</v>
      </c>
      <c r="N504" t="s">
        <v>1548</v>
      </c>
      <c r="O504" t="s">
        <v>1548</v>
      </c>
      <c r="P504" t="s">
        <v>1752</v>
      </c>
    </row>
    <row r="505" spans="1:16" x14ac:dyDescent="0.25">
      <c r="A505" t="s">
        <v>1879</v>
      </c>
      <c r="B505" t="s">
        <v>1749</v>
      </c>
      <c r="C505" t="s">
        <v>1750</v>
      </c>
      <c r="D505" t="s">
        <v>1027</v>
      </c>
      <c r="E505">
        <v>1494</v>
      </c>
      <c r="F505" t="s">
        <v>1751</v>
      </c>
      <c r="G505" t="b">
        <v>0</v>
      </c>
      <c r="H505" t="b">
        <v>0</v>
      </c>
      <c r="I505" t="s">
        <v>1050</v>
      </c>
      <c r="J505">
        <v>89</v>
      </c>
      <c r="K505" t="s">
        <v>1</v>
      </c>
      <c r="L505" t="s">
        <v>1547</v>
      </c>
      <c r="M505" t="s">
        <v>1548</v>
      </c>
      <c r="N505" t="s">
        <v>1548</v>
      </c>
      <c r="O505" t="s">
        <v>1548</v>
      </c>
      <c r="P505" t="s">
        <v>1752</v>
      </c>
    </row>
    <row r="506" spans="1:16" x14ac:dyDescent="0.25">
      <c r="A506" t="s">
        <v>1880</v>
      </c>
      <c r="B506" t="s">
        <v>1749</v>
      </c>
      <c r="C506" t="s">
        <v>1750</v>
      </c>
      <c r="D506" t="s">
        <v>1027</v>
      </c>
      <c r="E506">
        <v>1494</v>
      </c>
      <c r="F506" t="s">
        <v>1751</v>
      </c>
      <c r="G506" t="b">
        <v>0</v>
      </c>
      <c r="H506" t="b">
        <v>0</v>
      </c>
      <c r="I506" t="s">
        <v>1050</v>
      </c>
      <c r="J506">
        <v>89</v>
      </c>
      <c r="K506" t="s">
        <v>1</v>
      </c>
      <c r="L506" t="s">
        <v>1547</v>
      </c>
      <c r="M506" t="s">
        <v>1548</v>
      </c>
      <c r="N506" t="s">
        <v>1548</v>
      </c>
      <c r="O506" t="s">
        <v>1548</v>
      </c>
      <c r="P506" t="s">
        <v>1752</v>
      </c>
    </row>
    <row r="507" spans="1:16" x14ac:dyDescent="0.25">
      <c r="A507" t="s">
        <v>1881</v>
      </c>
      <c r="B507" t="s">
        <v>1749</v>
      </c>
      <c r="C507" t="s">
        <v>1750</v>
      </c>
      <c r="D507" t="s">
        <v>1027</v>
      </c>
      <c r="E507">
        <v>1494</v>
      </c>
      <c r="F507" t="s">
        <v>1751</v>
      </c>
      <c r="G507" t="b">
        <v>0</v>
      </c>
      <c r="H507" t="b">
        <v>0</v>
      </c>
      <c r="I507" t="s">
        <v>1050</v>
      </c>
      <c r="J507">
        <v>89</v>
      </c>
      <c r="K507" t="s">
        <v>1</v>
      </c>
      <c r="L507" t="s">
        <v>1547</v>
      </c>
      <c r="M507" t="s">
        <v>1548</v>
      </c>
      <c r="N507" t="s">
        <v>1548</v>
      </c>
      <c r="O507" t="s">
        <v>1548</v>
      </c>
      <c r="P507" t="s">
        <v>1752</v>
      </c>
    </row>
    <row r="508" spans="1:16" x14ac:dyDescent="0.25">
      <c r="A508" t="s">
        <v>1882</v>
      </c>
      <c r="B508" t="s">
        <v>1749</v>
      </c>
      <c r="C508" t="s">
        <v>1750</v>
      </c>
      <c r="D508" t="s">
        <v>1027</v>
      </c>
      <c r="E508">
        <v>1494</v>
      </c>
      <c r="F508" t="s">
        <v>1751</v>
      </c>
      <c r="G508" t="b">
        <v>0</v>
      </c>
      <c r="H508" t="b">
        <v>0</v>
      </c>
      <c r="I508" t="s">
        <v>1050</v>
      </c>
      <c r="J508">
        <v>89</v>
      </c>
      <c r="K508" t="s">
        <v>1</v>
      </c>
      <c r="L508" t="s">
        <v>1547</v>
      </c>
      <c r="M508" t="s">
        <v>1548</v>
      </c>
      <c r="N508" t="s">
        <v>1548</v>
      </c>
      <c r="O508" t="s">
        <v>1548</v>
      </c>
      <c r="P508" t="s">
        <v>1752</v>
      </c>
    </row>
    <row r="509" spans="1:16" x14ac:dyDescent="0.25">
      <c r="A509" t="s">
        <v>1883</v>
      </c>
      <c r="B509" t="s">
        <v>1749</v>
      </c>
      <c r="C509" t="s">
        <v>1750</v>
      </c>
      <c r="D509" t="s">
        <v>1027</v>
      </c>
      <c r="E509">
        <v>1494</v>
      </c>
      <c r="F509" t="s">
        <v>1751</v>
      </c>
      <c r="G509" t="b">
        <v>0</v>
      </c>
      <c r="H509" t="b">
        <v>0</v>
      </c>
      <c r="I509" t="s">
        <v>1050</v>
      </c>
      <c r="J509">
        <v>89</v>
      </c>
      <c r="K509" t="s">
        <v>1</v>
      </c>
      <c r="L509" t="s">
        <v>1547</v>
      </c>
      <c r="M509" t="s">
        <v>1548</v>
      </c>
      <c r="N509" t="s">
        <v>1548</v>
      </c>
      <c r="O509" t="s">
        <v>1548</v>
      </c>
      <c r="P509" t="s">
        <v>1752</v>
      </c>
    </row>
    <row r="510" spans="1:16" x14ac:dyDescent="0.25">
      <c r="A510" t="s">
        <v>1884</v>
      </c>
      <c r="B510" t="s">
        <v>1749</v>
      </c>
      <c r="C510" t="s">
        <v>1750</v>
      </c>
      <c r="D510" t="s">
        <v>1027</v>
      </c>
      <c r="E510">
        <v>1494</v>
      </c>
      <c r="F510" t="s">
        <v>1751</v>
      </c>
      <c r="G510" t="b">
        <v>0</v>
      </c>
      <c r="H510" t="b">
        <v>0</v>
      </c>
      <c r="I510" t="s">
        <v>1050</v>
      </c>
      <c r="J510">
        <v>89</v>
      </c>
      <c r="K510" t="s">
        <v>1</v>
      </c>
      <c r="L510" t="s">
        <v>1547</v>
      </c>
      <c r="M510" t="s">
        <v>1548</v>
      </c>
      <c r="N510" t="s">
        <v>1548</v>
      </c>
      <c r="O510" t="s">
        <v>1548</v>
      </c>
      <c r="P510" t="s">
        <v>1752</v>
      </c>
    </row>
    <row r="511" spans="1:16" x14ac:dyDescent="0.25">
      <c r="A511" t="s">
        <v>1885</v>
      </c>
      <c r="B511" t="s">
        <v>1749</v>
      </c>
      <c r="C511" t="s">
        <v>1750</v>
      </c>
      <c r="D511" t="s">
        <v>1027</v>
      </c>
      <c r="E511">
        <v>1494</v>
      </c>
      <c r="F511" t="s">
        <v>1751</v>
      </c>
      <c r="G511" t="b">
        <v>0</v>
      </c>
      <c r="H511" t="b">
        <v>0</v>
      </c>
      <c r="I511" t="s">
        <v>1050</v>
      </c>
      <c r="J511">
        <v>89</v>
      </c>
      <c r="K511" t="s">
        <v>1</v>
      </c>
      <c r="L511" t="s">
        <v>1547</v>
      </c>
      <c r="M511" t="s">
        <v>1548</v>
      </c>
      <c r="N511" t="s">
        <v>1548</v>
      </c>
      <c r="O511" t="s">
        <v>1548</v>
      </c>
      <c r="P511" t="s">
        <v>1752</v>
      </c>
    </row>
    <row r="512" spans="1:16" x14ac:dyDescent="0.25">
      <c r="A512" t="s">
        <v>1886</v>
      </c>
      <c r="B512" t="s">
        <v>1749</v>
      </c>
      <c r="C512" t="s">
        <v>1750</v>
      </c>
      <c r="D512" t="s">
        <v>1027</v>
      </c>
      <c r="E512">
        <v>1494</v>
      </c>
      <c r="F512" t="s">
        <v>1751</v>
      </c>
      <c r="G512" t="b">
        <v>0</v>
      </c>
      <c r="H512" t="b">
        <v>0</v>
      </c>
      <c r="I512" t="s">
        <v>1050</v>
      </c>
      <c r="J512">
        <v>89</v>
      </c>
      <c r="K512" t="s">
        <v>1</v>
      </c>
      <c r="L512" t="s">
        <v>1547</v>
      </c>
      <c r="M512" t="s">
        <v>1548</v>
      </c>
      <c r="N512" t="s">
        <v>1548</v>
      </c>
      <c r="O512" t="s">
        <v>1548</v>
      </c>
      <c r="P512" t="s">
        <v>1752</v>
      </c>
    </row>
    <row r="513" spans="1:16" x14ac:dyDescent="0.25">
      <c r="A513" t="s">
        <v>1887</v>
      </c>
      <c r="B513" t="s">
        <v>1749</v>
      </c>
      <c r="C513" t="s">
        <v>1750</v>
      </c>
      <c r="D513" t="s">
        <v>1027</v>
      </c>
      <c r="E513">
        <v>1494</v>
      </c>
      <c r="F513" t="s">
        <v>1751</v>
      </c>
      <c r="G513" t="b">
        <v>0</v>
      </c>
      <c r="H513" t="b">
        <v>0</v>
      </c>
      <c r="I513" t="s">
        <v>1050</v>
      </c>
      <c r="J513">
        <v>89</v>
      </c>
      <c r="K513" t="s">
        <v>1</v>
      </c>
      <c r="L513" t="s">
        <v>1547</v>
      </c>
      <c r="M513" t="s">
        <v>1548</v>
      </c>
      <c r="N513" t="s">
        <v>1548</v>
      </c>
      <c r="O513" t="s">
        <v>1548</v>
      </c>
      <c r="P513" t="s">
        <v>1752</v>
      </c>
    </row>
    <row r="514" spans="1:16" x14ac:dyDescent="0.25">
      <c r="A514" t="s">
        <v>1888</v>
      </c>
      <c r="B514" t="s">
        <v>1749</v>
      </c>
      <c r="C514" t="s">
        <v>1750</v>
      </c>
      <c r="D514" t="s">
        <v>1027</v>
      </c>
      <c r="E514">
        <v>1494</v>
      </c>
      <c r="F514" t="s">
        <v>1751</v>
      </c>
      <c r="G514" t="b">
        <v>0</v>
      </c>
      <c r="H514" t="b">
        <v>0</v>
      </c>
      <c r="I514" t="s">
        <v>1050</v>
      </c>
      <c r="J514">
        <v>89</v>
      </c>
      <c r="K514" t="s">
        <v>1</v>
      </c>
      <c r="L514" t="s">
        <v>1547</v>
      </c>
      <c r="M514" t="s">
        <v>1548</v>
      </c>
      <c r="N514" t="s">
        <v>1548</v>
      </c>
      <c r="O514" t="s">
        <v>1548</v>
      </c>
      <c r="P514" t="s">
        <v>1752</v>
      </c>
    </row>
    <row r="515" spans="1:16" x14ac:dyDescent="0.25">
      <c r="A515" t="s">
        <v>1889</v>
      </c>
      <c r="B515" t="s">
        <v>1749</v>
      </c>
      <c r="C515" t="s">
        <v>1750</v>
      </c>
      <c r="D515" t="s">
        <v>1027</v>
      </c>
      <c r="E515">
        <v>1494</v>
      </c>
      <c r="F515" t="s">
        <v>1751</v>
      </c>
      <c r="G515" t="b">
        <v>0</v>
      </c>
      <c r="H515" t="b">
        <v>0</v>
      </c>
      <c r="I515" t="s">
        <v>1050</v>
      </c>
      <c r="J515">
        <v>89</v>
      </c>
      <c r="K515" t="s">
        <v>1</v>
      </c>
      <c r="L515" t="s">
        <v>1547</v>
      </c>
      <c r="M515" t="s">
        <v>1548</v>
      </c>
      <c r="N515" t="s">
        <v>1548</v>
      </c>
      <c r="O515" t="s">
        <v>1548</v>
      </c>
      <c r="P515" t="s">
        <v>1752</v>
      </c>
    </row>
    <row r="516" spans="1:16" x14ac:dyDescent="0.25">
      <c r="A516" t="s">
        <v>1890</v>
      </c>
      <c r="B516" t="s">
        <v>1749</v>
      </c>
      <c r="C516" t="s">
        <v>1750</v>
      </c>
      <c r="D516" t="s">
        <v>1027</v>
      </c>
      <c r="E516">
        <v>1494</v>
      </c>
      <c r="F516" t="s">
        <v>1751</v>
      </c>
      <c r="G516" t="b">
        <v>0</v>
      </c>
      <c r="H516" t="b">
        <v>0</v>
      </c>
      <c r="I516" t="s">
        <v>1050</v>
      </c>
      <c r="J516">
        <v>89</v>
      </c>
      <c r="K516" t="s">
        <v>1</v>
      </c>
      <c r="L516" t="s">
        <v>1547</v>
      </c>
      <c r="M516" t="s">
        <v>1548</v>
      </c>
      <c r="N516" t="s">
        <v>1548</v>
      </c>
      <c r="O516" t="s">
        <v>1548</v>
      </c>
      <c r="P516" t="s">
        <v>1752</v>
      </c>
    </row>
    <row r="517" spans="1:16" x14ac:dyDescent="0.25">
      <c r="A517" t="s">
        <v>1891</v>
      </c>
      <c r="B517" t="s">
        <v>1749</v>
      </c>
      <c r="C517" t="s">
        <v>1750</v>
      </c>
      <c r="D517" t="s">
        <v>1027</v>
      </c>
      <c r="E517">
        <v>1494</v>
      </c>
      <c r="F517" t="s">
        <v>1751</v>
      </c>
      <c r="G517" t="b">
        <v>0</v>
      </c>
      <c r="H517" t="b">
        <v>0</v>
      </c>
      <c r="I517" t="s">
        <v>1050</v>
      </c>
      <c r="J517">
        <v>89</v>
      </c>
      <c r="K517" t="s">
        <v>1</v>
      </c>
      <c r="L517" t="s">
        <v>1547</v>
      </c>
      <c r="M517" t="s">
        <v>1548</v>
      </c>
      <c r="N517" t="s">
        <v>1548</v>
      </c>
      <c r="O517" t="s">
        <v>1548</v>
      </c>
      <c r="P517" t="s">
        <v>1752</v>
      </c>
    </row>
    <row r="518" spans="1:16" x14ac:dyDescent="0.25">
      <c r="A518" t="s">
        <v>1892</v>
      </c>
      <c r="B518" t="s">
        <v>1749</v>
      </c>
      <c r="C518" t="s">
        <v>1750</v>
      </c>
      <c r="D518" t="s">
        <v>1027</v>
      </c>
      <c r="E518">
        <v>1494</v>
      </c>
      <c r="F518" t="s">
        <v>1751</v>
      </c>
      <c r="G518" t="b">
        <v>0</v>
      </c>
      <c r="H518" t="b">
        <v>0</v>
      </c>
      <c r="I518" t="s">
        <v>1050</v>
      </c>
      <c r="J518">
        <v>89</v>
      </c>
      <c r="K518" t="s">
        <v>1</v>
      </c>
      <c r="L518" t="s">
        <v>1547</v>
      </c>
      <c r="M518" t="s">
        <v>1548</v>
      </c>
      <c r="N518" t="s">
        <v>1548</v>
      </c>
      <c r="O518" t="s">
        <v>1548</v>
      </c>
      <c r="P518" t="s">
        <v>1752</v>
      </c>
    </row>
    <row r="519" spans="1:16" x14ac:dyDescent="0.25">
      <c r="A519" t="s">
        <v>1893</v>
      </c>
      <c r="B519" t="s">
        <v>1749</v>
      </c>
      <c r="C519" t="s">
        <v>1750</v>
      </c>
      <c r="D519" t="s">
        <v>1027</v>
      </c>
      <c r="E519">
        <v>1494</v>
      </c>
      <c r="F519" t="s">
        <v>1751</v>
      </c>
      <c r="G519" t="b">
        <v>0</v>
      </c>
      <c r="H519" t="b">
        <v>0</v>
      </c>
      <c r="I519" t="s">
        <v>1050</v>
      </c>
      <c r="J519">
        <v>89</v>
      </c>
      <c r="K519" t="s">
        <v>1</v>
      </c>
      <c r="L519" t="s">
        <v>1547</v>
      </c>
      <c r="M519" t="s">
        <v>1548</v>
      </c>
      <c r="N519" t="s">
        <v>1548</v>
      </c>
      <c r="O519" t="s">
        <v>1548</v>
      </c>
      <c r="P519" t="s">
        <v>1752</v>
      </c>
    </row>
    <row r="520" spans="1:16" x14ac:dyDescent="0.25">
      <c r="A520" t="s">
        <v>1894</v>
      </c>
      <c r="B520" t="s">
        <v>1749</v>
      </c>
      <c r="C520" t="s">
        <v>1750</v>
      </c>
      <c r="D520" t="s">
        <v>1027</v>
      </c>
      <c r="E520">
        <v>1494</v>
      </c>
      <c r="F520" t="s">
        <v>1751</v>
      </c>
      <c r="G520" t="b">
        <v>0</v>
      </c>
      <c r="H520" t="b">
        <v>0</v>
      </c>
      <c r="I520" t="s">
        <v>1050</v>
      </c>
      <c r="J520">
        <v>89</v>
      </c>
      <c r="K520" t="s">
        <v>1</v>
      </c>
      <c r="L520" t="s">
        <v>1547</v>
      </c>
      <c r="M520" t="s">
        <v>1548</v>
      </c>
      <c r="N520" t="s">
        <v>1548</v>
      </c>
      <c r="O520" t="s">
        <v>1548</v>
      </c>
      <c r="P520" t="s">
        <v>1752</v>
      </c>
    </row>
    <row r="521" spans="1:16" x14ac:dyDescent="0.25">
      <c r="A521" t="s">
        <v>1895</v>
      </c>
      <c r="B521" t="s">
        <v>1749</v>
      </c>
      <c r="C521" t="s">
        <v>1750</v>
      </c>
      <c r="D521" t="s">
        <v>1027</v>
      </c>
      <c r="E521">
        <v>1494</v>
      </c>
      <c r="F521" t="s">
        <v>1751</v>
      </c>
      <c r="G521" t="b">
        <v>0</v>
      </c>
      <c r="H521" t="b">
        <v>0</v>
      </c>
      <c r="I521" t="s">
        <v>1050</v>
      </c>
      <c r="J521">
        <v>89</v>
      </c>
      <c r="K521" t="s">
        <v>1</v>
      </c>
      <c r="L521" t="s">
        <v>1547</v>
      </c>
      <c r="M521" t="s">
        <v>1548</v>
      </c>
      <c r="N521" t="s">
        <v>1548</v>
      </c>
      <c r="O521" t="s">
        <v>1548</v>
      </c>
      <c r="P521" t="s">
        <v>1752</v>
      </c>
    </row>
    <row r="522" spans="1:16" x14ac:dyDescent="0.25">
      <c r="A522" t="s">
        <v>1896</v>
      </c>
      <c r="B522" t="s">
        <v>1749</v>
      </c>
      <c r="C522" t="s">
        <v>1750</v>
      </c>
      <c r="D522" t="s">
        <v>1027</v>
      </c>
      <c r="E522">
        <v>1494</v>
      </c>
      <c r="F522" t="s">
        <v>1751</v>
      </c>
      <c r="G522" t="b">
        <v>0</v>
      </c>
      <c r="H522" t="b">
        <v>0</v>
      </c>
      <c r="I522" t="s">
        <v>1050</v>
      </c>
      <c r="J522">
        <v>89</v>
      </c>
      <c r="K522" t="s">
        <v>1</v>
      </c>
      <c r="L522" t="s">
        <v>1547</v>
      </c>
      <c r="M522" t="s">
        <v>1548</v>
      </c>
      <c r="N522" t="s">
        <v>1548</v>
      </c>
      <c r="O522" t="s">
        <v>1548</v>
      </c>
      <c r="P522" t="s">
        <v>1752</v>
      </c>
    </row>
    <row r="523" spans="1:16" x14ac:dyDescent="0.25">
      <c r="A523" t="s">
        <v>1897</v>
      </c>
      <c r="B523" t="s">
        <v>1749</v>
      </c>
      <c r="C523" t="s">
        <v>1750</v>
      </c>
      <c r="D523" t="s">
        <v>1027</v>
      </c>
      <c r="E523">
        <v>1494</v>
      </c>
      <c r="F523" t="s">
        <v>1751</v>
      </c>
      <c r="G523" t="b">
        <v>0</v>
      </c>
      <c r="H523" t="b">
        <v>0</v>
      </c>
      <c r="I523" t="s">
        <v>1050</v>
      </c>
      <c r="J523">
        <v>89</v>
      </c>
      <c r="K523" t="s">
        <v>1</v>
      </c>
      <c r="L523" t="s">
        <v>1547</v>
      </c>
      <c r="M523" t="s">
        <v>1548</v>
      </c>
      <c r="N523" t="s">
        <v>1548</v>
      </c>
      <c r="O523" t="s">
        <v>1548</v>
      </c>
      <c r="P523" t="s">
        <v>1752</v>
      </c>
    </row>
    <row r="524" spans="1:16" x14ac:dyDescent="0.25">
      <c r="A524" t="s">
        <v>1898</v>
      </c>
      <c r="B524" t="s">
        <v>1749</v>
      </c>
      <c r="C524" t="s">
        <v>1750</v>
      </c>
      <c r="D524" t="s">
        <v>1027</v>
      </c>
      <c r="E524">
        <v>1494</v>
      </c>
      <c r="F524" t="s">
        <v>1751</v>
      </c>
      <c r="G524" t="b">
        <v>0</v>
      </c>
      <c r="H524" t="b">
        <v>0</v>
      </c>
      <c r="I524" t="s">
        <v>1050</v>
      </c>
      <c r="J524">
        <v>89</v>
      </c>
      <c r="K524" t="s">
        <v>1</v>
      </c>
      <c r="L524" t="s">
        <v>1547</v>
      </c>
      <c r="M524" t="s">
        <v>1548</v>
      </c>
      <c r="N524" t="s">
        <v>1548</v>
      </c>
      <c r="O524" t="s">
        <v>1548</v>
      </c>
      <c r="P524" t="s">
        <v>1752</v>
      </c>
    </row>
    <row r="525" spans="1:16" x14ac:dyDescent="0.25">
      <c r="A525" t="s">
        <v>1899</v>
      </c>
      <c r="B525" t="s">
        <v>1749</v>
      </c>
      <c r="C525" t="s">
        <v>1750</v>
      </c>
      <c r="D525" t="s">
        <v>1027</v>
      </c>
      <c r="E525">
        <v>1494</v>
      </c>
      <c r="F525" t="s">
        <v>1751</v>
      </c>
      <c r="G525" t="b">
        <v>0</v>
      </c>
      <c r="H525" t="b">
        <v>0</v>
      </c>
      <c r="I525" t="s">
        <v>1050</v>
      </c>
      <c r="J525">
        <v>89</v>
      </c>
      <c r="K525" t="s">
        <v>1</v>
      </c>
      <c r="L525" t="s">
        <v>1547</v>
      </c>
      <c r="M525" t="s">
        <v>1548</v>
      </c>
      <c r="N525" t="s">
        <v>1548</v>
      </c>
      <c r="O525" t="s">
        <v>1548</v>
      </c>
      <c r="P525" t="s">
        <v>1752</v>
      </c>
    </row>
    <row r="526" spans="1:16" x14ac:dyDescent="0.25">
      <c r="A526" t="s">
        <v>1900</v>
      </c>
      <c r="B526" t="s">
        <v>1749</v>
      </c>
      <c r="C526" t="s">
        <v>1750</v>
      </c>
      <c r="D526" t="s">
        <v>1027</v>
      </c>
      <c r="E526">
        <v>1494</v>
      </c>
      <c r="F526" t="s">
        <v>1751</v>
      </c>
      <c r="G526" t="b">
        <v>0</v>
      </c>
      <c r="H526" t="b">
        <v>0</v>
      </c>
      <c r="I526" t="s">
        <v>1050</v>
      </c>
      <c r="J526">
        <v>89</v>
      </c>
      <c r="K526" t="s">
        <v>1</v>
      </c>
      <c r="L526" t="s">
        <v>1547</v>
      </c>
      <c r="M526" t="s">
        <v>1548</v>
      </c>
      <c r="N526" t="s">
        <v>1548</v>
      </c>
      <c r="O526" t="s">
        <v>1548</v>
      </c>
      <c r="P526" t="s">
        <v>1752</v>
      </c>
    </row>
    <row r="527" spans="1:16" x14ac:dyDescent="0.25">
      <c r="A527" t="s">
        <v>1901</v>
      </c>
      <c r="B527" t="s">
        <v>1749</v>
      </c>
      <c r="C527" t="s">
        <v>1750</v>
      </c>
      <c r="D527" t="s">
        <v>1027</v>
      </c>
      <c r="E527">
        <v>1494</v>
      </c>
      <c r="F527" t="s">
        <v>1751</v>
      </c>
      <c r="G527" t="b">
        <v>0</v>
      </c>
      <c r="H527" t="b">
        <v>0</v>
      </c>
      <c r="I527" t="s">
        <v>1050</v>
      </c>
      <c r="J527">
        <v>89</v>
      </c>
      <c r="K527" t="s">
        <v>1</v>
      </c>
      <c r="L527" t="s">
        <v>1547</v>
      </c>
      <c r="M527" t="s">
        <v>1548</v>
      </c>
      <c r="N527" t="s">
        <v>1548</v>
      </c>
      <c r="O527" t="s">
        <v>1548</v>
      </c>
      <c r="P527" t="s">
        <v>1752</v>
      </c>
    </row>
    <row r="528" spans="1:16" x14ac:dyDescent="0.25">
      <c r="A528" t="s">
        <v>1902</v>
      </c>
      <c r="B528" t="s">
        <v>1749</v>
      </c>
      <c r="C528" t="s">
        <v>1750</v>
      </c>
      <c r="D528" t="s">
        <v>1027</v>
      </c>
      <c r="E528">
        <v>1494</v>
      </c>
      <c r="F528" t="s">
        <v>1751</v>
      </c>
      <c r="G528" t="b">
        <v>0</v>
      </c>
      <c r="H528" t="b">
        <v>0</v>
      </c>
      <c r="I528" t="s">
        <v>1050</v>
      </c>
      <c r="J528">
        <v>89</v>
      </c>
      <c r="K528" t="s">
        <v>1</v>
      </c>
      <c r="L528" t="s">
        <v>1547</v>
      </c>
      <c r="M528" t="s">
        <v>1548</v>
      </c>
      <c r="N528" t="s">
        <v>1548</v>
      </c>
      <c r="O528" t="s">
        <v>1548</v>
      </c>
      <c r="P528" t="s">
        <v>1752</v>
      </c>
    </row>
    <row r="529" spans="1:16" x14ac:dyDescent="0.25">
      <c r="A529" t="s">
        <v>1903</v>
      </c>
      <c r="B529" t="s">
        <v>1749</v>
      </c>
      <c r="C529" t="s">
        <v>1750</v>
      </c>
      <c r="D529" t="s">
        <v>1027</v>
      </c>
      <c r="E529">
        <v>1494</v>
      </c>
      <c r="F529" t="s">
        <v>1751</v>
      </c>
      <c r="G529" t="b">
        <v>0</v>
      </c>
      <c r="H529" t="b">
        <v>0</v>
      </c>
      <c r="I529" t="s">
        <v>1050</v>
      </c>
      <c r="J529">
        <v>89</v>
      </c>
      <c r="K529" t="s">
        <v>1</v>
      </c>
      <c r="L529" t="s">
        <v>1547</v>
      </c>
      <c r="M529" t="s">
        <v>1548</v>
      </c>
      <c r="N529" t="s">
        <v>1548</v>
      </c>
      <c r="O529" t="s">
        <v>1548</v>
      </c>
      <c r="P529" t="s">
        <v>1752</v>
      </c>
    </row>
    <row r="530" spans="1:16" x14ac:dyDescent="0.25">
      <c r="A530" t="s">
        <v>1904</v>
      </c>
      <c r="B530" t="s">
        <v>1749</v>
      </c>
      <c r="C530" t="s">
        <v>1750</v>
      </c>
      <c r="D530" t="s">
        <v>1027</v>
      </c>
      <c r="E530">
        <v>1494</v>
      </c>
      <c r="F530" t="s">
        <v>1751</v>
      </c>
      <c r="G530" t="b">
        <v>0</v>
      </c>
      <c r="H530" t="b">
        <v>0</v>
      </c>
      <c r="I530" t="s">
        <v>1050</v>
      </c>
      <c r="J530">
        <v>89</v>
      </c>
      <c r="K530" t="s">
        <v>1</v>
      </c>
      <c r="L530" t="s">
        <v>1547</v>
      </c>
      <c r="M530" t="s">
        <v>1548</v>
      </c>
      <c r="N530" t="s">
        <v>1548</v>
      </c>
      <c r="O530" t="s">
        <v>1548</v>
      </c>
      <c r="P530" t="s">
        <v>1752</v>
      </c>
    </row>
    <row r="531" spans="1:16" x14ac:dyDescent="0.25">
      <c r="A531" t="s">
        <v>1905</v>
      </c>
      <c r="B531" t="s">
        <v>1749</v>
      </c>
      <c r="C531" t="s">
        <v>1750</v>
      </c>
      <c r="D531" t="s">
        <v>1027</v>
      </c>
      <c r="E531">
        <v>1494</v>
      </c>
      <c r="F531" t="s">
        <v>1751</v>
      </c>
      <c r="G531" t="b">
        <v>0</v>
      </c>
      <c r="H531" t="b">
        <v>0</v>
      </c>
      <c r="I531" t="s">
        <v>1050</v>
      </c>
      <c r="J531">
        <v>89</v>
      </c>
      <c r="K531" t="s">
        <v>1</v>
      </c>
      <c r="L531" t="s">
        <v>1547</v>
      </c>
      <c r="M531" t="s">
        <v>1548</v>
      </c>
      <c r="N531" t="s">
        <v>1548</v>
      </c>
      <c r="O531" t="s">
        <v>1548</v>
      </c>
      <c r="P531" t="s">
        <v>1752</v>
      </c>
    </row>
    <row r="532" spans="1:16" x14ac:dyDescent="0.25">
      <c r="A532" t="s">
        <v>1906</v>
      </c>
      <c r="B532" t="s">
        <v>1749</v>
      </c>
      <c r="C532" t="s">
        <v>1750</v>
      </c>
      <c r="D532" t="s">
        <v>1027</v>
      </c>
      <c r="E532">
        <v>1494</v>
      </c>
      <c r="F532" t="s">
        <v>1751</v>
      </c>
      <c r="G532" t="b">
        <v>0</v>
      </c>
      <c r="H532" t="b">
        <v>0</v>
      </c>
      <c r="I532" t="s">
        <v>1050</v>
      </c>
      <c r="J532">
        <v>89</v>
      </c>
      <c r="K532" t="s">
        <v>1</v>
      </c>
      <c r="L532" t="s">
        <v>1547</v>
      </c>
      <c r="M532" t="s">
        <v>1548</v>
      </c>
      <c r="N532" t="s">
        <v>1548</v>
      </c>
      <c r="O532" t="s">
        <v>1548</v>
      </c>
      <c r="P532" t="s">
        <v>1752</v>
      </c>
    </row>
    <row r="533" spans="1:16" x14ac:dyDescent="0.25">
      <c r="A533" t="s">
        <v>1907</v>
      </c>
      <c r="B533" t="s">
        <v>1749</v>
      </c>
      <c r="C533" t="s">
        <v>1750</v>
      </c>
      <c r="D533" t="s">
        <v>1027</v>
      </c>
      <c r="E533">
        <v>1494</v>
      </c>
      <c r="F533" t="s">
        <v>1751</v>
      </c>
      <c r="G533" t="b">
        <v>0</v>
      </c>
      <c r="H533" t="b">
        <v>0</v>
      </c>
      <c r="I533" t="s">
        <v>1050</v>
      </c>
      <c r="J533">
        <v>89</v>
      </c>
      <c r="K533" t="s">
        <v>1</v>
      </c>
      <c r="L533" t="s">
        <v>1547</v>
      </c>
      <c r="M533" t="s">
        <v>1548</v>
      </c>
      <c r="N533" t="s">
        <v>1548</v>
      </c>
      <c r="O533" t="s">
        <v>1548</v>
      </c>
      <c r="P533" t="s">
        <v>1752</v>
      </c>
    </row>
    <row r="534" spans="1:16" x14ac:dyDescent="0.25">
      <c r="A534" t="s">
        <v>1908</v>
      </c>
      <c r="B534" t="s">
        <v>1749</v>
      </c>
      <c r="C534" t="s">
        <v>1750</v>
      </c>
      <c r="D534" t="s">
        <v>1027</v>
      </c>
      <c r="E534">
        <v>1494</v>
      </c>
      <c r="F534" t="s">
        <v>1751</v>
      </c>
      <c r="G534" t="b">
        <v>0</v>
      </c>
      <c r="H534" t="b">
        <v>0</v>
      </c>
      <c r="I534" t="s">
        <v>1050</v>
      </c>
      <c r="J534">
        <v>89</v>
      </c>
      <c r="K534" t="s">
        <v>1</v>
      </c>
      <c r="L534" t="s">
        <v>1547</v>
      </c>
      <c r="M534" t="s">
        <v>1548</v>
      </c>
      <c r="N534" t="s">
        <v>1548</v>
      </c>
      <c r="O534" t="s">
        <v>1548</v>
      </c>
      <c r="P534" t="s">
        <v>1752</v>
      </c>
    </row>
    <row r="535" spans="1:16" x14ac:dyDescent="0.25">
      <c r="A535" t="s">
        <v>1909</v>
      </c>
      <c r="B535" t="s">
        <v>1749</v>
      </c>
      <c r="C535" t="s">
        <v>1750</v>
      </c>
      <c r="D535" t="s">
        <v>1027</v>
      </c>
      <c r="E535">
        <v>1494</v>
      </c>
      <c r="F535" t="s">
        <v>1751</v>
      </c>
      <c r="G535" t="b">
        <v>0</v>
      </c>
      <c r="H535" t="b">
        <v>0</v>
      </c>
      <c r="I535" t="s">
        <v>1050</v>
      </c>
      <c r="J535">
        <v>89</v>
      </c>
      <c r="K535" t="s">
        <v>1</v>
      </c>
      <c r="L535" t="s">
        <v>1547</v>
      </c>
      <c r="M535" t="s">
        <v>1548</v>
      </c>
      <c r="N535" t="s">
        <v>1548</v>
      </c>
      <c r="O535" t="s">
        <v>1548</v>
      </c>
      <c r="P535" t="s">
        <v>1752</v>
      </c>
    </row>
    <row r="536" spans="1:16" x14ac:dyDescent="0.25">
      <c r="A536" t="s">
        <v>1910</v>
      </c>
      <c r="B536" t="s">
        <v>1749</v>
      </c>
      <c r="C536" t="s">
        <v>1750</v>
      </c>
      <c r="D536" t="s">
        <v>1027</v>
      </c>
      <c r="E536">
        <v>1494</v>
      </c>
      <c r="F536" t="s">
        <v>1751</v>
      </c>
      <c r="G536" t="b">
        <v>0</v>
      </c>
      <c r="H536" t="b">
        <v>0</v>
      </c>
      <c r="I536" t="s">
        <v>1050</v>
      </c>
      <c r="J536">
        <v>89</v>
      </c>
      <c r="K536" t="s">
        <v>1</v>
      </c>
      <c r="L536" t="s">
        <v>1547</v>
      </c>
      <c r="M536" t="s">
        <v>1548</v>
      </c>
      <c r="N536" t="s">
        <v>1548</v>
      </c>
      <c r="O536" t="s">
        <v>1548</v>
      </c>
      <c r="P536" t="s">
        <v>1752</v>
      </c>
    </row>
    <row r="537" spans="1:16" x14ac:dyDescent="0.25">
      <c r="A537" t="s">
        <v>1911</v>
      </c>
      <c r="B537" t="s">
        <v>1749</v>
      </c>
      <c r="C537" t="s">
        <v>1750</v>
      </c>
      <c r="D537" t="s">
        <v>1027</v>
      </c>
      <c r="E537">
        <v>1494</v>
      </c>
      <c r="F537" t="s">
        <v>1751</v>
      </c>
      <c r="G537" t="b">
        <v>0</v>
      </c>
      <c r="H537" t="b">
        <v>0</v>
      </c>
      <c r="I537" t="s">
        <v>1050</v>
      </c>
      <c r="J537">
        <v>89</v>
      </c>
      <c r="K537" t="s">
        <v>1</v>
      </c>
      <c r="L537" t="s">
        <v>1547</v>
      </c>
      <c r="M537" t="s">
        <v>1548</v>
      </c>
      <c r="N537" t="s">
        <v>1548</v>
      </c>
      <c r="O537" t="s">
        <v>1548</v>
      </c>
      <c r="P537" t="s">
        <v>1752</v>
      </c>
    </row>
    <row r="538" spans="1:16" x14ac:dyDescent="0.25">
      <c r="A538" t="s">
        <v>1912</v>
      </c>
      <c r="B538" t="s">
        <v>1749</v>
      </c>
      <c r="C538" t="s">
        <v>1750</v>
      </c>
      <c r="D538" t="s">
        <v>1027</v>
      </c>
      <c r="E538">
        <v>1494</v>
      </c>
      <c r="F538" t="s">
        <v>1751</v>
      </c>
      <c r="G538" t="b">
        <v>0</v>
      </c>
      <c r="H538" t="b">
        <v>0</v>
      </c>
      <c r="I538" t="s">
        <v>1050</v>
      </c>
      <c r="J538">
        <v>89</v>
      </c>
      <c r="K538" t="s">
        <v>1</v>
      </c>
      <c r="L538" t="s">
        <v>1547</v>
      </c>
      <c r="M538" t="s">
        <v>1548</v>
      </c>
      <c r="N538" t="s">
        <v>1548</v>
      </c>
      <c r="O538" t="s">
        <v>1548</v>
      </c>
      <c r="P538" t="s">
        <v>1752</v>
      </c>
    </row>
    <row r="539" spans="1:16" x14ac:dyDescent="0.25">
      <c r="A539" t="s">
        <v>1913</v>
      </c>
      <c r="B539" t="s">
        <v>1749</v>
      </c>
      <c r="C539" t="s">
        <v>1750</v>
      </c>
      <c r="D539" t="s">
        <v>1027</v>
      </c>
      <c r="E539">
        <v>1494</v>
      </c>
      <c r="F539" t="s">
        <v>1751</v>
      </c>
      <c r="G539" t="b">
        <v>0</v>
      </c>
      <c r="H539" t="b">
        <v>0</v>
      </c>
      <c r="I539" t="s">
        <v>1050</v>
      </c>
      <c r="J539">
        <v>89</v>
      </c>
      <c r="K539" t="s">
        <v>1</v>
      </c>
      <c r="L539" t="s">
        <v>1547</v>
      </c>
      <c r="M539" t="s">
        <v>1548</v>
      </c>
      <c r="N539" t="s">
        <v>1548</v>
      </c>
      <c r="O539" t="s">
        <v>1548</v>
      </c>
      <c r="P539" t="s">
        <v>1752</v>
      </c>
    </row>
    <row r="540" spans="1:16" x14ac:dyDescent="0.25">
      <c r="A540" t="s">
        <v>1914</v>
      </c>
      <c r="B540" t="s">
        <v>1749</v>
      </c>
      <c r="C540" t="s">
        <v>1750</v>
      </c>
      <c r="D540" t="s">
        <v>1027</v>
      </c>
      <c r="E540">
        <v>1494</v>
      </c>
      <c r="F540" t="s">
        <v>1751</v>
      </c>
      <c r="G540" t="b">
        <v>0</v>
      </c>
      <c r="H540" t="b">
        <v>0</v>
      </c>
      <c r="I540" t="s">
        <v>1050</v>
      </c>
      <c r="J540">
        <v>89</v>
      </c>
      <c r="K540" t="s">
        <v>1</v>
      </c>
      <c r="L540" t="s">
        <v>1547</v>
      </c>
      <c r="M540" t="s">
        <v>1548</v>
      </c>
      <c r="N540" t="s">
        <v>1548</v>
      </c>
      <c r="O540" t="s">
        <v>1548</v>
      </c>
      <c r="P540" t="s">
        <v>1752</v>
      </c>
    </row>
    <row r="541" spans="1:16" x14ac:dyDescent="0.25">
      <c r="A541" t="s">
        <v>1915</v>
      </c>
      <c r="B541" t="s">
        <v>1749</v>
      </c>
      <c r="C541" t="s">
        <v>1750</v>
      </c>
      <c r="D541" t="s">
        <v>1027</v>
      </c>
      <c r="E541">
        <v>1494</v>
      </c>
      <c r="F541" t="s">
        <v>1751</v>
      </c>
      <c r="G541" t="b">
        <v>0</v>
      </c>
      <c r="H541" t="b">
        <v>0</v>
      </c>
      <c r="I541" t="s">
        <v>1050</v>
      </c>
      <c r="J541">
        <v>89</v>
      </c>
      <c r="K541" t="s">
        <v>1</v>
      </c>
      <c r="L541" t="s">
        <v>1547</v>
      </c>
      <c r="M541" t="s">
        <v>1548</v>
      </c>
      <c r="N541" t="s">
        <v>1548</v>
      </c>
      <c r="O541" t="s">
        <v>1548</v>
      </c>
      <c r="P541" t="s">
        <v>1752</v>
      </c>
    </row>
    <row r="542" spans="1:16" x14ac:dyDescent="0.25">
      <c r="A542" t="s">
        <v>1916</v>
      </c>
      <c r="B542" t="s">
        <v>1749</v>
      </c>
      <c r="C542" t="s">
        <v>1750</v>
      </c>
      <c r="D542" t="s">
        <v>1027</v>
      </c>
      <c r="E542">
        <v>1494</v>
      </c>
      <c r="F542" t="s">
        <v>1751</v>
      </c>
      <c r="G542" t="b">
        <v>0</v>
      </c>
      <c r="H542" t="b">
        <v>0</v>
      </c>
      <c r="I542" t="s">
        <v>1050</v>
      </c>
      <c r="J542">
        <v>89</v>
      </c>
      <c r="K542" t="s">
        <v>1</v>
      </c>
      <c r="L542" t="s">
        <v>1547</v>
      </c>
      <c r="M542" t="s">
        <v>1548</v>
      </c>
      <c r="N542" t="s">
        <v>1548</v>
      </c>
      <c r="O542" t="s">
        <v>1548</v>
      </c>
      <c r="P542" t="s">
        <v>1752</v>
      </c>
    </row>
    <row r="543" spans="1:16" x14ac:dyDescent="0.25">
      <c r="A543" t="s">
        <v>1917</v>
      </c>
      <c r="B543" t="s">
        <v>1749</v>
      </c>
      <c r="C543" t="s">
        <v>1750</v>
      </c>
      <c r="D543" t="s">
        <v>1027</v>
      </c>
      <c r="E543">
        <v>1494</v>
      </c>
      <c r="F543" t="s">
        <v>1751</v>
      </c>
      <c r="G543" t="b">
        <v>0</v>
      </c>
      <c r="H543" t="b">
        <v>0</v>
      </c>
      <c r="I543" t="s">
        <v>1050</v>
      </c>
      <c r="J543">
        <v>89</v>
      </c>
      <c r="K543" t="s">
        <v>1</v>
      </c>
      <c r="L543" t="s">
        <v>1547</v>
      </c>
      <c r="M543" t="s">
        <v>1548</v>
      </c>
      <c r="N543" t="s">
        <v>1548</v>
      </c>
      <c r="O543" t="s">
        <v>1548</v>
      </c>
      <c r="P543" t="s">
        <v>1752</v>
      </c>
    </row>
    <row r="544" spans="1:16" x14ac:dyDescent="0.25">
      <c r="A544" t="s">
        <v>1918</v>
      </c>
      <c r="B544" t="s">
        <v>1749</v>
      </c>
      <c r="C544" t="s">
        <v>1750</v>
      </c>
      <c r="D544" t="s">
        <v>1027</v>
      </c>
      <c r="E544">
        <v>1494</v>
      </c>
      <c r="F544" t="s">
        <v>1751</v>
      </c>
      <c r="G544" t="b">
        <v>0</v>
      </c>
      <c r="H544" t="b">
        <v>0</v>
      </c>
      <c r="I544" t="s">
        <v>1050</v>
      </c>
      <c r="J544">
        <v>89</v>
      </c>
      <c r="K544" t="s">
        <v>1</v>
      </c>
      <c r="L544" t="s">
        <v>1547</v>
      </c>
      <c r="M544" t="s">
        <v>1548</v>
      </c>
      <c r="N544" t="s">
        <v>1548</v>
      </c>
      <c r="O544" t="s">
        <v>1548</v>
      </c>
      <c r="P544" t="s">
        <v>1752</v>
      </c>
    </row>
    <row r="545" spans="1:16" x14ac:dyDescent="0.25">
      <c r="A545" t="s">
        <v>1919</v>
      </c>
      <c r="B545" t="s">
        <v>1749</v>
      </c>
      <c r="C545" t="s">
        <v>1750</v>
      </c>
      <c r="D545" t="s">
        <v>1027</v>
      </c>
      <c r="E545">
        <v>1494</v>
      </c>
      <c r="F545" t="s">
        <v>1751</v>
      </c>
      <c r="G545" t="b">
        <v>0</v>
      </c>
      <c r="H545" t="b">
        <v>0</v>
      </c>
      <c r="I545" t="s">
        <v>1050</v>
      </c>
      <c r="J545">
        <v>89</v>
      </c>
      <c r="K545" t="s">
        <v>1</v>
      </c>
      <c r="L545" t="s">
        <v>1547</v>
      </c>
      <c r="M545" t="s">
        <v>1548</v>
      </c>
      <c r="N545" t="s">
        <v>1548</v>
      </c>
      <c r="O545" t="s">
        <v>1548</v>
      </c>
      <c r="P545" t="s">
        <v>1752</v>
      </c>
    </row>
    <row r="546" spans="1:16" x14ac:dyDescent="0.25">
      <c r="A546" t="s">
        <v>1920</v>
      </c>
      <c r="B546" t="s">
        <v>1749</v>
      </c>
      <c r="C546" t="s">
        <v>1750</v>
      </c>
      <c r="D546" t="s">
        <v>1027</v>
      </c>
      <c r="E546">
        <v>1494</v>
      </c>
      <c r="F546" t="s">
        <v>1751</v>
      </c>
      <c r="G546" t="b">
        <v>0</v>
      </c>
      <c r="H546" t="b">
        <v>0</v>
      </c>
      <c r="I546" t="s">
        <v>1050</v>
      </c>
      <c r="J546">
        <v>89</v>
      </c>
      <c r="K546" t="s">
        <v>1</v>
      </c>
      <c r="L546" t="s">
        <v>1547</v>
      </c>
      <c r="M546" t="s">
        <v>1548</v>
      </c>
      <c r="N546" t="s">
        <v>1548</v>
      </c>
      <c r="O546" t="s">
        <v>1548</v>
      </c>
      <c r="P546" t="s">
        <v>1752</v>
      </c>
    </row>
    <row r="547" spans="1:16" x14ac:dyDescent="0.25">
      <c r="A547" t="s">
        <v>1921</v>
      </c>
      <c r="B547" t="s">
        <v>1749</v>
      </c>
      <c r="C547" t="s">
        <v>1750</v>
      </c>
      <c r="D547" t="s">
        <v>1027</v>
      </c>
      <c r="E547">
        <v>1494</v>
      </c>
      <c r="F547" t="s">
        <v>1751</v>
      </c>
      <c r="G547" t="b">
        <v>0</v>
      </c>
      <c r="H547" t="b">
        <v>0</v>
      </c>
      <c r="I547" t="s">
        <v>1050</v>
      </c>
      <c r="J547">
        <v>89</v>
      </c>
      <c r="K547" t="s">
        <v>1</v>
      </c>
      <c r="L547" t="s">
        <v>1547</v>
      </c>
      <c r="M547" t="s">
        <v>1548</v>
      </c>
      <c r="N547" t="s">
        <v>1548</v>
      </c>
      <c r="O547" t="s">
        <v>1548</v>
      </c>
      <c r="P547" t="s">
        <v>1752</v>
      </c>
    </row>
    <row r="548" spans="1:16" x14ac:dyDescent="0.25">
      <c r="A548" t="s">
        <v>1922</v>
      </c>
      <c r="B548" t="s">
        <v>1749</v>
      </c>
      <c r="C548" t="s">
        <v>1750</v>
      </c>
      <c r="D548" t="s">
        <v>1027</v>
      </c>
      <c r="E548">
        <v>1494</v>
      </c>
      <c r="F548" t="s">
        <v>1751</v>
      </c>
      <c r="G548" t="b">
        <v>0</v>
      </c>
      <c r="H548" t="b">
        <v>0</v>
      </c>
      <c r="I548" t="s">
        <v>1050</v>
      </c>
      <c r="J548">
        <v>89</v>
      </c>
      <c r="K548" t="s">
        <v>1</v>
      </c>
      <c r="L548" t="s">
        <v>1547</v>
      </c>
      <c r="M548" t="s">
        <v>1548</v>
      </c>
      <c r="N548" t="s">
        <v>1548</v>
      </c>
      <c r="O548" t="s">
        <v>1548</v>
      </c>
      <c r="P548" t="s">
        <v>1752</v>
      </c>
    </row>
    <row r="549" spans="1:16" x14ac:dyDescent="0.25">
      <c r="A549" t="s">
        <v>1923</v>
      </c>
      <c r="B549" t="s">
        <v>1749</v>
      </c>
      <c r="C549" t="s">
        <v>1750</v>
      </c>
      <c r="D549" t="s">
        <v>1027</v>
      </c>
      <c r="E549">
        <v>1494</v>
      </c>
      <c r="F549" t="s">
        <v>1751</v>
      </c>
      <c r="G549" t="b">
        <v>0</v>
      </c>
      <c r="H549" t="b">
        <v>0</v>
      </c>
      <c r="I549" t="s">
        <v>1050</v>
      </c>
      <c r="J549">
        <v>89</v>
      </c>
      <c r="K549" t="s">
        <v>1</v>
      </c>
      <c r="L549" t="s">
        <v>1547</v>
      </c>
      <c r="M549" t="s">
        <v>1548</v>
      </c>
      <c r="N549" t="s">
        <v>1548</v>
      </c>
      <c r="O549" t="s">
        <v>1548</v>
      </c>
      <c r="P549" t="s">
        <v>1752</v>
      </c>
    </row>
    <row r="550" spans="1:16" x14ac:dyDescent="0.25">
      <c r="A550" t="s">
        <v>1924</v>
      </c>
      <c r="B550" t="s">
        <v>1749</v>
      </c>
      <c r="C550" t="s">
        <v>1750</v>
      </c>
      <c r="D550" t="s">
        <v>1027</v>
      </c>
      <c r="E550">
        <v>1494</v>
      </c>
      <c r="F550" t="s">
        <v>1751</v>
      </c>
      <c r="G550" t="b">
        <v>0</v>
      </c>
      <c r="H550" t="b">
        <v>0</v>
      </c>
      <c r="I550" t="s">
        <v>1050</v>
      </c>
      <c r="J550">
        <v>89</v>
      </c>
      <c r="K550" t="s">
        <v>1</v>
      </c>
      <c r="L550" t="s">
        <v>1547</v>
      </c>
      <c r="M550" t="s">
        <v>1548</v>
      </c>
      <c r="N550" t="s">
        <v>1548</v>
      </c>
      <c r="O550" t="s">
        <v>1548</v>
      </c>
      <c r="P550" t="s">
        <v>1752</v>
      </c>
    </row>
    <row r="551" spans="1:16" x14ac:dyDescent="0.25">
      <c r="A551" t="s">
        <v>1925</v>
      </c>
      <c r="B551" t="s">
        <v>1749</v>
      </c>
      <c r="C551" t="s">
        <v>1750</v>
      </c>
      <c r="D551" t="s">
        <v>1027</v>
      </c>
      <c r="E551">
        <v>1494</v>
      </c>
      <c r="F551" t="s">
        <v>1751</v>
      </c>
      <c r="G551" t="b">
        <v>0</v>
      </c>
      <c r="H551" t="b">
        <v>0</v>
      </c>
      <c r="I551" t="s">
        <v>1050</v>
      </c>
      <c r="J551">
        <v>89</v>
      </c>
      <c r="K551" t="s">
        <v>1</v>
      </c>
      <c r="L551" t="s">
        <v>1547</v>
      </c>
      <c r="M551" t="s">
        <v>1548</v>
      </c>
      <c r="N551" t="s">
        <v>1548</v>
      </c>
      <c r="O551" t="s">
        <v>1548</v>
      </c>
      <c r="P551" t="s">
        <v>1752</v>
      </c>
    </row>
    <row r="552" spans="1:16" x14ac:dyDescent="0.25">
      <c r="A552" t="s">
        <v>1926</v>
      </c>
      <c r="B552" t="s">
        <v>1749</v>
      </c>
      <c r="C552" t="s">
        <v>1750</v>
      </c>
      <c r="D552" t="s">
        <v>1027</v>
      </c>
      <c r="E552">
        <v>1494</v>
      </c>
      <c r="F552" t="s">
        <v>1751</v>
      </c>
      <c r="G552" t="b">
        <v>0</v>
      </c>
      <c r="H552" t="b">
        <v>0</v>
      </c>
      <c r="I552" t="s">
        <v>1050</v>
      </c>
      <c r="J552">
        <v>89</v>
      </c>
      <c r="K552" t="s">
        <v>1</v>
      </c>
      <c r="L552" t="s">
        <v>1547</v>
      </c>
      <c r="M552" t="s">
        <v>1548</v>
      </c>
      <c r="N552" t="s">
        <v>1548</v>
      </c>
      <c r="O552" t="s">
        <v>1548</v>
      </c>
      <c r="P552" t="s">
        <v>1752</v>
      </c>
    </row>
    <row r="553" spans="1:16" x14ac:dyDescent="0.25">
      <c r="A553" t="s">
        <v>1927</v>
      </c>
      <c r="B553" t="s">
        <v>1749</v>
      </c>
      <c r="C553" t="s">
        <v>1750</v>
      </c>
      <c r="D553" t="s">
        <v>1027</v>
      </c>
      <c r="E553">
        <v>1494</v>
      </c>
      <c r="F553" t="s">
        <v>1751</v>
      </c>
      <c r="G553" t="b">
        <v>0</v>
      </c>
      <c r="H553" t="b">
        <v>0</v>
      </c>
      <c r="I553" t="s">
        <v>1050</v>
      </c>
      <c r="J553">
        <v>89</v>
      </c>
      <c r="K553" t="s">
        <v>1</v>
      </c>
      <c r="L553" t="s">
        <v>1547</v>
      </c>
      <c r="M553" t="s">
        <v>1548</v>
      </c>
      <c r="N553" t="s">
        <v>1548</v>
      </c>
      <c r="O553" t="s">
        <v>1548</v>
      </c>
      <c r="P553" t="s">
        <v>1752</v>
      </c>
    </row>
    <row r="554" spans="1:16" x14ac:dyDescent="0.25">
      <c r="A554" t="s">
        <v>1928</v>
      </c>
      <c r="B554" t="s">
        <v>1749</v>
      </c>
      <c r="C554" t="s">
        <v>1750</v>
      </c>
      <c r="D554" t="s">
        <v>1027</v>
      </c>
      <c r="E554">
        <v>1494</v>
      </c>
      <c r="F554" t="s">
        <v>1751</v>
      </c>
      <c r="G554" t="b">
        <v>0</v>
      </c>
      <c r="H554" t="b">
        <v>0</v>
      </c>
      <c r="I554" t="s">
        <v>1050</v>
      </c>
      <c r="J554">
        <v>89</v>
      </c>
      <c r="K554" t="s">
        <v>1</v>
      </c>
      <c r="L554" t="s">
        <v>1547</v>
      </c>
      <c r="M554" t="s">
        <v>1548</v>
      </c>
      <c r="N554" t="s">
        <v>1548</v>
      </c>
      <c r="O554" t="s">
        <v>1548</v>
      </c>
      <c r="P554" t="s">
        <v>1752</v>
      </c>
    </row>
    <row r="555" spans="1:16" x14ac:dyDescent="0.25">
      <c r="A555" t="s">
        <v>1929</v>
      </c>
      <c r="B555" t="s">
        <v>1749</v>
      </c>
      <c r="C555" t="s">
        <v>1750</v>
      </c>
      <c r="D555" t="s">
        <v>1027</v>
      </c>
      <c r="E555">
        <v>1494</v>
      </c>
      <c r="F555" t="s">
        <v>1751</v>
      </c>
      <c r="G555" t="b">
        <v>0</v>
      </c>
      <c r="H555" t="b">
        <v>0</v>
      </c>
      <c r="I555" t="s">
        <v>1050</v>
      </c>
      <c r="J555">
        <v>89</v>
      </c>
      <c r="K555" t="s">
        <v>1</v>
      </c>
      <c r="L555" t="s">
        <v>1547</v>
      </c>
      <c r="M555" t="s">
        <v>1548</v>
      </c>
      <c r="N555" t="s">
        <v>1548</v>
      </c>
      <c r="O555" t="s">
        <v>1548</v>
      </c>
      <c r="P555" t="s">
        <v>1752</v>
      </c>
    </row>
    <row r="556" spans="1:16" x14ac:dyDescent="0.25">
      <c r="A556" t="s">
        <v>1930</v>
      </c>
      <c r="B556" t="s">
        <v>1749</v>
      </c>
      <c r="C556" t="s">
        <v>1750</v>
      </c>
      <c r="D556" t="s">
        <v>1027</v>
      </c>
      <c r="E556">
        <v>1494</v>
      </c>
      <c r="F556" t="s">
        <v>1751</v>
      </c>
      <c r="G556" t="b">
        <v>0</v>
      </c>
      <c r="H556" t="b">
        <v>0</v>
      </c>
      <c r="I556" t="s">
        <v>1050</v>
      </c>
      <c r="J556">
        <v>89</v>
      </c>
      <c r="K556" t="s">
        <v>1</v>
      </c>
      <c r="L556" t="s">
        <v>1547</v>
      </c>
      <c r="M556" t="s">
        <v>1548</v>
      </c>
      <c r="N556" t="s">
        <v>1548</v>
      </c>
      <c r="O556" t="s">
        <v>1548</v>
      </c>
      <c r="P556" t="s">
        <v>1752</v>
      </c>
    </row>
    <row r="557" spans="1:16" x14ac:dyDescent="0.25">
      <c r="A557" t="s">
        <v>1931</v>
      </c>
      <c r="B557" t="s">
        <v>1749</v>
      </c>
      <c r="C557" t="s">
        <v>1750</v>
      </c>
      <c r="D557" t="s">
        <v>1027</v>
      </c>
      <c r="E557">
        <v>1494</v>
      </c>
      <c r="F557" t="s">
        <v>1751</v>
      </c>
      <c r="G557" t="b">
        <v>0</v>
      </c>
      <c r="H557" t="b">
        <v>0</v>
      </c>
      <c r="I557" t="s">
        <v>1050</v>
      </c>
      <c r="J557">
        <v>89</v>
      </c>
      <c r="K557" t="s">
        <v>1</v>
      </c>
      <c r="L557" t="s">
        <v>1547</v>
      </c>
      <c r="M557" t="s">
        <v>1548</v>
      </c>
      <c r="N557" t="s">
        <v>1548</v>
      </c>
      <c r="O557" t="s">
        <v>1548</v>
      </c>
      <c r="P557" t="s">
        <v>1752</v>
      </c>
    </row>
    <row r="558" spans="1:16" x14ac:dyDescent="0.25">
      <c r="A558" t="s">
        <v>1932</v>
      </c>
      <c r="B558" t="s">
        <v>1749</v>
      </c>
      <c r="C558" t="s">
        <v>1750</v>
      </c>
      <c r="D558" t="s">
        <v>1027</v>
      </c>
      <c r="E558">
        <v>1494</v>
      </c>
      <c r="F558" t="s">
        <v>1751</v>
      </c>
      <c r="G558" t="b">
        <v>0</v>
      </c>
      <c r="H558" t="b">
        <v>0</v>
      </c>
      <c r="I558" t="s">
        <v>1050</v>
      </c>
      <c r="J558">
        <v>89</v>
      </c>
      <c r="K558" t="s">
        <v>1</v>
      </c>
      <c r="L558" t="s">
        <v>1547</v>
      </c>
      <c r="M558" t="s">
        <v>1548</v>
      </c>
      <c r="N558" t="s">
        <v>1548</v>
      </c>
      <c r="O558" t="s">
        <v>1548</v>
      </c>
      <c r="P558" t="s">
        <v>1752</v>
      </c>
    </row>
    <row r="559" spans="1:16" x14ac:dyDescent="0.25">
      <c r="A559" t="s">
        <v>1933</v>
      </c>
      <c r="B559" t="s">
        <v>1749</v>
      </c>
      <c r="C559" t="s">
        <v>1750</v>
      </c>
      <c r="D559" t="s">
        <v>1027</v>
      </c>
      <c r="E559">
        <v>1494</v>
      </c>
      <c r="F559" t="s">
        <v>1751</v>
      </c>
      <c r="G559" t="b">
        <v>0</v>
      </c>
      <c r="H559" t="b">
        <v>0</v>
      </c>
      <c r="I559" t="s">
        <v>1050</v>
      </c>
      <c r="J559">
        <v>89</v>
      </c>
      <c r="K559" t="s">
        <v>1</v>
      </c>
      <c r="L559" t="s">
        <v>1547</v>
      </c>
      <c r="M559" t="s">
        <v>1548</v>
      </c>
      <c r="N559" t="s">
        <v>1548</v>
      </c>
      <c r="O559" t="s">
        <v>1548</v>
      </c>
      <c r="P559" t="s">
        <v>1752</v>
      </c>
    </row>
    <row r="560" spans="1:16" x14ac:dyDescent="0.25">
      <c r="A560" t="s">
        <v>1934</v>
      </c>
      <c r="B560" t="s">
        <v>1749</v>
      </c>
      <c r="C560" t="s">
        <v>1750</v>
      </c>
      <c r="D560" t="s">
        <v>1027</v>
      </c>
      <c r="E560">
        <v>1494</v>
      </c>
      <c r="F560" t="s">
        <v>1751</v>
      </c>
      <c r="G560" t="b">
        <v>0</v>
      </c>
      <c r="H560" t="b">
        <v>0</v>
      </c>
      <c r="I560" t="s">
        <v>1050</v>
      </c>
      <c r="J560">
        <v>89</v>
      </c>
      <c r="K560" t="s">
        <v>1</v>
      </c>
      <c r="L560" t="s">
        <v>1547</v>
      </c>
      <c r="M560" t="s">
        <v>1548</v>
      </c>
      <c r="N560" t="s">
        <v>1548</v>
      </c>
      <c r="O560" t="s">
        <v>1548</v>
      </c>
      <c r="P560" t="s">
        <v>1752</v>
      </c>
    </row>
    <row r="561" spans="1:16" x14ac:dyDescent="0.25">
      <c r="A561" t="s">
        <v>1935</v>
      </c>
      <c r="B561" t="s">
        <v>1749</v>
      </c>
      <c r="C561" t="s">
        <v>1750</v>
      </c>
      <c r="D561" t="s">
        <v>1027</v>
      </c>
      <c r="E561">
        <v>1494</v>
      </c>
      <c r="F561" t="s">
        <v>1751</v>
      </c>
      <c r="G561" t="b">
        <v>0</v>
      </c>
      <c r="H561" t="b">
        <v>0</v>
      </c>
      <c r="I561" t="s">
        <v>1050</v>
      </c>
      <c r="J561">
        <v>89</v>
      </c>
      <c r="K561" t="s">
        <v>1</v>
      </c>
      <c r="L561" t="s">
        <v>1547</v>
      </c>
      <c r="M561" t="s">
        <v>1548</v>
      </c>
      <c r="N561" t="s">
        <v>1548</v>
      </c>
      <c r="O561" t="s">
        <v>1548</v>
      </c>
      <c r="P561" t="s">
        <v>1752</v>
      </c>
    </row>
    <row r="562" spans="1:16" x14ac:dyDescent="0.25">
      <c r="A562" t="s">
        <v>1936</v>
      </c>
      <c r="B562" t="s">
        <v>1749</v>
      </c>
      <c r="C562" t="s">
        <v>1750</v>
      </c>
      <c r="D562" t="s">
        <v>1027</v>
      </c>
      <c r="E562">
        <v>1494</v>
      </c>
      <c r="F562" t="s">
        <v>1751</v>
      </c>
      <c r="G562" t="b">
        <v>0</v>
      </c>
      <c r="H562" t="b">
        <v>0</v>
      </c>
      <c r="I562" t="s">
        <v>1050</v>
      </c>
      <c r="J562">
        <v>89</v>
      </c>
      <c r="K562" t="s">
        <v>1</v>
      </c>
      <c r="L562" t="s">
        <v>1547</v>
      </c>
      <c r="M562" t="s">
        <v>1548</v>
      </c>
      <c r="N562" t="s">
        <v>1548</v>
      </c>
      <c r="O562" t="s">
        <v>1548</v>
      </c>
      <c r="P562" t="s">
        <v>1752</v>
      </c>
    </row>
    <row r="563" spans="1:16" x14ac:dyDescent="0.25">
      <c r="A563" t="s">
        <v>1937</v>
      </c>
      <c r="B563" t="s">
        <v>1749</v>
      </c>
      <c r="C563" t="s">
        <v>1750</v>
      </c>
      <c r="D563" t="s">
        <v>1027</v>
      </c>
      <c r="E563">
        <v>1494</v>
      </c>
      <c r="F563" t="s">
        <v>1751</v>
      </c>
      <c r="G563" t="b">
        <v>0</v>
      </c>
      <c r="H563" t="b">
        <v>0</v>
      </c>
      <c r="I563" t="s">
        <v>1050</v>
      </c>
      <c r="J563">
        <v>89</v>
      </c>
      <c r="K563" t="s">
        <v>1</v>
      </c>
      <c r="L563" t="s">
        <v>1547</v>
      </c>
      <c r="M563" t="s">
        <v>1548</v>
      </c>
      <c r="N563" t="s">
        <v>1548</v>
      </c>
      <c r="O563" t="s">
        <v>1548</v>
      </c>
      <c r="P563" t="s">
        <v>1752</v>
      </c>
    </row>
    <row r="564" spans="1:16" x14ac:dyDescent="0.25">
      <c r="A564" t="s">
        <v>1938</v>
      </c>
      <c r="B564" t="s">
        <v>1749</v>
      </c>
      <c r="C564" t="s">
        <v>1750</v>
      </c>
      <c r="D564" t="s">
        <v>1027</v>
      </c>
      <c r="E564">
        <v>1494</v>
      </c>
      <c r="F564" t="s">
        <v>1751</v>
      </c>
      <c r="G564" t="b">
        <v>0</v>
      </c>
      <c r="H564" t="b">
        <v>0</v>
      </c>
      <c r="I564" t="s">
        <v>1050</v>
      </c>
      <c r="J564">
        <v>89</v>
      </c>
      <c r="K564" t="s">
        <v>1</v>
      </c>
      <c r="L564" t="s">
        <v>1547</v>
      </c>
      <c r="M564" t="s">
        <v>1548</v>
      </c>
      <c r="N564" t="s">
        <v>1548</v>
      </c>
      <c r="O564" t="s">
        <v>1548</v>
      </c>
      <c r="P564" t="s">
        <v>1752</v>
      </c>
    </row>
    <row r="565" spans="1:16" x14ac:dyDescent="0.25">
      <c r="A565" t="s">
        <v>1939</v>
      </c>
      <c r="B565" t="s">
        <v>1749</v>
      </c>
      <c r="C565" t="s">
        <v>1750</v>
      </c>
      <c r="D565" t="s">
        <v>1027</v>
      </c>
      <c r="E565">
        <v>1494</v>
      </c>
      <c r="F565" t="s">
        <v>1751</v>
      </c>
      <c r="G565" t="b">
        <v>0</v>
      </c>
      <c r="H565" t="b">
        <v>0</v>
      </c>
      <c r="I565" t="s">
        <v>1050</v>
      </c>
      <c r="J565">
        <v>89</v>
      </c>
      <c r="K565" t="s">
        <v>1</v>
      </c>
      <c r="L565" t="s">
        <v>1547</v>
      </c>
      <c r="M565" t="s">
        <v>1548</v>
      </c>
      <c r="N565" t="s">
        <v>1548</v>
      </c>
      <c r="O565" t="s">
        <v>1548</v>
      </c>
      <c r="P565" t="s">
        <v>1752</v>
      </c>
    </row>
    <row r="566" spans="1:16" x14ac:dyDescent="0.25">
      <c r="A566" t="s">
        <v>1940</v>
      </c>
      <c r="B566" t="s">
        <v>1749</v>
      </c>
      <c r="C566" t="s">
        <v>1750</v>
      </c>
      <c r="D566" t="s">
        <v>1027</v>
      </c>
      <c r="E566">
        <v>1494</v>
      </c>
      <c r="F566" t="s">
        <v>1751</v>
      </c>
      <c r="G566" t="b">
        <v>0</v>
      </c>
      <c r="H566" t="b">
        <v>0</v>
      </c>
      <c r="I566" t="s">
        <v>1050</v>
      </c>
      <c r="J566">
        <v>89</v>
      </c>
      <c r="K566" t="s">
        <v>1</v>
      </c>
      <c r="L566" t="s">
        <v>1547</v>
      </c>
      <c r="M566" t="s">
        <v>1548</v>
      </c>
      <c r="N566" t="s">
        <v>1548</v>
      </c>
      <c r="O566" t="s">
        <v>1548</v>
      </c>
      <c r="P566" t="s">
        <v>1752</v>
      </c>
    </row>
    <row r="567" spans="1:16" x14ac:dyDescent="0.25">
      <c r="A567" t="s">
        <v>1941</v>
      </c>
      <c r="B567" t="s">
        <v>1749</v>
      </c>
      <c r="C567" t="s">
        <v>1750</v>
      </c>
      <c r="D567" t="s">
        <v>1027</v>
      </c>
      <c r="E567">
        <v>1494</v>
      </c>
      <c r="F567" t="s">
        <v>1751</v>
      </c>
      <c r="G567" t="b">
        <v>0</v>
      </c>
      <c r="H567" t="b">
        <v>0</v>
      </c>
      <c r="I567" t="s">
        <v>1050</v>
      </c>
      <c r="J567">
        <v>89</v>
      </c>
      <c r="K567" t="s">
        <v>1</v>
      </c>
      <c r="L567" t="s">
        <v>1547</v>
      </c>
      <c r="M567" t="s">
        <v>1548</v>
      </c>
      <c r="N567" t="s">
        <v>1548</v>
      </c>
      <c r="O567" t="s">
        <v>1548</v>
      </c>
      <c r="P567" t="s">
        <v>1752</v>
      </c>
    </row>
    <row r="568" spans="1:16" x14ac:dyDescent="0.25">
      <c r="A568" t="s">
        <v>1942</v>
      </c>
      <c r="B568" t="s">
        <v>1749</v>
      </c>
      <c r="C568" t="s">
        <v>1750</v>
      </c>
      <c r="D568" t="s">
        <v>1027</v>
      </c>
      <c r="E568">
        <v>1494</v>
      </c>
      <c r="F568" t="s">
        <v>1751</v>
      </c>
      <c r="G568" t="b">
        <v>0</v>
      </c>
      <c r="H568" t="b">
        <v>0</v>
      </c>
      <c r="I568" t="s">
        <v>1050</v>
      </c>
      <c r="J568">
        <v>89</v>
      </c>
      <c r="K568" t="s">
        <v>1</v>
      </c>
      <c r="L568" t="s">
        <v>1547</v>
      </c>
      <c r="M568" t="s">
        <v>1548</v>
      </c>
      <c r="N568" t="s">
        <v>1548</v>
      </c>
      <c r="O568" t="s">
        <v>1548</v>
      </c>
      <c r="P568" t="s">
        <v>1752</v>
      </c>
    </row>
    <row r="569" spans="1:16" x14ac:dyDescent="0.25">
      <c r="A569" t="s">
        <v>1943</v>
      </c>
      <c r="B569" t="s">
        <v>1749</v>
      </c>
      <c r="C569" t="s">
        <v>1750</v>
      </c>
      <c r="D569" t="s">
        <v>1027</v>
      </c>
      <c r="E569">
        <v>1494</v>
      </c>
      <c r="F569" t="s">
        <v>1751</v>
      </c>
      <c r="G569" t="b">
        <v>0</v>
      </c>
      <c r="H569" t="b">
        <v>0</v>
      </c>
      <c r="I569" t="s">
        <v>1050</v>
      </c>
      <c r="J569">
        <v>89</v>
      </c>
      <c r="K569" t="s">
        <v>1</v>
      </c>
      <c r="L569" t="s">
        <v>1547</v>
      </c>
      <c r="M569" t="s">
        <v>1548</v>
      </c>
      <c r="N569" t="s">
        <v>1548</v>
      </c>
      <c r="O569" t="s">
        <v>1548</v>
      </c>
      <c r="P569" t="s">
        <v>1752</v>
      </c>
    </row>
    <row r="570" spans="1:16" x14ac:dyDescent="0.25">
      <c r="A570" t="s">
        <v>1944</v>
      </c>
      <c r="B570" t="s">
        <v>1749</v>
      </c>
      <c r="C570" t="s">
        <v>1750</v>
      </c>
      <c r="D570" t="s">
        <v>1027</v>
      </c>
      <c r="E570">
        <v>1494</v>
      </c>
      <c r="F570" t="s">
        <v>1751</v>
      </c>
      <c r="G570" t="b">
        <v>0</v>
      </c>
      <c r="H570" t="b">
        <v>0</v>
      </c>
      <c r="I570" t="s">
        <v>1050</v>
      </c>
      <c r="J570">
        <v>89</v>
      </c>
      <c r="K570" t="s">
        <v>1</v>
      </c>
      <c r="L570" t="s">
        <v>1547</v>
      </c>
      <c r="M570" t="s">
        <v>1548</v>
      </c>
      <c r="N570" t="s">
        <v>1548</v>
      </c>
      <c r="O570" t="s">
        <v>1548</v>
      </c>
      <c r="P570" t="s">
        <v>1752</v>
      </c>
    </row>
    <row r="571" spans="1:16" x14ac:dyDescent="0.25">
      <c r="A571" t="s">
        <v>1945</v>
      </c>
      <c r="B571" t="s">
        <v>1749</v>
      </c>
      <c r="C571" t="s">
        <v>1750</v>
      </c>
      <c r="D571" t="s">
        <v>1027</v>
      </c>
      <c r="E571">
        <v>1494</v>
      </c>
      <c r="F571" t="s">
        <v>1751</v>
      </c>
      <c r="G571" t="b">
        <v>0</v>
      </c>
      <c r="H571" t="b">
        <v>0</v>
      </c>
      <c r="I571" t="s">
        <v>1050</v>
      </c>
      <c r="J571">
        <v>89</v>
      </c>
      <c r="K571" t="s">
        <v>1</v>
      </c>
      <c r="L571" t="s">
        <v>1547</v>
      </c>
      <c r="M571" t="s">
        <v>1548</v>
      </c>
      <c r="N571" t="s">
        <v>1548</v>
      </c>
      <c r="O571" t="s">
        <v>1548</v>
      </c>
      <c r="P571" t="s">
        <v>1752</v>
      </c>
    </row>
    <row r="572" spans="1:16" x14ac:dyDescent="0.25">
      <c r="A572" t="s">
        <v>1946</v>
      </c>
      <c r="B572" t="s">
        <v>1749</v>
      </c>
      <c r="C572" t="s">
        <v>1750</v>
      </c>
      <c r="D572" t="s">
        <v>1027</v>
      </c>
      <c r="E572">
        <v>1494</v>
      </c>
      <c r="F572" t="s">
        <v>1751</v>
      </c>
      <c r="G572" t="b">
        <v>0</v>
      </c>
      <c r="H572" t="b">
        <v>0</v>
      </c>
      <c r="I572" t="s">
        <v>1050</v>
      </c>
      <c r="J572">
        <v>89</v>
      </c>
      <c r="K572" t="s">
        <v>1</v>
      </c>
      <c r="L572" t="s">
        <v>1547</v>
      </c>
      <c r="M572" t="s">
        <v>1548</v>
      </c>
      <c r="N572" t="s">
        <v>1548</v>
      </c>
      <c r="O572" t="s">
        <v>1548</v>
      </c>
      <c r="P572" t="s">
        <v>1752</v>
      </c>
    </row>
    <row r="573" spans="1:16" x14ac:dyDescent="0.25">
      <c r="A573" t="s">
        <v>1947</v>
      </c>
      <c r="B573" t="s">
        <v>1749</v>
      </c>
      <c r="C573" t="s">
        <v>1750</v>
      </c>
      <c r="D573" t="s">
        <v>1027</v>
      </c>
      <c r="E573">
        <v>1494</v>
      </c>
      <c r="F573" t="s">
        <v>1751</v>
      </c>
      <c r="G573" t="b">
        <v>0</v>
      </c>
      <c r="H573" t="b">
        <v>0</v>
      </c>
      <c r="I573" t="s">
        <v>1050</v>
      </c>
      <c r="J573">
        <v>89</v>
      </c>
      <c r="K573" t="s">
        <v>1</v>
      </c>
      <c r="L573" t="s">
        <v>1547</v>
      </c>
      <c r="M573" t="s">
        <v>1548</v>
      </c>
      <c r="N573" t="s">
        <v>1548</v>
      </c>
      <c r="O573" t="s">
        <v>1548</v>
      </c>
      <c r="P573" t="s">
        <v>1752</v>
      </c>
    </row>
    <row r="574" spans="1:16" x14ac:dyDescent="0.25">
      <c r="A574" t="s">
        <v>1948</v>
      </c>
      <c r="B574" t="s">
        <v>1749</v>
      </c>
      <c r="C574" t="s">
        <v>1750</v>
      </c>
      <c r="D574" t="s">
        <v>1027</v>
      </c>
      <c r="E574">
        <v>1494</v>
      </c>
      <c r="F574" t="s">
        <v>1751</v>
      </c>
      <c r="G574" t="b">
        <v>0</v>
      </c>
      <c r="H574" t="b">
        <v>0</v>
      </c>
      <c r="I574" t="s">
        <v>1050</v>
      </c>
      <c r="J574">
        <v>89</v>
      </c>
      <c r="K574" t="s">
        <v>1</v>
      </c>
      <c r="L574" t="s">
        <v>1547</v>
      </c>
      <c r="M574" t="s">
        <v>1548</v>
      </c>
      <c r="N574" t="s">
        <v>1548</v>
      </c>
      <c r="O574" t="s">
        <v>1548</v>
      </c>
      <c r="P574" t="s">
        <v>1752</v>
      </c>
    </row>
    <row r="575" spans="1:16" x14ac:dyDescent="0.25">
      <c r="A575" t="s">
        <v>1949</v>
      </c>
      <c r="B575" t="s">
        <v>1749</v>
      </c>
      <c r="C575" t="s">
        <v>1750</v>
      </c>
      <c r="D575" t="s">
        <v>1027</v>
      </c>
      <c r="E575">
        <v>1494</v>
      </c>
      <c r="F575" t="s">
        <v>1751</v>
      </c>
      <c r="G575" t="b">
        <v>0</v>
      </c>
      <c r="H575" t="b">
        <v>0</v>
      </c>
      <c r="I575" t="s">
        <v>1050</v>
      </c>
      <c r="J575">
        <v>89</v>
      </c>
      <c r="K575" t="s">
        <v>1</v>
      </c>
      <c r="L575" t="s">
        <v>1547</v>
      </c>
      <c r="M575" t="s">
        <v>1548</v>
      </c>
      <c r="N575" t="s">
        <v>1548</v>
      </c>
      <c r="O575" t="s">
        <v>1548</v>
      </c>
      <c r="P575" t="s">
        <v>1752</v>
      </c>
    </row>
    <row r="576" spans="1:16" x14ac:dyDescent="0.25">
      <c r="A576" t="s">
        <v>1950</v>
      </c>
      <c r="B576" t="s">
        <v>1749</v>
      </c>
      <c r="C576" t="s">
        <v>1750</v>
      </c>
      <c r="D576" t="s">
        <v>1027</v>
      </c>
      <c r="E576">
        <v>1494</v>
      </c>
      <c r="F576" t="s">
        <v>1751</v>
      </c>
      <c r="G576" t="b">
        <v>0</v>
      </c>
      <c r="H576" t="b">
        <v>0</v>
      </c>
      <c r="I576" t="s">
        <v>1050</v>
      </c>
      <c r="J576">
        <v>89</v>
      </c>
      <c r="K576" t="s">
        <v>1</v>
      </c>
      <c r="L576" t="s">
        <v>1547</v>
      </c>
      <c r="M576" t="s">
        <v>1548</v>
      </c>
      <c r="N576" t="s">
        <v>1548</v>
      </c>
      <c r="O576" t="s">
        <v>1548</v>
      </c>
      <c r="P576" t="s">
        <v>1752</v>
      </c>
    </row>
    <row r="577" spans="1:16" x14ac:dyDescent="0.25">
      <c r="A577" t="s">
        <v>1951</v>
      </c>
      <c r="B577" t="s">
        <v>1749</v>
      </c>
      <c r="C577" t="s">
        <v>1750</v>
      </c>
      <c r="D577" t="s">
        <v>1027</v>
      </c>
      <c r="E577">
        <v>1494</v>
      </c>
      <c r="F577" t="s">
        <v>1751</v>
      </c>
      <c r="G577" t="b">
        <v>0</v>
      </c>
      <c r="H577" t="b">
        <v>0</v>
      </c>
      <c r="I577" t="s">
        <v>1050</v>
      </c>
      <c r="J577">
        <v>89</v>
      </c>
      <c r="K577" t="s">
        <v>1</v>
      </c>
      <c r="L577" t="s">
        <v>1547</v>
      </c>
      <c r="M577" t="s">
        <v>1548</v>
      </c>
      <c r="N577" t="s">
        <v>1548</v>
      </c>
      <c r="O577" t="s">
        <v>1548</v>
      </c>
      <c r="P577" t="s">
        <v>1752</v>
      </c>
    </row>
    <row r="578" spans="1:16" x14ac:dyDescent="0.25">
      <c r="A578" t="s">
        <v>1952</v>
      </c>
      <c r="B578" t="s">
        <v>1749</v>
      </c>
      <c r="C578" t="s">
        <v>1750</v>
      </c>
      <c r="D578" t="s">
        <v>1027</v>
      </c>
      <c r="E578">
        <v>1494</v>
      </c>
      <c r="F578" t="s">
        <v>1751</v>
      </c>
      <c r="G578" t="b">
        <v>0</v>
      </c>
      <c r="H578" t="b">
        <v>0</v>
      </c>
      <c r="I578" t="s">
        <v>1050</v>
      </c>
      <c r="J578">
        <v>89</v>
      </c>
      <c r="K578" t="s">
        <v>1</v>
      </c>
      <c r="L578" t="s">
        <v>1547</v>
      </c>
      <c r="M578" t="s">
        <v>1548</v>
      </c>
      <c r="N578" t="s">
        <v>1548</v>
      </c>
      <c r="O578" t="s">
        <v>1548</v>
      </c>
      <c r="P578" t="s">
        <v>1752</v>
      </c>
    </row>
    <row r="579" spans="1:16" x14ac:dyDescent="0.25">
      <c r="A579" t="s">
        <v>1953</v>
      </c>
      <c r="B579" t="s">
        <v>1749</v>
      </c>
      <c r="C579" t="s">
        <v>1750</v>
      </c>
      <c r="D579" t="s">
        <v>1027</v>
      </c>
      <c r="E579">
        <v>1494</v>
      </c>
      <c r="F579" t="s">
        <v>1751</v>
      </c>
      <c r="G579" t="b">
        <v>0</v>
      </c>
      <c r="H579" t="b">
        <v>0</v>
      </c>
      <c r="I579" t="s">
        <v>1050</v>
      </c>
      <c r="J579">
        <v>89</v>
      </c>
      <c r="K579" t="s">
        <v>1</v>
      </c>
      <c r="L579" t="s">
        <v>1547</v>
      </c>
      <c r="M579" t="s">
        <v>1548</v>
      </c>
      <c r="N579" t="s">
        <v>1548</v>
      </c>
      <c r="O579" t="s">
        <v>1548</v>
      </c>
      <c r="P579" t="s">
        <v>1752</v>
      </c>
    </row>
    <row r="580" spans="1:16" x14ac:dyDescent="0.25">
      <c r="A580" t="s">
        <v>1954</v>
      </c>
      <c r="B580" t="s">
        <v>1749</v>
      </c>
      <c r="C580" t="s">
        <v>1750</v>
      </c>
      <c r="D580" t="s">
        <v>1027</v>
      </c>
      <c r="E580">
        <v>1494</v>
      </c>
      <c r="F580" t="s">
        <v>1751</v>
      </c>
      <c r="G580" t="b">
        <v>0</v>
      </c>
      <c r="H580" t="b">
        <v>0</v>
      </c>
      <c r="I580" t="s">
        <v>1050</v>
      </c>
      <c r="J580">
        <v>89</v>
      </c>
      <c r="K580" t="s">
        <v>1</v>
      </c>
      <c r="L580" t="s">
        <v>1547</v>
      </c>
      <c r="M580" t="s">
        <v>1548</v>
      </c>
      <c r="N580" t="s">
        <v>1548</v>
      </c>
      <c r="O580" t="s">
        <v>1548</v>
      </c>
      <c r="P580" t="s">
        <v>1752</v>
      </c>
    </row>
    <row r="581" spans="1:16" x14ac:dyDescent="0.25">
      <c r="A581" t="s">
        <v>1955</v>
      </c>
      <c r="B581" t="s">
        <v>1749</v>
      </c>
      <c r="C581" t="s">
        <v>1750</v>
      </c>
      <c r="D581" t="s">
        <v>1027</v>
      </c>
      <c r="E581">
        <v>1494</v>
      </c>
      <c r="F581" t="s">
        <v>1751</v>
      </c>
      <c r="G581" t="b">
        <v>0</v>
      </c>
      <c r="H581" t="b">
        <v>0</v>
      </c>
      <c r="I581" t="s">
        <v>1050</v>
      </c>
      <c r="J581">
        <v>89</v>
      </c>
      <c r="K581" t="s">
        <v>1</v>
      </c>
      <c r="L581" t="s">
        <v>1547</v>
      </c>
      <c r="M581" t="s">
        <v>1548</v>
      </c>
      <c r="N581" t="s">
        <v>1548</v>
      </c>
      <c r="O581" t="s">
        <v>1548</v>
      </c>
      <c r="P581" t="s">
        <v>1752</v>
      </c>
    </row>
    <row r="582" spans="1:16" x14ac:dyDescent="0.25">
      <c r="A582" t="s">
        <v>1956</v>
      </c>
      <c r="B582" t="s">
        <v>1749</v>
      </c>
      <c r="C582" t="s">
        <v>1750</v>
      </c>
      <c r="D582" t="s">
        <v>1027</v>
      </c>
      <c r="E582">
        <v>1494</v>
      </c>
      <c r="F582" t="s">
        <v>1751</v>
      </c>
      <c r="G582" t="b">
        <v>0</v>
      </c>
      <c r="H582" t="b">
        <v>0</v>
      </c>
      <c r="I582" t="s">
        <v>1050</v>
      </c>
      <c r="J582">
        <v>89</v>
      </c>
      <c r="K582" t="s">
        <v>1</v>
      </c>
      <c r="L582" t="s">
        <v>1547</v>
      </c>
      <c r="M582" t="s">
        <v>1548</v>
      </c>
      <c r="N582" t="s">
        <v>1548</v>
      </c>
      <c r="O582" t="s">
        <v>1548</v>
      </c>
      <c r="P582" t="s">
        <v>1752</v>
      </c>
    </row>
    <row r="583" spans="1:16" x14ac:dyDescent="0.25">
      <c r="A583" t="s">
        <v>1957</v>
      </c>
      <c r="B583" t="s">
        <v>1958</v>
      </c>
      <c r="C583" t="s">
        <v>1482</v>
      </c>
      <c r="D583" t="s">
        <v>1027</v>
      </c>
      <c r="E583">
        <v>1664</v>
      </c>
      <c r="F583" t="s">
        <v>1483</v>
      </c>
      <c r="G583" t="b">
        <v>0</v>
      </c>
      <c r="H583" t="b">
        <v>0</v>
      </c>
      <c r="I583" t="s">
        <v>1050</v>
      </c>
      <c r="J583">
        <v>80</v>
      </c>
      <c r="K583" t="s">
        <v>1</v>
      </c>
      <c r="L583" t="s">
        <v>1213</v>
      </c>
      <c r="M583" t="s">
        <v>1168</v>
      </c>
      <c r="N583" t="s">
        <v>1168</v>
      </c>
      <c r="O583" t="s">
        <v>1168</v>
      </c>
      <c r="P583" t="s">
        <v>1484</v>
      </c>
    </row>
    <row r="584" spans="1:16" x14ac:dyDescent="0.25">
      <c r="A584" t="s">
        <v>1959</v>
      </c>
      <c r="B584" t="s">
        <v>1960</v>
      </c>
      <c r="C584" t="s">
        <v>1233</v>
      </c>
      <c r="D584" t="s">
        <v>1027</v>
      </c>
      <c r="E584">
        <v>63762</v>
      </c>
      <c r="F584" t="s">
        <v>1234</v>
      </c>
      <c r="G584" t="b">
        <v>0</v>
      </c>
      <c r="H584" t="b">
        <v>0</v>
      </c>
      <c r="I584" t="s">
        <v>1050</v>
      </c>
      <c r="J584">
        <v>80</v>
      </c>
      <c r="K584" t="s">
        <v>0</v>
      </c>
      <c r="L584" t="s">
        <v>1167</v>
      </c>
      <c r="M584" t="s">
        <v>1168</v>
      </c>
      <c r="N584" t="s">
        <v>1169</v>
      </c>
      <c r="O584" t="s">
        <v>1168</v>
      </c>
      <c r="P584" t="s">
        <v>1235</v>
      </c>
    </row>
    <row r="585" spans="1:16" x14ac:dyDescent="0.25">
      <c r="A585" t="s">
        <v>1961</v>
      </c>
      <c r="B585" t="s">
        <v>1962</v>
      </c>
      <c r="C585" t="s">
        <v>1678</v>
      </c>
      <c r="D585" t="s">
        <v>1027</v>
      </c>
      <c r="E585">
        <v>63786</v>
      </c>
      <c r="F585" t="s">
        <v>1679</v>
      </c>
      <c r="G585" t="b">
        <v>0</v>
      </c>
      <c r="H585" t="b">
        <v>0</v>
      </c>
      <c r="I585" t="s">
        <v>1050</v>
      </c>
      <c r="J585">
        <v>20</v>
      </c>
      <c r="K585" t="s">
        <v>2</v>
      </c>
      <c r="L585" t="s">
        <v>1680</v>
      </c>
      <c r="M585" t="s">
        <v>1680</v>
      </c>
      <c r="N585" t="s">
        <v>1681</v>
      </c>
      <c r="O585" t="s">
        <v>1680</v>
      </c>
      <c r="P585" t="s">
        <v>1682</v>
      </c>
    </row>
    <row r="586" spans="1:16" x14ac:dyDescent="0.25">
      <c r="A586" t="s">
        <v>1963</v>
      </c>
      <c r="B586" t="s">
        <v>1964</v>
      </c>
      <c r="C586" t="s">
        <v>1165</v>
      </c>
      <c r="D586" t="s">
        <v>1027</v>
      </c>
      <c r="E586">
        <v>63774</v>
      </c>
      <c r="F586" t="s">
        <v>1166</v>
      </c>
      <c r="G586" t="b">
        <v>0</v>
      </c>
      <c r="H586" t="b">
        <v>0</v>
      </c>
      <c r="I586" t="s">
        <v>1050</v>
      </c>
      <c r="J586">
        <v>91</v>
      </c>
      <c r="K586" t="s">
        <v>1</v>
      </c>
      <c r="L586" t="s">
        <v>1167</v>
      </c>
      <c r="M586" t="s">
        <v>1168</v>
      </c>
      <c r="N586" t="s">
        <v>1169</v>
      </c>
      <c r="O586" t="s">
        <v>1168</v>
      </c>
      <c r="P586" t="s">
        <v>1170</v>
      </c>
    </row>
    <row r="587" spans="1:16" x14ac:dyDescent="0.25">
      <c r="A587" t="s">
        <v>1965</v>
      </c>
      <c r="B587" t="s">
        <v>1966</v>
      </c>
      <c r="C587" t="s">
        <v>1165</v>
      </c>
      <c r="D587" t="s">
        <v>1027</v>
      </c>
      <c r="E587">
        <v>63774</v>
      </c>
      <c r="F587" t="s">
        <v>1166</v>
      </c>
      <c r="G587" t="b">
        <v>0</v>
      </c>
      <c r="H587" t="b">
        <v>0</v>
      </c>
      <c r="I587" t="s">
        <v>1050</v>
      </c>
      <c r="J587">
        <v>91</v>
      </c>
      <c r="K587" t="s">
        <v>1</v>
      </c>
      <c r="L587" t="s">
        <v>1167</v>
      </c>
      <c r="M587" t="s">
        <v>1168</v>
      </c>
      <c r="N587" t="s">
        <v>1169</v>
      </c>
      <c r="O587" t="s">
        <v>1168</v>
      </c>
      <c r="P587" t="s">
        <v>1170</v>
      </c>
    </row>
    <row r="588" spans="1:16" x14ac:dyDescent="0.25">
      <c r="A588" t="s">
        <v>1967</v>
      </c>
      <c r="B588" t="s">
        <v>1968</v>
      </c>
      <c r="C588" t="s">
        <v>1165</v>
      </c>
      <c r="D588" t="s">
        <v>1027</v>
      </c>
      <c r="E588">
        <v>63774</v>
      </c>
      <c r="F588" t="s">
        <v>1166</v>
      </c>
      <c r="G588" t="b">
        <v>0</v>
      </c>
      <c r="H588" t="b">
        <v>0</v>
      </c>
      <c r="I588" t="s">
        <v>1050</v>
      </c>
      <c r="J588">
        <v>91</v>
      </c>
      <c r="K588" t="s">
        <v>1</v>
      </c>
      <c r="L588" t="s">
        <v>1167</v>
      </c>
      <c r="M588" t="s">
        <v>1168</v>
      </c>
      <c r="N588" t="s">
        <v>1169</v>
      </c>
      <c r="O588" t="s">
        <v>1168</v>
      </c>
      <c r="P588" t="s">
        <v>1170</v>
      </c>
    </row>
    <row r="589" spans="1:16" x14ac:dyDescent="0.25">
      <c r="A589" t="s">
        <v>1969</v>
      </c>
      <c r="B589" t="s">
        <v>1970</v>
      </c>
      <c r="C589" t="s">
        <v>1165</v>
      </c>
      <c r="D589" t="s">
        <v>1027</v>
      </c>
      <c r="E589">
        <v>63774</v>
      </c>
      <c r="F589" t="s">
        <v>1166</v>
      </c>
      <c r="G589" t="b">
        <v>0</v>
      </c>
      <c r="H589" t="b">
        <v>0</v>
      </c>
      <c r="I589" t="s">
        <v>1050</v>
      </c>
      <c r="J589">
        <v>91</v>
      </c>
      <c r="K589" t="s">
        <v>1</v>
      </c>
      <c r="L589" t="s">
        <v>1167</v>
      </c>
      <c r="M589" t="s">
        <v>1168</v>
      </c>
      <c r="N589" t="s">
        <v>1169</v>
      </c>
      <c r="O589" t="s">
        <v>1168</v>
      </c>
      <c r="P589" t="s">
        <v>1170</v>
      </c>
    </row>
    <row r="590" spans="1:16" x14ac:dyDescent="0.25">
      <c r="A590" t="s">
        <v>1971</v>
      </c>
      <c r="B590" t="s">
        <v>1962</v>
      </c>
      <c r="C590" t="s">
        <v>1678</v>
      </c>
      <c r="D590" t="s">
        <v>1027</v>
      </c>
      <c r="E590">
        <v>63786</v>
      </c>
      <c r="F590" t="s">
        <v>1679</v>
      </c>
      <c r="G590" t="b">
        <v>0</v>
      </c>
      <c r="H590" t="b">
        <v>0</v>
      </c>
      <c r="I590" t="s">
        <v>1050</v>
      </c>
      <c r="J590">
        <v>20</v>
      </c>
      <c r="K590" t="s">
        <v>2</v>
      </c>
      <c r="L590" t="s">
        <v>1680</v>
      </c>
      <c r="M590" t="s">
        <v>1680</v>
      </c>
      <c r="N590" t="s">
        <v>1681</v>
      </c>
      <c r="O590" t="s">
        <v>1680</v>
      </c>
      <c r="P590" t="s">
        <v>1682</v>
      </c>
    </row>
    <row r="591" spans="1:16" x14ac:dyDescent="0.25">
      <c r="A591" t="s">
        <v>1972</v>
      </c>
      <c r="B591" t="s">
        <v>1973</v>
      </c>
      <c r="C591" t="s">
        <v>1211</v>
      </c>
      <c r="D591" t="s">
        <v>1027</v>
      </c>
      <c r="E591">
        <v>1383</v>
      </c>
      <c r="F591" t="s">
        <v>1212</v>
      </c>
      <c r="G591" t="b">
        <v>0</v>
      </c>
      <c r="H591" t="b">
        <v>0</v>
      </c>
      <c r="I591" t="s">
        <v>1050</v>
      </c>
      <c r="J591">
        <v>90</v>
      </c>
      <c r="K591" t="s">
        <v>2</v>
      </c>
      <c r="L591" t="s">
        <v>1169</v>
      </c>
      <c r="M591" t="s">
        <v>1168</v>
      </c>
      <c r="N591" t="s">
        <v>1213</v>
      </c>
      <c r="O591" t="s">
        <v>1213</v>
      </c>
      <c r="P591" t="s">
        <v>1214</v>
      </c>
    </row>
    <row r="592" spans="1:16" x14ac:dyDescent="0.25">
      <c r="A592" t="s">
        <v>1974</v>
      </c>
      <c r="B592" t="s">
        <v>1973</v>
      </c>
      <c r="C592" t="s">
        <v>1211</v>
      </c>
      <c r="D592" t="s">
        <v>1027</v>
      </c>
      <c r="E592">
        <v>1383</v>
      </c>
      <c r="F592" t="s">
        <v>1212</v>
      </c>
      <c r="G592" t="b">
        <v>0</v>
      </c>
      <c r="H592" t="b">
        <v>0</v>
      </c>
      <c r="I592" t="s">
        <v>1050</v>
      </c>
      <c r="J592">
        <v>90</v>
      </c>
      <c r="K592" t="s">
        <v>2</v>
      </c>
      <c r="L592" t="s">
        <v>1169</v>
      </c>
      <c r="M592" t="s">
        <v>1168</v>
      </c>
      <c r="N592" t="s">
        <v>1213</v>
      </c>
      <c r="O592" t="s">
        <v>1213</v>
      </c>
      <c r="P592" t="s">
        <v>1214</v>
      </c>
    </row>
    <row r="593" spans="1:16" x14ac:dyDescent="0.25">
      <c r="A593" t="s">
        <v>1975</v>
      </c>
      <c r="B593" t="s">
        <v>1976</v>
      </c>
      <c r="C593" t="s">
        <v>1233</v>
      </c>
      <c r="D593" t="s">
        <v>1027</v>
      </c>
      <c r="E593">
        <v>63762</v>
      </c>
      <c r="F593" t="s">
        <v>1234</v>
      </c>
      <c r="G593" t="b">
        <v>0</v>
      </c>
      <c r="H593" t="b">
        <v>0</v>
      </c>
      <c r="I593" t="s">
        <v>1050</v>
      </c>
      <c r="J593">
        <v>80</v>
      </c>
      <c r="K593" t="s">
        <v>0</v>
      </c>
      <c r="L593" t="s">
        <v>1167</v>
      </c>
      <c r="M593" t="s">
        <v>1168</v>
      </c>
      <c r="N593" t="s">
        <v>1169</v>
      </c>
      <c r="O593" t="s">
        <v>1168</v>
      </c>
      <c r="P593" t="s">
        <v>1235</v>
      </c>
    </row>
    <row r="594" spans="1:16" x14ac:dyDescent="0.25">
      <c r="A594" t="s">
        <v>1977</v>
      </c>
      <c r="B594" t="s">
        <v>1978</v>
      </c>
      <c r="C594" t="s">
        <v>1233</v>
      </c>
      <c r="D594" t="s">
        <v>1027</v>
      </c>
      <c r="E594">
        <v>63762</v>
      </c>
      <c r="F594" t="s">
        <v>1234</v>
      </c>
      <c r="G594" t="b">
        <v>0</v>
      </c>
      <c r="H594" t="b">
        <v>0</v>
      </c>
      <c r="I594" t="s">
        <v>1050</v>
      </c>
      <c r="J594">
        <v>80</v>
      </c>
      <c r="K594" t="s">
        <v>0</v>
      </c>
      <c r="L594" t="s">
        <v>1167</v>
      </c>
      <c r="M594" t="s">
        <v>1168</v>
      </c>
      <c r="N594" t="s">
        <v>1169</v>
      </c>
      <c r="O594" t="s">
        <v>1168</v>
      </c>
      <c r="P594" t="s">
        <v>1235</v>
      </c>
    </row>
    <row r="595" spans="1:16" x14ac:dyDescent="0.25">
      <c r="A595" t="s">
        <v>1979</v>
      </c>
      <c r="B595" t="s">
        <v>1980</v>
      </c>
      <c r="C595" t="s">
        <v>1571</v>
      </c>
      <c r="D595" t="s">
        <v>1027</v>
      </c>
      <c r="E595">
        <v>63767</v>
      </c>
      <c r="G595" t="b">
        <v>0</v>
      </c>
      <c r="H595" t="b">
        <v>0</v>
      </c>
      <c r="I595" t="s">
        <v>1050</v>
      </c>
      <c r="J595">
        <v>80</v>
      </c>
      <c r="K595" t="s">
        <v>0</v>
      </c>
      <c r="L595" t="s">
        <v>1167</v>
      </c>
      <c r="M595" t="s">
        <v>1168</v>
      </c>
      <c r="N595" t="s">
        <v>1169</v>
      </c>
      <c r="O595" t="s">
        <v>1168</v>
      </c>
      <c r="P595" t="s">
        <v>1283</v>
      </c>
    </row>
    <row r="596" spans="1:16" x14ac:dyDescent="0.25">
      <c r="A596" t="s">
        <v>1981</v>
      </c>
      <c r="B596" t="s">
        <v>1982</v>
      </c>
      <c r="C596" t="s">
        <v>1165</v>
      </c>
      <c r="D596" t="s">
        <v>1027</v>
      </c>
      <c r="E596">
        <v>63774</v>
      </c>
      <c r="F596" t="s">
        <v>1166</v>
      </c>
      <c r="G596" t="b">
        <v>0</v>
      </c>
      <c r="H596" t="b">
        <v>0</v>
      </c>
      <c r="I596" t="s">
        <v>1050</v>
      </c>
      <c r="J596">
        <v>91</v>
      </c>
      <c r="K596" t="s">
        <v>1</v>
      </c>
      <c r="L596" t="s">
        <v>1167</v>
      </c>
      <c r="M596" t="s">
        <v>1168</v>
      </c>
      <c r="N596" t="s">
        <v>1169</v>
      </c>
      <c r="O596" t="s">
        <v>1168</v>
      </c>
      <c r="P596" t="s">
        <v>1170</v>
      </c>
    </row>
    <row r="597" spans="1:16" x14ac:dyDescent="0.25">
      <c r="A597" t="s">
        <v>1983</v>
      </c>
      <c r="B597" t="s">
        <v>1982</v>
      </c>
      <c r="C597" t="s">
        <v>1165</v>
      </c>
      <c r="D597" t="s">
        <v>1027</v>
      </c>
      <c r="E597">
        <v>63774</v>
      </c>
      <c r="F597" t="s">
        <v>1166</v>
      </c>
      <c r="G597" t="b">
        <v>0</v>
      </c>
      <c r="H597" t="b">
        <v>0</v>
      </c>
      <c r="I597" t="s">
        <v>1050</v>
      </c>
      <c r="J597">
        <v>91</v>
      </c>
      <c r="K597" t="s">
        <v>1</v>
      </c>
      <c r="L597" t="s">
        <v>1167</v>
      </c>
      <c r="M597" t="s">
        <v>1168</v>
      </c>
      <c r="N597" t="s">
        <v>1169</v>
      </c>
      <c r="O597" t="s">
        <v>1168</v>
      </c>
      <c r="P597" t="s">
        <v>1170</v>
      </c>
    </row>
    <row r="598" spans="1:16" x14ac:dyDescent="0.25">
      <c r="A598" t="s">
        <v>1984</v>
      </c>
      <c r="B598" t="s">
        <v>1985</v>
      </c>
      <c r="C598" t="s">
        <v>1165</v>
      </c>
      <c r="D598" t="s">
        <v>1027</v>
      </c>
      <c r="E598">
        <v>63774</v>
      </c>
      <c r="F598" t="s">
        <v>1166</v>
      </c>
      <c r="G598" t="b">
        <v>0</v>
      </c>
      <c r="H598" t="b">
        <v>0</v>
      </c>
      <c r="I598" t="s">
        <v>1050</v>
      </c>
      <c r="J598">
        <v>91</v>
      </c>
      <c r="K598" t="s">
        <v>1</v>
      </c>
      <c r="L598" t="s">
        <v>1167</v>
      </c>
      <c r="M598" t="s">
        <v>1168</v>
      </c>
      <c r="N598" t="s">
        <v>1169</v>
      </c>
      <c r="O598" t="s">
        <v>1168</v>
      </c>
      <c r="P598" t="s">
        <v>1170</v>
      </c>
    </row>
    <row r="599" spans="1:16" x14ac:dyDescent="0.25">
      <c r="A599" t="s">
        <v>1986</v>
      </c>
      <c r="B599" t="s">
        <v>1985</v>
      </c>
      <c r="C599" t="s">
        <v>1165</v>
      </c>
      <c r="D599" t="s">
        <v>1027</v>
      </c>
      <c r="E599">
        <v>63774</v>
      </c>
      <c r="F599" t="s">
        <v>1166</v>
      </c>
      <c r="G599" t="b">
        <v>0</v>
      </c>
      <c r="H599" t="b">
        <v>0</v>
      </c>
      <c r="I599" t="s">
        <v>1050</v>
      </c>
      <c r="J599">
        <v>91</v>
      </c>
      <c r="K599" t="s">
        <v>1</v>
      </c>
      <c r="L599" t="s">
        <v>1167</v>
      </c>
      <c r="M599" t="s">
        <v>1168</v>
      </c>
      <c r="N599" t="s">
        <v>1169</v>
      </c>
      <c r="O599" t="s">
        <v>1168</v>
      </c>
      <c r="P599" t="s">
        <v>1170</v>
      </c>
    </row>
    <row r="600" spans="1:16" x14ac:dyDescent="0.25">
      <c r="A600" t="s">
        <v>1987</v>
      </c>
      <c r="B600" t="s">
        <v>1988</v>
      </c>
      <c r="C600" t="s">
        <v>1165</v>
      </c>
      <c r="D600" t="s">
        <v>1027</v>
      </c>
      <c r="E600">
        <v>63774</v>
      </c>
      <c r="F600" t="s">
        <v>1166</v>
      </c>
      <c r="G600" t="b">
        <v>0</v>
      </c>
      <c r="H600" t="b">
        <v>0</v>
      </c>
      <c r="I600" t="s">
        <v>1050</v>
      </c>
      <c r="J600">
        <v>91</v>
      </c>
      <c r="K600" t="s">
        <v>1</v>
      </c>
      <c r="L600" t="s">
        <v>1167</v>
      </c>
      <c r="M600" t="s">
        <v>1168</v>
      </c>
      <c r="N600" t="s">
        <v>1169</v>
      </c>
      <c r="O600" t="s">
        <v>1168</v>
      </c>
      <c r="P600" t="s">
        <v>1170</v>
      </c>
    </row>
    <row r="601" spans="1:16" x14ac:dyDescent="0.25">
      <c r="A601" t="s">
        <v>1989</v>
      </c>
      <c r="B601" t="s">
        <v>1988</v>
      </c>
      <c r="C601" t="s">
        <v>1165</v>
      </c>
      <c r="D601" t="s">
        <v>1027</v>
      </c>
      <c r="E601">
        <v>63774</v>
      </c>
      <c r="F601" t="s">
        <v>1166</v>
      </c>
      <c r="G601" t="b">
        <v>0</v>
      </c>
      <c r="H601" t="b">
        <v>0</v>
      </c>
      <c r="I601" t="s">
        <v>1050</v>
      </c>
      <c r="J601">
        <v>91</v>
      </c>
      <c r="K601" t="s">
        <v>1</v>
      </c>
      <c r="L601" t="s">
        <v>1167</v>
      </c>
      <c r="M601" t="s">
        <v>1168</v>
      </c>
      <c r="N601" t="s">
        <v>1169</v>
      </c>
      <c r="O601" t="s">
        <v>1168</v>
      </c>
      <c r="P601" t="s">
        <v>1170</v>
      </c>
    </row>
    <row r="602" spans="1:16" x14ac:dyDescent="0.25">
      <c r="A602" t="s">
        <v>1990</v>
      </c>
      <c r="B602" t="s">
        <v>1991</v>
      </c>
      <c r="C602" t="s">
        <v>1165</v>
      </c>
      <c r="D602" t="s">
        <v>1027</v>
      </c>
      <c r="E602">
        <v>63774</v>
      </c>
      <c r="F602" t="s">
        <v>1166</v>
      </c>
      <c r="G602" t="b">
        <v>0</v>
      </c>
      <c r="H602" t="b">
        <v>0</v>
      </c>
      <c r="I602" t="s">
        <v>1050</v>
      </c>
      <c r="J602">
        <v>91</v>
      </c>
      <c r="K602" t="s">
        <v>1</v>
      </c>
      <c r="L602" t="s">
        <v>1167</v>
      </c>
      <c r="M602" t="s">
        <v>1168</v>
      </c>
      <c r="N602" t="s">
        <v>1169</v>
      </c>
      <c r="O602" t="s">
        <v>1168</v>
      </c>
      <c r="P602" t="s">
        <v>1170</v>
      </c>
    </row>
    <row r="603" spans="1:16" x14ac:dyDescent="0.25">
      <c r="A603" t="s">
        <v>1992</v>
      </c>
      <c r="B603" t="s">
        <v>1991</v>
      </c>
      <c r="C603" t="s">
        <v>1165</v>
      </c>
      <c r="D603" t="s">
        <v>1027</v>
      </c>
      <c r="E603">
        <v>63774</v>
      </c>
      <c r="F603" t="s">
        <v>1166</v>
      </c>
      <c r="G603" t="b">
        <v>0</v>
      </c>
      <c r="H603" t="b">
        <v>0</v>
      </c>
      <c r="I603" t="s">
        <v>1050</v>
      </c>
      <c r="J603">
        <v>91</v>
      </c>
      <c r="K603" t="s">
        <v>1</v>
      </c>
      <c r="L603" t="s">
        <v>1167</v>
      </c>
      <c r="M603" t="s">
        <v>1168</v>
      </c>
      <c r="N603" t="s">
        <v>1169</v>
      </c>
      <c r="O603" t="s">
        <v>1168</v>
      </c>
      <c r="P603" t="s">
        <v>1170</v>
      </c>
    </row>
    <row r="604" spans="1:16" x14ac:dyDescent="0.25">
      <c r="A604" t="s">
        <v>1993</v>
      </c>
      <c r="B604" t="s">
        <v>1994</v>
      </c>
      <c r="C604" t="s">
        <v>1233</v>
      </c>
      <c r="D604" t="s">
        <v>1027</v>
      </c>
      <c r="E604">
        <v>63762</v>
      </c>
      <c r="F604" t="s">
        <v>1234</v>
      </c>
      <c r="G604" t="b">
        <v>0</v>
      </c>
      <c r="H604" t="b">
        <v>0</v>
      </c>
      <c r="I604" t="s">
        <v>1050</v>
      </c>
      <c r="J604">
        <v>85</v>
      </c>
      <c r="K604" t="s">
        <v>0</v>
      </c>
      <c r="L604" t="s">
        <v>1167</v>
      </c>
      <c r="M604" t="s">
        <v>1168</v>
      </c>
      <c r="N604" t="s">
        <v>1169</v>
      </c>
      <c r="O604" t="s">
        <v>1168</v>
      </c>
      <c r="P604" t="s">
        <v>1235</v>
      </c>
    </row>
    <row r="605" spans="1:16" x14ac:dyDescent="0.25">
      <c r="A605" t="s">
        <v>1995</v>
      </c>
      <c r="B605" t="s">
        <v>1996</v>
      </c>
      <c r="C605" t="s">
        <v>1233</v>
      </c>
      <c r="D605" t="s">
        <v>1027</v>
      </c>
      <c r="E605">
        <v>63762</v>
      </c>
      <c r="F605" t="s">
        <v>1234</v>
      </c>
      <c r="G605" t="b">
        <v>0</v>
      </c>
      <c r="H605" t="b">
        <v>0</v>
      </c>
      <c r="I605" t="s">
        <v>1050</v>
      </c>
      <c r="J605">
        <v>85</v>
      </c>
      <c r="K605" t="s">
        <v>0</v>
      </c>
      <c r="L605" t="s">
        <v>1167</v>
      </c>
      <c r="M605" t="s">
        <v>1168</v>
      </c>
      <c r="N605" t="s">
        <v>1169</v>
      </c>
      <c r="O605" t="s">
        <v>1168</v>
      </c>
      <c r="P605" t="s">
        <v>1235</v>
      </c>
    </row>
    <row r="606" spans="1:16" x14ac:dyDescent="0.25">
      <c r="A606" t="s">
        <v>1997</v>
      </c>
      <c r="B606" t="s">
        <v>1998</v>
      </c>
      <c r="C606" t="s">
        <v>1233</v>
      </c>
      <c r="D606" t="s">
        <v>1027</v>
      </c>
      <c r="E606">
        <v>63762</v>
      </c>
      <c r="F606" t="s">
        <v>1234</v>
      </c>
      <c r="G606" t="b">
        <v>0</v>
      </c>
      <c r="H606" t="b">
        <v>0</v>
      </c>
      <c r="I606" t="s">
        <v>1050</v>
      </c>
      <c r="J606">
        <v>85</v>
      </c>
      <c r="K606" t="s">
        <v>0</v>
      </c>
      <c r="L606" t="s">
        <v>1167</v>
      </c>
      <c r="M606" t="s">
        <v>1168</v>
      </c>
      <c r="N606" t="s">
        <v>1169</v>
      </c>
      <c r="O606" t="s">
        <v>1168</v>
      </c>
      <c r="P606" t="s">
        <v>1235</v>
      </c>
    </row>
    <row r="607" spans="1:16" x14ac:dyDescent="0.25">
      <c r="A607" t="s">
        <v>1999</v>
      </c>
      <c r="B607" t="s">
        <v>2000</v>
      </c>
      <c r="C607" t="s">
        <v>1233</v>
      </c>
      <c r="D607" t="s">
        <v>1027</v>
      </c>
      <c r="E607">
        <v>63762</v>
      </c>
      <c r="F607" t="s">
        <v>1234</v>
      </c>
      <c r="G607" t="b">
        <v>0</v>
      </c>
      <c r="H607" t="b">
        <v>0</v>
      </c>
      <c r="I607" t="s">
        <v>1050</v>
      </c>
      <c r="J607">
        <v>88</v>
      </c>
      <c r="K607" t="s">
        <v>0</v>
      </c>
      <c r="L607" t="s">
        <v>1167</v>
      </c>
      <c r="M607" t="s">
        <v>1168</v>
      </c>
      <c r="N607" t="s">
        <v>1169</v>
      </c>
      <c r="O607" t="s">
        <v>1168</v>
      </c>
      <c r="P607" t="s">
        <v>1235</v>
      </c>
    </row>
    <row r="608" spans="1:16" x14ac:dyDescent="0.25">
      <c r="A608" t="s">
        <v>2001</v>
      </c>
      <c r="B608" t="s">
        <v>2002</v>
      </c>
      <c r="C608" t="s">
        <v>1233</v>
      </c>
      <c r="D608" t="s">
        <v>1027</v>
      </c>
      <c r="E608">
        <v>63762</v>
      </c>
      <c r="F608" t="s">
        <v>1234</v>
      </c>
      <c r="G608" t="b">
        <v>0</v>
      </c>
      <c r="H608" t="b">
        <v>0</v>
      </c>
      <c r="I608" t="s">
        <v>1050</v>
      </c>
      <c r="J608">
        <v>88</v>
      </c>
      <c r="K608" t="s">
        <v>0</v>
      </c>
      <c r="L608" t="s">
        <v>1167</v>
      </c>
      <c r="M608" t="s">
        <v>1168</v>
      </c>
      <c r="N608" t="s">
        <v>1169</v>
      </c>
      <c r="O608" t="s">
        <v>1168</v>
      </c>
      <c r="P608" t="s">
        <v>1235</v>
      </c>
    </row>
    <row r="609" spans="1:16" x14ac:dyDescent="0.25">
      <c r="A609" t="s">
        <v>2003</v>
      </c>
      <c r="B609" t="s">
        <v>2004</v>
      </c>
      <c r="C609" t="s">
        <v>1233</v>
      </c>
      <c r="D609" t="s">
        <v>1027</v>
      </c>
      <c r="E609">
        <v>63762</v>
      </c>
      <c r="F609" t="s">
        <v>1234</v>
      </c>
      <c r="G609" t="b">
        <v>0</v>
      </c>
      <c r="H609" t="b">
        <v>0</v>
      </c>
      <c r="I609" t="s">
        <v>1050</v>
      </c>
      <c r="J609">
        <v>88</v>
      </c>
      <c r="K609" t="s">
        <v>0</v>
      </c>
      <c r="L609" t="s">
        <v>1167</v>
      </c>
      <c r="M609" t="s">
        <v>1168</v>
      </c>
      <c r="N609" t="s">
        <v>1169</v>
      </c>
      <c r="O609" t="s">
        <v>1168</v>
      </c>
      <c r="P609" t="s">
        <v>1235</v>
      </c>
    </row>
    <row r="610" spans="1:16" x14ac:dyDescent="0.25">
      <c r="A610" t="s">
        <v>2005</v>
      </c>
      <c r="B610" t="s">
        <v>2006</v>
      </c>
      <c r="C610" t="s">
        <v>1233</v>
      </c>
      <c r="D610" t="s">
        <v>1027</v>
      </c>
      <c r="E610">
        <v>63762</v>
      </c>
      <c r="F610" t="s">
        <v>1234</v>
      </c>
      <c r="G610" t="b">
        <v>0</v>
      </c>
      <c r="H610" t="b">
        <v>0</v>
      </c>
      <c r="I610" t="s">
        <v>1050</v>
      </c>
      <c r="J610">
        <v>80</v>
      </c>
      <c r="K610" t="s">
        <v>0</v>
      </c>
      <c r="L610" t="s">
        <v>1167</v>
      </c>
      <c r="M610" t="s">
        <v>1168</v>
      </c>
      <c r="N610" t="s">
        <v>1169</v>
      </c>
      <c r="O610" t="s">
        <v>1168</v>
      </c>
      <c r="P610" t="s">
        <v>1235</v>
      </c>
    </row>
    <row r="611" spans="1:16" x14ac:dyDescent="0.25">
      <c r="A611" t="s">
        <v>2007</v>
      </c>
      <c r="B611" t="s">
        <v>2008</v>
      </c>
      <c r="C611" t="s">
        <v>1233</v>
      </c>
      <c r="D611" t="s">
        <v>1027</v>
      </c>
      <c r="E611">
        <v>63762</v>
      </c>
      <c r="F611" t="s">
        <v>1234</v>
      </c>
      <c r="G611" t="b">
        <v>0</v>
      </c>
      <c r="H611" t="b">
        <v>0</v>
      </c>
      <c r="I611" t="s">
        <v>1050</v>
      </c>
      <c r="J611">
        <v>80</v>
      </c>
      <c r="K611" t="s">
        <v>0</v>
      </c>
      <c r="L611" t="s">
        <v>1167</v>
      </c>
      <c r="M611" t="s">
        <v>1168</v>
      </c>
      <c r="N611" t="s">
        <v>1169</v>
      </c>
      <c r="O611" t="s">
        <v>1168</v>
      </c>
      <c r="P611" t="s">
        <v>1235</v>
      </c>
    </row>
    <row r="612" spans="1:16" x14ac:dyDescent="0.25">
      <c r="A612" t="s">
        <v>2009</v>
      </c>
      <c r="B612" t="s">
        <v>2010</v>
      </c>
      <c r="C612" t="s">
        <v>1233</v>
      </c>
      <c r="D612" t="s">
        <v>1027</v>
      </c>
      <c r="E612">
        <v>63762</v>
      </c>
      <c r="F612" t="s">
        <v>1234</v>
      </c>
      <c r="G612" t="b">
        <v>0</v>
      </c>
      <c r="H612" t="b">
        <v>0</v>
      </c>
      <c r="I612" t="s">
        <v>1050</v>
      </c>
      <c r="J612">
        <v>80</v>
      </c>
      <c r="K612" t="s">
        <v>0</v>
      </c>
      <c r="L612" t="s">
        <v>1167</v>
      </c>
      <c r="M612" t="s">
        <v>1168</v>
      </c>
      <c r="N612" t="s">
        <v>1169</v>
      </c>
      <c r="O612" t="s">
        <v>1168</v>
      </c>
      <c r="P612" t="s">
        <v>1235</v>
      </c>
    </row>
    <row r="613" spans="1:16" x14ac:dyDescent="0.25">
      <c r="A613" t="s">
        <v>2011</v>
      </c>
      <c r="B613" t="s">
        <v>2012</v>
      </c>
      <c r="C613" t="s">
        <v>1678</v>
      </c>
      <c r="D613" t="s">
        <v>1027</v>
      </c>
      <c r="E613">
        <v>63786</v>
      </c>
      <c r="F613" t="s">
        <v>1679</v>
      </c>
      <c r="G613" t="b">
        <v>0</v>
      </c>
      <c r="H613" t="b">
        <v>0</v>
      </c>
      <c r="I613" t="s">
        <v>1050</v>
      </c>
      <c r="J613">
        <v>52</v>
      </c>
      <c r="K613" t="s">
        <v>2</v>
      </c>
      <c r="L613" t="s">
        <v>1680</v>
      </c>
      <c r="M613" t="s">
        <v>1680</v>
      </c>
      <c r="N613" t="s">
        <v>1681</v>
      </c>
      <c r="O613" t="s">
        <v>1680</v>
      </c>
      <c r="P613" t="s">
        <v>1682</v>
      </c>
    </row>
    <row r="614" spans="1:16" x14ac:dyDescent="0.25">
      <c r="A614" t="s">
        <v>2013</v>
      </c>
      <c r="B614" t="s">
        <v>2012</v>
      </c>
      <c r="C614" t="s">
        <v>1678</v>
      </c>
      <c r="D614" t="s">
        <v>1027</v>
      </c>
      <c r="E614">
        <v>63786</v>
      </c>
      <c r="F614" t="s">
        <v>1679</v>
      </c>
      <c r="G614" t="b">
        <v>0</v>
      </c>
      <c r="H614" t="b">
        <v>0</v>
      </c>
      <c r="I614" t="s">
        <v>1050</v>
      </c>
      <c r="J614">
        <v>52</v>
      </c>
      <c r="K614" t="s">
        <v>2</v>
      </c>
      <c r="L614" t="s">
        <v>1680</v>
      </c>
      <c r="M614" t="s">
        <v>1680</v>
      </c>
      <c r="N614" t="s">
        <v>1681</v>
      </c>
      <c r="O614" t="s">
        <v>1680</v>
      </c>
      <c r="P614" t="s">
        <v>1682</v>
      </c>
    </row>
    <row r="615" spans="1:16" x14ac:dyDescent="0.25">
      <c r="A615" t="s">
        <v>2014</v>
      </c>
      <c r="B615" t="s">
        <v>2015</v>
      </c>
      <c r="C615" t="s">
        <v>1233</v>
      </c>
      <c r="D615" t="s">
        <v>1027</v>
      </c>
      <c r="E615">
        <v>63762</v>
      </c>
      <c r="F615" t="s">
        <v>1234</v>
      </c>
      <c r="G615" t="b">
        <v>0</v>
      </c>
      <c r="H615" t="b">
        <v>0</v>
      </c>
      <c r="I615" t="s">
        <v>1050</v>
      </c>
      <c r="J615">
        <v>88</v>
      </c>
      <c r="K615" t="s">
        <v>0</v>
      </c>
      <c r="L615" t="s">
        <v>1167</v>
      </c>
      <c r="M615" t="s">
        <v>1168</v>
      </c>
      <c r="N615" t="s">
        <v>1169</v>
      </c>
      <c r="O615" t="s">
        <v>1168</v>
      </c>
      <c r="P615" t="s">
        <v>1235</v>
      </c>
    </row>
    <row r="616" spans="1:16" x14ac:dyDescent="0.25">
      <c r="A616" t="s">
        <v>2016</v>
      </c>
      <c r="B616" t="s">
        <v>2017</v>
      </c>
      <c r="C616" t="s">
        <v>1233</v>
      </c>
      <c r="D616" t="s">
        <v>1027</v>
      </c>
      <c r="E616">
        <v>63762</v>
      </c>
      <c r="F616" t="s">
        <v>1234</v>
      </c>
      <c r="G616" t="b">
        <v>0</v>
      </c>
      <c r="H616" t="b">
        <v>0</v>
      </c>
      <c r="I616" t="s">
        <v>1050</v>
      </c>
      <c r="J616">
        <v>88</v>
      </c>
      <c r="K616" t="s">
        <v>0</v>
      </c>
      <c r="L616" t="s">
        <v>1167</v>
      </c>
      <c r="M616" t="s">
        <v>1168</v>
      </c>
      <c r="N616" t="s">
        <v>1169</v>
      </c>
      <c r="O616" t="s">
        <v>1168</v>
      </c>
      <c r="P616" t="s">
        <v>1235</v>
      </c>
    </row>
    <row r="617" spans="1:16" x14ac:dyDescent="0.25">
      <c r="A617" t="s">
        <v>2018</v>
      </c>
      <c r="B617" t="s">
        <v>2019</v>
      </c>
      <c r="C617" t="s">
        <v>1233</v>
      </c>
      <c r="D617" t="s">
        <v>1027</v>
      </c>
      <c r="E617">
        <v>63762</v>
      </c>
      <c r="F617" t="s">
        <v>1234</v>
      </c>
      <c r="G617" t="b">
        <v>0</v>
      </c>
      <c r="H617" t="b">
        <v>0</v>
      </c>
      <c r="I617" t="s">
        <v>1050</v>
      </c>
      <c r="J617">
        <v>88</v>
      </c>
      <c r="K617" t="s">
        <v>0</v>
      </c>
      <c r="L617" t="s">
        <v>1167</v>
      </c>
      <c r="M617" t="s">
        <v>1168</v>
      </c>
      <c r="N617" t="s">
        <v>1169</v>
      </c>
      <c r="O617" t="s">
        <v>1168</v>
      </c>
      <c r="P617" t="s">
        <v>1235</v>
      </c>
    </row>
    <row r="618" spans="1:16" x14ac:dyDescent="0.25">
      <c r="A618" t="s">
        <v>2020</v>
      </c>
      <c r="B618" t="s">
        <v>2021</v>
      </c>
      <c r="C618" t="s">
        <v>1233</v>
      </c>
      <c r="D618" t="s">
        <v>1027</v>
      </c>
      <c r="E618">
        <v>63762</v>
      </c>
      <c r="F618" t="s">
        <v>1234</v>
      </c>
      <c r="G618" t="b">
        <v>0</v>
      </c>
      <c r="H618" t="b">
        <v>0</v>
      </c>
      <c r="I618" t="s">
        <v>1050</v>
      </c>
      <c r="J618">
        <v>88</v>
      </c>
      <c r="K618" t="s">
        <v>0</v>
      </c>
      <c r="L618" t="s">
        <v>1167</v>
      </c>
      <c r="M618" t="s">
        <v>1168</v>
      </c>
      <c r="N618" t="s">
        <v>1169</v>
      </c>
      <c r="O618" t="s">
        <v>1168</v>
      </c>
      <c r="P618" t="s">
        <v>1235</v>
      </c>
    </row>
    <row r="619" spans="1:16" x14ac:dyDescent="0.25">
      <c r="A619" t="s">
        <v>2022</v>
      </c>
      <c r="B619" t="s">
        <v>2023</v>
      </c>
      <c r="C619" t="s">
        <v>1571</v>
      </c>
      <c r="D619" t="s">
        <v>1027</v>
      </c>
      <c r="E619">
        <v>63767</v>
      </c>
      <c r="G619" t="b">
        <v>0</v>
      </c>
      <c r="H619" t="b">
        <v>0</v>
      </c>
      <c r="I619" t="s">
        <v>1050</v>
      </c>
      <c r="J619">
        <v>80</v>
      </c>
      <c r="K619" t="s">
        <v>0</v>
      </c>
      <c r="L619" t="s">
        <v>1167</v>
      </c>
      <c r="M619" t="s">
        <v>1168</v>
      </c>
      <c r="N619" t="s">
        <v>1169</v>
      </c>
      <c r="O619" t="s">
        <v>1168</v>
      </c>
      <c r="P619" t="s">
        <v>1283</v>
      </c>
    </row>
    <row r="620" spans="1:16" x14ac:dyDescent="0.25">
      <c r="A620" t="s">
        <v>2024</v>
      </c>
      <c r="B620" t="s">
        <v>2025</v>
      </c>
      <c r="C620" t="s">
        <v>2026</v>
      </c>
      <c r="D620" t="s">
        <v>1027</v>
      </c>
      <c r="E620">
        <v>1336</v>
      </c>
      <c r="F620" t="s">
        <v>2027</v>
      </c>
      <c r="G620" t="b">
        <v>0</v>
      </c>
      <c r="H620" t="b">
        <v>0</v>
      </c>
      <c r="I620" t="s">
        <v>1050</v>
      </c>
      <c r="J620">
        <v>80</v>
      </c>
      <c r="K620" t="s">
        <v>0</v>
      </c>
      <c r="L620" t="s">
        <v>1167</v>
      </c>
      <c r="M620" t="s">
        <v>1168</v>
      </c>
      <c r="N620" t="s">
        <v>1169</v>
      </c>
      <c r="O620" t="s">
        <v>1168</v>
      </c>
      <c r="P620" t="s">
        <v>2028</v>
      </c>
    </row>
    <row r="621" spans="1:16" x14ac:dyDescent="0.25">
      <c r="A621" t="s">
        <v>2029</v>
      </c>
      <c r="B621" t="s">
        <v>2030</v>
      </c>
      <c r="C621" t="s">
        <v>2026</v>
      </c>
      <c r="D621" t="s">
        <v>1027</v>
      </c>
      <c r="E621">
        <v>1336</v>
      </c>
      <c r="F621" t="s">
        <v>2027</v>
      </c>
      <c r="G621" t="b">
        <v>0</v>
      </c>
      <c r="H621" t="b">
        <v>0</v>
      </c>
      <c r="I621" t="s">
        <v>1050</v>
      </c>
      <c r="J621">
        <v>80</v>
      </c>
      <c r="K621" t="s">
        <v>0</v>
      </c>
      <c r="L621" t="s">
        <v>1167</v>
      </c>
      <c r="M621" t="s">
        <v>1168</v>
      </c>
      <c r="N621" t="s">
        <v>1169</v>
      </c>
      <c r="O621" t="s">
        <v>1168</v>
      </c>
      <c r="P621" t="s">
        <v>2028</v>
      </c>
    </row>
    <row r="622" spans="1:16" x14ac:dyDescent="0.25">
      <c r="A622" t="s">
        <v>2031</v>
      </c>
      <c r="B622" t="s">
        <v>2032</v>
      </c>
      <c r="C622" t="s">
        <v>2026</v>
      </c>
      <c r="D622" t="s">
        <v>1027</v>
      </c>
      <c r="E622">
        <v>1336</v>
      </c>
      <c r="F622" t="s">
        <v>2027</v>
      </c>
      <c r="G622" t="b">
        <v>0</v>
      </c>
      <c r="H622" t="b">
        <v>0</v>
      </c>
      <c r="I622" t="s">
        <v>1050</v>
      </c>
      <c r="J622">
        <v>80</v>
      </c>
      <c r="K622" t="s">
        <v>0</v>
      </c>
      <c r="L622" t="s">
        <v>1167</v>
      </c>
      <c r="M622" t="s">
        <v>1168</v>
      </c>
      <c r="N622" t="s">
        <v>1169</v>
      </c>
      <c r="O622" t="s">
        <v>1168</v>
      </c>
      <c r="P622" t="s">
        <v>2028</v>
      </c>
    </row>
    <row r="623" spans="1:16" x14ac:dyDescent="0.25">
      <c r="A623" t="s">
        <v>2033</v>
      </c>
      <c r="B623" t="s">
        <v>2034</v>
      </c>
      <c r="C623" t="s">
        <v>2026</v>
      </c>
      <c r="D623" t="s">
        <v>1027</v>
      </c>
      <c r="E623">
        <v>1336</v>
      </c>
      <c r="F623" t="s">
        <v>2027</v>
      </c>
      <c r="G623" t="b">
        <v>0</v>
      </c>
      <c r="H623" t="b">
        <v>0</v>
      </c>
      <c r="I623" t="s">
        <v>1050</v>
      </c>
      <c r="J623">
        <v>80</v>
      </c>
      <c r="K623" t="s">
        <v>0</v>
      </c>
      <c r="L623" t="s">
        <v>1167</v>
      </c>
      <c r="M623" t="s">
        <v>1168</v>
      </c>
      <c r="N623" t="s">
        <v>1169</v>
      </c>
      <c r="O623" t="s">
        <v>1168</v>
      </c>
      <c r="P623" t="s">
        <v>2028</v>
      </c>
    </row>
    <row r="624" spans="1:16" x14ac:dyDescent="0.25">
      <c r="A624" t="s">
        <v>2035</v>
      </c>
      <c r="B624" t="s">
        <v>2036</v>
      </c>
      <c r="C624" t="s">
        <v>1233</v>
      </c>
      <c r="D624" t="s">
        <v>1027</v>
      </c>
      <c r="E624">
        <v>63762</v>
      </c>
      <c r="F624" t="s">
        <v>1234</v>
      </c>
      <c r="G624" t="b">
        <v>0</v>
      </c>
      <c r="H624" t="b">
        <v>0</v>
      </c>
      <c r="I624" t="s">
        <v>1050</v>
      </c>
      <c r="J624">
        <v>80</v>
      </c>
      <c r="K624" t="s">
        <v>0</v>
      </c>
      <c r="L624" t="s">
        <v>1167</v>
      </c>
      <c r="M624" t="s">
        <v>1168</v>
      </c>
      <c r="N624" t="s">
        <v>1169</v>
      </c>
      <c r="O624" t="s">
        <v>1168</v>
      </c>
      <c r="P624" t="s">
        <v>1235</v>
      </c>
    </row>
    <row r="625" spans="1:16" x14ac:dyDescent="0.25">
      <c r="A625" t="s">
        <v>2037</v>
      </c>
      <c r="B625" t="s">
        <v>2038</v>
      </c>
      <c r="C625" t="s">
        <v>1678</v>
      </c>
      <c r="D625" t="s">
        <v>1027</v>
      </c>
      <c r="E625">
        <v>63786</v>
      </c>
      <c r="F625" t="s">
        <v>1679</v>
      </c>
      <c r="G625" t="b">
        <v>0</v>
      </c>
      <c r="H625" t="b">
        <v>0</v>
      </c>
      <c r="I625" t="s">
        <v>1050</v>
      </c>
      <c r="J625">
        <v>20</v>
      </c>
      <c r="K625" t="s">
        <v>2</v>
      </c>
      <c r="L625" t="s">
        <v>1680</v>
      </c>
      <c r="M625" t="s">
        <v>1680</v>
      </c>
      <c r="N625" t="s">
        <v>1681</v>
      </c>
      <c r="O625" t="s">
        <v>1680</v>
      </c>
      <c r="P625" t="s">
        <v>1682</v>
      </c>
    </row>
    <row r="626" spans="1:16" x14ac:dyDescent="0.25">
      <c r="A626" t="s">
        <v>2039</v>
      </c>
      <c r="B626" t="s">
        <v>2040</v>
      </c>
      <c r="C626" t="s">
        <v>1233</v>
      </c>
      <c r="D626" t="s">
        <v>1027</v>
      </c>
      <c r="E626">
        <v>63762</v>
      </c>
      <c r="F626" t="s">
        <v>1234</v>
      </c>
      <c r="G626" t="b">
        <v>0</v>
      </c>
      <c r="H626" t="b">
        <v>0</v>
      </c>
      <c r="I626" t="s">
        <v>1050</v>
      </c>
      <c r="J626">
        <v>88</v>
      </c>
      <c r="K626" t="s">
        <v>0</v>
      </c>
      <c r="L626" t="s">
        <v>1167</v>
      </c>
      <c r="M626" t="s">
        <v>1168</v>
      </c>
      <c r="N626" t="s">
        <v>1169</v>
      </c>
      <c r="O626" t="s">
        <v>1168</v>
      </c>
      <c r="P626" t="s">
        <v>1235</v>
      </c>
    </row>
    <row r="627" spans="1:16" x14ac:dyDescent="0.25">
      <c r="A627" t="s">
        <v>2041</v>
      </c>
      <c r="B627" t="s">
        <v>2042</v>
      </c>
      <c r="C627" t="s">
        <v>1571</v>
      </c>
      <c r="D627" t="s">
        <v>1027</v>
      </c>
      <c r="E627">
        <v>63767</v>
      </c>
      <c r="G627" t="b">
        <v>0</v>
      </c>
      <c r="H627" t="b">
        <v>0</v>
      </c>
      <c r="I627" t="s">
        <v>1050</v>
      </c>
      <c r="J627">
        <v>80</v>
      </c>
      <c r="K627" t="s">
        <v>0</v>
      </c>
      <c r="L627" t="s">
        <v>1167</v>
      </c>
      <c r="M627" t="s">
        <v>1168</v>
      </c>
      <c r="N627" t="s">
        <v>1169</v>
      </c>
      <c r="O627" t="s">
        <v>1168</v>
      </c>
      <c r="P627" t="s">
        <v>1283</v>
      </c>
    </row>
    <row r="628" spans="1:16" x14ac:dyDescent="0.25">
      <c r="A628" t="s">
        <v>2043</v>
      </c>
      <c r="B628" t="s">
        <v>2044</v>
      </c>
      <c r="C628" t="s">
        <v>1571</v>
      </c>
      <c r="D628" t="s">
        <v>1027</v>
      </c>
      <c r="E628">
        <v>63767</v>
      </c>
      <c r="G628" t="b">
        <v>0</v>
      </c>
      <c r="H628" t="b">
        <v>0</v>
      </c>
      <c r="I628" t="s">
        <v>1050</v>
      </c>
      <c r="J628">
        <v>80</v>
      </c>
      <c r="K628" t="s">
        <v>0</v>
      </c>
      <c r="L628" t="s">
        <v>1167</v>
      </c>
      <c r="M628" t="s">
        <v>1168</v>
      </c>
      <c r="N628" t="s">
        <v>1169</v>
      </c>
      <c r="O628" t="s">
        <v>1168</v>
      </c>
      <c r="P628" t="s">
        <v>1283</v>
      </c>
    </row>
    <row r="629" spans="1:16" x14ac:dyDescent="0.25">
      <c r="A629" t="s">
        <v>2045</v>
      </c>
      <c r="B629" t="s">
        <v>2046</v>
      </c>
      <c r="C629" t="s">
        <v>1571</v>
      </c>
      <c r="D629" t="s">
        <v>1027</v>
      </c>
      <c r="E629">
        <v>63767</v>
      </c>
      <c r="G629" t="b">
        <v>0</v>
      </c>
      <c r="H629" t="b">
        <v>0</v>
      </c>
      <c r="I629" t="s">
        <v>1050</v>
      </c>
      <c r="J629">
        <v>80</v>
      </c>
      <c r="K629" t="s">
        <v>0</v>
      </c>
      <c r="L629" t="s">
        <v>1167</v>
      </c>
      <c r="M629" t="s">
        <v>1168</v>
      </c>
      <c r="N629" t="s">
        <v>1169</v>
      </c>
      <c r="O629" t="s">
        <v>1168</v>
      </c>
      <c r="P629" t="s">
        <v>1283</v>
      </c>
    </row>
    <row r="630" spans="1:16" x14ac:dyDescent="0.25">
      <c r="A630" t="s">
        <v>2047</v>
      </c>
      <c r="B630" t="s">
        <v>2048</v>
      </c>
      <c r="C630" t="s">
        <v>1571</v>
      </c>
      <c r="D630" t="s">
        <v>1027</v>
      </c>
      <c r="E630">
        <v>63767</v>
      </c>
      <c r="G630" t="b">
        <v>0</v>
      </c>
      <c r="H630" t="b">
        <v>0</v>
      </c>
      <c r="I630" t="s">
        <v>1050</v>
      </c>
      <c r="J630">
        <v>80</v>
      </c>
      <c r="K630" t="s">
        <v>0</v>
      </c>
      <c r="L630" t="s">
        <v>1167</v>
      </c>
      <c r="M630" t="s">
        <v>1168</v>
      </c>
      <c r="N630" t="s">
        <v>1169</v>
      </c>
      <c r="O630" t="s">
        <v>1168</v>
      </c>
      <c r="P630" t="s">
        <v>1283</v>
      </c>
    </row>
    <row r="631" spans="1:16" x14ac:dyDescent="0.25">
      <c r="A631" t="s">
        <v>2049</v>
      </c>
      <c r="B631" t="s">
        <v>2050</v>
      </c>
      <c r="C631" t="s">
        <v>1233</v>
      </c>
      <c r="D631" t="s">
        <v>1027</v>
      </c>
      <c r="E631">
        <v>63762</v>
      </c>
      <c r="F631" t="s">
        <v>1234</v>
      </c>
      <c r="G631" t="b">
        <v>0</v>
      </c>
      <c r="H631" t="b">
        <v>0</v>
      </c>
      <c r="I631" t="s">
        <v>1050</v>
      </c>
      <c r="J631">
        <v>88</v>
      </c>
      <c r="K631" t="s">
        <v>0</v>
      </c>
      <c r="L631" t="s">
        <v>1167</v>
      </c>
      <c r="M631" t="s">
        <v>1168</v>
      </c>
      <c r="N631" t="s">
        <v>1169</v>
      </c>
      <c r="O631" t="s">
        <v>1168</v>
      </c>
      <c r="P631" t="s">
        <v>1235</v>
      </c>
    </row>
    <row r="632" spans="1:16" x14ac:dyDescent="0.25">
      <c r="A632" t="s">
        <v>2051</v>
      </c>
      <c r="B632" t="s">
        <v>2052</v>
      </c>
      <c r="C632" t="s">
        <v>1233</v>
      </c>
      <c r="D632" t="s">
        <v>1027</v>
      </c>
      <c r="E632">
        <v>63762</v>
      </c>
      <c r="F632" t="s">
        <v>1234</v>
      </c>
      <c r="G632" t="b">
        <v>0</v>
      </c>
      <c r="H632" t="b">
        <v>0</v>
      </c>
      <c r="I632" t="s">
        <v>1050</v>
      </c>
      <c r="J632">
        <v>88</v>
      </c>
      <c r="K632" t="s">
        <v>0</v>
      </c>
      <c r="L632" t="s">
        <v>1167</v>
      </c>
      <c r="M632" t="s">
        <v>1168</v>
      </c>
      <c r="N632" t="s">
        <v>1169</v>
      </c>
      <c r="O632" t="s">
        <v>1168</v>
      </c>
      <c r="P632" t="s">
        <v>1235</v>
      </c>
    </row>
    <row r="633" spans="1:16" x14ac:dyDescent="0.25">
      <c r="A633" t="s">
        <v>2053</v>
      </c>
      <c r="B633" t="s">
        <v>2054</v>
      </c>
      <c r="C633" t="s">
        <v>1233</v>
      </c>
      <c r="D633" t="s">
        <v>1027</v>
      </c>
      <c r="E633">
        <v>63762</v>
      </c>
      <c r="F633" t="s">
        <v>1234</v>
      </c>
      <c r="G633" t="b">
        <v>0</v>
      </c>
      <c r="H633" t="b">
        <v>0</v>
      </c>
      <c r="I633" t="s">
        <v>1050</v>
      </c>
      <c r="J633">
        <v>88</v>
      </c>
      <c r="K633" t="s">
        <v>0</v>
      </c>
      <c r="L633" t="s">
        <v>1167</v>
      </c>
      <c r="M633" t="s">
        <v>1168</v>
      </c>
      <c r="N633" t="s">
        <v>1169</v>
      </c>
      <c r="O633" t="s">
        <v>1168</v>
      </c>
      <c r="P633" t="s">
        <v>1235</v>
      </c>
    </row>
    <row r="634" spans="1:16" ht="180" x14ac:dyDescent="0.25">
      <c r="A634" t="s">
        <v>2055</v>
      </c>
      <c r="B634" s="36" t="s">
        <v>2056</v>
      </c>
      <c r="C634" t="s">
        <v>1233</v>
      </c>
      <c r="D634" t="s">
        <v>1027</v>
      </c>
      <c r="E634">
        <v>63762</v>
      </c>
      <c r="F634" t="s">
        <v>1234</v>
      </c>
      <c r="G634" t="b">
        <v>0</v>
      </c>
      <c r="H634" t="b">
        <v>0</v>
      </c>
      <c r="I634" t="s">
        <v>1050</v>
      </c>
      <c r="J634">
        <v>88</v>
      </c>
      <c r="K634" t="s">
        <v>0</v>
      </c>
      <c r="L634" t="s">
        <v>1167</v>
      </c>
      <c r="M634" t="s">
        <v>1168</v>
      </c>
      <c r="N634" t="s">
        <v>1169</v>
      </c>
      <c r="O634" t="s">
        <v>1168</v>
      </c>
      <c r="P634" t="s">
        <v>1235</v>
      </c>
    </row>
    <row r="635" spans="1:16" x14ac:dyDescent="0.25">
      <c r="A635" t="s">
        <v>2057</v>
      </c>
      <c r="B635" t="s">
        <v>2058</v>
      </c>
      <c r="C635" t="s">
        <v>1233</v>
      </c>
      <c r="D635" t="s">
        <v>1027</v>
      </c>
      <c r="E635">
        <v>63762</v>
      </c>
      <c r="F635" t="s">
        <v>1234</v>
      </c>
      <c r="G635" t="b">
        <v>0</v>
      </c>
      <c r="H635" t="b">
        <v>0</v>
      </c>
      <c r="I635" t="s">
        <v>1050</v>
      </c>
      <c r="J635">
        <v>88</v>
      </c>
      <c r="K635" t="s">
        <v>0</v>
      </c>
      <c r="L635" t="s">
        <v>1167</v>
      </c>
      <c r="M635" t="s">
        <v>1168</v>
      </c>
      <c r="N635" t="s">
        <v>1169</v>
      </c>
      <c r="O635" t="s">
        <v>1168</v>
      </c>
      <c r="P635" t="s">
        <v>1235</v>
      </c>
    </row>
    <row r="636" spans="1:16" ht="180" x14ac:dyDescent="0.25">
      <c r="A636" t="s">
        <v>2059</v>
      </c>
      <c r="B636" s="36" t="s">
        <v>2060</v>
      </c>
      <c r="C636" t="s">
        <v>1233</v>
      </c>
      <c r="D636" t="s">
        <v>1027</v>
      </c>
      <c r="E636">
        <v>63762</v>
      </c>
      <c r="F636" t="s">
        <v>1234</v>
      </c>
      <c r="G636" t="b">
        <v>0</v>
      </c>
      <c r="H636" t="b">
        <v>0</v>
      </c>
      <c r="I636" t="s">
        <v>1050</v>
      </c>
      <c r="J636">
        <v>88</v>
      </c>
      <c r="K636" t="s">
        <v>0</v>
      </c>
      <c r="L636" t="s">
        <v>1167</v>
      </c>
      <c r="M636" t="s">
        <v>1168</v>
      </c>
      <c r="N636" t="s">
        <v>1169</v>
      </c>
      <c r="O636" t="s">
        <v>1168</v>
      </c>
      <c r="P636" t="s">
        <v>1235</v>
      </c>
    </row>
    <row r="637" spans="1:16" x14ac:dyDescent="0.25">
      <c r="A637" t="s">
        <v>2061</v>
      </c>
      <c r="B637" t="s">
        <v>2062</v>
      </c>
      <c r="C637" t="s">
        <v>1482</v>
      </c>
      <c r="D637" t="s">
        <v>1027</v>
      </c>
      <c r="E637">
        <v>63765</v>
      </c>
      <c r="F637" t="s">
        <v>1182</v>
      </c>
      <c r="G637" t="b">
        <v>0</v>
      </c>
      <c r="H637" t="b">
        <v>0</v>
      </c>
      <c r="I637" t="s">
        <v>1050</v>
      </c>
      <c r="J637">
        <v>80</v>
      </c>
      <c r="K637" t="s">
        <v>1</v>
      </c>
      <c r="L637" t="s">
        <v>1213</v>
      </c>
      <c r="M637" t="s">
        <v>1168</v>
      </c>
      <c r="N637" t="s">
        <v>1168</v>
      </c>
      <c r="O637" t="s">
        <v>1168</v>
      </c>
      <c r="P637" t="s">
        <v>1484</v>
      </c>
    </row>
    <row r="638" spans="1:16" x14ac:dyDescent="0.25">
      <c r="A638" t="s">
        <v>2063</v>
      </c>
      <c r="B638" t="s">
        <v>2064</v>
      </c>
      <c r="C638" t="s">
        <v>1211</v>
      </c>
      <c r="D638" t="s">
        <v>1027</v>
      </c>
      <c r="E638">
        <v>1383</v>
      </c>
      <c r="F638" t="s">
        <v>1212</v>
      </c>
      <c r="G638" t="b">
        <v>0</v>
      </c>
      <c r="H638" t="b">
        <v>0</v>
      </c>
      <c r="I638" t="s">
        <v>1050</v>
      </c>
      <c r="J638">
        <v>90</v>
      </c>
      <c r="K638" t="s">
        <v>2</v>
      </c>
      <c r="L638" t="s">
        <v>1169</v>
      </c>
      <c r="M638" t="s">
        <v>1168</v>
      </c>
      <c r="N638" t="s">
        <v>1213</v>
      </c>
      <c r="O638" t="s">
        <v>1213</v>
      </c>
      <c r="P638" t="s">
        <v>1214</v>
      </c>
    </row>
    <row r="639" spans="1:16" x14ac:dyDescent="0.25">
      <c r="A639" t="s">
        <v>2065</v>
      </c>
      <c r="B639" t="s">
        <v>2064</v>
      </c>
      <c r="C639" t="s">
        <v>1211</v>
      </c>
      <c r="D639" t="s">
        <v>1027</v>
      </c>
      <c r="E639">
        <v>1383</v>
      </c>
      <c r="F639" t="s">
        <v>1212</v>
      </c>
      <c r="G639" t="b">
        <v>0</v>
      </c>
      <c r="H639" t="b">
        <v>0</v>
      </c>
      <c r="I639" t="s">
        <v>1050</v>
      </c>
      <c r="J639">
        <v>90</v>
      </c>
      <c r="K639" t="s">
        <v>2</v>
      </c>
      <c r="L639" t="s">
        <v>1169</v>
      </c>
      <c r="M639" t="s">
        <v>1168</v>
      </c>
      <c r="N639" t="s">
        <v>1213</v>
      </c>
      <c r="O639" t="s">
        <v>1213</v>
      </c>
      <c r="P639" t="s">
        <v>1214</v>
      </c>
    </row>
    <row r="640" spans="1:16" x14ac:dyDescent="0.25">
      <c r="A640" t="s">
        <v>2066</v>
      </c>
      <c r="B640" t="s">
        <v>2067</v>
      </c>
      <c r="C640" t="s">
        <v>1571</v>
      </c>
      <c r="D640" t="s">
        <v>1027</v>
      </c>
      <c r="E640">
        <v>63767</v>
      </c>
      <c r="G640" t="b">
        <v>0</v>
      </c>
      <c r="H640" t="b">
        <v>0</v>
      </c>
      <c r="I640" t="s">
        <v>1050</v>
      </c>
      <c r="J640">
        <v>80</v>
      </c>
      <c r="K640" t="s">
        <v>0</v>
      </c>
      <c r="L640" t="s">
        <v>1167</v>
      </c>
      <c r="M640" t="s">
        <v>1168</v>
      </c>
      <c r="N640" t="s">
        <v>1169</v>
      </c>
      <c r="O640" t="s">
        <v>1168</v>
      </c>
      <c r="P640" t="s">
        <v>1283</v>
      </c>
    </row>
    <row r="641" spans="1:16" x14ac:dyDescent="0.25">
      <c r="A641" t="s">
        <v>2068</v>
      </c>
      <c r="B641" t="s">
        <v>2069</v>
      </c>
      <c r="C641" t="s">
        <v>1678</v>
      </c>
      <c r="D641" t="s">
        <v>1027</v>
      </c>
      <c r="E641">
        <v>63786</v>
      </c>
      <c r="F641" t="s">
        <v>1679</v>
      </c>
      <c r="G641" t="b">
        <v>0</v>
      </c>
      <c r="H641" t="b">
        <v>0</v>
      </c>
      <c r="I641" t="s">
        <v>1050</v>
      </c>
      <c r="J641">
        <v>46</v>
      </c>
      <c r="K641" t="s">
        <v>2</v>
      </c>
      <c r="L641" t="s">
        <v>1680</v>
      </c>
      <c r="M641" t="s">
        <v>1680</v>
      </c>
      <c r="N641" t="s">
        <v>1681</v>
      </c>
      <c r="O641" t="s">
        <v>1680</v>
      </c>
      <c r="P641" t="s">
        <v>1682</v>
      </c>
    </row>
    <row r="642" spans="1:16" x14ac:dyDescent="0.25">
      <c r="A642" t="s">
        <v>2070</v>
      </c>
      <c r="B642" t="s">
        <v>2071</v>
      </c>
      <c r="C642" t="s">
        <v>1678</v>
      </c>
      <c r="D642" t="s">
        <v>1027</v>
      </c>
      <c r="E642">
        <v>63786</v>
      </c>
      <c r="F642" t="s">
        <v>1679</v>
      </c>
      <c r="G642" t="b">
        <v>0</v>
      </c>
      <c r="H642" t="b">
        <v>0</v>
      </c>
      <c r="I642" t="s">
        <v>1050</v>
      </c>
      <c r="J642">
        <v>46</v>
      </c>
      <c r="K642" t="s">
        <v>2</v>
      </c>
      <c r="L642" t="s">
        <v>1680</v>
      </c>
      <c r="M642" t="s">
        <v>1680</v>
      </c>
      <c r="N642" t="s">
        <v>1681</v>
      </c>
      <c r="O642" t="s">
        <v>1680</v>
      </c>
      <c r="P642" t="s">
        <v>1682</v>
      </c>
    </row>
    <row r="643" spans="1:16" x14ac:dyDescent="0.25">
      <c r="A643" t="s">
        <v>2072</v>
      </c>
      <c r="B643" t="s">
        <v>2073</v>
      </c>
      <c r="C643" t="s">
        <v>1165</v>
      </c>
      <c r="D643" t="s">
        <v>1027</v>
      </c>
      <c r="E643">
        <v>63774</v>
      </c>
      <c r="F643" t="s">
        <v>1166</v>
      </c>
      <c r="G643" t="b">
        <v>0</v>
      </c>
      <c r="H643" t="b">
        <v>0</v>
      </c>
      <c r="I643" t="s">
        <v>1050</v>
      </c>
      <c r="J643">
        <v>65</v>
      </c>
      <c r="K643" t="s">
        <v>1</v>
      </c>
      <c r="L643" t="s">
        <v>1167</v>
      </c>
      <c r="M643" t="s">
        <v>1168</v>
      </c>
      <c r="N643" t="s">
        <v>1169</v>
      </c>
      <c r="O643" t="s">
        <v>1168</v>
      </c>
      <c r="P643" t="s">
        <v>1170</v>
      </c>
    </row>
    <row r="644" spans="1:16" x14ac:dyDescent="0.25">
      <c r="A644" t="s">
        <v>2074</v>
      </c>
      <c r="B644" t="s">
        <v>2075</v>
      </c>
      <c r="C644" t="s">
        <v>1165</v>
      </c>
      <c r="D644" t="s">
        <v>1027</v>
      </c>
      <c r="E644">
        <v>63774</v>
      </c>
      <c r="F644" t="s">
        <v>1166</v>
      </c>
      <c r="G644" t="b">
        <v>0</v>
      </c>
      <c r="H644" t="b">
        <v>0</v>
      </c>
      <c r="I644" t="s">
        <v>1050</v>
      </c>
      <c r="J644">
        <v>65</v>
      </c>
      <c r="K644" t="s">
        <v>1</v>
      </c>
      <c r="L644" t="s">
        <v>1167</v>
      </c>
      <c r="M644" t="s">
        <v>1168</v>
      </c>
      <c r="N644" t="s">
        <v>1169</v>
      </c>
      <c r="O644" t="s">
        <v>1168</v>
      </c>
      <c r="P644" t="s">
        <v>1170</v>
      </c>
    </row>
    <row r="645" spans="1:16" x14ac:dyDescent="0.25">
      <c r="A645" t="s">
        <v>2076</v>
      </c>
      <c r="B645" t="s">
        <v>2077</v>
      </c>
      <c r="C645" t="s">
        <v>1165</v>
      </c>
      <c r="D645" t="s">
        <v>1027</v>
      </c>
      <c r="E645">
        <v>63774</v>
      </c>
      <c r="F645" t="s">
        <v>1166</v>
      </c>
      <c r="G645" t="b">
        <v>0</v>
      </c>
      <c r="H645" t="b">
        <v>0</v>
      </c>
      <c r="I645" t="s">
        <v>1050</v>
      </c>
      <c r="J645">
        <v>65</v>
      </c>
      <c r="K645" t="s">
        <v>1</v>
      </c>
      <c r="L645" t="s">
        <v>1167</v>
      </c>
      <c r="M645" t="s">
        <v>1168</v>
      </c>
      <c r="N645" t="s">
        <v>1169</v>
      </c>
      <c r="O645" t="s">
        <v>1168</v>
      </c>
      <c r="P645" t="s">
        <v>1170</v>
      </c>
    </row>
    <row r="646" spans="1:16" x14ac:dyDescent="0.25">
      <c r="A646" t="s">
        <v>2078</v>
      </c>
      <c r="B646" t="s">
        <v>2079</v>
      </c>
      <c r="C646" t="s">
        <v>1165</v>
      </c>
      <c r="D646" t="s">
        <v>1027</v>
      </c>
      <c r="E646">
        <v>63774</v>
      </c>
      <c r="F646" t="s">
        <v>1166</v>
      </c>
      <c r="G646" t="b">
        <v>0</v>
      </c>
      <c r="H646" t="b">
        <v>0</v>
      </c>
      <c r="I646" t="s">
        <v>1050</v>
      </c>
      <c r="J646">
        <v>65</v>
      </c>
      <c r="K646" t="s">
        <v>1</v>
      </c>
      <c r="L646" t="s">
        <v>1167</v>
      </c>
      <c r="M646" t="s">
        <v>1168</v>
      </c>
      <c r="N646" t="s">
        <v>1169</v>
      </c>
      <c r="O646" t="s">
        <v>1168</v>
      </c>
      <c r="P646" t="s">
        <v>1170</v>
      </c>
    </row>
    <row r="647" spans="1:16" x14ac:dyDescent="0.25">
      <c r="A647" t="s">
        <v>2080</v>
      </c>
      <c r="B647" t="s">
        <v>2081</v>
      </c>
      <c r="C647" t="s">
        <v>1211</v>
      </c>
      <c r="D647" t="s">
        <v>1027</v>
      </c>
      <c r="E647">
        <v>1383</v>
      </c>
      <c r="F647" t="s">
        <v>1212</v>
      </c>
      <c r="G647" t="b">
        <v>0</v>
      </c>
      <c r="H647" t="b">
        <v>0</v>
      </c>
      <c r="I647" t="s">
        <v>1050</v>
      </c>
      <c r="J647">
        <v>90</v>
      </c>
      <c r="K647" t="s">
        <v>2</v>
      </c>
      <c r="L647" t="s">
        <v>1169</v>
      </c>
      <c r="M647" t="s">
        <v>1168</v>
      </c>
      <c r="N647" t="s">
        <v>1213</v>
      </c>
      <c r="O647" t="s">
        <v>1213</v>
      </c>
      <c r="P647" t="s">
        <v>1214</v>
      </c>
    </row>
    <row r="648" spans="1:16" x14ac:dyDescent="0.25">
      <c r="A648" t="s">
        <v>2082</v>
      </c>
      <c r="B648" t="s">
        <v>2081</v>
      </c>
      <c r="C648" t="s">
        <v>1211</v>
      </c>
      <c r="D648" t="s">
        <v>1027</v>
      </c>
      <c r="E648">
        <v>1383</v>
      </c>
      <c r="F648" t="s">
        <v>1212</v>
      </c>
      <c r="G648" t="b">
        <v>0</v>
      </c>
      <c r="H648" t="b">
        <v>0</v>
      </c>
      <c r="I648" t="s">
        <v>1050</v>
      </c>
      <c r="J648">
        <v>90</v>
      </c>
      <c r="K648" t="s">
        <v>2</v>
      </c>
      <c r="L648" t="s">
        <v>1169</v>
      </c>
      <c r="M648" t="s">
        <v>1168</v>
      </c>
      <c r="N648" t="s">
        <v>1213</v>
      </c>
      <c r="O648" t="s">
        <v>1213</v>
      </c>
      <c r="P648" t="s">
        <v>1214</v>
      </c>
    </row>
    <row r="649" spans="1:16" x14ac:dyDescent="0.25">
      <c r="A649" t="s">
        <v>2083</v>
      </c>
      <c r="B649" t="s">
        <v>2081</v>
      </c>
      <c r="C649" t="s">
        <v>1211</v>
      </c>
      <c r="D649" t="s">
        <v>1027</v>
      </c>
      <c r="E649">
        <v>1383</v>
      </c>
      <c r="F649" t="s">
        <v>1212</v>
      </c>
      <c r="G649" t="b">
        <v>0</v>
      </c>
      <c r="H649" t="b">
        <v>0</v>
      </c>
      <c r="I649" t="s">
        <v>1050</v>
      </c>
      <c r="J649">
        <v>90</v>
      </c>
      <c r="K649" t="s">
        <v>2</v>
      </c>
      <c r="L649" t="s">
        <v>1169</v>
      </c>
      <c r="M649" t="s">
        <v>1168</v>
      </c>
      <c r="N649" t="s">
        <v>1213</v>
      </c>
      <c r="O649" t="s">
        <v>1213</v>
      </c>
      <c r="P649" t="s">
        <v>1214</v>
      </c>
    </row>
    <row r="650" spans="1:16" x14ac:dyDescent="0.25">
      <c r="A650" t="s">
        <v>2084</v>
      </c>
      <c r="B650" t="s">
        <v>2081</v>
      </c>
      <c r="C650" t="s">
        <v>1211</v>
      </c>
      <c r="D650" t="s">
        <v>1027</v>
      </c>
      <c r="E650">
        <v>1383</v>
      </c>
      <c r="F650" t="s">
        <v>1212</v>
      </c>
      <c r="G650" t="b">
        <v>0</v>
      </c>
      <c r="H650" t="b">
        <v>0</v>
      </c>
      <c r="I650" t="s">
        <v>1050</v>
      </c>
      <c r="J650">
        <v>90</v>
      </c>
      <c r="K650" t="s">
        <v>2</v>
      </c>
      <c r="L650" t="s">
        <v>1169</v>
      </c>
      <c r="M650" t="s">
        <v>1168</v>
      </c>
      <c r="N650" t="s">
        <v>1213</v>
      </c>
      <c r="O650" t="s">
        <v>1213</v>
      </c>
      <c r="P650" t="s">
        <v>1214</v>
      </c>
    </row>
    <row r="651" spans="1:16" x14ac:dyDescent="0.25">
      <c r="A651" t="s">
        <v>2085</v>
      </c>
      <c r="B651" t="s">
        <v>2086</v>
      </c>
      <c r="C651" t="s">
        <v>1228</v>
      </c>
      <c r="D651" t="s">
        <v>1027</v>
      </c>
      <c r="E651">
        <v>1660</v>
      </c>
      <c r="F651" t="s">
        <v>1229</v>
      </c>
      <c r="G651" t="b">
        <v>0</v>
      </c>
      <c r="H651" t="b">
        <v>0</v>
      </c>
      <c r="I651" t="s">
        <v>1050</v>
      </c>
      <c r="J651">
        <v>85</v>
      </c>
      <c r="K651" t="s">
        <v>2</v>
      </c>
      <c r="L651" t="s">
        <v>1167</v>
      </c>
      <c r="M651" t="s">
        <v>1168</v>
      </c>
      <c r="N651" t="s">
        <v>1169</v>
      </c>
      <c r="O651" t="s">
        <v>1168</v>
      </c>
      <c r="P651" t="s">
        <v>1230</v>
      </c>
    </row>
    <row r="652" spans="1:16" x14ac:dyDescent="0.25">
      <c r="A652" t="s">
        <v>2087</v>
      </c>
      <c r="B652" t="s">
        <v>2088</v>
      </c>
      <c r="C652" t="s">
        <v>2026</v>
      </c>
      <c r="D652" t="s">
        <v>1027</v>
      </c>
      <c r="E652">
        <v>1336</v>
      </c>
      <c r="F652" t="s">
        <v>2027</v>
      </c>
      <c r="G652" t="b">
        <v>0</v>
      </c>
      <c r="H652" t="b">
        <v>0</v>
      </c>
      <c r="I652" t="s">
        <v>1050</v>
      </c>
      <c r="J652">
        <v>80</v>
      </c>
      <c r="K652" t="s">
        <v>0</v>
      </c>
      <c r="L652" t="s">
        <v>1167</v>
      </c>
      <c r="M652" t="s">
        <v>1168</v>
      </c>
      <c r="N652" t="s">
        <v>1169</v>
      </c>
      <c r="O652" t="s">
        <v>1168</v>
      </c>
      <c r="P652" t="s">
        <v>2028</v>
      </c>
    </row>
    <row r="653" spans="1:16" x14ac:dyDescent="0.25">
      <c r="A653" t="s">
        <v>2089</v>
      </c>
      <c r="B653" t="s">
        <v>2090</v>
      </c>
      <c r="C653" t="s">
        <v>1233</v>
      </c>
      <c r="D653" t="s">
        <v>1027</v>
      </c>
      <c r="E653">
        <v>63762</v>
      </c>
      <c r="F653" t="s">
        <v>1234</v>
      </c>
      <c r="G653" t="b">
        <v>0</v>
      </c>
      <c r="H653" t="b">
        <v>0</v>
      </c>
      <c r="I653" t="s">
        <v>1050</v>
      </c>
      <c r="J653">
        <v>80</v>
      </c>
      <c r="K653" t="s">
        <v>0</v>
      </c>
      <c r="L653" t="s">
        <v>1167</v>
      </c>
      <c r="M653" t="s">
        <v>1168</v>
      </c>
      <c r="N653" t="s">
        <v>1169</v>
      </c>
      <c r="O653" t="s">
        <v>1168</v>
      </c>
      <c r="P653" t="s">
        <v>1235</v>
      </c>
    </row>
    <row r="654" spans="1:16" x14ac:dyDescent="0.25">
      <c r="A654" t="s">
        <v>2091</v>
      </c>
      <c r="B654" t="s">
        <v>2092</v>
      </c>
      <c r="C654" t="s">
        <v>1571</v>
      </c>
      <c r="D654" t="s">
        <v>1027</v>
      </c>
      <c r="E654">
        <v>63767</v>
      </c>
      <c r="G654" t="b">
        <v>0</v>
      </c>
      <c r="H654" t="b">
        <v>0</v>
      </c>
      <c r="I654" t="s">
        <v>1050</v>
      </c>
      <c r="J654">
        <v>87</v>
      </c>
      <c r="K654" t="s">
        <v>0</v>
      </c>
      <c r="L654" t="s">
        <v>1167</v>
      </c>
      <c r="M654" t="s">
        <v>1168</v>
      </c>
      <c r="N654" t="s">
        <v>1169</v>
      </c>
      <c r="O654" t="s">
        <v>1168</v>
      </c>
      <c r="P654" t="s">
        <v>1283</v>
      </c>
    </row>
    <row r="655" spans="1:16" x14ac:dyDescent="0.25">
      <c r="A655" t="s">
        <v>2093</v>
      </c>
      <c r="B655" t="s">
        <v>2094</v>
      </c>
      <c r="C655" t="s">
        <v>1571</v>
      </c>
      <c r="D655" t="s">
        <v>1027</v>
      </c>
      <c r="E655">
        <v>63767</v>
      </c>
      <c r="G655" t="b">
        <v>0</v>
      </c>
      <c r="H655" t="b">
        <v>0</v>
      </c>
      <c r="I655" t="s">
        <v>1050</v>
      </c>
      <c r="J655">
        <v>87</v>
      </c>
      <c r="K655" t="s">
        <v>0</v>
      </c>
      <c r="L655" t="s">
        <v>1167</v>
      </c>
      <c r="M655" t="s">
        <v>1168</v>
      </c>
      <c r="N655" t="s">
        <v>1169</v>
      </c>
      <c r="O655" t="s">
        <v>1168</v>
      </c>
      <c r="P655" t="s">
        <v>1283</v>
      </c>
    </row>
    <row r="656" spans="1:16" x14ac:dyDescent="0.25">
      <c r="A656" t="s">
        <v>2095</v>
      </c>
      <c r="B656" t="s">
        <v>2096</v>
      </c>
      <c r="C656" t="s">
        <v>1571</v>
      </c>
      <c r="D656" t="s">
        <v>1027</v>
      </c>
      <c r="E656">
        <v>63767</v>
      </c>
      <c r="G656" t="b">
        <v>0</v>
      </c>
      <c r="H656" t="b">
        <v>0</v>
      </c>
      <c r="I656" t="s">
        <v>1050</v>
      </c>
      <c r="J656">
        <v>87</v>
      </c>
      <c r="K656" t="s">
        <v>0</v>
      </c>
      <c r="L656" t="s">
        <v>1167</v>
      </c>
      <c r="M656" t="s">
        <v>1168</v>
      </c>
      <c r="N656" t="s">
        <v>1169</v>
      </c>
      <c r="O656" t="s">
        <v>1168</v>
      </c>
      <c r="P656" t="s">
        <v>1283</v>
      </c>
    </row>
    <row r="657" spans="1:16" x14ac:dyDescent="0.25">
      <c r="A657" t="s">
        <v>2097</v>
      </c>
      <c r="B657" t="s">
        <v>2098</v>
      </c>
      <c r="C657" t="s">
        <v>1571</v>
      </c>
      <c r="D657" t="s">
        <v>1027</v>
      </c>
      <c r="E657">
        <v>63767</v>
      </c>
      <c r="G657" t="b">
        <v>0</v>
      </c>
      <c r="H657" t="b">
        <v>0</v>
      </c>
      <c r="I657" t="s">
        <v>1050</v>
      </c>
      <c r="J657">
        <v>87</v>
      </c>
      <c r="K657" t="s">
        <v>0</v>
      </c>
      <c r="L657" t="s">
        <v>1167</v>
      </c>
      <c r="M657" t="s">
        <v>1168</v>
      </c>
      <c r="N657" t="s">
        <v>1169</v>
      </c>
      <c r="O657" t="s">
        <v>1168</v>
      </c>
      <c r="P657" t="s">
        <v>1283</v>
      </c>
    </row>
    <row r="658" spans="1:16" x14ac:dyDescent="0.25">
      <c r="A658" t="s">
        <v>2099</v>
      </c>
      <c r="B658" t="s">
        <v>2100</v>
      </c>
      <c r="C658" t="s">
        <v>1571</v>
      </c>
      <c r="D658" t="s">
        <v>1027</v>
      </c>
      <c r="E658">
        <v>63767</v>
      </c>
      <c r="G658" t="b">
        <v>0</v>
      </c>
      <c r="H658" t="b">
        <v>0</v>
      </c>
      <c r="I658" t="s">
        <v>1050</v>
      </c>
      <c r="J658">
        <v>87</v>
      </c>
      <c r="K658" t="s">
        <v>0</v>
      </c>
      <c r="L658" t="s">
        <v>1167</v>
      </c>
      <c r="M658" t="s">
        <v>1168</v>
      </c>
      <c r="N658" t="s">
        <v>1169</v>
      </c>
      <c r="O658" t="s">
        <v>1168</v>
      </c>
      <c r="P658" t="s">
        <v>1283</v>
      </c>
    </row>
    <row r="659" spans="1:16" x14ac:dyDescent="0.25">
      <c r="A659" t="s">
        <v>2101</v>
      </c>
      <c r="B659" t="s">
        <v>2102</v>
      </c>
      <c r="C659" t="s">
        <v>1571</v>
      </c>
      <c r="D659" t="s">
        <v>1027</v>
      </c>
      <c r="E659">
        <v>63767</v>
      </c>
      <c r="G659" t="b">
        <v>0</v>
      </c>
      <c r="H659" t="b">
        <v>0</v>
      </c>
      <c r="I659" t="s">
        <v>1050</v>
      </c>
      <c r="J659">
        <v>87</v>
      </c>
      <c r="K659" t="s">
        <v>0</v>
      </c>
      <c r="L659" t="s">
        <v>1167</v>
      </c>
      <c r="M659" t="s">
        <v>1168</v>
      </c>
      <c r="N659" t="s">
        <v>1169</v>
      </c>
      <c r="O659" t="s">
        <v>1168</v>
      </c>
      <c r="P659" t="s">
        <v>1283</v>
      </c>
    </row>
    <row r="660" spans="1:16" x14ac:dyDescent="0.25">
      <c r="A660" t="s">
        <v>2103</v>
      </c>
      <c r="B660" t="s">
        <v>2104</v>
      </c>
      <c r="C660" t="s">
        <v>1571</v>
      </c>
      <c r="D660" t="s">
        <v>1027</v>
      </c>
      <c r="E660">
        <v>63767</v>
      </c>
      <c r="G660" t="b">
        <v>0</v>
      </c>
      <c r="H660" t="b">
        <v>0</v>
      </c>
      <c r="I660" t="s">
        <v>1050</v>
      </c>
      <c r="J660">
        <v>87</v>
      </c>
      <c r="K660" t="s">
        <v>0</v>
      </c>
      <c r="L660" t="s">
        <v>1167</v>
      </c>
      <c r="M660" t="s">
        <v>1168</v>
      </c>
      <c r="N660" t="s">
        <v>1169</v>
      </c>
      <c r="O660" t="s">
        <v>1168</v>
      </c>
      <c r="P660" t="s">
        <v>1283</v>
      </c>
    </row>
    <row r="661" spans="1:16" x14ac:dyDescent="0.25">
      <c r="A661" t="s">
        <v>2105</v>
      </c>
      <c r="B661" t="s">
        <v>2106</v>
      </c>
      <c r="C661" t="s">
        <v>1571</v>
      </c>
      <c r="D661" t="s">
        <v>1027</v>
      </c>
      <c r="E661">
        <v>63767</v>
      </c>
      <c r="G661" t="b">
        <v>0</v>
      </c>
      <c r="H661" t="b">
        <v>0</v>
      </c>
      <c r="I661" t="s">
        <v>1050</v>
      </c>
      <c r="J661">
        <v>87</v>
      </c>
      <c r="K661" t="s">
        <v>0</v>
      </c>
      <c r="L661" t="s">
        <v>1167</v>
      </c>
      <c r="M661" t="s">
        <v>1168</v>
      </c>
      <c r="N661" t="s">
        <v>1169</v>
      </c>
      <c r="O661" t="s">
        <v>1168</v>
      </c>
      <c r="P661" t="s">
        <v>1283</v>
      </c>
    </row>
    <row r="662" spans="1:16" x14ac:dyDescent="0.25">
      <c r="A662" t="s">
        <v>2107</v>
      </c>
      <c r="B662" t="s">
        <v>2108</v>
      </c>
      <c r="C662" t="s">
        <v>1233</v>
      </c>
      <c r="D662" t="s">
        <v>1027</v>
      </c>
      <c r="E662">
        <v>63762</v>
      </c>
      <c r="F662" t="s">
        <v>1234</v>
      </c>
      <c r="G662" t="b">
        <v>0</v>
      </c>
      <c r="H662" t="b">
        <v>0</v>
      </c>
      <c r="I662" t="s">
        <v>1050</v>
      </c>
      <c r="J662">
        <v>80</v>
      </c>
      <c r="K662" t="s">
        <v>0</v>
      </c>
      <c r="L662" t="s">
        <v>1167</v>
      </c>
      <c r="M662" t="s">
        <v>1168</v>
      </c>
      <c r="N662" t="s">
        <v>1169</v>
      </c>
      <c r="O662" t="s">
        <v>1168</v>
      </c>
      <c r="P662" t="s">
        <v>1235</v>
      </c>
    </row>
    <row r="663" spans="1:16" x14ac:dyDescent="0.25">
      <c r="A663" t="s">
        <v>2109</v>
      </c>
      <c r="B663" t="s">
        <v>2110</v>
      </c>
      <c r="C663" t="s">
        <v>1233</v>
      </c>
      <c r="D663" t="s">
        <v>1027</v>
      </c>
      <c r="E663">
        <v>63762</v>
      </c>
      <c r="F663" t="s">
        <v>1234</v>
      </c>
      <c r="G663" t="b">
        <v>0</v>
      </c>
      <c r="H663" t="b">
        <v>0</v>
      </c>
      <c r="I663" t="s">
        <v>1050</v>
      </c>
      <c r="J663">
        <v>87</v>
      </c>
      <c r="K663" t="s">
        <v>0</v>
      </c>
      <c r="L663" t="s">
        <v>1167</v>
      </c>
      <c r="M663" t="s">
        <v>1168</v>
      </c>
      <c r="N663" t="s">
        <v>1169</v>
      </c>
      <c r="O663" t="s">
        <v>1168</v>
      </c>
      <c r="P663" t="s">
        <v>1235</v>
      </c>
    </row>
    <row r="664" spans="1:16" x14ac:dyDescent="0.25">
      <c r="A664" t="s">
        <v>2111</v>
      </c>
      <c r="B664" t="s">
        <v>2112</v>
      </c>
      <c r="C664" t="s">
        <v>1571</v>
      </c>
      <c r="D664" t="s">
        <v>1027</v>
      </c>
      <c r="E664">
        <v>63767</v>
      </c>
      <c r="G664" t="b">
        <v>0</v>
      </c>
      <c r="H664" t="b">
        <v>0</v>
      </c>
      <c r="I664" t="s">
        <v>1050</v>
      </c>
      <c r="J664">
        <v>80</v>
      </c>
      <c r="K664" t="s">
        <v>0</v>
      </c>
      <c r="L664" t="s">
        <v>1167</v>
      </c>
      <c r="M664" t="s">
        <v>1168</v>
      </c>
      <c r="N664" t="s">
        <v>1169</v>
      </c>
      <c r="O664" t="s">
        <v>1168</v>
      </c>
      <c r="P664" t="s">
        <v>1283</v>
      </c>
    </row>
    <row r="665" spans="1:16" x14ac:dyDescent="0.25">
      <c r="A665" t="s">
        <v>2113</v>
      </c>
      <c r="B665" t="s">
        <v>2114</v>
      </c>
      <c r="C665" t="s">
        <v>1165</v>
      </c>
      <c r="D665" t="s">
        <v>1027</v>
      </c>
      <c r="E665">
        <v>63774</v>
      </c>
      <c r="F665" t="s">
        <v>1166</v>
      </c>
      <c r="G665" t="b">
        <v>0</v>
      </c>
      <c r="H665" t="b">
        <v>0</v>
      </c>
      <c r="I665" t="s">
        <v>1050</v>
      </c>
      <c r="J665">
        <v>30</v>
      </c>
      <c r="K665" t="s">
        <v>1</v>
      </c>
      <c r="L665" t="s">
        <v>1167</v>
      </c>
      <c r="M665" t="s">
        <v>1168</v>
      </c>
      <c r="N665" t="s">
        <v>1169</v>
      </c>
      <c r="O665" t="s">
        <v>1168</v>
      </c>
      <c r="P665" t="s">
        <v>1170</v>
      </c>
    </row>
    <row r="666" spans="1:16" x14ac:dyDescent="0.25">
      <c r="A666" t="s">
        <v>2115</v>
      </c>
      <c r="B666" t="s">
        <v>2116</v>
      </c>
      <c r="C666" t="s">
        <v>1165</v>
      </c>
      <c r="D666" t="s">
        <v>1027</v>
      </c>
      <c r="E666">
        <v>63774</v>
      </c>
      <c r="F666" t="s">
        <v>1166</v>
      </c>
      <c r="G666" t="b">
        <v>0</v>
      </c>
      <c r="H666" t="b">
        <v>0</v>
      </c>
      <c r="I666" t="s">
        <v>1050</v>
      </c>
      <c r="J666">
        <v>30</v>
      </c>
      <c r="K666" t="s">
        <v>1</v>
      </c>
      <c r="L666" t="s">
        <v>1167</v>
      </c>
      <c r="M666" t="s">
        <v>1168</v>
      </c>
      <c r="N666" t="s">
        <v>1169</v>
      </c>
      <c r="O666" t="s">
        <v>1168</v>
      </c>
      <c r="P666" t="s">
        <v>1170</v>
      </c>
    </row>
    <row r="667" spans="1:16" x14ac:dyDescent="0.25">
      <c r="A667" t="s">
        <v>2117</v>
      </c>
      <c r="B667" t="s">
        <v>2118</v>
      </c>
      <c r="C667" t="s">
        <v>1233</v>
      </c>
      <c r="D667" t="s">
        <v>1027</v>
      </c>
      <c r="E667">
        <v>63762</v>
      </c>
      <c r="F667" t="s">
        <v>1234</v>
      </c>
      <c r="G667" t="b">
        <v>0</v>
      </c>
      <c r="H667" t="b">
        <v>0</v>
      </c>
      <c r="I667" t="s">
        <v>1050</v>
      </c>
      <c r="J667">
        <v>88</v>
      </c>
      <c r="K667" t="s">
        <v>0</v>
      </c>
      <c r="L667" t="s">
        <v>1167</v>
      </c>
      <c r="M667" t="s">
        <v>1168</v>
      </c>
      <c r="N667" t="s">
        <v>1169</v>
      </c>
      <c r="O667" t="s">
        <v>1168</v>
      </c>
      <c r="P667" t="s">
        <v>1235</v>
      </c>
    </row>
    <row r="668" spans="1:16" x14ac:dyDescent="0.25">
      <c r="A668" t="s">
        <v>2119</v>
      </c>
      <c r="B668" t="s">
        <v>2120</v>
      </c>
      <c r="C668" t="s">
        <v>2026</v>
      </c>
      <c r="D668" t="s">
        <v>1027</v>
      </c>
      <c r="E668">
        <v>1336</v>
      </c>
      <c r="F668" t="s">
        <v>2027</v>
      </c>
      <c r="G668" t="b">
        <v>0</v>
      </c>
      <c r="H668" t="b">
        <v>0</v>
      </c>
      <c r="I668" t="s">
        <v>1050</v>
      </c>
      <c r="J668">
        <v>80</v>
      </c>
      <c r="K668" t="s">
        <v>0</v>
      </c>
      <c r="L668" t="s">
        <v>1167</v>
      </c>
      <c r="M668" t="s">
        <v>1168</v>
      </c>
      <c r="N668" t="s">
        <v>1169</v>
      </c>
      <c r="O668" t="s">
        <v>1168</v>
      </c>
      <c r="P668" t="s">
        <v>2028</v>
      </c>
    </row>
    <row r="669" spans="1:16" x14ac:dyDescent="0.25">
      <c r="A669" t="s">
        <v>2121</v>
      </c>
      <c r="B669" t="s">
        <v>2122</v>
      </c>
      <c r="C669" t="s">
        <v>1233</v>
      </c>
      <c r="D669" t="s">
        <v>1027</v>
      </c>
      <c r="E669">
        <v>63762</v>
      </c>
      <c r="F669" t="s">
        <v>1234</v>
      </c>
      <c r="G669" t="b">
        <v>0</v>
      </c>
      <c r="H669" t="b">
        <v>0</v>
      </c>
      <c r="I669" t="s">
        <v>1050</v>
      </c>
      <c r="J669">
        <v>80</v>
      </c>
      <c r="K669" t="s">
        <v>0</v>
      </c>
      <c r="L669" t="s">
        <v>1167</v>
      </c>
      <c r="M669" t="s">
        <v>1168</v>
      </c>
      <c r="N669" t="s">
        <v>1169</v>
      </c>
      <c r="O669" t="s">
        <v>1168</v>
      </c>
      <c r="P669" t="s">
        <v>1235</v>
      </c>
    </row>
    <row r="670" spans="1:16" x14ac:dyDescent="0.25">
      <c r="A670" t="s">
        <v>2123</v>
      </c>
      <c r="B670" t="s">
        <v>2124</v>
      </c>
      <c r="C670" t="s">
        <v>1233</v>
      </c>
      <c r="D670" t="s">
        <v>1027</v>
      </c>
      <c r="E670">
        <v>63762</v>
      </c>
      <c r="F670" t="s">
        <v>1234</v>
      </c>
      <c r="G670" t="b">
        <v>0</v>
      </c>
      <c r="H670" t="b">
        <v>0</v>
      </c>
      <c r="I670" t="s">
        <v>1050</v>
      </c>
      <c r="J670">
        <v>80</v>
      </c>
      <c r="K670" t="s">
        <v>0</v>
      </c>
      <c r="L670" t="s">
        <v>1167</v>
      </c>
      <c r="M670" t="s">
        <v>1168</v>
      </c>
      <c r="N670" t="s">
        <v>1169</v>
      </c>
      <c r="O670" t="s">
        <v>1168</v>
      </c>
      <c r="P670" t="s">
        <v>1235</v>
      </c>
    </row>
    <row r="671" spans="1:16" x14ac:dyDescent="0.25">
      <c r="A671" t="s">
        <v>2125</v>
      </c>
      <c r="B671" t="s">
        <v>2126</v>
      </c>
      <c r="C671" t="s">
        <v>1165</v>
      </c>
      <c r="D671" t="s">
        <v>1027</v>
      </c>
      <c r="E671">
        <v>63774</v>
      </c>
      <c r="F671" t="s">
        <v>1166</v>
      </c>
      <c r="G671" t="b">
        <v>0</v>
      </c>
      <c r="H671" t="b">
        <v>0</v>
      </c>
      <c r="I671" t="s">
        <v>1050</v>
      </c>
      <c r="J671">
        <v>30</v>
      </c>
      <c r="K671" t="s">
        <v>1</v>
      </c>
      <c r="L671" t="s">
        <v>1167</v>
      </c>
      <c r="M671" t="s">
        <v>1168</v>
      </c>
      <c r="N671" t="s">
        <v>1169</v>
      </c>
      <c r="O671" t="s">
        <v>1168</v>
      </c>
      <c r="P671" t="s">
        <v>1170</v>
      </c>
    </row>
    <row r="672" spans="1:16" x14ac:dyDescent="0.25">
      <c r="A672" t="s">
        <v>2127</v>
      </c>
      <c r="B672" t="s">
        <v>2128</v>
      </c>
      <c r="C672" t="s">
        <v>1233</v>
      </c>
      <c r="D672" t="s">
        <v>1027</v>
      </c>
      <c r="E672">
        <v>63762</v>
      </c>
      <c r="F672" t="s">
        <v>1234</v>
      </c>
      <c r="G672" t="b">
        <v>0</v>
      </c>
      <c r="H672" t="b">
        <v>0</v>
      </c>
      <c r="I672" t="s">
        <v>1050</v>
      </c>
      <c r="J672">
        <v>80</v>
      </c>
      <c r="K672" t="s">
        <v>0</v>
      </c>
      <c r="L672" t="s">
        <v>1167</v>
      </c>
      <c r="M672" t="s">
        <v>1168</v>
      </c>
      <c r="N672" t="s">
        <v>1169</v>
      </c>
      <c r="O672" t="s">
        <v>1168</v>
      </c>
      <c r="P672" t="s">
        <v>1235</v>
      </c>
    </row>
    <row r="673" spans="1:16" x14ac:dyDescent="0.25">
      <c r="A673" t="s">
        <v>2129</v>
      </c>
      <c r="B673" t="s">
        <v>2130</v>
      </c>
      <c r="C673" t="s">
        <v>1233</v>
      </c>
      <c r="D673" t="s">
        <v>1027</v>
      </c>
      <c r="E673">
        <v>63762</v>
      </c>
      <c r="F673" t="s">
        <v>1234</v>
      </c>
      <c r="G673" t="b">
        <v>0</v>
      </c>
      <c r="H673" t="b">
        <v>0</v>
      </c>
      <c r="I673" t="s">
        <v>1050</v>
      </c>
      <c r="J673">
        <v>80</v>
      </c>
      <c r="K673" t="s">
        <v>0</v>
      </c>
      <c r="L673" t="s">
        <v>1167</v>
      </c>
      <c r="M673" t="s">
        <v>1168</v>
      </c>
      <c r="N673" t="s">
        <v>1169</v>
      </c>
      <c r="O673" t="s">
        <v>1168</v>
      </c>
      <c r="P673" t="s">
        <v>1235</v>
      </c>
    </row>
    <row r="674" spans="1:16" x14ac:dyDescent="0.25">
      <c r="A674" t="s">
        <v>2131</v>
      </c>
      <c r="B674" t="s">
        <v>2132</v>
      </c>
      <c r="C674" t="s">
        <v>1571</v>
      </c>
      <c r="D674" t="s">
        <v>1027</v>
      </c>
      <c r="E674">
        <v>63767</v>
      </c>
      <c r="G674" t="b">
        <v>0</v>
      </c>
      <c r="H674" t="b">
        <v>0</v>
      </c>
      <c r="I674" t="s">
        <v>1050</v>
      </c>
      <c r="J674">
        <v>80</v>
      </c>
      <c r="K674" t="s">
        <v>0</v>
      </c>
      <c r="L674" t="s">
        <v>1167</v>
      </c>
      <c r="M674" t="s">
        <v>1168</v>
      </c>
      <c r="N674" t="s">
        <v>1169</v>
      </c>
      <c r="O674" t="s">
        <v>1168</v>
      </c>
      <c r="P674" t="s">
        <v>1283</v>
      </c>
    </row>
    <row r="675" spans="1:16" x14ac:dyDescent="0.25">
      <c r="A675" t="s">
        <v>2133</v>
      </c>
      <c r="B675" t="s">
        <v>2134</v>
      </c>
      <c r="C675" t="s">
        <v>1233</v>
      </c>
      <c r="D675" t="s">
        <v>1027</v>
      </c>
      <c r="E675">
        <v>63762</v>
      </c>
      <c r="F675" t="s">
        <v>1234</v>
      </c>
      <c r="G675" t="b">
        <v>0</v>
      </c>
      <c r="H675" t="b">
        <v>0</v>
      </c>
      <c r="I675" t="s">
        <v>1050</v>
      </c>
      <c r="J675">
        <v>88</v>
      </c>
      <c r="K675" t="s">
        <v>0</v>
      </c>
      <c r="L675" t="s">
        <v>1167</v>
      </c>
      <c r="M675" t="s">
        <v>1168</v>
      </c>
      <c r="N675" t="s">
        <v>1169</v>
      </c>
      <c r="O675" t="s">
        <v>1168</v>
      </c>
      <c r="P675" t="s">
        <v>1235</v>
      </c>
    </row>
    <row r="676" spans="1:16" x14ac:dyDescent="0.25">
      <c r="A676" t="s">
        <v>2135</v>
      </c>
      <c r="B676" t="s">
        <v>2136</v>
      </c>
      <c r="C676" t="s">
        <v>1233</v>
      </c>
      <c r="D676" t="s">
        <v>1027</v>
      </c>
      <c r="E676">
        <v>63762</v>
      </c>
      <c r="F676" t="s">
        <v>1234</v>
      </c>
      <c r="G676" t="b">
        <v>0</v>
      </c>
      <c r="H676" t="b">
        <v>0</v>
      </c>
      <c r="I676" t="s">
        <v>1050</v>
      </c>
      <c r="J676">
        <v>88</v>
      </c>
      <c r="K676" t="s">
        <v>0</v>
      </c>
      <c r="L676" t="s">
        <v>1167</v>
      </c>
      <c r="M676" t="s">
        <v>1168</v>
      </c>
      <c r="N676" t="s">
        <v>1169</v>
      </c>
      <c r="O676" t="s">
        <v>1168</v>
      </c>
      <c r="P676" t="s">
        <v>1235</v>
      </c>
    </row>
    <row r="677" spans="1:16" x14ac:dyDescent="0.25">
      <c r="A677" t="s">
        <v>2137</v>
      </c>
      <c r="B677" t="s">
        <v>2138</v>
      </c>
      <c r="C677" t="s">
        <v>1750</v>
      </c>
      <c r="D677" t="s">
        <v>1027</v>
      </c>
      <c r="E677">
        <v>1494</v>
      </c>
      <c r="F677" t="s">
        <v>1751</v>
      </c>
      <c r="G677" t="b">
        <v>0</v>
      </c>
      <c r="H677" t="b">
        <v>0</v>
      </c>
      <c r="I677" t="s">
        <v>1050</v>
      </c>
      <c r="J677">
        <v>85</v>
      </c>
      <c r="K677" t="s">
        <v>1</v>
      </c>
      <c r="L677" t="s">
        <v>1547</v>
      </c>
      <c r="M677" t="s">
        <v>1548</v>
      </c>
      <c r="N677" t="s">
        <v>1548</v>
      </c>
      <c r="O677" t="s">
        <v>1548</v>
      </c>
      <c r="P677" t="s">
        <v>1752</v>
      </c>
    </row>
    <row r="678" spans="1:16" x14ac:dyDescent="0.25">
      <c r="A678" t="s">
        <v>2139</v>
      </c>
      <c r="B678" t="s">
        <v>2138</v>
      </c>
      <c r="C678" t="s">
        <v>1750</v>
      </c>
      <c r="D678" t="s">
        <v>1027</v>
      </c>
      <c r="E678">
        <v>1494</v>
      </c>
      <c r="F678" t="s">
        <v>1751</v>
      </c>
      <c r="G678" t="b">
        <v>0</v>
      </c>
      <c r="H678" t="b">
        <v>0</v>
      </c>
      <c r="I678" t="s">
        <v>1050</v>
      </c>
      <c r="J678">
        <v>85</v>
      </c>
      <c r="K678" t="s">
        <v>1</v>
      </c>
      <c r="L678" t="s">
        <v>1547</v>
      </c>
      <c r="M678" t="s">
        <v>1548</v>
      </c>
      <c r="N678" t="s">
        <v>1548</v>
      </c>
      <c r="O678" t="s">
        <v>1548</v>
      </c>
      <c r="P678" t="s">
        <v>1752</v>
      </c>
    </row>
    <row r="679" spans="1:16" x14ac:dyDescent="0.25">
      <c r="A679" t="s">
        <v>2140</v>
      </c>
      <c r="B679" t="s">
        <v>2138</v>
      </c>
      <c r="C679" t="s">
        <v>1750</v>
      </c>
      <c r="D679" t="s">
        <v>1027</v>
      </c>
      <c r="E679">
        <v>1494</v>
      </c>
      <c r="F679" t="s">
        <v>1751</v>
      </c>
      <c r="G679" t="b">
        <v>0</v>
      </c>
      <c r="H679" t="b">
        <v>0</v>
      </c>
      <c r="I679" t="s">
        <v>1050</v>
      </c>
      <c r="J679">
        <v>85</v>
      </c>
      <c r="K679" t="s">
        <v>1</v>
      </c>
      <c r="L679" t="s">
        <v>1547</v>
      </c>
      <c r="M679" t="s">
        <v>1548</v>
      </c>
      <c r="N679" t="s">
        <v>1548</v>
      </c>
      <c r="O679" t="s">
        <v>1548</v>
      </c>
      <c r="P679" t="s">
        <v>1752</v>
      </c>
    </row>
    <row r="680" spans="1:16" x14ac:dyDescent="0.25">
      <c r="A680" t="s">
        <v>2141</v>
      </c>
      <c r="B680" t="s">
        <v>2138</v>
      </c>
      <c r="C680" t="s">
        <v>1750</v>
      </c>
      <c r="D680" t="s">
        <v>1027</v>
      </c>
      <c r="E680">
        <v>1494</v>
      </c>
      <c r="F680" t="s">
        <v>1751</v>
      </c>
      <c r="G680" t="b">
        <v>0</v>
      </c>
      <c r="H680" t="b">
        <v>0</v>
      </c>
      <c r="I680" t="s">
        <v>1050</v>
      </c>
      <c r="J680">
        <v>85</v>
      </c>
      <c r="K680" t="s">
        <v>1</v>
      </c>
      <c r="L680" t="s">
        <v>1547</v>
      </c>
      <c r="M680" t="s">
        <v>1548</v>
      </c>
      <c r="N680" t="s">
        <v>1548</v>
      </c>
      <c r="O680" t="s">
        <v>1548</v>
      </c>
      <c r="P680" t="s">
        <v>1752</v>
      </c>
    </row>
    <row r="681" spans="1:16" x14ac:dyDescent="0.25">
      <c r="A681" t="s">
        <v>2142</v>
      </c>
      <c r="B681" t="s">
        <v>2138</v>
      </c>
      <c r="C681" t="s">
        <v>1750</v>
      </c>
      <c r="D681" t="s">
        <v>1027</v>
      </c>
      <c r="E681">
        <v>1494</v>
      </c>
      <c r="F681" t="s">
        <v>1751</v>
      </c>
      <c r="G681" t="b">
        <v>0</v>
      </c>
      <c r="H681" t="b">
        <v>0</v>
      </c>
      <c r="I681" t="s">
        <v>1050</v>
      </c>
      <c r="J681">
        <v>85</v>
      </c>
      <c r="K681" t="s">
        <v>1</v>
      </c>
      <c r="L681" t="s">
        <v>1547</v>
      </c>
      <c r="M681" t="s">
        <v>1548</v>
      </c>
      <c r="N681" t="s">
        <v>1548</v>
      </c>
      <c r="O681" t="s">
        <v>1548</v>
      </c>
      <c r="P681" t="s">
        <v>1752</v>
      </c>
    </row>
    <row r="682" spans="1:16" x14ac:dyDescent="0.25">
      <c r="A682" t="s">
        <v>2143</v>
      </c>
      <c r="B682" t="s">
        <v>2138</v>
      </c>
      <c r="C682" t="s">
        <v>1750</v>
      </c>
      <c r="D682" t="s">
        <v>1027</v>
      </c>
      <c r="E682">
        <v>1494</v>
      </c>
      <c r="F682" t="s">
        <v>1751</v>
      </c>
      <c r="G682" t="b">
        <v>0</v>
      </c>
      <c r="H682" t="b">
        <v>0</v>
      </c>
      <c r="I682" t="s">
        <v>1050</v>
      </c>
      <c r="J682">
        <v>85</v>
      </c>
      <c r="K682" t="s">
        <v>1</v>
      </c>
      <c r="L682" t="s">
        <v>1547</v>
      </c>
      <c r="M682" t="s">
        <v>1548</v>
      </c>
      <c r="N682" t="s">
        <v>1548</v>
      </c>
      <c r="O682" t="s">
        <v>1548</v>
      </c>
      <c r="P682" t="s">
        <v>1752</v>
      </c>
    </row>
    <row r="683" spans="1:16" x14ac:dyDescent="0.25">
      <c r="A683" t="s">
        <v>2144</v>
      </c>
      <c r="B683" t="s">
        <v>2138</v>
      </c>
      <c r="C683" t="s">
        <v>1750</v>
      </c>
      <c r="D683" t="s">
        <v>1027</v>
      </c>
      <c r="E683">
        <v>1494</v>
      </c>
      <c r="F683" t="s">
        <v>1751</v>
      </c>
      <c r="G683" t="b">
        <v>0</v>
      </c>
      <c r="H683" t="b">
        <v>0</v>
      </c>
      <c r="I683" t="s">
        <v>1050</v>
      </c>
      <c r="J683">
        <v>85</v>
      </c>
      <c r="K683" t="s">
        <v>1</v>
      </c>
      <c r="L683" t="s">
        <v>1547</v>
      </c>
      <c r="M683" t="s">
        <v>1548</v>
      </c>
      <c r="N683" t="s">
        <v>1548</v>
      </c>
      <c r="O683" t="s">
        <v>1548</v>
      </c>
      <c r="P683" t="s">
        <v>1752</v>
      </c>
    </row>
    <row r="684" spans="1:16" x14ac:dyDescent="0.25">
      <c r="A684" t="s">
        <v>2145</v>
      </c>
      <c r="B684" t="s">
        <v>2138</v>
      </c>
      <c r="C684" t="s">
        <v>1750</v>
      </c>
      <c r="D684" t="s">
        <v>1027</v>
      </c>
      <c r="E684">
        <v>1494</v>
      </c>
      <c r="F684" t="s">
        <v>1751</v>
      </c>
      <c r="G684" t="b">
        <v>0</v>
      </c>
      <c r="H684" t="b">
        <v>0</v>
      </c>
      <c r="I684" t="s">
        <v>1050</v>
      </c>
      <c r="J684">
        <v>85</v>
      </c>
      <c r="K684" t="s">
        <v>1</v>
      </c>
      <c r="L684" t="s">
        <v>1547</v>
      </c>
      <c r="M684" t="s">
        <v>1548</v>
      </c>
      <c r="N684" t="s">
        <v>1548</v>
      </c>
      <c r="O684" t="s">
        <v>1548</v>
      </c>
      <c r="P684" t="s">
        <v>1752</v>
      </c>
    </row>
    <row r="685" spans="1:16" x14ac:dyDescent="0.25">
      <c r="A685" t="s">
        <v>2146</v>
      </c>
      <c r="B685" t="s">
        <v>2138</v>
      </c>
      <c r="C685" t="s">
        <v>1750</v>
      </c>
      <c r="D685" t="s">
        <v>1027</v>
      </c>
      <c r="E685">
        <v>1494</v>
      </c>
      <c r="F685" t="s">
        <v>1751</v>
      </c>
      <c r="G685" t="b">
        <v>0</v>
      </c>
      <c r="H685" t="b">
        <v>0</v>
      </c>
      <c r="I685" t="s">
        <v>1050</v>
      </c>
      <c r="J685">
        <v>85</v>
      </c>
      <c r="K685" t="s">
        <v>1</v>
      </c>
      <c r="L685" t="s">
        <v>1547</v>
      </c>
      <c r="M685" t="s">
        <v>1548</v>
      </c>
      <c r="N685" t="s">
        <v>1548</v>
      </c>
      <c r="O685" t="s">
        <v>1548</v>
      </c>
      <c r="P685" t="s">
        <v>1752</v>
      </c>
    </row>
    <row r="686" spans="1:16" x14ac:dyDescent="0.25">
      <c r="A686" t="s">
        <v>2147</v>
      </c>
      <c r="B686" t="s">
        <v>2138</v>
      </c>
      <c r="C686" t="s">
        <v>1750</v>
      </c>
      <c r="D686" t="s">
        <v>1027</v>
      </c>
      <c r="E686">
        <v>1494</v>
      </c>
      <c r="F686" t="s">
        <v>1751</v>
      </c>
      <c r="G686" t="b">
        <v>0</v>
      </c>
      <c r="H686" t="b">
        <v>0</v>
      </c>
      <c r="I686" t="s">
        <v>1050</v>
      </c>
      <c r="J686">
        <v>85</v>
      </c>
      <c r="K686" t="s">
        <v>1</v>
      </c>
      <c r="L686" t="s">
        <v>1547</v>
      </c>
      <c r="M686" t="s">
        <v>1548</v>
      </c>
      <c r="N686" t="s">
        <v>1548</v>
      </c>
      <c r="O686" t="s">
        <v>1548</v>
      </c>
      <c r="P686" t="s">
        <v>1752</v>
      </c>
    </row>
    <row r="687" spans="1:16" x14ac:dyDescent="0.25">
      <c r="A687" t="s">
        <v>2148</v>
      </c>
      <c r="B687" t="s">
        <v>2138</v>
      </c>
      <c r="C687" t="s">
        <v>1750</v>
      </c>
      <c r="D687" t="s">
        <v>1027</v>
      </c>
      <c r="E687">
        <v>1494</v>
      </c>
      <c r="F687" t="s">
        <v>1751</v>
      </c>
      <c r="G687" t="b">
        <v>0</v>
      </c>
      <c r="H687" t="b">
        <v>0</v>
      </c>
      <c r="I687" t="s">
        <v>1050</v>
      </c>
      <c r="J687">
        <v>85</v>
      </c>
      <c r="K687" t="s">
        <v>1</v>
      </c>
      <c r="L687" t="s">
        <v>1547</v>
      </c>
      <c r="M687" t="s">
        <v>1548</v>
      </c>
      <c r="N687" t="s">
        <v>1548</v>
      </c>
      <c r="O687" t="s">
        <v>1548</v>
      </c>
      <c r="P687" t="s">
        <v>1752</v>
      </c>
    </row>
    <row r="688" spans="1:16" x14ac:dyDescent="0.25">
      <c r="A688" t="s">
        <v>2149</v>
      </c>
      <c r="B688" t="s">
        <v>2138</v>
      </c>
      <c r="C688" t="s">
        <v>1750</v>
      </c>
      <c r="D688" t="s">
        <v>1027</v>
      </c>
      <c r="E688">
        <v>1494</v>
      </c>
      <c r="F688" t="s">
        <v>1751</v>
      </c>
      <c r="G688" t="b">
        <v>0</v>
      </c>
      <c r="H688" t="b">
        <v>0</v>
      </c>
      <c r="I688" t="s">
        <v>1050</v>
      </c>
      <c r="J688">
        <v>85</v>
      </c>
      <c r="K688" t="s">
        <v>1</v>
      </c>
      <c r="L688" t="s">
        <v>1547</v>
      </c>
      <c r="M688" t="s">
        <v>1548</v>
      </c>
      <c r="N688" t="s">
        <v>1548</v>
      </c>
      <c r="O688" t="s">
        <v>1548</v>
      </c>
      <c r="P688" t="s">
        <v>1752</v>
      </c>
    </row>
    <row r="689" spans="1:16" x14ac:dyDescent="0.25">
      <c r="A689" t="s">
        <v>2150</v>
      </c>
      <c r="B689" t="s">
        <v>2138</v>
      </c>
      <c r="C689" t="s">
        <v>1750</v>
      </c>
      <c r="D689" t="s">
        <v>1027</v>
      </c>
      <c r="E689">
        <v>1494</v>
      </c>
      <c r="F689" t="s">
        <v>1751</v>
      </c>
      <c r="G689" t="b">
        <v>0</v>
      </c>
      <c r="H689" t="b">
        <v>0</v>
      </c>
      <c r="I689" t="s">
        <v>1050</v>
      </c>
      <c r="J689">
        <v>85</v>
      </c>
      <c r="K689" t="s">
        <v>1</v>
      </c>
      <c r="L689" t="s">
        <v>1547</v>
      </c>
      <c r="M689" t="s">
        <v>1548</v>
      </c>
      <c r="N689" t="s">
        <v>1548</v>
      </c>
      <c r="O689" t="s">
        <v>1548</v>
      </c>
      <c r="P689" t="s">
        <v>1752</v>
      </c>
    </row>
    <row r="690" spans="1:16" x14ac:dyDescent="0.25">
      <c r="A690" t="s">
        <v>2151</v>
      </c>
      <c r="B690" t="s">
        <v>2138</v>
      </c>
      <c r="C690" t="s">
        <v>1750</v>
      </c>
      <c r="D690" t="s">
        <v>1027</v>
      </c>
      <c r="E690">
        <v>1494</v>
      </c>
      <c r="F690" t="s">
        <v>1751</v>
      </c>
      <c r="G690" t="b">
        <v>0</v>
      </c>
      <c r="H690" t="b">
        <v>0</v>
      </c>
      <c r="I690" t="s">
        <v>1050</v>
      </c>
      <c r="J690">
        <v>85</v>
      </c>
      <c r="K690" t="s">
        <v>1</v>
      </c>
      <c r="L690" t="s">
        <v>1547</v>
      </c>
      <c r="M690" t="s">
        <v>1548</v>
      </c>
      <c r="N690" t="s">
        <v>1548</v>
      </c>
      <c r="O690" t="s">
        <v>1548</v>
      </c>
      <c r="P690" t="s">
        <v>1752</v>
      </c>
    </row>
    <row r="691" spans="1:16" x14ac:dyDescent="0.25">
      <c r="A691" t="s">
        <v>2152</v>
      </c>
      <c r="B691" t="s">
        <v>2138</v>
      </c>
      <c r="C691" t="s">
        <v>1750</v>
      </c>
      <c r="D691" t="s">
        <v>1027</v>
      </c>
      <c r="E691">
        <v>1494</v>
      </c>
      <c r="F691" t="s">
        <v>1751</v>
      </c>
      <c r="G691" t="b">
        <v>0</v>
      </c>
      <c r="H691" t="b">
        <v>0</v>
      </c>
      <c r="I691" t="s">
        <v>1050</v>
      </c>
      <c r="J691">
        <v>85</v>
      </c>
      <c r="K691" t="s">
        <v>1</v>
      </c>
      <c r="L691" t="s">
        <v>1547</v>
      </c>
      <c r="M691" t="s">
        <v>1548</v>
      </c>
      <c r="N691" t="s">
        <v>1548</v>
      </c>
      <c r="O691" t="s">
        <v>1548</v>
      </c>
      <c r="P691" t="s">
        <v>1752</v>
      </c>
    </row>
    <row r="692" spans="1:16" x14ac:dyDescent="0.25">
      <c r="A692" t="s">
        <v>2153</v>
      </c>
      <c r="B692" t="s">
        <v>2138</v>
      </c>
      <c r="C692" t="s">
        <v>1750</v>
      </c>
      <c r="D692" t="s">
        <v>1027</v>
      </c>
      <c r="E692">
        <v>1494</v>
      </c>
      <c r="F692" t="s">
        <v>1751</v>
      </c>
      <c r="G692" t="b">
        <v>0</v>
      </c>
      <c r="H692" t="b">
        <v>0</v>
      </c>
      <c r="I692" t="s">
        <v>1050</v>
      </c>
      <c r="J692">
        <v>85</v>
      </c>
      <c r="K692" t="s">
        <v>1</v>
      </c>
      <c r="L692" t="s">
        <v>1547</v>
      </c>
      <c r="M692" t="s">
        <v>1548</v>
      </c>
      <c r="N692" t="s">
        <v>1548</v>
      </c>
      <c r="O692" t="s">
        <v>1548</v>
      </c>
      <c r="P692" t="s">
        <v>1752</v>
      </c>
    </row>
    <row r="693" spans="1:16" x14ac:dyDescent="0.25">
      <c r="A693" t="s">
        <v>2154</v>
      </c>
      <c r="B693" t="s">
        <v>2138</v>
      </c>
      <c r="C693" t="s">
        <v>1750</v>
      </c>
      <c r="D693" t="s">
        <v>1027</v>
      </c>
      <c r="E693">
        <v>1494</v>
      </c>
      <c r="F693" t="s">
        <v>1751</v>
      </c>
      <c r="G693" t="b">
        <v>0</v>
      </c>
      <c r="H693" t="b">
        <v>0</v>
      </c>
      <c r="I693" t="s">
        <v>1050</v>
      </c>
      <c r="J693">
        <v>85</v>
      </c>
      <c r="K693" t="s">
        <v>1</v>
      </c>
      <c r="L693" t="s">
        <v>1547</v>
      </c>
      <c r="M693" t="s">
        <v>1548</v>
      </c>
      <c r="N693" t="s">
        <v>1548</v>
      </c>
      <c r="O693" t="s">
        <v>1548</v>
      </c>
      <c r="P693" t="s">
        <v>1752</v>
      </c>
    </row>
    <row r="694" spans="1:16" x14ac:dyDescent="0.25">
      <c r="A694" t="s">
        <v>2155</v>
      </c>
      <c r="B694" t="s">
        <v>2138</v>
      </c>
      <c r="C694" t="s">
        <v>1750</v>
      </c>
      <c r="D694" t="s">
        <v>1027</v>
      </c>
      <c r="E694">
        <v>1494</v>
      </c>
      <c r="F694" t="s">
        <v>1751</v>
      </c>
      <c r="G694" t="b">
        <v>0</v>
      </c>
      <c r="H694" t="b">
        <v>0</v>
      </c>
      <c r="I694" t="s">
        <v>1050</v>
      </c>
      <c r="J694">
        <v>85</v>
      </c>
      <c r="K694" t="s">
        <v>1</v>
      </c>
      <c r="L694" t="s">
        <v>1547</v>
      </c>
      <c r="M694" t="s">
        <v>1548</v>
      </c>
      <c r="N694" t="s">
        <v>1548</v>
      </c>
      <c r="O694" t="s">
        <v>1548</v>
      </c>
      <c r="P694" t="s">
        <v>1752</v>
      </c>
    </row>
    <row r="695" spans="1:16" x14ac:dyDescent="0.25">
      <c r="A695" t="s">
        <v>2156</v>
      </c>
      <c r="B695" t="s">
        <v>2138</v>
      </c>
      <c r="C695" t="s">
        <v>1750</v>
      </c>
      <c r="D695" t="s">
        <v>1027</v>
      </c>
      <c r="E695">
        <v>1494</v>
      </c>
      <c r="F695" t="s">
        <v>1751</v>
      </c>
      <c r="G695" t="b">
        <v>0</v>
      </c>
      <c r="H695" t="b">
        <v>0</v>
      </c>
      <c r="I695" t="s">
        <v>1050</v>
      </c>
      <c r="J695">
        <v>85</v>
      </c>
      <c r="K695" t="s">
        <v>1</v>
      </c>
      <c r="L695" t="s">
        <v>1547</v>
      </c>
      <c r="M695" t="s">
        <v>1548</v>
      </c>
      <c r="N695" t="s">
        <v>1548</v>
      </c>
      <c r="O695" t="s">
        <v>1548</v>
      </c>
      <c r="P695" t="s">
        <v>1752</v>
      </c>
    </row>
    <row r="696" spans="1:16" x14ac:dyDescent="0.25">
      <c r="A696" t="s">
        <v>2157</v>
      </c>
      <c r="B696" t="s">
        <v>2138</v>
      </c>
      <c r="C696" t="s">
        <v>1750</v>
      </c>
      <c r="D696" t="s">
        <v>1027</v>
      </c>
      <c r="E696">
        <v>1494</v>
      </c>
      <c r="F696" t="s">
        <v>1751</v>
      </c>
      <c r="G696" t="b">
        <v>0</v>
      </c>
      <c r="H696" t="b">
        <v>0</v>
      </c>
      <c r="I696" t="s">
        <v>1050</v>
      </c>
      <c r="J696">
        <v>85</v>
      </c>
      <c r="K696" t="s">
        <v>1</v>
      </c>
      <c r="L696" t="s">
        <v>1547</v>
      </c>
      <c r="M696" t="s">
        <v>1548</v>
      </c>
      <c r="N696" t="s">
        <v>1548</v>
      </c>
      <c r="O696" t="s">
        <v>1548</v>
      </c>
      <c r="P696" t="s">
        <v>1752</v>
      </c>
    </row>
    <row r="697" spans="1:16" x14ac:dyDescent="0.25">
      <c r="A697" t="s">
        <v>2158</v>
      </c>
      <c r="B697" t="s">
        <v>2138</v>
      </c>
      <c r="C697" t="s">
        <v>1750</v>
      </c>
      <c r="D697" t="s">
        <v>1027</v>
      </c>
      <c r="E697">
        <v>1494</v>
      </c>
      <c r="F697" t="s">
        <v>1751</v>
      </c>
      <c r="G697" t="b">
        <v>0</v>
      </c>
      <c r="H697" t="b">
        <v>0</v>
      </c>
      <c r="I697" t="s">
        <v>1050</v>
      </c>
      <c r="J697">
        <v>85</v>
      </c>
      <c r="K697" t="s">
        <v>1</v>
      </c>
      <c r="L697" t="s">
        <v>1547</v>
      </c>
      <c r="M697" t="s">
        <v>1548</v>
      </c>
      <c r="N697" t="s">
        <v>1548</v>
      </c>
      <c r="O697" t="s">
        <v>1548</v>
      </c>
      <c r="P697" t="s">
        <v>1752</v>
      </c>
    </row>
    <row r="698" spans="1:16" x14ac:dyDescent="0.25">
      <c r="A698" t="s">
        <v>2159</v>
      </c>
      <c r="B698" t="s">
        <v>2138</v>
      </c>
      <c r="C698" t="s">
        <v>1750</v>
      </c>
      <c r="D698" t="s">
        <v>1027</v>
      </c>
      <c r="E698">
        <v>1494</v>
      </c>
      <c r="F698" t="s">
        <v>1751</v>
      </c>
      <c r="G698" t="b">
        <v>0</v>
      </c>
      <c r="H698" t="b">
        <v>0</v>
      </c>
      <c r="I698" t="s">
        <v>1050</v>
      </c>
      <c r="J698">
        <v>85</v>
      </c>
      <c r="K698" t="s">
        <v>1</v>
      </c>
      <c r="L698" t="s">
        <v>1547</v>
      </c>
      <c r="M698" t="s">
        <v>1548</v>
      </c>
      <c r="N698" t="s">
        <v>1548</v>
      </c>
      <c r="O698" t="s">
        <v>1548</v>
      </c>
      <c r="P698" t="s">
        <v>1752</v>
      </c>
    </row>
    <row r="699" spans="1:16" x14ac:dyDescent="0.25">
      <c r="A699" t="s">
        <v>2160</v>
      </c>
      <c r="B699" t="s">
        <v>2138</v>
      </c>
      <c r="C699" t="s">
        <v>1750</v>
      </c>
      <c r="D699" t="s">
        <v>1027</v>
      </c>
      <c r="E699">
        <v>1494</v>
      </c>
      <c r="F699" t="s">
        <v>1751</v>
      </c>
      <c r="G699" t="b">
        <v>0</v>
      </c>
      <c r="H699" t="b">
        <v>0</v>
      </c>
      <c r="I699" t="s">
        <v>1050</v>
      </c>
      <c r="J699">
        <v>85</v>
      </c>
      <c r="K699" t="s">
        <v>1</v>
      </c>
      <c r="L699" t="s">
        <v>1547</v>
      </c>
      <c r="M699" t="s">
        <v>1548</v>
      </c>
      <c r="N699" t="s">
        <v>1548</v>
      </c>
      <c r="O699" t="s">
        <v>1548</v>
      </c>
      <c r="P699" t="s">
        <v>1752</v>
      </c>
    </row>
    <row r="700" spans="1:16" x14ac:dyDescent="0.25">
      <c r="A700" t="s">
        <v>2161</v>
      </c>
      <c r="B700" t="s">
        <v>2138</v>
      </c>
      <c r="C700" t="s">
        <v>1750</v>
      </c>
      <c r="D700" t="s">
        <v>1027</v>
      </c>
      <c r="E700">
        <v>1494</v>
      </c>
      <c r="F700" t="s">
        <v>1751</v>
      </c>
      <c r="G700" t="b">
        <v>0</v>
      </c>
      <c r="H700" t="b">
        <v>0</v>
      </c>
      <c r="I700" t="s">
        <v>1050</v>
      </c>
      <c r="J700">
        <v>85</v>
      </c>
      <c r="K700" t="s">
        <v>1</v>
      </c>
      <c r="L700" t="s">
        <v>1547</v>
      </c>
      <c r="M700" t="s">
        <v>1548</v>
      </c>
      <c r="N700" t="s">
        <v>1548</v>
      </c>
      <c r="O700" t="s">
        <v>1548</v>
      </c>
      <c r="P700" t="s">
        <v>1752</v>
      </c>
    </row>
    <row r="701" spans="1:16" x14ac:dyDescent="0.25">
      <c r="A701" t="s">
        <v>2162</v>
      </c>
      <c r="B701" t="s">
        <v>2138</v>
      </c>
      <c r="C701" t="s">
        <v>1750</v>
      </c>
      <c r="D701" t="s">
        <v>1027</v>
      </c>
      <c r="E701">
        <v>1494</v>
      </c>
      <c r="F701" t="s">
        <v>1751</v>
      </c>
      <c r="G701" t="b">
        <v>0</v>
      </c>
      <c r="H701" t="b">
        <v>0</v>
      </c>
      <c r="I701" t="s">
        <v>1050</v>
      </c>
      <c r="J701">
        <v>85</v>
      </c>
      <c r="K701" t="s">
        <v>1</v>
      </c>
      <c r="L701" t="s">
        <v>1547</v>
      </c>
      <c r="M701" t="s">
        <v>1548</v>
      </c>
      <c r="N701" t="s">
        <v>1548</v>
      </c>
      <c r="O701" t="s">
        <v>1548</v>
      </c>
      <c r="P701" t="s">
        <v>1752</v>
      </c>
    </row>
    <row r="702" spans="1:16" x14ac:dyDescent="0.25">
      <c r="A702" t="s">
        <v>2163</v>
      </c>
      <c r="B702" t="s">
        <v>2138</v>
      </c>
      <c r="C702" t="s">
        <v>1750</v>
      </c>
      <c r="D702" t="s">
        <v>1027</v>
      </c>
      <c r="E702">
        <v>1494</v>
      </c>
      <c r="F702" t="s">
        <v>1751</v>
      </c>
      <c r="G702" t="b">
        <v>0</v>
      </c>
      <c r="H702" t="b">
        <v>0</v>
      </c>
      <c r="I702" t="s">
        <v>1050</v>
      </c>
      <c r="J702">
        <v>85</v>
      </c>
      <c r="K702" t="s">
        <v>1</v>
      </c>
      <c r="L702" t="s">
        <v>1547</v>
      </c>
      <c r="M702" t="s">
        <v>1548</v>
      </c>
      <c r="N702" t="s">
        <v>1548</v>
      </c>
      <c r="O702" t="s">
        <v>1548</v>
      </c>
      <c r="P702" t="s">
        <v>1752</v>
      </c>
    </row>
    <row r="703" spans="1:16" x14ac:dyDescent="0.25">
      <c r="A703" t="s">
        <v>2164</v>
      </c>
      <c r="B703" t="s">
        <v>2138</v>
      </c>
      <c r="C703" t="s">
        <v>1750</v>
      </c>
      <c r="D703" t="s">
        <v>1027</v>
      </c>
      <c r="E703">
        <v>1494</v>
      </c>
      <c r="F703" t="s">
        <v>1751</v>
      </c>
      <c r="G703" t="b">
        <v>0</v>
      </c>
      <c r="H703" t="b">
        <v>0</v>
      </c>
      <c r="I703" t="s">
        <v>1050</v>
      </c>
      <c r="J703">
        <v>85</v>
      </c>
      <c r="K703" t="s">
        <v>1</v>
      </c>
      <c r="L703" t="s">
        <v>1547</v>
      </c>
      <c r="M703" t="s">
        <v>1548</v>
      </c>
      <c r="N703" t="s">
        <v>1548</v>
      </c>
      <c r="O703" t="s">
        <v>1548</v>
      </c>
      <c r="P703" t="s">
        <v>1752</v>
      </c>
    </row>
    <row r="704" spans="1:16" x14ac:dyDescent="0.25">
      <c r="A704" t="s">
        <v>2165</v>
      </c>
      <c r="B704" t="s">
        <v>2138</v>
      </c>
      <c r="C704" t="s">
        <v>1750</v>
      </c>
      <c r="D704" t="s">
        <v>1027</v>
      </c>
      <c r="E704">
        <v>1494</v>
      </c>
      <c r="F704" t="s">
        <v>1751</v>
      </c>
      <c r="G704" t="b">
        <v>0</v>
      </c>
      <c r="H704" t="b">
        <v>0</v>
      </c>
      <c r="I704" t="s">
        <v>1050</v>
      </c>
      <c r="J704">
        <v>85</v>
      </c>
      <c r="K704" t="s">
        <v>1</v>
      </c>
      <c r="L704" t="s">
        <v>1547</v>
      </c>
      <c r="M704" t="s">
        <v>1548</v>
      </c>
      <c r="N704" t="s">
        <v>1548</v>
      </c>
      <c r="O704" t="s">
        <v>1548</v>
      </c>
      <c r="P704" t="s">
        <v>1752</v>
      </c>
    </row>
    <row r="705" spans="1:16" x14ac:dyDescent="0.25">
      <c r="A705" t="s">
        <v>2166</v>
      </c>
      <c r="B705" t="s">
        <v>2138</v>
      </c>
      <c r="C705" t="s">
        <v>1750</v>
      </c>
      <c r="D705" t="s">
        <v>1027</v>
      </c>
      <c r="E705">
        <v>1494</v>
      </c>
      <c r="F705" t="s">
        <v>1751</v>
      </c>
      <c r="G705" t="b">
        <v>0</v>
      </c>
      <c r="H705" t="b">
        <v>0</v>
      </c>
      <c r="I705" t="s">
        <v>1050</v>
      </c>
      <c r="J705">
        <v>85</v>
      </c>
      <c r="K705" t="s">
        <v>1</v>
      </c>
      <c r="L705" t="s">
        <v>1547</v>
      </c>
      <c r="M705" t="s">
        <v>1548</v>
      </c>
      <c r="N705" t="s">
        <v>1548</v>
      </c>
      <c r="O705" t="s">
        <v>1548</v>
      </c>
      <c r="P705" t="s">
        <v>1752</v>
      </c>
    </row>
    <row r="706" spans="1:16" x14ac:dyDescent="0.25">
      <c r="A706" t="s">
        <v>2167</v>
      </c>
      <c r="B706" t="s">
        <v>2138</v>
      </c>
      <c r="C706" t="s">
        <v>1750</v>
      </c>
      <c r="D706" t="s">
        <v>1027</v>
      </c>
      <c r="E706">
        <v>1494</v>
      </c>
      <c r="F706" t="s">
        <v>1751</v>
      </c>
      <c r="G706" t="b">
        <v>0</v>
      </c>
      <c r="H706" t="b">
        <v>0</v>
      </c>
      <c r="I706" t="s">
        <v>1050</v>
      </c>
      <c r="J706">
        <v>85</v>
      </c>
      <c r="K706" t="s">
        <v>1</v>
      </c>
      <c r="L706" t="s">
        <v>1547</v>
      </c>
      <c r="M706" t="s">
        <v>1548</v>
      </c>
      <c r="N706" t="s">
        <v>1548</v>
      </c>
      <c r="O706" t="s">
        <v>1548</v>
      </c>
      <c r="P706" t="s">
        <v>1752</v>
      </c>
    </row>
    <row r="707" spans="1:16" x14ac:dyDescent="0.25">
      <c r="A707" t="s">
        <v>2168</v>
      </c>
      <c r="B707" t="s">
        <v>2138</v>
      </c>
      <c r="C707" t="s">
        <v>1750</v>
      </c>
      <c r="D707" t="s">
        <v>1027</v>
      </c>
      <c r="E707">
        <v>1494</v>
      </c>
      <c r="F707" t="s">
        <v>1751</v>
      </c>
      <c r="G707" t="b">
        <v>0</v>
      </c>
      <c r="H707" t="b">
        <v>0</v>
      </c>
      <c r="I707" t="s">
        <v>1050</v>
      </c>
      <c r="J707">
        <v>85</v>
      </c>
      <c r="K707" t="s">
        <v>1</v>
      </c>
      <c r="L707" t="s">
        <v>1547</v>
      </c>
      <c r="M707" t="s">
        <v>1548</v>
      </c>
      <c r="N707" t="s">
        <v>1548</v>
      </c>
      <c r="O707" t="s">
        <v>1548</v>
      </c>
      <c r="P707" t="s">
        <v>1752</v>
      </c>
    </row>
    <row r="708" spans="1:16" x14ac:dyDescent="0.25">
      <c r="A708" t="s">
        <v>2169</v>
      </c>
      <c r="B708" t="s">
        <v>2138</v>
      </c>
      <c r="C708" t="s">
        <v>1750</v>
      </c>
      <c r="D708" t="s">
        <v>1027</v>
      </c>
      <c r="E708">
        <v>1494</v>
      </c>
      <c r="F708" t="s">
        <v>1751</v>
      </c>
      <c r="G708" t="b">
        <v>0</v>
      </c>
      <c r="H708" t="b">
        <v>0</v>
      </c>
      <c r="I708" t="s">
        <v>1050</v>
      </c>
      <c r="J708">
        <v>85</v>
      </c>
      <c r="K708" t="s">
        <v>1</v>
      </c>
      <c r="L708" t="s">
        <v>1547</v>
      </c>
      <c r="M708" t="s">
        <v>1548</v>
      </c>
      <c r="N708" t="s">
        <v>1548</v>
      </c>
      <c r="O708" t="s">
        <v>1548</v>
      </c>
      <c r="P708" t="s">
        <v>1752</v>
      </c>
    </row>
    <row r="709" spans="1:16" x14ac:dyDescent="0.25">
      <c r="A709" t="s">
        <v>2170</v>
      </c>
      <c r="B709" t="s">
        <v>2138</v>
      </c>
      <c r="C709" t="s">
        <v>1750</v>
      </c>
      <c r="D709" t="s">
        <v>1027</v>
      </c>
      <c r="E709">
        <v>1494</v>
      </c>
      <c r="F709" t="s">
        <v>1751</v>
      </c>
      <c r="G709" t="b">
        <v>0</v>
      </c>
      <c r="H709" t="b">
        <v>0</v>
      </c>
      <c r="I709" t="s">
        <v>1050</v>
      </c>
      <c r="J709">
        <v>85</v>
      </c>
      <c r="K709" t="s">
        <v>1</v>
      </c>
      <c r="L709" t="s">
        <v>1547</v>
      </c>
      <c r="M709" t="s">
        <v>1548</v>
      </c>
      <c r="N709" t="s">
        <v>1548</v>
      </c>
      <c r="O709" t="s">
        <v>1548</v>
      </c>
      <c r="P709" t="s">
        <v>1752</v>
      </c>
    </row>
    <row r="710" spans="1:16" x14ac:dyDescent="0.25">
      <c r="A710" t="s">
        <v>2171</v>
      </c>
      <c r="B710" t="s">
        <v>2138</v>
      </c>
      <c r="C710" t="s">
        <v>1750</v>
      </c>
      <c r="D710" t="s">
        <v>1027</v>
      </c>
      <c r="E710">
        <v>1494</v>
      </c>
      <c r="F710" t="s">
        <v>1751</v>
      </c>
      <c r="G710" t="b">
        <v>0</v>
      </c>
      <c r="H710" t="b">
        <v>0</v>
      </c>
      <c r="I710" t="s">
        <v>1050</v>
      </c>
      <c r="J710">
        <v>85</v>
      </c>
      <c r="K710" t="s">
        <v>1</v>
      </c>
      <c r="L710" t="s">
        <v>1547</v>
      </c>
      <c r="M710" t="s">
        <v>1548</v>
      </c>
      <c r="N710" t="s">
        <v>1548</v>
      </c>
      <c r="O710" t="s">
        <v>1548</v>
      </c>
      <c r="P710" t="s">
        <v>1752</v>
      </c>
    </row>
    <row r="711" spans="1:16" x14ac:dyDescent="0.25">
      <c r="A711" t="s">
        <v>2172</v>
      </c>
      <c r="B711" t="s">
        <v>2138</v>
      </c>
      <c r="C711" t="s">
        <v>1750</v>
      </c>
      <c r="D711" t="s">
        <v>1027</v>
      </c>
      <c r="E711">
        <v>1494</v>
      </c>
      <c r="F711" t="s">
        <v>1751</v>
      </c>
      <c r="G711" t="b">
        <v>0</v>
      </c>
      <c r="H711" t="b">
        <v>0</v>
      </c>
      <c r="I711" t="s">
        <v>1050</v>
      </c>
      <c r="J711">
        <v>85</v>
      </c>
      <c r="K711" t="s">
        <v>1</v>
      </c>
      <c r="L711" t="s">
        <v>1547</v>
      </c>
      <c r="M711" t="s">
        <v>1548</v>
      </c>
      <c r="N711" t="s">
        <v>1548</v>
      </c>
      <c r="O711" t="s">
        <v>1548</v>
      </c>
      <c r="P711" t="s">
        <v>1752</v>
      </c>
    </row>
    <row r="712" spans="1:16" x14ac:dyDescent="0.25">
      <c r="A712" t="s">
        <v>2173</v>
      </c>
      <c r="B712" t="s">
        <v>2138</v>
      </c>
      <c r="C712" t="s">
        <v>1750</v>
      </c>
      <c r="D712" t="s">
        <v>1027</v>
      </c>
      <c r="E712">
        <v>1494</v>
      </c>
      <c r="F712" t="s">
        <v>1751</v>
      </c>
      <c r="G712" t="b">
        <v>0</v>
      </c>
      <c r="H712" t="b">
        <v>0</v>
      </c>
      <c r="I712" t="s">
        <v>1050</v>
      </c>
      <c r="J712">
        <v>85</v>
      </c>
      <c r="K712" t="s">
        <v>1</v>
      </c>
      <c r="L712" t="s">
        <v>1547</v>
      </c>
      <c r="M712" t="s">
        <v>1548</v>
      </c>
      <c r="N712" t="s">
        <v>1548</v>
      </c>
      <c r="O712" t="s">
        <v>1548</v>
      </c>
      <c r="P712" t="s">
        <v>1752</v>
      </c>
    </row>
    <row r="713" spans="1:16" x14ac:dyDescent="0.25">
      <c r="A713" t="s">
        <v>2174</v>
      </c>
      <c r="B713" t="s">
        <v>2138</v>
      </c>
      <c r="C713" t="s">
        <v>1750</v>
      </c>
      <c r="D713" t="s">
        <v>1027</v>
      </c>
      <c r="E713">
        <v>1494</v>
      </c>
      <c r="F713" t="s">
        <v>1751</v>
      </c>
      <c r="G713" t="b">
        <v>0</v>
      </c>
      <c r="H713" t="b">
        <v>0</v>
      </c>
      <c r="I713" t="s">
        <v>1050</v>
      </c>
      <c r="J713">
        <v>85</v>
      </c>
      <c r="K713" t="s">
        <v>1</v>
      </c>
      <c r="L713" t="s">
        <v>1547</v>
      </c>
      <c r="M713" t="s">
        <v>1548</v>
      </c>
      <c r="N713" t="s">
        <v>1548</v>
      </c>
      <c r="O713" t="s">
        <v>1548</v>
      </c>
      <c r="P713" t="s">
        <v>1752</v>
      </c>
    </row>
    <row r="714" spans="1:16" x14ac:dyDescent="0.25">
      <c r="A714" t="s">
        <v>2175</v>
      </c>
      <c r="B714" t="s">
        <v>2138</v>
      </c>
      <c r="C714" t="s">
        <v>1750</v>
      </c>
      <c r="D714" t="s">
        <v>1027</v>
      </c>
      <c r="E714">
        <v>1494</v>
      </c>
      <c r="F714" t="s">
        <v>1751</v>
      </c>
      <c r="G714" t="b">
        <v>0</v>
      </c>
      <c r="H714" t="b">
        <v>0</v>
      </c>
      <c r="I714" t="s">
        <v>1050</v>
      </c>
      <c r="J714">
        <v>85</v>
      </c>
      <c r="K714" t="s">
        <v>1</v>
      </c>
      <c r="L714" t="s">
        <v>1547</v>
      </c>
      <c r="M714" t="s">
        <v>1548</v>
      </c>
      <c r="N714" t="s">
        <v>1548</v>
      </c>
      <c r="O714" t="s">
        <v>1548</v>
      </c>
      <c r="P714" t="s">
        <v>1752</v>
      </c>
    </row>
    <row r="715" spans="1:16" x14ac:dyDescent="0.25">
      <c r="A715" t="s">
        <v>2176</v>
      </c>
      <c r="B715" t="s">
        <v>2138</v>
      </c>
      <c r="C715" t="s">
        <v>1750</v>
      </c>
      <c r="D715" t="s">
        <v>1027</v>
      </c>
      <c r="E715">
        <v>1494</v>
      </c>
      <c r="F715" t="s">
        <v>1751</v>
      </c>
      <c r="G715" t="b">
        <v>0</v>
      </c>
      <c r="H715" t="b">
        <v>0</v>
      </c>
      <c r="I715" t="s">
        <v>1050</v>
      </c>
      <c r="J715">
        <v>85</v>
      </c>
      <c r="K715" t="s">
        <v>1</v>
      </c>
      <c r="L715" t="s">
        <v>1547</v>
      </c>
      <c r="M715" t="s">
        <v>1548</v>
      </c>
      <c r="N715" t="s">
        <v>1548</v>
      </c>
      <c r="O715" t="s">
        <v>1548</v>
      </c>
      <c r="P715" t="s">
        <v>1752</v>
      </c>
    </row>
    <row r="716" spans="1:16" x14ac:dyDescent="0.25">
      <c r="A716" t="s">
        <v>2177</v>
      </c>
      <c r="B716" t="s">
        <v>2138</v>
      </c>
      <c r="C716" t="s">
        <v>1750</v>
      </c>
      <c r="D716" t="s">
        <v>1027</v>
      </c>
      <c r="E716">
        <v>1494</v>
      </c>
      <c r="F716" t="s">
        <v>1751</v>
      </c>
      <c r="G716" t="b">
        <v>0</v>
      </c>
      <c r="H716" t="b">
        <v>0</v>
      </c>
      <c r="I716" t="s">
        <v>1050</v>
      </c>
      <c r="J716">
        <v>85</v>
      </c>
      <c r="K716" t="s">
        <v>1</v>
      </c>
      <c r="L716" t="s">
        <v>1547</v>
      </c>
      <c r="M716" t="s">
        <v>1548</v>
      </c>
      <c r="N716" t="s">
        <v>1548</v>
      </c>
      <c r="O716" t="s">
        <v>1548</v>
      </c>
      <c r="P716" t="s">
        <v>1752</v>
      </c>
    </row>
    <row r="717" spans="1:16" x14ac:dyDescent="0.25">
      <c r="A717" t="s">
        <v>2178</v>
      </c>
      <c r="B717" t="s">
        <v>2138</v>
      </c>
      <c r="C717" t="s">
        <v>1750</v>
      </c>
      <c r="D717" t="s">
        <v>1027</v>
      </c>
      <c r="E717">
        <v>1494</v>
      </c>
      <c r="F717" t="s">
        <v>1751</v>
      </c>
      <c r="G717" t="b">
        <v>0</v>
      </c>
      <c r="H717" t="b">
        <v>0</v>
      </c>
      <c r="I717" t="s">
        <v>1050</v>
      </c>
      <c r="J717">
        <v>85</v>
      </c>
      <c r="K717" t="s">
        <v>1</v>
      </c>
      <c r="L717" t="s">
        <v>1547</v>
      </c>
      <c r="M717" t="s">
        <v>1548</v>
      </c>
      <c r="N717" t="s">
        <v>1548</v>
      </c>
      <c r="O717" t="s">
        <v>1548</v>
      </c>
      <c r="P717" t="s">
        <v>1752</v>
      </c>
    </row>
    <row r="718" spans="1:16" x14ac:dyDescent="0.25">
      <c r="A718" t="s">
        <v>2179</v>
      </c>
      <c r="B718" t="s">
        <v>2138</v>
      </c>
      <c r="C718" t="s">
        <v>1750</v>
      </c>
      <c r="D718" t="s">
        <v>1027</v>
      </c>
      <c r="E718">
        <v>1494</v>
      </c>
      <c r="F718" t="s">
        <v>1751</v>
      </c>
      <c r="G718" t="b">
        <v>0</v>
      </c>
      <c r="H718" t="b">
        <v>0</v>
      </c>
      <c r="I718" t="s">
        <v>1050</v>
      </c>
      <c r="J718">
        <v>85</v>
      </c>
      <c r="K718" t="s">
        <v>1</v>
      </c>
      <c r="L718" t="s">
        <v>1547</v>
      </c>
      <c r="M718" t="s">
        <v>1548</v>
      </c>
      <c r="N718" t="s">
        <v>1548</v>
      </c>
      <c r="O718" t="s">
        <v>1548</v>
      </c>
      <c r="P718" t="s">
        <v>1752</v>
      </c>
    </row>
    <row r="719" spans="1:16" x14ac:dyDescent="0.25">
      <c r="A719" t="s">
        <v>2180</v>
      </c>
      <c r="B719" t="s">
        <v>2138</v>
      </c>
      <c r="C719" t="s">
        <v>1750</v>
      </c>
      <c r="D719" t="s">
        <v>1027</v>
      </c>
      <c r="E719">
        <v>1494</v>
      </c>
      <c r="F719" t="s">
        <v>1751</v>
      </c>
      <c r="G719" t="b">
        <v>0</v>
      </c>
      <c r="H719" t="b">
        <v>0</v>
      </c>
      <c r="I719" t="s">
        <v>1050</v>
      </c>
      <c r="J719">
        <v>85</v>
      </c>
      <c r="K719" t="s">
        <v>1</v>
      </c>
      <c r="L719" t="s">
        <v>1547</v>
      </c>
      <c r="M719" t="s">
        <v>1548</v>
      </c>
      <c r="N719" t="s">
        <v>1548</v>
      </c>
      <c r="O719" t="s">
        <v>1548</v>
      </c>
      <c r="P719" t="s">
        <v>1752</v>
      </c>
    </row>
    <row r="720" spans="1:16" x14ac:dyDescent="0.25">
      <c r="A720" t="s">
        <v>2181</v>
      </c>
      <c r="B720" t="s">
        <v>2138</v>
      </c>
      <c r="C720" t="s">
        <v>1750</v>
      </c>
      <c r="D720" t="s">
        <v>1027</v>
      </c>
      <c r="E720">
        <v>1494</v>
      </c>
      <c r="F720" t="s">
        <v>1751</v>
      </c>
      <c r="G720" t="b">
        <v>0</v>
      </c>
      <c r="H720" t="b">
        <v>0</v>
      </c>
      <c r="I720" t="s">
        <v>1050</v>
      </c>
      <c r="J720">
        <v>85</v>
      </c>
      <c r="K720" t="s">
        <v>1</v>
      </c>
      <c r="L720" t="s">
        <v>1547</v>
      </c>
      <c r="M720" t="s">
        <v>1548</v>
      </c>
      <c r="N720" t="s">
        <v>1548</v>
      </c>
      <c r="O720" t="s">
        <v>1548</v>
      </c>
      <c r="P720" t="s">
        <v>1752</v>
      </c>
    </row>
    <row r="721" spans="1:16" x14ac:dyDescent="0.25">
      <c r="A721" t="s">
        <v>2182</v>
      </c>
      <c r="B721" t="s">
        <v>2138</v>
      </c>
      <c r="C721" t="s">
        <v>1750</v>
      </c>
      <c r="D721" t="s">
        <v>1027</v>
      </c>
      <c r="E721">
        <v>1494</v>
      </c>
      <c r="F721" t="s">
        <v>1751</v>
      </c>
      <c r="G721" t="b">
        <v>0</v>
      </c>
      <c r="H721" t="b">
        <v>0</v>
      </c>
      <c r="I721" t="s">
        <v>1050</v>
      </c>
      <c r="J721">
        <v>85</v>
      </c>
      <c r="K721" t="s">
        <v>1</v>
      </c>
      <c r="L721" t="s">
        <v>1547</v>
      </c>
      <c r="M721" t="s">
        <v>1548</v>
      </c>
      <c r="N721" t="s">
        <v>1548</v>
      </c>
      <c r="O721" t="s">
        <v>1548</v>
      </c>
      <c r="P721" t="s">
        <v>1752</v>
      </c>
    </row>
    <row r="722" spans="1:16" x14ac:dyDescent="0.25">
      <c r="A722" t="s">
        <v>2183</v>
      </c>
      <c r="B722" t="s">
        <v>2138</v>
      </c>
      <c r="C722" t="s">
        <v>1750</v>
      </c>
      <c r="D722" t="s">
        <v>1027</v>
      </c>
      <c r="E722">
        <v>1494</v>
      </c>
      <c r="F722" t="s">
        <v>1751</v>
      </c>
      <c r="G722" t="b">
        <v>0</v>
      </c>
      <c r="H722" t="b">
        <v>0</v>
      </c>
      <c r="I722" t="s">
        <v>1050</v>
      </c>
      <c r="J722">
        <v>85</v>
      </c>
      <c r="K722" t="s">
        <v>1</v>
      </c>
      <c r="L722" t="s">
        <v>1547</v>
      </c>
      <c r="M722" t="s">
        <v>1548</v>
      </c>
      <c r="N722" t="s">
        <v>1548</v>
      </c>
      <c r="O722" t="s">
        <v>1548</v>
      </c>
      <c r="P722" t="s">
        <v>1752</v>
      </c>
    </row>
    <row r="723" spans="1:16" x14ac:dyDescent="0.25">
      <c r="A723" t="s">
        <v>2184</v>
      </c>
      <c r="B723" t="s">
        <v>2138</v>
      </c>
      <c r="C723" t="s">
        <v>1750</v>
      </c>
      <c r="D723" t="s">
        <v>1027</v>
      </c>
      <c r="E723">
        <v>1494</v>
      </c>
      <c r="F723" t="s">
        <v>1751</v>
      </c>
      <c r="G723" t="b">
        <v>0</v>
      </c>
      <c r="H723" t="b">
        <v>0</v>
      </c>
      <c r="I723" t="s">
        <v>1050</v>
      </c>
      <c r="J723">
        <v>85</v>
      </c>
      <c r="K723" t="s">
        <v>1</v>
      </c>
      <c r="L723" t="s">
        <v>1547</v>
      </c>
      <c r="M723" t="s">
        <v>1548</v>
      </c>
      <c r="N723" t="s">
        <v>1548</v>
      </c>
      <c r="O723" t="s">
        <v>1548</v>
      </c>
      <c r="P723" t="s">
        <v>1752</v>
      </c>
    </row>
    <row r="724" spans="1:16" x14ac:dyDescent="0.25">
      <c r="A724" t="s">
        <v>2185</v>
      </c>
      <c r="B724" t="s">
        <v>2138</v>
      </c>
      <c r="C724" t="s">
        <v>1750</v>
      </c>
      <c r="D724" t="s">
        <v>1027</v>
      </c>
      <c r="E724">
        <v>1494</v>
      </c>
      <c r="F724" t="s">
        <v>1751</v>
      </c>
      <c r="G724" t="b">
        <v>0</v>
      </c>
      <c r="H724" t="b">
        <v>0</v>
      </c>
      <c r="I724" t="s">
        <v>1050</v>
      </c>
      <c r="J724">
        <v>85</v>
      </c>
      <c r="K724" t="s">
        <v>1</v>
      </c>
      <c r="L724" t="s">
        <v>1547</v>
      </c>
      <c r="M724" t="s">
        <v>1548</v>
      </c>
      <c r="N724" t="s">
        <v>1548</v>
      </c>
      <c r="O724" t="s">
        <v>1548</v>
      </c>
      <c r="P724" t="s">
        <v>1752</v>
      </c>
    </row>
    <row r="725" spans="1:16" x14ac:dyDescent="0.25">
      <c r="A725" t="s">
        <v>2186</v>
      </c>
      <c r="B725" t="s">
        <v>2138</v>
      </c>
      <c r="C725" t="s">
        <v>1750</v>
      </c>
      <c r="D725" t="s">
        <v>1027</v>
      </c>
      <c r="E725">
        <v>1494</v>
      </c>
      <c r="F725" t="s">
        <v>1751</v>
      </c>
      <c r="G725" t="b">
        <v>0</v>
      </c>
      <c r="H725" t="b">
        <v>0</v>
      </c>
      <c r="I725" t="s">
        <v>1050</v>
      </c>
      <c r="J725">
        <v>85</v>
      </c>
      <c r="K725" t="s">
        <v>1</v>
      </c>
      <c r="L725" t="s">
        <v>1547</v>
      </c>
      <c r="M725" t="s">
        <v>1548</v>
      </c>
      <c r="N725" t="s">
        <v>1548</v>
      </c>
      <c r="O725" t="s">
        <v>1548</v>
      </c>
      <c r="P725" t="s">
        <v>1752</v>
      </c>
    </row>
    <row r="726" spans="1:16" x14ac:dyDescent="0.25">
      <c r="A726" t="s">
        <v>2187</v>
      </c>
      <c r="B726" t="s">
        <v>2138</v>
      </c>
      <c r="C726" t="s">
        <v>1750</v>
      </c>
      <c r="D726" t="s">
        <v>1027</v>
      </c>
      <c r="E726">
        <v>1494</v>
      </c>
      <c r="F726" t="s">
        <v>1751</v>
      </c>
      <c r="G726" t="b">
        <v>0</v>
      </c>
      <c r="H726" t="b">
        <v>0</v>
      </c>
      <c r="I726" t="s">
        <v>1050</v>
      </c>
      <c r="J726">
        <v>85</v>
      </c>
      <c r="K726" t="s">
        <v>1</v>
      </c>
      <c r="L726" t="s">
        <v>1547</v>
      </c>
      <c r="M726" t="s">
        <v>1548</v>
      </c>
      <c r="N726" t="s">
        <v>1548</v>
      </c>
      <c r="O726" t="s">
        <v>1548</v>
      </c>
      <c r="P726" t="s">
        <v>1752</v>
      </c>
    </row>
    <row r="727" spans="1:16" x14ac:dyDescent="0.25">
      <c r="A727" t="s">
        <v>2188</v>
      </c>
      <c r="B727" t="s">
        <v>2138</v>
      </c>
      <c r="C727" t="s">
        <v>1750</v>
      </c>
      <c r="D727" t="s">
        <v>1027</v>
      </c>
      <c r="E727">
        <v>1494</v>
      </c>
      <c r="F727" t="s">
        <v>1751</v>
      </c>
      <c r="G727" t="b">
        <v>0</v>
      </c>
      <c r="H727" t="b">
        <v>0</v>
      </c>
      <c r="I727" t="s">
        <v>1050</v>
      </c>
      <c r="J727">
        <v>85</v>
      </c>
      <c r="K727" t="s">
        <v>1</v>
      </c>
      <c r="L727" t="s">
        <v>1547</v>
      </c>
      <c r="M727" t="s">
        <v>1548</v>
      </c>
      <c r="N727" t="s">
        <v>1548</v>
      </c>
      <c r="O727" t="s">
        <v>1548</v>
      </c>
      <c r="P727" t="s">
        <v>1752</v>
      </c>
    </row>
    <row r="728" spans="1:16" x14ac:dyDescent="0.25">
      <c r="A728" t="s">
        <v>2189</v>
      </c>
      <c r="B728" t="s">
        <v>2138</v>
      </c>
      <c r="C728" t="s">
        <v>1750</v>
      </c>
      <c r="D728" t="s">
        <v>1027</v>
      </c>
      <c r="E728">
        <v>1494</v>
      </c>
      <c r="F728" t="s">
        <v>1751</v>
      </c>
      <c r="G728" t="b">
        <v>0</v>
      </c>
      <c r="H728" t="b">
        <v>0</v>
      </c>
      <c r="I728" t="s">
        <v>1050</v>
      </c>
      <c r="J728">
        <v>85</v>
      </c>
      <c r="K728" t="s">
        <v>1</v>
      </c>
      <c r="L728" t="s">
        <v>1547</v>
      </c>
      <c r="M728" t="s">
        <v>1548</v>
      </c>
      <c r="N728" t="s">
        <v>1548</v>
      </c>
      <c r="O728" t="s">
        <v>1548</v>
      </c>
      <c r="P728" t="s">
        <v>1752</v>
      </c>
    </row>
    <row r="729" spans="1:16" x14ac:dyDescent="0.25">
      <c r="A729" t="s">
        <v>2190</v>
      </c>
      <c r="B729" t="s">
        <v>2138</v>
      </c>
      <c r="C729" t="s">
        <v>1750</v>
      </c>
      <c r="D729" t="s">
        <v>1027</v>
      </c>
      <c r="E729">
        <v>1494</v>
      </c>
      <c r="F729" t="s">
        <v>1751</v>
      </c>
      <c r="G729" t="b">
        <v>0</v>
      </c>
      <c r="H729" t="b">
        <v>0</v>
      </c>
      <c r="I729" t="s">
        <v>1050</v>
      </c>
      <c r="J729">
        <v>85</v>
      </c>
      <c r="K729" t="s">
        <v>1</v>
      </c>
      <c r="L729" t="s">
        <v>1547</v>
      </c>
      <c r="M729" t="s">
        <v>1548</v>
      </c>
      <c r="N729" t="s">
        <v>1548</v>
      </c>
      <c r="O729" t="s">
        <v>1548</v>
      </c>
      <c r="P729" t="s">
        <v>1752</v>
      </c>
    </row>
    <row r="730" spans="1:16" x14ac:dyDescent="0.25">
      <c r="A730" t="s">
        <v>2191</v>
      </c>
      <c r="B730" t="s">
        <v>2138</v>
      </c>
      <c r="C730" t="s">
        <v>1750</v>
      </c>
      <c r="D730" t="s">
        <v>1027</v>
      </c>
      <c r="E730">
        <v>1494</v>
      </c>
      <c r="F730" t="s">
        <v>1751</v>
      </c>
      <c r="G730" t="b">
        <v>0</v>
      </c>
      <c r="H730" t="b">
        <v>0</v>
      </c>
      <c r="I730" t="s">
        <v>1050</v>
      </c>
      <c r="J730">
        <v>85</v>
      </c>
      <c r="K730" t="s">
        <v>1</v>
      </c>
      <c r="L730" t="s">
        <v>1547</v>
      </c>
      <c r="M730" t="s">
        <v>1548</v>
      </c>
      <c r="N730" t="s">
        <v>1548</v>
      </c>
      <c r="O730" t="s">
        <v>1548</v>
      </c>
      <c r="P730" t="s">
        <v>1752</v>
      </c>
    </row>
    <row r="731" spans="1:16" x14ac:dyDescent="0.25">
      <c r="A731" t="s">
        <v>2192</v>
      </c>
      <c r="B731" t="s">
        <v>2138</v>
      </c>
      <c r="C731" t="s">
        <v>1750</v>
      </c>
      <c r="D731" t="s">
        <v>1027</v>
      </c>
      <c r="E731">
        <v>1494</v>
      </c>
      <c r="F731" t="s">
        <v>1751</v>
      </c>
      <c r="G731" t="b">
        <v>0</v>
      </c>
      <c r="H731" t="b">
        <v>0</v>
      </c>
      <c r="I731" t="s">
        <v>1050</v>
      </c>
      <c r="J731">
        <v>85</v>
      </c>
      <c r="K731" t="s">
        <v>1</v>
      </c>
      <c r="L731" t="s">
        <v>1547</v>
      </c>
      <c r="M731" t="s">
        <v>1548</v>
      </c>
      <c r="N731" t="s">
        <v>1548</v>
      </c>
      <c r="O731" t="s">
        <v>1548</v>
      </c>
      <c r="P731" t="s">
        <v>1752</v>
      </c>
    </row>
    <row r="732" spans="1:16" x14ac:dyDescent="0.25">
      <c r="A732" t="s">
        <v>2193</v>
      </c>
      <c r="B732" t="s">
        <v>2138</v>
      </c>
      <c r="C732" t="s">
        <v>1750</v>
      </c>
      <c r="D732" t="s">
        <v>1027</v>
      </c>
      <c r="E732">
        <v>1494</v>
      </c>
      <c r="F732" t="s">
        <v>1751</v>
      </c>
      <c r="G732" t="b">
        <v>0</v>
      </c>
      <c r="H732" t="b">
        <v>0</v>
      </c>
      <c r="I732" t="s">
        <v>1050</v>
      </c>
      <c r="J732">
        <v>85</v>
      </c>
      <c r="K732" t="s">
        <v>1</v>
      </c>
      <c r="L732" t="s">
        <v>1547</v>
      </c>
      <c r="M732" t="s">
        <v>1548</v>
      </c>
      <c r="N732" t="s">
        <v>1548</v>
      </c>
      <c r="O732" t="s">
        <v>1548</v>
      </c>
      <c r="P732" t="s">
        <v>1752</v>
      </c>
    </row>
    <row r="733" spans="1:16" x14ac:dyDescent="0.25">
      <c r="A733" t="s">
        <v>2194</v>
      </c>
      <c r="B733" t="s">
        <v>2138</v>
      </c>
      <c r="C733" t="s">
        <v>1750</v>
      </c>
      <c r="D733" t="s">
        <v>1027</v>
      </c>
      <c r="E733">
        <v>1494</v>
      </c>
      <c r="F733" t="s">
        <v>1751</v>
      </c>
      <c r="G733" t="b">
        <v>0</v>
      </c>
      <c r="H733" t="b">
        <v>0</v>
      </c>
      <c r="I733" t="s">
        <v>1050</v>
      </c>
      <c r="J733">
        <v>85</v>
      </c>
      <c r="K733" t="s">
        <v>1</v>
      </c>
      <c r="L733" t="s">
        <v>1547</v>
      </c>
      <c r="M733" t="s">
        <v>1548</v>
      </c>
      <c r="N733" t="s">
        <v>1548</v>
      </c>
      <c r="O733" t="s">
        <v>1548</v>
      </c>
      <c r="P733" t="s">
        <v>1752</v>
      </c>
    </row>
    <row r="734" spans="1:16" x14ac:dyDescent="0.25">
      <c r="A734" t="s">
        <v>2195</v>
      </c>
      <c r="B734" t="s">
        <v>2138</v>
      </c>
      <c r="C734" t="s">
        <v>1750</v>
      </c>
      <c r="D734" t="s">
        <v>1027</v>
      </c>
      <c r="E734">
        <v>1494</v>
      </c>
      <c r="F734" t="s">
        <v>1751</v>
      </c>
      <c r="G734" t="b">
        <v>0</v>
      </c>
      <c r="H734" t="b">
        <v>0</v>
      </c>
      <c r="I734" t="s">
        <v>1050</v>
      </c>
      <c r="J734">
        <v>85</v>
      </c>
      <c r="K734" t="s">
        <v>1</v>
      </c>
      <c r="L734" t="s">
        <v>1547</v>
      </c>
      <c r="M734" t="s">
        <v>1548</v>
      </c>
      <c r="N734" t="s">
        <v>1548</v>
      </c>
      <c r="O734" t="s">
        <v>1548</v>
      </c>
      <c r="P734" t="s">
        <v>1752</v>
      </c>
    </row>
    <row r="735" spans="1:16" x14ac:dyDescent="0.25">
      <c r="A735" t="s">
        <v>2196</v>
      </c>
      <c r="B735" t="s">
        <v>2138</v>
      </c>
      <c r="C735" t="s">
        <v>1750</v>
      </c>
      <c r="D735" t="s">
        <v>1027</v>
      </c>
      <c r="E735">
        <v>1494</v>
      </c>
      <c r="F735" t="s">
        <v>1751</v>
      </c>
      <c r="G735" t="b">
        <v>0</v>
      </c>
      <c r="H735" t="b">
        <v>0</v>
      </c>
      <c r="I735" t="s">
        <v>1050</v>
      </c>
      <c r="J735">
        <v>85</v>
      </c>
      <c r="K735" t="s">
        <v>1</v>
      </c>
      <c r="L735" t="s">
        <v>1547</v>
      </c>
      <c r="M735" t="s">
        <v>1548</v>
      </c>
      <c r="N735" t="s">
        <v>1548</v>
      </c>
      <c r="O735" t="s">
        <v>1548</v>
      </c>
      <c r="P735" t="s">
        <v>1752</v>
      </c>
    </row>
    <row r="736" spans="1:16" x14ac:dyDescent="0.25">
      <c r="A736" t="s">
        <v>2197</v>
      </c>
      <c r="B736" t="s">
        <v>2138</v>
      </c>
      <c r="C736" t="s">
        <v>1750</v>
      </c>
      <c r="D736" t="s">
        <v>1027</v>
      </c>
      <c r="E736">
        <v>1494</v>
      </c>
      <c r="F736" t="s">
        <v>1751</v>
      </c>
      <c r="G736" t="b">
        <v>0</v>
      </c>
      <c r="H736" t="b">
        <v>0</v>
      </c>
      <c r="I736" t="s">
        <v>1050</v>
      </c>
      <c r="J736">
        <v>85</v>
      </c>
      <c r="K736" t="s">
        <v>1</v>
      </c>
      <c r="L736" t="s">
        <v>1547</v>
      </c>
      <c r="M736" t="s">
        <v>1548</v>
      </c>
      <c r="N736" t="s">
        <v>1548</v>
      </c>
      <c r="O736" t="s">
        <v>1548</v>
      </c>
      <c r="P736" t="s">
        <v>1752</v>
      </c>
    </row>
    <row r="737" spans="1:16" x14ac:dyDescent="0.25">
      <c r="A737" t="s">
        <v>2198</v>
      </c>
      <c r="B737" t="s">
        <v>2138</v>
      </c>
      <c r="C737" t="s">
        <v>1750</v>
      </c>
      <c r="D737" t="s">
        <v>1027</v>
      </c>
      <c r="E737">
        <v>1494</v>
      </c>
      <c r="F737" t="s">
        <v>1751</v>
      </c>
      <c r="G737" t="b">
        <v>0</v>
      </c>
      <c r="H737" t="b">
        <v>0</v>
      </c>
      <c r="I737" t="s">
        <v>1050</v>
      </c>
      <c r="J737">
        <v>85</v>
      </c>
      <c r="K737" t="s">
        <v>1</v>
      </c>
      <c r="L737" t="s">
        <v>1547</v>
      </c>
      <c r="M737" t="s">
        <v>1548</v>
      </c>
      <c r="N737" t="s">
        <v>1548</v>
      </c>
      <c r="O737" t="s">
        <v>1548</v>
      </c>
      <c r="P737" t="s">
        <v>1752</v>
      </c>
    </row>
    <row r="738" spans="1:16" x14ac:dyDescent="0.25">
      <c r="A738" t="s">
        <v>2199</v>
      </c>
      <c r="B738" t="s">
        <v>2138</v>
      </c>
      <c r="C738" t="s">
        <v>1750</v>
      </c>
      <c r="D738" t="s">
        <v>1027</v>
      </c>
      <c r="E738">
        <v>1494</v>
      </c>
      <c r="F738" t="s">
        <v>1751</v>
      </c>
      <c r="G738" t="b">
        <v>0</v>
      </c>
      <c r="H738" t="b">
        <v>0</v>
      </c>
      <c r="I738" t="s">
        <v>1050</v>
      </c>
      <c r="J738">
        <v>85</v>
      </c>
      <c r="K738" t="s">
        <v>1</v>
      </c>
      <c r="L738" t="s">
        <v>1547</v>
      </c>
      <c r="M738" t="s">
        <v>1548</v>
      </c>
      <c r="N738" t="s">
        <v>1548</v>
      </c>
      <c r="O738" t="s">
        <v>1548</v>
      </c>
      <c r="P738" t="s">
        <v>1752</v>
      </c>
    </row>
    <row r="739" spans="1:16" x14ac:dyDescent="0.25">
      <c r="A739" t="s">
        <v>2200</v>
      </c>
      <c r="B739" t="s">
        <v>2138</v>
      </c>
      <c r="C739" t="s">
        <v>1750</v>
      </c>
      <c r="D739" t="s">
        <v>1027</v>
      </c>
      <c r="E739">
        <v>1494</v>
      </c>
      <c r="F739" t="s">
        <v>1751</v>
      </c>
      <c r="G739" t="b">
        <v>0</v>
      </c>
      <c r="H739" t="b">
        <v>0</v>
      </c>
      <c r="I739" t="s">
        <v>1050</v>
      </c>
      <c r="J739">
        <v>85</v>
      </c>
      <c r="K739" t="s">
        <v>1</v>
      </c>
      <c r="L739" t="s">
        <v>1547</v>
      </c>
      <c r="M739" t="s">
        <v>1548</v>
      </c>
      <c r="N739" t="s">
        <v>1548</v>
      </c>
      <c r="O739" t="s">
        <v>1548</v>
      </c>
      <c r="P739" t="s">
        <v>1752</v>
      </c>
    </row>
    <row r="740" spans="1:16" x14ac:dyDescent="0.25">
      <c r="A740" t="s">
        <v>2201</v>
      </c>
      <c r="B740" t="s">
        <v>2138</v>
      </c>
      <c r="C740" t="s">
        <v>1750</v>
      </c>
      <c r="D740" t="s">
        <v>1027</v>
      </c>
      <c r="E740">
        <v>1494</v>
      </c>
      <c r="F740" t="s">
        <v>1751</v>
      </c>
      <c r="G740" t="b">
        <v>0</v>
      </c>
      <c r="H740" t="b">
        <v>0</v>
      </c>
      <c r="I740" t="s">
        <v>1050</v>
      </c>
      <c r="J740">
        <v>85</v>
      </c>
      <c r="K740" t="s">
        <v>1</v>
      </c>
      <c r="L740" t="s">
        <v>1547</v>
      </c>
      <c r="M740" t="s">
        <v>1548</v>
      </c>
      <c r="N740" t="s">
        <v>1548</v>
      </c>
      <c r="O740" t="s">
        <v>1548</v>
      </c>
      <c r="P740" t="s">
        <v>1752</v>
      </c>
    </row>
    <row r="741" spans="1:16" x14ac:dyDescent="0.25">
      <c r="A741" t="s">
        <v>2202</v>
      </c>
      <c r="B741" t="s">
        <v>2138</v>
      </c>
      <c r="C741" t="s">
        <v>1750</v>
      </c>
      <c r="D741" t="s">
        <v>1027</v>
      </c>
      <c r="E741">
        <v>1494</v>
      </c>
      <c r="F741" t="s">
        <v>1751</v>
      </c>
      <c r="G741" t="b">
        <v>0</v>
      </c>
      <c r="H741" t="b">
        <v>0</v>
      </c>
      <c r="I741" t="s">
        <v>1050</v>
      </c>
      <c r="J741">
        <v>85</v>
      </c>
      <c r="K741" t="s">
        <v>1</v>
      </c>
      <c r="L741" t="s">
        <v>1547</v>
      </c>
      <c r="M741" t="s">
        <v>1548</v>
      </c>
      <c r="N741" t="s">
        <v>1548</v>
      </c>
      <c r="O741" t="s">
        <v>1548</v>
      </c>
      <c r="P741" t="s">
        <v>1752</v>
      </c>
    </row>
    <row r="742" spans="1:16" x14ac:dyDescent="0.25">
      <c r="A742" t="s">
        <v>2203</v>
      </c>
      <c r="B742" t="s">
        <v>2138</v>
      </c>
      <c r="C742" t="s">
        <v>1750</v>
      </c>
      <c r="D742" t="s">
        <v>1027</v>
      </c>
      <c r="E742">
        <v>1494</v>
      </c>
      <c r="F742" t="s">
        <v>1751</v>
      </c>
      <c r="G742" t="b">
        <v>0</v>
      </c>
      <c r="H742" t="b">
        <v>0</v>
      </c>
      <c r="I742" t="s">
        <v>1050</v>
      </c>
      <c r="J742">
        <v>85</v>
      </c>
      <c r="K742" t="s">
        <v>1</v>
      </c>
      <c r="L742" t="s">
        <v>1547</v>
      </c>
      <c r="M742" t="s">
        <v>1548</v>
      </c>
      <c r="N742" t="s">
        <v>1548</v>
      </c>
      <c r="O742" t="s">
        <v>1548</v>
      </c>
      <c r="P742" t="s">
        <v>1752</v>
      </c>
    </row>
    <row r="743" spans="1:16" x14ac:dyDescent="0.25">
      <c r="A743" t="s">
        <v>2204</v>
      </c>
      <c r="B743" t="s">
        <v>2138</v>
      </c>
      <c r="C743" t="s">
        <v>1750</v>
      </c>
      <c r="D743" t="s">
        <v>1027</v>
      </c>
      <c r="E743">
        <v>1494</v>
      </c>
      <c r="F743" t="s">
        <v>1751</v>
      </c>
      <c r="G743" t="b">
        <v>0</v>
      </c>
      <c r="H743" t="b">
        <v>0</v>
      </c>
      <c r="I743" t="s">
        <v>1050</v>
      </c>
      <c r="J743">
        <v>85</v>
      </c>
      <c r="K743" t="s">
        <v>1</v>
      </c>
      <c r="L743" t="s">
        <v>1547</v>
      </c>
      <c r="M743" t="s">
        <v>1548</v>
      </c>
      <c r="N743" t="s">
        <v>1548</v>
      </c>
      <c r="O743" t="s">
        <v>1548</v>
      </c>
      <c r="P743" t="s">
        <v>1752</v>
      </c>
    </row>
    <row r="744" spans="1:16" x14ac:dyDescent="0.25">
      <c r="A744" t="s">
        <v>2205</v>
      </c>
      <c r="B744" t="s">
        <v>2138</v>
      </c>
      <c r="C744" t="s">
        <v>1750</v>
      </c>
      <c r="D744" t="s">
        <v>1027</v>
      </c>
      <c r="E744">
        <v>1494</v>
      </c>
      <c r="F744" t="s">
        <v>1751</v>
      </c>
      <c r="G744" t="b">
        <v>0</v>
      </c>
      <c r="H744" t="b">
        <v>0</v>
      </c>
      <c r="I744" t="s">
        <v>1050</v>
      </c>
      <c r="J744">
        <v>85</v>
      </c>
      <c r="K744" t="s">
        <v>1</v>
      </c>
      <c r="L744" t="s">
        <v>1547</v>
      </c>
      <c r="M744" t="s">
        <v>1548</v>
      </c>
      <c r="N744" t="s">
        <v>1548</v>
      </c>
      <c r="O744" t="s">
        <v>1548</v>
      </c>
      <c r="P744" t="s">
        <v>1752</v>
      </c>
    </row>
    <row r="745" spans="1:16" x14ac:dyDescent="0.25">
      <c r="A745" t="s">
        <v>2206</v>
      </c>
      <c r="B745" t="s">
        <v>2138</v>
      </c>
      <c r="C745" t="s">
        <v>1750</v>
      </c>
      <c r="D745" t="s">
        <v>1027</v>
      </c>
      <c r="E745">
        <v>1494</v>
      </c>
      <c r="F745" t="s">
        <v>1751</v>
      </c>
      <c r="G745" t="b">
        <v>0</v>
      </c>
      <c r="H745" t="b">
        <v>0</v>
      </c>
      <c r="I745" t="s">
        <v>1050</v>
      </c>
      <c r="J745">
        <v>85</v>
      </c>
      <c r="K745" t="s">
        <v>1</v>
      </c>
      <c r="L745" t="s">
        <v>1547</v>
      </c>
      <c r="M745" t="s">
        <v>1548</v>
      </c>
      <c r="N745" t="s">
        <v>1548</v>
      </c>
      <c r="O745" t="s">
        <v>1548</v>
      </c>
      <c r="P745" t="s">
        <v>1752</v>
      </c>
    </row>
    <row r="746" spans="1:16" x14ac:dyDescent="0.25">
      <c r="A746" t="s">
        <v>2207</v>
      </c>
      <c r="B746" t="s">
        <v>2138</v>
      </c>
      <c r="C746" t="s">
        <v>1750</v>
      </c>
      <c r="D746" t="s">
        <v>1027</v>
      </c>
      <c r="E746">
        <v>1494</v>
      </c>
      <c r="F746" t="s">
        <v>1751</v>
      </c>
      <c r="G746" t="b">
        <v>0</v>
      </c>
      <c r="H746" t="b">
        <v>0</v>
      </c>
      <c r="I746" t="s">
        <v>1050</v>
      </c>
      <c r="J746">
        <v>85</v>
      </c>
      <c r="K746" t="s">
        <v>1</v>
      </c>
      <c r="L746" t="s">
        <v>1547</v>
      </c>
      <c r="M746" t="s">
        <v>1548</v>
      </c>
      <c r="N746" t="s">
        <v>1548</v>
      </c>
      <c r="O746" t="s">
        <v>1548</v>
      </c>
      <c r="P746" t="s">
        <v>1752</v>
      </c>
    </row>
    <row r="747" spans="1:16" x14ac:dyDescent="0.25">
      <c r="A747" t="s">
        <v>2208</v>
      </c>
      <c r="B747" t="s">
        <v>2138</v>
      </c>
      <c r="C747" t="s">
        <v>1750</v>
      </c>
      <c r="D747" t="s">
        <v>1027</v>
      </c>
      <c r="E747">
        <v>1494</v>
      </c>
      <c r="F747" t="s">
        <v>1751</v>
      </c>
      <c r="G747" t="b">
        <v>0</v>
      </c>
      <c r="H747" t="b">
        <v>0</v>
      </c>
      <c r="I747" t="s">
        <v>1050</v>
      </c>
      <c r="J747">
        <v>85</v>
      </c>
      <c r="K747" t="s">
        <v>1</v>
      </c>
      <c r="L747" t="s">
        <v>1547</v>
      </c>
      <c r="M747" t="s">
        <v>1548</v>
      </c>
      <c r="N747" t="s">
        <v>1548</v>
      </c>
      <c r="O747" t="s">
        <v>1548</v>
      </c>
      <c r="P747" t="s">
        <v>1752</v>
      </c>
    </row>
    <row r="748" spans="1:16" x14ac:dyDescent="0.25">
      <c r="A748" t="s">
        <v>2209</v>
      </c>
      <c r="B748" t="s">
        <v>2138</v>
      </c>
      <c r="C748" t="s">
        <v>1750</v>
      </c>
      <c r="D748" t="s">
        <v>1027</v>
      </c>
      <c r="E748">
        <v>1494</v>
      </c>
      <c r="F748" t="s">
        <v>1751</v>
      </c>
      <c r="G748" t="b">
        <v>0</v>
      </c>
      <c r="H748" t="b">
        <v>0</v>
      </c>
      <c r="I748" t="s">
        <v>1050</v>
      </c>
      <c r="J748">
        <v>85</v>
      </c>
      <c r="K748" t="s">
        <v>1</v>
      </c>
      <c r="L748" t="s">
        <v>1547</v>
      </c>
      <c r="M748" t="s">
        <v>1548</v>
      </c>
      <c r="N748" t="s">
        <v>1548</v>
      </c>
      <c r="O748" t="s">
        <v>1548</v>
      </c>
      <c r="P748" t="s">
        <v>1752</v>
      </c>
    </row>
    <row r="749" spans="1:16" x14ac:dyDescent="0.25">
      <c r="A749" t="s">
        <v>2210</v>
      </c>
      <c r="B749" t="s">
        <v>2138</v>
      </c>
      <c r="C749" t="s">
        <v>1750</v>
      </c>
      <c r="D749" t="s">
        <v>1027</v>
      </c>
      <c r="E749">
        <v>1494</v>
      </c>
      <c r="F749" t="s">
        <v>1751</v>
      </c>
      <c r="G749" t="b">
        <v>0</v>
      </c>
      <c r="H749" t="b">
        <v>0</v>
      </c>
      <c r="I749" t="s">
        <v>1050</v>
      </c>
      <c r="J749">
        <v>85</v>
      </c>
      <c r="K749" t="s">
        <v>1</v>
      </c>
      <c r="L749" t="s">
        <v>1547</v>
      </c>
      <c r="M749" t="s">
        <v>1548</v>
      </c>
      <c r="N749" t="s">
        <v>1548</v>
      </c>
      <c r="O749" t="s">
        <v>1548</v>
      </c>
      <c r="P749" t="s">
        <v>1752</v>
      </c>
    </row>
    <row r="750" spans="1:16" x14ac:dyDescent="0.25">
      <c r="A750" t="s">
        <v>2211</v>
      </c>
      <c r="B750" t="s">
        <v>2138</v>
      </c>
      <c r="C750" t="s">
        <v>1750</v>
      </c>
      <c r="D750" t="s">
        <v>1027</v>
      </c>
      <c r="E750">
        <v>1494</v>
      </c>
      <c r="F750" t="s">
        <v>1751</v>
      </c>
      <c r="G750" t="b">
        <v>0</v>
      </c>
      <c r="H750" t="b">
        <v>0</v>
      </c>
      <c r="I750" t="s">
        <v>1050</v>
      </c>
      <c r="J750">
        <v>85</v>
      </c>
      <c r="K750" t="s">
        <v>1</v>
      </c>
      <c r="L750" t="s">
        <v>1547</v>
      </c>
      <c r="M750" t="s">
        <v>1548</v>
      </c>
      <c r="N750" t="s">
        <v>1548</v>
      </c>
      <c r="O750" t="s">
        <v>1548</v>
      </c>
      <c r="P750" t="s">
        <v>1752</v>
      </c>
    </row>
    <row r="751" spans="1:16" x14ac:dyDescent="0.25">
      <c r="A751" t="s">
        <v>2212</v>
      </c>
      <c r="B751" t="s">
        <v>2138</v>
      </c>
      <c r="C751" t="s">
        <v>1750</v>
      </c>
      <c r="D751" t="s">
        <v>1027</v>
      </c>
      <c r="E751">
        <v>1494</v>
      </c>
      <c r="F751" t="s">
        <v>1751</v>
      </c>
      <c r="G751" t="b">
        <v>0</v>
      </c>
      <c r="H751" t="b">
        <v>0</v>
      </c>
      <c r="I751" t="s">
        <v>1050</v>
      </c>
      <c r="J751">
        <v>85</v>
      </c>
      <c r="K751" t="s">
        <v>1</v>
      </c>
      <c r="L751" t="s">
        <v>1547</v>
      </c>
      <c r="M751" t="s">
        <v>1548</v>
      </c>
      <c r="N751" t="s">
        <v>1548</v>
      </c>
      <c r="O751" t="s">
        <v>1548</v>
      </c>
      <c r="P751" t="s">
        <v>1752</v>
      </c>
    </row>
    <row r="752" spans="1:16" x14ac:dyDescent="0.25">
      <c r="A752" t="s">
        <v>2213</v>
      </c>
      <c r="B752" t="s">
        <v>2138</v>
      </c>
      <c r="C752" t="s">
        <v>1750</v>
      </c>
      <c r="D752" t="s">
        <v>1027</v>
      </c>
      <c r="E752">
        <v>1494</v>
      </c>
      <c r="F752" t="s">
        <v>1751</v>
      </c>
      <c r="G752" t="b">
        <v>0</v>
      </c>
      <c r="H752" t="b">
        <v>0</v>
      </c>
      <c r="I752" t="s">
        <v>1050</v>
      </c>
      <c r="J752">
        <v>85</v>
      </c>
      <c r="K752" t="s">
        <v>1</v>
      </c>
      <c r="L752" t="s">
        <v>1547</v>
      </c>
      <c r="M752" t="s">
        <v>1548</v>
      </c>
      <c r="N752" t="s">
        <v>1548</v>
      </c>
      <c r="O752" t="s">
        <v>1548</v>
      </c>
      <c r="P752" t="s">
        <v>1752</v>
      </c>
    </row>
    <row r="753" spans="1:16" x14ac:dyDescent="0.25">
      <c r="A753" t="s">
        <v>2214</v>
      </c>
      <c r="B753" t="s">
        <v>2138</v>
      </c>
      <c r="C753" t="s">
        <v>1750</v>
      </c>
      <c r="D753" t="s">
        <v>1027</v>
      </c>
      <c r="E753">
        <v>1494</v>
      </c>
      <c r="F753" t="s">
        <v>1751</v>
      </c>
      <c r="G753" t="b">
        <v>0</v>
      </c>
      <c r="H753" t="b">
        <v>0</v>
      </c>
      <c r="I753" t="s">
        <v>1050</v>
      </c>
      <c r="J753">
        <v>85</v>
      </c>
      <c r="K753" t="s">
        <v>1</v>
      </c>
      <c r="L753" t="s">
        <v>1547</v>
      </c>
      <c r="M753" t="s">
        <v>1548</v>
      </c>
      <c r="N753" t="s">
        <v>1548</v>
      </c>
      <c r="O753" t="s">
        <v>1548</v>
      </c>
      <c r="P753" t="s">
        <v>1752</v>
      </c>
    </row>
    <row r="754" spans="1:16" x14ac:dyDescent="0.25">
      <c r="A754" t="s">
        <v>2215</v>
      </c>
      <c r="B754" t="s">
        <v>2138</v>
      </c>
      <c r="C754" t="s">
        <v>1750</v>
      </c>
      <c r="D754" t="s">
        <v>1027</v>
      </c>
      <c r="E754">
        <v>1494</v>
      </c>
      <c r="F754" t="s">
        <v>1751</v>
      </c>
      <c r="G754" t="b">
        <v>0</v>
      </c>
      <c r="H754" t="b">
        <v>0</v>
      </c>
      <c r="I754" t="s">
        <v>1050</v>
      </c>
      <c r="J754">
        <v>85</v>
      </c>
      <c r="K754" t="s">
        <v>1</v>
      </c>
      <c r="L754" t="s">
        <v>1547</v>
      </c>
      <c r="M754" t="s">
        <v>1548</v>
      </c>
      <c r="N754" t="s">
        <v>1548</v>
      </c>
      <c r="O754" t="s">
        <v>1548</v>
      </c>
      <c r="P754" t="s">
        <v>1752</v>
      </c>
    </row>
    <row r="755" spans="1:16" x14ac:dyDescent="0.25">
      <c r="A755" t="s">
        <v>2216</v>
      </c>
      <c r="B755" t="s">
        <v>2138</v>
      </c>
      <c r="C755" t="s">
        <v>1750</v>
      </c>
      <c r="D755" t="s">
        <v>1027</v>
      </c>
      <c r="E755">
        <v>1494</v>
      </c>
      <c r="F755" t="s">
        <v>1751</v>
      </c>
      <c r="G755" t="b">
        <v>0</v>
      </c>
      <c r="H755" t="b">
        <v>0</v>
      </c>
      <c r="I755" t="s">
        <v>1050</v>
      </c>
      <c r="J755">
        <v>85</v>
      </c>
      <c r="K755" t="s">
        <v>1</v>
      </c>
      <c r="L755" t="s">
        <v>1547</v>
      </c>
      <c r="M755" t="s">
        <v>1548</v>
      </c>
      <c r="N755" t="s">
        <v>1548</v>
      </c>
      <c r="O755" t="s">
        <v>1548</v>
      </c>
      <c r="P755" t="s">
        <v>1752</v>
      </c>
    </row>
    <row r="756" spans="1:16" x14ac:dyDescent="0.25">
      <c r="A756" t="s">
        <v>2217</v>
      </c>
      <c r="B756" t="s">
        <v>2138</v>
      </c>
      <c r="C756" t="s">
        <v>1750</v>
      </c>
      <c r="D756" t="s">
        <v>1027</v>
      </c>
      <c r="E756">
        <v>1494</v>
      </c>
      <c r="F756" t="s">
        <v>1751</v>
      </c>
      <c r="G756" t="b">
        <v>0</v>
      </c>
      <c r="H756" t="b">
        <v>0</v>
      </c>
      <c r="I756" t="s">
        <v>1050</v>
      </c>
      <c r="J756">
        <v>85</v>
      </c>
      <c r="K756" t="s">
        <v>1</v>
      </c>
      <c r="L756" t="s">
        <v>1547</v>
      </c>
      <c r="M756" t="s">
        <v>1548</v>
      </c>
      <c r="N756" t="s">
        <v>1548</v>
      </c>
      <c r="O756" t="s">
        <v>1548</v>
      </c>
      <c r="P756" t="s">
        <v>1752</v>
      </c>
    </row>
    <row r="757" spans="1:16" x14ac:dyDescent="0.25">
      <c r="A757" t="s">
        <v>2218</v>
      </c>
      <c r="B757" t="s">
        <v>2138</v>
      </c>
      <c r="C757" t="s">
        <v>1750</v>
      </c>
      <c r="D757" t="s">
        <v>1027</v>
      </c>
      <c r="E757">
        <v>1494</v>
      </c>
      <c r="F757" t="s">
        <v>1751</v>
      </c>
      <c r="G757" t="b">
        <v>0</v>
      </c>
      <c r="H757" t="b">
        <v>0</v>
      </c>
      <c r="I757" t="s">
        <v>1050</v>
      </c>
      <c r="J757">
        <v>85</v>
      </c>
      <c r="K757" t="s">
        <v>1</v>
      </c>
      <c r="L757" t="s">
        <v>1547</v>
      </c>
      <c r="M757" t="s">
        <v>1548</v>
      </c>
      <c r="N757" t="s">
        <v>1548</v>
      </c>
      <c r="O757" t="s">
        <v>1548</v>
      </c>
      <c r="P757" t="s">
        <v>1752</v>
      </c>
    </row>
    <row r="758" spans="1:16" x14ac:dyDescent="0.25">
      <c r="A758" t="s">
        <v>2219</v>
      </c>
      <c r="B758" t="s">
        <v>2138</v>
      </c>
      <c r="C758" t="s">
        <v>1750</v>
      </c>
      <c r="D758" t="s">
        <v>1027</v>
      </c>
      <c r="E758">
        <v>1494</v>
      </c>
      <c r="F758" t="s">
        <v>1751</v>
      </c>
      <c r="G758" t="b">
        <v>0</v>
      </c>
      <c r="H758" t="b">
        <v>0</v>
      </c>
      <c r="I758" t="s">
        <v>1050</v>
      </c>
      <c r="J758">
        <v>85</v>
      </c>
      <c r="K758" t="s">
        <v>1</v>
      </c>
      <c r="L758" t="s">
        <v>1547</v>
      </c>
      <c r="M758" t="s">
        <v>1548</v>
      </c>
      <c r="N758" t="s">
        <v>1548</v>
      </c>
      <c r="O758" t="s">
        <v>1548</v>
      </c>
      <c r="P758" t="s">
        <v>1752</v>
      </c>
    </row>
    <row r="759" spans="1:16" x14ac:dyDescent="0.25">
      <c r="A759" t="s">
        <v>2220</v>
      </c>
      <c r="B759" t="s">
        <v>2138</v>
      </c>
      <c r="C759" t="s">
        <v>1750</v>
      </c>
      <c r="D759" t="s">
        <v>1027</v>
      </c>
      <c r="E759">
        <v>1494</v>
      </c>
      <c r="F759" t="s">
        <v>1751</v>
      </c>
      <c r="G759" t="b">
        <v>0</v>
      </c>
      <c r="H759" t="b">
        <v>0</v>
      </c>
      <c r="I759" t="s">
        <v>1050</v>
      </c>
      <c r="J759">
        <v>85</v>
      </c>
      <c r="K759" t="s">
        <v>1</v>
      </c>
      <c r="L759" t="s">
        <v>1547</v>
      </c>
      <c r="M759" t="s">
        <v>1548</v>
      </c>
      <c r="N759" t="s">
        <v>1548</v>
      </c>
      <c r="O759" t="s">
        <v>1548</v>
      </c>
      <c r="P759" t="s">
        <v>1752</v>
      </c>
    </row>
    <row r="760" spans="1:16" x14ac:dyDescent="0.25">
      <c r="A760" t="s">
        <v>2221</v>
      </c>
      <c r="B760" t="s">
        <v>2138</v>
      </c>
      <c r="C760" t="s">
        <v>1750</v>
      </c>
      <c r="D760" t="s">
        <v>1027</v>
      </c>
      <c r="E760">
        <v>1494</v>
      </c>
      <c r="F760" t="s">
        <v>1751</v>
      </c>
      <c r="G760" t="b">
        <v>0</v>
      </c>
      <c r="H760" t="b">
        <v>0</v>
      </c>
      <c r="I760" t="s">
        <v>1050</v>
      </c>
      <c r="J760">
        <v>85</v>
      </c>
      <c r="K760" t="s">
        <v>1</v>
      </c>
      <c r="L760" t="s">
        <v>1547</v>
      </c>
      <c r="M760" t="s">
        <v>1548</v>
      </c>
      <c r="N760" t="s">
        <v>1548</v>
      </c>
      <c r="O760" t="s">
        <v>1548</v>
      </c>
      <c r="P760" t="s">
        <v>1752</v>
      </c>
    </row>
    <row r="761" spans="1:16" x14ac:dyDescent="0.25">
      <c r="A761" t="s">
        <v>2222</v>
      </c>
      <c r="B761" t="s">
        <v>2138</v>
      </c>
      <c r="C761" t="s">
        <v>1750</v>
      </c>
      <c r="D761" t="s">
        <v>1027</v>
      </c>
      <c r="E761">
        <v>1494</v>
      </c>
      <c r="F761" t="s">
        <v>1751</v>
      </c>
      <c r="G761" t="b">
        <v>0</v>
      </c>
      <c r="H761" t="b">
        <v>0</v>
      </c>
      <c r="I761" t="s">
        <v>1050</v>
      </c>
      <c r="J761">
        <v>85</v>
      </c>
      <c r="K761" t="s">
        <v>1</v>
      </c>
      <c r="L761" t="s">
        <v>1547</v>
      </c>
      <c r="M761" t="s">
        <v>1548</v>
      </c>
      <c r="N761" t="s">
        <v>1548</v>
      </c>
      <c r="O761" t="s">
        <v>1548</v>
      </c>
      <c r="P761" t="s">
        <v>1752</v>
      </c>
    </row>
    <row r="762" spans="1:16" x14ac:dyDescent="0.25">
      <c r="A762" t="s">
        <v>2223</v>
      </c>
      <c r="B762" t="s">
        <v>2138</v>
      </c>
      <c r="C762" t="s">
        <v>1750</v>
      </c>
      <c r="D762" t="s">
        <v>1027</v>
      </c>
      <c r="E762">
        <v>1494</v>
      </c>
      <c r="F762" t="s">
        <v>1751</v>
      </c>
      <c r="G762" t="b">
        <v>0</v>
      </c>
      <c r="H762" t="b">
        <v>0</v>
      </c>
      <c r="I762" t="s">
        <v>1050</v>
      </c>
      <c r="J762">
        <v>85</v>
      </c>
      <c r="K762" t="s">
        <v>1</v>
      </c>
      <c r="L762" t="s">
        <v>1547</v>
      </c>
      <c r="M762" t="s">
        <v>1548</v>
      </c>
      <c r="N762" t="s">
        <v>1548</v>
      </c>
      <c r="O762" t="s">
        <v>1548</v>
      </c>
      <c r="P762" t="s">
        <v>1752</v>
      </c>
    </row>
    <row r="763" spans="1:16" x14ac:dyDescent="0.25">
      <c r="A763" t="s">
        <v>2224</v>
      </c>
      <c r="B763" t="s">
        <v>2138</v>
      </c>
      <c r="C763" t="s">
        <v>1750</v>
      </c>
      <c r="D763" t="s">
        <v>1027</v>
      </c>
      <c r="E763">
        <v>1494</v>
      </c>
      <c r="F763" t="s">
        <v>1751</v>
      </c>
      <c r="G763" t="b">
        <v>0</v>
      </c>
      <c r="H763" t="b">
        <v>0</v>
      </c>
      <c r="I763" t="s">
        <v>1050</v>
      </c>
      <c r="J763">
        <v>85</v>
      </c>
      <c r="K763" t="s">
        <v>1</v>
      </c>
      <c r="L763" t="s">
        <v>1547</v>
      </c>
      <c r="M763" t="s">
        <v>1548</v>
      </c>
      <c r="N763" t="s">
        <v>1548</v>
      </c>
      <c r="O763" t="s">
        <v>1548</v>
      </c>
      <c r="P763" t="s">
        <v>1752</v>
      </c>
    </row>
    <row r="764" spans="1:16" x14ac:dyDescent="0.25">
      <c r="A764" t="s">
        <v>2225</v>
      </c>
      <c r="B764" t="s">
        <v>2138</v>
      </c>
      <c r="C764" t="s">
        <v>1750</v>
      </c>
      <c r="D764" t="s">
        <v>1027</v>
      </c>
      <c r="E764">
        <v>1494</v>
      </c>
      <c r="F764" t="s">
        <v>1751</v>
      </c>
      <c r="G764" t="b">
        <v>0</v>
      </c>
      <c r="H764" t="b">
        <v>0</v>
      </c>
      <c r="I764" t="s">
        <v>1050</v>
      </c>
      <c r="J764">
        <v>85</v>
      </c>
      <c r="K764" t="s">
        <v>1</v>
      </c>
      <c r="L764" t="s">
        <v>1547</v>
      </c>
      <c r="M764" t="s">
        <v>1548</v>
      </c>
      <c r="N764" t="s">
        <v>1548</v>
      </c>
      <c r="O764" t="s">
        <v>1548</v>
      </c>
      <c r="P764" t="s">
        <v>1752</v>
      </c>
    </row>
    <row r="765" spans="1:16" x14ac:dyDescent="0.25">
      <c r="A765" t="s">
        <v>2226</v>
      </c>
      <c r="B765" t="s">
        <v>2138</v>
      </c>
      <c r="C765" t="s">
        <v>1750</v>
      </c>
      <c r="D765" t="s">
        <v>1027</v>
      </c>
      <c r="E765">
        <v>1494</v>
      </c>
      <c r="F765" t="s">
        <v>1751</v>
      </c>
      <c r="G765" t="b">
        <v>0</v>
      </c>
      <c r="H765" t="b">
        <v>0</v>
      </c>
      <c r="I765" t="s">
        <v>1050</v>
      </c>
      <c r="J765">
        <v>85</v>
      </c>
      <c r="K765" t="s">
        <v>1</v>
      </c>
      <c r="L765" t="s">
        <v>1547</v>
      </c>
      <c r="M765" t="s">
        <v>1548</v>
      </c>
      <c r="N765" t="s">
        <v>1548</v>
      </c>
      <c r="O765" t="s">
        <v>1548</v>
      </c>
      <c r="P765" t="s">
        <v>1752</v>
      </c>
    </row>
    <row r="766" spans="1:16" x14ac:dyDescent="0.25">
      <c r="A766" t="s">
        <v>2227</v>
      </c>
      <c r="B766" t="s">
        <v>2138</v>
      </c>
      <c r="C766" t="s">
        <v>1750</v>
      </c>
      <c r="D766" t="s">
        <v>1027</v>
      </c>
      <c r="E766">
        <v>1494</v>
      </c>
      <c r="F766" t="s">
        <v>1751</v>
      </c>
      <c r="G766" t="b">
        <v>0</v>
      </c>
      <c r="H766" t="b">
        <v>0</v>
      </c>
      <c r="I766" t="s">
        <v>1050</v>
      </c>
      <c r="J766">
        <v>85</v>
      </c>
      <c r="K766" t="s">
        <v>1</v>
      </c>
      <c r="L766" t="s">
        <v>1547</v>
      </c>
      <c r="M766" t="s">
        <v>1548</v>
      </c>
      <c r="N766" t="s">
        <v>1548</v>
      </c>
      <c r="O766" t="s">
        <v>1548</v>
      </c>
      <c r="P766" t="s">
        <v>1752</v>
      </c>
    </row>
    <row r="767" spans="1:16" x14ac:dyDescent="0.25">
      <c r="A767" t="s">
        <v>2228</v>
      </c>
      <c r="B767" t="s">
        <v>2138</v>
      </c>
      <c r="C767" t="s">
        <v>1750</v>
      </c>
      <c r="D767" t="s">
        <v>1027</v>
      </c>
      <c r="E767">
        <v>1494</v>
      </c>
      <c r="F767" t="s">
        <v>1751</v>
      </c>
      <c r="G767" t="b">
        <v>0</v>
      </c>
      <c r="H767" t="b">
        <v>0</v>
      </c>
      <c r="I767" t="s">
        <v>1050</v>
      </c>
      <c r="J767">
        <v>85</v>
      </c>
      <c r="K767" t="s">
        <v>1</v>
      </c>
      <c r="L767" t="s">
        <v>1547</v>
      </c>
      <c r="M767" t="s">
        <v>1548</v>
      </c>
      <c r="N767" t="s">
        <v>1548</v>
      </c>
      <c r="O767" t="s">
        <v>1548</v>
      </c>
      <c r="P767" t="s">
        <v>1752</v>
      </c>
    </row>
    <row r="768" spans="1:16" x14ac:dyDescent="0.25">
      <c r="A768" t="s">
        <v>2229</v>
      </c>
      <c r="B768" t="s">
        <v>2138</v>
      </c>
      <c r="C768" t="s">
        <v>1750</v>
      </c>
      <c r="D768" t="s">
        <v>1027</v>
      </c>
      <c r="E768">
        <v>1494</v>
      </c>
      <c r="F768" t="s">
        <v>1751</v>
      </c>
      <c r="G768" t="b">
        <v>0</v>
      </c>
      <c r="H768" t="b">
        <v>0</v>
      </c>
      <c r="I768" t="s">
        <v>1050</v>
      </c>
      <c r="J768">
        <v>85</v>
      </c>
      <c r="K768" t="s">
        <v>1</v>
      </c>
      <c r="L768" t="s">
        <v>1547</v>
      </c>
      <c r="M768" t="s">
        <v>1548</v>
      </c>
      <c r="N768" t="s">
        <v>1548</v>
      </c>
      <c r="O768" t="s">
        <v>1548</v>
      </c>
      <c r="P768" t="s">
        <v>1752</v>
      </c>
    </row>
    <row r="769" spans="1:16" x14ac:dyDescent="0.25">
      <c r="A769" t="s">
        <v>2230</v>
      </c>
      <c r="B769" t="s">
        <v>2138</v>
      </c>
      <c r="C769" t="s">
        <v>1750</v>
      </c>
      <c r="D769" t="s">
        <v>1027</v>
      </c>
      <c r="E769">
        <v>1494</v>
      </c>
      <c r="F769" t="s">
        <v>1751</v>
      </c>
      <c r="G769" t="b">
        <v>0</v>
      </c>
      <c r="H769" t="b">
        <v>0</v>
      </c>
      <c r="I769" t="s">
        <v>1050</v>
      </c>
      <c r="J769">
        <v>85</v>
      </c>
      <c r="K769" t="s">
        <v>1</v>
      </c>
      <c r="L769" t="s">
        <v>1547</v>
      </c>
      <c r="M769" t="s">
        <v>1548</v>
      </c>
      <c r="N769" t="s">
        <v>1548</v>
      </c>
      <c r="O769" t="s">
        <v>1548</v>
      </c>
      <c r="P769" t="s">
        <v>1752</v>
      </c>
    </row>
    <row r="770" spans="1:16" x14ac:dyDescent="0.25">
      <c r="A770" t="s">
        <v>2231</v>
      </c>
      <c r="B770" t="s">
        <v>2138</v>
      </c>
      <c r="C770" t="s">
        <v>1750</v>
      </c>
      <c r="D770" t="s">
        <v>1027</v>
      </c>
      <c r="E770">
        <v>1494</v>
      </c>
      <c r="F770" t="s">
        <v>1751</v>
      </c>
      <c r="G770" t="b">
        <v>0</v>
      </c>
      <c r="H770" t="b">
        <v>0</v>
      </c>
      <c r="I770" t="s">
        <v>1050</v>
      </c>
      <c r="J770">
        <v>85</v>
      </c>
      <c r="K770" t="s">
        <v>1</v>
      </c>
      <c r="L770" t="s">
        <v>1547</v>
      </c>
      <c r="M770" t="s">
        <v>1548</v>
      </c>
      <c r="N770" t="s">
        <v>1548</v>
      </c>
      <c r="O770" t="s">
        <v>1548</v>
      </c>
      <c r="P770" t="s">
        <v>1752</v>
      </c>
    </row>
    <row r="771" spans="1:16" x14ac:dyDescent="0.25">
      <c r="A771" t="s">
        <v>2232</v>
      </c>
      <c r="B771" t="s">
        <v>2138</v>
      </c>
      <c r="C771" t="s">
        <v>1750</v>
      </c>
      <c r="D771" t="s">
        <v>1027</v>
      </c>
      <c r="E771">
        <v>1494</v>
      </c>
      <c r="F771" t="s">
        <v>1751</v>
      </c>
      <c r="G771" t="b">
        <v>0</v>
      </c>
      <c r="H771" t="b">
        <v>0</v>
      </c>
      <c r="I771" t="s">
        <v>1050</v>
      </c>
      <c r="J771">
        <v>85</v>
      </c>
      <c r="K771" t="s">
        <v>1</v>
      </c>
      <c r="L771" t="s">
        <v>1547</v>
      </c>
      <c r="M771" t="s">
        <v>1548</v>
      </c>
      <c r="N771" t="s">
        <v>1548</v>
      </c>
      <c r="O771" t="s">
        <v>1548</v>
      </c>
      <c r="P771" t="s">
        <v>1752</v>
      </c>
    </row>
    <row r="772" spans="1:16" x14ac:dyDescent="0.25">
      <c r="A772" t="s">
        <v>2233</v>
      </c>
      <c r="B772" t="s">
        <v>2138</v>
      </c>
      <c r="C772" t="s">
        <v>1750</v>
      </c>
      <c r="D772" t="s">
        <v>1027</v>
      </c>
      <c r="E772">
        <v>1494</v>
      </c>
      <c r="F772" t="s">
        <v>1751</v>
      </c>
      <c r="G772" t="b">
        <v>0</v>
      </c>
      <c r="H772" t="b">
        <v>0</v>
      </c>
      <c r="I772" t="s">
        <v>1050</v>
      </c>
      <c r="J772">
        <v>85</v>
      </c>
      <c r="K772" t="s">
        <v>1</v>
      </c>
      <c r="L772" t="s">
        <v>1547</v>
      </c>
      <c r="M772" t="s">
        <v>1548</v>
      </c>
      <c r="N772" t="s">
        <v>1548</v>
      </c>
      <c r="O772" t="s">
        <v>1548</v>
      </c>
      <c r="P772" t="s">
        <v>1752</v>
      </c>
    </row>
    <row r="773" spans="1:16" x14ac:dyDescent="0.25">
      <c r="A773" t="s">
        <v>2234</v>
      </c>
      <c r="B773" t="s">
        <v>2138</v>
      </c>
      <c r="C773" t="s">
        <v>1750</v>
      </c>
      <c r="D773" t="s">
        <v>1027</v>
      </c>
      <c r="E773">
        <v>1494</v>
      </c>
      <c r="F773" t="s">
        <v>1751</v>
      </c>
      <c r="G773" t="b">
        <v>0</v>
      </c>
      <c r="H773" t="b">
        <v>0</v>
      </c>
      <c r="I773" t="s">
        <v>1050</v>
      </c>
      <c r="J773">
        <v>85</v>
      </c>
      <c r="K773" t="s">
        <v>1</v>
      </c>
      <c r="L773" t="s">
        <v>1547</v>
      </c>
      <c r="M773" t="s">
        <v>1548</v>
      </c>
      <c r="N773" t="s">
        <v>1548</v>
      </c>
      <c r="O773" t="s">
        <v>1548</v>
      </c>
      <c r="P773" t="s">
        <v>1752</v>
      </c>
    </row>
    <row r="774" spans="1:16" x14ac:dyDescent="0.25">
      <c r="A774" t="s">
        <v>2235</v>
      </c>
      <c r="B774" t="s">
        <v>2138</v>
      </c>
      <c r="C774" t="s">
        <v>1750</v>
      </c>
      <c r="D774" t="s">
        <v>1027</v>
      </c>
      <c r="E774">
        <v>1494</v>
      </c>
      <c r="F774" t="s">
        <v>1751</v>
      </c>
      <c r="G774" t="b">
        <v>0</v>
      </c>
      <c r="H774" t="b">
        <v>0</v>
      </c>
      <c r="I774" t="s">
        <v>1050</v>
      </c>
      <c r="J774">
        <v>85</v>
      </c>
      <c r="K774" t="s">
        <v>1</v>
      </c>
      <c r="L774" t="s">
        <v>1547</v>
      </c>
      <c r="M774" t="s">
        <v>1548</v>
      </c>
      <c r="N774" t="s">
        <v>1548</v>
      </c>
      <c r="O774" t="s">
        <v>1548</v>
      </c>
      <c r="P774" t="s">
        <v>1752</v>
      </c>
    </row>
    <row r="775" spans="1:16" x14ac:dyDescent="0.25">
      <c r="A775" t="s">
        <v>2236</v>
      </c>
      <c r="B775" t="s">
        <v>2138</v>
      </c>
      <c r="C775" t="s">
        <v>1750</v>
      </c>
      <c r="D775" t="s">
        <v>1027</v>
      </c>
      <c r="E775">
        <v>1494</v>
      </c>
      <c r="F775" t="s">
        <v>1751</v>
      </c>
      <c r="G775" t="b">
        <v>0</v>
      </c>
      <c r="H775" t="b">
        <v>0</v>
      </c>
      <c r="I775" t="s">
        <v>1050</v>
      </c>
      <c r="J775">
        <v>85</v>
      </c>
      <c r="K775" t="s">
        <v>1</v>
      </c>
      <c r="L775" t="s">
        <v>1547</v>
      </c>
      <c r="M775" t="s">
        <v>1548</v>
      </c>
      <c r="N775" t="s">
        <v>1548</v>
      </c>
      <c r="O775" t="s">
        <v>1548</v>
      </c>
      <c r="P775" t="s">
        <v>1752</v>
      </c>
    </row>
    <row r="776" spans="1:16" x14ac:dyDescent="0.25">
      <c r="A776" t="s">
        <v>2237</v>
      </c>
      <c r="B776" t="s">
        <v>2138</v>
      </c>
      <c r="C776" t="s">
        <v>1750</v>
      </c>
      <c r="D776" t="s">
        <v>1027</v>
      </c>
      <c r="E776">
        <v>1494</v>
      </c>
      <c r="F776" t="s">
        <v>1751</v>
      </c>
      <c r="G776" t="b">
        <v>0</v>
      </c>
      <c r="H776" t="b">
        <v>0</v>
      </c>
      <c r="I776" t="s">
        <v>1050</v>
      </c>
      <c r="J776">
        <v>85</v>
      </c>
      <c r="K776" t="s">
        <v>1</v>
      </c>
      <c r="L776" t="s">
        <v>1547</v>
      </c>
      <c r="M776" t="s">
        <v>1548</v>
      </c>
      <c r="N776" t="s">
        <v>1548</v>
      </c>
      <c r="O776" t="s">
        <v>1548</v>
      </c>
      <c r="P776" t="s">
        <v>1752</v>
      </c>
    </row>
    <row r="777" spans="1:16" x14ac:dyDescent="0.25">
      <c r="A777" t="s">
        <v>2238</v>
      </c>
      <c r="B777" t="s">
        <v>2138</v>
      </c>
      <c r="C777" t="s">
        <v>1750</v>
      </c>
      <c r="D777" t="s">
        <v>1027</v>
      </c>
      <c r="E777">
        <v>1494</v>
      </c>
      <c r="F777" t="s">
        <v>1751</v>
      </c>
      <c r="G777" t="b">
        <v>0</v>
      </c>
      <c r="H777" t="b">
        <v>0</v>
      </c>
      <c r="I777" t="s">
        <v>1050</v>
      </c>
      <c r="J777">
        <v>85</v>
      </c>
      <c r="K777" t="s">
        <v>1</v>
      </c>
      <c r="L777" t="s">
        <v>1547</v>
      </c>
      <c r="M777" t="s">
        <v>1548</v>
      </c>
      <c r="N777" t="s">
        <v>1548</v>
      </c>
      <c r="O777" t="s">
        <v>1548</v>
      </c>
      <c r="P777" t="s">
        <v>1752</v>
      </c>
    </row>
    <row r="778" spans="1:16" x14ac:dyDescent="0.25">
      <c r="A778" t="s">
        <v>2239</v>
      </c>
      <c r="B778" t="s">
        <v>2138</v>
      </c>
      <c r="C778" t="s">
        <v>1750</v>
      </c>
      <c r="D778" t="s">
        <v>1027</v>
      </c>
      <c r="E778">
        <v>1494</v>
      </c>
      <c r="F778" t="s">
        <v>1751</v>
      </c>
      <c r="G778" t="b">
        <v>0</v>
      </c>
      <c r="H778" t="b">
        <v>0</v>
      </c>
      <c r="I778" t="s">
        <v>1050</v>
      </c>
      <c r="J778">
        <v>85</v>
      </c>
      <c r="K778" t="s">
        <v>1</v>
      </c>
      <c r="L778" t="s">
        <v>1547</v>
      </c>
      <c r="M778" t="s">
        <v>1548</v>
      </c>
      <c r="N778" t="s">
        <v>1548</v>
      </c>
      <c r="O778" t="s">
        <v>1548</v>
      </c>
      <c r="P778" t="s">
        <v>1752</v>
      </c>
    </row>
    <row r="779" spans="1:16" x14ac:dyDescent="0.25">
      <c r="A779" t="s">
        <v>2240</v>
      </c>
      <c r="B779" t="s">
        <v>2138</v>
      </c>
      <c r="C779" t="s">
        <v>1750</v>
      </c>
      <c r="D779" t="s">
        <v>1027</v>
      </c>
      <c r="E779">
        <v>1494</v>
      </c>
      <c r="F779" t="s">
        <v>1751</v>
      </c>
      <c r="G779" t="b">
        <v>0</v>
      </c>
      <c r="H779" t="b">
        <v>0</v>
      </c>
      <c r="I779" t="s">
        <v>1050</v>
      </c>
      <c r="J779">
        <v>85</v>
      </c>
      <c r="K779" t="s">
        <v>1</v>
      </c>
      <c r="L779" t="s">
        <v>1547</v>
      </c>
      <c r="M779" t="s">
        <v>1548</v>
      </c>
      <c r="N779" t="s">
        <v>1548</v>
      </c>
      <c r="O779" t="s">
        <v>1548</v>
      </c>
      <c r="P779" t="s">
        <v>1752</v>
      </c>
    </row>
    <row r="780" spans="1:16" x14ac:dyDescent="0.25">
      <c r="A780" t="s">
        <v>2241</v>
      </c>
      <c r="B780" t="s">
        <v>2138</v>
      </c>
      <c r="C780" t="s">
        <v>1750</v>
      </c>
      <c r="D780" t="s">
        <v>1027</v>
      </c>
      <c r="E780">
        <v>1494</v>
      </c>
      <c r="F780" t="s">
        <v>1751</v>
      </c>
      <c r="G780" t="b">
        <v>0</v>
      </c>
      <c r="H780" t="b">
        <v>0</v>
      </c>
      <c r="I780" t="s">
        <v>1050</v>
      </c>
      <c r="J780">
        <v>85</v>
      </c>
      <c r="K780" t="s">
        <v>1</v>
      </c>
      <c r="L780" t="s">
        <v>1547</v>
      </c>
      <c r="M780" t="s">
        <v>1548</v>
      </c>
      <c r="N780" t="s">
        <v>1548</v>
      </c>
      <c r="O780" t="s">
        <v>1548</v>
      </c>
      <c r="P780" t="s">
        <v>1752</v>
      </c>
    </row>
    <row r="781" spans="1:16" x14ac:dyDescent="0.25">
      <c r="A781" t="s">
        <v>2242</v>
      </c>
      <c r="B781" t="s">
        <v>2138</v>
      </c>
      <c r="C781" t="s">
        <v>1750</v>
      </c>
      <c r="D781" t="s">
        <v>1027</v>
      </c>
      <c r="E781">
        <v>1494</v>
      </c>
      <c r="F781" t="s">
        <v>1751</v>
      </c>
      <c r="G781" t="b">
        <v>0</v>
      </c>
      <c r="H781" t="b">
        <v>0</v>
      </c>
      <c r="I781" t="s">
        <v>1050</v>
      </c>
      <c r="J781">
        <v>85</v>
      </c>
      <c r="K781" t="s">
        <v>1</v>
      </c>
      <c r="L781" t="s">
        <v>1547</v>
      </c>
      <c r="M781" t="s">
        <v>1548</v>
      </c>
      <c r="N781" t="s">
        <v>1548</v>
      </c>
      <c r="O781" t="s">
        <v>1548</v>
      </c>
      <c r="P781" t="s">
        <v>1752</v>
      </c>
    </row>
    <row r="782" spans="1:16" x14ac:dyDescent="0.25">
      <c r="A782" t="s">
        <v>2243</v>
      </c>
      <c r="B782" t="s">
        <v>2138</v>
      </c>
      <c r="C782" t="s">
        <v>1750</v>
      </c>
      <c r="D782" t="s">
        <v>1027</v>
      </c>
      <c r="E782">
        <v>1494</v>
      </c>
      <c r="F782" t="s">
        <v>1751</v>
      </c>
      <c r="G782" t="b">
        <v>0</v>
      </c>
      <c r="H782" t="b">
        <v>0</v>
      </c>
      <c r="I782" t="s">
        <v>1050</v>
      </c>
      <c r="J782">
        <v>85</v>
      </c>
      <c r="K782" t="s">
        <v>1</v>
      </c>
      <c r="L782" t="s">
        <v>1547</v>
      </c>
      <c r="M782" t="s">
        <v>1548</v>
      </c>
      <c r="N782" t="s">
        <v>1548</v>
      </c>
      <c r="O782" t="s">
        <v>1548</v>
      </c>
      <c r="P782" t="s">
        <v>1752</v>
      </c>
    </row>
    <row r="783" spans="1:16" x14ac:dyDescent="0.25">
      <c r="A783" t="s">
        <v>2244</v>
      </c>
      <c r="B783" t="s">
        <v>2138</v>
      </c>
      <c r="C783" t="s">
        <v>1750</v>
      </c>
      <c r="D783" t="s">
        <v>1027</v>
      </c>
      <c r="E783">
        <v>1494</v>
      </c>
      <c r="F783" t="s">
        <v>1751</v>
      </c>
      <c r="G783" t="b">
        <v>0</v>
      </c>
      <c r="H783" t="b">
        <v>0</v>
      </c>
      <c r="I783" t="s">
        <v>1050</v>
      </c>
      <c r="J783">
        <v>85</v>
      </c>
      <c r="K783" t="s">
        <v>1</v>
      </c>
      <c r="L783" t="s">
        <v>1547</v>
      </c>
      <c r="M783" t="s">
        <v>1548</v>
      </c>
      <c r="N783" t="s">
        <v>1548</v>
      </c>
      <c r="O783" t="s">
        <v>1548</v>
      </c>
      <c r="P783" t="s">
        <v>1752</v>
      </c>
    </row>
    <row r="784" spans="1:16" x14ac:dyDescent="0.25">
      <c r="A784" t="s">
        <v>2245</v>
      </c>
      <c r="B784" t="s">
        <v>2138</v>
      </c>
      <c r="C784" t="s">
        <v>1750</v>
      </c>
      <c r="D784" t="s">
        <v>1027</v>
      </c>
      <c r="E784">
        <v>1494</v>
      </c>
      <c r="F784" t="s">
        <v>1751</v>
      </c>
      <c r="G784" t="b">
        <v>0</v>
      </c>
      <c r="H784" t="b">
        <v>0</v>
      </c>
      <c r="I784" t="s">
        <v>1050</v>
      </c>
      <c r="J784">
        <v>85</v>
      </c>
      <c r="K784" t="s">
        <v>1</v>
      </c>
      <c r="L784" t="s">
        <v>1547</v>
      </c>
      <c r="M784" t="s">
        <v>1548</v>
      </c>
      <c r="N784" t="s">
        <v>1548</v>
      </c>
      <c r="O784" t="s">
        <v>1548</v>
      </c>
      <c r="P784" t="s">
        <v>1752</v>
      </c>
    </row>
    <row r="785" spans="1:16" x14ac:dyDescent="0.25">
      <c r="A785" t="s">
        <v>2246</v>
      </c>
      <c r="B785" t="s">
        <v>2138</v>
      </c>
      <c r="C785" t="s">
        <v>1750</v>
      </c>
      <c r="D785" t="s">
        <v>1027</v>
      </c>
      <c r="E785">
        <v>1494</v>
      </c>
      <c r="F785" t="s">
        <v>1751</v>
      </c>
      <c r="G785" t="b">
        <v>0</v>
      </c>
      <c r="H785" t="b">
        <v>0</v>
      </c>
      <c r="I785" t="s">
        <v>1050</v>
      </c>
      <c r="J785">
        <v>85</v>
      </c>
      <c r="K785" t="s">
        <v>1</v>
      </c>
      <c r="L785" t="s">
        <v>1547</v>
      </c>
      <c r="M785" t="s">
        <v>1548</v>
      </c>
      <c r="N785" t="s">
        <v>1548</v>
      </c>
      <c r="O785" t="s">
        <v>1548</v>
      </c>
      <c r="P785" t="s">
        <v>1752</v>
      </c>
    </row>
    <row r="786" spans="1:16" x14ac:dyDescent="0.25">
      <c r="A786" t="s">
        <v>2247</v>
      </c>
      <c r="B786" t="s">
        <v>2138</v>
      </c>
      <c r="C786" t="s">
        <v>1750</v>
      </c>
      <c r="D786" t="s">
        <v>1027</v>
      </c>
      <c r="E786">
        <v>1494</v>
      </c>
      <c r="F786" t="s">
        <v>1751</v>
      </c>
      <c r="G786" t="b">
        <v>0</v>
      </c>
      <c r="H786" t="b">
        <v>0</v>
      </c>
      <c r="I786" t="s">
        <v>1050</v>
      </c>
      <c r="J786">
        <v>85</v>
      </c>
      <c r="K786" t="s">
        <v>1</v>
      </c>
      <c r="L786" t="s">
        <v>1547</v>
      </c>
      <c r="M786" t="s">
        <v>1548</v>
      </c>
      <c r="N786" t="s">
        <v>1548</v>
      </c>
      <c r="O786" t="s">
        <v>1548</v>
      </c>
      <c r="P786" t="s">
        <v>1752</v>
      </c>
    </row>
    <row r="787" spans="1:16" x14ac:dyDescent="0.25">
      <c r="A787" t="s">
        <v>2248</v>
      </c>
      <c r="B787" t="s">
        <v>2138</v>
      </c>
      <c r="C787" t="s">
        <v>1750</v>
      </c>
      <c r="D787" t="s">
        <v>1027</v>
      </c>
      <c r="E787">
        <v>1494</v>
      </c>
      <c r="F787" t="s">
        <v>1751</v>
      </c>
      <c r="G787" t="b">
        <v>0</v>
      </c>
      <c r="H787" t="b">
        <v>0</v>
      </c>
      <c r="I787" t="s">
        <v>1050</v>
      </c>
      <c r="J787">
        <v>85</v>
      </c>
      <c r="K787" t="s">
        <v>1</v>
      </c>
      <c r="L787" t="s">
        <v>1547</v>
      </c>
      <c r="M787" t="s">
        <v>1548</v>
      </c>
      <c r="N787" t="s">
        <v>1548</v>
      </c>
      <c r="O787" t="s">
        <v>1548</v>
      </c>
      <c r="P787" t="s">
        <v>1752</v>
      </c>
    </row>
    <row r="788" spans="1:16" x14ac:dyDescent="0.25">
      <c r="A788" t="s">
        <v>2249</v>
      </c>
      <c r="B788" t="s">
        <v>2138</v>
      </c>
      <c r="C788" t="s">
        <v>1750</v>
      </c>
      <c r="D788" t="s">
        <v>1027</v>
      </c>
      <c r="E788">
        <v>1494</v>
      </c>
      <c r="F788" t="s">
        <v>1751</v>
      </c>
      <c r="G788" t="b">
        <v>0</v>
      </c>
      <c r="H788" t="b">
        <v>0</v>
      </c>
      <c r="I788" t="s">
        <v>1050</v>
      </c>
      <c r="J788">
        <v>85</v>
      </c>
      <c r="K788" t="s">
        <v>1</v>
      </c>
      <c r="L788" t="s">
        <v>1547</v>
      </c>
      <c r="M788" t="s">
        <v>1548</v>
      </c>
      <c r="N788" t="s">
        <v>1548</v>
      </c>
      <c r="O788" t="s">
        <v>1548</v>
      </c>
      <c r="P788" t="s">
        <v>1752</v>
      </c>
    </row>
    <row r="789" spans="1:16" x14ac:dyDescent="0.25">
      <c r="A789" t="s">
        <v>2250</v>
      </c>
      <c r="B789" t="s">
        <v>2138</v>
      </c>
      <c r="C789" t="s">
        <v>1750</v>
      </c>
      <c r="D789" t="s">
        <v>1027</v>
      </c>
      <c r="E789">
        <v>1494</v>
      </c>
      <c r="F789" t="s">
        <v>1751</v>
      </c>
      <c r="G789" t="b">
        <v>0</v>
      </c>
      <c r="H789" t="b">
        <v>0</v>
      </c>
      <c r="I789" t="s">
        <v>1050</v>
      </c>
      <c r="J789">
        <v>85</v>
      </c>
      <c r="K789" t="s">
        <v>1</v>
      </c>
      <c r="L789" t="s">
        <v>1547</v>
      </c>
      <c r="M789" t="s">
        <v>1548</v>
      </c>
      <c r="N789" t="s">
        <v>1548</v>
      </c>
      <c r="O789" t="s">
        <v>1548</v>
      </c>
      <c r="P789" t="s">
        <v>1752</v>
      </c>
    </row>
    <row r="790" spans="1:16" x14ac:dyDescent="0.25">
      <c r="A790" t="s">
        <v>2251</v>
      </c>
      <c r="B790" t="s">
        <v>2138</v>
      </c>
      <c r="C790" t="s">
        <v>1750</v>
      </c>
      <c r="D790" t="s">
        <v>1027</v>
      </c>
      <c r="E790">
        <v>1494</v>
      </c>
      <c r="F790" t="s">
        <v>1751</v>
      </c>
      <c r="G790" t="b">
        <v>0</v>
      </c>
      <c r="H790" t="b">
        <v>0</v>
      </c>
      <c r="I790" t="s">
        <v>1050</v>
      </c>
      <c r="J790">
        <v>85</v>
      </c>
      <c r="K790" t="s">
        <v>1</v>
      </c>
      <c r="L790" t="s">
        <v>1547</v>
      </c>
      <c r="M790" t="s">
        <v>1548</v>
      </c>
      <c r="N790" t="s">
        <v>1548</v>
      </c>
      <c r="O790" t="s">
        <v>1548</v>
      </c>
      <c r="P790" t="s">
        <v>1752</v>
      </c>
    </row>
    <row r="791" spans="1:16" x14ac:dyDescent="0.25">
      <c r="A791" t="s">
        <v>2252</v>
      </c>
      <c r="B791" t="s">
        <v>2138</v>
      </c>
      <c r="C791" t="s">
        <v>1750</v>
      </c>
      <c r="D791" t="s">
        <v>1027</v>
      </c>
      <c r="E791">
        <v>1494</v>
      </c>
      <c r="F791" t="s">
        <v>1751</v>
      </c>
      <c r="G791" t="b">
        <v>0</v>
      </c>
      <c r="H791" t="b">
        <v>0</v>
      </c>
      <c r="I791" t="s">
        <v>1050</v>
      </c>
      <c r="J791">
        <v>85</v>
      </c>
      <c r="K791" t="s">
        <v>1</v>
      </c>
      <c r="L791" t="s">
        <v>1547</v>
      </c>
      <c r="M791" t="s">
        <v>1548</v>
      </c>
      <c r="N791" t="s">
        <v>1548</v>
      </c>
      <c r="O791" t="s">
        <v>1548</v>
      </c>
      <c r="P791" t="s">
        <v>1752</v>
      </c>
    </row>
    <row r="792" spans="1:16" x14ac:dyDescent="0.25">
      <c r="A792" t="s">
        <v>2253</v>
      </c>
      <c r="B792" t="s">
        <v>2138</v>
      </c>
      <c r="C792" t="s">
        <v>1750</v>
      </c>
      <c r="D792" t="s">
        <v>1027</v>
      </c>
      <c r="E792">
        <v>1494</v>
      </c>
      <c r="F792" t="s">
        <v>1751</v>
      </c>
      <c r="G792" t="b">
        <v>0</v>
      </c>
      <c r="H792" t="b">
        <v>0</v>
      </c>
      <c r="I792" t="s">
        <v>1050</v>
      </c>
      <c r="J792">
        <v>85</v>
      </c>
      <c r="K792" t="s">
        <v>1</v>
      </c>
      <c r="L792" t="s">
        <v>1547</v>
      </c>
      <c r="M792" t="s">
        <v>1548</v>
      </c>
      <c r="N792" t="s">
        <v>1548</v>
      </c>
      <c r="O792" t="s">
        <v>1548</v>
      </c>
      <c r="P792" t="s">
        <v>1752</v>
      </c>
    </row>
    <row r="793" spans="1:16" x14ac:dyDescent="0.25">
      <c r="A793" t="s">
        <v>2254</v>
      </c>
      <c r="B793" t="s">
        <v>2138</v>
      </c>
      <c r="C793" t="s">
        <v>1750</v>
      </c>
      <c r="D793" t="s">
        <v>1027</v>
      </c>
      <c r="E793">
        <v>1494</v>
      </c>
      <c r="F793" t="s">
        <v>1751</v>
      </c>
      <c r="G793" t="b">
        <v>0</v>
      </c>
      <c r="H793" t="b">
        <v>0</v>
      </c>
      <c r="I793" t="s">
        <v>1050</v>
      </c>
      <c r="J793">
        <v>85</v>
      </c>
      <c r="K793" t="s">
        <v>1</v>
      </c>
      <c r="L793" t="s">
        <v>1547</v>
      </c>
      <c r="M793" t="s">
        <v>1548</v>
      </c>
      <c r="N793" t="s">
        <v>1548</v>
      </c>
      <c r="O793" t="s">
        <v>1548</v>
      </c>
      <c r="P793" t="s">
        <v>1752</v>
      </c>
    </row>
    <row r="794" spans="1:16" x14ac:dyDescent="0.25">
      <c r="A794" t="s">
        <v>2255</v>
      </c>
      <c r="B794" t="s">
        <v>2138</v>
      </c>
      <c r="C794" t="s">
        <v>1750</v>
      </c>
      <c r="D794" t="s">
        <v>1027</v>
      </c>
      <c r="E794">
        <v>1494</v>
      </c>
      <c r="F794" t="s">
        <v>1751</v>
      </c>
      <c r="G794" t="b">
        <v>0</v>
      </c>
      <c r="H794" t="b">
        <v>0</v>
      </c>
      <c r="I794" t="s">
        <v>1050</v>
      </c>
      <c r="J794">
        <v>85</v>
      </c>
      <c r="K794" t="s">
        <v>1</v>
      </c>
      <c r="L794" t="s">
        <v>1547</v>
      </c>
      <c r="M794" t="s">
        <v>1548</v>
      </c>
      <c r="N794" t="s">
        <v>1548</v>
      </c>
      <c r="O794" t="s">
        <v>1548</v>
      </c>
      <c r="P794" t="s">
        <v>1752</v>
      </c>
    </row>
    <row r="795" spans="1:16" x14ac:dyDescent="0.25">
      <c r="A795" t="s">
        <v>2256</v>
      </c>
      <c r="B795" t="s">
        <v>2138</v>
      </c>
      <c r="C795" t="s">
        <v>1750</v>
      </c>
      <c r="D795" t="s">
        <v>1027</v>
      </c>
      <c r="E795">
        <v>1494</v>
      </c>
      <c r="F795" t="s">
        <v>1751</v>
      </c>
      <c r="G795" t="b">
        <v>0</v>
      </c>
      <c r="H795" t="b">
        <v>0</v>
      </c>
      <c r="I795" t="s">
        <v>1050</v>
      </c>
      <c r="J795">
        <v>85</v>
      </c>
      <c r="K795" t="s">
        <v>1</v>
      </c>
      <c r="L795" t="s">
        <v>1547</v>
      </c>
      <c r="M795" t="s">
        <v>1548</v>
      </c>
      <c r="N795" t="s">
        <v>1548</v>
      </c>
      <c r="O795" t="s">
        <v>1548</v>
      </c>
      <c r="P795" t="s">
        <v>1752</v>
      </c>
    </row>
    <row r="796" spans="1:16" x14ac:dyDescent="0.25">
      <c r="A796" t="s">
        <v>2257</v>
      </c>
      <c r="B796" t="s">
        <v>2138</v>
      </c>
      <c r="C796" t="s">
        <v>1750</v>
      </c>
      <c r="D796" t="s">
        <v>1027</v>
      </c>
      <c r="E796">
        <v>1494</v>
      </c>
      <c r="F796" t="s">
        <v>1751</v>
      </c>
      <c r="G796" t="b">
        <v>0</v>
      </c>
      <c r="H796" t="b">
        <v>0</v>
      </c>
      <c r="I796" t="s">
        <v>1050</v>
      </c>
      <c r="J796">
        <v>85</v>
      </c>
      <c r="K796" t="s">
        <v>1</v>
      </c>
      <c r="L796" t="s">
        <v>1547</v>
      </c>
      <c r="M796" t="s">
        <v>1548</v>
      </c>
      <c r="N796" t="s">
        <v>1548</v>
      </c>
      <c r="O796" t="s">
        <v>1548</v>
      </c>
      <c r="P796" t="s">
        <v>1752</v>
      </c>
    </row>
    <row r="797" spans="1:16" x14ac:dyDescent="0.25">
      <c r="A797" t="s">
        <v>2258</v>
      </c>
      <c r="B797" t="s">
        <v>2138</v>
      </c>
      <c r="C797" t="s">
        <v>1750</v>
      </c>
      <c r="D797" t="s">
        <v>1027</v>
      </c>
      <c r="E797">
        <v>1494</v>
      </c>
      <c r="F797" t="s">
        <v>1751</v>
      </c>
      <c r="G797" t="b">
        <v>0</v>
      </c>
      <c r="H797" t="b">
        <v>0</v>
      </c>
      <c r="I797" t="s">
        <v>1050</v>
      </c>
      <c r="J797">
        <v>85</v>
      </c>
      <c r="K797" t="s">
        <v>1</v>
      </c>
      <c r="L797" t="s">
        <v>1547</v>
      </c>
      <c r="M797" t="s">
        <v>1548</v>
      </c>
      <c r="N797" t="s">
        <v>1548</v>
      </c>
      <c r="O797" t="s">
        <v>1548</v>
      </c>
      <c r="P797" t="s">
        <v>1752</v>
      </c>
    </row>
    <row r="798" spans="1:16" x14ac:dyDescent="0.25">
      <c r="A798" t="s">
        <v>2259</v>
      </c>
      <c r="B798" t="s">
        <v>2138</v>
      </c>
      <c r="C798" t="s">
        <v>1750</v>
      </c>
      <c r="D798" t="s">
        <v>1027</v>
      </c>
      <c r="E798">
        <v>1494</v>
      </c>
      <c r="F798" t="s">
        <v>1751</v>
      </c>
      <c r="G798" t="b">
        <v>0</v>
      </c>
      <c r="H798" t="b">
        <v>0</v>
      </c>
      <c r="I798" t="s">
        <v>1050</v>
      </c>
      <c r="J798">
        <v>85</v>
      </c>
      <c r="K798" t="s">
        <v>1</v>
      </c>
      <c r="L798" t="s">
        <v>1547</v>
      </c>
      <c r="M798" t="s">
        <v>1548</v>
      </c>
      <c r="N798" t="s">
        <v>1548</v>
      </c>
      <c r="O798" t="s">
        <v>1548</v>
      </c>
      <c r="P798" t="s">
        <v>1752</v>
      </c>
    </row>
    <row r="799" spans="1:16" x14ac:dyDescent="0.25">
      <c r="A799" t="s">
        <v>2260</v>
      </c>
      <c r="B799" t="s">
        <v>2138</v>
      </c>
      <c r="C799" t="s">
        <v>1750</v>
      </c>
      <c r="D799" t="s">
        <v>1027</v>
      </c>
      <c r="E799">
        <v>1494</v>
      </c>
      <c r="F799" t="s">
        <v>1751</v>
      </c>
      <c r="G799" t="b">
        <v>0</v>
      </c>
      <c r="H799" t="b">
        <v>0</v>
      </c>
      <c r="I799" t="s">
        <v>1050</v>
      </c>
      <c r="J799">
        <v>85</v>
      </c>
      <c r="K799" t="s">
        <v>1</v>
      </c>
      <c r="L799" t="s">
        <v>1547</v>
      </c>
      <c r="M799" t="s">
        <v>1548</v>
      </c>
      <c r="N799" t="s">
        <v>1548</v>
      </c>
      <c r="O799" t="s">
        <v>1548</v>
      </c>
      <c r="P799" t="s">
        <v>1752</v>
      </c>
    </row>
    <row r="800" spans="1:16" x14ac:dyDescent="0.25">
      <c r="A800" t="s">
        <v>2261</v>
      </c>
      <c r="B800" t="s">
        <v>2138</v>
      </c>
      <c r="C800" t="s">
        <v>1750</v>
      </c>
      <c r="D800" t="s">
        <v>1027</v>
      </c>
      <c r="E800">
        <v>1494</v>
      </c>
      <c r="F800" t="s">
        <v>1751</v>
      </c>
      <c r="G800" t="b">
        <v>0</v>
      </c>
      <c r="H800" t="b">
        <v>0</v>
      </c>
      <c r="I800" t="s">
        <v>1050</v>
      </c>
      <c r="J800">
        <v>85</v>
      </c>
      <c r="K800" t="s">
        <v>1</v>
      </c>
      <c r="L800" t="s">
        <v>1547</v>
      </c>
      <c r="M800" t="s">
        <v>1548</v>
      </c>
      <c r="N800" t="s">
        <v>1548</v>
      </c>
      <c r="O800" t="s">
        <v>1548</v>
      </c>
      <c r="P800" t="s">
        <v>1752</v>
      </c>
    </row>
    <row r="801" spans="1:16" x14ac:dyDescent="0.25">
      <c r="A801" t="s">
        <v>2262</v>
      </c>
      <c r="B801" t="s">
        <v>2138</v>
      </c>
      <c r="C801" t="s">
        <v>1750</v>
      </c>
      <c r="D801" t="s">
        <v>1027</v>
      </c>
      <c r="E801">
        <v>1494</v>
      </c>
      <c r="F801" t="s">
        <v>1751</v>
      </c>
      <c r="G801" t="b">
        <v>0</v>
      </c>
      <c r="H801" t="b">
        <v>0</v>
      </c>
      <c r="I801" t="s">
        <v>1050</v>
      </c>
      <c r="J801">
        <v>85</v>
      </c>
      <c r="K801" t="s">
        <v>1</v>
      </c>
      <c r="L801" t="s">
        <v>1547</v>
      </c>
      <c r="M801" t="s">
        <v>1548</v>
      </c>
      <c r="N801" t="s">
        <v>1548</v>
      </c>
      <c r="O801" t="s">
        <v>1548</v>
      </c>
      <c r="P801" t="s">
        <v>1752</v>
      </c>
    </row>
    <row r="802" spans="1:16" x14ac:dyDescent="0.25">
      <c r="A802" t="s">
        <v>2263</v>
      </c>
      <c r="B802" t="s">
        <v>2138</v>
      </c>
      <c r="C802" t="s">
        <v>1750</v>
      </c>
      <c r="D802" t="s">
        <v>1027</v>
      </c>
      <c r="E802">
        <v>1494</v>
      </c>
      <c r="F802" t="s">
        <v>1751</v>
      </c>
      <c r="G802" t="b">
        <v>0</v>
      </c>
      <c r="H802" t="b">
        <v>0</v>
      </c>
      <c r="I802" t="s">
        <v>1050</v>
      </c>
      <c r="J802">
        <v>85</v>
      </c>
      <c r="K802" t="s">
        <v>1</v>
      </c>
      <c r="L802" t="s">
        <v>1547</v>
      </c>
      <c r="M802" t="s">
        <v>1548</v>
      </c>
      <c r="N802" t="s">
        <v>1548</v>
      </c>
      <c r="O802" t="s">
        <v>1548</v>
      </c>
      <c r="P802" t="s">
        <v>1752</v>
      </c>
    </row>
    <row r="803" spans="1:16" x14ac:dyDescent="0.25">
      <c r="A803" t="s">
        <v>2264</v>
      </c>
      <c r="B803" t="s">
        <v>2138</v>
      </c>
      <c r="C803" t="s">
        <v>1750</v>
      </c>
      <c r="D803" t="s">
        <v>1027</v>
      </c>
      <c r="E803">
        <v>1494</v>
      </c>
      <c r="F803" t="s">
        <v>1751</v>
      </c>
      <c r="G803" t="b">
        <v>0</v>
      </c>
      <c r="H803" t="b">
        <v>0</v>
      </c>
      <c r="I803" t="s">
        <v>1050</v>
      </c>
      <c r="J803">
        <v>85</v>
      </c>
      <c r="K803" t="s">
        <v>1</v>
      </c>
      <c r="L803" t="s">
        <v>1547</v>
      </c>
      <c r="M803" t="s">
        <v>1548</v>
      </c>
      <c r="N803" t="s">
        <v>1548</v>
      </c>
      <c r="O803" t="s">
        <v>1548</v>
      </c>
      <c r="P803" t="s">
        <v>1752</v>
      </c>
    </row>
    <row r="804" spans="1:16" x14ac:dyDescent="0.25">
      <c r="A804" t="s">
        <v>2265</v>
      </c>
      <c r="B804" t="s">
        <v>2138</v>
      </c>
      <c r="C804" t="s">
        <v>1750</v>
      </c>
      <c r="D804" t="s">
        <v>1027</v>
      </c>
      <c r="E804">
        <v>1494</v>
      </c>
      <c r="F804" t="s">
        <v>1751</v>
      </c>
      <c r="G804" t="b">
        <v>0</v>
      </c>
      <c r="H804" t="b">
        <v>0</v>
      </c>
      <c r="I804" t="s">
        <v>1050</v>
      </c>
      <c r="J804">
        <v>85</v>
      </c>
      <c r="K804" t="s">
        <v>1</v>
      </c>
      <c r="L804" t="s">
        <v>1547</v>
      </c>
      <c r="M804" t="s">
        <v>1548</v>
      </c>
      <c r="N804" t="s">
        <v>1548</v>
      </c>
      <c r="O804" t="s">
        <v>1548</v>
      </c>
      <c r="P804" t="s">
        <v>1752</v>
      </c>
    </row>
    <row r="805" spans="1:16" x14ac:dyDescent="0.25">
      <c r="A805" t="s">
        <v>2266</v>
      </c>
      <c r="B805" t="s">
        <v>2138</v>
      </c>
      <c r="C805" t="s">
        <v>1750</v>
      </c>
      <c r="D805" t="s">
        <v>1027</v>
      </c>
      <c r="E805">
        <v>1494</v>
      </c>
      <c r="F805" t="s">
        <v>1751</v>
      </c>
      <c r="G805" t="b">
        <v>0</v>
      </c>
      <c r="H805" t="b">
        <v>0</v>
      </c>
      <c r="I805" t="s">
        <v>1050</v>
      </c>
      <c r="J805">
        <v>85</v>
      </c>
      <c r="K805" t="s">
        <v>1</v>
      </c>
      <c r="L805" t="s">
        <v>1547</v>
      </c>
      <c r="M805" t="s">
        <v>1548</v>
      </c>
      <c r="N805" t="s">
        <v>1548</v>
      </c>
      <c r="O805" t="s">
        <v>1548</v>
      </c>
      <c r="P805" t="s">
        <v>1752</v>
      </c>
    </row>
    <row r="806" spans="1:16" x14ac:dyDescent="0.25">
      <c r="A806" t="s">
        <v>2267</v>
      </c>
      <c r="B806" t="s">
        <v>2138</v>
      </c>
      <c r="C806" t="s">
        <v>1750</v>
      </c>
      <c r="D806" t="s">
        <v>1027</v>
      </c>
      <c r="E806">
        <v>1494</v>
      </c>
      <c r="F806" t="s">
        <v>1751</v>
      </c>
      <c r="G806" t="b">
        <v>0</v>
      </c>
      <c r="H806" t="b">
        <v>0</v>
      </c>
      <c r="I806" t="s">
        <v>1050</v>
      </c>
      <c r="J806">
        <v>85</v>
      </c>
      <c r="K806" t="s">
        <v>1</v>
      </c>
      <c r="L806" t="s">
        <v>1547</v>
      </c>
      <c r="M806" t="s">
        <v>1548</v>
      </c>
      <c r="N806" t="s">
        <v>1548</v>
      </c>
      <c r="O806" t="s">
        <v>1548</v>
      </c>
      <c r="P806" t="s">
        <v>1752</v>
      </c>
    </row>
    <row r="807" spans="1:16" x14ac:dyDescent="0.25">
      <c r="A807" t="s">
        <v>2268</v>
      </c>
      <c r="B807" t="s">
        <v>2138</v>
      </c>
      <c r="C807" t="s">
        <v>1750</v>
      </c>
      <c r="D807" t="s">
        <v>1027</v>
      </c>
      <c r="E807">
        <v>1494</v>
      </c>
      <c r="F807" t="s">
        <v>1751</v>
      </c>
      <c r="G807" t="b">
        <v>0</v>
      </c>
      <c r="H807" t="b">
        <v>0</v>
      </c>
      <c r="I807" t="s">
        <v>1050</v>
      </c>
      <c r="J807">
        <v>85</v>
      </c>
      <c r="K807" t="s">
        <v>1</v>
      </c>
      <c r="L807" t="s">
        <v>1547</v>
      </c>
      <c r="M807" t="s">
        <v>1548</v>
      </c>
      <c r="N807" t="s">
        <v>1548</v>
      </c>
      <c r="O807" t="s">
        <v>1548</v>
      </c>
      <c r="P807" t="s">
        <v>1752</v>
      </c>
    </row>
    <row r="808" spans="1:16" x14ac:dyDescent="0.25">
      <c r="A808" t="s">
        <v>2269</v>
      </c>
      <c r="B808" t="s">
        <v>2138</v>
      </c>
      <c r="C808" t="s">
        <v>1750</v>
      </c>
      <c r="D808" t="s">
        <v>1027</v>
      </c>
      <c r="E808">
        <v>1494</v>
      </c>
      <c r="F808" t="s">
        <v>1751</v>
      </c>
      <c r="G808" t="b">
        <v>0</v>
      </c>
      <c r="H808" t="b">
        <v>0</v>
      </c>
      <c r="I808" t="s">
        <v>1050</v>
      </c>
      <c r="J808">
        <v>85</v>
      </c>
      <c r="K808" t="s">
        <v>1</v>
      </c>
      <c r="L808" t="s">
        <v>1547</v>
      </c>
      <c r="M808" t="s">
        <v>1548</v>
      </c>
      <c r="N808" t="s">
        <v>1548</v>
      </c>
      <c r="O808" t="s">
        <v>1548</v>
      </c>
      <c r="P808" t="s">
        <v>1752</v>
      </c>
    </row>
    <row r="809" spans="1:16" x14ac:dyDescent="0.25">
      <c r="A809" t="s">
        <v>2270</v>
      </c>
      <c r="B809" t="s">
        <v>2138</v>
      </c>
      <c r="C809" t="s">
        <v>1750</v>
      </c>
      <c r="D809" t="s">
        <v>1027</v>
      </c>
      <c r="E809">
        <v>1494</v>
      </c>
      <c r="F809" t="s">
        <v>1751</v>
      </c>
      <c r="G809" t="b">
        <v>0</v>
      </c>
      <c r="H809" t="b">
        <v>0</v>
      </c>
      <c r="I809" t="s">
        <v>1050</v>
      </c>
      <c r="J809">
        <v>85</v>
      </c>
      <c r="K809" t="s">
        <v>1</v>
      </c>
      <c r="L809" t="s">
        <v>1547</v>
      </c>
      <c r="M809" t="s">
        <v>1548</v>
      </c>
      <c r="N809" t="s">
        <v>1548</v>
      </c>
      <c r="O809" t="s">
        <v>1548</v>
      </c>
      <c r="P809" t="s">
        <v>1752</v>
      </c>
    </row>
    <row r="810" spans="1:16" x14ac:dyDescent="0.25">
      <c r="A810" t="s">
        <v>2271</v>
      </c>
      <c r="B810" t="s">
        <v>2138</v>
      </c>
      <c r="C810" t="s">
        <v>1750</v>
      </c>
      <c r="D810" t="s">
        <v>1027</v>
      </c>
      <c r="E810">
        <v>1494</v>
      </c>
      <c r="F810" t="s">
        <v>1751</v>
      </c>
      <c r="G810" t="b">
        <v>0</v>
      </c>
      <c r="H810" t="b">
        <v>0</v>
      </c>
      <c r="I810" t="s">
        <v>1050</v>
      </c>
      <c r="J810">
        <v>85</v>
      </c>
      <c r="K810" t="s">
        <v>1</v>
      </c>
      <c r="L810" t="s">
        <v>1547</v>
      </c>
      <c r="M810" t="s">
        <v>1548</v>
      </c>
      <c r="N810" t="s">
        <v>1548</v>
      </c>
      <c r="O810" t="s">
        <v>1548</v>
      </c>
      <c r="P810" t="s">
        <v>1752</v>
      </c>
    </row>
    <row r="811" spans="1:16" x14ac:dyDescent="0.25">
      <c r="A811" t="s">
        <v>2272</v>
      </c>
      <c r="B811" t="s">
        <v>2138</v>
      </c>
      <c r="C811" t="s">
        <v>1750</v>
      </c>
      <c r="D811" t="s">
        <v>1027</v>
      </c>
      <c r="E811">
        <v>1494</v>
      </c>
      <c r="F811" t="s">
        <v>1751</v>
      </c>
      <c r="G811" t="b">
        <v>0</v>
      </c>
      <c r="H811" t="b">
        <v>0</v>
      </c>
      <c r="I811" t="s">
        <v>1050</v>
      </c>
      <c r="J811">
        <v>85</v>
      </c>
      <c r="K811" t="s">
        <v>1</v>
      </c>
      <c r="L811" t="s">
        <v>1547</v>
      </c>
      <c r="M811" t="s">
        <v>1548</v>
      </c>
      <c r="N811" t="s">
        <v>1548</v>
      </c>
      <c r="O811" t="s">
        <v>1548</v>
      </c>
      <c r="P811" t="s">
        <v>1752</v>
      </c>
    </row>
    <row r="812" spans="1:16" x14ac:dyDescent="0.25">
      <c r="A812" t="s">
        <v>2273</v>
      </c>
      <c r="B812" t="s">
        <v>2138</v>
      </c>
      <c r="C812" t="s">
        <v>1750</v>
      </c>
      <c r="D812" t="s">
        <v>1027</v>
      </c>
      <c r="E812">
        <v>1494</v>
      </c>
      <c r="F812" t="s">
        <v>1751</v>
      </c>
      <c r="G812" t="b">
        <v>0</v>
      </c>
      <c r="H812" t="b">
        <v>0</v>
      </c>
      <c r="I812" t="s">
        <v>1050</v>
      </c>
      <c r="J812">
        <v>85</v>
      </c>
      <c r="K812" t="s">
        <v>1</v>
      </c>
      <c r="L812" t="s">
        <v>1547</v>
      </c>
      <c r="M812" t="s">
        <v>1548</v>
      </c>
      <c r="N812" t="s">
        <v>1548</v>
      </c>
      <c r="O812" t="s">
        <v>1548</v>
      </c>
      <c r="P812" t="s">
        <v>1752</v>
      </c>
    </row>
    <row r="813" spans="1:16" x14ac:dyDescent="0.25">
      <c r="A813" t="s">
        <v>2274</v>
      </c>
      <c r="B813" t="s">
        <v>2138</v>
      </c>
      <c r="C813" t="s">
        <v>1750</v>
      </c>
      <c r="D813" t="s">
        <v>1027</v>
      </c>
      <c r="E813">
        <v>1494</v>
      </c>
      <c r="F813" t="s">
        <v>1751</v>
      </c>
      <c r="G813" t="b">
        <v>0</v>
      </c>
      <c r="H813" t="b">
        <v>0</v>
      </c>
      <c r="I813" t="s">
        <v>1050</v>
      </c>
      <c r="J813">
        <v>85</v>
      </c>
      <c r="K813" t="s">
        <v>1</v>
      </c>
      <c r="L813" t="s">
        <v>1547</v>
      </c>
      <c r="M813" t="s">
        <v>1548</v>
      </c>
      <c r="N813" t="s">
        <v>1548</v>
      </c>
      <c r="O813" t="s">
        <v>1548</v>
      </c>
      <c r="P813" t="s">
        <v>1752</v>
      </c>
    </row>
    <row r="814" spans="1:16" x14ac:dyDescent="0.25">
      <c r="A814" t="s">
        <v>2275</v>
      </c>
      <c r="B814" t="s">
        <v>2138</v>
      </c>
      <c r="C814" t="s">
        <v>1750</v>
      </c>
      <c r="D814" t="s">
        <v>1027</v>
      </c>
      <c r="E814">
        <v>1494</v>
      </c>
      <c r="F814" t="s">
        <v>1751</v>
      </c>
      <c r="G814" t="b">
        <v>0</v>
      </c>
      <c r="H814" t="b">
        <v>0</v>
      </c>
      <c r="I814" t="s">
        <v>1050</v>
      </c>
      <c r="J814">
        <v>85</v>
      </c>
      <c r="K814" t="s">
        <v>1</v>
      </c>
      <c r="L814" t="s">
        <v>1547</v>
      </c>
      <c r="M814" t="s">
        <v>1548</v>
      </c>
      <c r="N814" t="s">
        <v>1548</v>
      </c>
      <c r="O814" t="s">
        <v>1548</v>
      </c>
      <c r="P814" t="s">
        <v>1752</v>
      </c>
    </row>
    <row r="815" spans="1:16" x14ac:dyDescent="0.25">
      <c r="A815" t="s">
        <v>2276</v>
      </c>
      <c r="B815" t="s">
        <v>2138</v>
      </c>
      <c r="C815" t="s">
        <v>1750</v>
      </c>
      <c r="D815" t="s">
        <v>1027</v>
      </c>
      <c r="E815">
        <v>1494</v>
      </c>
      <c r="F815" t="s">
        <v>1751</v>
      </c>
      <c r="G815" t="b">
        <v>0</v>
      </c>
      <c r="H815" t="b">
        <v>0</v>
      </c>
      <c r="I815" t="s">
        <v>1050</v>
      </c>
      <c r="J815">
        <v>85</v>
      </c>
      <c r="K815" t="s">
        <v>1</v>
      </c>
      <c r="L815" t="s">
        <v>1547</v>
      </c>
      <c r="M815" t="s">
        <v>1548</v>
      </c>
      <c r="N815" t="s">
        <v>1548</v>
      </c>
      <c r="O815" t="s">
        <v>1548</v>
      </c>
      <c r="P815" t="s">
        <v>1752</v>
      </c>
    </row>
    <row r="816" spans="1:16" x14ac:dyDescent="0.25">
      <c r="A816" t="s">
        <v>2277</v>
      </c>
      <c r="B816" t="s">
        <v>2138</v>
      </c>
      <c r="C816" t="s">
        <v>1750</v>
      </c>
      <c r="D816" t="s">
        <v>1027</v>
      </c>
      <c r="E816">
        <v>1494</v>
      </c>
      <c r="F816" t="s">
        <v>1751</v>
      </c>
      <c r="G816" t="b">
        <v>0</v>
      </c>
      <c r="H816" t="b">
        <v>0</v>
      </c>
      <c r="I816" t="s">
        <v>1050</v>
      </c>
      <c r="J816">
        <v>85</v>
      </c>
      <c r="K816" t="s">
        <v>1</v>
      </c>
      <c r="L816" t="s">
        <v>1547</v>
      </c>
      <c r="M816" t="s">
        <v>1548</v>
      </c>
      <c r="N816" t="s">
        <v>1548</v>
      </c>
      <c r="O816" t="s">
        <v>1548</v>
      </c>
      <c r="P816" t="s">
        <v>1752</v>
      </c>
    </row>
    <row r="817" spans="1:16" x14ac:dyDescent="0.25">
      <c r="A817" t="s">
        <v>2278</v>
      </c>
      <c r="B817" t="s">
        <v>2138</v>
      </c>
      <c r="C817" t="s">
        <v>1750</v>
      </c>
      <c r="D817" t="s">
        <v>1027</v>
      </c>
      <c r="E817">
        <v>1494</v>
      </c>
      <c r="F817" t="s">
        <v>1751</v>
      </c>
      <c r="G817" t="b">
        <v>0</v>
      </c>
      <c r="H817" t="b">
        <v>0</v>
      </c>
      <c r="I817" t="s">
        <v>1050</v>
      </c>
      <c r="J817">
        <v>85</v>
      </c>
      <c r="K817" t="s">
        <v>1</v>
      </c>
      <c r="L817" t="s">
        <v>1547</v>
      </c>
      <c r="M817" t="s">
        <v>1548</v>
      </c>
      <c r="N817" t="s">
        <v>1548</v>
      </c>
      <c r="O817" t="s">
        <v>1548</v>
      </c>
      <c r="P817" t="s">
        <v>1752</v>
      </c>
    </row>
    <row r="818" spans="1:16" x14ac:dyDescent="0.25">
      <c r="A818" t="s">
        <v>2279</v>
      </c>
      <c r="B818" t="s">
        <v>2138</v>
      </c>
      <c r="C818" t="s">
        <v>1750</v>
      </c>
      <c r="D818" t="s">
        <v>1027</v>
      </c>
      <c r="E818">
        <v>1494</v>
      </c>
      <c r="F818" t="s">
        <v>1751</v>
      </c>
      <c r="G818" t="b">
        <v>0</v>
      </c>
      <c r="H818" t="b">
        <v>0</v>
      </c>
      <c r="I818" t="s">
        <v>1050</v>
      </c>
      <c r="J818">
        <v>85</v>
      </c>
      <c r="K818" t="s">
        <v>1</v>
      </c>
      <c r="L818" t="s">
        <v>1547</v>
      </c>
      <c r="M818" t="s">
        <v>1548</v>
      </c>
      <c r="N818" t="s">
        <v>1548</v>
      </c>
      <c r="O818" t="s">
        <v>1548</v>
      </c>
      <c r="P818" t="s">
        <v>1752</v>
      </c>
    </row>
    <row r="819" spans="1:16" x14ac:dyDescent="0.25">
      <c r="A819" t="s">
        <v>2280</v>
      </c>
      <c r="B819" t="s">
        <v>2138</v>
      </c>
      <c r="C819" t="s">
        <v>1750</v>
      </c>
      <c r="D819" t="s">
        <v>1027</v>
      </c>
      <c r="E819">
        <v>1494</v>
      </c>
      <c r="F819" t="s">
        <v>1751</v>
      </c>
      <c r="G819" t="b">
        <v>0</v>
      </c>
      <c r="H819" t="b">
        <v>0</v>
      </c>
      <c r="I819" t="s">
        <v>1050</v>
      </c>
      <c r="J819">
        <v>85</v>
      </c>
      <c r="K819" t="s">
        <v>1</v>
      </c>
      <c r="L819" t="s">
        <v>1547</v>
      </c>
      <c r="M819" t="s">
        <v>1548</v>
      </c>
      <c r="N819" t="s">
        <v>1548</v>
      </c>
      <c r="O819" t="s">
        <v>1548</v>
      </c>
      <c r="P819" t="s">
        <v>1752</v>
      </c>
    </row>
    <row r="820" spans="1:16" x14ac:dyDescent="0.25">
      <c r="A820" t="s">
        <v>2281</v>
      </c>
      <c r="B820" t="s">
        <v>2138</v>
      </c>
      <c r="C820" t="s">
        <v>1750</v>
      </c>
      <c r="D820" t="s">
        <v>1027</v>
      </c>
      <c r="E820">
        <v>1494</v>
      </c>
      <c r="F820" t="s">
        <v>1751</v>
      </c>
      <c r="G820" t="b">
        <v>0</v>
      </c>
      <c r="H820" t="b">
        <v>0</v>
      </c>
      <c r="I820" t="s">
        <v>1050</v>
      </c>
      <c r="J820">
        <v>85</v>
      </c>
      <c r="K820" t="s">
        <v>1</v>
      </c>
      <c r="L820" t="s">
        <v>1547</v>
      </c>
      <c r="M820" t="s">
        <v>1548</v>
      </c>
      <c r="N820" t="s">
        <v>1548</v>
      </c>
      <c r="O820" t="s">
        <v>1548</v>
      </c>
      <c r="P820" t="s">
        <v>1752</v>
      </c>
    </row>
    <row r="821" spans="1:16" x14ac:dyDescent="0.25">
      <c r="A821" t="s">
        <v>2282</v>
      </c>
      <c r="B821" t="s">
        <v>2138</v>
      </c>
      <c r="C821" t="s">
        <v>1750</v>
      </c>
      <c r="D821" t="s">
        <v>1027</v>
      </c>
      <c r="E821">
        <v>1494</v>
      </c>
      <c r="F821" t="s">
        <v>1751</v>
      </c>
      <c r="G821" t="b">
        <v>0</v>
      </c>
      <c r="H821" t="b">
        <v>0</v>
      </c>
      <c r="I821" t="s">
        <v>1050</v>
      </c>
      <c r="J821">
        <v>85</v>
      </c>
      <c r="K821" t="s">
        <v>1</v>
      </c>
      <c r="L821" t="s">
        <v>1547</v>
      </c>
      <c r="M821" t="s">
        <v>1548</v>
      </c>
      <c r="N821" t="s">
        <v>1548</v>
      </c>
      <c r="O821" t="s">
        <v>1548</v>
      </c>
      <c r="P821" t="s">
        <v>1752</v>
      </c>
    </row>
    <row r="822" spans="1:16" x14ac:dyDescent="0.25">
      <c r="A822" t="s">
        <v>2283</v>
      </c>
      <c r="B822" t="s">
        <v>2138</v>
      </c>
      <c r="C822" t="s">
        <v>1750</v>
      </c>
      <c r="D822" t="s">
        <v>1027</v>
      </c>
      <c r="E822">
        <v>1494</v>
      </c>
      <c r="F822" t="s">
        <v>1751</v>
      </c>
      <c r="G822" t="b">
        <v>0</v>
      </c>
      <c r="H822" t="b">
        <v>0</v>
      </c>
      <c r="I822" t="s">
        <v>1050</v>
      </c>
      <c r="J822">
        <v>85</v>
      </c>
      <c r="K822" t="s">
        <v>1</v>
      </c>
      <c r="L822" t="s">
        <v>1547</v>
      </c>
      <c r="M822" t="s">
        <v>1548</v>
      </c>
      <c r="N822" t="s">
        <v>1548</v>
      </c>
      <c r="O822" t="s">
        <v>1548</v>
      </c>
      <c r="P822" t="s">
        <v>1752</v>
      </c>
    </row>
    <row r="823" spans="1:16" x14ac:dyDescent="0.25">
      <c r="A823" t="s">
        <v>2284</v>
      </c>
      <c r="B823" t="s">
        <v>2138</v>
      </c>
      <c r="C823" t="s">
        <v>1750</v>
      </c>
      <c r="D823" t="s">
        <v>1027</v>
      </c>
      <c r="E823">
        <v>1494</v>
      </c>
      <c r="F823" t="s">
        <v>1751</v>
      </c>
      <c r="G823" t="b">
        <v>0</v>
      </c>
      <c r="H823" t="b">
        <v>0</v>
      </c>
      <c r="I823" t="s">
        <v>1050</v>
      </c>
      <c r="J823">
        <v>85</v>
      </c>
      <c r="K823" t="s">
        <v>1</v>
      </c>
      <c r="L823" t="s">
        <v>1547</v>
      </c>
      <c r="M823" t="s">
        <v>1548</v>
      </c>
      <c r="N823" t="s">
        <v>1548</v>
      </c>
      <c r="O823" t="s">
        <v>1548</v>
      </c>
      <c r="P823" t="s">
        <v>1752</v>
      </c>
    </row>
    <row r="824" spans="1:16" x14ac:dyDescent="0.25">
      <c r="A824" t="s">
        <v>2285</v>
      </c>
      <c r="B824" t="s">
        <v>2138</v>
      </c>
      <c r="C824" t="s">
        <v>1750</v>
      </c>
      <c r="D824" t="s">
        <v>1027</v>
      </c>
      <c r="E824">
        <v>1494</v>
      </c>
      <c r="F824" t="s">
        <v>1751</v>
      </c>
      <c r="G824" t="b">
        <v>0</v>
      </c>
      <c r="H824" t="b">
        <v>0</v>
      </c>
      <c r="I824" t="s">
        <v>1050</v>
      </c>
      <c r="J824">
        <v>85</v>
      </c>
      <c r="K824" t="s">
        <v>1</v>
      </c>
      <c r="L824" t="s">
        <v>1547</v>
      </c>
      <c r="M824" t="s">
        <v>1548</v>
      </c>
      <c r="N824" t="s">
        <v>1548</v>
      </c>
      <c r="O824" t="s">
        <v>1548</v>
      </c>
      <c r="P824" t="s">
        <v>1752</v>
      </c>
    </row>
    <row r="825" spans="1:16" x14ac:dyDescent="0.25">
      <c r="A825" t="s">
        <v>2286</v>
      </c>
      <c r="B825" t="s">
        <v>2138</v>
      </c>
      <c r="C825" t="s">
        <v>1750</v>
      </c>
      <c r="D825" t="s">
        <v>1027</v>
      </c>
      <c r="E825">
        <v>1494</v>
      </c>
      <c r="F825" t="s">
        <v>1751</v>
      </c>
      <c r="G825" t="b">
        <v>0</v>
      </c>
      <c r="H825" t="b">
        <v>0</v>
      </c>
      <c r="I825" t="s">
        <v>1050</v>
      </c>
      <c r="J825">
        <v>85</v>
      </c>
      <c r="K825" t="s">
        <v>1</v>
      </c>
      <c r="L825" t="s">
        <v>1547</v>
      </c>
      <c r="M825" t="s">
        <v>1548</v>
      </c>
      <c r="N825" t="s">
        <v>1548</v>
      </c>
      <c r="O825" t="s">
        <v>1548</v>
      </c>
      <c r="P825" t="s">
        <v>1752</v>
      </c>
    </row>
    <row r="826" spans="1:16" x14ac:dyDescent="0.25">
      <c r="A826" t="s">
        <v>2287</v>
      </c>
      <c r="B826" t="s">
        <v>2138</v>
      </c>
      <c r="C826" t="s">
        <v>1750</v>
      </c>
      <c r="D826" t="s">
        <v>1027</v>
      </c>
      <c r="E826">
        <v>1494</v>
      </c>
      <c r="F826" t="s">
        <v>1751</v>
      </c>
      <c r="G826" t="b">
        <v>0</v>
      </c>
      <c r="H826" t="b">
        <v>0</v>
      </c>
      <c r="I826" t="s">
        <v>1050</v>
      </c>
      <c r="J826">
        <v>85</v>
      </c>
      <c r="K826" t="s">
        <v>1</v>
      </c>
      <c r="L826" t="s">
        <v>1547</v>
      </c>
      <c r="M826" t="s">
        <v>1548</v>
      </c>
      <c r="N826" t="s">
        <v>1548</v>
      </c>
      <c r="O826" t="s">
        <v>1548</v>
      </c>
      <c r="P826" t="s">
        <v>1752</v>
      </c>
    </row>
    <row r="827" spans="1:16" x14ac:dyDescent="0.25">
      <c r="A827" t="s">
        <v>2288</v>
      </c>
      <c r="B827" t="s">
        <v>2138</v>
      </c>
      <c r="C827" t="s">
        <v>1750</v>
      </c>
      <c r="D827" t="s">
        <v>1027</v>
      </c>
      <c r="E827">
        <v>1494</v>
      </c>
      <c r="F827" t="s">
        <v>1751</v>
      </c>
      <c r="G827" t="b">
        <v>0</v>
      </c>
      <c r="H827" t="b">
        <v>0</v>
      </c>
      <c r="I827" t="s">
        <v>1050</v>
      </c>
      <c r="J827">
        <v>85</v>
      </c>
      <c r="K827" t="s">
        <v>1</v>
      </c>
      <c r="L827" t="s">
        <v>1547</v>
      </c>
      <c r="M827" t="s">
        <v>1548</v>
      </c>
      <c r="N827" t="s">
        <v>1548</v>
      </c>
      <c r="O827" t="s">
        <v>1548</v>
      </c>
      <c r="P827" t="s">
        <v>1752</v>
      </c>
    </row>
    <row r="828" spans="1:16" x14ac:dyDescent="0.25">
      <c r="A828" t="s">
        <v>2289</v>
      </c>
      <c r="B828" t="s">
        <v>2138</v>
      </c>
      <c r="C828" t="s">
        <v>1750</v>
      </c>
      <c r="D828" t="s">
        <v>1027</v>
      </c>
      <c r="E828">
        <v>1494</v>
      </c>
      <c r="F828" t="s">
        <v>1751</v>
      </c>
      <c r="G828" t="b">
        <v>0</v>
      </c>
      <c r="H828" t="b">
        <v>0</v>
      </c>
      <c r="I828" t="s">
        <v>1050</v>
      </c>
      <c r="J828">
        <v>85</v>
      </c>
      <c r="K828" t="s">
        <v>1</v>
      </c>
      <c r="L828" t="s">
        <v>1547</v>
      </c>
      <c r="M828" t="s">
        <v>1548</v>
      </c>
      <c r="N828" t="s">
        <v>1548</v>
      </c>
      <c r="O828" t="s">
        <v>1548</v>
      </c>
      <c r="P828" t="s">
        <v>1752</v>
      </c>
    </row>
    <row r="829" spans="1:16" x14ac:dyDescent="0.25">
      <c r="A829" t="s">
        <v>2290</v>
      </c>
      <c r="B829" t="s">
        <v>2138</v>
      </c>
      <c r="C829" t="s">
        <v>1750</v>
      </c>
      <c r="D829" t="s">
        <v>1027</v>
      </c>
      <c r="E829">
        <v>1494</v>
      </c>
      <c r="F829" t="s">
        <v>1751</v>
      </c>
      <c r="G829" t="b">
        <v>0</v>
      </c>
      <c r="H829" t="b">
        <v>0</v>
      </c>
      <c r="I829" t="s">
        <v>1050</v>
      </c>
      <c r="J829">
        <v>85</v>
      </c>
      <c r="K829" t="s">
        <v>1</v>
      </c>
      <c r="L829" t="s">
        <v>1547</v>
      </c>
      <c r="M829" t="s">
        <v>1548</v>
      </c>
      <c r="N829" t="s">
        <v>1548</v>
      </c>
      <c r="O829" t="s">
        <v>1548</v>
      </c>
      <c r="P829" t="s">
        <v>1752</v>
      </c>
    </row>
    <row r="830" spans="1:16" x14ac:dyDescent="0.25">
      <c r="A830" t="s">
        <v>2291</v>
      </c>
      <c r="B830" t="s">
        <v>2138</v>
      </c>
      <c r="C830" t="s">
        <v>1750</v>
      </c>
      <c r="D830" t="s">
        <v>1027</v>
      </c>
      <c r="E830">
        <v>1494</v>
      </c>
      <c r="F830" t="s">
        <v>1751</v>
      </c>
      <c r="G830" t="b">
        <v>0</v>
      </c>
      <c r="H830" t="b">
        <v>0</v>
      </c>
      <c r="I830" t="s">
        <v>1050</v>
      </c>
      <c r="J830">
        <v>85</v>
      </c>
      <c r="K830" t="s">
        <v>1</v>
      </c>
      <c r="L830" t="s">
        <v>1547</v>
      </c>
      <c r="M830" t="s">
        <v>1548</v>
      </c>
      <c r="N830" t="s">
        <v>1548</v>
      </c>
      <c r="O830" t="s">
        <v>1548</v>
      </c>
      <c r="P830" t="s">
        <v>1752</v>
      </c>
    </row>
    <row r="831" spans="1:16" x14ac:dyDescent="0.25">
      <c r="A831" t="s">
        <v>2292</v>
      </c>
      <c r="B831" t="s">
        <v>2138</v>
      </c>
      <c r="C831" t="s">
        <v>1750</v>
      </c>
      <c r="D831" t="s">
        <v>1027</v>
      </c>
      <c r="E831">
        <v>1494</v>
      </c>
      <c r="F831" t="s">
        <v>1751</v>
      </c>
      <c r="G831" t="b">
        <v>0</v>
      </c>
      <c r="H831" t="b">
        <v>0</v>
      </c>
      <c r="I831" t="s">
        <v>1050</v>
      </c>
      <c r="J831">
        <v>85</v>
      </c>
      <c r="K831" t="s">
        <v>1</v>
      </c>
      <c r="L831" t="s">
        <v>1547</v>
      </c>
      <c r="M831" t="s">
        <v>1548</v>
      </c>
      <c r="N831" t="s">
        <v>1548</v>
      </c>
      <c r="O831" t="s">
        <v>1548</v>
      </c>
      <c r="P831" t="s">
        <v>1752</v>
      </c>
    </row>
    <row r="832" spans="1:16" x14ac:dyDescent="0.25">
      <c r="A832" t="s">
        <v>2293</v>
      </c>
      <c r="B832" t="s">
        <v>2138</v>
      </c>
      <c r="C832" t="s">
        <v>1750</v>
      </c>
      <c r="D832" t="s">
        <v>1027</v>
      </c>
      <c r="E832">
        <v>1494</v>
      </c>
      <c r="F832" t="s">
        <v>1751</v>
      </c>
      <c r="G832" t="b">
        <v>0</v>
      </c>
      <c r="H832" t="b">
        <v>0</v>
      </c>
      <c r="I832" t="s">
        <v>1050</v>
      </c>
      <c r="J832">
        <v>85</v>
      </c>
      <c r="K832" t="s">
        <v>1</v>
      </c>
      <c r="L832" t="s">
        <v>1547</v>
      </c>
      <c r="M832" t="s">
        <v>1548</v>
      </c>
      <c r="N832" t="s">
        <v>1548</v>
      </c>
      <c r="O832" t="s">
        <v>1548</v>
      </c>
      <c r="P832" t="s">
        <v>1752</v>
      </c>
    </row>
    <row r="833" spans="1:16" x14ac:dyDescent="0.25">
      <c r="A833" t="s">
        <v>2294</v>
      </c>
      <c r="B833" t="s">
        <v>2138</v>
      </c>
      <c r="C833" t="s">
        <v>1750</v>
      </c>
      <c r="D833" t="s">
        <v>1027</v>
      </c>
      <c r="E833">
        <v>1494</v>
      </c>
      <c r="F833" t="s">
        <v>1751</v>
      </c>
      <c r="G833" t="b">
        <v>0</v>
      </c>
      <c r="H833" t="b">
        <v>0</v>
      </c>
      <c r="I833" t="s">
        <v>1050</v>
      </c>
      <c r="J833">
        <v>85</v>
      </c>
      <c r="K833" t="s">
        <v>1</v>
      </c>
      <c r="L833" t="s">
        <v>1547</v>
      </c>
      <c r="M833" t="s">
        <v>1548</v>
      </c>
      <c r="N833" t="s">
        <v>1548</v>
      </c>
      <c r="O833" t="s">
        <v>1548</v>
      </c>
      <c r="P833" t="s">
        <v>1752</v>
      </c>
    </row>
    <row r="834" spans="1:16" x14ac:dyDescent="0.25">
      <c r="A834" t="s">
        <v>2295</v>
      </c>
      <c r="B834" t="s">
        <v>2138</v>
      </c>
      <c r="C834" t="s">
        <v>1750</v>
      </c>
      <c r="D834" t="s">
        <v>1027</v>
      </c>
      <c r="E834">
        <v>1494</v>
      </c>
      <c r="F834" t="s">
        <v>1751</v>
      </c>
      <c r="G834" t="b">
        <v>0</v>
      </c>
      <c r="H834" t="b">
        <v>0</v>
      </c>
      <c r="I834" t="s">
        <v>1050</v>
      </c>
      <c r="J834">
        <v>85</v>
      </c>
      <c r="K834" t="s">
        <v>1</v>
      </c>
      <c r="L834" t="s">
        <v>1547</v>
      </c>
      <c r="M834" t="s">
        <v>1548</v>
      </c>
      <c r="N834" t="s">
        <v>1548</v>
      </c>
      <c r="O834" t="s">
        <v>1548</v>
      </c>
      <c r="P834" t="s">
        <v>1752</v>
      </c>
    </row>
    <row r="835" spans="1:16" x14ac:dyDescent="0.25">
      <c r="A835" t="s">
        <v>2296</v>
      </c>
      <c r="B835" t="s">
        <v>2138</v>
      </c>
      <c r="C835" t="s">
        <v>1750</v>
      </c>
      <c r="D835" t="s">
        <v>1027</v>
      </c>
      <c r="E835">
        <v>1494</v>
      </c>
      <c r="F835" t="s">
        <v>1751</v>
      </c>
      <c r="G835" t="b">
        <v>0</v>
      </c>
      <c r="H835" t="b">
        <v>0</v>
      </c>
      <c r="I835" t="s">
        <v>1050</v>
      </c>
      <c r="J835">
        <v>85</v>
      </c>
      <c r="K835" t="s">
        <v>1</v>
      </c>
      <c r="L835" t="s">
        <v>1547</v>
      </c>
      <c r="M835" t="s">
        <v>1548</v>
      </c>
      <c r="N835" t="s">
        <v>1548</v>
      </c>
      <c r="O835" t="s">
        <v>1548</v>
      </c>
      <c r="P835" t="s">
        <v>1752</v>
      </c>
    </row>
    <row r="836" spans="1:16" x14ac:dyDescent="0.25">
      <c r="A836" t="s">
        <v>2297</v>
      </c>
      <c r="B836" t="s">
        <v>2138</v>
      </c>
      <c r="C836" t="s">
        <v>1750</v>
      </c>
      <c r="D836" t="s">
        <v>1027</v>
      </c>
      <c r="E836">
        <v>1494</v>
      </c>
      <c r="F836" t="s">
        <v>1751</v>
      </c>
      <c r="G836" t="b">
        <v>0</v>
      </c>
      <c r="H836" t="b">
        <v>0</v>
      </c>
      <c r="I836" t="s">
        <v>1050</v>
      </c>
      <c r="J836">
        <v>85</v>
      </c>
      <c r="K836" t="s">
        <v>1</v>
      </c>
      <c r="L836" t="s">
        <v>1547</v>
      </c>
      <c r="M836" t="s">
        <v>1548</v>
      </c>
      <c r="N836" t="s">
        <v>1548</v>
      </c>
      <c r="O836" t="s">
        <v>1548</v>
      </c>
      <c r="P836" t="s">
        <v>1752</v>
      </c>
    </row>
    <row r="837" spans="1:16" x14ac:dyDescent="0.25">
      <c r="A837" t="s">
        <v>2298</v>
      </c>
      <c r="B837" t="s">
        <v>2138</v>
      </c>
      <c r="C837" t="s">
        <v>1750</v>
      </c>
      <c r="D837" t="s">
        <v>1027</v>
      </c>
      <c r="E837">
        <v>1494</v>
      </c>
      <c r="F837" t="s">
        <v>1751</v>
      </c>
      <c r="G837" t="b">
        <v>0</v>
      </c>
      <c r="H837" t="b">
        <v>0</v>
      </c>
      <c r="I837" t="s">
        <v>1050</v>
      </c>
      <c r="J837">
        <v>85</v>
      </c>
      <c r="K837" t="s">
        <v>1</v>
      </c>
      <c r="L837" t="s">
        <v>1547</v>
      </c>
      <c r="M837" t="s">
        <v>1548</v>
      </c>
      <c r="N837" t="s">
        <v>1548</v>
      </c>
      <c r="O837" t="s">
        <v>1548</v>
      </c>
      <c r="P837" t="s">
        <v>1752</v>
      </c>
    </row>
    <row r="838" spans="1:16" x14ac:dyDescent="0.25">
      <c r="A838" t="s">
        <v>2299</v>
      </c>
      <c r="B838" t="s">
        <v>2138</v>
      </c>
      <c r="C838" t="s">
        <v>1750</v>
      </c>
      <c r="D838" t="s">
        <v>1027</v>
      </c>
      <c r="E838">
        <v>1494</v>
      </c>
      <c r="F838" t="s">
        <v>1751</v>
      </c>
      <c r="G838" t="b">
        <v>0</v>
      </c>
      <c r="H838" t="b">
        <v>0</v>
      </c>
      <c r="I838" t="s">
        <v>1050</v>
      </c>
      <c r="J838">
        <v>85</v>
      </c>
      <c r="K838" t="s">
        <v>1</v>
      </c>
      <c r="L838" t="s">
        <v>1547</v>
      </c>
      <c r="M838" t="s">
        <v>1548</v>
      </c>
      <c r="N838" t="s">
        <v>1548</v>
      </c>
      <c r="O838" t="s">
        <v>1548</v>
      </c>
      <c r="P838" t="s">
        <v>1752</v>
      </c>
    </row>
    <row r="839" spans="1:16" x14ac:dyDescent="0.25">
      <c r="A839" t="s">
        <v>2300</v>
      </c>
      <c r="B839" t="s">
        <v>2138</v>
      </c>
      <c r="C839" t="s">
        <v>1750</v>
      </c>
      <c r="D839" t="s">
        <v>1027</v>
      </c>
      <c r="E839">
        <v>1494</v>
      </c>
      <c r="F839" t="s">
        <v>1751</v>
      </c>
      <c r="G839" t="b">
        <v>0</v>
      </c>
      <c r="H839" t="b">
        <v>0</v>
      </c>
      <c r="I839" t="s">
        <v>1050</v>
      </c>
      <c r="J839">
        <v>85</v>
      </c>
      <c r="K839" t="s">
        <v>1</v>
      </c>
      <c r="L839" t="s">
        <v>1547</v>
      </c>
      <c r="M839" t="s">
        <v>1548</v>
      </c>
      <c r="N839" t="s">
        <v>1548</v>
      </c>
      <c r="O839" t="s">
        <v>1548</v>
      </c>
      <c r="P839" t="s">
        <v>1752</v>
      </c>
    </row>
    <row r="840" spans="1:16" x14ac:dyDescent="0.25">
      <c r="A840" t="s">
        <v>2301</v>
      </c>
      <c r="B840" t="s">
        <v>2138</v>
      </c>
      <c r="C840" t="s">
        <v>1750</v>
      </c>
      <c r="D840" t="s">
        <v>1027</v>
      </c>
      <c r="E840">
        <v>1494</v>
      </c>
      <c r="F840" t="s">
        <v>1751</v>
      </c>
      <c r="G840" t="b">
        <v>0</v>
      </c>
      <c r="H840" t="b">
        <v>0</v>
      </c>
      <c r="I840" t="s">
        <v>1050</v>
      </c>
      <c r="J840">
        <v>85</v>
      </c>
      <c r="K840" t="s">
        <v>1</v>
      </c>
      <c r="L840" t="s">
        <v>1547</v>
      </c>
      <c r="M840" t="s">
        <v>1548</v>
      </c>
      <c r="N840" t="s">
        <v>1548</v>
      </c>
      <c r="O840" t="s">
        <v>1548</v>
      </c>
      <c r="P840" t="s">
        <v>1752</v>
      </c>
    </row>
    <row r="841" spans="1:16" x14ac:dyDescent="0.25">
      <c r="A841" t="s">
        <v>2302</v>
      </c>
      <c r="B841" t="s">
        <v>2138</v>
      </c>
      <c r="C841" t="s">
        <v>1750</v>
      </c>
      <c r="D841" t="s">
        <v>1027</v>
      </c>
      <c r="E841">
        <v>1494</v>
      </c>
      <c r="F841" t="s">
        <v>1751</v>
      </c>
      <c r="G841" t="b">
        <v>0</v>
      </c>
      <c r="H841" t="b">
        <v>0</v>
      </c>
      <c r="I841" t="s">
        <v>1050</v>
      </c>
      <c r="J841">
        <v>85</v>
      </c>
      <c r="K841" t="s">
        <v>1</v>
      </c>
      <c r="L841" t="s">
        <v>1547</v>
      </c>
      <c r="M841" t="s">
        <v>1548</v>
      </c>
      <c r="N841" t="s">
        <v>1548</v>
      </c>
      <c r="O841" t="s">
        <v>1548</v>
      </c>
      <c r="P841" t="s">
        <v>1752</v>
      </c>
    </row>
    <row r="842" spans="1:16" x14ac:dyDescent="0.25">
      <c r="A842" t="s">
        <v>2303</v>
      </c>
      <c r="B842" t="s">
        <v>2138</v>
      </c>
      <c r="C842" t="s">
        <v>1750</v>
      </c>
      <c r="D842" t="s">
        <v>1027</v>
      </c>
      <c r="E842">
        <v>1494</v>
      </c>
      <c r="F842" t="s">
        <v>1751</v>
      </c>
      <c r="G842" t="b">
        <v>0</v>
      </c>
      <c r="H842" t="b">
        <v>0</v>
      </c>
      <c r="I842" t="s">
        <v>1050</v>
      </c>
      <c r="J842">
        <v>85</v>
      </c>
      <c r="K842" t="s">
        <v>1</v>
      </c>
      <c r="L842" t="s">
        <v>1547</v>
      </c>
      <c r="M842" t="s">
        <v>1548</v>
      </c>
      <c r="N842" t="s">
        <v>1548</v>
      </c>
      <c r="O842" t="s">
        <v>1548</v>
      </c>
      <c r="P842" t="s">
        <v>1752</v>
      </c>
    </row>
    <row r="843" spans="1:16" x14ac:dyDescent="0.25">
      <c r="A843" t="s">
        <v>2304</v>
      </c>
      <c r="B843" t="s">
        <v>2138</v>
      </c>
      <c r="C843" t="s">
        <v>1750</v>
      </c>
      <c r="D843" t="s">
        <v>1027</v>
      </c>
      <c r="E843">
        <v>1494</v>
      </c>
      <c r="F843" t="s">
        <v>1751</v>
      </c>
      <c r="G843" t="b">
        <v>0</v>
      </c>
      <c r="H843" t="b">
        <v>0</v>
      </c>
      <c r="I843" t="s">
        <v>1050</v>
      </c>
      <c r="J843">
        <v>85</v>
      </c>
      <c r="K843" t="s">
        <v>1</v>
      </c>
      <c r="L843" t="s">
        <v>1547</v>
      </c>
      <c r="M843" t="s">
        <v>1548</v>
      </c>
      <c r="N843" t="s">
        <v>1548</v>
      </c>
      <c r="O843" t="s">
        <v>1548</v>
      </c>
      <c r="P843" t="s">
        <v>1752</v>
      </c>
    </row>
    <row r="844" spans="1:16" x14ac:dyDescent="0.25">
      <c r="A844" t="s">
        <v>2305</v>
      </c>
      <c r="B844" t="s">
        <v>2138</v>
      </c>
      <c r="C844" t="s">
        <v>1750</v>
      </c>
      <c r="D844" t="s">
        <v>1027</v>
      </c>
      <c r="E844">
        <v>1494</v>
      </c>
      <c r="F844" t="s">
        <v>1751</v>
      </c>
      <c r="G844" t="b">
        <v>0</v>
      </c>
      <c r="H844" t="b">
        <v>0</v>
      </c>
      <c r="I844" t="s">
        <v>1050</v>
      </c>
      <c r="J844">
        <v>85</v>
      </c>
      <c r="K844" t="s">
        <v>1</v>
      </c>
      <c r="L844" t="s">
        <v>1547</v>
      </c>
      <c r="M844" t="s">
        <v>1548</v>
      </c>
      <c r="N844" t="s">
        <v>1548</v>
      </c>
      <c r="O844" t="s">
        <v>1548</v>
      </c>
      <c r="P844" t="s">
        <v>1752</v>
      </c>
    </row>
    <row r="845" spans="1:16" x14ac:dyDescent="0.25">
      <c r="A845" t="s">
        <v>2306</v>
      </c>
      <c r="B845" t="s">
        <v>2138</v>
      </c>
      <c r="C845" t="s">
        <v>1750</v>
      </c>
      <c r="D845" t="s">
        <v>1027</v>
      </c>
      <c r="E845">
        <v>1494</v>
      </c>
      <c r="F845" t="s">
        <v>1751</v>
      </c>
      <c r="G845" t="b">
        <v>0</v>
      </c>
      <c r="H845" t="b">
        <v>0</v>
      </c>
      <c r="I845" t="s">
        <v>1050</v>
      </c>
      <c r="J845">
        <v>85</v>
      </c>
      <c r="K845" t="s">
        <v>1</v>
      </c>
      <c r="L845" t="s">
        <v>1547</v>
      </c>
      <c r="M845" t="s">
        <v>1548</v>
      </c>
      <c r="N845" t="s">
        <v>1548</v>
      </c>
      <c r="O845" t="s">
        <v>1548</v>
      </c>
      <c r="P845" t="s">
        <v>1752</v>
      </c>
    </row>
    <row r="846" spans="1:16" x14ac:dyDescent="0.25">
      <c r="A846" t="s">
        <v>2307</v>
      </c>
      <c r="B846" t="s">
        <v>2138</v>
      </c>
      <c r="C846" t="s">
        <v>1750</v>
      </c>
      <c r="D846" t="s">
        <v>1027</v>
      </c>
      <c r="E846">
        <v>1494</v>
      </c>
      <c r="F846" t="s">
        <v>1751</v>
      </c>
      <c r="G846" t="b">
        <v>0</v>
      </c>
      <c r="H846" t="b">
        <v>0</v>
      </c>
      <c r="I846" t="s">
        <v>1050</v>
      </c>
      <c r="J846">
        <v>85</v>
      </c>
      <c r="K846" t="s">
        <v>1</v>
      </c>
      <c r="L846" t="s">
        <v>1547</v>
      </c>
      <c r="M846" t="s">
        <v>1548</v>
      </c>
      <c r="N846" t="s">
        <v>1548</v>
      </c>
      <c r="O846" t="s">
        <v>1548</v>
      </c>
      <c r="P846" t="s">
        <v>1752</v>
      </c>
    </row>
    <row r="847" spans="1:16" x14ac:dyDescent="0.25">
      <c r="A847" t="s">
        <v>2308</v>
      </c>
      <c r="B847" t="s">
        <v>2138</v>
      </c>
      <c r="C847" t="s">
        <v>1750</v>
      </c>
      <c r="D847" t="s">
        <v>1027</v>
      </c>
      <c r="E847">
        <v>1494</v>
      </c>
      <c r="F847" t="s">
        <v>1751</v>
      </c>
      <c r="G847" t="b">
        <v>0</v>
      </c>
      <c r="H847" t="b">
        <v>0</v>
      </c>
      <c r="I847" t="s">
        <v>1050</v>
      </c>
      <c r="J847">
        <v>85</v>
      </c>
      <c r="K847" t="s">
        <v>1</v>
      </c>
      <c r="L847" t="s">
        <v>1547</v>
      </c>
      <c r="M847" t="s">
        <v>1548</v>
      </c>
      <c r="N847" t="s">
        <v>1548</v>
      </c>
      <c r="O847" t="s">
        <v>1548</v>
      </c>
      <c r="P847" t="s">
        <v>1752</v>
      </c>
    </row>
    <row r="848" spans="1:16" x14ac:dyDescent="0.25">
      <c r="A848" t="s">
        <v>2309</v>
      </c>
      <c r="B848" t="s">
        <v>2138</v>
      </c>
      <c r="C848" t="s">
        <v>1750</v>
      </c>
      <c r="D848" t="s">
        <v>1027</v>
      </c>
      <c r="E848">
        <v>1494</v>
      </c>
      <c r="F848" t="s">
        <v>1751</v>
      </c>
      <c r="G848" t="b">
        <v>0</v>
      </c>
      <c r="H848" t="b">
        <v>0</v>
      </c>
      <c r="I848" t="s">
        <v>1050</v>
      </c>
      <c r="J848">
        <v>85</v>
      </c>
      <c r="K848" t="s">
        <v>1</v>
      </c>
      <c r="L848" t="s">
        <v>1547</v>
      </c>
      <c r="M848" t="s">
        <v>1548</v>
      </c>
      <c r="N848" t="s">
        <v>1548</v>
      </c>
      <c r="O848" t="s">
        <v>1548</v>
      </c>
      <c r="P848" t="s">
        <v>1752</v>
      </c>
    </row>
    <row r="849" spans="1:16" x14ac:dyDescent="0.25">
      <c r="A849" t="s">
        <v>2310</v>
      </c>
      <c r="B849" t="s">
        <v>2138</v>
      </c>
      <c r="C849" t="s">
        <v>1750</v>
      </c>
      <c r="D849" t="s">
        <v>1027</v>
      </c>
      <c r="E849">
        <v>1494</v>
      </c>
      <c r="F849" t="s">
        <v>1751</v>
      </c>
      <c r="G849" t="b">
        <v>0</v>
      </c>
      <c r="H849" t="b">
        <v>0</v>
      </c>
      <c r="I849" t="s">
        <v>1050</v>
      </c>
      <c r="J849">
        <v>85</v>
      </c>
      <c r="K849" t="s">
        <v>1</v>
      </c>
      <c r="L849" t="s">
        <v>1547</v>
      </c>
      <c r="M849" t="s">
        <v>1548</v>
      </c>
      <c r="N849" t="s">
        <v>1548</v>
      </c>
      <c r="O849" t="s">
        <v>1548</v>
      </c>
      <c r="P849" t="s">
        <v>1752</v>
      </c>
    </row>
    <row r="850" spans="1:16" x14ac:dyDescent="0.25">
      <c r="A850" t="s">
        <v>2311</v>
      </c>
      <c r="B850" t="s">
        <v>2138</v>
      </c>
      <c r="C850" t="s">
        <v>1750</v>
      </c>
      <c r="D850" t="s">
        <v>1027</v>
      </c>
      <c r="E850">
        <v>1494</v>
      </c>
      <c r="F850" t="s">
        <v>1751</v>
      </c>
      <c r="G850" t="b">
        <v>0</v>
      </c>
      <c r="H850" t="b">
        <v>0</v>
      </c>
      <c r="I850" t="s">
        <v>1050</v>
      </c>
      <c r="J850">
        <v>85</v>
      </c>
      <c r="K850" t="s">
        <v>1</v>
      </c>
      <c r="L850" t="s">
        <v>1547</v>
      </c>
      <c r="M850" t="s">
        <v>1548</v>
      </c>
      <c r="N850" t="s">
        <v>1548</v>
      </c>
      <c r="O850" t="s">
        <v>1548</v>
      </c>
      <c r="P850" t="s">
        <v>1752</v>
      </c>
    </row>
    <row r="851" spans="1:16" x14ac:dyDescent="0.25">
      <c r="A851" t="s">
        <v>2312</v>
      </c>
      <c r="B851" t="s">
        <v>2138</v>
      </c>
      <c r="C851" t="s">
        <v>1750</v>
      </c>
      <c r="D851" t="s">
        <v>1027</v>
      </c>
      <c r="E851">
        <v>1494</v>
      </c>
      <c r="F851" t="s">
        <v>1751</v>
      </c>
      <c r="G851" t="b">
        <v>0</v>
      </c>
      <c r="H851" t="b">
        <v>0</v>
      </c>
      <c r="I851" t="s">
        <v>1050</v>
      </c>
      <c r="J851">
        <v>85</v>
      </c>
      <c r="K851" t="s">
        <v>1</v>
      </c>
      <c r="L851" t="s">
        <v>1547</v>
      </c>
      <c r="M851" t="s">
        <v>1548</v>
      </c>
      <c r="N851" t="s">
        <v>1548</v>
      </c>
      <c r="O851" t="s">
        <v>1548</v>
      </c>
      <c r="P851" t="s">
        <v>1752</v>
      </c>
    </row>
    <row r="852" spans="1:16" x14ac:dyDescent="0.25">
      <c r="A852" t="s">
        <v>2313</v>
      </c>
      <c r="B852" t="s">
        <v>2138</v>
      </c>
      <c r="C852" t="s">
        <v>1750</v>
      </c>
      <c r="D852" t="s">
        <v>1027</v>
      </c>
      <c r="E852">
        <v>1494</v>
      </c>
      <c r="F852" t="s">
        <v>1751</v>
      </c>
      <c r="G852" t="b">
        <v>0</v>
      </c>
      <c r="H852" t="b">
        <v>0</v>
      </c>
      <c r="I852" t="s">
        <v>1050</v>
      </c>
      <c r="J852">
        <v>85</v>
      </c>
      <c r="K852" t="s">
        <v>1</v>
      </c>
      <c r="L852" t="s">
        <v>1547</v>
      </c>
      <c r="M852" t="s">
        <v>1548</v>
      </c>
      <c r="N852" t="s">
        <v>1548</v>
      </c>
      <c r="O852" t="s">
        <v>1548</v>
      </c>
      <c r="P852" t="s">
        <v>1752</v>
      </c>
    </row>
    <row r="853" spans="1:16" x14ac:dyDescent="0.25">
      <c r="A853" t="s">
        <v>2314</v>
      </c>
      <c r="B853" t="s">
        <v>2138</v>
      </c>
      <c r="C853" t="s">
        <v>1750</v>
      </c>
      <c r="D853" t="s">
        <v>1027</v>
      </c>
      <c r="E853">
        <v>1494</v>
      </c>
      <c r="F853" t="s">
        <v>1751</v>
      </c>
      <c r="G853" t="b">
        <v>0</v>
      </c>
      <c r="H853" t="b">
        <v>0</v>
      </c>
      <c r="I853" t="s">
        <v>1050</v>
      </c>
      <c r="J853">
        <v>85</v>
      </c>
      <c r="K853" t="s">
        <v>1</v>
      </c>
      <c r="L853" t="s">
        <v>1547</v>
      </c>
      <c r="M853" t="s">
        <v>1548</v>
      </c>
      <c r="N853" t="s">
        <v>1548</v>
      </c>
      <c r="O853" t="s">
        <v>1548</v>
      </c>
      <c r="P853" t="s">
        <v>1752</v>
      </c>
    </row>
    <row r="854" spans="1:16" x14ac:dyDescent="0.25">
      <c r="A854" t="s">
        <v>2315</v>
      </c>
      <c r="B854" t="s">
        <v>2138</v>
      </c>
      <c r="C854" t="s">
        <v>1750</v>
      </c>
      <c r="D854" t="s">
        <v>1027</v>
      </c>
      <c r="E854">
        <v>1494</v>
      </c>
      <c r="F854" t="s">
        <v>1751</v>
      </c>
      <c r="G854" t="b">
        <v>0</v>
      </c>
      <c r="H854" t="b">
        <v>0</v>
      </c>
      <c r="I854" t="s">
        <v>1050</v>
      </c>
      <c r="J854">
        <v>85</v>
      </c>
      <c r="K854" t="s">
        <v>1</v>
      </c>
      <c r="L854" t="s">
        <v>1547</v>
      </c>
      <c r="M854" t="s">
        <v>1548</v>
      </c>
      <c r="N854" t="s">
        <v>1548</v>
      </c>
      <c r="O854" t="s">
        <v>1548</v>
      </c>
      <c r="P854" t="s">
        <v>1752</v>
      </c>
    </row>
    <row r="855" spans="1:16" x14ac:dyDescent="0.25">
      <c r="A855" t="s">
        <v>2316</v>
      </c>
      <c r="B855" t="s">
        <v>2138</v>
      </c>
      <c r="C855" t="s">
        <v>1750</v>
      </c>
      <c r="D855" t="s">
        <v>1027</v>
      </c>
      <c r="E855">
        <v>1494</v>
      </c>
      <c r="F855" t="s">
        <v>1751</v>
      </c>
      <c r="G855" t="b">
        <v>0</v>
      </c>
      <c r="H855" t="b">
        <v>0</v>
      </c>
      <c r="I855" t="s">
        <v>1050</v>
      </c>
      <c r="J855">
        <v>85</v>
      </c>
      <c r="K855" t="s">
        <v>1</v>
      </c>
      <c r="L855" t="s">
        <v>1547</v>
      </c>
      <c r="M855" t="s">
        <v>1548</v>
      </c>
      <c r="N855" t="s">
        <v>1548</v>
      </c>
      <c r="O855" t="s">
        <v>1548</v>
      </c>
      <c r="P855" t="s">
        <v>1752</v>
      </c>
    </row>
    <row r="856" spans="1:16" x14ac:dyDescent="0.25">
      <c r="A856" t="s">
        <v>2317</v>
      </c>
      <c r="B856" t="s">
        <v>2138</v>
      </c>
      <c r="C856" t="s">
        <v>1750</v>
      </c>
      <c r="D856" t="s">
        <v>1027</v>
      </c>
      <c r="E856">
        <v>1494</v>
      </c>
      <c r="F856" t="s">
        <v>1751</v>
      </c>
      <c r="G856" t="b">
        <v>0</v>
      </c>
      <c r="H856" t="b">
        <v>0</v>
      </c>
      <c r="I856" t="s">
        <v>1050</v>
      </c>
      <c r="J856">
        <v>85</v>
      </c>
      <c r="K856" t="s">
        <v>1</v>
      </c>
      <c r="L856" t="s">
        <v>1547</v>
      </c>
      <c r="M856" t="s">
        <v>1548</v>
      </c>
      <c r="N856" t="s">
        <v>1548</v>
      </c>
      <c r="O856" t="s">
        <v>1548</v>
      </c>
      <c r="P856" t="s">
        <v>1752</v>
      </c>
    </row>
    <row r="857" spans="1:16" x14ac:dyDescent="0.25">
      <c r="A857" t="s">
        <v>2318</v>
      </c>
      <c r="B857" t="s">
        <v>2138</v>
      </c>
      <c r="C857" t="s">
        <v>1750</v>
      </c>
      <c r="D857" t="s">
        <v>1027</v>
      </c>
      <c r="E857">
        <v>1494</v>
      </c>
      <c r="F857" t="s">
        <v>1751</v>
      </c>
      <c r="G857" t="b">
        <v>0</v>
      </c>
      <c r="H857" t="b">
        <v>0</v>
      </c>
      <c r="I857" t="s">
        <v>1050</v>
      </c>
      <c r="J857">
        <v>85</v>
      </c>
      <c r="K857" t="s">
        <v>1</v>
      </c>
      <c r="L857" t="s">
        <v>1547</v>
      </c>
      <c r="M857" t="s">
        <v>1548</v>
      </c>
      <c r="N857" t="s">
        <v>1548</v>
      </c>
      <c r="O857" t="s">
        <v>1548</v>
      </c>
      <c r="P857" t="s">
        <v>1752</v>
      </c>
    </row>
    <row r="858" spans="1:16" x14ac:dyDescent="0.25">
      <c r="A858" t="s">
        <v>2319</v>
      </c>
      <c r="B858" t="s">
        <v>2138</v>
      </c>
      <c r="C858" t="s">
        <v>1750</v>
      </c>
      <c r="D858" t="s">
        <v>1027</v>
      </c>
      <c r="E858">
        <v>1494</v>
      </c>
      <c r="F858" t="s">
        <v>1751</v>
      </c>
      <c r="G858" t="b">
        <v>0</v>
      </c>
      <c r="H858" t="b">
        <v>0</v>
      </c>
      <c r="I858" t="s">
        <v>1050</v>
      </c>
      <c r="J858">
        <v>85</v>
      </c>
      <c r="K858" t="s">
        <v>1</v>
      </c>
      <c r="L858" t="s">
        <v>1547</v>
      </c>
      <c r="M858" t="s">
        <v>1548</v>
      </c>
      <c r="N858" t="s">
        <v>1548</v>
      </c>
      <c r="O858" t="s">
        <v>1548</v>
      </c>
      <c r="P858" t="s">
        <v>1752</v>
      </c>
    </row>
    <row r="859" spans="1:16" x14ac:dyDescent="0.25">
      <c r="A859" t="s">
        <v>2320</v>
      </c>
      <c r="B859" t="s">
        <v>2138</v>
      </c>
      <c r="C859" t="s">
        <v>1750</v>
      </c>
      <c r="D859" t="s">
        <v>1027</v>
      </c>
      <c r="E859">
        <v>1494</v>
      </c>
      <c r="F859" t="s">
        <v>1751</v>
      </c>
      <c r="G859" t="b">
        <v>0</v>
      </c>
      <c r="H859" t="b">
        <v>0</v>
      </c>
      <c r="I859" t="s">
        <v>1050</v>
      </c>
      <c r="J859">
        <v>85</v>
      </c>
      <c r="K859" t="s">
        <v>1</v>
      </c>
      <c r="L859" t="s">
        <v>1547</v>
      </c>
      <c r="M859" t="s">
        <v>1548</v>
      </c>
      <c r="N859" t="s">
        <v>1548</v>
      </c>
      <c r="O859" t="s">
        <v>1548</v>
      </c>
      <c r="P859" t="s">
        <v>1752</v>
      </c>
    </row>
    <row r="860" spans="1:16" x14ac:dyDescent="0.25">
      <c r="A860" t="s">
        <v>2321</v>
      </c>
      <c r="B860" t="s">
        <v>2138</v>
      </c>
      <c r="C860" t="s">
        <v>1750</v>
      </c>
      <c r="D860" t="s">
        <v>1027</v>
      </c>
      <c r="E860">
        <v>1494</v>
      </c>
      <c r="F860" t="s">
        <v>1751</v>
      </c>
      <c r="G860" t="b">
        <v>0</v>
      </c>
      <c r="H860" t="b">
        <v>0</v>
      </c>
      <c r="I860" t="s">
        <v>1050</v>
      </c>
      <c r="J860">
        <v>85</v>
      </c>
      <c r="K860" t="s">
        <v>1</v>
      </c>
      <c r="L860" t="s">
        <v>1547</v>
      </c>
      <c r="M860" t="s">
        <v>1548</v>
      </c>
      <c r="N860" t="s">
        <v>1548</v>
      </c>
      <c r="O860" t="s">
        <v>1548</v>
      </c>
      <c r="P860" t="s">
        <v>1752</v>
      </c>
    </row>
    <row r="861" spans="1:16" x14ac:dyDescent="0.25">
      <c r="A861" t="s">
        <v>2322</v>
      </c>
      <c r="B861" t="s">
        <v>2138</v>
      </c>
      <c r="C861" t="s">
        <v>1750</v>
      </c>
      <c r="D861" t="s">
        <v>1027</v>
      </c>
      <c r="E861">
        <v>1494</v>
      </c>
      <c r="F861" t="s">
        <v>1751</v>
      </c>
      <c r="G861" t="b">
        <v>0</v>
      </c>
      <c r="H861" t="b">
        <v>0</v>
      </c>
      <c r="I861" t="s">
        <v>1050</v>
      </c>
      <c r="J861">
        <v>85</v>
      </c>
      <c r="K861" t="s">
        <v>1</v>
      </c>
      <c r="L861" t="s">
        <v>1547</v>
      </c>
      <c r="M861" t="s">
        <v>1548</v>
      </c>
      <c r="N861" t="s">
        <v>1548</v>
      </c>
      <c r="O861" t="s">
        <v>1548</v>
      </c>
      <c r="P861" t="s">
        <v>1752</v>
      </c>
    </row>
    <row r="862" spans="1:16" x14ac:dyDescent="0.25">
      <c r="A862" t="s">
        <v>2323</v>
      </c>
      <c r="B862" t="s">
        <v>2138</v>
      </c>
      <c r="C862" t="s">
        <v>1750</v>
      </c>
      <c r="D862" t="s">
        <v>1027</v>
      </c>
      <c r="E862">
        <v>1494</v>
      </c>
      <c r="F862" t="s">
        <v>1751</v>
      </c>
      <c r="G862" t="b">
        <v>0</v>
      </c>
      <c r="H862" t="b">
        <v>0</v>
      </c>
      <c r="I862" t="s">
        <v>1050</v>
      </c>
      <c r="J862">
        <v>85</v>
      </c>
      <c r="K862" t="s">
        <v>1</v>
      </c>
      <c r="L862" t="s">
        <v>1547</v>
      </c>
      <c r="M862" t="s">
        <v>1548</v>
      </c>
      <c r="N862" t="s">
        <v>1548</v>
      </c>
      <c r="O862" t="s">
        <v>1548</v>
      </c>
      <c r="P862" t="s">
        <v>1752</v>
      </c>
    </row>
    <row r="863" spans="1:16" x14ac:dyDescent="0.25">
      <c r="A863" t="s">
        <v>2324</v>
      </c>
      <c r="B863" t="s">
        <v>2138</v>
      </c>
      <c r="C863" t="s">
        <v>1750</v>
      </c>
      <c r="D863" t="s">
        <v>1027</v>
      </c>
      <c r="E863">
        <v>1494</v>
      </c>
      <c r="F863" t="s">
        <v>1751</v>
      </c>
      <c r="G863" t="b">
        <v>0</v>
      </c>
      <c r="H863" t="b">
        <v>0</v>
      </c>
      <c r="I863" t="s">
        <v>1050</v>
      </c>
      <c r="J863">
        <v>85</v>
      </c>
      <c r="K863" t="s">
        <v>1</v>
      </c>
      <c r="L863" t="s">
        <v>1547</v>
      </c>
      <c r="M863" t="s">
        <v>1548</v>
      </c>
      <c r="N863" t="s">
        <v>1548</v>
      </c>
      <c r="O863" t="s">
        <v>1548</v>
      </c>
      <c r="P863" t="s">
        <v>1752</v>
      </c>
    </row>
    <row r="864" spans="1:16" x14ac:dyDescent="0.25">
      <c r="A864" t="s">
        <v>2325</v>
      </c>
      <c r="B864" t="s">
        <v>2138</v>
      </c>
      <c r="C864" t="s">
        <v>1750</v>
      </c>
      <c r="D864" t="s">
        <v>1027</v>
      </c>
      <c r="E864">
        <v>1494</v>
      </c>
      <c r="F864" t="s">
        <v>1751</v>
      </c>
      <c r="G864" t="b">
        <v>0</v>
      </c>
      <c r="H864" t="b">
        <v>0</v>
      </c>
      <c r="I864" t="s">
        <v>1050</v>
      </c>
      <c r="J864">
        <v>85</v>
      </c>
      <c r="K864" t="s">
        <v>1</v>
      </c>
      <c r="L864" t="s">
        <v>1547</v>
      </c>
      <c r="M864" t="s">
        <v>1548</v>
      </c>
      <c r="N864" t="s">
        <v>1548</v>
      </c>
      <c r="O864" t="s">
        <v>1548</v>
      </c>
      <c r="P864" t="s">
        <v>1752</v>
      </c>
    </row>
    <row r="865" spans="1:16" x14ac:dyDescent="0.25">
      <c r="A865" t="s">
        <v>2326</v>
      </c>
      <c r="B865" t="s">
        <v>2327</v>
      </c>
      <c r="C865" t="s">
        <v>1571</v>
      </c>
      <c r="D865" t="s">
        <v>1027</v>
      </c>
      <c r="E865">
        <v>63767</v>
      </c>
      <c r="G865" t="b">
        <v>0</v>
      </c>
      <c r="H865" t="b">
        <v>0</v>
      </c>
      <c r="I865" t="s">
        <v>1050</v>
      </c>
      <c r="J865">
        <v>80</v>
      </c>
      <c r="K865" t="s">
        <v>0</v>
      </c>
      <c r="L865" t="s">
        <v>1167</v>
      </c>
      <c r="M865" t="s">
        <v>1168</v>
      </c>
      <c r="N865" t="s">
        <v>1169</v>
      </c>
      <c r="O865" t="s">
        <v>1168</v>
      </c>
      <c r="P865" t="s">
        <v>1283</v>
      </c>
    </row>
    <row r="866" spans="1:16" x14ac:dyDescent="0.25">
      <c r="A866" t="s">
        <v>2328</v>
      </c>
      <c r="B866" t="s">
        <v>2329</v>
      </c>
      <c r="C866" t="s">
        <v>1571</v>
      </c>
      <c r="D866" t="s">
        <v>1027</v>
      </c>
      <c r="E866">
        <v>63767</v>
      </c>
      <c r="G866" t="b">
        <v>0</v>
      </c>
      <c r="H866" t="b">
        <v>0</v>
      </c>
      <c r="I866" t="s">
        <v>1050</v>
      </c>
      <c r="J866">
        <v>80</v>
      </c>
      <c r="K866" t="s">
        <v>0</v>
      </c>
      <c r="L866" t="s">
        <v>1167</v>
      </c>
      <c r="M866" t="s">
        <v>1168</v>
      </c>
      <c r="N866" t="s">
        <v>1169</v>
      </c>
      <c r="O866" t="s">
        <v>1168</v>
      </c>
      <c r="P866" t="s">
        <v>1283</v>
      </c>
    </row>
    <row r="867" spans="1:16" x14ac:dyDescent="0.25">
      <c r="A867" t="s">
        <v>2330</v>
      </c>
      <c r="B867" t="s">
        <v>2331</v>
      </c>
      <c r="C867" t="s">
        <v>1571</v>
      </c>
      <c r="D867" t="s">
        <v>1027</v>
      </c>
      <c r="E867">
        <v>63767</v>
      </c>
      <c r="G867" t="b">
        <v>0</v>
      </c>
      <c r="H867" t="b">
        <v>0</v>
      </c>
      <c r="I867" t="s">
        <v>1050</v>
      </c>
      <c r="J867">
        <v>80</v>
      </c>
      <c r="K867" t="s">
        <v>0</v>
      </c>
      <c r="L867" t="s">
        <v>1167</v>
      </c>
      <c r="M867" t="s">
        <v>1168</v>
      </c>
      <c r="N867" t="s">
        <v>1169</v>
      </c>
      <c r="O867" t="s">
        <v>1168</v>
      </c>
      <c r="P867" t="s">
        <v>1283</v>
      </c>
    </row>
    <row r="868" spans="1:16" x14ac:dyDescent="0.25">
      <c r="A868" t="s">
        <v>2332</v>
      </c>
      <c r="B868" t="s">
        <v>2333</v>
      </c>
      <c r="C868" t="s">
        <v>1571</v>
      </c>
      <c r="D868" t="s">
        <v>1027</v>
      </c>
      <c r="E868">
        <v>63767</v>
      </c>
      <c r="G868" t="b">
        <v>0</v>
      </c>
      <c r="H868" t="b">
        <v>0</v>
      </c>
      <c r="I868" t="s">
        <v>1050</v>
      </c>
      <c r="J868">
        <v>80</v>
      </c>
      <c r="K868" t="s">
        <v>0</v>
      </c>
      <c r="L868" t="s">
        <v>1167</v>
      </c>
      <c r="M868" t="s">
        <v>1168</v>
      </c>
      <c r="N868" t="s">
        <v>1169</v>
      </c>
      <c r="O868" t="s">
        <v>1168</v>
      </c>
      <c r="P868" t="s">
        <v>1283</v>
      </c>
    </row>
    <row r="869" spans="1:16" x14ac:dyDescent="0.25">
      <c r="A869" t="s">
        <v>2334</v>
      </c>
      <c r="B869" t="s">
        <v>2335</v>
      </c>
      <c r="C869" t="s">
        <v>1571</v>
      </c>
      <c r="D869" t="s">
        <v>1027</v>
      </c>
      <c r="E869">
        <v>63767</v>
      </c>
      <c r="G869" t="b">
        <v>0</v>
      </c>
      <c r="H869" t="b">
        <v>0</v>
      </c>
      <c r="I869" t="s">
        <v>1050</v>
      </c>
      <c r="J869">
        <v>80</v>
      </c>
      <c r="K869" t="s">
        <v>0</v>
      </c>
      <c r="L869" t="s">
        <v>1167</v>
      </c>
      <c r="M869" t="s">
        <v>1168</v>
      </c>
      <c r="N869" t="s">
        <v>1169</v>
      </c>
      <c r="O869" t="s">
        <v>1168</v>
      </c>
      <c r="P869" t="s">
        <v>1283</v>
      </c>
    </row>
    <row r="870" spans="1:16" x14ac:dyDescent="0.25">
      <c r="A870" t="s">
        <v>2336</v>
      </c>
      <c r="B870" t="s">
        <v>2337</v>
      </c>
      <c r="C870" t="s">
        <v>1233</v>
      </c>
      <c r="D870" t="s">
        <v>1027</v>
      </c>
      <c r="E870">
        <v>63762</v>
      </c>
      <c r="F870" t="s">
        <v>1234</v>
      </c>
      <c r="G870" t="b">
        <v>0</v>
      </c>
      <c r="H870" t="b">
        <v>0</v>
      </c>
      <c r="I870" t="s">
        <v>1050</v>
      </c>
      <c r="J870">
        <v>80</v>
      </c>
      <c r="K870" t="s">
        <v>0</v>
      </c>
      <c r="L870" t="s">
        <v>1167</v>
      </c>
      <c r="M870" t="s">
        <v>1168</v>
      </c>
      <c r="N870" t="s">
        <v>1169</v>
      </c>
      <c r="O870" t="s">
        <v>1168</v>
      </c>
      <c r="P870" t="s">
        <v>1235</v>
      </c>
    </row>
    <row r="871" spans="1:16" x14ac:dyDescent="0.25">
      <c r="A871" t="s">
        <v>2338</v>
      </c>
      <c r="B871" t="s">
        <v>2339</v>
      </c>
      <c r="C871" t="s">
        <v>1233</v>
      </c>
      <c r="D871" t="s">
        <v>1027</v>
      </c>
      <c r="E871">
        <v>63762</v>
      </c>
      <c r="F871" t="s">
        <v>1234</v>
      </c>
      <c r="G871" t="b">
        <v>0</v>
      </c>
      <c r="H871" t="b">
        <v>0</v>
      </c>
      <c r="I871" t="s">
        <v>1050</v>
      </c>
      <c r="J871">
        <v>80</v>
      </c>
      <c r="K871" t="s">
        <v>0</v>
      </c>
      <c r="L871" t="s">
        <v>1167</v>
      </c>
      <c r="M871" t="s">
        <v>1168</v>
      </c>
      <c r="N871" t="s">
        <v>1169</v>
      </c>
      <c r="O871" t="s">
        <v>1168</v>
      </c>
      <c r="P871" t="s">
        <v>1235</v>
      </c>
    </row>
    <row r="872" spans="1:16" x14ac:dyDescent="0.25">
      <c r="A872" t="s">
        <v>2340</v>
      </c>
      <c r="B872" t="s">
        <v>2341</v>
      </c>
      <c r="C872" t="s">
        <v>1165</v>
      </c>
      <c r="D872" t="s">
        <v>1027</v>
      </c>
      <c r="E872">
        <v>63774</v>
      </c>
      <c r="F872" t="s">
        <v>1166</v>
      </c>
      <c r="G872" t="b">
        <v>0</v>
      </c>
      <c r="H872" t="b">
        <v>0</v>
      </c>
      <c r="I872" t="s">
        <v>1050</v>
      </c>
      <c r="J872">
        <v>91</v>
      </c>
      <c r="K872" t="s">
        <v>1</v>
      </c>
      <c r="L872" t="s">
        <v>1167</v>
      </c>
      <c r="M872" t="s">
        <v>1168</v>
      </c>
      <c r="N872" t="s">
        <v>1169</v>
      </c>
      <c r="O872" t="s">
        <v>1168</v>
      </c>
      <c r="P872" t="s">
        <v>1170</v>
      </c>
    </row>
    <row r="873" spans="1:16" x14ac:dyDescent="0.25">
      <c r="A873" t="s">
        <v>2342</v>
      </c>
      <c r="B873" t="s">
        <v>2343</v>
      </c>
      <c r="C873" t="s">
        <v>1165</v>
      </c>
      <c r="D873" t="s">
        <v>1027</v>
      </c>
      <c r="E873">
        <v>63774</v>
      </c>
      <c r="F873" t="s">
        <v>1166</v>
      </c>
      <c r="G873" t="b">
        <v>0</v>
      </c>
      <c r="H873" t="b">
        <v>0</v>
      </c>
      <c r="I873" t="s">
        <v>1050</v>
      </c>
      <c r="J873">
        <v>91</v>
      </c>
      <c r="K873" t="s">
        <v>1</v>
      </c>
      <c r="L873" t="s">
        <v>1167</v>
      </c>
      <c r="M873" t="s">
        <v>1168</v>
      </c>
      <c r="N873" t="s">
        <v>1169</v>
      </c>
      <c r="O873" t="s">
        <v>1168</v>
      </c>
      <c r="P873" t="s">
        <v>1170</v>
      </c>
    </row>
    <row r="874" spans="1:16" x14ac:dyDescent="0.25">
      <c r="A874" t="s">
        <v>2344</v>
      </c>
      <c r="B874" t="s">
        <v>2345</v>
      </c>
      <c r="C874" t="s">
        <v>1165</v>
      </c>
      <c r="D874" t="s">
        <v>1027</v>
      </c>
      <c r="E874">
        <v>63774</v>
      </c>
      <c r="F874" t="s">
        <v>1166</v>
      </c>
      <c r="G874" t="b">
        <v>0</v>
      </c>
      <c r="H874" t="b">
        <v>0</v>
      </c>
      <c r="I874" t="s">
        <v>1050</v>
      </c>
      <c r="J874">
        <v>91</v>
      </c>
      <c r="K874" t="s">
        <v>1</v>
      </c>
      <c r="L874" t="s">
        <v>1167</v>
      </c>
      <c r="M874" t="s">
        <v>1168</v>
      </c>
      <c r="N874" t="s">
        <v>1169</v>
      </c>
      <c r="O874" t="s">
        <v>1168</v>
      </c>
      <c r="P874" t="s">
        <v>1170</v>
      </c>
    </row>
    <row r="875" spans="1:16" x14ac:dyDescent="0.25">
      <c r="A875" t="s">
        <v>2346</v>
      </c>
      <c r="B875" t="s">
        <v>2347</v>
      </c>
      <c r="C875" t="s">
        <v>1165</v>
      </c>
      <c r="D875" t="s">
        <v>1027</v>
      </c>
      <c r="E875">
        <v>63774</v>
      </c>
      <c r="F875" t="s">
        <v>1166</v>
      </c>
      <c r="G875" t="b">
        <v>0</v>
      </c>
      <c r="H875" t="b">
        <v>0</v>
      </c>
      <c r="I875" t="s">
        <v>1050</v>
      </c>
      <c r="J875">
        <v>91</v>
      </c>
      <c r="K875" t="s">
        <v>1</v>
      </c>
      <c r="L875" t="s">
        <v>1167</v>
      </c>
      <c r="M875" t="s">
        <v>1168</v>
      </c>
      <c r="N875" t="s">
        <v>1169</v>
      </c>
      <c r="O875" t="s">
        <v>1168</v>
      </c>
      <c r="P875" t="s">
        <v>1170</v>
      </c>
    </row>
    <row r="876" spans="1:16" x14ac:dyDescent="0.25">
      <c r="A876" t="s">
        <v>2348</v>
      </c>
      <c r="B876" t="s">
        <v>2349</v>
      </c>
      <c r="C876" t="s">
        <v>1233</v>
      </c>
      <c r="D876" t="s">
        <v>1027</v>
      </c>
      <c r="E876">
        <v>63762</v>
      </c>
      <c r="F876" t="s">
        <v>1234</v>
      </c>
      <c r="G876" t="b">
        <v>0</v>
      </c>
      <c r="H876" t="b">
        <v>0</v>
      </c>
      <c r="I876" t="s">
        <v>1050</v>
      </c>
      <c r="J876">
        <v>88</v>
      </c>
      <c r="K876" t="s">
        <v>0</v>
      </c>
      <c r="L876" t="s">
        <v>1167</v>
      </c>
      <c r="M876" t="s">
        <v>1168</v>
      </c>
      <c r="N876" t="s">
        <v>1169</v>
      </c>
      <c r="O876" t="s">
        <v>1168</v>
      </c>
      <c r="P876" t="s">
        <v>1235</v>
      </c>
    </row>
    <row r="877" spans="1:16" x14ac:dyDescent="0.25">
      <c r="A877" t="s">
        <v>2350</v>
      </c>
      <c r="B877" t="s">
        <v>2351</v>
      </c>
      <c r="C877" t="s">
        <v>1228</v>
      </c>
      <c r="D877" t="s">
        <v>1027</v>
      </c>
      <c r="E877">
        <v>1660</v>
      </c>
      <c r="F877" t="s">
        <v>1229</v>
      </c>
      <c r="G877" t="b">
        <v>0</v>
      </c>
      <c r="H877" t="b">
        <v>0</v>
      </c>
      <c r="I877" t="s">
        <v>1050</v>
      </c>
      <c r="J877">
        <v>85</v>
      </c>
      <c r="K877" t="s">
        <v>2</v>
      </c>
      <c r="L877" t="s">
        <v>1167</v>
      </c>
      <c r="M877" t="s">
        <v>1168</v>
      </c>
      <c r="N877" t="s">
        <v>1169</v>
      </c>
      <c r="O877" t="s">
        <v>1168</v>
      </c>
      <c r="P877" t="s">
        <v>1230</v>
      </c>
    </row>
    <row r="878" spans="1:16" x14ac:dyDescent="0.25">
      <c r="A878" t="s">
        <v>2352</v>
      </c>
      <c r="B878" t="s">
        <v>2351</v>
      </c>
      <c r="C878" t="s">
        <v>1228</v>
      </c>
      <c r="D878" t="s">
        <v>1027</v>
      </c>
      <c r="E878">
        <v>1660</v>
      </c>
      <c r="F878" t="s">
        <v>1229</v>
      </c>
      <c r="G878" t="b">
        <v>0</v>
      </c>
      <c r="H878" t="b">
        <v>0</v>
      </c>
      <c r="I878" t="s">
        <v>1050</v>
      </c>
      <c r="J878">
        <v>89</v>
      </c>
      <c r="K878" t="s">
        <v>2</v>
      </c>
      <c r="L878" t="s">
        <v>1167</v>
      </c>
      <c r="M878" t="s">
        <v>1168</v>
      </c>
      <c r="N878" t="s">
        <v>1169</v>
      </c>
      <c r="O878" t="s">
        <v>1168</v>
      </c>
      <c r="P878" t="s">
        <v>1230</v>
      </c>
    </row>
    <row r="879" spans="1:16" x14ac:dyDescent="0.25">
      <c r="A879" t="s">
        <v>2353</v>
      </c>
      <c r="B879" t="s">
        <v>2354</v>
      </c>
      <c r="C879" t="s">
        <v>1571</v>
      </c>
      <c r="D879" t="s">
        <v>1027</v>
      </c>
      <c r="E879">
        <v>63767</v>
      </c>
      <c r="G879" t="b">
        <v>0</v>
      </c>
      <c r="H879" t="b">
        <v>0</v>
      </c>
      <c r="I879" t="s">
        <v>1050</v>
      </c>
      <c r="J879">
        <v>80</v>
      </c>
      <c r="K879" t="s">
        <v>0</v>
      </c>
      <c r="L879" t="s">
        <v>1167</v>
      </c>
      <c r="M879" t="s">
        <v>1168</v>
      </c>
      <c r="N879" t="s">
        <v>1169</v>
      </c>
      <c r="O879" t="s">
        <v>1168</v>
      </c>
      <c r="P879" t="s">
        <v>1283</v>
      </c>
    </row>
    <row r="880" spans="1:16" x14ac:dyDescent="0.25">
      <c r="A880" t="s">
        <v>2355</v>
      </c>
      <c r="B880" t="s">
        <v>2356</v>
      </c>
      <c r="C880" t="s">
        <v>1571</v>
      </c>
      <c r="D880" t="s">
        <v>1027</v>
      </c>
      <c r="E880">
        <v>63767</v>
      </c>
      <c r="G880" t="b">
        <v>0</v>
      </c>
      <c r="H880" t="b">
        <v>0</v>
      </c>
      <c r="I880" t="s">
        <v>1050</v>
      </c>
      <c r="J880">
        <v>80</v>
      </c>
      <c r="K880" t="s">
        <v>0</v>
      </c>
      <c r="L880" t="s">
        <v>1167</v>
      </c>
      <c r="M880" t="s">
        <v>1168</v>
      </c>
      <c r="N880" t="s">
        <v>1169</v>
      </c>
      <c r="O880" t="s">
        <v>1168</v>
      </c>
      <c r="P880" t="s">
        <v>1283</v>
      </c>
    </row>
    <row r="881" spans="1:16" x14ac:dyDescent="0.25">
      <c r="A881" t="s">
        <v>2357</v>
      </c>
      <c r="B881" t="s">
        <v>2358</v>
      </c>
      <c r="C881" t="s">
        <v>1571</v>
      </c>
      <c r="D881" t="s">
        <v>1027</v>
      </c>
      <c r="E881">
        <v>63767</v>
      </c>
      <c r="G881" t="b">
        <v>0</v>
      </c>
      <c r="H881" t="b">
        <v>0</v>
      </c>
      <c r="I881" t="s">
        <v>1050</v>
      </c>
      <c r="J881">
        <v>80</v>
      </c>
      <c r="K881" t="s">
        <v>0</v>
      </c>
      <c r="L881" t="s">
        <v>1167</v>
      </c>
      <c r="M881" t="s">
        <v>1168</v>
      </c>
      <c r="N881" t="s">
        <v>1169</v>
      </c>
      <c r="O881" t="s">
        <v>1168</v>
      </c>
      <c r="P881" t="s">
        <v>1283</v>
      </c>
    </row>
    <row r="882" spans="1:16" x14ac:dyDescent="0.25">
      <c r="A882" t="s">
        <v>2359</v>
      </c>
      <c r="B882" t="s">
        <v>2360</v>
      </c>
      <c r="C882" t="s">
        <v>1571</v>
      </c>
      <c r="D882" t="s">
        <v>1027</v>
      </c>
      <c r="E882">
        <v>63767</v>
      </c>
      <c r="G882" t="b">
        <v>0</v>
      </c>
      <c r="H882" t="b">
        <v>0</v>
      </c>
      <c r="I882" t="s">
        <v>1050</v>
      </c>
      <c r="J882">
        <v>80</v>
      </c>
      <c r="K882" t="s">
        <v>0</v>
      </c>
      <c r="L882" t="s">
        <v>1167</v>
      </c>
      <c r="M882" t="s">
        <v>1168</v>
      </c>
      <c r="N882" t="s">
        <v>1169</v>
      </c>
      <c r="O882" t="s">
        <v>1168</v>
      </c>
      <c r="P882" t="s">
        <v>1283</v>
      </c>
    </row>
    <row r="883" spans="1:16" x14ac:dyDescent="0.25">
      <c r="A883" t="s">
        <v>2361</v>
      </c>
      <c r="B883" t="s">
        <v>2362</v>
      </c>
      <c r="C883" t="s">
        <v>1571</v>
      </c>
      <c r="D883" t="s">
        <v>1027</v>
      </c>
      <c r="E883">
        <v>63767</v>
      </c>
      <c r="G883" t="b">
        <v>0</v>
      </c>
      <c r="H883" t="b">
        <v>0</v>
      </c>
      <c r="I883" t="s">
        <v>1050</v>
      </c>
      <c r="J883">
        <v>80</v>
      </c>
      <c r="K883" t="s">
        <v>0</v>
      </c>
      <c r="L883" t="s">
        <v>1167</v>
      </c>
      <c r="M883" t="s">
        <v>1168</v>
      </c>
      <c r="N883" t="s">
        <v>1169</v>
      </c>
      <c r="O883" t="s">
        <v>1168</v>
      </c>
      <c r="P883" t="s">
        <v>1283</v>
      </c>
    </row>
    <row r="884" spans="1:16" x14ac:dyDescent="0.25">
      <c r="A884" t="s">
        <v>2363</v>
      </c>
      <c r="B884" t="s">
        <v>2364</v>
      </c>
      <c r="C884" t="s">
        <v>1571</v>
      </c>
      <c r="D884" t="s">
        <v>1027</v>
      </c>
      <c r="E884">
        <v>63767</v>
      </c>
      <c r="G884" t="b">
        <v>0</v>
      </c>
      <c r="H884" t="b">
        <v>0</v>
      </c>
      <c r="I884" t="s">
        <v>1050</v>
      </c>
      <c r="J884">
        <v>87</v>
      </c>
      <c r="K884" t="s">
        <v>0</v>
      </c>
      <c r="L884" t="s">
        <v>1167</v>
      </c>
      <c r="M884" t="s">
        <v>1168</v>
      </c>
      <c r="N884" t="s">
        <v>1169</v>
      </c>
      <c r="O884" t="s">
        <v>1168</v>
      </c>
      <c r="P884" t="s">
        <v>1283</v>
      </c>
    </row>
    <row r="885" spans="1:16" x14ac:dyDescent="0.25">
      <c r="A885" t="s">
        <v>2365</v>
      </c>
      <c r="B885" t="s">
        <v>2366</v>
      </c>
      <c r="C885" t="s">
        <v>1571</v>
      </c>
      <c r="D885" t="s">
        <v>1027</v>
      </c>
      <c r="E885">
        <v>63767</v>
      </c>
      <c r="G885" t="b">
        <v>0</v>
      </c>
      <c r="H885" t="b">
        <v>0</v>
      </c>
      <c r="I885" t="s">
        <v>1050</v>
      </c>
      <c r="J885">
        <v>87</v>
      </c>
      <c r="K885" t="s">
        <v>0</v>
      </c>
      <c r="L885" t="s">
        <v>1167</v>
      </c>
      <c r="M885" t="s">
        <v>1168</v>
      </c>
      <c r="N885" t="s">
        <v>1169</v>
      </c>
      <c r="O885" t="s">
        <v>1168</v>
      </c>
      <c r="P885" t="s">
        <v>1283</v>
      </c>
    </row>
    <row r="886" spans="1:16" x14ac:dyDescent="0.25">
      <c r="A886" t="s">
        <v>2367</v>
      </c>
      <c r="B886" t="s">
        <v>2368</v>
      </c>
      <c r="C886" t="s">
        <v>1571</v>
      </c>
      <c r="D886" t="s">
        <v>1027</v>
      </c>
      <c r="E886">
        <v>63767</v>
      </c>
      <c r="G886" t="b">
        <v>0</v>
      </c>
      <c r="H886" t="b">
        <v>0</v>
      </c>
      <c r="I886" t="s">
        <v>1050</v>
      </c>
      <c r="J886">
        <v>87</v>
      </c>
      <c r="K886" t="s">
        <v>0</v>
      </c>
      <c r="L886" t="s">
        <v>1167</v>
      </c>
      <c r="M886" t="s">
        <v>1168</v>
      </c>
      <c r="N886" t="s">
        <v>1169</v>
      </c>
      <c r="O886" t="s">
        <v>1168</v>
      </c>
      <c r="P886" t="s">
        <v>1283</v>
      </c>
    </row>
    <row r="887" spans="1:16" x14ac:dyDescent="0.25">
      <c r="A887" t="s">
        <v>2369</v>
      </c>
      <c r="B887" t="s">
        <v>2370</v>
      </c>
      <c r="C887" t="s">
        <v>1571</v>
      </c>
      <c r="D887" t="s">
        <v>1027</v>
      </c>
      <c r="E887">
        <v>63767</v>
      </c>
      <c r="G887" t="b">
        <v>0</v>
      </c>
      <c r="H887" t="b">
        <v>0</v>
      </c>
      <c r="I887" t="s">
        <v>1050</v>
      </c>
      <c r="J887">
        <v>87</v>
      </c>
      <c r="K887" t="s">
        <v>0</v>
      </c>
      <c r="L887" t="s">
        <v>1167</v>
      </c>
      <c r="M887" t="s">
        <v>1168</v>
      </c>
      <c r="N887" t="s">
        <v>1169</v>
      </c>
      <c r="O887" t="s">
        <v>1168</v>
      </c>
      <c r="P887" t="s">
        <v>1283</v>
      </c>
    </row>
    <row r="888" spans="1:16" x14ac:dyDescent="0.25">
      <c r="A888" t="s">
        <v>2371</v>
      </c>
      <c r="B888" t="s">
        <v>2372</v>
      </c>
      <c r="C888" t="s">
        <v>1571</v>
      </c>
      <c r="D888" t="s">
        <v>1027</v>
      </c>
      <c r="E888">
        <v>63767</v>
      </c>
      <c r="G888" t="b">
        <v>0</v>
      </c>
      <c r="H888" t="b">
        <v>0</v>
      </c>
      <c r="I888" t="s">
        <v>1050</v>
      </c>
      <c r="J888">
        <v>80</v>
      </c>
      <c r="K888" t="s">
        <v>0</v>
      </c>
      <c r="L888" t="s">
        <v>1167</v>
      </c>
      <c r="M888" t="s">
        <v>1168</v>
      </c>
      <c r="N888" t="s">
        <v>1169</v>
      </c>
      <c r="O888" t="s">
        <v>1168</v>
      </c>
      <c r="P888" t="s">
        <v>1283</v>
      </c>
    </row>
    <row r="889" spans="1:16" x14ac:dyDescent="0.25">
      <c r="A889" t="s">
        <v>2373</v>
      </c>
      <c r="B889" t="s">
        <v>2374</v>
      </c>
      <c r="C889" t="s">
        <v>1233</v>
      </c>
      <c r="D889" t="s">
        <v>1027</v>
      </c>
      <c r="E889">
        <v>63762</v>
      </c>
      <c r="F889" t="s">
        <v>1234</v>
      </c>
      <c r="G889" t="b">
        <v>0</v>
      </c>
      <c r="H889" t="b">
        <v>0</v>
      </c>
      <c r="I889" t="s">
        <v>1050</v>
      </c>
      <c r="J889">
        <v>88</v>
      </c>
      <c r="K889" t="s">
        <v>0</v>
      </c>
      <c r="L889" t="s">
        <v>1167</v>
      </c>
      <c r="M889" t="s">
        <v>1168</v>
      </c>
      <c r="N889" t="s">
        <v>1169</v>
      </c>
      <c r="O889" t="s">
        <v>1168</v>
      </c>
      <c r="P889" t="s">
        <v>1235</v>
      </c>
    </row>
    <row r="890" spans="1:16" x14ac:dyDescent="0.25">
      <c r="A890" t="s">
        <v>2375</v>
      </c>
      <c r="B890" t="s">
        <v>2376</v>
      </c>
      <c r="C890" t="s">
        <v>1233</v>
      </c>
      <c r="D890" t="s">
        <v>1027</v>
      </c>
      <c r="E890">
        <v>63762</v>
      </c>
      <c r="F890" t="s">
        <v>1234</v>
      </c>
      <c r="G890" t="b">
        <v>0</v>
      </c>
      <c r="H890" t="b">
        <v>0</v>
      </c>
      <c r="I890" t="s">
        <v>1050</v>
      </c>
      <c r="J890">
        <v>89</v>
      </c>
      <c r="K890" t="s">
        <v>0</v>
      </c>
      <c r="L890" t="s">
        <v>1167</v>
      </c>
      <c r="M890" t="s">
        <v>1168</v>
      </c>
      <c r="N890" t="s">
        <v>1169</v>
      </c>
      <c r="O890" t="s">
        <v>1168</v>
      </c>
      <c r="P890" t="s">
        <v>1235</v>
      </c>
    </row>
    <row r="891" spans="1:16" x14ac:dyDescent="0.25">
      <c r="A891" t="s">
        <v>2377</v>
      </c>
      <c r="B891" t="s">
        <v>2378</v>
      </c>
      <c r="C891" t="s">
        <v>1233</v>
      </c>
      <c r="D891" t="s">
        <v>1027</v>
      </c>
      <c r="E891">
        <v>63762</v>
      </c>
      <c r="F891" t="s">
        <v>1234</v>
      </c>
      <c r="G891" t="b">
        <v>0</v>
      </c>
      <c r="H891" t="b">
        <v>0</v>
      </c>
      <c r="I891" t="s">
        <v>1050</v>
      </c>
      <c r="J891">
        <v>85</v>
      </c>
      <c r="K891" t="s">
        <v>0</v>
      </c>
      <c r="L891" t="s">
        <v>1167</v>
      </c>
      <c r="M891" t="s">
        <v>1168</v>
      </c>
      <c r="N891" t="s">
        <v>1169</v>
      </c>
      <c r="O891" t="s">
        <v>1168</v>
      </c>
      <c r="P891" t="s">
        <v>1235</v>
      </c>
    </row>
    <row r="892" spans="1:16" x14ac:dyDescent="0.25">
      <c r="A892" t="s">
        <v>2379</v>
      </c>
      <c r="B892" t="s">
        <v>2380</v>
      </c>
      <c r="C892" t="s">
        <v>1233</v>
      </c>
      <c r="D892" t="s">
        <v>1027</v>
      </c>
      <c r="E892">
        <v>63762</v>
      </c>
      <c r="F892" t="s">
        <v>1234</v>
      </c>
      <c r="G892" t="b">
        <v>0</v>
      </c>
      <c r="H892" t="b">
        <v>0</v>
      </c>
      <c r="I892" t="s">
        <v>1050</v>
      </c>
      <c r="J892">
        <v>85</v>
      </c>
      <c r="K892" t="s">
        <v>0</v>
      </c>
      <c r="L892" t="s">
        <v>1167</v>
      </c>
      <c r="M892" t="s">
        <v>1168</v>
      </c>
      <c r="N892" t="s">
        <v>1169</v>
      </c>
      <c r="O892" t="s">
        <v>1168</v>
      </c>
      <c r="P892" t="s">
        <v>1235</v>
      </c>
    </row>
    <row r="893" spans="1:16" x14ac:dyDescent="0.25">
      <c r="A893" t="s">
        <v>2381</v>
      </c>
      <c r="B893" t="s">
        <v>2382</v>
      </c>
      <c r="C893" t="s">
        <v>1233</v>
      </c>
      <c r="D893" t="s">
        <v>1027</v>
      </c>
      <c r="E893">
        <v>63762</v>
      </c>
      <c r="F893" t="s">
        <v>1234</v>
      </c>
      <c r="G893" t="b">
        <v>0</v>
      </c>
      <c r="H893" t="b">
        <v>0</v>
      </c>
      <c r="I893" t="s">
        <v>1050</v>
      </c>
      <c r="J893">
        <v>88</v>
      </c>
      <c r="K893" t="s">
        <v>0</v>
      </c>
      <c r="L893" t="s">
        <v>1167</v>
      </c>
      <c r="M893" t="s">
        <v>1168</v>
      </c>
      <c r="N893" t="s">
        <v>1169</v>
      </c>
      <c r="O893" t="s">
        <v>1168</v>
      </c>
      <c r="P893" t="s">
        <v>1235</v>
      </c>
    </row>
    <row r="894" spans="1:16" x14ac:dyDescent="0.25">
      <c r="A894" t="s">
        <v>2383</v>
      </c>
      <c r="B894" t="s">
        <v>2384</v>
      </c>
      <c r="C894" t="s">
        <v>1233</v>
      </c>
      <c r="D894" t="s">
        <v>1027</v>
      </c>
      <c r="E894">
        <v>63762</v>
      </c>
      <c r="F894" t="s">
        <v>1234</v>
      </c>
      <c r="G894" t="b">
        <v>0</v>
      </c>
      <c r="H894" t="b">
        <v>0</v>
      </c>
      <c r="I894" t="s">
        <v>1050</v>
      </c>
      <c r="J894">
        <v>88</v>
      </c>
      <c r="K894" t="s">
        <v>0</v>
      </c>
      <c r="L894" t="s">
        <v>1167</v>
      </c>
      <c r="M894" t="s">
        <v>1168</v>
      </c>
      <c r="N894" t="s">
        <v>1169</v>
      </c>
      <c r="O894" t="s">
        <v>1168</v>
      </c>
      <c r="P894" t="s">
        <v>1235</v>
      </c>
    </row>
    <row r="895" spans="1:16" x14ac:dyDescent="0.25">
      <c r="A895" t="s">
        <v>2385</v>
      </c>
      <c r="B895" t="s">
        <v>2386</v>
      </c>
      <c r="C895" t="s">
        <v>1233</v>
      </c>
      <c r="D895" t="s">
        <v>1027</v>
      </c>
      <c r="E895">
        <v>63762</v>
      </c>
      <c r="F895" t="s">
        <v>1234</v>
      </c>
      <c r="G895" t="b">
        <v>0</v>
      </c>
      <c r="H895" t="b">
        <v>0</v>
      </c>
      <c r="I895" t="s">
        <v>1050</v>
      </c>
      <c r="J895">
        <v>88</v>
      </c>
      <c r="K895" t="s">
        <v>0</v>
      </c>
      <c r="L895" t="s">
        <v>1167</v>
      </c>
      <c r="M895" t="s">
        <v>1168</v>
      </c>
      <c r="N895" t="s">
        <v>1169</v>
      </c>
      <c r="O895" t="s">
        <v>1168</v>
      </c>
      <c r="P895" t="s">
        <v>1235</v>
      </c>
    </row>
    <row r="896" spans="1:16" x14ac:dyDescent="0.25">
      <c r="A896" t="s">
        <v>2387</v>
      </c>
      <c r="B896" t="s">
        <v>2388</v>
      </c>
      <c r="C896" t="s">
        <v>1233</v>
      </c>
      <c r="D896" t="s">
        <v>1027</v>
      </c>
      <c r="E896">
        <v>63762</v>
      </c>
      <c r="F896" t="s">
        <v>1234</v>
      </c>
      <c r="G896" t="b">
        <v>0</v>
      </c>
      <c r="H896" t="b">
        <v>0</v>
      </c>
      <c r="I896" t="s">
        <v>1050</v>
      </c>
      <c r="J896">
        <v>88</v>
      </c>
      <c r="K896" t="s">
        <v>0</v>
      </c>
      <c r="L896" t="s">
        <v>1167</v>
      </c>
      <c r="M896" t="s">
        <v>1168</v>
      </c>
      <c r="N896" t="s">
        <v>1169</v>
      </c>
      <c r="O896" t="s">
        <v>1168</v>
      </c>
      <c r="P896" t="s">
        <v>1235</v>
      </c>
    </row>
    <row r="897" spans="1:16" x14ac:dyDescent="0.25">
      <c r="A897" t="s">
        <v>2389</v>
      </c>
      <c r="B897" t="s">
        <v>2390</v>
      </c>
      <c r="C897" t="s">
        <v>1233</v>
      </c>
      <c r="D897" t="s">
        <v>1027</v>
      </c>
      <c r="E897">
        <v>63762</v>
      </c>
      <c r="F897" t="s">
        <v>1234</v>
      </c>
      <c r="G897" t="b">
        <v>0</v>
      </c>
      <c r="H897" t="b">
        <v>0</v>
      </c>
      <c r="I897" t="s">
        <v>1050</v>
      </c>
      <c r="J897">
        <v>88</v>
      </c>
      <c r="K897" t="s">
        <v>0</v>
      </c>
      <c r="L897" t="s">
        <v>1167</v>
      </c>
      <c r="M897" t="s">
        <v>1168</v>
      </c>
      <c r="N897" t="s">
        <v>1169</v>
      </c>
      <c r="O897" t="s">
        <v>1168</v>
      </c>
      <c r="P897" t="s">
        <v>1235</v>
      </c>
    </row>
    <row r="898" spans="1:16" x14ac:dyDescent="0.25">
      <c r="A898" t="s">
        <v>2391</v>
      </c>
      <c r="B898" t="s">
        <v>2392</v>
      </c>
      <c r="C898" t="s">
        <v>1233</v>
      </c>
      <c r="D898" t="s">
        <v>1027</v>
      </c>
      <c r="E898">
        <v>63762</v>
      </c>
      <c r="F898" t="s">
        <v>1234</v>
      </c>
      <c r="G898" t="b">
        <v>0</v>
      </c>
      <c r="H898" t="b">
        <v>0</v>
      </c>
      <c r="I898" t="s">
        <v>1050</v>
      </c>
      <c r="J898">
        <v>88</v>
      </c>
      <c r="K898" t="s">
        <v>0</v>
      </c>
      <c r="L898" t="s">
        <v>1167</v>
      </c>
      <c r="M898" t="s">
        <v>1168</v>
      </c>
      <c r="N898" t="s">
        <v>1169</v>
      </c>
      <c r="O898" t="s">
        <v>1168</v>
      </c>
      <c r="P898" t="s">
        <v>1235</v>
      </c>
    </row>
    <row r="899" spans="1:16" x14ac:dyDescent="0.25">
      <c r="A899" t="s">
        <v>2393</v>
      </c>
      <c r="B899" t="s">
        <v>2394</v>
      </c>
      <c r="C899" t="s">
        <v>1233</v>
      </c>
      <c r="D899" t="s">
        <v>1027</v>
      </c>
      <c r="E899">
        <v>63762</v>
      </c>
      <c r="F899" t="s">
        <v>1234</v>
      </c>
      <c r="G899" t="b">
        <v>0</v>
      </c>
      <c r="H899" t="b">
        <v>0</v>
      </c>
      <c r="I899" t="s">
        <v>1050</v>
      </c>
      <c r="J899">
        <v>88</v>
      </c>
      <c r="K899" t="s">
        <v>0</v>
      </c>
      <c r="L899" t="s">
        <v>1167</v>
      </c>
      <c r="M899" t="s">
        <v>1168</v>
      </c>
      <c r="N899" t="s">
        <v>1169</v>
      </c>
      <c r="O899" t="s">
        <v>1168</v>
      </c>
      <c r="P899" t="s">
        <v>1235</v>
      </c>
    </row>
    <row r="900" spans="1:16" x14ac:dyDescent="0.25">
      <c r="A900" t="s">
        <v>2395</v>
      </c>
      <c r="B900" t="s">
        <v>2396</v>
      </c>
      <c r="C900" t="s">
        <v>1606</v>
      </c>
      <c r="D900" t="s">
        <v>1027</v>
      </c>
      <c r="E900">
        <v>1324</v>
      </c>
      <c r="F900" t="s">
        <v>1607</v>
      </c>
      <c r="G900" t="b">
        <v>0</v>
      </c>
      <c r="H900" t="b">
        <v>0</v>
      </c>
      <c r="I900" t="s">
        <v>1050</v>
      </c>
      <c r="J900">
        <v>90</v>
      </c>
      <c r="K900" t="s">
        <v>2</v>
      </c>
      <c r="L900" t="s">
        <v>1608</v>
      </c>
      <c r="M900" t="s">
        <v>1609</v>
      </c>
      <c r="N900" t="s">
        <v>1608</v>
      </c>
      <c r="O900" t="s">
        <v>1610</v>
      </c>
      <c r="P900" t="s">
        <v>1611</v>
      </c>
    </row>
    <row r="901" spans="1:16" x14ac:dyDescent="0.25">
      <c r="A901" t="s">
        <v>2397</v>
      </c>
      <c r="B901" t="s">
        <v>2396</v>
      </c>
      <c r="C901" t="s">
        <v>1606</v>
      </c>
      <c r="D901" t="s">
        <v>1027</v>
      </c>
      <c r="E901">
        <v>1324</v>
      </c>
      <c r="F901" t="s">
        <v>1607</v>
      </c>
      <c r="G901" t="b">
        <v>0</v>
      </c>
      <c r="H901" t="b">
        <v>0</v>
      </c>
      <c r="I901" t="s">
        <v>1050</v>
      </c>
      <c r="J901">
        <v>90</v>
      </c>
      <c r="K901" t="s">
        <v>2</v>
      </c>
      <c r="L901" t="s">
        <v>1608</v>
      </c>
      <c r="M901" t="s">
        <v>1609</v>
      </c>
      <c r="N901" t="s">
        <v>1608</v>
      </c>
      <c r="O901" t="s">
        <v>1610</v>
      </c>
      <c r="P901" t="s">
        <v>1611</v>
      </c>
    </row>
    <row r="902" spans="1:16" x14ac:dyDescent="0.25">
      <c r="A902" t="s">
        <v>2398</v>
      </c>
      <c r="B902" t="s">
        <v>2399</v>
      </c>
      <c r="C902" t="s">
        <v>1606</v>
      </c>
      <c r="D902" t="s">
        <v>1027</v>
      </c>
      <c r="E902">
        <v>1324</v>
      </c>
      <c r="F902" t="s">
        <v>1607</v>
      </c>
      <c r="G902" t="b">
        <v>0</v>
      </c>
      <c r="H902" t="b">
        <v>0</v>
      </c>
      <c r="I902" t="s">
        <v>1050</v>
      </c>
      <c r="J902">
        <v>90</v>
      </c>
      <c r="K902" t="s">
        <v>2</v>
      </c>
      <c r="L902" t="s">
        <v>1608</v>
      </c>
      <c r="M902" t="s">
        <v>1609</v>
      </c>
      <c r="N902" t="s">
        <v>1608</v>
      </c>
      <c r="O902" t="s">
        <v>1610</v>
      </c>
      <c r="P902" t="s">
        <v>1611</v>
      </c>
    </row>
    <row r="903" spans="1:16" x14ac:dyDescent="0.25">
      <c r="A903" t="s">
        <v>2400</v>
      </c>
      <c r="B903" t="s">
        <v>2401</v>
      </c>
      <c r="C903" t="s">
        <v>1571</v>
      </c>
      <c r="D903" t="s">
        <v>1027</v>
      </c>
      <c r="E903">
        <v>63767</v>
      </c>
      <c r="G903" t="b">
        <v>0</v>
      </c>
      <c r="H903" t="b">
        <v>0</v>
      </c>
      <c r="I903" t="s">
        <v>1050</v>
      </c>
      <c r="J903">
        <v>80</v>
      </c>
      <c r="K903" t="s">
        <v>0</v>
      </c>
      <c r="L903" t="s">
        <v>1167</v>
      </c>
      <c r="M903" t="s">
        <v>1168</v>
      </c>
      <c r="N903" t="s">
        <v>1169</v>
      </c>
      <c r="O903" t="s">
        <v>1168</v>
      </c>
      <c r="P903" t="s">
        <v>1283</v>
      </c>
    </row>
    <row r="904" spans="1:16" x14ac:dyDescent="0.25">
      <c r="A904" t="s">
        <v>2402</v>
      </c>
      <c r="B904" t="s">
        <v>2403</v>
      </c>
      <c r="C904" t="s">
        <v>1571</v>
      </c>
      <c r="D904" t="s">
        <v>1027</v>
      </c>
      <c r="E904">
        <v>63767</v>
      </c>
      <c r="G904" t="b">
        <v>0</v>
      </c>
      <c r="H904" t="b">
        <v>0</v>
      </c>
      <c r="I904" t="s">
        <v>1050</v>
      </c>
      <c r="J904">
        <v>80</v>
      </c>
      <c r="K904" t="s">
        <v>0</v>
      </c>
      <c r="L904" t="s">
        <v>1167</v>
      </c>
      <c r="M904" t="s">
        <v>1168</v>
      </c>
      <c r="N904" t="s">
        <v>1169</v>
      </c>
      <c r="O904" t="s">
        <v>1168</v>
      </c>
      <c r="P904" t="s">
        <v>1283</v>
      </c>
    </row>
    <row r="905" spans="1:16" x14ac:dyDescent="0.25">
      <c r="A905" t="s">
        <v>2404</v>
      </c>
      <c r="B905" t="s">
        <v>2405</v>
      </c>
      <c r="C905" t="s">
        <v>1571</v>
      </c>
      <c r="D905" t="s">
        <v>1027</v>
      </c>
      <c r="E905">
        <v>63767</v>
      </c>
      <c r="G905" t="b">
        <v>0</v>
      </c>
      <c r="H905" t="b">
        <v>0</v>
      </c>
      <c r="I905" t="s">
        <v>1050</v>
      </c>
      <c r="J905">
        <v>80</v>
      </c>
      <c r="K905" t="s">
        <v>0</v>
      </c>
      <c r="L905" t="s">
        <v>1167</v>
      </c>
      <c r="M905" t="s">
        <v>1168</v>
      </c>
      <c r="N905" t="s">
        <v>1169</v>
      </c>
      <c r="O905" t="s">
        <v>1168</v>
      </c>
      <c r="P905" t="s">
        <v>1283</v>
      </c>
    </row>
    <row r="906" spans="1:16" x14ac:dyDescent="0.25">
      <c r="A906" t="s">
        <v>2406</v>
      </c>
      <c r="B906" t="s">
        <v>2407</v>
      </c>
      <c r="C906" t="s">
        <v>1571</v>
      </c>
      <c r="D906" t="s">
        <v>1027</v>
      </c>
      <c r="E906">
        <v>63767</v>
      </c>
      <c r="G906" t="b">
        <v>0</v>
      </c>
      <c r="H906" t="b">
        <v>0</v>
      </c>
      <c r="I906" t="s">
        <v>1050</v>
      </c>
      <c r="J906">
        <v>80</v>
      </c>
      <c r="K906" t="s">
        <v>0</v>
      </c>
      <c r="L906" t="s">
        <v>1167</v>
      </c>
      <c r="M906" t="s">
        <v>1168</v>
      </c>
      <c r="N906" t="s">
        <v>1169</v>
      </c>
      <c r="O906" t="s">
        <v>1168</v>
      </c>
      <c r="P906" t="s">
        <v>1283</v>
      </c>
    </row>
    <row r="907" spans="1:16" x14ac:dyDescent="0.25">
      <c r="A907" t="s">
        <v>2408</v>
      </c>
      <c r="B907" t="s">
        <v>2409</v>
      </c>
      <c r="C907" t="s">
        <v>1571</v>
      </c>
      <c r="D907" t="s">
        <v>1027</v>
      </c>
      <c r="E907">
        <v>63767</v>
      </c>
      <c r="G907" t="b">
        <v>0</v>
      </c>
      <c r="H907" t="b">
        <v>0</v>
      </c>
      <c r="I907" t="s">
        <v>1050</v>
      </c>
      <c r="J907">
        <v>80</v>
      </c>
      <c r="K907" t="s">
        <v>0</v>
      </c>
      <c r="L907" t="s">
        <v>1167</v>
      </c>
      <c r="M907" t="s">
        <v>1168</v>
      </c>
      <c r="N907" t="s">
        <v>1169</v>
      </c>
      <c r="O907" t="s">
        <v>1168</v>
      </c>
      <c r="P907" t="s">
        <v>1283</v>
      </c>
    </row>
    <row r="908" spans="1:16" x14ac:dyDescent="0.25">
      <c r="A908" t="s">
        <v>2410</v>
      </c>
      <c r="B908" t="s">
        <v>2411</v>
      </c>
      <c r="C908" t="s">
        <v>1571</v>
      </c>
      <c r="D908" t="s">
        <v>1027</v>
      </c>
      <c r="E908">
        <v>63767</v>
      </c>
      <c r="G908" t="b">
        <v>0</v>
      </c>
      <c r="H908" t="b">
        <v>0</v>
      </c>
      <c r="I908" t="s">
        <v>1050</v>
      </c>
      <c r="J908">
        <v>80</v>
      </c>
      <c r="K908" t="s">
        <v>0</v>
      </c>
      <c r="L908" t="s">
        <v>1167</v>
      </c>
      <c r="M908" t="s">
        <v>1168</v>
      </c>
      <c r="N908" t="s">
        <v>1169</v>
      </c>
      <c r="O908" t="s">
        <v>1168</v>
      </c>
      <c r="P908" t="s">
        <v>1283</v>
      </c>
    </row>
    <row r="909" spans="1:16" x14ac:dyDescent="0.25">
      <c r="A909" t="s">
        <v>2412</v>
      </c>
      <c r="B909" t="s">
        <v>2413</v>
      </c>
      <c r="C909" t="s">
        <v>1571</v>
      </c>
      <c r="D909" t="s">
        <v>1027</v>
      </c>
      <c r="E909">
        <v>63767</v>
      </c>
      <c r="G909" t="b">
        <v>0</v>
      </c>
      <c r="H909" t="b">
        <v>0</v>
      </c>
      <c r="I909" t="s">
        <v>1050</v>
      </c>
      <c r="J909">
        <v>80</v>
      </c>
      <c r="K909" t="s">
        <v>0</v>
      </c>
      <c r="L909" t="s">
        <v>1167</v>
      </c>
      <c r="M909" t="s">
        <v>1168</v>
      </c>
      <c r="N909" t="s">
        <v>1169</v>
      </c>
      <c r="O909" t="s">
        <v>1168</v>
      </c>
      <c r="P909" t="s">
        <v>1283</v>
      </c>
    </row>
    <row r="910" spans="1:16" x14ac:dyDescent="0.25">
      <c r="A910" t="s">
        <v>2414</v>
      </c>
      <c r="B910" t="s">
        <v>2415</v>
      </c>
      <c r="C910" t="s">
        <v>1571</v>
      </c>
      <c r="D910" t="s">
        <v>1027</v>
      </c>
      <c r="E910">
        <v>63767</v>
      </c>
      <c r="G910" t="b">
        <v>0</v>
      </c>
      <c r="H910" t="b">
        <v>0</v>
      </c>
      <c r="I910" t="s">
        <v>1050</v>
      </c>
      <c r="J910">
        <v>80</v>
      </c>
      <c r="K910" t="s">
        <v>0</v>
      </c>
      <c r="L910" t="s">
        <v>1167</v>
      </c>
      <c r="M910" t="s">
        <v>1168</v>
      </c>
      <c r="N910" t="s">
        <v>1169</v>
      </c>
      <c r="O910" t="s">
        <v>1168</v>
      </c>
      <c r="P910" t="s">
        <v>1283</v>
      </c>
    </row>
    <row r="911" spans="1:16" x14ac:dyDescent="0.25">
      <c r="A911" t="s">
        <v>2416</v>
      </c>
      <c r="B911" t="s">
        <v>2417</v>
      </c>
      <c r="C911" t="s">
        <v>1571</v>
      </c>
      <c r="D911" t="s">
        <v>1027</v>
      </c>
      <c r="E911">
        <v>63767</v>
      </c>
      <c r="G911" t="b">
        <v>0</v>
      </c>
      <c r="H911" t="b">
        <v>0</v>
      </c>
      <c r="I911" t="s">
        <v>1050</v>
      </c>
      <c r="J911">
        <v>80</v>
      </c>
      <c r="K911" t="s">
        <v>0</v>
      </c>
      <c r="L911" t="s">
        <v>1167</v>
      </c>
      <c r="M911" t="s">
        <v>1168</v>
      </c>
      <c r="N911" t="s">
        <v>1169</v>
      </c>
      <c r="O911" t="s">
        <v>1168</v>
      </c>
      <c r="P911" t="s">
        <v>1283</v>
      </c>
    </row>
    <row r="912" spans="1:16" x14ac:dyDescent="0.25">
      <c r="A912" t="s">
        <v>2418</v>
      </c>
      <c r="B912" t="s">
        <v>2419</v>
      </c>
      <c r="C912" t="s">
        <v>1571</v>
      </c>
      <c r="D912" t="s">
        <v>1027</v>
      </c>
      <c r="E912">
        <v>63767</v>
      </c>
      <c r="G912" t="b">
        <v>0</v>
      </c>
      <c r="H912" t="b">
        <v>0</v>
      </c>
      <c r="I912" t="s">
        <v>1050</v>
      </c>
      <c r="J912">
        <v>80</v>
      </c>
      <c r="K912" t="s">
        <v>0</v>
      </c>
      <c r="L912" t="s">
        <v>1167</v>
      </c>
      <c r="M912" t="s">
        <v>1168</v>
      </c>
      <c r="N912" t="s">
        <v>1169</v>
      </c>
      <c r="O912" t="s">
        <v>1168</v>
      </c>
      <c r="P912" t="s">
        <v>1283</v>
      </c>
    </row>
    <row r="913" spans="1:16" x14ac:dyDescent="0.25">
      <c r="A913" t="s">
        <v>2420</v>
      </c>
      <c r="B913" t="s">
        <v>2421</v>
      </c>
      <c r="C913" t="s">
        <v>1571</v>
      </c>
      <c r="D913" t="s">
        <v>1027</v>
      </c>
      <c r="E913">
        <v>63767</v>
      </c>
      <c r="G913" t="b">
        <v>0</v>
      </c>
      <c r="H913" t="b">
        <v>0</v>
      </c>
      <c r="I913" t="s">
        <v>1050</v>
      </c>
      <c r="J913">
        <v>80</v>
      </c>
      <c r="K913" t="s">
        <v>0</v>
      </c>
      <c r="L913" t="s">
        <v>1167</v>
      </c>
      <c r="M913" t="s">
        <v>1168</v>
      </c>
      <c r="N913" t="s">
        <v>1169</v>
      </c>
      <c r="O913" t="s">
        <v>1168</v>
      </c>
      <c r="P913" t="s">
        <v>1283</v>
      </c>
    </row>
    <row r="914" spans="1:16" x14ac:dyDescent="0.25">
      <c r="A914" t="s">
        <v>2422</v>
      </c>
      <c r="B914" t="s">
        <v>2423</v>
      </c>
      <c r="C914" t="s">
        <v>1571</v>
      </c>
      <c r="D914" t="s">
        <v>1027</v>
      </c>
      <c r="E914">
        <v>63767</v>
      </c>
      <c r="G914" t="b">
        <v>0</v>
      </c>
      <c r="H914" t="b">
        <v>0</v>
      </c>
      <c r="I914" t="s">
        <v>1050</v>
      </c>
      <c r="J914">
        <v>80</v>
      </c>
      <c r="K914" t="s">
        <v>0</v>
      </c>
      <c r="L914" t="s">
        <v>1167</v>
      </c>
      <c r="M914" t="s">
        <v>1168</v>
      </c>
      <c r="N914" t="s">
        <v>1169</v>
      </c>
      <c r="O914" t="s">
        <v>1168</v>
      </c>
      <c r="P914" t="s">
        <v>1283</v>
      </c>
    </row>
    <row r="915" spans="1:16" x14ac:dyDescent="0.25">
      <c r="A915" t="s">
        <v>2424</v>
      </c>
      <c r="B915" t="s">
        <v>2425</v>
      </c>
      <c r="C915" t="s">
        <v>1571</v>
      </c>
      <c r="D915" t="s">
        <v>1027</v>
      </c>
      <c r="E915">
        <v>63767</v>
      </c>
      <c r="G915" t="b">
        <v>0</v>
      </c>
      <c r="H915" t="b">
        <v>0</v>
      </c>
      <c r="I915" t="s">
        <v>1050</v>
      </c>
      <c r="J915">
        <v>80</v>
      </c>
      <c r="K915" t="s">
        <v>0</v>
      </c>
      <c r="L915" t="s">
        <v>1167</v>
      </c>
      <c r="M915" t="s">
        <v>1168</v>
      </c>
      <c r="N915" t="s">
        <v>1169</v>
      </c>
      <c r="O915" t="s">
        <v>1168</v>
      </c>
      <c r="P915" t="s">
        <v>1283</v>
      </c>
    </row>
    <row r="916" spans="1:16" x14ac:dyDescent="0.25">
      <c r="A916" t="s">
        <v>2426</v>
      </c>
      <c r="B916" t="s">
        <v>2427</v>
      </c>
      <c r="C916" t="s">
        <v>1571</v>
      </c>
      <c r="D916" t="s">
        <v>1027</v>
      </c>
      <c r="E916">
        <v>63767</v>
      </c>
      <c r="G916" t="b">
        <v>0</v>
      </c>
      <c r="H916" t="b">
        <v>0</v>
      </c>
      <c r="I916" t="s">
        <v>1050</v>
      </c>
      <c r="J916">
        <v>80</v>
      </c>
      <c r="K916" t="s">
        <v>0</v>
      </c>
      <c r="L916" t="s">
        <v>1167</v>
      </c>
      <c r="M916" t="s">
        <v>1168</v>
      </c>
      <c r="N916" t="s">
        <v>1169</v>
      </c>
      <c r="O916" t="s">
        <v>1168</v>
      </c>
      <c r="P916" t="s">
        <v>1283</v>
      </c>
    </row>
    <row r="917" spans="1:16" x14ac:dyDescent="0.25">
      <c r="A917" t="s">
        <v>2428</v>
      </c>
      <c r="B917" t="s">
        <v>2429</v>
      </c>
      <c r="C917" t="s">
        <v>1571</v>
      </c>
      <c r="D917" t="s">
        <v>1027</v>
      </c>
      <c r="E917">
        <v>63767</v>
      </c>
      <c r="G917" t="b">
        <v>0</v>
      </c>
      <c r="H917" t="b">
        <v>0</v>
      </c>
      <c r="I917" t="s">
        <v>1050</v>
      </c>
      <c r="J917">
        <v>80</v>
      </c>
      <c r="K917" t="s">
        <v>0</v>
      </c>
      <c r="L917" t="s">
        <v>1167</v>
      </c>
      <c r="M917" t="s">
        <v>1168</v>
      </c>
      <c r="N917" t="s">
        <v>1169</v>
      </c>
      <c r="O917" t="s">
        <v>1168</v>
      </c>
      <c r="P917" t="s">
        <v>1283</v>
      </c>
    </row>
    <row r="918" spans="1:16" x14ac:dyDescent="0.25">
      <c r="A918" t="s">
        <v>2430</v>
      </c>
      <c r="B918" t="s">
        <v>2431</v>
      </c>
      <c r="C918" t="s">
        <v>1571</v>
      </c>
      <c r="D918" t="s">
        <v>1027</v>
      </c>
      <c r="E918">
        <v>63767</v>
      </c>
      <c r="G918" t="b">
        <v>0</v>
      </c>
      <c r="H918" t="b">
        <v>0</v>
      </c>
      <c r="I918" t="s">
        <v>1050</v>
      </c>
      <c r="J918">
        <v>80</v>
      </c>
      <c r="K918" t="s">
        <v>0</v>
      </c>
      <c r="L918" t="s">
        <v>1167</v>
      </c>
      <c r="M918" t="s">
        <v>1168</v>
      </c>
      <c r="N918" t="s">
        <v>1169</v>
      </c>
      <c r="O918" t="s">
        <v>1168</v>
      </c>
      <c r="P918" t="s">
        <v>1283</v>
      </c>
    </row>
    <row r="919" spans="1:16" x14ac:dyDescent="0.25">
      <c r="A919" t="s">
        <v>2432</v>
      </c>
      <c r="B919" t="s">
        <v>2433</v>
      </c>
      <c r="C919" t="s">
        <v>1571</v>
      </c>
      <c r="D919" t="s">
        <v>1027</v>
      </c>
      <c r="E919">
        <v>63767</v>
      </c>
      <c r="G919" t="b">
        <v>0</v>
      </c>
      <c r="H919" t="b">
        <v>0</v>
      </c>
      <c r="I919" t="s">
        <v>1050</v>
      </c>
      <c r="J919">
        <v>80</v>
      </c>
      <c r="K919" t="s">
        <v>0</v>
      </c>
      <c r="L919" t="s">
        <v>1167</v>
      </c>
      <c r="M919" t="s">
        <v>1168</v>
      </c>
      <c r="N919" t="s">
        <v>1169</v>
      </c>
      <c r="O919" t="s">
        <v>1168</v>
      </c>
      <c r="P919" t="s">
        <v>1283</v>
      </c>
    </row>
    <row r="920" spans="1:16" x14ac:dyDescent="0.25">
      <c r="A920" t="s">
        <v>2434</v>
      </c>
      <c r="B920" t="s">
        <v>2435</v>
      </c>
      <c r="C920" t="s">
        <v>1571</v>
      </c>
      <c r="D920" t="s">
        <v>1027</v>
      </c>
      <c r="E920">
        <v>63767</v>
      </c>
      <c r="G920" t="b">
        <v>0</v>
      </c>
      <c r="H920" t="b">
        <v>0</v>
      </c>
      <c r="I920" t="s">
        <v>1050</v>
      </c>
      <c r="J920">
        <v>80</v>
      </c>
      <c r="K920" t="s">
        <v>0</v>
      </c>
      <c r="L920" t="s">
        <v>1167</v>
      </c>
      <c r="M920" t="s">
        <v>1168</v>
      </c>
      <c r="N920" t="s">
        <v>1169</v>
      </c>
      <c r="O920" t="s">
        <v>1168</v>
      </c>
      <c r="P920" t="s">
        <v>1283</v>
      </c>
    </row>
    <row r="921" spans="1:16" x14ac:dyDescent="0.25">
      <c r="A921" t="s">
        <v>2436</v>
      </c>
      <c r="B921" t="s">
        <v>2437</v>
      </c>
      <c r="C921" t="s">
        <v>1571</v>
      </c>
      <c r="D921" t="s">
        <v>1027</v>
      </c>
      <c r="E921">
        <v>63767</v>
      </c>
      <c r="G921" t="b">
        <v>0</v>
      </c>
      <c r="H921" t="b">
        <v>0</v>
      </c>
      <c r="I921" t="s">
        <v>1050</v>
      </c>
      <c r="J921">
        <v>80</v>
      </c>
      <c r="K921" t="s">
        <v>0</v>
      </c>
      <c r="L921" t="s">
        <v>1167</v>
      </c>
      <c r="M921" t="s">
        <v>1168</v>
      </c>
      <c r="N921" t="s">
        <v>1169</v>
      </c>
      <c r="O921" t="s">
        <v>1168</v>
      </c>
      <c r="P921" t="s">
        <v>1283</v>
      </c>
    </row>
    <row r="922" spans="1:16" x14ac:dyDescent="0.25">
      <c r="A922" t="s">
        <v>2438</v>
      </c>
      <c r="B922" t="s">
        <v>2439</v>
      </c>
      <c r="C922" t="s">
        <v>1571</v>
      </c>
      <c r="D922" t="s">
        <v>1027</v>
      </c>
      <c r="E922">
        <v>63767</v>
      </c>
      <c r="G922" t="b">
        <v>0</v>
      </c>
      <c r="H922" t="b">
        <v>0</v>
      </c>
      <c r="I922" t="s">
        <v>1050</v>
      </c>
      <c r="J922">
        <v>80</v>
      </c>
      <c r="K922" t="s">
        <v>0</v>
      </c>
      <c r="L922" t="s">
        <v>1167</v>
      </c>
      <c r="M922" t="s">
        <v>1168</v>
      </c>
      <c r="N922" t="s">
        <v>1169</v>
      </c>
      <c r="O922" t="s">
        <v>1168</v>
      </c>
      <c r="P922" t="s">
        <v>1283</v>
      </c>
    </row>
    <row r="923" spans="1:16" x14ac:dyDescent="0.25">
      <c r="A923" t="s">
        <v>2440</v>
      </c>
      <c r="B923" t="s">
        <v>2441</v>
      </c>
      <c r="C923" t="s">
        <v>1571</v>
      </c>
      <c r="D923" t="s">
        <v>1027</v>
      </c>
      <c r="E923">
        <v>63767</v>
      </c>
      <c r="G923" t="b">
        <v>0</v>
      </c>
      <c r="H923" t="b">
        <v>0</v>
      </c>
      <c r="I923" t="s">
        <v>1050</v>
      </c>
      <c r="J923">
        <v>80</v>
      </c>
      <c r="K923" t="s">
        <v>0</v>
      </c>
      <c r="L923" t="s">
        <v>1167</v>
      </c>
      <c r="M923" t="s">
        <v>1168</v>
      </c>
      <c r="N923" t="s">
        <v>1169</v>
      </c>
      <c r="O923" t="s">
        <v>1168</v>
      </c>
      <c r="P923" t="s">
        <v>1283</v>
      </c>
    </row>
    <row r="924" spans="1:16" x14ac:dyDescent="0.25">
      <c r="A924" t="s">
        <v>2442</v>
      </c>
      <c r="B924" t="s">
        <v>2443</v>
      </c>
      <c r="C924" t="s">
        <v>1233</v>
      </c>
      <c r="D924" t="s">
        <v>1027</v>
      </c>
      <c r="E924">
        <v>63762</v>
      </c>
      <c r="F924" t="s">
        <v>1234</v>
      </c>
      <c r="G924" t="b">
        <v>0</v>
      </c>
      <c r="H924" t="b">
        <v>0</v>
      </c>
      <c r="I924" t="s">
        <v>1050</v>
      </c>
      <c r="J924">
        <v>80</v>
      </c>
      <c r="K924" t="s">
        <v>0</v>
      </c>
      <c r="L924" t="s">
        <v>1167</v>
      </c>
      <c r="M924" t="s">
        <v>1168</v>
      </c>
      <c r="N924" t="s">
        <v>1169</v>
      </c>
      <c r="O924" t="s">
        <v>1168</v>
      </c>
      <c r="P924" t="s">
        <v>1235</v>
      </c>
    </row>
    <row r="925" spans="1:16" x14ac:dyDescent="0.25">
      <c r="A925" t="s">
        <v>2444</v>
      </c>
      <c r="B925" t="s">
        <v>2445</v>
      </c>
      <c r="C925" t="s">
        <v>1233</v>
      </c>
      <c r="D925" t="s">
        <v>1027</v>
      </c>
      <c r="E925">
        <v>63762</v>
      </c>
      <c r="F925" t="s">
        <v>1234</v>
      </c>
      <c r="G925" t="b">
        <v>0</v>
      </c>
      <c r="H925" t="b">
        <v>0</v>
      </c>
      <c r="I925" t="s">
        <v>1050</v>
      </c>
      <c r="J925">
        <v>80</v>
      </c>
      <c r="K925" t="s">
        <v>0</v>
      </c>
      <c r="L925" t="s">
        <v>1167</v>
      </c>
      <c r="M925" t="s">
        <v>1168</v>
      </c>
      <c r="N925" t="s">
        <v>1169</v>
      </c>
      <c r="O925" t="s">
        <v>1168</v>
      </c>
      <c r="P925" t="s">
        <v>1235</v>
      </c>
    </row>
    <row r="926" spans="1:16" x14ac:dyDescent="0.25">
      <c r="A926" t="s">
        <v>2446</v>
      </c>
      <c r="B926" t="s">
        <v>2447</v>
      </c>
      <c r="C926" t="s">
        <v>1571</v>
      </c>
      <c r="D926" t="s">
        <v>1027</v>
      </c>
      <c r="E926">
        <v>63767</v>
      </c>
      <c r="G926" t="b">
        <v>0</v>
      </c>
      <c r="H926" t="b">
        <v>0</v>
      </c>
      <c r="I926" t="s">
        <v>1050</v>
      </c>
      <c r="J926">
        <v>80</v>
      </c>
      <c r="K926" t="s">
        <v>0</v>
      </c>
      <c r="L926" t="s">
        <v>1167</v>
      </c>
      <c r="M926" t="s">
        <v>1168</v>
      </c>
      <c r="N926" t="s">
        <v>1169</v>
      </c>
      <c r="O926" t="s">
        <v>1168</v>
      </c>
      <c r="P926" t="s">
        <v>1283</v>
      </c>
    </row>
    <row r="927" spans="1:16" x14ac:dyDescent="0.25">
      <c r="A927" t="s">
        <v>2448</v>
      </c>
      <c r="B927" t="s">
        <v>2449</v>
      </c>
      <c r="C927" t="s">
        <v>1571</v>
      </c>
      <c r="D927" t="s">
        <v>1027</v>
      </c>
      <c r="E927">
        <v>63767</v>
      </c>
      <c r="G927" t="b">
        <v>0</v>
      </c>
      <c r="H927" t="b">
        <v>0</v>
      </c>
      <c r="I927" t="s">
        <v>1050</v>
      </c>
      <c r="J927">
        <v>80</v>
      </c>
      <c r="K927" t="s">
        <v>0</v>
      </c>
      <c r="L927" t="s">
        <v>1167</v>
      </c>
      <c r="M927" t="s">
        <v>1168</v>
      </c>
      <c r="N927" t="s">
        <v>1169</v>
      </c>
      <c r="O927" t="s">
        <v>1168</v>
      </c>
      <c r="P927" t="s">
        <v>1283</v>
      </c>
    </row>
    <row r="928" spans="1:16" x14ac:dyDescent="0.25">
      <c r="A928" t="s">
        <v>2450</v>
      </c>
      <c r="B928" t="s">
        <v>2451</v>
      </c>
      <c r="C928" t="s">
        <v>1233</v>
      </c>
      <c r="D928" t="s">
        <v>1027</v>
      </c>
      <c r="E928">
        <v>63762</v>
      </c>
      <c r="F928" t="s">
        <v>1234</v>
      </c>
      <c r="G928" t="b">
        <v>0</v>
      </c>
      <c r="H928" t="b">
        <v>0</v>
      </c>
      <c r="I928" t="s">
        <v>1050</v>
      </c>
      <c r="J928">
        <v>88</v>
      </c>
      <c r="K928" t="s">
        <v>0</v>
      </c>
      <c r="L928" t="s">
        <v>1167</v>
      </c>
      <c r="M928" t="s">
        <v>1168</v>
      </c>
      <c r="N928" t="s">
        <v>1169</v>
      </c>
      <c r="O928" t="s">
        <v>1168</v>
      </c>
      <c r="P928" t="s">
        <v>1235</v>
      </c>
    </row>
    <row r="929" spans="1:16" x14ac:dyDescent="0.25">
      <c r="A929" t="s">
        <v>2452</v>
      </c>
      <c r="B929" t="s">
        <v>2453</v>
      </c>
      <c r="C929" t="s">
        <v>1233</v>
      </c>
      <c r="D929" t="s">
        <v>1027</v>
      </c>
      <c r="E929">
        <v>63762</v>
      </c>
      <c r="F929" t="s">
        <v>1234</v>
      </c>
      <c r="G929" t="b">
        <v>0</v>
      </c>
      <c r="H929" t="b">
        <v>0</v>
      </c>
      <c r="I929" t="s">
        <v>1050</v>
      </c>
      <c r="J929">
        <v>88</v>
      </c>
      <c r="K929" t="s">
        <v>0</v>
      </c>
      <c r="L929" t="s">
        <v>1167</v>
      </c>
      <c r="M929" t="s">
        <v>1168</v>
      </c>
      <c r="N929" t="s">
        <v>1169</v>
      </c>
      <c r="O929" t="s">
        <v>1168</v>
      </c>
      <c r="P929" t="s">
        <v>1235</v>
      </c>
    </row>
    <row r="930" spans="1:16" x14ac:dyDescent="0.25">
      <c r="A930" t="s">
        <v>2454</v>
      </c>
      <c r="B930" t="s">
        <v>2455</v>
      </c>
      <c r="C930" t="s">
        <v>1233</v>
      </c>
      <c r="D930" t="s">
        <v>1027</v>
      </c>
      <c r="E930">
        <v>63762</v>
      </c>
      <c r="F930" t="s">
        <v>1234</v>
      </c>
      <c r="G930" t="b">
        <v>0</v>
      </c>
      <c r="H930" t="b">
        <v>0</v>
      </c>
      <c r="I930" t="s">
        <v>1050</v>
      </c>
      <c r="J930">
        <v>89</v>
      </c>
      <c r="K930" t="s">
        <v>0</v>
      </c>
      <c r="L930" t="s">
        <v>1167</v>
      </c>
      <c r="M930" t="s">
        <v>1168</v>
      </c>
      <c r="N930" t="s">
        <v>1169</v>
      </c>
      <c r="O930" t="s">
        <v>1168</v>
      </c>
      <c r="P930" t="s">
        <v>1235</v>
      </c>
    </row>
    <row r="931" spans="1:16" x14ac:dyDescent="0.25">
      <c r="A931" t="s">
        <v>2456</v>
      </c>
      <c r="B931" t="s">
        <v>2457</v>
      </c>
      <c r="C931" t="s">
        <v>1233</v>
      </c>
      <c r="D931" t="s">
        <v>1027</v>
      </c>
      <c r="E931">
        <v>63762</v>
      </c>
      <c r="F931" t="s">
        <v>1234</v>
      </c>
      <c r="G931" t="b">
        <v>0</v>
      </c>
      <c r="H931" t="b">
        <v>0</v>
      </c>
      <c r="I931" t="s">
        <v>1050</v>
      </c>
      <c r="J931">
        <v>89</v>
      </c>
      <c r="K931" t="s">
        <v>0</v>
      </c>
      <c r="L931" t="s">
        <v>1167</v>
      </c>
      <c r="M931" t="s">
        <v>1168</v>
      </c>
      <c r="N931" t="s">
        <v>1169</v>
      </c>
      <c r="O931" t="s">
        <v>1168</v>
      </c>
      <c r="P931" t="s">
        <v>1235</v>
      </c>
    </row>
    <row r="932" spans="1:16" x14ac:dyDescent="0.25">
      <c r="A932" t="s">
        <v>2458</v>
      </c>
      <c r="B932" t="s">
        <v>2459</v>
      </c>
      <c r="C932" t="s">
        <v>1233</v>
      </c>
      <c r="D932" t="s">
        <v>1027</v>
      </c>
      <c r="E932">
        <v>63762</v>
      </c>
      <c r="F932" t="s">
        <v>1234</v>
      </c>
      <c r="G932" t="b">
        <v>0</v>
      </c>
      <c r="H932" t="b">
        <v>0</v>
      </c>
      <c r="I932" t="s">
        <v>1050</v>
      </c>
      <c r="J932">
        <v>89</v>
      </c>
      <c r="K932" t="s">
        <v>0</v>
      </c>
      <c r="L932" t="s">
        <v>1167</v>
      </c>
      <c r="M932" t="s">
        <v>1168</v>
      </c>
      <c r="N932" t="s">
        <v>1169</v>
      </c>
      <c r="O932" t="s">
        <v>1168</v>
      </c>
      <c r="P932" t="s">
        <v>1235</v>
      </c>
    </row>
    <row r="933" spans="1:16" x14ac:dyDescent="0.25">
      <c r="A933" t="s">
        <v>2460</v>
      </c>
      <c r="B933" t="s">
        <v>2461</v>
      </c>
      <c r="C933" t="s">
        <v>1233</v>
      </c>
      <c r="D933" t="s">
        <v>1027</v>
      </c>
      <c r="E933">
        <v>63762</v>
      </c>
      <c r="F933" t="s">
        <v>1234</v>
      </c>
      <c r="G933" t="b">
        <v>0</v>
      </c>
      <c r="H933" t="b">
        <v>0</v>
      </c>
      <c r="I933" t="s">
        <v>1050</v>
      </c>
      <c r="J933">
        <v>85</v>
      </c>
      <c r="K933" t="s">
        <v>0</v>
      </c>
      <c r="L933" t="s">
        <v>1167</v>
      </c>
      <c r="M933" t="s">
        <v>1168</v>
      </c>
      <c r="N933" t="s">
        <v>1169</v>
      </c>
      <c r="O933" t="s">
        <v>1168</v>
      </c>
      <c r="P933" t="s">
        <v>1235</v>
      </c>
    </row>
    <row r="934" spans="1:16" x14ac:dyDescent="0.25">
      <c r="A934" t="s">
        <v>2462</v>
      </c>
      <c r="B934" t="s">
        <v>2463</v>
      </c>
      <c r="C934" t="s">
        <v>1233</v>
      </c>
      <c r="D934" t="s">
        <v>1027</v>
      </c>
      <c r="E934">
        <v>63762</v>
      </c>
      <c r="F934" t="s">
        <v>1234</v>
      </c>
      <c r="G934" t="b">
        <v>0</v>
      </c>
      <c r="H934" t="b">
        <v>0</v>
      </c>
      <c r="I934" t="s">
        <v>1050</v>
      </c>
      <c r="J934">
        <v>85</v>
      </c>
      <c r="K934" t="s">
        <v>0</v>
      </c>
      <c r="L934" t="s">
        <v>1167</v>
      </c>
      <c r="M934" t="s">
        <v>1168</v>
      </c>
      <c r="N934" t="s">
        <v>1169</v>
      </c>
      <c r="O934" t="s">
        <v>1168</v>
      </c>
      <c r="P934" t="s">
        <v>1235</v>
      </c>
    </row>
    <row r="935" spans="1:16" x14ac:dyDescent="0.25">
      <c r="A935" t="s">
        <v>2464</v>
      </c>
      <c r="B935" t="s">
        <v>2465</v>
      </c>
      <c r="C935" t="s">
        <v>1233</v>
      </c>
      <c r="D935" t="s">
        <v>1027</v>
      </c>
      <c r="E935">
        <v>63762</v>
      </c>
      <c r="F935" t="s">
        <v>1234</v>
      </c>
      <c r="G935" t="b">
        <v>0</v>
      </c>
      <c r="H935" t="b">
        <v>0</v>
      </c>
      <c r="I935" t="s">
        <v>1050</v>
      </c>
      <c r="J935">
        <v>85</v>
      </c>
      <c r="K935" t="s">
        <v>0</v>
      </c>
      <c r="L935" t="s">
        <v>1167</v>
      </c>
      <c r="M935" t="s">
        <v>1168</v>
      </c>
      <c r="N935" t="s">
        <v>1169</v>
      </c>
      <c r="O935" t="s">
        <v>1168</v>
      </c>
      <c r="P935" t="s">
        <v>1235</v>
      </c>
    </row>
    <row r="936" spans="1:16" x14ac:dyDescent="0.25">
      <c r="A936" t="s">
        <v>2466</v>
      </c>
      <c r="B936" t="s">
        <v>2467</v>
      </c>
      <c r="C936" t="s">
        <v>1233</v>
      </c>
      <c r="D936" t="s">
        <v>1027</v>
      </c>
      <c r="E936">
        <v>63762</v>
      </c>
      <c r="F936" t="s">
        <v>1234</v>
      </c>
      <c r="G936" t="b">
        <v>0</v>
      </c>
      <c r="H936" t="b">
        <v>0</v>
      </c>
      <c r="I936" t="s">
        <v>1050</v>
      </c>
      <c r="J936">
        <v>85</v>
      </c>
      <c r="K936" t="s">
        <v>0</v>
      </c>
      <c r="L936" t="s">
        <v>1167</v>
      </c>
      <c r="M936" t="s">
        <v>1168</v>
      </c>
      <c r="N936" t="s">
        <v>1169</v>
      </c>
      <c r="O936" t="s">
        <v>1168</v>
      </c>
      <c r="P936" t="s">
        <v>1235</v>
      </c>
    </row>
    <row r="937" spans="1:16" x14ac:dyDescent="0.25">
      <c r="A937" t="s">
        <v>2468</v>
      </c>
      <c r="B937" t="s">
        <v>2469</v>
      </c>
      <c r="C937" t="s">
        <v>1233</v>
      </c>
      <c r="D937" t="s">
        <v>1027</v>
      </c>
      <c r="E937">
        <v>63762</v>
      </c>
      <c r="F937" t="s">
        <v>1234</v>
      </c>
      <c r="G937" t="b">
        <v>0</v>
      </c>
      <c r="H937" t="b">
        <v>0</v>
      </c>
      <c r="I937" t="s">
        <v>1050</v>
      </c>
      <c r="J937">
        <v>85</v>
      </c>
      <c r="K937" t="s">
        <v>0</v>
      </c>
      <c r="L937" t="s">
        <v>1167</v>
      </c>
      <c r="M937" t="s">
        <v>1168</v>
      </c>
      <c r="N937" t="s">
        <v>1169</v>
      </c>
      <c r="O937" t="s">
        <v>1168</v>
      </c>
      <c r="P937" t="s">
        <v>1235</v>
      </c>
    </row>
    <row r="938" spans="1:16" x14ac:dyDescent="0.25">
      <c r="A938" t="s">
        <v>2470</v>
      </c>
      <c r="B938" t="s">
        <v>2471</v>
      </c>
      <c r="C938" t="s">
        <v>1233</v>
      </c>
      <c r="D938" t="s">
        <v>1027</v>
      </c>
      <c r="E938">
        <v>63762</v>
      </c>
      <c r="F938" t="s">
        <v>1234</v>
      </c>
      <c r="G938" t="b">
        <v>0</v>
      </c>
      <c r="H938" t="b">
        <v>0</v>
      </c>
      <c r="I938" t="s">
        <v>1050</v>
      </c>
      <c r="J938">
        <v>85</v>
      </c>
      <c r="K938" t="s">
        <v>0</v>
      </c>
      <c r="L938" t="s">
        <v>1167</v>
      </c>
      <c r="M938" t="s">
        <v>1168</v>
      </c>
      <c r="N938" t="s">
        <v>1169</v>
      </c>
      <c r="O938" t="s">
        <v>1168</v>
      </c>
      <c r="P938" t="s">
        <v>1235</v>
      </c>
    </row>
    <row r="939" spans="1:16" x14ac:dyDescent="0.25">
      <c r="A939" t="s">
        <v>2472</v>
      </c>
      <c r="B939" t="s">
        <v>2473</v>
      </c>
      <c r="C939" t="s">
        <v>1571</v>
      </c>
      <c r="D939" t="s">
        <v>1027</v>
      </c>
      <c r="E939">
        <v>63767</v>
      </c>
      <c r="G939" t="b">
        <v>0</v>
      </c>
      <c r="H939" t="b">
        <v>0</v>
      </c>
      <c r="I939" t="s">
        <v>1050</v>
      </c>
      <c r="J939">
        <v>80</v>
      </c>
      <c r="K939" t="s">
        <v>0</v>
      </c>
      <c r="L939" t="s">
        <v>1167</v>
      </c>
      <c r="M939" t="s">
        <v>1168</v>
      </c>
      <c r="N939" t="s">
        <v>1169</v>
      </c>
      <c r="O939" t="s">
        <v>1168</v>
      </c>
      <c r="P939" t="s">
        <v>1283</v>
      </c>
    </row>
    <row r="940" spans="1:16" x14ac:dyDescent="0.25">
      <c r="A940" t="s">
        <v>2474</v>
      </c>
      <c r="B940" t="s">
        <v>2475</v>
      </c>
      <c r="C940" t="s">
        <v>1571</v>
      </c>
      <c r="D940" t="s">
        <v>1027</v>
      </c>
      <c r="E940">
        <v>63767</v>
      </c>
      <c r="G940" t="b">
        <v>0</v>
      </c>
      <c r="H940" t="b">
        <v>0</v>
      </c>
      <c r="I940" t="s">
        <v>1050</v>
      </c>
      <c r="J940">
        <v>80</v>
      </c>
      <c r="K940" t="s">
        <v>0</v>
      </c>
      <c r="L940" t="s">
        <v>1167</v>
      </c>
      <c r="M940" t="s">
        <v>1168</v>
      </c>
      <c r="N940" t="s">
        <v>1169</v>
      </c>
      <c r="O940" t="s">
        <v>1168</v>
      </c>
      <c r="P940" t="s">
        <v>1283</v>
      </c>
    </row>
    <row r="941" spans="1:16" x14ac:dyDescent="0.25">
      <c r="A941" t="s">
        <v>2476</v>
      </c>
      <c r="B941" t="s">
        <v>2477</v>
      </c>
      <c r="C941" t="s">
        <v>1571</v>
      </c>
      <c r="D941" t="s">
        <v>1027</v>
      </c>
      <c r="E941">
        <v>63767</v>
      </c>
      <c r="G941" t="b">
        <v>0</v>
      </c>
      <c r="H941" t="b">
        <v>0</v>
      </c>
      <c r="I941" t="s">
        <v>1050</v>
      </c>
      <c r="J941">
        <v>80</v>
      </c>
      <c r="K941" t="s">
        <v>0</v>
      </c>
      <c r="L941" t="s">
        <v>1167</v>
      </c>
      <c r="M941" t="s">
        <v>1168</v>
      </c>
      <c r="N941" t="s">
        <v>1169</v>
      </c>
      <c r="O941" t="s">
        <v>1168</v>
      </c>
      <c r="P941" t="s">
        <v>1283</v>
      </c>
    </row>
    <row r="942" spans="1:16" x14ac:dyDescent="0.25">
      <c r="A942" t="s">
        <v>2478</v>
      </c>
      <c r="B942" t="s">
        <v>2479</v>
      </c>
      <c r="C942" t="s">
        <v>1571</v>
      </c>
      <c r="D942" t="s">
        <v>1027</v>
      </c>
      <c r="E942">
        <v>63767</v>
      </c>
      <c r="G942" t="b">
        <v>0</v>
      </c>
      <c r="H942" t="b">
        <v>0</v>
      </c>
      <c r="I942" t="s">
        <v>1050</v>
      </c>
      <c r="J942">
        <v>80</v>
      </c>
      <c r="K942" t="s">
        <v>0</v>
      </c>
      <c r="L942" t="s">
        <v>1167</v>
      </c>
      <c r="M942" t="s">
        <v>1168</v>
      </c>
      <c r="N942" t="s">
        <v>1169</v>
      </c>
      <c r="O942" t="s">
        <v>1168</v>
      </c>
      <c r="P942" t="s">
        <v>1283</v>
      </c>
    </row>
    <row r="943" spans="1:16" x14ac:dyDescent="0.25">
      <c r="A943" t="s">
        <v>2480</v>
      </c>
      <c r="B943" t="s">
        <v>2481</v>
      </c>
      <c r="C943" t="s">
        <v>1571</v>
      </c>
      <c r="D943" t="s">
        <v>1027</v>
      </c>
      <c r="E943">
        <v>63767</v>
      </c>
      <c r="G943" t="b">
        <v>0</v>
      </c>
      <c r="H943" t="b">
        <v>0</v>
      </c>
      <c r="I943" t="s">
        <v>1050</v>
      </c>
      <c r="J943">
        <v>80</v>
      </c>
      <c r="K943" t="s">
        <v>0</v>
      </c>
      <c r="L943" t="s">
        <v>1167</v>
      </c>
      <c r="M943" t="s">
        <v>1168</v>
      </c>
      <c r="N943" t="s">
        <v>1169</v>
      </c>
      <c r="O943" t="s">
        <v>1168</v>
      </c>
      <c r="P943" t="s">
        <v>1283</v>
      </c>
    </row>
    <row r="944" spans="1:16" x14ac:dyDescent="0.25">
      <c r="A944" t="s">
        <v>2482</v>
      </c>
      <c r="B944" t="s">
        <v>2483</v>
      </c>
      <c r="C944" t="s">
        <v>1233</v>
      </c>
      <c r="D944" t="s">
        <v>1027</v>
      </c>
      <c r="E944">
        <v>63762</v>
      </c>
      <c r="F944" t="s">
        <v>1234</v>
      </c>
      <c r="G944" t="b">
        <v>0</v>
      </c>
      <c r="H944" t="b">
        <v>0</v>
      </c>
      <c r="I944" t="s">
        <v>1050</v>
      </c>
      <c r="J944">
        <v>80</v>
      </c>
      <c r="K944" t="s">
        <v>0</v>
      </c>
      <c r="L944" t="s">
        <v>1167</v>
      </c>
      <c r="M944" t="s">
        <v>1168</v>
      </c>
      <c r="N944" t="s">
        <v>1169</v>
      </c>
      <c r="O944" t="s">
        <v>1168</v>
      </c>
      <c r="P944" t="s">
        <v>1235</v>
      </c>
    </row>
    <row r="945" spans="1:16" x14ac:dyDescent="0.25">
      <c r="A945" t="s">
        <v>2484</v>
      </c>
      <c r="B945" t="s">
        <v>2485</v>
      </c>
      <c r="C945" t="s">
        <v>1233</v>
      </c>
      <c r="D945" t="s">
        <v>1027</v>
      </c>
      <c r="E945">
        <v>63762</v>
      </c>
      <c r="F945" t="s">
        <v>1234</v>
      </c>
      <c r="G945" t="b">
        <v>0</v>
      </c>
      <c r="H945" t="b">
        <v>0</v>
      </c>
      <c r="I945" t="s">
        <v>1050</v>
      </c>
      <c r="J945">
        <v>87</v>
      </c>
      <c r="K945" t="s">
        <v>0</v>
      </c>
      <c r="L945" t="s">
        <v>1167</v>
      </c>
      <c r="M945" t="s">
        <v>1168</v>
      </c>
      <c r="N945" t="s">
        <v>1169</v>
      </c>
      <c r="O945" t="s">
        <v>1168</v>
      </c>
      <c r="P945" t="s">
        <v>1235</v>
      </c>
    </row>
    <row r="946" spans="1:16" x14ac:dyDescent="0.25">
      <c r="A946" t="s">
        <v>2486</v>
      </c>
      <c r="B946" t="s">
        <v>2487</v>
      </c>
      <c r="C946" t="s">
        <v>1678</v>
      </c>
      <c r="D946" t="s">
        <v>1027</v>
      </c>
      <c r="E946">
        <v>63786</v>
      </c>
      <c r="F946" t="s">
        <v>1679</v>
      </c>
      <c r="G946" t="b">
        <v>0</v>
      </c>
      <c r="H946" t="b">
        <v>0</v>
      </c>
      <c r="I946" t="s">
        <v>1050</v>
      </c>
      <c r="J946">
        <v>20</v>
      </c>
      <c r="K946" t="s">
        <v>2</v>
      </c>
      <c r="L946" t="s">
        <v>1680</v>
      </c>
      <c r="M946" t="s">
        <v>1680</v>
      </c>
      <c r="N946" t="s">
        <v>1681</v>
      </c>
      <c r="O946" t="s">
        <v>1680</v>
      </c>
      <c r="P946" t="s">
        <v>1682</v>
      </c>
    </row>
    <row r="947" spans="1:16" x14ac:dyDescent="0.25">
      <c r="A947" t="s">
        <v>2488</v>
      </c>
      <c r="B947" t="s">
        <v>2489</v>
      </c>
      <c r="C947" t="s">
        <v>1571</v>
      </c>
      <c r="D947" t="s">
        <v>1027</v>
      </c>
      <c r="E947">
        <v>63767</v>
      </c>
      <c r="G947" t="b">
        <v>0</v>
      </c>
      <c r="H947" t="b">
        <v>0</v>
      </c>
      <c r="I947" t="s">
        <v>1050</v>
      </c>
      <c r="J947">
        <v>80</v>
      </c>
      <c r="K947" t="s">
        <v>0</v>
      </c>
      <c r="L947" t="s">
        <v>1167</v>
      </c>
      <c r="M947" t="s">
        <v>1168</v>
      </c>
      <c r="N947" t="s">
        <v>1169</v>
      </c>
      <c r="O947" t="s">
        <v>1168</v>
      </c>
      <c r="P947" t="s">
        <v>1283</v>
      </c>
    </row>
    <row r="948" spans="1:16" x14ac:dyDescent="0.25">
      <c r="A948" t="s">
        <v>2490</v>
      </c>
      <c r="B948" t="s">
        <v>2491</v>
      </c>
      <c r="C948" t="s">
        <v>1431</v>
      </c>
      <c r="D948" t="s">
        <v>1027</v>
      </c>
      <c r="E948">
        <v>41348</v>
      </c>
      <c r="F948" t="s">
        <v>1432</v>
      </c>
      <c r="G948" t="b">
        <v>0</v>
      </c>
      <c r="H948" t="b">
        <v>0</v>
      </c>
      <c r="I948" t="s">
        <v>1050</v>
      </c>
      <c r="J948" t="s">
        <v>1053</v>
      </c>
      <c r="K948" t="s">
        <v>1043</v>
      </c>
    </row>
    <row r="949" spans="1:16" x14ac:dyDescent="0.25">
      <c r="A949" t="s">
        <v>2492</v>
      </c>
      <c r="B949" t="s">
        <v>2493</v>
      </c>
      <c r="C949" t="s">
        <v>1233</v>
      </c>
      <c r="D949" t="s">
        <v>1027</v>
      </c>
      <c r="E949">
        <v>63762</v>
      </c>
      <c r="F949" t="s">
        <v>1234</v>
      </c>
      <c r="G949" t="b">
        <v>0</v>
      </c>
      <c r="H949" t="b">
        <v>0</v>
      </c>
      <c r="I949" t="s">
        <v>1050</v>
      </c>
      <c r="J949">
        <v>85</v>
      </c>
      <c r="K949" t="s">
        <v>0</v>
      </c>
      <c r="L949" t="s">
        <v>1167</v>
      </c>
      <c r="M949" t="s">
        <v>1168</v>
      </c>
      <c r="N949" t="s">
        <v>1169</v>
      </c>
      <c r="O949" t="s">
        <v>1168</v>
      </c>
      <c r="P949" t="s">
        <v>1235</v>
      </c>
    </row>
    <row r="950" spans="1:16" x14ac:dyDescent="0.25">
      <c r="A950" t="s">
        <v>2494</v>
      </c>
      <c r="B950" t="s">
        <v>2495</v>
      </c>
      <c r="C950" t="s">
        <v>1233</v>
      </c>
      <c r="D950" t="s">
        <v>1027</v>
      </c>
      <c r="E950">
        <v>63762</v>
      </c>
      <c r="F950" t="s">
        <v>1234</v>
      </c>
      <c r="G950" t="b">
        <v>0</v>
      </c>
      <c r="H950" t="b">
        <v>0</v>
      </c>
      <c r="I950" t="s">
        <v>1050</v>
      </c>
      <c r="J950">
        <v>85</v>
      </c>
      <c r="K950" t="s">
        <v>0</v>
      </c>
      <c r="L950" t="s">
        <v>1167</v>
      </c>
      <c r="M950" t="s">
        <v>1168</v>
      </c>
      <c r="N950" t="s">
        <v>1169</v>
      </c>
      <c r="O950" t="s">
        <v>1168</v>
      </c>
      <c r="P950" t="s">
        <v>1235</v>
      </c>
    </row>
    <row r="951" spans="1:16" x14ac:dyDescent="0.25">
      <c r="A951" t="s">
        <v>2496</v>
      </c>
      <c r="B951" t="s">
        <v>2497</v>
      </c>
      <c r="C951" t="s">
        <v>1233</v>
      </c>
      <c r="D951" t="s">
        <v>1027</v>
      </c>
      <c r="E951">
        <v>63762</v>
      </c>
      <c r="F951" t="s">
        <v>1234</v>
      </c>
      <c r="G951" t="b">
        <v>0</v>
      </c>
      <c r="H951" t="b">
        <v>0</v>
      </c>
      <c r="I951" t="s">
        <v>1050</v>
      </c>
      <c r="J951">
        <v>91</v>
      </c>
      <c r="K951" t="s">
        <v>0</v>
      </c>
      <c r="L951" t="s">
        <v>1167</v>
      </c>
      <c r="M951" t="s">
        <v>1168</v>
      </c>
      <c r="N951" t="s">
        <v>1169</v>
      </c>
      <c r="O951" t="s">
        <v>1168</v>
      </c>
      <c r="P951" t="s">
        <v>1235</v>
      </c>
    </row>
    <row r="952" spans="1:16" x14ac:dyDescent="0.25">
      <c r="A952" t="s">
        <v>2498</v>
      </c>
      <c r="B952" t="s">
        <v>2499</v>
      </c>
      <c r="C952" t="s">
        <v>1233</v>
      </c>
      <c r="D952" t="s">
        <v>1027</v>
      </c>
      <c r="E952">
        <v>63762</v>
      </c>
      <c r="F952" t="s">
        <v>1234</v>
      </c>
      <c r="G952" t="b">
        <v>0</v>
      </c>
      <c r="H952" t="b">
        <v>0</v>
      </c>
      <c r="I952" t="s">
        <v>1050</v>
      </c>
      <c r="J952">
        <v>91</v>
      </c>
      <c r="K952" t="s">
        <v>0</v>
      </c>
      <c r="L952" t="s">
        <v>1167</v>
      </c>
      <c r="M952" t="s">
        <v>1168</v>
      </c>
      <c r="N952" t="s">
        <v>1169</v>
      </c>
      <c r="O952" t="s">
        <v>1168</v>
      </c>
      <c r="P952" t="s">
        <v>1235</v>
      </c>
    </row>
    <row r="953" spans="1:16" x14ac:dyDescent="0.25">
      <c r="A953" t="s">
        <v>2500</v>
      </c>
      <c r="B953" t="s">
        <v>2501</v>
      </c>
      <c r="C953" t="s">
        <v>1233</v>
      </c>
      <c r="D953" t="s">
        <v>1027</v>
      </c>
      <c r="E953">
        <v>63762</v>
      </c>
      <c r="F953" t="s">
        <v>1234</v>
      </c>
      <c r="G953" t="b">
        <v>0</v>
      </c>
      <c r="H953" t="b">
        <v>0</v>
      </c>
      <c r="I953" t="s">
        <v>1050</v>
      </c>
      <c r="J953">
        <v>91</v>
      </c>
      <c r="K953" t="s">
        <v>0</v>
      </c>
      <c r="L953" t="s">
        <v>1167</v>
      </c>
      <c r="M953" t="s">
        <v>1168</v>
      </c>
      <c r="N953" t="s">
        <v>1169</v>
      </c>
      <c r="O953" t="s">
        <v>1168</v>
      </c>
      <c r="P953" t="s">
        <v>1235</v>
      </c>
    </row>
    <row r="954" spans="1:16" x14ac:dyDescent="0.25">
      <c r="A954" t="s">
        <v>2502</v>
      </c>
      <c r="B954" t="s">
        <v>2503</v>
      </c>
      <c r="C954" t="s">
        <v>1233</v>
      </c>
      <c r="D954" t="s">
        <v>1027</v>
      </c>
      <c r="E954">
        <v>63762</v>
      </c>
      <c r="F954" t="s">
        <v>1234</v>
      </c>
      <c r="G954" t="b">
        <v>0</v>
      </c>
      <c r="H954" t="b">
        <v>0</v>
      </c>
      <c r="I954" t="s">
        <v>1050</v>
      </c>
      <c r="J954">
        <v>88</v>
      </c>
      <c r="K954" t="s">
        <v>0</v>
      </c>
      <c r="L954" t="s">
        <v>1167</v>
      </c>
      <c r="M954" t="s">
        <v>1168</v>
      </c>
      <c r="N954" t="s">
        <v>1169</v>
      </c>
      <c r="O954" t="s">
        <v>1168</v>
      </c>
      <c r="P954" t="s">
        <v>1235</v>
      </c>
    </row>
    <row r="955" spans="1:16" x14ac:dyDescent="0.25">
      <c r="A955" t="s">
        <v>2504</v>
      </c>
      <c r="B955" t="s">
        <v>2505</v>
      </c>
      <c r="C955" t="s">
        <v>1228</v>
      </c>
      <c r="D955" t="s">
        <v>1027</v>
      </c>
      <c r="E955">
        <v>1660</v>
      </c>
      <c r="F955" t="s">
        <v>1229</v>
      </c>
      <c r="G955" t="b">
        <v>0</v>
      </c>
      <c r="H955" t="b">
        <v>0</v>
      </c>
      <c r="I955" t="s">
        <v>1050</v>
      </c>
      <c r="J955">
        <v>89</v>
      </c>
      <c r="K955" t="s">
        <v>2</v>
      </c>
      <c r="L955" t="s">
        <v>1167</v>
      </c>
      <c r="M955" t="s">
        <v>1168</v>
      </c>
      <c r="N955" t="s">
        <v>1169</v>
      </c>
      <c r="O955" t="s">
        <v>1168</v>
      </c>
      <c r="P955" t="s">
        <v>1230</v>
      </c>
    </row>
    <row r="956" spans="1:16" x14ac:dyDescent="0.25">
      <c r="A956" t="s">
        <v>2506</v>
      </c>
      <c r="B956" t="s">
        <v>2507</v>
      </c>
      <c r="C956" t="s">
        <v>1571</v>
      </c>
      <c r="D956" t="s">
        <v>1027</v>
      </c>
      <c r="E956">
        <v>63767</v>
      </c>
      <c r="G956" t="b">
        <v>0</v>
      </c>
      <c r="H956" t="b">
        <v>0</v>
      </c>
      <c r="I956" t="s">
        <v>1050</v>
      </c>
      <c r="J956">
        <v>80</v>
      </c>
      <c r="K956" t="s">
        <v>0</v>
      </c>
      <c r="L956" t="s">
        <v>1167</v>
      </c>
      <c r="M956" t="s">
        <v>1168</v>
      </c>
      <c r="N956" t="s">
        <v>1169</v>
      </c>
      <c r="O956" t="s">
        <v>1168</v>
      </c>
      <c r="P956" t="s">
        <v>1283</v>
      </c>
    </row>
    <row r="957" spans="1:16" x14ac:dyDescent="0.25">
      <c r="A957" t="s">
        <v>2508</v>
      </c>
      <c r="B957" t="s">
        <v>2507</v>
      </c>
      <c r="C957" t="s">
        <v>1571</v>
      </c>
      <c r="D957" t="s">
        <v>1027</v>
      </c>
      <c r="E957">
        <v>63767</v>
      </c>
      <c r="G957" t="b">
        <v>0</v>
      </c>
      <c r="H957" t="b">
        <v>0</v>
      </c>
      <c r="I957" t="s">
        <v>1050</v>
      </c>
      <c r="J957">
        <v>80</v>
      </c>
      <c r="K957" t="s">
        <v>0</v>
      </c>
      <c r="L957" t="s">
        <v>1167</v>
      </c>
      <c r="M957" t="s">
        <v>1168</v>
      </c>
      <c r="N957" t="s">
        <v>1169</v>
      </c>
      <c r="O957" t="s">
        <v>1168</v>
      </c>
      <c r="P957" t="s">
        <v>1283</v>
      </c>
    </row>
    <row r="958" spans="1:16" x14ac:dyDescent="0.25">
      <c r="A958" t="s">
        <v>2509</v>
      </c>
      <c r="B958" t="s">
        <v>2510</v>
      </c>
      <c r="C958" t="s">
        <v>1571</v>
      </c>
      <c r="D958" t="s">
        <v>1027</v>
      </c>
      <c r="E958">
        <v>63767</v>
      </c>
      <c r="G958" t="b">
        <v>0</v>
      </c>
      <c r="H958" t="b">
        <v>0</v>
      </c>
      <c r="I958" t="s">
        <v>1050</v>
      </c>
      <c r="J958">
        <v>80</v>
      </c>
      <c r="K958" t="s">
        <v>0</v>
      </c>
      <c r="L958" t="s">
        <v>1167</v>
      </c>
      <c r="M958" t="s">
        <v>1168</v>
      </c>
      <c r="N958" t="s">
        <v>1169</v>
      </c>
      <c r="O958" t="s">
        <v>1168</v>
      </c>
      <c r="P958" t="s">
        <v>1283</v>
      </c>
    </row>
    <row r="959" spans="1:16" x14ac:dyDescent="0.25">
      <c r="A959" t="s">
        <v>2511</v>
      </c>
      <c r="B959" t="s">
        <v>2512</v>
      </c>
      <c r="C959" t="s">
        <v>1571</v>
      </c>
      <c r="D959" t="s">
        <v>1027</v>
      </c>
      <c r="E959">
        <v>63767</v>
      </c>
      <c r="G959" t="b">
        <v>0</v>
      </c>
      <c r="H959" t="b">
        <v>0</v>
      </c>
      <c r="I959" t="s">
        <v>1050</v>
      </c>
      <c r="J959">
        <v>80</v>
      </c>
      <c r="K959" t="s">
        <v>0</v>
      </c>
      <c r="L959" t="s">
        <v>1167</v>
      </c>
      <c r="M959" t="s">
        <v>1168</v>
      </c>
      <c r="N959" t="s">
        <v>1169</v>
      </c>
      <c r="O959" t="s">
        <v>1168</v>
      </c>
      <c r="P959" t="s">
        <v>1283</v>
      </c>
    </row>
    <row r="960" spans="1:16" x14ac:dyDescent="0.25">
      <c r="A960" t="s">
        <v>2513</v>
      </c>
      <c r="B960" t="s">
        <v>2514</v>
      </c>
      <c r="C960" t="s">
        <v>1571</v>
      </c>
      <c r="D960" t="s">
        <v>1027</v>
      </c>
      <c r="E960">
        <v>63767</v>
      </c>
      <c r="G960" t="b">
        <v>0</v>
      </c>
      <c r="H960" t="b">
        <v>0</v>
      </c>
      <c r="I960" t="s">
        <v>1050</v>
      </c>
      <c r="J960">
        <v>80</v>
      </c>
      <c r="K960" t="s">
        <v>0</v>
      </c>
      <c r="L960" t="s">
        <v>1167</v>
      </c>
      <c r="M960" t="s">
        <v>1168</v>
      </c>
      <c r="N960" t="s">
        <v>1169</v>
      </c>
      <c r="O960" t="s">
        <v>1168</v>
      </c>
      <c r="P960" t="s">
        <v>1283</v>
      </c>
    </row>
    <row r="961" spans="1:16" x14ac:dyDescent="0.25">
      <c r="A961" t="s">
        <v>2515</v>
      </c>
      <c r="B961" t="s">
        <v>2516</v>
      </c>
      <c r="C961" t="s">
        <v>1233</v>
      </c>
      <c r="D961" t="s">
        <v>1027</v>
      </c>
      <c r="E961">
        <v>63762</v>
      </c>
      <c r="F961" t="s">
        <v>1234</v>
      </c>
      <c r="G961" t="b">
        <v>0</v>
      </c>
      <c r="H961" t="b">
        <v>0</v>
      </c>
      <c r="I961" t="s">
        <v>1050</v>
      </c>
      <c r="J961">
        <v>80</v>
      </c>
      <c r="K961" t="s">
        <v>0</v>
      </c>
      <c r="L961" t="s">
        <v>1167</v>
      </c>
      <c r="M961" t="s">
        <v>1168</v>
      </c>
      <c r="N961" t="s">
        <v>1169</v>
      </c>
      <c r="O961" t="s">
        <v>1168</v>
      </c>
      <c r="P961" t="s">
        <v>1235</v>
      </c>
    </row>
    <row r="962" spans="1:16" x14ac:dyDescent="0.25">
      <c r="A962" t="s">
        <v>2517</v>
      </c>
      <c r="B962" t="s">
        <v>2518</v>
      </c>
      <c r="C962" t="s">
        <v>1233</v>
      </c>
      <c r="D962" t="s">
        <v>1027</v>
      </c>
      <c r="E962">
        <v>63762</v>
      </c>
      <c r="F962" t="s">
        <v>1234</v>
      </c>
      <c r="G962" t="b">
        <v>0</v>
      </c>
      <c r="H962" t="b">
        <v>0</v>
      </c>
      <c r="I962" t="s">
        <v>1050</v>
      </c>
      <c r="J962">
        <v>80</v>
      </c>
      <c r="K962" t="s">
        <v>0</v>
      </c>
      <c r="L962" t="s">
        <v>1167</v>
      </c>
      <c r="M962" t="s">
        <v>1168</v>
      </c>
      <c r="N962" t="s">
        <v>1169</v>
      </c>
      <c r="O962" t="s">
        <v>1168</v>
      </c>
      <c r="P962" t="s">
        <v>1235</v>
      </c>
    </row>
    <row r="963" spans="1:16" x14ac:dyDescent="0.25">
      <c r="A963" t="s">
        <v>2519</v>
      </c>
      <c r="B963" t="s">
        <v>2520</v>
      </c>
      <c r="C963" t="s">
        <v>1233</v>
      </c>
      <c r="D963" t="s">
        <v>1027</v>
      </c>
      <c r="E963">
        <v>63762</v>
      </c>
      <c r="F963" t="s">
        <v>1234</v>
      </c>
      <c r="G963" t="b">
        <v>0</v>
      </c>
      <c r="H963" t="b">
        <v>0</v>
      </c>
      <c r="I963" t="s">
        <v>1050</v>
      </c>
      <c r="J963">
        <v>87</v>
      </c>
      <c r="K963" t="s">
        <v>0</v>
      </c>
      <c r="L963" t="s">
        <v>1167</v>
      </c>
      <c r="M963" t="s">
        <v>1168</v>
      </c>
      <c r="N963" t="s">
        <v>1169</v>
      </c>
      <c r="O963" t="s">
        <v>1168</v>
      </c>
      <c r="P963" t="s">
        <v>1235</v>
      </c>
    </row>
    <row r="964" spans="1:16" x14ac:dyDescent="0.25">
      <c r="A964" t="s">
        <v>2521</v>
      </c>
      <c r="B964" t="s">
        <v>2522</v>
      </c>
      <c r="C964" t="s">
        <v>1233</v>
      </c>
      <c r="D964" t="s">
        <v>1027</v>
      </c>
      <c r="E964">
        <v>63762</v>
      </c>
      <c r="F964" t="s">
        <v>1234</v>
      </c>
      <c r="G964" t="b">
        <v>0</v>
      </c>
      <c r="H964" t="b">
        <v>0</v>
      </c>
      <c r="I964" t="s">
        <v>1050</v>
      </c>
      <c r="J964">
        <v>87</v>
      </c>
      <c r="K964" t="s">
        <v>0</v>
      </c>
      <c r="L964" t="s">
        <v>1167</v>
      </c>
      <c r="M964" t="s">
        <v>1168</v>
      </c>
      <c r="N964" t="s">
        <v>1169</v>
      </c>
      <c r="O964" t="s">
        <v>1168</v>
      </c>
      <c r="P964" t="s">
        <v>1235</v>
      </c>
    </row>
    <row r="965" spans="1:16" x14ac:dyDescent="0.25">
      <c r="A965" t="s">
        <v>2523</v>
      </c>
      <c r="B965" t="s">
        <v>2524</v>
      </c>
      <c r="C965" t="s">
        <v>1233</v>
      </c>
      <c r="D965" t="s">
        <v>1027</v>
      </c>
      <c r="E965">
        <v>63762</v>
      </c>
      <c r="F965" t="s">
        <v>1234</v>
      </c>
      <c r="G965" t="b">
        <v>0</v>
      </c>
      <c r="H965" t="b">
        <v>0</v>
      </c>
      <c r="I965" t="s">
        <v>1050</v>
      </c>
      <c r="J965">
        <v>87</v>
      </c>
      <c r="K965" t="s">
        <v>0</v>
      </c>
      <c r="L965" t="s">
        <v>1167</v>
      </c>
      <c r="M965" t="s">
        <v>1168</v>
      </c>
      <c r="N965" t="s">
        <v>1169</v>
      </c>
      <c r="O965" t="s">
        <v>1168</v>
      </c>
      <c r="P965" t="s">
        <v>1235</v>
      </c>
    </row>
    <row r="966" spans="1:16" x14ac:dyDescent="0.25">
      <c r="A966" t="s">
        <v>2525</v>
      </c>
      <c r="B966" t="s">
        <v>2526</v>
      </c>
      <c r="C966" t="s">
        <v>1233</v>
      </c>
      <c r="D966" t="s">
        <v>1027</v>
      </c>
      <c r="E966">
        <v>63762</v>
      </c>
      <c r="F966" t="s">
        <v>1234</v>
      </c>
      <c r="G966" t="b">
        <v>0</v>
      </c>
      <c r="H966" t="b">
        <v>0</v>
      </c>
      <c r="I966" t="s">
        <v>1050</v>
      </c>
      <c r="J966">
        <v>80</v>
      </c>
      <c r="K966" t="s">
        <v>0</v>
      </c>
      <c r="L966" t="s">
        <v>1167</v>
      </c>
      <c r="M966" t="s">
        <v>1168</v>
      </c>
      <c r="N966" t="s">
        <v>1169</v>
      </c>
      <c r="O966" t="s">
        <v>1168</v>
      </c>
      <c r="P966" t="s">
        <v>1235</v>
      </c>
    </row>
    <row r="967" spans="1:16" x14ac:dyDescent="0.25">
      <c r="A967" t="s">
        <v>2527</v>
      </c>
      <c r="B967" t="s">
        <v>2528</v>
      </c>
      <c r="C967" t="s">
        <v>1233</v>
      </c>
      <c r="D967" t="s">
        <v>1027</v>
      </c>
      <c r="E967">
        <v>63762</v>
      </c>
      <c r="F967" t="s">
        <v>1234</v>
      </c>
      <c r="G967" t="b">
        <v>0</v>
      </c>
      <c r="H967" t="b">
        <v>0</v>
      </c>
      <c r="I967" t="s">
        <v>1050</v>
      </c>
      <c r="J967">
        <v>80</v>
      </c>
      <c r="K967" t="s">
        <v>0</v>
      </c>
      <c r="L967" t="s">
        <v>1167</v>
      </c>
      <c r="M967" t="s">
        <v>1168</v>
      </c>
      <c r="N967" t="s">
        <v>1169</v>
      </c>
      <c r="O967" t="s">
        <v>1168</v>
      </c>
      <c r="P967" t="s">
        <v>1235</v>
      </c>
    </row>
    <row r="968" spans="1:16" x14ac:dyDescent="0.25">
      <c r="A968" t="s">
        <v>2529</v>
      </c>
      <c r="B968" t="s">
        <v>2530</v>
      </c>
      <c r="C968" t="s">
        <v>1233</v>
      </c>
      <c r="D968" t="s">
        <v>1027</v>
      </c>
      <c r="E968">
        <v>63762</v>
      </c>
      <c r="F968" t="s">
        <v>1234</v>
      </c>
      <c r="G968" t="b">
        <v>0</v>
      </c>
      <c r="H968" t="b">
        <v>0</v>
      </c>
      <c r="I968" t="s">
        <v>1050</v>
      </c>
      <c r="J968">
        <v>91</v>
      </c>
      <c r="K968" t="s">
        <v>0</v>
      </c>
      <c r="L968" t="s">
        <v>1167</v>
      </c>
      <c r="M968" t="s">
        <v>1168</v>
      </c>
      <c r="N968" t="s">
        <v>1169</v>
      </c>
      <c r="O968" t="s">
        <v>1168</v>
      </c>
      <c r="P968" t="s">
        <v>1235</v>
      </c>
    </row>
    <row r="969" spans="1:16" x14ac:dyDescent="0.25">
      <c r="A969" t="s">
        <v>2531</v>
      </c>
      <c r="B969" t="s">
        <v>2532</v>
      </c>
      <c r="C969" t="s">
        <v>1233</v>
      </c>
      <c r="D969" t="s">
        <v>1027</v>
      </c>
      <c r="E969">
        <v>63762</v>
      </c>
      <c r="F969" t="s">
        <v>1234</v>
      </c>
      <c r="G969" t="b">
        <v>0</v>
      </c>
      <c r="H969" t="b">
        <v>0</v>
      </c>
      <c r="I969" t="s">
        <v>1050</v>
      </c>
      <c r="J969">
        <v>88</v>
      </c>
      <c r="K969" t="s">
        <v>0</v>
      </c>
      <c r="L969" t="s">
        <v>1167</v>
      </c>
      <c r="M969" t="s">
        <v>1168</v>
      </c>
      <c r="N969" t="s">
        <v>1169</v>
      </c>
      <c r="O969" t="s">
        <v>1168</v>
      </c>
      <c r="P969" t="s">
        <v>1235</v>
      </c>
    </row>
    <row r="970" spans="1:16" x14ac:dyDescent="0.25">
      <c r="A970" t="s">
        <v>2533</v>
      </c>
      <c r="B970" t="s">
        <v>2534</v>
      </c>
      <c r="C970" t="s">
        <v>1233</v>
      </c>
      <c r="D970" t="s">
        <v>1027</v>
      </c>
      <c r="E970">
        <v>63762</v>
      </c>
      <c r="F970" t="s">
        <v>1234</v>
      </c>
      <c r="G970" t="b">
        <v>0</v>
      </c>
      <c r="H970" t="b">
        <v>0</v>
      </c>
      <c r="I970" t="s">
        <v>1050</v>
      </c>
      <c r="J970">
        <v>88</v>
      </c>
      <c r="K970" t="s">
        <v>0</v>
      </c>
      <c r="L970" t="s">
        <v>1167</v>
      </c>
      <c r="M970" t="s">
        <v>1168</v>
      </c>
      <c r="N970" t="s">
        <v>1169</v>
      </c>
      <c r="O970" t="s">
        <v>1168</v>
      </c>
      <c r="P970" t="s">
        <v>1235</v>
      </c>
    </row>
    <row r="971" spans="1:16" x14ac:dyDescent="0.25">
      <c r="A971" t="s">
        <v>2535</v>
      </c>
      <c r="B971" t="s">
        <v>2536</v>
      </c>
      <c r="C971" t="s">
        <v>1606</v>
      </c>
      <c r="D971" t="s">
        <v>1027</v>
      </c>
      <c r="E971">
        <v>1324</v>
      </c>
      <c r="F971" t="s">
        <v>1607</v>
      </c>
      <c r="G971" t="b">
        <v>0</v>
      </c>
      <c r="H971" t="b">
        <v>0</v>
      </c>
      <c r="I971" t="s">
        <v>1050</v>
      </c>
      <c r="J971">
        <v>90</v>
      </c>
      <c r="K971" t="s">
        <v>2</v>
      </c>
      <c r="L971" t="s">
        <v>1608</v>
      </c>
      <c r="M971" t="s">
        <v>1609</v>
      </c>
      <c r="N971" t="s">
        <v>1608</v>
      </c>
      <c r="O971" t="s">
        <v>1610</v>
      </c>
      <c r="P971" t="s">
        <v>1611</v>
      </c>
    </row>
    <row r="972" spans="1:16" x14ac:dyDescent="0.25">
      <c r="A972" t="s">
        <v>2537</v>
      </c>
      <c r="B972" t="s">
        <v>2538</v>
      </c>
      <c r="C972" t="s">
        <v>1571</v>
      </c>
      <c r="D972" t="s">
        <v>1027</v>
      </c>
      <c r="E972">
        <v>63767</v>
      </c>
      <c r="G972" t="b">
        <v>0</v>
      </c>
      <c r="H972" t="b">
        <v>0</v>
      </c>
      <c r="I972" t="s">
        <v>1050</v>
      </c>
      <c r="J972">
        <v>80</v>
      </c>
      <c r="K972" t="s">
        <v>0</v>
      </c>
      <c r="L972" t="s">
        <v>1167</v>
      </c>
      <c r="M972" t="s">
        <v>1168</v>
      </c>
      <c r="N972" t="s">
        <v>1169</v>
      </c>
      <c r="O972" t="s">
        <v>1168</v>
      </c>
      <c r="P972" t="s">
        <v>1283</v>
      </c>
    </row>
    <row r="973" spans="1:16" x14ac:dyDescent="0.25">
      <c r="A973" t="s">
        <v>2539</v>
      </c>
      <c r="B973" t="s">
        <v>2540</v>
      </c>
      <c r="C973" t="s">
        <v>1571</v>
      </c>
      <c r="D973" t="s">
        <v>1027</v>
      </c>
      <c r="E973">
        <v>63767</v>
      </c>
      <c r="G973" t="b">
        <v>0</v>
      </c>
      <c r="H973" t="b">
        <v>0</v>
      </c>
      <c r="I973" t="s">
        <v>1050</v>
      </c>
      <c r="J973">
        <v>80</v>
      </c>
      <c r="K973" t="s">
        <v>0</v>
      </c>
      <c r="L973" t="s">
        <v>1167</v>
      </c>
      <c r="M973" t="s">
        <v>1168</v>
      </c>
      <c r="N973" t="s">
        <v>1169</v>
      </c>
      <c r="O973" t="s">
        <v>1168</v>
      </c>
      <c r="P973" t="s">
        <v>1283</v>
      </c>
    </row>
    <row r="974" spans="1:16" x14ac:dyDescent="0.25">
      <c r="A974" t="s">
        <v>2541</v>
      </c>
      <c r="B974" t="s">
        <v>2542</v>
      </c>
      <c r="C974" t="s">
        <v>1571</v>
      </c>
      <c r="D974" t="s">
        <v>1027</v>
      </c>
      <c r="E974">
        <v>63767</v>
      </c>
      <c r="G974" t="b">
        <v>0</v>
      </c>
      <c r="H974" t="b">
        <v>0</v>
      </c>
      <c r="I974" t="s">
        <v>1050</v>
      </c>
      <c r="J974">
        <v>80</v>
      </c>
      <c r="K974" t="s">
        <v>0</v>
      </c>
      <c r="L974" t="s">
        <v>1167</v>
      </c>
      <c r="M974" t="s">
        <v>1168</v>
      </c>
      <c r="N974" t="s">
        <v>1169</v>
      </c>
      <c r="O974" t="s">
        <v>1168</v>
      </c>
      <c r="P974" t="s">
        <v>1283</v>
      </c>
    </row>
    <row r="975" spans="1:16" x14ac:dyDescent="0.25">
      <c r="A975" t="s">
        <v>2543</v>
      </c>
      <c r="B975" t="s">
        <v>2544</v>
      </c>
      <c r="C975" t="s">
        <v>1571</v>
      </c>
      <c r="D975" t="s">
        <v>1027</v>
      </c>
      <c r="E975">
        <v>63767</v>
      </c>
      <c r="G975" t="b">
        <v>0</v>
      </c>
      <c r="H975" t="b">
        <v>0</v>
      </c>
      <c r="I975" t="s">
        <v>1050</v>
      </c>
      <c r="J975">
        <v>80</v>
      </c>
      <c r="K975" t="s">
        <v>0</v>
      </c>
      <c r="L975" t="s">
        <v>1167</v>
      </c>
      <c r="M975" t="s">
        <v>1168</v>
      </c>
      <c r="N975" t="s">
        <v>1169</v>
      </c>
      <c r="O975" t="s">
        <v>1168</v>
      </c>
      <c r="P975" t="s">
        <v>1283</v>
      </c>
    </row>
    <row r="976" spans="1:16" x14ac:dyDescent="0.25">
      <c r="A976" t="s">
        <v>2545</v>
      </c>
      <c r="B976" t="s">
        <v>2546</v>
      </c>
      <c r="C976" t="s">
        <v>1571</v>
      </c>
      <c r="D976" t="s">
        <v>1027</v>
      </c>
      <c r="E976">
        <v>63767</v>
      </c>
      <c r="G976" t="b">
        <v>0</v>
      </c>
      <c r="H976" t="b">
        <v>0</v>
      </c>
      <c r="I976" t="s">
        <v>1050</v>
      </c>
      <c r="J976">
        <v>80</v>
      </c>
      <c r="K976" t="s">
        <v>0</v>
      </c>
      <c r="L976" t="s">
        <v>1167</v>
      </c>
      <c r="M976" t="s">
        <v>1168</v>
      </c>
      <c r="N976" t="s">
        <v>1169</v>
      </c>
      <c r="O976" t="s">
        <v>1168</v>
      </c>
      <c r="P976" t="s">
        <v>1283</v>
      </c>
    </row>
    <row r="977" spans="1:16" x14ac:dyDescent="0.25">
      <c r="A977" t="s">
        <v>2547</v>
      </c>
      <c r="B977" t="s">
        <v>2548</v>
      </c>
      <c r="C977" t="s">
        <v>1571</v>
      </c>
      <c r="D977" t="s">
        <v>1027</v>
      </c>
      <c r="E977">
        <v>63767</v>
      </c>
      <c r="G977" t="b">
        <v>0</v>
      </c>
      <c r="H977" t="b">
        <v>0</v>
      </c>
      <c r="I977" t="s">
        <v>1050</v>
      </c>
      <c r="J977">
        <v>80</v>
      </c>
      <c r="K977" t="s">
        <v>0</v>
      </c>
      <c r="L977" t="s">
        <v>1167</v>
      </c>
      <c r="M977" t="s">
        <v>1168</v>
      </c>
      <c r="N977" t="s">
        <v>1169</v>
      </c>
      <c r="O977" t="s">
        <v>1168</v>
      </c>
      <c r="P977" t="s">
        <v>1283</v>
      </c>
    </row>
    <row r="978" spans="1:16" x14ac:dyDescent="0.25">
      <c r="A978" t="s">
        <v>2549</v>
      </c>
      <c r="B978" t="s">
        <v>2550</v>
      </c>
      <c r="C978" t="s">
        <v>1571</v>
      </c>
      <c r="D978" t="s">
        <v>1027</v>
      </c>
      <c r="E978">
        <v>63767</v>
      </c>
      <c r="G978" t="b">
        <v>0</v>
      </c>
      <c r="H978" t="b">
        <v>0</v>
      </c>
      <c r="I978" t="s">
        <v>1050</v>
      </c>
      <c r="J978">
        <v>80</v>
      </c>
      <c r="K978" t="s">
        <v>0</v>
      </c>
      <c r="L978" t="s">
        <v>1167</v>
      </c>
      <c r="M978" t="s">
        <v>1168</v>
      </c>
      <c r="N978" t="s">
        <v>1169</v>
      </c>
      <c r="O978" t="s">
        <v>1168</v>
      </c>
      <c r="P978" t="s">
        <v>1283</v>
      </c>
    </row>
    <row r="979" spans="1:16" x14ac:dyDescent="0.25">
      <c r="A979" t="s">
        <v>2551</v>
      </c>
      <c r="B979" t="s">
        <v>2552</v>
      </c>
      <c r="C979" t="s">
        <v>1233</v>
      </c>
      <c r="D979" t="s">
        <v>1027</v>
      </c>
      <c r="E979">
        <v>63762</v>
      </c>
      <c r="F979" t="s">
        <v>1234</v>
      </c>
      <c r="G979" t="b">
        <v>0</v>
      </c>
      <c r="H979" t="b">
        <v>0</v>
      </c>
      <c r="I979" t="s">
        <v>1050</v>
      </c>
      <c r="J979">
        <v>80</v>
      </c>
      <c r="K979" t="s">
        <v>0</v>
      </c>
      <c r="L979" t="s">
        <v>1167</v>
      </c>
      <c r="M979" t="s">
        <v>1168</v>
      </c>
      <c r="N979" t="s">
        <v>1169</v>
      </c>
      <c r="O979" t="s">
        <v>1168</v>
      </c>
      <c r="P979" t="s">
        <v>1235</v>
      </c>
    </row>
    <row r="980" spans="1:16" x14ac:dyDescent="0.25">
      <c r="A980" t="s">
        <v>2553</v>
      </c>
      <c r="B980" t="s">
        <v>2554</v>
      </c>
      <c r="C980" t="s">
        <v>1233</v>
      </c>
      <c r="D980" t="s">
        <v>1027</v>
      </c>
      <c r="E980">
        <v>63762</v>
      </c>
      <c r="F980" t="s">
        <v>1234</v>
      </c>
      <c r="G980" t="b">
        <v>0</v>
      </c>
      <c r="H980" t="b">
        <v>0</v>
      </c>
      <c r="I980" t="s">
        <v>1050</v>
      </c>
      <c r="J980">
        <v>87</v>
      </c>
      <c r="K980" t="s">
        <v>0</v>
      </c>
      <c r="L980" t="s">
        <v>1167</v>
      </c>
      <c r="M980" t="s">
        <v>1168</v>
      </c>
      <c r="N980" t="s">
        <v>1169</v>
      </c>
      <c r="O980" t="s">
        <v>1168</v>
      </c>
      <c r="P980" t="s">
        <v>1235</v>
      </c>
    </row>
    <row r="981" spans="1:16" x14ac:dyDescent="0.25">
      <c r="A981" t="s">
        <v>2555</v>
      </c>
      <c r="B981" t="s">
        <v>2556</v>
      </c>
      <c r="C981" t="s">
        <v>1571</v>
      </c>
      <c r="D981" t="s">
        <v>1027</v>
      </c>
      <c r="E981">
        <v>63767</v>
      </c>
      <c r="G981" t="b">
        <v>0</v>
      </c>
      <c r="H981" t="b">
        <v>0</v>
      </c>
      <c r="I981" t="s">
        <v>1050</v>
      </c>
      <c r="J981">
        <v>80</v>
      </c>
      <c r="K981" t="s">
        <v>0</v>
      </c>
      <c r="L981" t="s">
        <v>1167</v>
      </c>
      <c r="M981" t="s">
        <v>1168</v>
      </c>
      <c r="N981" t="s">
        <v>1169</v>
      </c>
      <c r="O981" t="s">
        <v>1168</v>
      </c>
      <c r="P981" t="s">
        <v>1283</v>
      </c>
    </row>
    <row r="982" spans="1:16" x14ac:dyDescent="0.25">
      <c r="A982" t="s">
        <v>2557</v>
      </c>
      <c r="B982" t="s">
        <v>2556</v>
      </c>
      <c r="C982" t="s">
        <v>1571</v>
      </c>
      <c r="D982" t="s">
        <v>1027</v>
      </c>
      <c r="E982">
        <v>63767</v>
      </c>
      <c r="G982" t="b">
        <v>0</v>
      </c>
      <c r="H982" t="b">
        <v>0</v>
      </c>
      <c r="I982" t="s">
        <v>1050</v>
      </c>
      <c r="J982">
        <v>80</v>
      </c>
      <c r="K982" t="s">
        <v>0</v>
      </c>
      <c r="L982" t="s">
        <v>1167</v>
      </c>
      <c r="M982" t="s">
        <v>1168</v>
      </c>
      <c r="N982" t="s">
        <v>1169</v>
      </c>
      <c r="O982" t="s">
        <v>1168</v>
      </c>
      <c r="P982" t="s">
        <v>1283</v>
      </c>
    </row>
    <row r="983" spans="1:16" x14ac:dyDescent="0.25">
      <c r="A983" t="s">
        <v>2558</v>
      </c>
      <c r="B983" t="s">
        <v>2559</v>
      </c>
      <c r="C983" t="s">
        <v>1233</v>
      </c>
      <c r="D983" t="s">
        <v>1027</v>
      </c>
      <c r="E983">
        <v>63762</v>
      </c>
      <c r="F983" t="s">
        <v>1234</v>
      </c>
      <c r="G983" t="b">
        <v>0</v>
      </c>
      <c r="H983" t="b">
        <v>0</v>
      </c>
      <c r="I983" t="s">
        <v>1050</v>
      </c>
      <c r="J983">
        <v>89</v>
      </c>
      <c r="K983" t="s">
        <v>0</v>
      </c>
      <c r="L983" t="s">
        <v>1167</v>
      </c>
      <c r="M983" t="s">
        <v>1168</v>
      </c>
      <c r="N983" t="s">
        <v>1169</v>
      </c>
      <c r="O983" t="s">
        <v>1168</v>
      </c>
      <c r="P983" t="s">
        <v>1235</v>
      </c>
    </row>
    <row r="984" spans="1:16" x14ac:dyDescent="0.25">
      <c r="A984" t="s">
        <v>2560</v>
      </c>
      <c r="B984" t="s">
        <v>2561</v>
      </c>
      <c r="C984" t="s">
        <v>1233</v>
      </c>
      <c r="D984" t="s">
        <v>1027</v>
      </c>
      <c r="E984">
        <v>63762</v>
      </c>
      <c r="F984" t="s">
        <v>1234</v>
      </c>
      <c r="G984" t="b">
        <v>0</v>
      </c>
      <c r="H984" t="b">
        <v>0</v>
      </c>
      <c r="I984" t="s">
        <v>1050</v>
      </c>
      <c r="J984">
        <v>88</v>
      </c>
      <c r="K984" t="s">
        <v>0</v>
      </c>
      <c r="L984" t="s">
        <v>1167</v>
      </c>
      <c r="M984" t="s">
        <v>1168</v>
      </c>
      <c r="N984" t="s">
        <v>1169</v>
      </c>
      <c r="O984" t="s">
        <v>1168</v>
      </c>
      <c r="P984" t="s">
        <v>1235</v>
      </c>
    </row>
    <row r="985" spans="1:16" x14ac:dyDescent="0.25">
      <c r="A985" t="s">
        <v>2562</v>
      </c>
      <c r="B985" t="s">
        <v>2563</v>
      </c>
      <c r="C985" t="s">
        <v>1233</v>
      </c>
      <c r="D985" t="s">
        <v>1027</v>
      </c>
      <c r="E985">
        <v>63762</v>
      </c>
      <c r="F985" t="s">
        <v>1234</v>
      </c>
      <c r="G985" t="b">
        <v>0</v>
      </c>
      <c r="H985" t="b">
        <v>0</v>
      </c>
      <c r="I985" t="s">
        <v>1050</v>
      </c>
      <c r="J985">
        <v>88</v>
      </c>
      <c r="K985" t="s">
        <v>0</v>
      </c>
      <c r="L985" t="s">
        <v>1167</v>
      </c>
      <c r="M985" t="s">
        <v>1168</v>
      </c>
      <c r="N985" t="s">
        <v>1169</v>
      </c>
      <c r="O985" t="s">
        <v>1168</v>
      </c>
      <c r="P985" t="s">
        <v>1235</v>
      </c>
    </row>
    <row r="986" spans="1:16" x14ac:dyDescent="0.25">
      <c r="A986" t="s">
        <v>2564</v>
      </c>
      <c r="B986" t="s">
        <v>2565</v>
      </c>
      <c r="C986" t="s">
        <v>1233</v>
      </c>
      <c r="D986" t="s">
        <v>1027</v>
      </c>
      <c r="E986">
        <v>63762</v>
      </c>
      <c r="F986" t="s">
        <v>1234</v>
      </c>
      <c r="G986" t="b">
        <v>0</v>
      </c>
      <c r="H986" t="b">
        <v>0</v>
      </c>
      <c r="I986" t="s">
        <v>1050</v>
      </c>
      <c r="J986">
        <v>88</v>
      </c>
      <c r="K986" t="s">
        <v>0</v>
      </c>
      <c r="L986" t="s">
        <v>1167</v>
      </c>
      <c r="M986" t="s">
        <v>1168</v>
      </c>
      <c r="N986" t="s">
        <v>1169</v>
      </c>
      <c r="O986" t="s">
        <v>1168</v>
      </c>
      <c r="P986" t="s">
        <v>1235</v>
      </c>
    </row>
    <row r="987" spans="1:16" x14ac:dyDescent="0.25">
      <c r="A987" t="s">
        <v>2566</v>
      </c>
      <c r="B987" t="s">
        <v>2567</v>
      </c>
      <c r="C987" t="s">
        <v>1233</v>
      </c>
      <c r="D987" t="s">
        <v>1027</v>
      </c>
      <c r="E987">
        <v>63762</v>
      </c>
      <c r="F987" t="s">
        <v>1234</v>
      </c>
      <c r="G987" t="b">
        <v>0</v>
      </c>
      <c r="H987" t="b">
        <v>0</v>
      </c>
      <c r="I987" t="s">
        <v>1050</v>
      </c>
      <c r="J987">
        <v>88</v>
      </c>
      <c r="K987" t="s">
        <v>0</v>
      </c>
      <c r="L987" t="s">
        <v>1167</v>
      </c>
      <c r="M987" t="s">
        <v>1168</v>
      </c>
      <c r="N987" t="s">
        <v>1169</v>
      </c>
      <c r="O987" t="s">
        <v>1168</v>
      </c>
      <c r="P987" t="s">
        <v>1235</v>
      </c>
    </row>
    <row r="988" spans="1:16" x14ac:dyDescent="0.25">
      <c r="A988" t="s">
        <v>2568</v>
      </c>
      <c r="B988" t="s">
        <v>2569</v>
      </c>
      <c r="C988" t="s">
        <v>1571</v>
      </c>
      <c r="D988" t="s">
        <v>1027</v>
      </c>
      <c r="E988">
        <v>63767</v>
      </c>
      <c r="G988" t="b">
        <v>0</v>
      </c>
      <c r="H988" t="b">
        <v>0</v>
      </c>
      <c r="I988" t="s">
        <v>1050</v>
      </c>
      <c r="J988">
        <v>80</v>
      </c>
      <c r="K988" t="s">
        <v>0</v>
      </c>
      <c r="L988" t="s">
        <v>1167</v>
      </c>
      <c r="M988" t="s">
        <v>1168</v>
      </c>
      <c r="N988" t="s">
        <v>1169</v>
      </c>
      <c r="O988" t="s">
        <v>1168</v>
      </c>
      <c r="P988" t="s">
        <v>1283</v>
      </c>
    </row>
    <row r="989" spans="1:16" x14ac:dyDescent="0.25">
      <c r="A989" t="s">
        <v>2570</v>
      </c>
      <c r="B989" t="s">
        <v>2571</v>
      </c>
      <c r="C989" t="s">
        <v>1571</v>
      </c>
      <c r="D989" t="s">
        <v>1027</v>
      </c>
      <c r="E989">
        <v>63767</v>
      </c>
      <c r="G989" t="b">
        <v>0</v>
      </c>
      <c r="H989" t="b">
        <v>0</v>
      </c>
      <c r="I989" t="s">
        <v>1050</v>
      </c>
      <c r="J989">
        <v>80</v>
      </c>
      <c r="K989" t="s">
        <v>0</v>
      </c>
      <c r="L989" t="s">
        <v>1167</v>
      </c>
      <c r="M989" t="s">
        <v>1168</v>
      </c>
      <c r="N989" t="s">
        <v>1169</v>
      </c>
      <c r="O989" t="s">
        <v>1168</v>
      </c>
      <c r="P989" t="s">
        <v>1283</v>
      </c>
    </row>
    <row r="990" spans="1:16" x14ac:dyDescent="0.25">
      <c r="A990" t="s">
        <v>2572</v>
      </c>
      <c r="B990" t="s">
        <v>2573</v>
      </c>
      <c r="C990" t="s">
        <v>1233</v>
      </c>
      <c r="D990" t="s">
        <v>1027</v>
      </c>
      <c r="E990">
        <v>63762</v>
      </c>
      <c r="F990" t="s">
        <v>1234</v>
      </c>
      <c r="G990" t="b">
        <v>0</v>
      </c>
      <c r="H990" t="b">
        <v>0</v>
      </c>
      <c r="I990" t="s">
        <v>1050</v>
      </c>
      <c r="J990">
        <v>80</v>
      </c>
      <c r="K990" t="s">
        <v>0</v>
      </c>
      <c r="L990" t="s">
        <v>1167</v>
      </c>
      <c r="M990" t="s">
        <v>1168</v>
      </c>
      <c r="N990" t="s">
        <v>1169</v>
      </c>
      <c r="O990" t="s">
        <v>1168</v>
      </c>
      <c r="P990" t="s">
        <v>1235</v>
      </c>
    </row>
    <row r="991" spans="1:16" x14ac:dyDescent="0.25">
      <c r="A991" t="s">
        <v>2574</v>
      </c>
      <c r="B991" t="s">
        <v>2575</v>
      </c>
      <c r="C991" t="s">
        <v>1233</v>
      </c>
      <c r="D991" t="s">
        <v>1027</v>
      </c>
      <c r="E991">
        <v>63762</v>
      </c>
      <c r="F991" t="s">
        <v>1234</v>
      </c>
      <c r="G991" t="b">
        <v>0</v>
      </c>
      <c r="H991" t="b">
        <v>0</v>
      </c>
      <c r="I991" t="s">
        <v>1050</v>
      </c>
      <c r="J991">
        <v>87</v>
      </c>
      <c r="K991" t="s">
        <v>0</v>
      </c>
      <c r="L991" t="s">
        <v>1167</v>
      </c>
      <c r="M991" t="s">
        <v>1168</v>
      </c>
      <c r="N991" t="s">
        <v>1169</v>
      </c>
      <c r="O991" t="s">
        <v>1168</v>
      </c>
      <c r="P991" t="s">
        <v>1235</v>
      </c>
    </row>
    <row r="992" spans="1:16" x14ac:dyDescent="0.25">
      <c r="A992" t="s">
        <v>2576</v>
      </c>
      <c r="B992" t="s">
        <v>2577</v>
      </c>
      <c r="C992" t="s">
        <v>1233</v>
      </c>
      <c r="D992" t="s">
        <v>1027</v>
      </c>
      <c r="E992">
        <v>63762</v>
      </c>
      <c r="F992" t="s">
        <v>1234</v>
      </c>
      <c r="G992" t="b">
        <v>0</v>
      </c>
      <c r="H992" t="b">
        <v>0</v>
      </c>
      <c r="I992" t="s">
        <v>1050</v>
      </c>
      <c r="J992">
        <v>80</v>
      </c>
      <c r="K992" t="s">
        <v>0</v>
      </c>
      <c r="L992" t="s">
        <v>1167</v>
      </c>
      <c r="M992" t="s">
        <v>1168</v>
      </c>
      <c r="N992" t="s">
        <v>1169</v>
      </c>
      <c r="O992" t="s">
        <v>1168</v>
      </c>
      <c r="P992" t="s">
        <v>1235</v>
      </c>
    </row>
    <row r="993" spans="1:16" x14ac:dyDescent="0.25">
      <c r="A993" t="s">
        <v>2578</v>
      </c>
      <c r="B993" t="s">
        <v>2579</v>
      </c>
      <c r="C993" t="s">
        <v>1165</v>
      </c>
      <c r="D993" t="s">
        <v>1027</v>
      </c>
      <c r="E993">
        <v>63774</v>
      </c>
      <c r="F993" t="s">
        <v>1166</v>
      </c>
      <c r="G993" t="b">
        <v>0</v>
      </c>
      <c r="H993" t="b">
        <v>0</v>
      </c>
      <c r="I993" t="s">
        <v>1050</v>
      </c>
      <c r="J993">
        <v>30</v>
      </c>
      <c r="K993" t="s">
        <v>1</v>
      </c>
      <c r="L993" t="s">
        <v>1167</v>
      </c>
      <c r="M993" t="s">
        <v>1168</v>
      </c>
      <c r="N993" t="s">
        <v>1169</v>
      </c>
      <c r="O993" t="s">
        <v>1168</v>
      </c>
      <c r="P993" t="s">
        <v>1170</v>
      </c>
    </row>
    <row r="994" spans="1:16" x14ac:dyDescent="0.25">
      <c r="A994" t="s">
        <v>2580</v>
      </c>
      <c r="B994" t="s">
        <v>2581</v>
      </c>
      <c r="C994" t="s">
        <v>1165</v>
      </c>
      <c r="D994" t="s">
        <v>1027</v>
      </c>
      <c r="E994">
        <v>63774</v>
      </c>
      <c r="F994" t="s">
        <v>1166</v>
      </c>
      <c r="G994" t="b">
        <v>0</v>
      </c>
      <c r="H994" t="b">
        <v>0</v>
      </c>
      <c r="I994" t="s">
        <v>1050</v>
      </c>
      <c r="J994">
        <v>30</v>
      </c>
      <c r="K994" t="s">
        <v>1</v>
      </c>
      <c r="L994" t="s">
        <v>1167</v>
      </c>
      <c r="M994" t="s">
        <v>1168</v>
      </c>
      <c r="N994" t="s">
        <v>1169</v>
      </c>
      <c r="O994" t="s">
        <v>1168</v>
      </c>
      <c r="P994" t="s">
        <v>1170</v>
      </c>
    </row>
    <row r="995" spans="1:16" x14ac:dyDescent="0.25">
      <c r="A995" t="s">
        <v>2582</v>
      </c>
      <c r="B995" t="s">
        <v>2583</v>
      </c>
      <c r="C995" t="s">
        <v>1165</v>
      </c>
      <c r="D995" t="s">
        <v>1027</v>
      </c>
      <c r="E995">
        <v>63774</v>
      </c>
      <c r="F995" t="s">
        <v>1166</v>
      </c>
      <c r="G995" t="b">
        <v>0</v>
      </c>
      <c r="H995" t="b">
        <v>0</v>
      </c>
      <c r="I995" t="s">
        <v>1050</v>
      </c>
      <c r="J995">
        <v>65</v>
      </c>
      <c r="K995" t="s">
        <v>1</v>
      </c>
      <c r="L995" t="s">
        <v>1167</v>
      </c>
      <c r="M995" t="s">
        <v>1168</v>
      </c>
      <c r="N995" t="s">
        <v>1169</v>
      </c>
      <c r="O995" t="s">
        <v>1168</v>
      </c>
      <c r="P995" t="s">
        <v>1170</v>
      </c>
    </row>
    <row r="996" spans="1:16" x14ac:dyDescent="0.25">
      <c r="A996" t="s">
        <v>2584</v>
      </c>
      <c r="B996" t="s">
        <v>2585</v>
      </c>
      <c r="C996" t="s">
        <v>1165</v>
      </c>
      <c r="D996" t="s">
        <v>1027</v>
      </c>
      <c r="E996">
        <v>63774</v>
      </c>
      <c r="F996" t="s">
        <v>1166</v>
      </c>
      <c r="G996" t="b">
        <v>0</v>
      </c>
      <c r="H996" t="b">
        <v>0</v>
      </c>
      <c r="I996" t="s">
        <v>1050</v>
      </c>
      <c r="J996">
        <v>65</v>
      </c>
      <c r="K996" t="s">
        <v>1</v>
      </c>
      <c r="L996" t="s">
        <v>1167</v>
      </c>
      <c r="M996" t="s">
        <v>1168</v>
      </c>
      <c r="N996" t="s">
        <v>1169</v>
      </c>
      <c r="O996" t="s">
        <v>1168</v>
      </c>
      <c r="P996" t="s">
        <v>1170</v>
      </c>
    </row>
    <row r="997" spans="1:16" x14ac:dyDescent="0.25">
      <c r="A997" t="s">
        <v>2586</v>
      </c>
      <c r="B997" t="s">
        <v>2587</v>
      </c>
      <c r="C997" t="s">
        <v>1165</v>
      </c>
      <c r="D997" t="s">
        <v>1027</v>
      </c>
      <c r="E997">
        <v>63774</v>
      </c>
      <c r="F997" t="s">
        <v>1166</v>
      </c>
      <c r="G997" t="b">
        <v>0</v>
      </c>
      <c r="H997" t="b">
        <v>0</v>
      </c>
      <c r="I997" t="s">
        <v>1050</v>
      </c>
      <c r="J997">
        <v>65</v>
      </c>
      <c r="K997" t="s">
        <v>1</v>
      </c>
      <c r="L997" t="s">
        <v>1167</v>
      </c>
      <c r="M997" t="s">
        <v>1168</v>
      </c>
      <c r="N997" t="s">
        <v>1169</v>
      </c>
      <c r="O997" t="s">
        <v>1168</v>
      </c>
      <c r="P997" t="s">
        <v>1170</v>
      </c>
    </row>
    <row r="998" spans="1:16" x14ac:dyDescent="0.25">
      <c r="A998" t="s">
        <v>2588</v>
      </c>
      <c r="B998" t="s">
        <v>2589</v>
      </c>
      <c r="C998" t="s">
        <v>1165</v>
      </c>
      <c r="D998" t="s">
        <v>1027</v>
      </c>
      <c r="E998">
        <v>63774</v>
      </c>
      <c r="F998" t="s">
        <v>1166</v>
      </c>
      <c r="G998" t="b">
        <v>0</v>
      </c>
      <c r="H998" t="b">
        <v>0</v>
      </c>
      <c r="I998" t="s">
        <v>1050</v>
      </c>
      <c r="J998">
        <v>65</v>
      </c>
      <c r="K998" t="s">
        <v>1</v>
      </c>
      <c r="L998" t="s">
        <v>1167</v>
      </c>
      <c r="M998" t="s">
        <v>1168</v>
      </c>
      <c r="N998" t="s">
        <v>1169</v>
      </c>
      <c r="O998" t="s">
        <v>1168</v>
      </c>
      <c r="P998" t="s">
        <v>1170</v>
      </c>
    </row>
    <row r="999" spans="1:16" x14ac:dyDescent="0.25">
      <c r="A999" t="s">
        <v>2590</v>
      </c>
      <c r="B999" t="s">
        <v>2591</v>
      </c>
      <c r="C999" t="s">
        <v>1165</v>
      </c>
      <c r="D999" t="s">
        <v>1027</v>
      </c>
      <c r="E999">
        <v>63774</v>
      </c>
      <c r="F999" t="s">
        <v>1166</v>
      </c>
      <c r="G999" t="b">
        <v>0</v>
      </c>
      <c r="H999" t="b">
        <v>0</v>
      </c>
      <c r="I999" t="s">
        <v>1050</v>
      </c>
      <c r="J999">
        <v>65</v>
      </c>
      <c r="K999" t="s">
        <v>1</v>
      </c>
      <c r="L999" t="s">
        <v>1167</v>
      </c>
      <c r="M999" t="s">
        <v>1168</v>
      </c>
      <c r="N999" t="s">
        <v>1169</v>
      </c>
      <c r="O999" t="s">
        <v>1168</v>
      </c>
      <c r="P999" t="s">
        <v>1170</v>
      </c>
    </row>
    <row r="1000" spans="1:16" x14ac:dyDescent="0.25">
      <c r="A1000" t="s">
        <v>2592</v>
      </c>
      <c r="B1000" t="s">
        <v>2593</v>
      </c>
      <c r="C1000" t="s">
        <v>1165</v>
      </c>
      <c r="D1000" t="s">
        <v>1027</v>
      </c>
      <c r="E1000">
        <v>63774</v>
      </c>
      <c r="F1000" t="s">
        <v>1166</v>
      </c>
      <c r="G1000" t="b">
        <v>0</v>
      </c>
      <c r="H1000" t="b">
        <v>0</v>
      </c>
      <c r="I1000" t="s">
        <v>1050</v>
      </c>
      <c r="J1000">
        <v>65</v>
      </c>
      <c r="K1000" t="s">
        <v>1</v>
      </c>
      <c r="L1000" t="s">
        <v>1167</v>
      </c>
      <c r="M1000" t="s">
        <v>1168</v>
      </c>
      <c r="N1000" t="s">
        <v>1169</v>
      </c>
      <c r="O1000" t="s">
        <v>1168</v>
      </c>
      <c r="P1000" t="s">
        <v>1170</v>
      </c>
    </row>
    <row r="1001" spans="1:16" x14ac:dyDescent="0.25">
      <c r="A1001" t="s">
        <v>2594</v>
      </c>
      <c r="B1001" t="s">
        <v>2595</v>
      </c>
      <c r="C1001" t="s">
        <v>1165</v>
      </c>
      <c r="D1001" t="s">
        <v>1027</v>
      </c>
      <c r="E1001">
        <v>63774</v>
      </c>
      <c r="F1001" t="s">
        <v>1166</v>
      </c>
      <c r="G1001" t="b">
        <v>0</v>
      </c>
      <c r="H1001" t="b">
        <v>0</v>
      </c>
      <c r="I1001" t="s">
        <v>1050</v>
      </c>
      <c r="J1001">
        <v>65</v>
      </c>
      <c r="K1001" t="s">
        <v>1</v>
      </c>
      <c r="L1001" t="s">
        <v>1167</v>
      </c>
      <c r="M1001" t="s">
        <v>1168</v>
      </c>
      <c r="N1001" t="s">
        <v>1169</v>
      </c>
      <c r="O1001" t="s">
        <v>1168</v>
      </c>
      <c r="P1001" t="s">
        <v>1170</v>
      </c>
    </row>
    <row r="1002" spans="1:16" x14ac:dyDescent="0.25">
      <c r="A1002" t="s">
        <v>2596</v>
      </c>
      <c r="B1002" t="s">
        <v>2597</v>
      </c>
      <c r="C1002" t="s">
        <v>1165</v>
      </c>
      <c r="D1002" t="s">
        <v>1027</v>
      </c>
      <c r="E1002">
        <v>63774</v>
      </c>
      <c r="F1002" t="s">
        <v>1166</v>
      </c>
      <c r="G1002" t="b">
        <v>0</v>
      </c>
      <c r="H1002" t="b">
        <v>0</v>
      </c>
      <c r="I1002" t="s">
        <v>1050</v>
      </c>
      <c r="J1002">
        <v>65</v>
      </c>
      <c r="K1002" t="s">
        <v>1</v>
      </c>
      <c r="L1002" t="s">
        <v>1167</v>
      </c>
      <c r="M1002" t="s">
        <v>1168</v>
      </c>
      <c r="N1002" t="s">
        <v>1169</v>
      </c>
      <c r="O1002" t="s">
        <v>1168</v>
      </c>
      <c r="P1002" t="s">
        <v>1170</v>
      </c>
    </row>
    <row r="1003" spans="1:16" x14ac:dyDescent="0.25">
      <c r="A1003" t="s">
        <v>2598</v>
      </c>
      <c r="B1003" t="s">
        <v>2599</v>
      </c>
      <c r="C1003" t="s">
        <v>1165</v>
      </c>
      <c r="D1003" t="s">
        <v>1027</v>
      </c>
      <c r="E1003">
        <v>63774</v>
      </c>
      <c r="F1003" t="s">
        <v>1166</v>
      </c>
      <c r="G1003" t="b">
        <v>0</v>
      </c>
      <c r="H1003" t="b">
        <v>0</v>
      </c>
      <c r="I1003" t="s">
        <v>1050</v>
      </c>
      <c r="J1003">
        <v>65</v>
      </c>
      <c r="K1003" t="s">
        <v>1</v>
      </c>
      <c r="L1003" t="s">
        <v>1167</v>
      </c>
      <c r="M1003" t="s">
        <v>1168</v>
      </c>
      <c r="N1003" t="s">
        <v>1169</v>
      </c>
      <c r="O1003" t="s">
        <v>1168</v>
      </c>
      <c r="P1003" t="s">
        <v>1170</v>
      </c>
    </row>
    <row r="1004" spans="1:16" x14ac:dyDescent="0.25">
      <c r="A1004" t="s">
        <v>2600</v>
      </c>
      <c r="B1004" t="s">
        <v>2601</v>
      </c>
      <c r="C1004" t="s">
        <v>1165</v>
      </c>
      <c r="D1004" t="s">
        <v>1027</v>
      </c>
      <c r="E1004">
        <v>63774</v>
      </c>
      <c r="F1004" t="s">
        <v>1166</v>
      </c>
      <c r="G1004" t="b">
        <v>0</v>
      </c>
      <c r="H1004" t="b">
        <v>0</v>
      </c>
      <c r="I1004" t="s">
        <v>1050</v>
      </c>
      <c r="J1004">
        <v>65</v>
      </c>
      <c r="K1004" t="s">
        <v>1</v>
      </c>
      <c r="L1004" t="s">
        <v>1167</v>
      </c>
      <c r="M1004" t="s">
        <v>1168</v>
      </c>
      <c r="N1004" t="s">
        <v>1169</v>
      </c>
      <c r="O1004" t="s">
        <v>1168</v>
      </c>
      <c r="P1004" t="s">
        <v>1170</v>
      </c>
    </row>
    <row r="1005" spans="1:16" x14ac:dyDescent="0.25">
      <c r="A1005" t="s">
        <v>2602</v>
      </c>
      <c r="B1005" t="s">
        <v>2603</v>
      </c>
      <c r="C1005" t="s">
        <v>1233</v>
      </c>
      <c r="D1005" t="s">
        <v>1027</v>
      </c>
      <c r="E1005">
        <v>63762</v>
      </c>
      <c r="F1005" t="s">
        <v>1234</v>
      </c>
      <c r="G1005" t="b">
        <v>0</v>
      </c>
      <c r="H1005" t="b">
        <v>0</v>
      </c>
      <c r="I1005" t="s">
        <v>1050</v>
      </c>
      <c r="J1005">
        <v>88</v>
      </c>
      <c r="K1005" t="s">
        <v>0</v>
      </c>
      <c r="L1005" t="s">
        <v>1167</v>
      </c>
      <c r="M1005" t="s">
        <v>1168</v>
      </c>
      <c r="N1005" t="s">
        <v>1169</v>
      </c>
      <c r="O1005" t="s">
        <v>1168</v>
      </c>
      <c r="P1005" t="s">
        <v>1235</v>
      </c>
    </row>
    <row r="1006" spans="1:16" x14ac:dyDescent="0.25">
      <c r="A1006" t="s">
        <v>2604</v>
      </c>
      <c r="B1006" t="s">
        <v>2605</v>
      </c>
      <c r="C1006" t="s">
        <v>1233</v>
      </c>
      <c r="D1006" t="s">
        <v>1027</v>
      </c>
      <c r="E1006">
        <v>63762</v>
      </c>
      <c r="F1006" t="s">
        <v>1234</v>
      </c>
      <c r="G1006" t="b">
        <v>0</v>
      </c>
      <c r="H1006" t="b">
        <v>0</v>
      </c>
      <c r="I1006" t="s">
        <v>1050</v>
      </c>
      <c r="J1006">
        <v>88</v>
      </c>
      <c r="K1006" t="s">
        <v>0</v>
      </c>
      <c r="L1006" t="s">
        <v>1167</v>
      </c>
      <c r="M1006" t="s">
        <v>1168</v>
      </c>
      <c r="N1006" t="s">
        <v>1169</v>
      </c>
      <c r="O1006" t="s">
        <v>1168</v>
      </c>
      <c r="P1006" t="s">
        <v>1235</v>
      </c>
    </row>
    <row r="1007" spans="1:16" x14ac:dyDescent="0.25">
      <c r="A1007" t="s">
        <v>2606</v>
      </c>
      <c r="B1007" t="s">
        <v>2607</v>
      </c>
      <c r="C1007" t="s">
        <v>1233</v>
      </c>
      <c r="D1007" t="s">
        <v>1027</v>
      </c>
      <c r="E1007">
        <v>63762</v>
      </c>
      <c r="F1007" t="s">
        <v>1234</v>
      </c>
      <c r="G1007" t="b">
        <v>0</v>
      </c>
      <c r="H1007" t="b">
        <v>0</v>
      </c>
      <c r="I1007" t="s">
        <v>1050</v>
      </c>
      <c r="J1007">
        <v>88</v>
      </c>
      <c r="K1007" t="s">
        <v>0</v>
      </c>
      <c r="L1007" t="s">
        <v>1167</v>
      </c>
      <c r="M1007" t="s">
        <v>1168</v>
      </c>
      <c r="N1007" t="s">
        <v>1169</v>
      </c>
      <c r="O1007" t="s">
        <v>1168</v>
      </c>
      <c r="P1007" t="s">
        <v>1235</v>
      </c>
    </row>
    <row r="1008" spans="1:16" x14ac:dyDescent="0.25">
      <c r="A1008" t="s">
        <v>2608</v>
      </c>
      <c r="B1008" t="s">
        <v>2609</v>
      </c>
      <c r="C1008" t="s">
        <v>1233</v>
      </c>
      <c r="D1008" t="s">
        <v>1027</v>
      </c>
      <c r="E1008">
        <v>63762</v>
      </c>
      <c r="F1008" t="s">
        <v>1234</v>
      </c>
      <c r="G1008" t="b">
        <v>0</v>
      </c>
      <c r="H1008" t="b">
        <v>0</v>
      </c>
      <c r="I1008" t="s">
        <v>1050</v>
      </c>
      <c r="J1008">
        <v>89</v>
      </c>
      <c r="K1008" t="s">
        <v>0</v>
      </c>
      <c r="L1008" t="s">
        <v>1167</v>
      </c>
      <c r="M1008" t="s">
        <v>1168</v>
      </c>
      <c r="N1008" t="s">
        <v>1169</v>
      </c>
      <c r="O1008" t="s">
        <v>1168</v>
      </c>
      <c r="P1008" t="s">
        <v>1235</v>
      </c>
    </row>
    <row r="1009" spans="1:16" x14ac:dyDescent="0.25">
      <c r="A1009" t="s">
        <v>2610</v>
      </c>
      <c r="B1009" t="s">
        <v>2611</v>
      </c>
      <c r="C1009" t="s">
        <v>1233</v>
      </c>
      <c r="D1009" t="s">
        <v>1027</v>
      </c>
      <c r="E1009">
        <v>63762</v>
      </c>
      <c r="F1009" t="s">
        <v>1234</v>
      </c>
      <c r="G1009" t="b">
        <v>0</v>
      </c>
      <c r="H1009" t="b">
        <v>0</v>
      </c>
      <c r="I1009" t="s">
        <v>1050</v>
      </c>
      <c r="J1009">
        <v>88</v>
      </c>
      <c r="K1009" t="s">
        <v>0</v>
      </c>
      <c r="L1009" t="s">
        <v>1167</v>
      </c>
      <c r="M1009" t="s">
        <v>1168</v>
      </c>
      <c r="N1009" t="s">
        <v>1169</v>
      </c>
      <c r="O1009" t="s">
        <v>1168</v>
      </c>
      <c r="P1009" t="s">
        <v>1235</v>
      </c>
    </row>
    <row r="1010" spans="1:16" x14ac:dyDescent="0.25">
      <c r="A1010" t="s">
        <v>2612</v>
      </c>
      <c r="B1010" t="s">
        <v>2611</v>
      </c>
      <c r="C1010" t="s">
        <v>1233</v>
      </c>
      <c r="D1010" t="s">
        <v>1027</v>
      </c>
      <c r="E1010">
        <v>63762</v>
      </c>
      <c r="F1010" t="s">
        <v>1234</v>
      </c>
      <c r="G1010" t="b">
        <v>0</v>
      </c>
      <c r="H1010" t="b">
        <v>0</v>
      </c>
      <c r="I1010" t="s">
        <v>1050</v>
      </c>
      <c r="J1010">
        <v>88</v>
      </c>
      <c r="K1010" t="s">
        <v>0</v>
      </c>
      <c r="L1010" t="s">
        <v>1167</v>
      </c>
      <c r="M1010" t="s">
        <v>1168</v>
      </c>
      <c r="N1010" t="s">
        <v>1169</v>
      </c>
      <c r="O1010" t="s">
        <v>1168</v>
      </c>
      <c r="P1010" t="s">
        <v>1235</v>
      </c>
    </row>
    <row r="1011" spans="1:16" x14ac:dyDescent="0.25">
      <c r="A1011" t="s">
        <v>2613</v>
      </c>
      <c r="B1011" t="s">
        <v>2614</v>
      </c>
      <c r="C1011" t="s">
        <v>1233</v>
      </c>
      <c r="D1011" t="s">
        <v>1027</v>
      </c>
      <c r="E1011">
        <v>63762</v>
      </c>
      <c r="F1011" t="s">
        <v>1234</v>
      </c>
      <c r="G1011" t="b">
        <v>0</v>
      </c>
      <c r="H1011" t="b">
        <v>0</v>
      </c>
      <c r="I1011" t="s">
        <v>1050</v>
      </c>
      <c r="J1011">
        <v>88</v>
      </c>
      <c r="K1011" t="s">
        <v>0</v>
      </c>
      <c r="L1011" t="s">
        <v>1167</v>
      </c>
      <c r="M1011" t="s">
        <v>1168</v>
      </c>
      <c r="N1011" t="s">
        <v>1169</v>
      </c>
      <c r="O1011" t="s">
        <v>1168</v>
      </c>
      <c r="P1011" t="s">
        <v>1235</v>
      </c>
    </row>
    <row r="1012" spans="1:16" x14ac:dyDescent="0.25">
      <c r="A1012" t="s">
        <v>2615</v>
      </c>
      <c r="B1012" t="s">
        <v>2616</v>
      </c>
      <c r="C1012" t="s">
        <v>1233</v>
      </c>
      <c r="D1012" t="s">
        <v>1027</v>
      </c>
      <c r="E1012">
        <v>63762</v>
      </c>
      <c r="F1012" t="s">
        <v>1234</v>
      </c>
      <c r="G1012" t="b">
        <v>0</v>
      </c>
      <c r="H1012" t="b">
        <v>0</v>
      </c>
      <c r="I1012" t="s">
        <v>1050</v>
      </c>
      <c r="J1012">
        <v>88</v>
      </c>
      <c r="K1012" t="s">
        <v>0</v>
      </c>
      <c r="L1012" t="s">
        <v>1167</v>
      </c>
      <c r="M1012" t="s">
        <v>1168</v>
      </c>
      <c r="N1012" t="s">
        <v>1169</v>
      </c>
      <c r="O1012" t="s">
        <v>1168</v>
      </c>
      <c r="P1012" t="s">
        <v>1235</v>
      </c>
    </row>
    <row r="1013" spans="1:16" x14ac:dyDescent="0.25">
      <c r="A1013" t="s">
        <v>2617</v>
      </c>
      <c r="B1013" t="s">
        <v>2618</v>
      </c>
      <c r="C1013" t="s">
        <v>1482</v>
      </c>
      <c r="D1013" t="s">
        <v>1027</v>
      </c>
      <c r="E1013">
        <v>1664</v>
      </c>
      <c r="F1013" t="s">
        <v>1483</v>
      </c>
      <c r="G1013" t="b">
        <v>0</v>
      </c>
      <c r="H1013" t="b">
        <v>0</v>
      </c>
      <c r="I1013" t="s">
        <v>1050</v>
      </c>
      <c r="J1013">
        <v>80</v>
      </c>
      <c r="K1013" t="s">
        <v>1</v>
      </c>
      <c r="L1013" t="s">
        <v>1213</v>
      </c>
      <c r="M1013" t="s">
        <v>1168</v>
      </c>
      <c r="N1013" t="s">
        <v>1168</v>
      </c>
      <c r="O1013" t="s">
        <v>1168</v>
      </c>
      <c r="P1013" t="s">
        <v>1484</v>
      </c>
    </row>
    <row r="1014" spans="1:16" x14ac:dyDescent="0.25">
      <c r="A1014" t="s">
        <v>2619</v>
      </c>
      <c r="B1014" t="s">
        <v>2620</v>
      </c>
      <c r="C1014" t="s">
        <v>1482</v>
      </c>
      <c r="D1014" t="s">
        <v>1027</v>
      </c>
      <c r="E1014">
        <v>1664</v>
      </c>
      <c r="F1014" t="s">
        <v>1483</v>
      </c>
      <c r="G1014" t="b">
        <v>0</v>
      </c>
      <c r="H1014" t="b">
        <v>0</v>
      </c>
      <c r="I1014" t="s">
        <v>1050</v>
      </c>
      <c r="J1014">
        <v>80</v>
      </c>
      <c r="K1014" t="s">
        <v>1</v>
      </c>
      <c r="L1014" t="s">
        <v>1213</v>
      </c>
      <c r="M1014" t="s">
        <v>1168</v>
      </c>
      <c r="N1014" t="s">
        <v>1168</v>
      </c>
      <c r="O1014" t="s">
        <v>1168</v>
      </c>
      <c r="P1014" t="s">
        <v>1484</v>
      </c>
    </row>
    <row r="1015" spans="1:16" x14ac:dyDescent="0.25">
      <c r="A1015" t="s">
        <v>2621</v>
      </c>
      <c r="B1015" t="s">
        <v>2622</v>
      </c>
      <c r="C1015" t="s">
        <v>1571</v>
      </c>
      <c r="D1015" t="s">
        <v>1027</v>
      </c>
      <c r="E1015">
        <v>63767</v>
      </c>
      <c r="G1015" t="b">
        <v>0</v>
      </c>
      <c r="H1015" t="b">
        <v>0</v>
      </c>
      <c r="I1015" t="s">
        <v>1050</v>
      </c>
      <c r="J1015">
        <v>80</v>
      </c>
      <c r="K1015" t="s">
        <v>0</v>
      </c>
      <c r="L1015" t="s">
        <v>1167</v>
      </c>
      <c r="M1015" t="s">
        <v>1168</v>
      </c>
      <c r="N1015" t="s">
        <v>1169</v>
      </c>
      <c r="O1015" t="s">
        <v>1168</v>
      </c>
      <c r="P1015" t="s">
        <v>1283</v>
      </c>
    </row>
    <row r="1016" spans="1:16" x14ac:dyDescent="0.25">
      <c r="A1016" t="s">
        <v>2623</v>
      </c>
      <c r="B1016" t="s">
        <v>2624</v>
      </c>
      <c r="C1016" t="s">
        <v>1571</v>
      </c>
      <c r="D1016" t="s">
        <v>1027</v>
      </c>
      <c r="E1016">
        <v>63767</v>
      </c>
      <c r="G1016" t="b">
        <v>0</v>
      </c>
      <c r="H1016" t="b">
        <v>0</v>
      </c>
      <c r="I1016" t="s">
        <v>1050</v>
      </c>
      <c r="J1016">
        <v>80</v>
      </c>
      <c r="K1016" t="s">
        <v>0</v>
      </c>
      <c r="L1016" t="s">
        <v>1167</v>
      </c>
      <c r="M1016" t="s">
        <v>1168</v>
      </c>
      <c r="N1016" t="s">
        <v>1169</v>
      </c>
      <c r="O1016" t="s">
        <v>1168</v>
      </c>
      <c r="P1016" t="s">
        <v>1283</v>
      </c>
    </row>
    <row r="1017" spans="1:16" x14ac:dyDescent="0.25">
      <c r="A1017" t="s">
        <v>2625</v>
      </c>
      <c r="B1017" t="s">
        <v>2626</v>
      </c>
      <c r="C1017" t="s">
        <v>1233</v>
      </c>
      <c r="D1017" t="s">
        <v>1027</v>
      </c>
      <c r="E1017">
        <v>63762</v>
      </c>
      <c r="F1017" t="s">
        <v>1234</v>
      </c>
      <c r="G1017" t="b">
        <v>0</v>
      </c>
      <c r="H1017" t="b">
        <v>0</v>
      </c>
      <c r="I1017" t="s">
        <v>1050</v>
      </c>
      <c r="J1017">
        <v>80</v>
      </c>
      <c r="K1017" t="s">
        <v>0</v>
      </c>
      <c r="L1017" t="s">
        <v>1167</v>
      </c>
      <c r="M1017" t="s">
        <v>1168</v>
      </c>
      <c r="N1017" t="s">
        <v>1169</v>
      </c>
      <c r="O1017" t="s">
        <v>1168</v>
      </c>
      <c r="P1017" t="s">
        <v>1235</v>
      </c>
    </row>
    <row r="1018" spans="1:16" x14ac:dyDescent="0.25">
      <c r="A1018" t="s">
        <v>2627</v>
      </c>
      <c r="B1018" t="s">
        <v>2628</v>
      </c>
      <c r="C1018" t="s">
        <v>1233</v>
      </c>
      <c r="D1018" t="s">
        <v>1027</v>
      </c>
      <c r="E1018">
        <v>63762</v>
      </c>
      <c r="F1018" t="s">
        <v>1234</v>
      </c>
      <c r="G1018" t="b">
        <v>0</v>
      </c>
      <c r="H1018" t="b">
        <v>0</v>
      </c>
      <c r="I1018" t="s">
        <v>1050</v>
      </c>
      <c r="J1018">
        <v>87</v>
      </c>
      <c r="K1018" t="s">
        <v>0</v>
      </c>
      <c r="L1018" t="s">
        <v>1167</v>
      </c>
      <c r="M1018" t="s">
        <v>1168</v>
      </c>
      <c r="N1018" t="s">
        <v>1169</v>
      </c>
      <c r="O1018" t="s">
        <v>1168</v>
      </c>
      <c r="P1018" t="s">
        <v>1235</v>
      </c>
    </row>
    <row r="1019" spans="1:16" x14ac:dyDescent="0.25">
      <c r="A1019" t="s">
        <v>2629</v>
      </c>
      <c r="B1019" t="s">
        <v>2630</v>
      </c>
      <c r="C1019" t="s">
        <v>1233</v>
      </c>
      <c r="D1019" t="s">
        <v>1027</v>
      </c>
      <c r="E1019">
        <v>63762</v>
      </c>
      <c r="F1019" t="s">
        <v>1234</v>
      </c>
      <c r="G1019" t="b">
        <v>0</v>
      </c>
      <c r="H1019" t="b">
        <v>0</v>
      </c>
      <c r="I1019" t="s">
        <v>1050</v>
      </c>
      <c r="J1019">
        <v>87</v>
      </c>
      <c r="K1019" t="s">
        <v>0</v>
      </c>
      <c r="L1019" t="s">
        <v>1167</v>
      </c>
      <c r="M1019" t="s">
        <v>1168</v>
      </c>
      <c r="N1019" t="s">
        <v>1169</v>
      </c>
      <c r="O1019" t="s">
        <v>1168</v>
      </c>
      <c r="P1019" t="s">
        <v>1235</v>
      </c>
    </row>
    <row r="1020" spans="1:16" x14ac:dyDescent="0.25">
      <c r="A1020" t="s">
        <v>2631</v>
      </c>
      <c r="B1020" t="s">
        <v>2632</v>
      </c>
      <c r="C1020" t="s">
        <v>1233</v>
      </c>
      <c r="D1020" t="s">
        <v>1027</v>
      </c>
      <c r="E1020">
        <v>63762</v>
      </c>
      <c r="F1020" t="s">
        <v>1234</v>
      </c>
      <c r="G1020" t="b">
        <v>0</v>
      </c>
      <c r="H1020" t="b">
        <v>0</v>
      </c>
      <c r="I1020" t="s">
        <v>1050</v>
      </c>
      <c r="J1020">
        <v>87</v>
      </c>
      <c r="K1020" t="s">
        <v>0</v>
      </c>
      <c r="L1020" t="s">
        <v>1167</v>
      </c>
      <c r="M1020" t="s">
        <v>1168</v>
      </c>
      <c r="N1020" t="s">
        <v>1169</v>
      </c>
      <c r="O1020" t="s">
        <v>1168</v>
      </c>
      <c r="P1020" t="s">
        <v>1235</v>
      </c>
    </row>
    <row r="1021" spans="1:16" x14ac:dyDescent="0.25">
      <c r="A1021" t="s">
        <v>2633</v>
      </c>
      <c r="B1021" t="s">
        <v>2634</v>
      </c>
      <c r="C1021" t="s">
        <v>1233</v>
      </c>
      <c r="D1021" t="s">
        <v>1027</v>
      </c>
      <c r="E1021">
        <v>63762</v>
      </c>
      <c r="F1021" t="s">
        <v>1234</v>
      </c>
      <c r="G1021" t="b">
        <v>0</v>
      </c>
      <c r="H1021" t="b">
        <v>0</v>
      </c>
      <c r="I1021" t="s">
        <v>1050</v>
      </c>
      <c r="J1021">
        <v>87</v>
      </c>
      <c r="K1021" t="s">
        <v>0</v>
      </c>
      <c r="L1021" t="s">
        <v>1167</v>
      </c>
      <c r="M1021" t="s">
        <v>1168</v>
      </c>
      <c r="N1021" t="s">
        <v>1169</v>
      </c>
      <c r="O1021" t="s">
        <v>1168</v>
      </c>
      <c r="P1021" t="s">
        <v>1235</v>
      </c>
    </row>
    <row r="1022" spans="1:16" x14ac:dyDescent="0.25">
      <c r="A1022" t="s">
        <v>2635</v>
      </c>
      <c r="B1022" t="s">
        <v>2636</v>
      </c>
      <c r="C1022" t="s">
        <v>1571</v>
      </c>
      <c r="D1022" t="s">
        <v>1027</v>
      </c>
      <c r="E1022">
        <v>63767</v>
      </c>
      <c r="G1022" t="b">
        <v>0</v>
      </c>
      <c r="H1022" t="b">
        <v>0</v>
      </c>
      <c r="I1022" t="s">
        <v>1050</v>
      </c>
      <c r="J1022">
        <v>80</v>
      </c>
      <c r="K1022" t="s">
        <v>0</v>
      </c>
      <c r="L1022" t="s">
        <v>1167</v>
      </c>
      <c r="M1022" t="s">
        <v>1168</v>
      </c>
      <c r="N1022" t="s">
        <v>1169</v>
      </c>
      <c r="O1022" t="s">
        <v>1168</v>
      </c>
      <c r="P1022" t="s">
        <v>1283</v>
      </c>
    </row>
    <row r="1023" spans="1:16" x14ac:dyDescent="0.25">
      <c r="A1023" t="s">
        <v>2637</v>
      </c>
      <c r="B1023" t="s">
        <v>2638</v>
      </c>
      <c r="C1023" t="s">
        <v>1165</v>
      </c>
      <c r="D1023" t="s">
        <v>1027</v>
      </c>
      <c r="E1023">
        <v>63774</v>
      </c>
      <c r="F1023" t="s">
        <v>1166</v>
      </c>
      <c r="G1023" t="b">
        <v>0</v>
      </c>
      <c r="H1023" t="b">
        <v>0</v>
      </c>
      <c r="I1023" t="s">
        <v>1050</v>
      </c>
      <c r="J1023">
        <v>30</v>
      </c>
      <c r="K1023" t="s">
        <v>1</v>
      </c>
      <c r="L1023" t="s">
        <v>1167</v>
      </c>
      <c r="M1023" t="s">
        <v>1168</v>
      </c>
      <c r="N1023" t="s">
        <v>1169</v>
      </c>
      <c r="O1023" t="s">
        <v>1168</v>
      </c>
      <c r="P1023" t="s">
        <v>1170</v>
      </c>
    </row>
    <row r="1024" spans="1:16" x14ac:dyDescent="0.25">
      <c r="A1024" t="s">
        <v>2639</v>
      </c>
      <c r="B1024" t="s">
        <v>2638</v>
      </c>
      <c r="C1024" t="s">
        <v>1165</v>
      </c>
      <c r="D1024" t="s">
        <v>1027</v>
      </c>
      <c r="E1024">
        <v>63774</v>
      </c>
      <c r="F1024" t="s">
        <v>1166</v>
      </c>
      <c r="G1024" t="b">
        <v>0</v>
      </c>
      <c r="H1024" t="b">
        <v>0</v>
      </c>
      <c r="I1024" t="s">
        <v>1050</v>
      </c>
      <c r="J1024">
        <v>30</v>
      </c>
      <c r="K1024" t="s">
        <v>1</v>
      </c>
      <c r="L1024" t="s">
        <v>1167</v>
      </c>
      <c r="M1024" t="s">
        <v>1168</v>
      </c>
      <c r="N1024" t="s">
        <v>1169</v>
      </c>
      <c r="O1024" t="s">
        <v>1168</v>
      </c>
      <c r="P1024" t="s">
        <v>1170</v>
      </c>
    </row>
    <row r="1025" spans="1:16" x14ac:dyDescent="0.25">
      <c r="A1025" t="s">
        <v>2640</v>
      </c>
      <c r="B1025" t="s">
        <v>2641</v>
      </c>
      <c r="C1025" t="s">
        <v>1233</v>
      </c>
      <c r="D1025" t="s">
        <v>1027</v>
      </c>
      <c r="E1025">
        <v>63762</v>
      </c>
      <c r="F1025" t="s">
        <v>1234</v>
      </c>
      <c r="G1025" t="b">
        <v>0</v>
      </c>
      <c r="H1025" t="b">
        <v>0</v>
      </c>
      <c r="I1025" t="s">
        <v>1050</v>
      </c>
      <c r="J1025">
        <v>89</v>
      </c>
      <c r="K1025" t="s">
        <v>0</v>
      </c>
      <c r="L1025" t="s">
        <v>1167</v>
      </c>
      <c r="M1025" t="s">
        <v>1168</v>
      </c>
      <c r="N1025" t="s">
        <v>1169</v>
      </c>
      <c r="O1025" t="s">
        <v>1168</v>
      </c>
      <c r="P1025" t="s">
        <v>1235</v>
      </c>
    </row>
    <row r="1026" spans="1:16" x14ac:dyDescent="0.25">
      <c r="A1026" t="s">
        <v>2642</v>
      </c>
      <c r="B1026" t="s">
        <v>2643</v>
      </c>
      <c r="C1026" t="s">
        <v>1233</v>
      </c>
      <c r="D1026" t="s">
        <v>1027</v>
      </c>
      <c r="E1026">
        <v>63762</v>
      </c>
      <c r="F1026" t="s">
        <v>1234</v>
      </c>
      <c r="G1026" t="b">
        <v>0</v>
      </c>
      <c r="H1026" t="b">
        <v>0</v>
      </c>
      <c r="I1026" t="s">
        <v>1050</v>
      </c>
      <c r="J1026">
        <v>89</v>
      </c>
      <c r="K1026" t="s">
        <v>0</v>
      </c>
      <c r="L1026" t="s">
        <v>1167</v>
      </c>
      <c r="M1026" t="s">
        <v>1168</v>
      </c>
      <c r="N1026" t="s">
        <v>1169</v>
      </c>
      <c r="O1026" t="s">
        <v>1168</v>
      </c>
      <c r="P1026" t="s">
        <v>1235</v>
      </c>
    </row>
    <row r="1027" spans="1:16" x14ac:dyDescent="0.25">
      <c r="A1027" t="s">
        <v>2644</v>
      </c>
      <c r="B1027" t="s">
        <v>2645</v>
      </c>
      <c r="C1027" t="s">
        <v>1233</v>
      </c>
      <c r="D1027" t="s">
        <v>1027</v>
      </c>
      <c r="E1027">
        <v>63762</v>
      </c>
      <c r="F1027" t="s">
        <v>1234</v>
      </c>
      <c r="G1027" t="b">
        <v>0</v>
      </c>
      <c r="H1027" t="b">
        <v>0</v>
      </c>
      <c r="I1027" t="s">
        <v>1050</v>
      </c>
      <c r="J1027">
        <v>89</v>
      </c>
      <c r="K1027" t="s">
        <v>0</v>
      </c>
      <c r="L1027" t="s">
        <v>1167</v>
      </c>
      <c r="M1027" t="s">
        <v>1168</v>
      </c>
      <c r="N1027" t="s">
        <v>1169</v>
      </c>
      <c r="O1027" t="s">
        <v>1168</v>
      </c>
      <c r="P1027" t="s">
        <v>1235</v>
      </c>
    </row>
    <row r="1028" spans="1:16" x14ac:dyDescent="0.25">
      <c r="A1028" t="s">
        <v>2646</v>
      </c>
      <c r="B1028" t="s">
        <v>2647</v>
      </c>
      <c r="C1028" t="s">
        <v>1233</v>
      </c>
      <c r="D1028" t="s">
        <v>1027</v>
      </c>
      <c r="E1028">
        <v>63762</v>
      </c>
      <c r="F1028" t="s">
        <v>1234</v>
      </c>
      <c r="G1028" t="b">
        <v>0</v>
      </c>
      <c r="H1028" t="b">
        <v>0</v>
      </c>
      <c r="I1028" t="s">
        <v>1050</v>
      </c>
      <c r="J1028">
        <v>89</v>
      </c>
      <c r="K1028" t="s">
        <v>0</v>
      </c>
      <c r="L1028" t="s">
        <v>1167</v>
      </c>
      <c r="M1028" t="s">
        <v>1168</v>
      </c>
      <c r="N1028" t="s">
        <v>1169</v>
      </c>
      <c r="O1028" t="s">
        <v>1168</v>
      </c>
      <c r="P1028" t="s">
        <v>1235</v>
      </c>
    </row>
    <row r="1029" spans="1:16" x14ac:dyDescent="0.25">
      <c r="A1029" t="s">
        <v>2648</v>
      </c>
      <c r="B1029" t="s">
        <v>2649</v>
      </c>
      <c r="C1029" t="s">
        <v>1233</v>
      </c>
      <c r="D1029" t="s">
        <v>1027</v>
      </c>
      <c r="E1029">
        <v>63762</v>
      </c>
      <c r="F1029" t="s">
        <v>1234</v>
      </c>
      <c r="G1029" t="b">
        <v>0</v>
      </c>
      <c r="H1029" t="b">
        <v>0</v>
      </c>
      <c r="I1029" t="s">
        <v>1050</v>
      </c>
      <c r="J1029">
        <v>89</v>
      </c>
      <c r="K1029" t="s">
        <v>0</v>
      </c>
      <c r="L1029" t="s">
        <v>1167</v>
      </c>
      <c r="M1029" t="s">
        <v>1168</v>
      </c>
      <c r="N1029" t="s">
        <v>1169</v>
      </c>
      <c r="O1029" t="s">
        <v>1168</v>
      </c>
      <c r="P1029" t="s">
        <v>1235</v>
      </c>
    </row>
    <row r="1030" spans="1:16" x14ac:dyDescent="0.25">
      <c r="A1030" t="s">
        <v>2650</v>
      </c>
      <c r="B1030" t="s">
        <v>2651</v>
      </c>
      <c r="C1030" t="s">
        <v>1233</v>
      </c>
      <c r="D1030" t="s">
        <v>1027</v>
      </c>
      <c r="E1030">
        <v>63762</v>
      </c>
      <c r="F1030" t="s">
        <v>1234</v>
      </c>
      <c r="G1030" t="b">
        <v>0</v>
      </c>
      <c r="H1030" t="b">
        <v>0</v>
      </c>
      <c r="I1030" t="s">
        <v>1050</v>
      </c>
      <c r="J1030">
        <v>89</v>
      </c>
      <c r="K1030" t="s">
        <v>0</v>
      </c>
      <c r="L1030" t="s">
        <v>1167</v>
      </c>
      <c r="M1030" t="s">
        <v>1168</v>
      </c>
      <c r="N1030" t="s">
        <v>1169</v>
      </c>
      <c r="O1030" t="s">
        <v>1168</v>
      </c>
      <c r="P1030" t="s">
        <v>1235</v>
      </c>
    </row>
    <row r="1031" spans="1:16" x14ac:dyDescent="0.25">
      <c r="A1031" t="s">
        <v>2652</v>
      </c>
      <c r="B1031" t="s">
        <v>2653</v>
      </c>
      <c r="C1031" t="s">
        <v>1233</v>
      </c>
      <c r="D1031" t="s">
        <v>1027</v>
      </c>
      <c r="E1031">
        <v>63762</v>
      </c>
      <c r="F1031" t="s">
        <v>1234</v>
      </c>
      <c r="G1031" t="b">
        <v>0</v>
      </c>
      <c r="H1031" t="b">
        <v>0</v>
      </c>
      <c r="I1031" t="s">
        <v>1050</v>
      </c>
      <c r="J1031">
        <v>89</v>
      </c>
      <c r="K1031" t="s">
        <v>0</v>
      </c>
      <c r="L1031" t="s">
        <v>1167</v>
      </c>
      <c r="M1031" t="s">
        <v>1168</v>
      </c>
      <c r="N1031" t="s">
        <v>1169</v>
      </c>
      <c r="O1031" t="s">
        <v>1168</v>
      </c>
      <c r="P1031" t="s">
        <v>1235</v>
      </c>
    </row>
    <row r="1032" spans="1:16" x14ac:dyDescent="0.25">
      <c r="A1032" t="s">
        <v>2654</v>
      </c>
      <c r="B1032" t="s">
        <v>2655</v>
      </c>
      <c r="C1032" t="s">
        <v>1233</v>
      </c>
      <c r="D1032" t="s">
        <v>1027</v>
      </c>
      <c r="E1032">
        <v>63762</v>
      </c>
      <c r="F1032" t="s">
        <v>1234</v>
      </c>
      <c r="G1032" t="b">
        <v>0</v>
      </c>
      <c r="H1032" t="b">
        <v>0</v>
      </c>
      <c r="I1032" t="s">
        <v>1050</v>
      </c>
      <c r="J1032">
        <v>88</v>
      </c>
      <c r="K1032" t="s">
        <v>0</v>
      </c>
      <c r="L1032" t="s">
        <v>1167</v>
      </c>
      <c r="M1032" t="s">
        <v>1168</v>
      </c>
      <c r="N1032" t="s">
        <v>1169</v>
      </c>
      <c r="O1032" t="s">
        <v>1168</v>
      </c>
      <c r="P1032" t="s">
        <v>1235</v>
      </c>
    </row>
    <row r="1033" spans="1:16" x14ac:dyDescent="0.25">
      <c r="A1033" t="s">
        <v>2656</v>
      </c>
      <c r="B1033" t="s">
        <v>2655</v>
      </c>
      <c r="C1033" t="s">
        <v>1233</v>
      </c>
      <c r="D1033" t="s">
        <v>1027</v>
      </c>
      <c r="E1033">
        <v>63762</v>
      </c>
      <c r="F1033" t="s">
        <v>1234</v>
      </c>
      <c r="G1033" t="b">
        <v>0</v>
      </c>
      <c r="H1033" t="b">
        <v>0</v>
      </c>
      <c r="I1033" t="s">
        <v>1050</v>
      </c>
      <c r="J1033">
        <v>88</v>
      </c>
      <c r="K1033" t="s">
        <v>0</v>
      </c>
      <c r="L1033" t="s">
        <v>1167</v>
      </c>
      <c r="M1033" t="s">
        <v>1168</v>
      </c>
      <c r="N1033" t="s">
        <v>1169</v>
      </c>
      <c r="O1033" t="s">
        <v>1168</v>
      </c>
      <c r="P1033" t="s">
        <v>1235</v>
      </c>
    </row>
    <row r="1034" spans="1:16" x14ac:dyDescent="0.25">
      <c r="A1034" t="s">
        <v>2657</v>
      </c>
      <c r="B1034" t="s">
        <v>2658</v>
      </c>
      <c r="C1034" t="s">
        <v>1233</v>
      </c>
      <c r="D1034" t="s">
        <v>1027</v>
      </c>
      <c r="E1034">
        <v>63762</v>
      </c>
      <c r="F1034" t="s">
        <v>1234</v>
      </c>
      <c r="G1034" t="b">
        <v>0</v>
      </c>
      <c r="H1034" t="b">
        <v>0</v>
      </c>
      <c r="I1034" t="s">
        <v>1050</v>
      </c>
      <c r="J1034">
        <v>88</v>
      </c>
      <c r="K1034" t="s">
        <v>0</v>
      </c>
      <c r="L1034" t="s">
        <v>1167</v>
      </c>
      <c r="M1034" t="s">
        <v>1168</v>
      </c>
      <c r="N1034" t="s">
        <v>1169</v>
      </c>
      <c r="O1034" t="s">
        <v>1168</v>
      </c>
      <c r="P1034" t="s">
        <v>1235</v>
      </c>
    </row>
    <row r="1035" spans="1:16" x14ac:dyDescent="0.25">
      <c r="A1035" t="s">
        <v>2659</v>
      </c>
      <c r="B1035" t="s">
        <v>2660</v>
      </c>
      <c r="C1035" t="s">
        <v>1233</v>
      </c>
      <c r="D1035" t="s">
        <v>1027</v>
      </c>
      <c r="E1035">
        <v>63762</v>
      </c>
      <c r="F1035" t="s">
        <v>1234</v>
      </c>
      <c r="G1035" t="b">
        <v>0</v>
      </c>
      <c r="H1035" t="b">
        <v>0</v>
      </c>
      <c r="I1035" t="s">
        <v>1050</v>
      </c>
      <c r="J1035">
        <v>88</v>
      </c>
      <c r="K1035" t="s">
        <v>0</v>
      </c>
      <c r="L1035" t="s">
        <v>1167</v>
      </c>
      <c r="M1035" t="s">
        <v>1168</v>
      </c>
      <c r="N1035" t="s">
        <v>1169</v>
      </c>
      <c r="O1035" t="s">
        <v>1168</v>
      </c>
      <c r="P1035" t="s">
        <v>1235</v>
      </c>
    </row>
    <row r="1036" spans="1:16" x14ac:dyDescent="0.25">
      <c r="A1036" t="s">
        <v>2661</v>
      </c>
      <c r="B1036" t="s">
        <v>2662</v>
      </c>
      <c r="C1036" t="s">
        <v>1233</v>
      </c>
      <c r="D1036" t="s">
        <v>1027</v>
      </c>
      <c r="E1036">
        <v>63762</v>
      </c>
      <c r="F1036" t="s">
        <v>1234</v>
      </c>
      <c r="G1036" t="b">
        <v>0</v>
      </c>
      <c r="H1036" t="b">
        <v>0</v>
      </c>
      <c r="I1036" t="s">
        <v>1050</v>
      </c>
      <c r="J1036">
        <v>88</v>
      </c>
      <c r="K1036" t="s">
        <v>0</v>
      </c>
      <c r="L1036" t="s">
        <v>1167</v>
      </c>
      <c r="M1036" t="s">
        <v>1168</v>
      </c>
      <c r="N1036" t="s">
        <v>1169</v>
      </c>
      <c r="O1036" t="s">
        <v>1168</v>
      </c>
      <c r="P1036" t="s">
        <v>1235</v>
      </c>
    </row>
    <row r="1037" spans="1:16" x14ac:dyDescent="0.25">
      <c r="A1037" t="s">
        <v>2663</v>
      </c>
      <c r="B1037" t="s">
        <v>2664</v>
      </c>
      <c r="C1037" t="s">
        <v>1233</v>
      </c>
      <c r="D1037" t="s">
        <v>1027</v>
      </c>
      <c r="E1037">
        <v>63762</v>
      </c>
      <c r="F1037" t="s">
        <v>1234</v>
      </c>
      <c r="G1037" t="b">
        <v>0</v>
      </c>
      <c r="H1037" t="b">
        <v>0</v>
      </c>
      <c r="I1037" t="s">
        <v>1050</v>
      </c>
      <c r="J1037">
        <v>88</v>
      </c>
      <c r="K1037" t="s">
        <v>0</v>
      </c>
      <c r="L1037" t="s">
        <v>1167</v>
      </c>
      <c r="M1037" t="s">
        <v>1168</v>
      </c>
      <c r="N1037" t="s">
        <v>1169</v>
      </c>
      <c r="O1037" t="s">
        <v>1168</v>
      </c>
      <c r="P1037" t="s">
        <v>1235</v>
      </c>
    </row>
    <row r="1038" spans="1:16" x14ac:dyDescent="0.25">
      <c r="A1038" t="s">
        <v>2665</v>
      </c>
      <c r="B1038" t="s">
        <v>2666</v>
      </c>
      <c r="C1038" t="s">
        <v>1571</v>
      </c>
      <c r="D1038" t="s">
        <v>1027</v>
      </c>
      <c r="E1038">
        <v>63767</v>
      </c>
      <c r="G1038" t="b">
        <v>0</v>
      </c>
      <c r="H1038" t="b">
        <v>0</v>
      </c>
      <c r="I1038" t="s">
        <v>1050</v>
      </c>
      <c r="J1038">
        <v>80</v>
      </c>
      <c r="K1038" t="s">
        <v>0</v>
      </c>
      <c r="L1038" t="s">
        <v>1167</v>
      </c>
      <c r="M1038" t="s">
        <v>1168</v>
      </c>
      <c r="N1038" t="s">
        <v>1169</v>
      </c>
      <c r="O1038" t="s">
        <v>1168</v>
      </c>
      <c r="P1038" t="s">
        <v>1283</v>
      </c>
    </row>
    <row r="1039" spans="1:16" x14ac:dyDescent="0.25">
      <c r="A1039" t="s">
        <v>2667</v>
      </c>
      <c r="B1039" t="s">
        <v>2668</v>
      </c>
      <c r="C1039" t="s">
        <v>1571</v>
      </c>
      <c r="D1039" t="s">
        <v>1027</v>
      </c>
      <c r="E1039">
        <v>63767</v>
      </c>
      <c r="G1039" t="b">
        <v>0</v>
      </c>
      <c r="H1039" t="b">
        <v>0</v>
      </c>
      <c r="I1039" t="s">
        <v>1050</v>
      </c>
      <c r="J1039">
        <v>80</v>
      </c>
      <c r="K1039" t="s">
        <v>0</v>
      </c>
      <c r="L1039" t="s">
        <v>1167</v>
      </c>
      <c r="M1039" t="s">
        <v>1168</v>
      </c>
      <c r="N1039" t="s">
        <v>1169</v>
      </c>
      <c r="O1039" t="s">
        <v>1168</v>
      </c>
      <c r="P1039" t="s">
        <v>1283</v>
      </c>
    </row>
    <row r="1040" spans="1:16" x14ac:dyDescent="0.25">
      <c r="A1040" t="s">
        <v>2669</v>
      </c>
      <c r="B1040" t="s">
        <v>2670</v>
      </c>
      <c r="C1040" t="s">
        <v>1571</v>
      </c>
      <c r="D1040" t="s">
        <v>1027</v>
      </c>
      <c r="E1040">
        <v>63767</v>
      </c>
      <c r="G1040" t="b">
        <v>0</v>
      </c>
      <c r="H1040" t="b">
        <v>0</v>
      </c>
      <c r="I1040" t="s">
        <v>1050</v>
      </c>
      <c r="J1040">
        <v>80</v>
      </c>
      <c r="K1040" t="s">
        <v>0</v>
      </c>
      <c r="L1040" t="s">
        <v>1167</v>
      </c>
      <c r="M1040" t="s">
        <v>1168</v>
      </c>
      <c r="N1040" t="s">
        <v>1169</v>
      </c>
      <c r="O1040" t="s">
        <v>1168</v>
      </c>
      <c r="P1040" t="s">
        <v>1283</v>
      </c>
    </row>
    <row r="1041" spans="1:16" x14ac:dyDescent="0.25">
      <c r="A1041" t="s">
        <v>2671</v>
      </c>
      <c r="B1041" t="s">
        <v>2672</v>
      </c>
      <c r="C1041" t="s">
        <v>1571</v>
      </c>
      <c r="D1041" t="s">
        <v>1027</v>
      </c>
      <c r="E1041">
        <v>63767</v>
      </c>
      <c r="G1041" t="b">
        <v>0</v>
      </c>
      <c r="H1041" t="b">
        <v>0</v>
      </c>
      <c r="I1041" t="s">
        <v>1050</v>
      </c>
      <c r="J1041">
        <v>80</v>
      </c>
      <c r="K1041" t="s">
        <v>0</v>
      </c>
      <c r="L1041" t="s">
        <v>1167</v>
      </c>
      <c r="M1041" t="s">
        <v>1168</v>
      </c>
      <c r="N1041" t="s">
        <v>1169</v>
      </c>
      <c r="O1041" t="s">
        <v>1168</v>
      </c>
      <c r="P1041" t="s">
        <v>1283</v>
      </c>
    </row>
    <row r="1042" spans="1:16" x14ac:dyDescent="0.25">
      <c r="A1042" t="s">
        <v>2673</v>
      </c>
      <c r="B1042" t="s">
        <v>2674</v>
      </c>
      <c r="C1042" t="s">
        <v>1571</v>
      </c>
      <c r="D1042" t="s">
        <v>1027</v>
      </c>
      <c r="E1042">
        <v>63767</v>
      </c>
      <c r="G1042" t="b">
        <v>0</v>
      </c>
      <c r="H1042" t="b">
        <v>0</v>
      </c>
      <c r="I1042" t="s">
        <v>1050</v>
      </c>
      <c r="J1042">
        <v>80</v>
      </c>
      <c r="K1042" t="s">
        <v>0</v>
      </c>
      <c r="L1042" t="s">
        <v>1167</v>
      </c>
      <c r="M1042" t="s">
        <v>1168</v>
      </c>
      <c r="N1042" t="s">
        <v>1169</v>
      </c>
      <c r="O1042" t="s">
        <v>1168</v>
      </c>
      <c r="P1042" t="s">
        <v>1283</v>
      </c>
    </row>
    <row r="1043" spans="1:16" x14ac:dyDescent="0.25">
      <c r="A1043" t="s">
        <v>2675</v>
      </c>
      <c r="B1043" t="s">
        <v>2676</v>
      </c>
      <c r="C1043" t="s">
        <v>1571</v>
      </c>
      <c r="D1043" t="s">
        <v>1027</v>
      </c>
      <c r="E1043">
        <v>63767</v>
      </c>
      <c r="G1043" t="b">
        <v>0</v>
      </c>
      <c r="H1043" t="b">
        <v>0</v>
      </c>
      <c r="I1043" t="s">
        <v>1050</v>
      </c>
      <c r="J1043">
        <v>80</v>
      </c>
      <c r="K1043" t="s">
        <v>0</v>
      </c>
      <c r="L1043" t="s">
        <v>1167</v>
      </c>
      <c r="M1043" t="s">
        <v>1168</v>
      </c>
      <c r="N1043" t="s">
        <v>1169</v>
      </c>
      <c r="O1043" t="s">
        <v>1168</v>
      </c>
      <c r="P1043" t="s">
        <v>1283</v>
      </c>
    </row>
    <row r="1044" spans="1:16" x14ac:dyDescent="0.25">
      <c r="A1044" t="s">
        <v>2677</v>
      </c>
      <c r="B1044" t="s">
        <v>2678</v>
      </c>
      <c r="C1044" t="s">
        <v>1571</v>
      </c>
      <c r="D1044" t="s">
        <v>1027</v>
      </c>
      <c r="E1044">
        <v>63767</v>
      </c>
      <c r="G1044" t="b">
        <v>0</v>
      </c>
      <c r="H1044" t="b">
        <v>0</v>
      </c>
      <c r="I1044" t="s">
        <v>1050</v>
      </c>
      <c r="J1044">
        <v>80</v>
      </c>
      <c r="K1044" t="s">
        <v>0</v>
      </c>
      <c r="L1044" t="s">
        <v>1167</v>
      </c>
      <c r="M1044" t="s">
        <v>1168</v>
      </c>
      <c r="N1044" t="s">
        <v>1169</v>
      </c>
      <c r="O1044" t="s">
        <v>1168</v>
      </c>
      <c r="P1044" t="s">
        <v>1283</v>
      </c>
    </row>
    <row r="1045" spans="1:16" x14ac:dyDescent="0.25">
      <c r="A1045" t="s">
        <v>2679</v>
      </c>
      <c r="B1045" t="s">
        <v>2680</v>
      </c>
      <c r="C1045" t="s">
        <v>1233</v>
      </c>
      <c r="D1045" t="s">
        <v>1027</v>
      </c>
      <c r="E1045">
        <v>63762</v>
      </c>
      <c r="F1045" t="s">
        <v>1234</v>
      </c>
      <c r="G1045" t="b">
        <v>0</v>
      </c>
      <c r="H1045" t="b">
        <v>0</v>
      </c>
      <c r="I1045" t="s">
        <v>1050</v>
      </c>
      <c r="J1045">
        <v>87</v>
      </c>
      <c r="K1045" t="s">
        <v>0</v>
      </c>
      <c r="L1045" t="s">
        <v>1167</v>
      </c>
      <c r="M1045" t="s">
        <v>1168</v>
      </c>
      <c r="N1045" t="s">
        <v>1169</v>
      </c>
      <c r="O1045" t="s">
        <v>1168</v>
      </c>
      <c r="P1045" t="s">
        <v>1235</v>
      </c>
    </row>
    <row r="1046" spans="1:16" x14ac:dyDescent="0.25">
      <c r="A1046" t="s">
        <v>2681</v>
      </c>
      <c r="B1046" t="s">
        <v>2682</v>
      </c>
      <c r="C1046" t="s">
        <v>1571</v>
      </c>
      <c r="D1046" t="s">
        <v>1027</v>
      </c>
      <c r="E1046">
        <v>63767</v>
      </c>
      <c r="G1046" t="b">
        <v>0</v>
      </c>
      <c r="H1046" t="b">
        <v>0</v>
      </c>
      <c r="I1046" t="s">
        <v>1050</v>
      </c>
      <c r="J1046">
        <v>80</v>
      </c>
      <c r="K1046" t="s">
        <v>0</v>
      </c>
      <c r="L1046" t="s">
        <v>1167</v>
      </c>
      <c r="M1046" t="s">
        <v>1168</v>
      </c>
      <c r="N1046" t="s">
        <v>1169</v>
      </c>
      <c r="O1046" t="s">
        <v>1168</v>
      </c>
      <c r="P1046" t="s">
        <v>1283</v>
      </c>
    </row>
    <row r="1047" spans="1:16" x14ac:dyDescent="0.25">
      <c r="A1047" t="s">
        <v>2683</v>
      </c>
      <c r="B1047" t="s">
        <v>2684</v>
      </c>
      <c r="C1047" t="s">
        <v>1165</v>
      </c>
      <c r="D1047" t="s">
        <v>1027</v>
      </c>
      <c r="E1047">
        <v>63774</v>
      </c>
      <c r="F1047" t="s">
        <v>1166</v>
      </c>
      <c r="G1047" t="b">
        <v>0</v>
      </c>
      <c r="H1047" t="b">
        <v>0</v>
      </c>
      <c r="I1047" t="s">
        <v>1050</v>
      </c>
      <c r="J1047">
        <v>52</v>
      </c>
      <c r="K1047" t="s">
        <v>1</v>
      </c>
      <c r="L1047" t="s">
        <v>1167</v>
      </c>
      <c r="M1047" t="s">
        <v>1168</v>
      </c>
      <c r="N1047" t="s">
        <v>1169</v>
      </c>
      <c r="O1047" t="s">
        <v>1168</v>
      </c>
      <c r="P1047" t="s">
        <v>1170</v>
      </c>
    </row>
    <row r="1048" spans="1:16" x14ac:dyDescent="0.25">
      <c r="A1048" t="s">
        <v>2685</v>
      </c>
      <c r="B1048" t="s">
        <v>2684</v>
      </c>
      <c r="C1048" t="s">
        <v>1165</v>
      </c>
      <c r="D1048" t="s">
        <v>1027</v>
      </c>
      <c r="E1048">
        <v>63774</v>
      </c>
      <c r="F1048" t="s">
        <v>1166</v>
      </c>
      <c r="G1048" t="b">
        <v>0</v>
      </c>
      <c r="H1048" t="b">
        <v>0</v>
      </c>
      <c r="I1048" t="s">
        <v>1050</v>
      </c>
      <c r="J1048">
        <v>52</v>
      </c>
      <c r="K1048" t="s">
        <v>1</v>
      </c>
      <c r="L1048" t="s">
        <v>1167</v>
      </c>
      <c r="M1048" t="s">
        <v>1168</v>
      </c>
      <c r="N1048" t="s">
        <v>1169</v>
      </c>
      <c r="O1048" t="s">
        <v>1168</v>
      </c>
      <c r="P1048" t="s">
        <v>1170</v>
      </c>
    </row>
    <row r="1049" spans="1:16" x14ac:dyDescent="0.25">
      <c r="A1049" t="s">
        <v>2686</v>
      </c>
      <c r="B1049" t="s">
        <v>2687</v>
      </c>
      <c r="C1049" t="s">
        <v>1233</v>
      </c>
      <c r="D1049" t="s">
        <v>1027</v>
      </c>
      <c r="E1049">
        <v>63762</v>
      </c>
      <c r="F1049" t="s">
        <v>1234</v>
      </c>
      <c r="G1049" t="b">
        <v>0</v>
      </c>
      <c r="H1049" t="b">
        <v>0</v>
      </c>
      <c r="I1049" t="s">
        <v>1050</v>
      </c>
      <c r="J1049">
        <v>88</v>
      </c>
      <c r="K1049" t="s">
        <v>0</v>
      </c>
      <c r="L1049" t="s">
        <v>1167</v>
      </c>
      <c r="M1049" t="s">
        <v>1168</v>
      </c>
      <c r="N1049" t="s">
        <v>1169</v>
      </c>
      <c r="O1049" t="s">
        <v>1168</v>
      </c>
      <c r="P1049" t="s">
        <v>1235</v>
      </c>
    </row>
    <row r="1050" spans="1:16" x14ac:dyDescent="0.25">
      <c r="A1050" t="s">
        <v>2688</v>
      </c>
      <c r="B1050" t="s">
        <v>2689</v>
      </c>
      <c r="C1050" t="s">
        <v>1233</v>
      </c>
      <c r="D1050" t="s">
        <v>1027</v>
      </c>
      <c r="E1050">
        <v>63762</v>
      </c>
      <c r="F1050" t="s">
        <v>1234</v>
      </c>
      <c r="G1050" t="b">
        <v>0</v>
      </c>
      <c r="H1050" t="b">
        <v>0</v>
      </c>
      <c r="I1050" t="s">
        <v>1050</v>
      </c>
      <c r="J1050">
        <v>88</v>
      </c>
      <c r="K1050" t="s">
        <v>0</v>
      </c>
      <c r="L1050" t="s">
        <v>1167</v>
      </c>
      <c r="M1050" t="s">
        <v>1168</v>
      </c>
      <c r="N1050" t="s">
        <v>1169</v>
      </c>
      <c r="O1050" t="s">
        <v>1168</v>
      </c>
      <c r="P1050" t="s">
        <v>1235</v>
      </c>
    </row>
    <row r="1051" spans="1:16" x14ac:dyDescent="0.25">
      <c r="A1051" t="s">
        <v>2690</v>
      </c>
      <c r="B1051" t="s">
        <v>2691</v>
      </c>
      <c r="C1051" t="s">
        <v>1233</v>
      </c>
      <c r="D1051" t="s">
        <v>1027</v>
      </c>
      <c r="E1051">
        <v>63762</v>
      </c>
      <c r="F1051" t="s">
        <v>1234</v>
      </c>
      <c r="G1051" t="b">
        <v>0</v>
      </c>
      <c r="H1051" t="b">
        <v>0</v>
      </c>
      <c r="I1051" t="s">
        <v>1050</v>
      </c>
      <c r="J1051">
        <v>88</v>
      </c>
      <c r="K1051" t="s">
        <v>0</v>
      </c>
      <c r="L1051" t="s">
        <v>1167</v>
      </c>
      <c r="M1051" t="s">
        <v>1168</v>
      </c>
      <c r="N1051" t="s">
        <v>1169</v>
      </c>
      <c r="O1051" t="s">
        <v>1168</v>
      </c>
      <c r="P1051" t="s">
        <v>1235</v>
      </c>
    </row>
    <row r="1052" spans="1:16" x14ac:dyDescent="0.25">
      <c r="A1052" t="s">
        <v>2692</v>
      </c>
      <c r="B1052" t="s">
        <v>2693</v>
      </c>
      <c r="C1052" t="s">
        <v>1233</v>
      </c>
      <c r="D1052" t="s">
        <v>1027</v>
      </c>
      <c r="E1052">
        <v>63762</v>
      </c>
      <c r="F1052" t="s">
        <v>1234</v>
      </c>
      <c r="G1052" t="b">
        <v>0</v>
      </c>
      <c r="H1052" t="b">
        <v>0</v>
      </c>
      <c r="I1052" t="s">
        <v>1050</v>
      </c>
      <c r="J1052">
        <v>88</v>
      </c>
      <c r="K1052" t="s">
        <v>0</v>
      </c>
      <c r="L1052" t="s">
        <v>1167</v>
      </c>
      <c r="M1052" t="s">
        <v>1168</v>
      </c>
      <c r="N1052" t="s">
        <v>1169</v>
      </c>
      <c r="O1052" t="s">
        <v>1168</v>
      </c>
      <c r="P1052" t="s">
        <v>1235</v>
      </c>
    </row>
    <row r="1053" spans="1:16" x14ac:dyDescent="0.25">
      <c r="A1053" t="s">
        <v>2694</v>
      </c>
      <c r="B1053" t="s">
        <v>2695</v>
      </c>
      <c r="C1053" t="s">
        <v>1233</v>
      </c>
      <c r="D1053" t="s">
        <v>1027</v>
      </c>
      <c r="E1053">
        <v>63762</v>
      </c>
      <c r="F1053" t="s">
        <v>1234</v>
      </c>
      <c r="G1053" t="b">
        <v>0</v>
      </c>
      <c r="H1053" t="b">
        <v>0</v>
      </c>
      <c r="I1053" t="s">
        <v>1050</v>
      </c>
      <c r="J1053">
        <v>88</v>
      </c>
      <c r="K1053" t="s">
        <v>0</v>
      </c>
      <c r="L1053" t="s">
        <v>1167</v>
      </c>
      <c r="M1053" t="s">
        <v>1168</v>
      </c>
      <c r="N1053" t="s">
        <v>1169</v>
      </c>
      <c r="O1053" t="s">
        <v>1168</v>
      </c>
      <c r="P1053" t="s">
        <v>1235</v>
      </c>
    </row>
    <row r="1054" spans="1:16" x14ac:dyDescent="0.25">
      <c r="A1054" t="s">
        <v>2696</v>
      </c>
      <c r="B1054" t="s">
        <v>2697</v>
      </c>
      <c r="C1054" t="s">
        <v>1571</v>
      </c>
      <c r="D1054" t="s">
        <v>1027</v>
      </c>
      <c r="E1054">
        <v>63767</v>
      </c>
      <c r="G1054" t="b">
        <v>0</v>
      </c>
      <c r="H1054" t="b">
        <v>0</v>
      </c>
      <c r="I1054" t="s">
        <v>1050</v>
      </c>
      <c r="J1054">
        <v>80</v>
      </c>
      <c r="K1054" t="s">
        <v>0</v>
      </c>
      <c r="L1054" t="s">
        <v>1167</v>
      </c>
      <c r="M1054" t="s">
        <v>1168</v>
      </c>
      <c r="N1054" t="s">
        <v>1169</v>
      </c>
      <c r="O1054" t="s">
        <v>1168</v>
      </c>
      <c r="P1054" t="s">
        <v>1283</v>
      </c>
    </row>
    <row r="1055" spans="1:16" x14ac:dyDescent="0.25">
      <c r="A1055" t="s">
        <v>2698</v>
      </c>
      <c r="B1055" t="s">
        <v>2699</v>
      </c>
      <c r="C1055" t="s">
        <v>1571</v>
      </c>
      <c r="D1055" t="s">
        <v>1027</v>
      </c>
      <c r="E1055">
        <v>63767</v>
      </c>
      <c r="G1055" t="b">
        <v>0</v>
      </c>
      <c r="H1055" t="b">
        <v>0</v>
      </c>
      <c r="I1055" t="s">
        <v>1050</v>
      </c>
      <c r="J1055">
        <v>80</v>
      </c>
      <c r="K1055" t="s">
        <v>0</v>
      </c>
      <c r="L1055" t="s">
        <v>1167</v>
      </c>
      <c r="M1055" t="s">
        <v>1168</v>
      </c>
      <c r="N1055" t="s">
        <v>1169</v>
      </c>
      <c r="O1055" t="s">
        <v>1168</v>
      </c>
      <c r="P1055" t="s">
        <v>1283</v>
      </c>
    </row>
    <row r="1056" spans="1:16" x14ac:dyDescent="0.25">
      <c r="A1056" t="s">
        <v>2700</v>
      </c>
      <c r="B1056" t="s">
        <v>2701</v>
      </c>
      <c r="C1056" t="s">
        <v>1571</v>
      </c>
      <c r="D1056" t="s">
        <v>1027</v>
      </c>
      <c r="E1056">
        <v>63767</v>
      </c>
      <c r="G1056" t="b">
        <v>0</v>
      </c>
      <c r="H1056" t="b">
        <v>0</v>
      </c>
      <c r="I1056" t="s">
        <v>1050</v>
      </c>
      <c r="J1056">
        <v>80</v>
      </c>
      <c r="K1056" t="s">
        <v>0</v>
      </c>
      <c r="L1056" t="s">
        <v>1167</v>
      </c>
      <c r="M1056" t="s">
        <v>1168</v>
      </c>
      <c r="N1056" t="s">
        <v>1169</v>
      </c>
      <c r="O1056" t="s">
        <v>1168</v>
      </c>
      <c r="P1056" t="s">
        <v>1283</v>
      </c>
    </row>
    <row r="1057" spans="1:16" x14ac:dyDescent="0.25">
      <c r="A1057" t="s">
        <v>2702</v>
      </c>
      <c r="B1057" t="s">
        <v>2703</v>
      </c>
      <c r="C1057" t="s">
        <v>1571</v>
      </c>
      <c r="D1057" t="s">
        <v>1027</v>
      </c>
      <c r="E1057">
        <v>63767</v>
      </c>
      <c r="G1057" t="b">
        <v>0</v>
      </c>
      <c r="H1057" t="b">
        <v>0</v>
      </c>
      <c r="I1057" t="s">
        <v>1050</v>
      </c>
      <c r="J1057">
        <v>87</v>
      </c>
      <c r="K1057" t="s">
        <v>0</v>
      </c>
      <c r="L1057" t="s">
        <v>1167</v>
      </c>
      <c r="M1057" t="s">
        <v>1168</v>
      </c>
      <c r="N1057" t="s">
        <v>1169</v>
      </c>
      <c r="O1057" t="s">
        <v>1168</v>
      </c>
      <c r="P1057" t="s">
        <v>1283</v>
      </c>
    </row>
    <row r="1058" spans="1:16" x14ac:dyDescent="0.25">
      <c r="A1058" t="s">
        <v>2704</v>
      </c>
      <c r="B1058" t="s">
        <v>2705</v>
      </c>
      <c r="C1058" t="s">
        <v>1233</v>
      </c>
      <c r="D1058" t="s">
        <v>1027</v>
      </c>
      <c r="E1058">
        <v>63762</v>
      </c>
      <c r="F1058" t="s">
        <v>1234</v>
      </c>
      <c r="G1058" t="b">
        <v>0</v>
      </c>
      <c r="H1058" t="b">
        <v>0</v>
      </c>
      <c r="I1058" t="s">
        <v>1050</v>
      </c>
      <c r="J1058">
        <v>80</v>
      </c>
      <c r="K1058" t="s">
        <v>0</v>
      </c>
      <c r="L1058" t="s">
        <v>1167</v>
      </c>
      <c r="M1058" t="s">
        <v>1168</v>
      </c>
      <c r="N1058" t="s">
        <v>1169</v>
      </c>
      <c r="O1058" t="s">
        <v>1168</v>
      </c>
      <c r="P1058" t="s">
        <v>1235</v>
      </c>
    </row>
    <row r="1059" spans="1:16" x14ac:dyDescent="0.25">
      <c r="A1059" t="s">
        <v>2706</v>
      </c>
      <c r="B1059" t="s">
        <v>2707</v>
      </c>
      <c r="C1059" t="s">
        <v>1233</v>
      </c>
      <c r="D1059" t="s">
        <v>1027</v>
      </c>
      <c r="E1059">
        <v>63762</v>
      </c>
      <c r="F1059" t="s">
        <v>1234</v>
      </c>
      <c r="G1059" t="b">
        <v>0</v>
      </c>
      <c r="H1059" t="b">
        <v>0</v>
      </c>
      <c r="I1059" t="s">
        <v>1050</v>
      </c>
      <c r="J1059">
        <v>87</v>
      </c>
      <c r="K1059" t="s">
        <v>0</v>
      </c>
      <c r="L1059" t="s">
        <v>1167</v>
      </c>
      <c r="M1059" t="s">
        <v>1168</v>
      </c>
      <c r="N1059" t="s">
        <v>1169</v>
      </c>
      <c r="O1059" t="s">
        <v>1168</v>
      </c>
      <c r="P1059" t="s">
        <v>1235</v>
      </c>
    </row>
    <row r="1060" spans="1:16" x14ac:dyDescent="0.25">
      <c r="A1060" t="s">
        <v>2708</v>
      </c>
      <c r="B1060" t="s">
        <v>2709</v>
      </c>
      <c r="C1060" t="s">
        <v>1165</v>
      </c>
      <c r="D1060" t="s">
        <v>1027</v>
      </c>
      <c r="E1060">
        <v>63774</v>
      </c>
      <c r="F1060" t="s">
        <v>1166</v>
      </c>
      <c r="G1060" t="b">
        <v>0</v>
      </c>
      <c r="H1060" t="b">
        <v>0</v>
      </c>
      <c r="I1060" t="s">
        <v>1050</v>
      </c>
      <c r="J1060">
        <v>30</v>
      </c>
      <c r="K1060" t="s">
        <v>1</v>
      </c>
      <c r="L1060" t="s">
        <v>1167</v>
      </c>
      <c r="M1060" t="s">
        <v>1168</v>
      </c>
      <c r="N1060" t="s">
        <v>1169</v>
      </c>
      <c r="O1060" t="s">
        <v>1168</v>
      </c>
      <c r="P1060" t="s">
        <v>1170</v>
      </c>
    </row>
    <row r="1061" spans="1:16" x14ac:dyDescent="0.25">
      <c r="A1061" t="s">
        <v>2710</v>
      </c>
      <c r="B1061" t="s">
        <v>2711</v>
      </c>
      <c r="C1061" t="s">
        <v>1165</v>
      </c>
      <c r="D1061" t="s">
        <v>1027</v>
      </c>
      <c r="E1061">
        <v>63774</v>
      </c>
      <c r="F1061" t="s">
        <v>1166</v>
      </c>
      <c r="G1061" t="b">
        <v>0</v>
      </c>
      <c r="H1061" t="b">
        <v>0</v>
      </c>
      <c r="I1061" t="s">
        <v>1050</v>
      </c>
      <c r="J1061">
        <v>30</v>
      </c>
      <c r="K1061" t="s">
        <v>1</v>
      </c>
      <c r="L1061" t="s">
        <v>1167</v>
      </c>
      <c r="M1061" t="s">
        <v>1168</v>
      </c>
      <c r="N1061" t="s">
        <v>1169</v>
      </c>
      <c r="O1061" t="s">
        <v>1168</v>
      </c>
      <c r="P1061" t="s">
        <v>1170</v>
      </c>
    </row>
    <row r="1062" spans="1:16" x14ac:dyDescent="0.25">
      <c r="A1062" t="s">
        <v>2712</v>
      </c>
      <c r="B1062" t="s">
        <v>2713</v>
      </c>
      <c r="C1062" t="s">
        <v>1571</v>
      </c>
      <c r="D1062" t="s">
        <v>1027</v>
      </c>
      <c r="E1062">
        <v>63767</v>
      </c>
      <c r="G1062" t="b">
        <v>0</v>
      </c>
      <c r="H1062" t="b">
        <v>0</v>
      </c>
      <c r="I1062" t="s">
        <v>1050</v>
      </c>
      <c r="J1062">
        <v>80</v>
      </c>
      <c r="K1062" t="s">
        <v>0</v>
      </c>
      <c r="L1062" t="s">
        <v>1167</v>
      </c>
      <c r="M1062" t="s">
        <v>1168</v>
      </c>
      <c r="N1062" t="s">
        <v>1169</v>
      </c>
      <c r="O1062" t="s">
        <v>1168</v>
      </c>
      <c r="P1062" t="s">
        <v>1283</v>
      </c>
    </row>
    <row r="1063" spans="1:16" x14ac:dyDescent="0.25">
      <c r="A1063" t="s">
        <v>2714</v>
      </c>
      <c r="B1063" t="s">
        <v>2715</v>
      </c>
      <c r="C1063" t="s">
        <v>1165</v>
      </c>
      <c r="D1063" t="s">
        <v>1027</v>
      </c>
      <c r="E1063">
        <v>63774</v>
      </c>
      <c r="F1063" t="s">
        <v>1166</v>
      </c>
      <c r="G1063" t="b">
        <v>0</v>
      </c>
      <c r="H1063" t="b">
        <v>0</v>
      </c>
      <c r="I1063" t="s">
        <v>1050</v>
      </c>
      <c r="J1063">
        <v>30</v>
      </c>
      <c r="K1063" t="s">
        <v>1</v>
      </c>
      <c r="L1063" t="s">
        <v>1167</v>
      </c>
      <c r="M1063" t="s">
        <v>1168</v>
      </c>
      <c r="N1063" t="s">
        <v>1169</v>
      </c>
      <c r="O1063" t="s">
        <v>1168</v>
      </c>
      <c r="P1063" t="s">
        <v>1170</v>
      </c>
    </row>
    <row r="1064" spans="1:16" x14ac:dyDescent="0.25">
      <c r="A1064" t="s">
        <v>2716</v>
      </c>
      <c r="B1064" t="s">
        <v>2717</v>
      </c>
      <c r="C1064" t="s">
        <v>1165</v>
      </c>
      <c r="D1064" t="s">
        <v>1027</v>
      </c>
      <c r="E1064">
        <v>63774</v>
      </c>
      <c r="F1064" t="s">
        <v>1166</v>
      </c>
      <c r="G1064" t="b">
        <v>0</v>
      </c>
      <c r="H1064" t="b">
        <v>0</v>
      </c>
      <c r="I1064" t="s">
        <v>1050</v>
      </c>
      <c r="J1064">
        <v>30</v>
      </c>
      <c r="K1064" t="s">
        <v>1</v>
      </c>
      <c r="L1064" t="s">
        <v>1167</v>
      </c>
      <c r="M1064" t="s">
        <v>1168</v>
      </c>
      <c r="N1064" t="s">
        <v>1169</v>
      </c>
      <c r="O1064" t="s">
        <v>1168</v>
      </c>
      <c r="P1064" t="s">
        <v>1170</v>
      </c>
    </row>
    <row r="1065" spans="1:16" x14ac:dyDescent="0.25">
      <c r="A1065" t="s">
        <v>2718</v>
      </c>
      <c r="B1065" t="s">
        <v>2719</v>
      </c>
      <c r="C1065" t="s">
        <v>1165</v>
      </c>
      <c r="D1065" t="s">
        <v>1027</v>
      </c>
      <c r="E1065">
        <v>63774</v>
      </c>
      <c r="F1065" t="s">
        <v>1166</v>
      </c>
      <c r="G1065" t="b">
        <v>0</v>
      </c>
      <c r="H1065" t="b">
        <v>0</v>
      </c>
      <c r="I1065" t="s">
        <v>1050</v>
      </c>
      <c r="J1065">
        <v>30</v>
      </c>
      <c r="K1065" t="s">
        <v>1</v>
      </c>
      <c r="L1065" t="s">
        <v>1167</v>
      </c>
      <c r="M1065" t="s">
        <v>1168</v>
      </c>
      <c r="N1065" t="s">
        <v>1169</v>
      </c>
      <c r="O1065" t="s">
        <v>1168</v>
      </c>
      <c r="P1065" t="s">
        <v>1170</v>
      </c>
    </row>
    <row r="1066" spans="1:16" x14ac:dyDescent="0.25">
      <c r="A1066" t="s">
        <v>2720</v>
      </c>
      <c r="B1066" t="s">
        <v>2719</v>
      </c>
      <c r="C1066" t="s">
        <v>1165</v>
      </c>
      <c r="D1066" t="s">
        <v>1027</v>
      </c>
      <c r="E1066">
        <v>63774</v>
      </c>
      <c r="F1066" t="s">
        <v>1166</v>
      </c>
      <c r="G1066" t="b">
        <v>0</v>
      </c>
      <c r="H1066" t="b">
        <v>0</v>
      </c>
      <c r="I1066" t="s">
        <v>1050</v>
      </c>
      <c r="J1066">
        <v>30</v>
      </c>
      <c r="K1066" t="s">
        <v>1</v>
      </c>
      <c r="L1066" t="s">
        <v>1167</v>
      </c>
      <c r="M1066" t="s">
        <v>1168</v>
      </c>
      <c r="N1066" t="s">
        <v>1169</v>
      </c>
      <c r="O1066" t="s">
        <v>1168</v>
      </c>
      <c r="P1066" t="s">
        <v>1170</v>
      </c>
    </row>
    <row r="1067" spans="1:16" x14ac:dyDescent="0.25">
      <c r="A1067" t="s">
        <v>2721</v>
      </c>
      <c r="B1067" t="s">
        <v>2722</v>
      </c>
      <c r="C1067" t="s">
        <v>1233</v>
      </c>
      <c r="D1067" t="s">
        <v>1027</v>
      </c>
      <c r="E1067">
        <v>63762</v>
      </c>
      <c r="F1067" t="s">
        <v>1234</v>
      </c>
      <c r="G1067" t="b">
        <v>0</v>
      </c>
      <c r="H1067" t="b">
        <v>0</v>
      </c>
      <c r="I1067" t="s">
        <v>1050</v>
      </c>
      <c r="J1067">
        <v>88</v>
      </c>
      <c r="K1067" t="s">
        <v>0</v>
      </c>
      <c r="L1067" t="s">
        <v>1167</v>
      </c>
      <c r="M1067" t="s">
        <v>1168</v>
      </c>
      <c r="N1067" t="s">
        <v>1169</v>
      </c>
      <c r="O1067" t="s">
        <v>1168</v>
      </c>
      <c r="P1067" t="s">
        <v>1235</v>
      </c>
    </row>
    <row r="1068" spans="1:16" x14ac:dyDescent="0.25">
      <c r="A1068" t="s">
        <v>2723</v>
      </c>
      <c r="B1068" t="s">
        <v>2724</v>
      </c>
      <c r="C1068" t="s">
        <v>1233</v>
      </c>
      <c r="D1068" t="s">
        <v>1027</v>
      </c>
      <c r="E1068">
        <v>63762</v>
      </c>
      <c r="F1068" t="s">
        <v>1234</v>
      </c>
      <c r="G1068" t="b">
        <v>0</v>
      </c>
      <c r="H1068" t="b">
        <v>0</v>
      </c>
      <c r="I1068" t="s">
        <v>1050</v>
      </c>
      <c r="J1068">
        <v>88</v>
      </c>
      <c r="K1068" t="s">
        <v>0</v>
      </c>
      <c r="L1068" t="s">
        <v>1167</v>
      </c>
      <c r="M1068" t="s">
        <v>1168</v>
      </c>
      <c r="N1068" t="s">
        <v>1169</v>
      </c>
      <c r="O1068" t="s">
        <v>1168</v>
      </c>
      <c r="P1068" t="s">
        <v>1235</v>
      </c>
    </row>
    <row r="1069" spans="1:16" x14ac:dyDescent="0.25">
      <c r="A1069" t="s">
        <v>2725</v>
      </c>
      <c r="B1069" t="s">
        <v>2726</v>
      </c>
      <c r="C1069" t="s">
        <v>1233</v>
      </c>
      <c r="D1069" t="s">
        <v>1027</v>
      </c>
      <c r="E1069">
        <v>63762</v>
      </c>
      <c r="F1069" t="s">
        <v>1234</v>
      </c>
      <c r="G1069" t="b">
        <v>0</v>
      </c>
      <c r="H1069" t="b">
        <v>0</v>
      </c>
      <c r="I1069" t="s">
        <v>1050</v>
      </c>
      <c r="J1069">
        <v>88</v>
      </c>
      <c r="K1069" t="s">
        <v>0</v>
      </c>
      <c r="L1069" t="s">
        <v>1167</v>
      </c>
      <c r="M1069" t="s">
        <v>1168</v>
      </c>
      <c r="N1069" t="s">
        <v>1169</v>
      </c>
      <c r="O1069" t="s">
        <v>1168</v>
      </c>
      <c r="P1069" t="s">
        <v>1235</v>
      </c>
    </row>
    <row r="1070" spans="1:16" x14ac:dyDescent="0.25">
      <c r="A1070" t="s">
        <v>2727</v>
      </c>
      <c r="B1070" t="s">
        <v>2728</v>
      </c>
      <c r="C1070" t="s">
        <v>1233</v>
      </c>
      <c r="D1070" t="s">
        <v>1027</v>
      </c>
      <c r="E1070">
        <v>63762</v>
      </c>
      <c r="F1070" t="s">
        <v>1234</v>
      </c>
      <c r="G1070" t="b">
        <v>0</v>
      </c>
      <c r="H1070" t="b">
        <v>0</v>
      </c>
      <c r="I1070" t="s">
        <v>1050</v>
      </c>
      <c r="J1070">
        <v>88</v>
      </c>
      <c r="K1070" t="s">
        <v>0</v>
      </c>
      <c r="L1070" t="s">
        <v>1167</v>
      </c>
      <c r="M1070" t="s">
        <v>1168</v>
      </c>
      <c r="N1070" t="s">
        <v>1169</v>
      </c>
      <c r="O1070" t="s">
        <v>1168</v>
      </c>
      <c r="P1070" t="s">
        <v>1235</v>
      </c>
    </row>
    <row r="1071" spans="1:16" x14ac:dyDescent="0.25">
      <c r="A1071" t="s">
        <v>2729</v>
      </c>
      <c r="B1071" t="s">
        <v>2730</v>
      </c>
      <c r="C1071" t="s">
        <v>1233</v>
      </c>
      <c r="D1071" t="s">
        <v>1027</v>
      </c>
      <c r="E1071">
        <v>63762</v>
      </c>
      <c r="F1071" t="s">
        <v>1234</v>
      </c>
      <c r="G1071" t="b">
        <v>0</v>
      </c>
      <c r="H1071" t="b">
        <v>0</v>
      </c>
      <c r="I1071" t="s">
        <v>1050</v>
      </c>
      <c r="J1071">
        <v>88</v>
      </c>
      <c r="K1071" t="s">
        <v>0</v>
      </c>
      <c r="L1071" t="s">
        <v>1167</v>
      </c>
      <c r="M1071" t="s">
        <v>1168</v>
      </c>
      <c r="N1071" t="s">
        <v>1169</v>
      </c>
      <c r="O1071" t="s">
        <v>1168</v>
      </c>
      <c r="P1071" t="s">
        <v>1235</v>
      </c>
    </row>
    <row r="1072" spans="1:16" x14ac:dyDescent="0.25">
      <c r="A1072" t="s">
        <v>2731</v>
      </c>
      <c r="B1072" t="s">
        <v>2732</v>
      </c>
      <c r="C1072" t="s">
        <v>1233</v>
      </c>
      <c r="D1072" t="s">
        <v>1027</v>
      </c>
      <c r="E1072">
        <v>63762</v>
      </c>
      <c r="F1072" t="s">
        <v>1234</v>
      </c>
      <c r="G1072" t="b">
        <v>0</v>
      </c>
      <c r="H1072" t="b">
        <v>0</v>
      </c>
      <c r="I1072" t="s">
        <v>1050</v>
      </c>
      <c r="J1072">
        <v>88</v>
      </c>
      <c r="K1072" t="s">
        <v>0</v>
      </c>
      <c r="L1072" t="s">
        <v>1167</v>
      </c>
      <c r="M1072" t="s">
        <v>1168</v>
      </c>
      <c r="N1072" t="s">
        <v>1169</v>
      </c>
      <c r="O1072" t="s">
        <v>1168</v>
      </c>
      <c r="P1072" t="s">
        <v>1235</v>
      </c>
    </row>
    <row r="1073" spans="1:16" x14ac:dyDescent="0.25">
      <c r="A1073" t="s">
        <v>2733</v>
      </c>
      <c r="B1073" t="s">
        <v>2734</v>
      </c>
      <c r="C1073" t="s">
        <v>1233</v>
      </c>
      <c r="D1073" t="s">
        <v>1027</v>
      </c>
      <c r="E1073">
        <v>63762</v>
      </c>
      <c r="F1073" t="s">
        <v>1234</v>
      </c>
      <c r="G1073" t="b">
        <v>0</v>
      </c>
      <c r="H1073" t="b">
        <v>0</v>
      </c>
      <c r="I1073" t="s">
        <v>1050</v>
      </c>
      <c r="J1073">
        <v>88</v>
      </c>
      <c r="K1073" t="s">
        <v>0</v>
      </c>
      <c r="L1073" t="s">
        <v>1167</v>
      </c>
      <c r="M1073" t="s">
        <v>1168</v>
      </c>
      <c r="N1073" t="s">
        <v>1169</v>
      </c>
      <c r="O1073" t="s">
        <v>1168</v>
      </c>
      <c r="P1073" t="s">
        <v>1235</v>
      </c>
    </row>
    <row r="1074" spans="1:16" x14ac:dyDescent="0.25">
      <c r="A1074" t="s">
        <v>2735</v>
      </c>
      <c r="B1074" t="s">
        <v>2736</v>
      </c>
      <c r="C1074" t="s">
        <v>1233</v>
      </c>
      <c r="D1074" t="s">
        <v>1027</v>
      </c>
      <c r="E1074">
        <v>63762</v>
      </c>
      <c r="F1074" t="s">
        <v>1234</v>
      </c>
      <c r="G1074" t="b">
        <v>0</v>
      </c>
      <c r="H1074" t="b">
        <v>0</v>
      </c>
      <c r="I1074" t="s">
        <v>1050</v>
      </c>
      <c r="J1074">
        <v>88</v>
      </c>
      <c r="K1074" t="s">
        <v>0</v>
      </c>
      <c r="L1074" t="s">
        <v>1167</v>
      </c>
      <c r="M1074" t="s">
        <v>1168</v>
      </c>
      <c r="N1074" t="s">
        <v>1169</v>
      </c>
      <c r="O1074" t="s">
        <v>1168</v>
      </c>
      <c r="P1074" t="s">
        <v>1235</v>
      </c>
    </row>
    <row r="1075" spans="1:16" x14ac:dyDescent="0.25">
      <c r="A1075" t="s">
        <v>2737</v>
      </c>
      <c r="B1075" t="s">
        <v>2738</v>
      </c>
      <c r="C1075" t="s">
        <v>1233</v>
      </c>
      <c r="D1075" t="s">
        <v>1027</v>
      </c>
      <c r="E1075">
        <v>63762</v>
      </c>
      <c r="F1075" t="s">
        <v>1234</v>
      </c>
      <c r="G1075" t="b">
        <v>0</v>
      </c>
      <c r="H1075" t="b">
        <v>0</v>
      </c>
      <c r="I1075" t="s">
        <v>1050</v>
      </c>
      <c r="J1075">
        <v>88</v>
      </c>
      <c r="K1075" t="s">
        <v>0</v>
      </c>
      <c r="L1075" t="s">
        <v>1167</v>
      </c>
      <c r="M1075" t="s">
        <v>1168</v>
      </c>
      <c r="N1075" t="s">
        <v>1169</v>
      </c>
      <c r="O1075" t="s">
        <v>1168</v>
      </c>
      <c r="P1075" t="s">
        <v>1235</v>
      </c>
    </row>
    <row r="1076" spans="1:16" x14ac:dyDescent="0.25">
      <c r="A1076" t="s">
        <v>2739</v>
      </c>
      <c r="B1076" t="s">
        <v>2740</v>
      </c>
      <c r="C1076" t="s">
        <v>1233</v>
      </c>
      <c r="D1076" t="s">
        <v>1027</v>
      </c>
      <c r="E1076">
        <v>63762</v>
      </c>
      <c r="F1076" t="s">
        <v>1234</v>
      </c>
      <c r="G1076" t="b">
        <v>0</v>
      </c>
      <c r="H1076" t="b">
        <v>0</v>
      </c>
      <c r="I1076" t="s">
        <v>1050</v>
      </c>
      <c r="J1076">
        <v>88</v>
      </c>
      <c r="K1076" t="s">
        <v>0</v>
      </c>
      <c r="L1076" t="s">
        <v>1167</v>
      </c>
      <c r="M1076" t="s">
        <v>1168</v>
      </c>
      <c r="N1076" t="s">
        <v>1169</v>
      </c>
      <c r="O1076" t="s">
        <v>1168</v>
      </c>
      <c r="P1076" t="s">
        <v>1235</v>
      </c>
    </row>
    <row r="1077" spans="1:16" x14ac:dyDescent="0.25">
      <c r="A1077" t="s">
        <v>2741</v>
      </c>
      <c r="B1077" t="s">
        <v>2742</v>
      </c>
      <c r="C1077" t="s">
        <v>1233</v>
      </c>
      <c r="D1077" t="s">
        <v>1027</v>
      </c>
      <c r="E1077">
        <v>63762</v>
      </c>
      <c r="F1077" t="s">
        <v>1234</v>
      </c>
      <c r="G1077" t="b">
        <v>0</v>
      </c>
      <c r="H1077" t="b">
        <v>0</v>
      </c>
      <c r="I1077" t="s">
        <v>1050</v>
      </c>
      <c r="J1077">
        <v>88</v>
      </c>
      <c r="K1077" t="s">
        <v>0</v>
      </c>
      <c r="L1077" t="s">
        <v>1167</v>
      </c>
      <c r="M1077" t="s">
        <v>1168</v>
      </c>
      <c r="N1077" t="s">
        <v>1169</v>
      </c>
      <c r="O1077" t="s">
        <v>1168</v>
      </c>
      <c r="P1077" t="s">
        <v>1235</v>
      </c>
    </row>
    <row r="1078" spans="1:16" x14ac:dyDescent="0.25">
      <c r="A1078" t="s">
        <v>2743</v>
      </c>
      <c r="B1078" t="s">
        <v>2744</v>
      </c>
      <c r="C1078" t="s">
        <v>1571</v>
      </c>
      <c r="D1078" t="s">
        <v>1027</v>
      </c>
      <c r="E1078">
        <v>63767</v>
      </c>
      <c r="G1078" t="b">
        <v>0</v>
      </c>
      <c r="H1078" t="b">
        <v>0</v>
      </c>
      <c r="I1078" t="s">
        <v>1050</v>
      </c>
      <c r="J1078">
        <v>80</v>
      </c>
      <c r="K1078" t="s">
        <v>0</v>
      </c>
      <c r="L1078" t="s">
        <v>1167</v>
      </c>
      <c r="M1078" t="s">
        <v>1168</v>
      </c>
      <c r="N1078" t="s">
        <v>1169</v>
      </c>
      <c r="O1078" t="s">
        <v>1168</v>
      </c>
      <c r="P1078" t="s">
        <v>1283</v>
      </c>
    </row>
    <row r="1079" spans="1:16" x14ac:dyDescent="0.25">
      <c r="A1079" t="s">
        <v>2745</v>
      </c>
      <c r="B1079" t="s">
        <v>2746</v>
      </c>
      <c r="C1079" t="s">
        <v>1571</v>
      </c>
      <c r="D1079" t="s">
        <v>1027</v>
      </c>
      <c r="E1079">
        <v>63767</v>
      </c>
      <c r="G1079" t="b">
        <v>0</v>
      </c>
      <c r="H1079" t="b">
        <v>0</v>
      </c>
      <c r="I1079" t="s">
        <v>1050</v>
      </c>
      <c r="J1079">
        <v>80</v>
      </c>
      <c r="K1079" t="s">
        <v>0</v>
      </c>
      <c r="L1079" t="s">
        <v>1167</v>
      </c>
      <c r="M1079" t="s">
        <v>1168</v>
      </c>
      <c r="N1079" t="s">
        <v>1169</v>
      </c>
      <c r="O1079" t="s">
        <v>1168</v>
      </c>
      <c r="P1079" t="s">
        <v>1283</v>
      </c>
    </row>
    <row r="1080" spans="1:16" x14ac:dyDescent="0.25">
      <c r="A1080" t="s">
        <v>2747</v>
      </c>
      <c r="B1080" t="s">
        <v>2748</v>
      </c>
      <c r="C1080" t="s">
        <v>1571</v>
      </c>
      <c r="D1080" t="s">
        <v>1027</v>
      </c>
      <c r="E1080">
        <v>63767</v>
      </c>
      <c r="G1080" t="b">
        <v>0</v>
      </c>
      <c r="H1080" t="b">
        <v>0</v>
      </c>
      <c r="I1080" t="s">
        <v>1050</v>
      </c>
      <c r="J1080">
        <v>80</v>
      </c>
      <c r="K1080" t="s">
        <v>0</v>
      </c>
      <c r="L1080" t="s">
        <v>1167</v>
      </c>
      <c r="M1080" t="s">
        <v>1168</v>
      </c>
      <c r="N1080" t="s">
        <v>1169</v>
      </c>
      <c r="O1080" t="s">
        <v>1168</v>
      </c>
      <c r="P1080" t="s">
        <v>1283</v>
      </c>
    </row>
    <row r="1081" spans="1:16" x14ac:dyDescent="0.25">
      <c r="A1081" t="s">
        <v>2749</v>
      </c>
      <c r="B1081" t="s">
        <v>2750</v>
      </c>
      <c r="C1081" t="s">
        <v>1571</v>
      </c>
      <c r="D1081" t="s">
        <v>1027</v>
      </c>
      <c r="E1081">
        <v>63767</v>
      </c>
      <c r="G1081" t="b">
        <v>0</v>
      </c>
      <c r="H1081" t="b">
        <v>0</v>
      </c>
      <c r="I1081" t="s">
        <v>1050</v>
      </c>
      <c r="J1081">
        <v>80</v>
      </c>
      <c r="K1081" t="s">
        <v>0</v>
      </c>
      <c r="L1081" t="s">
        <v>1167</v>
      </c>
      <c r="M1081" t="s">
        <v>1168</v>
      </c>
      <c r="N1081" t="s">
        <v>1169</v>
      </c>
      <c r="O1081" t="s">
        <v>1168</v>
      </c>
      <c r="P1081" t="s">
        <v>1283</v>
      </c>
    </row>
    <row r="1082" spans="1:16" x14ac:dyDescent="0.25">
      <c r="A1082" t="s">
        <v>2751</v>
      </c>
      <c r="B1082" t="s">
        <v>2752</v>
      </c>
      <c r="C1082" t="s">
        <v>1233</v>
      </c>
      <c r="D1082" t="s">
        <v>1027</v>
      </c>
      <c r="E1082">
        <v>63762</v>
      </c>
      <c r="F1082" t="s">
        <v>1234</v>
      </c>
      <c r="G1082" t="b">
        <v>0</v>
      </c>
      <c r="H1082" t="b">
        <v>0</v>
      </c>
      <c r="I1082" t="s">
        <v>1050</v>
      </c>
      <c r="J1082">
        <v>87</v>
      </c>
      <c r="K1082" t="s">
        <v>0</v>
      </c>
      <c r="L1082" t="s">
        <v>1167</v>
      </c>
      <c r="M1082" t="s">
        <v>1168</v>
      </c>
      <c r="N1082" t="s">
        <v>1169</v>
      </c>
      <c r="O1082" t="s">
        <v>1168</v>
      </c>
      <c r="P1082" t="s">
        <v>1235</v>
      </c>
    </row>
    <row r="1083" spans="1:16" x14ac:dyDescent="0.25">
      <c r="A1083" t="s">
        <v>2753</v>
      </c>
      <c r="B1083" t="s">
        <v>2754</v>
      </c>
      <c r="C1083" t="s">
        <v>1571</v>
      </c>
      <c r="D1083" t="s">
        <v>1027</v>
      </c>
      <c r="E1083">
        <v>63767</v>
      </c>
      <c r="G1083" t="b">
        <v>0</v>
      </c>
      <c r="H1083" t="b">
        <v>0</v>
      </c>
      <c r="I1083" t="s">
        <v>1050</v>
      </c>
      <c r="J1083">
        <v>80</v>
      </c>
      <c r="K1083" t="s">
        <v>0</v>
      </c>
      <c r="L1083" t="s">
        <v>1167</v>
      </c>
      <c r="M1083" t="s">
        <v>1168</v>
      </c>
      <c r="N1083" t="s">
        <v>1169</v>
      </c>
      <c r="O1083" t="s">
        <v>1168</v>
      </c>
      <c r="P1083" t="s">
        <v>1283</v>
      </c>
    </row>
    <row r="1084" spans="1:16" x14ac:dyDescent="0.25">
      <c r="A1084" t="s">
        <v>2755</v>
      </c>
      <c r="B1084" t="s">
        <v>2756</v>
      </c>
      <c r="C1084" t="s">
        <v>1233</v>
      </c>
      <c r="D1084" t="s">
        <v>1027</v>
      </c>
      <c r="E1084">
        <v>63762</v>
      </c>
      <c r="F1084" t="s">
        <v>1234</v>
      </c>
      <c r="G1084" t="b">
        <v>0</v>
      </c>
      <c r="H1084" t="b">
        <v>0</v>
      </c>
      <c r="I1084" t="s">
        <v>1050</v>
      </c>
      <c r="J1084">
        <v>88</v>
      </c>
      <c r="K1084" t="s">
        <v>0</v>
      </c>
      <c r="L1084" t="s">
        <v>1167</v>
      </c>
      <c r="M1084" t="s">
        <v>1168</v>
      </c>
      <c r="N1084" t="s">
        <v>1169</v>
      </c>
      <c r="O1084" t="s">
        <v>1168</v>
      </c>
      <c r="P1084" t="s">
        <v>1235</v>
      </c>
    </row>
    <row r="1085" spans="1:16" x14ac:dyDescent="0.25">
      <c r="A1085" t="s">
        <v>2757</v>
      </c>
      <c r="B1085" t="s">
        <v>2758</v>
      </c>
      <c r="C1085" t="s">
        <v>1233</v>
      </c>
      <c r="D1085" t="s">
        <v>1027</v>
      </c>
      <c r="E1085">
        <v>63762</v>
      </c>
      <c r="F1085" t="s">
        <v>1234</v>
      </c>
      <c r="G1085" t="b">
        <v>0</v>
      </c>
      <c r="H1085" t="b">
        <v>0</v>
      </c>
      <c r="I1085" t="s">
        <v>1050</v>
      </c>
      <c r="J1085">
        <v>88</v>
      </c>
      <c r="K1085" t="s">
        <v>0</v>
      </c>
      <c r="L1085" t="s">
        <v>1167</v>
      </c>
      <c r="M1085" t="s">
        <v>1168</v>
      </c>
      <c r="N1085" t="s">
        <v>1169</v>
      </c>
      <c r="O1085" t="s">
        <v>1168</v>
      </c>
      <c r="P1085" t="s">
        <v>1235</v>
      </c>
    </row>
    <row r="1086" spans="1:16" x14ac:dyDescent="0.25">
      <c r="A1086" t="s">
        <v>2759</v>
      </c>
      <c r="B1086" t="s">
        <v>2760</v>
      </c>
      <c r="C1086" t="s">
        <v>1233</v>
      </c>
      <c r="D1086" t="s">
        <v>1027</v>
      </c>
      <c r="E1086">
        <v>63762</v>
      </c>
      <c r="F1086" t="s">
        <v>1234</v>
      </c>
      <c r="G1086" t="b">
        <v>0</v>
      </c>
      <c r="H1086" t="b">
        <v>0</v>
      </c>
      <c r="I1086" t="s">
        <v>1050</v>
      </c>
      <c r="J1086">
        <v>88</v>
      </c>
      <c r="K1086" t="s">
        <v>0</v>
      </c>
      <c r="L1086" t="s">
        <v>1167</v>
      </c>
      <c r="M1086" t="s">
        <v>1168</v>
      </c>
      <c r="N1086" t="s">
        <v>1169</v>
      </c>
      <c r="O1086" t="s">
        <v>1168</v>
      </c>
      <c r="P1086" t="s">
        <v>1235</v>
      </c>
    </row>
    <row r="1087" spans="1:16" x14ac:dyDescent="0.25">
      <c r="A1087" t="s">
        <v>2761</v>
      </c>
      <c r="B1087" t="s">
        <v>2762</v>
      </c>
      <c r="C1087" t="s">
        <v>1233</v>
      </c>
      <c r="D1087" t="s">
        <v>1027</v>
      </c>
      <c r="E1087">
        <v>63762</v>
      </c>
      <c r="F1087" t="s">
        <v>1234</v>
      </c>
      <c r="G1087" t="b">
        <v>0</v>
      </c>
      <c r="H1087" t="b">
        <v>0</v>
      </c>
      <c r="I1087" t="s">
        <v>1050</v>
      </c>
      <c r="J1087">
        <v>88</v>
      </c>
      <c r="K1087" t="s">
        <v>0</v>
      </c>
      <c r="L1087" t="s">
        <v>1167</v>
      </c>
      <c r="M1087" t="s">
        <v>1168</v>
      </c>
      <c r="N1087" t="s">
        <v>1169</v>
      </c>
      <c r="O1087" t="s">
        <v>1168</v>
      </c>
      <c r="P1087" t="s">
        <v>1235</v>
      </c>
    </row>
    <row r="1088" spans="1:16" x14ac:dyDescent="0.25">
      <c r="A1088" t="s">
        <v>2763</v>
      </c>
      <c r="B1088" t="s">
        <v>2764</v>
      </c>
      <c r="C1088" t="s">
        <v>1571</v>
      </c>
      <c r="D1088" t="s">
        <v>1027</v>
      </c>
      <c r="E1088">
        <v>63767</v>
      </c>
      <c r="G1088" t="b">
        <v>0</v>
      </c>
      <c r="H1088" t="b">
        <v>0</v>
      </c>
      <c r="I1088" t="s">
        <v>1050</v>
      </c>
      <c r="J1088">
        <v>80</v>
      </c>
      <c r="K1088" t="s">
        <v>0</v>
      </c>
      <c r="L1088" t="s">
        <v>1167</v>
      </c>
      <c r="M1088" t="s">
        <v>1168</v>
      </c>
      <c r="N1088" t="s">
        <v>1169</v>
      </c>
      <c r="O1088" t="s">
        <v>1168</v>
      </c>
      <c r="P1088" t="s">
        <v>1283</v>
      </c>
    </row>
    <row r="1089" spans="1:16" x14ac:dyDescent="0.25">
      <c r="A1089" t="s">
        <v>2765</v>
      </c>
      <c r="B1089" t="s">
        <v>2766</v>
      </c>
      <c r="C1089" t="s">
        <v>1571</v>
      </c>
      <c r="D1089" t="s">
        <v>1027</v>
      </c>
      <c r="E1089">
        <v>63767</v>
      </c>
      <c r="G1089" t="b">
        <v>0</v>
      </c>
      <c r="H1089" t="b">
        <v>0</v>
      </c>
      <c r="I1089" t="s">
        <v>1050</v>
      </c>
      <c r="J1089">
        <v>80</v>
      </c>
      <c r="K1089" t="s">
        <v>0</v>
      </c>
      <c r="L1089" t="s">
        <v>1167</v>
      </c>
      <c r="M1089" t="s">
        <v>1168</v>
      </c>
      <c r="N1089" t="s">
        <v>1169</v>
      </c>
      <c r="O1089" t="s">
        <v>1168</v>
      </c>
      <c r="P1089" t="s">
        <v>1283</v>
      </c>
    </row>
    <row r="1090" spans="1:16" x14ac:dyDescent="0.25">
      <c r="A1090" t="s">
        <v>2767</v>
      </c>
      <c r="B1090" t="s">
        <v>2768</v>
      </c>
      <c r="C1090" t="s">
        <v>1571</v>
      </c>
      <c r="D1090" t="s">
        <v>1027</v>
      </c>
      <c r="E1090">
        <v>63767</v>
      </c>
      <c r="G1090" t="b">
        <v>0</v>
      </c>
      <c r="H1090" t="b">
        <v>0</v>
      </c>
      <c r="I1090" t="s">
        <v>1050</v>
      </c>
      <c r="J1090">
        <v>80</v>
      </c>
      <c r="K1090" t="s">
        <v>0</v>
      </c>
      <c r="L1090" t="s">
        <v>1167</v>
      </c>
      <c r="M1090" t="s">
        <v>1168</v>
      </c>
      <c r="N1090" t="s">
        <v>1169</v>
      </c>
      <c r="O1090" t="s">
        <v>1168</v>
      </c>
      <c r="P1090" t="s">
        <v>1283</v>
      </c>
    </row>
    <row r="1091" spans="1:16" x14ac:dyDescent="0.25">
      <c r="A1091" t="s">
        <v>2769</v>
      </c>
      <c r="B1091" t="s">
        <v>2770</v>
      </c>
      <c r="C1091" t="s">
        <v>1571</v>
      </c>
      <c r="D1091" t="s">
        <v>1027</v>
      </c>
      <c r="E1091">
        <v>63767</v>
      </c>
      <c r="G1091" t="b">
        <v>0</v>
      </c>
      <c r="H1091" t="b">
        <v>0</v>
      </c>
      <c r="I1091" t="s">
        <v>1050</v>
      </c>
      <c r="J1091">
        <v>80</v>
      </c>
      <c r="K1091" t="s">
        <v>0</v>
      </c>
      <c r="L1091" t="s">
        <v>1167</v>
      </c>
      <c r="M1091" t="s">
        <v>1168</v>
      </c>
      <c r="N1091" t="s">
        <v>1169</v>
      </c>
      <c r="O1091" t="s">
        <v>1168</v>
      </c>
      <c r="P1091" t="s">
        <v>1283</v>
      </c>
    </row>
    <row r="1092" spans="1:16" x14ac:dyDescent="0.25">
      <c r="A1092" t="s">
        <v>2771</v>
      </c>
      <c r="B1092" t="s">
        <v>2772</v>
      </c>
      <c r="C1092" t="s">
        <v>1571</v>
      </c>
      <c r="D1092" t="s">
        <v>1027</v>
      </c>
      <c r="E1092">
        <v>63767</v>
      </c>
      <c r="G1092" t="b">
        <v>0</v>
      </c>
      <c r="H1092" t="b">
        <v>0</v>
      </c>
      <c r="I1092" t="s">
        <v>1050</v>
      </c>
      <c r="J1092">
        <v>80</v>
      </c>
      <c r="K1092" t="s">
        <v>0</v>
      </c>
      <c r="L1092" t="s">
        <v>1167</v>
      </c>
      <c r="M1092" t="s">
        <v>1168</v>
      </c>
      <c r="N1092" t="s">
        <v>1169</v>
      </c>
      <c r="O1092" t="s">
        <v>1168</v>
      </c>
      <c r="P1092" t="s">
        <v>1283</v>
      </c>
    </row>
    <row r="1093" spans="1:16" x14ac:dyDescent="0.25">
      <c r="A1093" t="s">
        <v>2773</v>
      </c>
      <c r="B1093" t="s">
        <v>2774</v>
      </c>
      <c r="C1093" t="s">
        <v>1571</v>
      </c>
      <c r="D1093" t="s">
        <v>1027</v>
      </c>
      <c r="E1093">
        <v>63767</v>
      </c>
      <c r="G1093" t="b">
        <v>0</v>
      </c>
      <c r="H1093" t="b">
        <v>0</v>
      </c>
      <c r="I1093" t="s">
        <v>1050</v>
      </c>
      <c r="J1093">
        <v>80</v>
      </c>
      <c r="K1093" t="s">
        <v>0</v>
      </c>
      <c r="L1093" t="s">
        <v>1167</v>
      </c>
      <c r="M1093" t="s">
        <v>1168</v>
      </c>
      <c r="N1093" t="s">
        <v>1169</v>
      </c>
      <c r="O1093" t="s">
        <v>1168</v>
      </c>
      <c r="P1093" t="s">
        <v>1283</v>
      </c>
    </row>
    <row r="1094" spans="1:16" x14ac:dyDescent="0.25">
      <c r="A1094" t="s">
        <v>2775</v>
      </c>
      <c r="B1094" t="s">
        <v>2776</v>
      </c>
      <c r="C1094" t="s">
        <v>1571</v>
      </c>
      <c r="D1094" t="s">
        <v>1027</v>
      </c>
      <c r="E1094">
        <v>63767</v>
      </c>
      <c r="G1094" t="b">
        <v>0</v>
      </c>
      <c r="H1094" t="b">
        <v>0</v>
      </c>
      <c r="I1094" t="s">
        <v>1050</v>
      </c>
      <c r="J1094">
        <v>80</v>
      </c>
      <c r="K1094" t="s">
        <v>0</v>
      </c>
      <c r="L1094" t="s">
        <v>1167</v>
      </c>
      <c r="M1094" t="s">
        <v>1168</v>
      </c>
      <c r="N1094" t="s">
        <v>1169</v>
      </c>
      <c r="O1094" t="s">
        <v>1168</v>
      </c>
      <c r="P1094" t="s">
        <v>1283</v>
      </c>
    </row>
    <row r="1095" spans="1:16" x14ac:dyDescent="0.25">
      <c r="A1095" t="s">
        <v>2777</v>
      </c>
      <c r="B1095" t="s">
        <v>2778</v>
      </c>
      <c r="C1095" t="s">
        <v>1233</v>
      </c>
      <c r="D1095" t="s">
        <v>1027</v>
      </c>
      <c r="E1095">
        <v>63762</v>
      </c>
      <c r="F1095" t="s">
        <v>1234</v>
      </c>
      <c r="G1095" t="b">
        <v>0</v>
      </c>
      <c r="H1095" t="b">
        <v>0</v>
      </c>
      <c r="I1095" t="s">
        <v>1050</v>
      </c>
      <c r="J1095">
        <v>80</v>
      </c>
      <c r="K1095" t="s">
        <v>0</v>
      </c>
      <c r="L1095" t="s">
        <v>1167</v>
      </c>
      <c r="M1095" t="s">
        <v>1168</v>
      </c>
      <c r="N1095" t="s">
        <v>1169</v>
      </c>
      <c r="O1095" t="s">
        <v>1168</v>
      </c>
      <c r="P1095" t="s">
        <v>1235</v>
      </c>
    </row>
    <row r="1096" spans="1:16" x14ac:dyDescent="0.25">
      <c r="A1096" t="s">
        <v>2779</v>
      </c>
      <c r="B1096" t="s">
        <v>2780</v>
      </c>
      <c r="C1096" t="s">
        <v>1233</v>
      </c>
      <c r="D1096" t="s">
        <v>1027</v>
      </c>
      <c r="E1096">
        <v>63762</v>
      </c>
      <c r="F1096" t="s">
        <v>1234</v>
      </c>
      <c r="G1096" t="b">
        <v>0</v>
      </c>
      <c r="H1096" t="b">
        <v>0</v>
      </c>
      <c r="I1096" t="s">
        <v>1050</v>
      </c>
      <c r="J1096">
        <v>80</v>
      </c>
      <c r="K1096" t="s">
        <v>0</v>
      </c>
      <c r="L1096" t="s">
        <v>1167</v>
      </c>
      <c r="M1096" t="s">
        <v>1168</v>
      </c>
      <c r="N1096" t="s">
        <v>1169</v>
      </c>
      <c r="O1096" t="s">
        <v>1168</v>
      </c>
      <c r="P1096" t="s">
        <v>1235</v>
      </c>
    </row>
    <row r="1097" spans="1:16" x14ac:dyDescent="0.25">
      <c r="A1097" t="s">
        <v>2781</v>
      </c>
      <c r="B1097" t="s">
        <v>2782</v>
      </c>
      <c r="C1097" t="s">
        <v>1233</v>
      </c>
      <c r="D1097" t="s">
        <v>1027</v>
      </c>
      <c r="E1097">
        <v>63762</v>
      </c>
      <c r="F1097" t="s">
        <v>1234</v>
      </c>
      <c r="G1097" t="b">
        <v>0</v>
      </c>
      <c r="H1097" t="b">
        <v>0</v>
      </c>
      <c r="I1097" t="s">
        <v>1050</v>
      </c>
      <c r="J1097">
        <v>80</v>
      </c>
      <c r="K1097" t="s">
        <v>0</v>
      </c>
      <c r="L1097" t="s">
        <v>1167</v>
      </c>
      <c r="M1097" t="s">
        <v>1168</v>
      </c>
      <c r="N1097" t="s">
        <v>1169</v>
      </c>
      <c r="O1097" t="s">
        <v>1168</v>
      </c>
      <c r="P1097" t="s">
        <v>1235</v>
      </c>
    </row>
    <row r="1098" spans="1:16" x14ac:dyDescent="0.25">
      <c r="A1098" t="s">
        <v>2783</v>
      </c>
      <c r="B1098" t="s">
        <v>2784</v>
      </c>
      <c r="C1098" t="s">
        <v>1233</v>
      </c>
      <c r="D1098" t="s">
        <v>1027</v>
      </c>
      <c r="E1098">
        <v>63762</v>
      </c>
      <c r="F1098" t="s">
        <v>1234</v>
      </c>
      <c r="G1098" t="b">
        <v>0</v>
      </c>
      <c r="H1098" t="b">
        <v>0</v>
      </c>
      <c r="I1098" t="s">
        <v>1050</v>
      </c>
      <c r="J1098">
        <v>80</v>
      </c>
      <c r="K1098" t="s">
        <v>0</v>
      </c>
      <c r="L1098" t="s">
        <v>1167</v>
      </c>
      <c r="M1098" t="s">
        <v>1168</v>
      </c>
      <c r="N1098" t="s">
        <v>1169</v>
      </c>
      <c r="O1098" t="s">
        <v>1168</v>
      </c>
      <c r="P1098" t="s">
        <v>1235</v>
      </c>
    </row>
    <row r="1099" spans="1:16" x14ac:dyDescent="0.25">
      <c r="A1099" t="s">
        <v>2785</v>
      </c>
      <c r="B1099" t="s">
        <v>2786</v>
      </c>
      <c r="C1099" t="s">
        <v>1233</v>
      </c>
      <c r="D1099" t="s">
        <v>1027</v>
      </c>
      <c r="E1099">
        <v>63762</v>
      </c>
      <c r="F1099" t="s">
        <v>1234</v>
      </c>
      <c r="G1099" t="b">
        <v>0</v>
      </c>
      <c r="H1099" t="b">
        <v>0</v>
      </c>
      <c r="I1099" t="s">
        <v>1050</v>
      </c>
      <c r="J1099">
        <v>80</v>
      </c>
      <c r="K1099" t="s">
        <v>0</v>
      </c>
      <c r="L1099" t="s">
        <v>1167</v>
      </c>
      <c r="M1099" t="s">
        <v>1168</v>
      </c>
      <c r="N1099" t="s">
        <v>1169</v>
      </c>
      <c r="O1099" t="s">
        <v>1168</v>
      </c>
      <c r="P1099" t="s">
        <v>1235</v>
      </c>
    </row>
    <row r="1100" spans="1:16" x14ac:dyDescent="0.25">
      <c r="A1100" t="s">
        <v>2787</v>
      </c>
      <c r="B1100" t="s">
        <v>2788</v>
      </c>
      <c r="C1100" t="s">
        <v>1233</v>
      </c>
      <c r="D1100" t="s">
        <v>1027</v>
      </c>
      <c r="E1100">
        <v>63762</v>
      </c>
      <c r="F1100" t="s">
        <v>1234</v>
      </c>
      <c r="G1100" t="b">
        <v>0</v>
      </c>
      <c r="H1100" t="b">
        <v>0</v>
      </c>
      <c r="I1100" t="s">
        <v>1050</v>
      </c>
      <c r="J1100">
        <v>80</v>
      </c>
      <c r="K1100" t="s">
        <v>0</v>
      </c>
      <c r="L1100" t="s">
        <v>1167</v>
      </c>
      <c r="M1100" t="s">
        <v>1168</v>
      </c>
      <c r="N1100" t="s">
        <v>1169</v>
      </c>
      <c r="O1100" t="s">
        <v>1168</v>
      </c>
      <c r="P1100" t="s">
        <v>1235</v>
      </c>
    </row>
    <row r="1101" spans="1:16" x14ac:dyDescent="0.25">
      <c r="A1101" t="s">
        <v>2789</v>
      </c>
      <c r="B1101" t="s">
        <v>2790</v>
      </c>
      <c r="C1101" t="s">
        <v>1233</v>
      </c>
      <c r="D1101" t="s">
        <v>1027</v>
      </c>
      <c r="E1101">
        <v>63762</v>
      </c>
      <c r="F1101" t="s">
        <v>1234</v>
      </c>
      <c r="G1101" t="b">
        <v>0</v>
      </c>
      <c r="H1101" t="b">
        <v>0</v>
      </c>
      <c r="I1101" t="s">
        <v>1050</v>
      </c>
      <c r="J1101">
        <v>80</v>
      </c>
      <c r="K1101" t="s">
        <v>0</v>
      </c>
      <c r="L1101" t="s">
        <v>1167</v>
      </c>
      <c r="M1101" t="s">
        <v>1168</v>
      </c>
      <c r="N1101" t="s">
        <v>1169</v>
      </c>
      <c r="O1101" t="s">
        <v>1168</v>
      </c>
      <c r="P1101" t="s">
        <v>1235</v>
      </c>
    </row>
    <row r="1102" spans="1:16" x14ac:dyDescent="0.25">
      <c r="A1102" t="s">
        <v>2791</v>
      </c>
      <c r="B1102" t="s">
        <v>2792</v>
      </c>
      <c r="C1102" t="s">
        <v>1233</v>
      </c>
      <c r="D1102" t="s">
        <v>1027</v>
      </c>
      <c r="E1102">
        <v>63762</v>
      </c>
      <c r="F1102" t="s">
        <v>1234</v>
      </c>
      <c r="G1102" t="b">
        <v>0</v>
      </c>
      <c r="H1102" t="b">
        <v>0</v>
      </c>
      <c r="I1102" t="s">
        <v>1050</v>
      </c>
      <c r="J1102">
        <v>80</v>
      </c>
      <c r="K1102" t="s">
        <v>0</v>
      </c>
      <c r="L1102" t="s">
        <v>1167</v>
      </c>
      <c r="M1102" t="s">
        <v>1168</v>
      </c>
      <c r="N1102" t="s">
        <v>1169</v>
      </c>
      <c r="O1102" t="s">
        <v>1168</v>
      </c>
      <c r="P1102" t="s">
        <v>1235</v>
      </c>
    </row>
    <row r="1103" spans="1:16" x14ac:dyDescent="0.25">
      <c r="A1103" t="s">
        <v>2793</v>
      </c>
      <c r="B1103" t="s">
        <v>2794</v>
      </c>
      <c r="C1103" t="s">
        <v>1571</v>
      </c>
      <c r="D1103" t="s">
        <v>1027</v>
      </c>
      <c r="E1103">
        <v>63767</v>
      </c>
      <c r="G1103" t="b">
        <v>0</v>
      </c>
      <c r="H1103" t="b">
        <v>0</v>
      </c>
      <c r="I1103" t="s">
        <v>1050</v>
      </c>
      <c r="J1103">
        <v>80</v>
      </c>
      <c r="K1103" t="s">
        <v>0</v>
      </c>
      <c r="L1103" t="s">
        <v>1167</v>
      </c>
      <c r="M1103" t="s">
        <v>1168</v>
      </c>
      <c r="N1103" t="s">
        <v>1169</v>
      </c>
      <c r="O1103" t="s">
        <v>1168</v>
      </c>
      <c r="P1103" t="s">
        <v>1283</v>
      </c>
    </row>
    <row r="1104" spans="1:16" x14ac:dyDescent="0.25">
      <c r="A1104" t="s">
        <v>2795</v>
      </c>
      <c r="B1104" t="s">
        <v>2796</v>
      </c>
      <c r="C1104" t="s">
        <v>1571</v>
      </c>
      <c r="D1104" t="s">
        <v>1027</v>
      </c>
      <c r="E1104">
        <v>63767</v>
      </c>
      <c r="G1104" t="b">
        <v>0</v>
      </c>
      <c r="H1104" t="b">
        <v>0</v>
      </c>
      <c r="I1104" t="s">
        <v>1050</v>
      </c>
      <c r="J1104">
        <v>87</v>
      </c>
      <c r="K1104" t="s">
        <v>0</v>
      </c>
      <c r="L1104" t="s">
        <v>1167</v>
      </c>
      <c r="M1104" t="s">
        <v>1168</v>
      </c>
      <c r="N1104" t="s">
        <v>1169</v>
      </c>
      <c r="O1104" t="s">
        <v>1168</v>
      </c>
      <c r="P1104" t="s">
        <v>1283</v>
      </c>
    </row>
    <row r="1105" spans="1:16" x14ac:dyDescent="0.25">
      <c r="A1105" t="s">
        <v>2797</v>
      </c>
      <c r="B1105" t="s">
        <v>2798</v>
      </c>
      <c r="C1105" t="s">
        <v>1571</v>
      </c>
      <c r="D1105" t="s">
        <v>1027</v>
      </c>
      <c r="E1105">
        <v>63767</v>
      </c>
      <c r="G1105" t="b">
        <v>0</v>
      </c>
      <c r="H1105" t="b">
        <v>0</v>
      </c>
      <c r="I1105" t="s">
        <v>1050</v>
      </c>
      <c r="J1105">
        <v>87</v>
      </c>
      <c r="K1105" t="s">
        <v>0</v>
      </c>
      <c r="L1105" t="s">
        <v>1167</v>
      </c>
      <c r="M1105" t="s">
        <v>1168</v>
      </c>
      <c r="N1105" t="s">
        <v>1169</v>
      </c>
      <c r="O1105" t="s">
        <v>1168</v>
      </c>
      <c r="P1105" t="s">
        <v>1283</v>
      </c>
    </row>
    <row r="1106" spans="1:16" x14ac:dyDescent="0.25">
      <c r="A1106" t="s">
        <v>2799</v>
      </c>
      <c r="B1106" t="s">
        <v>2800</v>
      </c>
      <c r="C1106" t="s">
        <v>1571</v>
      </c>
      <c r="D1106" t="s">
        <v>1027</v>
      </c>
      <c r="E1106">
        <v>63767</v>
      </c>
      <c r="G1106" t="b">
        <v>0</v>
      </c>
      <c r="H1106" t="b">
        <v>0</v>
      </c>
      <c r="I1106" t="s">
        <v>1050</v>
      </c>
      <c r="J1106">
        <v>87</v>
      </c>
      <c r="K1106" t="s">
        <v>0</v>
      </c>
      <c r="L1106" t="s">
        <v>1167</v>
      </c>
      <c r="M1106" t="s">
        <v>1168</v>
      </c>
      <c r="N1106" t="s">
        <v>1169</v>
      </c>
      <c r="O1106" t="s">
        <v>1168</v>
      </c>
      <c r="P1106" t="s">
        <v>1283</v>
      </c>
    </row>
    <row r="1107" spans="1:16" x14ac:dyDescent="0.25">
      <c r="A1107" t="s">
        <v>2801</v>
      </c>
      <c r="B1107" t="s">
        <v>2802</v>
      </c>
      <c r="C1107" t="s">
        <v>1571</v>
      </c>
      <c r="D1107" t="s">
        <v>1027</v>
      </c>
      <c r="E1107">
        <v>63767</v>
      </c>
      <c r="G1107" t="b">
        <v>0</v>
      </c>
      <c r="H1107" t="b">
        <v>0</v>
      </c>
      <c r="I1107" t="s">
        <v>1050</v>
      </c>
      <c r="J1107">
        <v>87</v>
      </c>
      <c r="K1107" t="s">
        <v>0</v>
      </c>
      <c r="L1107" t="s">
        <v>1167</v>
      </c>
      <c r="M1107" t="s">
        <v>1168</v>
      </c>
      <c r="N1107" t="s">
        <v>1169</v>
      </c>
      <c r="O1107" t="s">
        <v>1168</v>
      </c>
      <c r="P1107" t="s">
        <v>1283</v>
      </c>
    </row>
    <row r="1108" spans="1:16" x14ac:dyDescent="0.25">
      <c r="A1108" t="s">
        <v>2803</v>
      </c>
      <c r="B1108" t="s">
        <v>2804</v>
      </c>
      <c r="C1108" t="s">
        <v>1233</v>
      </c>
      <c r="D1108" t="s">
        <v>1027</v>
      </c>
      <c r="E1108">
        <v>63762</v>
      </c>
      <c r="F1108" t="s">
        <v>1234</v>
      </c>
      <c r="G1108" t="b">
        <v>0</v>
      </c>
      <c r="H1108" t="b">
        <v>0</v>
      </c>
      <c r="I1108" t="s">
        <v>1050</v>
      </c>
      <c r="J1108">
        <v>88</v>
      </c>
      <c r="K1108" t="s">
        <v>0</v>
      </c>
      <c r="L1108" t="s">
        <v>1167</v>
      </c>
      <c r="M1108" t="s">
        <v>1168</v>
      </c>
      <c r="N1108" t="s">
        <v>1169</v>
      </c>
      <c r="O1108" t="s">
        <v>1168</v>
      </c>
      <c r="P1108" t="s">
        <v>1235</v>
      </c>
    </row>
    <row r="1109" spans="1:16" x14ac:dyDescent="0.25">
      <c r="A1109" t="s">
        <v>2805</v>
      </c>
      <c r="B1109" t="s">
        <v>2806</v>
      </c>
      <c r="C1109" t="s">
        <v>1233</v>
      </c>
      <c r="D1109" t="s">
        <v>1027</v>
      </c>
      <c r="E1109">
        <v>63762</v>
      </c>
      <c r="F1109" t="s">
        <v>1234</v>
      </c>
      <c r="G1109" t="b">
        <v>0</v>
      </c>
      <c r="H1109" t="b">
        <v>0</v>
      </c>
      <c r="I1109" t="s">
        <v>1050</v>
      </c>
      <c r="J1109">
        <v>89</v>
      </c>
      <c r="K1109" t="s">
        <v>0</v>
      </c>
      <c r="L1109" t="s">
        <v>1167</v>
      </c>
      <c r="M1109" t="s">
        <v>1168</v>
      </c>
      <c r="N1109" t="s">
        <v>1169</v>
      </c>
      <c r="O1109" t="s">
        <v>1168</v>
      </c>
      <c r="P1109" t="s">
        <v>1235</v>
      </c>
    </row>
    <row r="1110" spans="1:16" x14ac:dyDescent="0.25">
      <c r="A1110" t="s">
        <v>2807</v>
      </c>
      <c r="B1110" t="s">
        <v>2808</v>
      </c>
      <c r="C1110" t="s">
        <v>1233</v>
      </c>
      <c r="D1110" t="s">
        <v>1027</v>
      </c>
      <c r="E1110">
        <v>63762</v>
      </c>
      <c r="F1110" t="s">
        <v>1234</v>
      </c>
      <c r="G1110" t="b">
        <v>0</v>
      </c>
      <c r="H1110" t="b">
        <v>0</v>
      </c>
      <c r="I1110" t="s">
        <v>1050</v>
      </c>
      <c r="J1110">
        <v>88</v>
      </c>
      <c r="K1110" t="s">
        <v>0</v>
      </c>
      <c r="L1110" t="s">
        <v>1167</v>
      </c>
      <c r="M1110" t="s">
        <v>1168</v>
      </c>
      <c r="N1110" t="s">
        <v>1169</v>
      </c>
      <c r="O1110" t="s">
        <v>1168</v>
      </c>
      <c r="P1110" t="s">
        <v>1235</v>
      </c>
    </row>
    <row r="1111" spans="1:16" x14ac:dyDescent="0.25">
      <c r="A1111" t="s">
        <v>2809</v>
      </c>
      <c r="B1111" t="s">
        <v>2810</v>
      </c>
      <c r="C1111" t="s">
        <v>1233</v>
      </c>
      <c r="D1111" t="s">
        <v>1027</v>
      </c>
      <c r="E1111">
        <v>63762</v>
      </c>
      <c r="F1111" t="s">
        <v>1234</v>
      </c>
      <c r="G1111" t="b">
        <v>0</v>
      </c>
      <c r="H1111" t="b">
        <v>0</v>
      </c>
      <c r="I1111" t="s">
        <v>1050</v>
      </c>
      <c r="J1111">
        <v>88</v>
      </c>
      <c r="K1111" t="s">
        <v>0</v>
      </c>
      <c r="L1111" t="s">
        <v>1167</v>
      </c>
      <c r="M1111" t="s">
        <v>1168</v>
      </c>
      <c r="N1111" t="s">
        <v>1169</v>
      </c>
      <c r="O1111" t="s">
        <v>1168</v>
      </c>
      <c r="P1111" t="s">
        <v>1235</v>
      </c>
    </row>
    <row r="1112" spans="1:16" x14ac:dyDescent="0.25">
      <c r="A1112" t="s">
        <v>2811</v>
      </c>
      <c r="B1112" t="s">
        <v>2812</v>
      </c>
      <c r="C1112" t="s">
        <v>1233</v>
      </c>
      <c r="D1112" t="s">
        <v>1027</v>
      </c>
      <c r="E1112">
        <v>63762</v>
      </c>
      <c r="F1112" t="s">
        <v>1234</v>
      </c>
      <c r="G1112" t="b">
        <v>0</v>
      </c>
      <c r="H1112" t="b">
        <v>0</v>
      </c>
      <c r="I1112" t="s">
        <v>1050</v>
      </c>
      <c r="J1112">
        <v>88</v>
      </c>
      <c r="K1112" t="s">
        <v>0</v>
      </c>
      <c r="L1112" t="s">
        <v>1167</v>
      </c>
      <c r="M1112" t="s">
        <v>1168</v>
      </c>
      <c r="N1112" t="s">
        <v>1169</v>
      </c>
      <c r="O1112" t="s">
        <v>1168</v>
      </c>
      <c r="P1112" t="s">
        <v>1235</v>
      </c>
    </row>
    <row r="1113" spans="1:16" x14ac:dyDescent="0.25">
      <c r="A1113" t="s">
        <v>2813</v>
      </c>
      <c r="B1113" t="s">
        <v>2814</v>
      </c>
      <c r="C1113" t="s">
        <v>1233</v>
      </c>
      <c r="D1113" t="s">
        <v>1027</v>
      </c>
      <c r="E1113">
        <v>63762</v>
      </c>
      <c r="F1113" t="s">
        <v>1234</v>
      </c>
      <c r="G1113" t="b">
        <v>0</v>
      </c>
      <c r="H1113" t="b">
        <v>0</v>
      </c>
      <c r="I1113" t="s">
        <v>1050</v>
      </c>
      <c r="J1113">
        <v>88</v>
      </c>
      <c r="K1113" t="s">
        <v>0</v>
      </c>
      <c r="L1113" t="s">
        <v>1167</v>
      </c>
      <c r="M1113" t="s">
        <v>1168</v>
      </c>
      <c r="N1113" t="s">
        <v>1169</v>
      </c>
      <c r="O1113" t="s">
        <v>1168</v>
      </c>
      <c r="P1113" t="s">
        <v>1235</v>
      </c>
    </row>
    <row r="1114" spans="1:16" x14ac:dyDescent="0.25">
      <c r="A1114" t="s">
        <v>2815</v>
      </c>
      <c r="B1114" t="s">
        <v>2816</v>
      </c>
      <c r="C1114" t="s">
        <v>1233</v>
      </c>
      <c r="D1114" t="s">
        <v>1027</v>
      </c>
      <c r="E1114">
        <v>63762</v>
      </c>
      <c r="F1114" t="s">
        <v>1234</v>
      </c>
      <c r="G1114" t="b">
        <v>0</v>
      </c>
      <c r="H1114" t="b">
        <v>0</v>
      </c>
      <c r="I1114" t="s">
        <v>1050</v>
      </c>
      <c r="J1114">
        <v>88</v>
      </c>
      <c r="K1114" t="s">
        <v>0</v>
      </c>
      <c r="L1114" t="s">
        <v>1167</v>
      </c>
      <c r="M1114" t="s">
        <v>1168</v>
      </c>
      <c r="N1114" t="s">
        <v>1169</v>
      </c>
      <c r="O1114" t="s">
        <v>1168</v>
      </c>
      <c r="P1114" t="s">
        <v>1235</v>
      </c>
    </row>
    <row r="1115" spans="1:16" x14ac:dyDescent="0.25">
      <c r="A1115" t="s">
        <v>2817</v>
      </c>
      <c r="B1115" t="s">
        <v>2818</v>
      </c>
      <c r="C1115" t="s">
        <v>1228</v>
      </c>
      <c r="D1115" t="s">
        <v>1027</v>
      </c>
      <c r="E1115">
        <v>1660</v>
      </c>
      <c r="F1115" t="s">
        <v>1229</v>
      </c>
      <c r="G1115" t="b">
        <v>0</v>
      </c>
      <c r="H1115" t="b">
        <v>0</v>
      </c>
      <c r="I1115" t="s">
        <v>1050</v>
      </c>
      <c r="J1115">
        <v>85</v>
      </c>
      <c r="K1115" t="s">
        <v>2</v>
      </c>
      <c r="L1115" t="s">
        <v>1167</v>
      </c>
      <c r="M1115" t="s">
        <v>1168</v>
      </c>
      <c r="N1115" t="s">
        <v>1169</v>
      </c>
      <c r="O1115" t="s">
        <v>1168</v>
      </c>
      <c r="P1115" t="s">
        <v>1230</v>
      </c>
    </row>
    <row r="1116" spans="1:16" x14ac:dyDescent="0.25">
      <c r="A1116" t="s">
        <v>2819</v>
      </c>
      <c r="B1116" t="s">
        <v>2820</v>
      </c>
      <c r="C1116" t="s">
        <v>1571</v>
      </c>
      <c r="D1116" t="s">
        <v>1027</v>
      </c>
      <c r="E1116">
        <v>63767</v>
      </c>
      <c r="G1116" t="b">
        <v>0</v>
      </c>
      <c r="H1116" t="b">
        <v>0</v>
      </c>
      <c r="I1116" t="s">
        <v>1050</v>
      </c>
      <c r="J1116">
        <v>80</v>
      </c>
      <c r="K1116" t="s">
        <v>0</v>
      </c>
      <c r="L1116" t="s">
        <v>1167</v>
      </c>
      <c r="M1116" t="s">
        <v>1168</v>
      </c>
      <c r="N1116" t="s">
        <v>1169</v>
      </c>
      <c r="O1116" t="s">
        <v>1168</v>
      </c>
      <c r="P1116" t="s">
        <v>1283</v>
      </c>
    </row>
    <row r="1117" spans="1:16" x14ac:dyDescent="0.25">
      <c r="A1117" t="s">
        <v>2821</v>
      </c>
      <c r="B1117" t="s">
        <v>2822</v>
      </c>
      <c r="C1117" t="s">
        <v>1571</v>
      </c>
      <c r="D1117" t="s">
        <v>1027</v>
      </c>
      <c r="E1117">
        <v>63767</v>
      </c>
      <c r="G1117" t="b">
        <v>0</v>
      </c>
      <c r="H1117" t="b">
        <v>0</v>
      </c>
      <c r="I1117" t="s">
        <v>1050</v>
      </c>
      <c r="J1117">
        <v>80</v>
      </c>
      <c r="K1117" t="s">
        <v>0</v>
      </c>
      <c r="L1117" t="s">
        <v>1167</v>
      </c>
      <c r="M1117" t="s">
        <v>1168</v>
      </c>
      <c r="N1117" t="s">
        <v>1169</v>
      </c>
      <c r="O1117" t="s">
        <v>1168</v>
      </c>
      <c r="P1117" t="s">
        <v>1283</v>
      </c>
    </row>
    <row r="1118" spans="1:16" x14ac:dyDescent="0.25">
      <c r="A1118" t="s">
        <v>2823</v>
      </c>
      <c r="B1118" t="s">
        <v>2824</v>
      </c>
      <c r="C1118" t="s">
        <v>1571</v>
      </c>
      <c r="D1118" t="s">
        <v>1027</v>
      </c>
      <c r="E1118">
        <v>63767</v>
      </c>
      <c r="G1118" t="b">
        <v>0</v>
      </c>
      <c r="H1118" t="b">
        <v>0</v>
      </c>
      <c r="I1118" t="s">
        <v>1050</v>
      </c>
      <c r="J1118">
        <v>80</v>
      </c>
      <c r="K1118" t="s">
        <v>0</v>
      </c>
      <c r="L1118" t="s">
        <v>1167</v>
      </c>
      <c r="M1118" t="s">
        <v>1168</v>
      </c>
      <c r="N1118" t="s">
        <v>1169</v>
      </c>
      <c r="O1118" t="s">
        <v>1168</v>
      </c>
      <c r="P1118" t="s">
        <v>1283</v>
      </c>
    </row>
    <row r="1119" spans="1:16" x14ac:dyDescent="0.25">
      <c r="A1119" t="s">
        <v>2825</v>
      </c>
      <c r="B1119" t="s">
        <v>2826</v>
      </c>
      <c r="C1119" t="s">
        <v>1571</v>
      </c>
      <c r="D1119" t="s">
        <v>1027</v>
      </c>
      <c r="E1119">
        <v>63767</v>
      </c>
      <c r="G1119" t="b">
        <v>0</v>
      </c>
      <c r="H1119" t="b">
        <v>0</v>
      </c>
      <c r="I1119" t="s">
        <v>1050</v>
      </c>
      <c r="J1119">
        <v>80</v>
      </c>
      <c r="K1119" t="s">
        <v>0</v>
      </c>
      <c r="L1119" t="s">
        <v>1167</v>
      </c>
      <c r="M1119" t="s">
        <v>1168</v>
      </c>
      <c r="N1119" t="s">
        <v>1169</v>
      </c>
      <c r="O1119" t="s">
        <v>1168</v>
      </c>
      <c r="P1119" t="s">
        <v>1283</v>
      </c>
    </row>
    <row r="1120" spans="1:16" x14ac:dyDescent="0.25">
      <c r="A1120" t="s">
        <v>2827</v>
      </c>
      <c r="B1120" t="s">
        <v>2828</v>
      </c>
      <c r="C1120" t="s">
        <v>1571</v>
      </c>
      <c r="D1120" t="s">
        <v>1027</v>
      </c>
      <c r="E1120">
        <v>63767</v>
      </c>
      <c r="G1120" t="b">
        <v>0</v>
      </c>
      <c r="H1120" t="b">
        <v>0</v>
      </c>
      <c r="I1120" t="s">
        <v>1050</v>
      </c>
      <c r="J1120">
        <v>80</v>
      </c>
      <c r="K1120" t="s">
        <v>0</v>
      </c>
      <c r="L1120" t="s">
        <v>1167</v>
      </c>
      <c r="M1120" t="s">
        <v>1168</v>
      </c>
      <c r="N1120" t="s">
        <v>1169</v>
      </c>
      <c r="O1120" t="s">
        <v>1168</v>
      </c>
      <c r="P1120" t="s">
        <v>1283</v>
      </c>
    </row>
    <row r="1121" spans="1:16" x14ac:dyDescent="0.25">
      <c r="A1121" t="s">
        <v>2829</v>
      </c>
      <c r="B1121" t="s">
        <v>2830</v>
      </c>
      <c r="C1121" t="s">
        <v>1571</v>
      </c>
      <c r="D1121" t="s">
        <v>1027</v>
      </c>
      <c r="E1121">
        <v>63767</v>
      </c>
      <c r="G1121" t="b">
        <v>0</v>
      </c>
      <c r="H1121" t="b">
        <v>0</v>
      </c>
      <c r="I1121" t="s">
        <v>1050</v>
      </c>
      <c r="J1121">
        <v>80</v>
      </c>
      <c r="K1121" t="s">
        <v>0</v>
      </c>
      <c r="L1121" t="s">
        <v>1167</v>
      </c>
      <c r="M1121" t="s">
        <v>1168</v>
      </c>
      <c r="N1121" t="s">
        <v>1169</v>
      </c>
      <c r="O1121" t="s">
        <v>1168</v>
      </c>
      <c r="P1121" t="s">
        <v>1283</v>
      </c>
    </row>
    <row r="1122" spans="1:16" x14ac:dyDescent="0.25">
      <c r="A1122" t="s">
        <v>2831</v>
      </c>
      <c r="B1122" t="s">
        <v>2832</v>
      </c>
      <c r="C1122" t="s">
        <v>1571</v>
      </c>
      <c r="D1122" t="s">
        <v>1027</v>
      </c>
      <c r="E1122">
        <v>63767</v>
      </c>
      <c r="G1122" t="b">
        <v>0</v>
      </c>
      <c r="H1122" t="b">
        <v>0</v>
      </c>
      <c r="I1122" t="s">
        <v>1050</v>
      </c>
      <c r="J1122">
        <v>80</v>
      </c>
      <c r="K1122" t="s">
        <v>0</v>
      </c>
      <c r="L1122" t="s">
        <v>1167</v>
      </c>
      <c r="M1122" t="s">
        <v>1168</v>
      </c>
      <c r="N1122" t="s">
        <v>1169</v>
      </c>
      <c r="O1122" t="s">
        <v>1168</v>
      </c>
      <c r="P1122" t="s">
        <v>1283</v>
      </c>
    </row>
    <row r="1123" spans="1:16" x14ac:dyDescent="0.25">
      <c r="A1123" t="s">
        <v>2833</v>
      </c>
      <c r="B1123" t="s">
        <v>2834</v>
      </c>
      <c r="C1123" t="s">
        <v>2026</v>
      </c>
      <c r="D1123" t="s">
        <v>1027</v>
      </c>
      <c r="E1123">
        <v>1336</v>
      </c>
      <c r="F1123" t="s">
        <v>2027</v>
      </c>
      <c r="G1123" t="b">
        <v>0</v>
      </c>
      <c r="H1123" t="b">
        <v>0</v>
      </c>
      <c r="I1123" t="s">
        <v>1050</v>
      </c>
      <c r="J1123">
        <v>80</v>
      </c>
      <c r="K1123" t="s">
        <v>0</v>
      </c>
      <c r="L1123" t="s">
        <v>1167</v>
      </c>
      <c r="M1123" t="s">
        <v>1168</v>
      </c>
      <c r="N1123" t="s">
        <v>1169</v>
      </c>
      <c r="O1123" t="s">
        <v>1168</v>
      </c>
      <c r="P1123" t="s">
        <v>2028</v>
      </c>
    </row>
    <row r="1124" spans="1:16" x14ac:dyDescent="0.25">
      <c r="A1124" t="s">
        <v>2835</v>
      </c>
      <c r="B1124" t="s">
        <v>2836</v>
      </c>
      <c r="C1124" t="s">
        <v>1233</v>
      </c>
      <c r="D1124" t="s">
        <v>1027</v>
      </c>
      <c r="E1124">
        <v>63762</v>
      </c>
      <c r="F1124" t="s">
        <v>1234</v>
      </c>
      <c r="G1124" t="b">
        <v>0</v>
      </c>
      <c r="H1124" t="b">
        <v>0</v>
      </c>
      <c r="I1124" t="s">
        <v>1050</v>
      </c>
      <c r="J1124">
        <v>80</v>
      </c>
      <c r="K1124" t="s">
        <v>0</v>
      </c>
      <c r="L1124" t="s">
        <v>1167</v>
      </c>
      <c r="M1124" t="s">
        <v>1168</v>
      </c>
      <c r="N1124" t="s">
        <v>1169</v>
      </c>
      <c r="O1124" t="s">
        <v>1168</v>
      </c>
      <c r="P1124" t="s">
        <v>1235</v>
      </c>
    </row>
    <row r="1125" spans="1:16" x14ac:dyDescent="0.25">
      <c r="A1125" t="s">
        <v>2837</v>
      </c>
      <c r="B1125" t="s">
        <v>2838</v>
      </c>
      <c r="C1125" t="s">
        <v>1571</v>
      </c>
      <c r="D1125" t="s">
        <v>1027</v>
      </c>
      <c r="E1125">
        <v>63767</v>
      </c>
      <c r="G1125" t="b">
        <v>0</v>
      </c>
      <c r="H1125" t="b">
        <v>0</v>
      </c>
      <c r="I1125" t="s">
        <v>1050</v>
      </c>
      <c r="J1125">
        <v>80</v>
      </c>
      <c r="K1125" t="s">
        <v>0</v>
      </c>
      <c r="L1125" t="s">
        <v>1167</v>
      </c>
      <c r="M1125" t="s">
        <v>1168</v>
      </c>
      <c r="N1125" t="s">
        <v>1169</v>
      </c>
      <c r="O1125" t="s">
        <v>1168</v>
      </c>
      <c r="P1125" t="s">
        <v>1283</v>
      </c>
    </row>
    <row r="1126" spans="1:16" x14ac:dyDescent="0.25">
      <c r="A1126" t="s">
        <v>2839</v>
      </c>
      <c r="B1126" t="s">
        <v>2840</v>
      </c>
      <c r="C1126" t="s">
        <v>1571</v>
      </c>
      <c r="D1126" t="s">
        <v>1027</v>
      </c>
      <c r="E1126">
        <v>63767</v>
      </c>
      <c r="G1126" t="b">
        <v>0</v>
      </c>
      <c r="H1126" t="b">
        <v>0</v>
      </c>
      <c r="I1126" t="s">
        <v>1050</v>
      </c>
      <c r="J1126">
        <v>80</v>
      </c>
      <c r="K1126" t="s">
        <v>0</v>
      </c>
      <c r="L1126" t="s">
        <v>1167</v>
      </c>
      <c r="M1126" t="s">
        <v>1168</v>
      </c>
      <c r="N1126" t="s">
        <v>1169</v>
      </c>
      <c r="O1126" t="s">
        <v>1168</v>
      </c>
      <c r="P1126" t="s">
        <v>1283</v>
      </c>
    </row>
    <row r="1127" spans="1:16" x14ac:dyDescent="0.25">
      <c r="A1127" t="s">
        <v>2841</v>
      </c>
      <c r="B1127" t="s">
        <v>2842</v>
      </c>
      <c r="C1127" t="s">
        <v>1571</v>
      </c>
      <c r="D1127" t="s">
        <v>1027</v>
      </c>
      <c r="E1127">
        <v>63767</v>
      </c>
      <c r="G1127" t="b">
        <v>0</v>
      </c>
      <c r="H1127" t="b">
        <v>0</v>
      </c>
      <c r="I1127" t="s">
        <v>1050</v>
      </c>
      <c r="J1127">
        <v>80</v>
      </c>
      <c r="K1127" t="s">
        <v>0</v>
      </c>
      <c r="L1127" t="s">
        <v>1167</v>
      </c>
      <c r="M1127" t="s">
        <v>1168</v>
      </c>
      <c r="N1127" t="s">
        <v>1169</v>
      </c>
      <c r="O1127" t="s">
        <v>1168</v>
      </c>
      <c r="P1127" t="s">
        <v>1283</v>
      </c>
    </row>
    <row r="1128" spans="1:16" x14ac:dyDescent="0.25">
      <c r="A1128" t="s">
        <v>2843</v>
      </c>
      <c r="B1128" t="s">
        <v>2844</v>
      </c>
      <c r="C1128" t="s">
        <v>1571</v>
      </c>
      <c r="D1128" t="s">
        <v>1027</v>
      </c>
      <c r="E1128">
        <v>63767</v>
      </c>
      <c r="G1128" t="b">
        <v>0</v>
      </c>
      <c r="H1128" t="b">
        <v>0</v>
      </c>
      <c r="I1128" t="s">
        <v>1050</v>
      </c>
      <c r="J1128">
        <v>80</v>
      </c>
      <c r="K1128" t="s">
        <v>0</v>
      </c>
      <c r="L1128" t="s">
        <v>1167</v>
      </c>
      <c r="M1128" t="s">
        <v>1168</v>
      </c>
      <c r="N1128" t="s">
        <v>1169</v>
      </c>
      <c r="O1128" t="s">
        <v>1168</v>
      </c>
      <c r="P1128" t="s">
        <v>1283</v>
      </c>
    </row>
    <row r="1129" spans="1:16" x14ac:dyDescent="0.25">
      <c r="A1129" t="s">
        <v>2845</v>
      </c>
      <c r="B1129" t="s">
        <v>2846</v>
      </c>
      <c r="C1129" t="s">
        <v>1571</v>
      </c>
      <c r="D1129" t="s">
        <v>1027</v>
      </c>
      <c r="E1129">
        <v>63767</v>
      </c>
      <c r="G1129" t="b">
        <v>0</v>
      </c>
      <c r="H1129" t="b">
        <v>0</v>
      </c>
      <c r="I1129" t="s">
        <v>1050</v>
      </c>
      <c r="J1129">
        <v>80</v>
      </c>
      <c r="K1129" t="s">
        <v>0</v>
      </c>
      <c r="L1129" t="s">
        <v>1167</v>
      </c>
      <c r="M1129" t="s">
        <v>1168</v>
      </c>
      <c r="N1129" t="s">
        <v>1169</v>
      </c>
      <c r="O1129" t="s">
        <v>1168</v>
      </c>
      <c r="P1129" t="s">
        <v>1283</v>
      </c>
    </row>
    <row r="1130" spans="1:16" x14ac:dyDescent="0.25">
      <c r="A1130" t="s">
        <v>2847</v>
      </c>
      <c r="B1130" t="s">
        <v>2848</v>
      </c>
      <c r="C1130" t="s">
        <v>1571</v>
      </c>
      <c r="D1130" t="s">
        <v>1027</v>
      </c>
      <c r="E1130">
        <v>63767</v>
      </c>
      <c r="G1130" t="b">
        <v>0</v>
      </c>
      <c r="H1130" t="b">
        <v>0</v>
      </c>
      <c r="I1130" t="s">
        <v>1050</v>
      </c>
      <c r="J1130">
        <v>80</v>
      </c>
      <c r="K1130" t="s">
        <v>0</v>
      </c>
      <c r="L1130" t="s">
        <v>1167</v>
      </c>
      <c r="M1130" t="s">
        <v>1168</v>
      </c>
      <c r="N1130" t="s">
        <v>1169</v>
      </c>
      <c r="O1130" t="s">
        <v>1168</v>
      </c>
      <c r="P1130" t="s">
        <v>1283</v>
      </c>
    </row>
    <row r="1131" spans="1:16" x14ac:dyDescent="0.25">
      <c r="A1131" t="s">
        <v>2849</v>
      </c>
      <c r="B1131" t="s">
        <v>2850</v>
      </c>
      <c r="C1131" t="s">
        <v>1233</v>
      </c>
      <c r="D1131" t="s">
        <v>1027</v>
      </c>
      <c r="E1131">
        <v>63762</v>
      </c>
      <c r="F1131" t="s">
        <v>1234</v>
      </c>
      <c r="G1131" t="b">
        <v>0</v>
      </c>
      <c r="H1131" t="b">
        <v>0</v>
      </c>
      <c r="I1131" t="s">
        <v>1050</v>
      </c>
      <c r="J1131">
        <v>80</v>
      </c>
      <c r="K1131" t="s">
        <v>0</v>
      </c>
      <c r="L1131" t="s">
        <v>1167</v>
      </c>
      <c r="M1131" t="s">
        <v>1168</v>
      </c>
      <c r="N1131" t="s">
        <v>1169</v>
      </c>
      <c r="O1131" t="s">
        <v>1168</v>
      </c>
      <c r="P1131" t="s">
        <v>1235</v>
      </c>
    </row>
    <row r="1132" spans="1:16" x14ac:dyDescent="0.25">
      <c r="A1132" t="s">
        <v>2851</v>
      </c>
      <c r="B1132" t="s">
        <v>2852</v>
      </c>
      <c r="C1132" t="s">
        <v>1571</v>
      </c>
      <c r="D1132" t="s">
        <v>1027</v>
      </c>
      <c r="E1132">
        <v>63767</v>
      </c>
      <c r="G1132" t="b">
        <v>0</v>
      </c>
      <c r="H1132" t="b">
        <v>0</v>
      </c>
      <c r="I1132" t="s">
        <v>1050</v>
      </c>
      <c r="J1132">
        <v>80</v>
      </c>
      <c r="K1132" t="s">
        <v>0</v>
      </c>
      <c r="L1132" t="s">
        <v>1167</v>
      </c>
      <c r="M1132" t="s">
        <v>1168</v>
      </c>
      <c r="N1132" t="s">
        <v>1169</v>
      </c>
      <c r="O1132" t="s">
        <v>1168</v>
      </c>
      <c r="P1132" t="s">
        <v>1283</v>
      </c>
    </row>
    <row r="1133" spans="1:16" x14ac:dyDescent="0.25">
      <c r="A1133" t="s">
        <v>2853</v>
      </c>
      <c r="B1133" t="s">
        <v>2854</v>
      </c>
      <c r="C1133" t="s">
        <v>1571</v>
      </c>
      <c r="D1133" t="s">
        <v>1027</v>
      </c>
      <c r="E1133">
        <v>63767</v>
      </c>
      <c r="G1133" t="b">
        <v>0</v>
      </c>
      <c r="H1133" t="b">
        <v>0</v>
      </c>
      <c r="I1133" t="s">
        <v>1050</v>
      </c>
      <c r="J1133">
        <v>80</v>
      </c>
      <c r="K1133" t="s">
        <v>0</v>
      </c>
      <c r="L1133" t="s">
        <v>1167</v>
      </c>
      <c r="M1133" t="s">
        <v>1168</v>
      </c>
      <c r="N1133" t="s">
        <v>1169</v>
      </c>
      <c r="O1133" t="s">
        <v>1168</v>
      </c>
      <c r="P1133" t="s">
        <v>1283</v>
      </c>
    </row>
    <row r="1134" spans="1:16" x14ac:dyDescent="0.25">
      <c r="A1134" t="s">
        <v>2855</v>
      </c>
      <c r="B1134" t="s">
        <v>2856</v>
      </c>
      <c r="C1134" t="s">
        <v>1571</v>
      </c>
      <c r="D1134" t="s">
        <v>1027</v>
      </c>
      <c r="E1134">
        <v>63767</v>
      </c>
      <c r="G1134" t="b">
        <v>0</v>
      </c>
      <c r="H1134" t="b">
        <v>0</v>
      </c>
      <c r="I1134" t="s">
        <v>1050</v>
      </c>
      <c r="J1134">
        <v>87</v>
      </c>
      <c r="K1134" t="s">
        <v>0</v>
      </c>
      <c r="L1134" t="s">
        <v>1167</v>
      </c>
      <c r="M1134" t="s">
        <v>1168</v>
      </c>
      <c r="N1134" t="s">
        <v>1169</v>
      </c>
      <c r="O1134" t="s">
        <v>1168</v>
      </c>
      <c r="P1134" t="s">
        <v>1283</v>
      </c>
    </row>
    <row r="1135" spans="1:16" x14ac:dyDescent="0.25">
      <c r="A1135" t="s">
        <v>2857</v>
      </c>
      <c r="B1135" t="s">
        <v>2858</v>
      </c>
      <c r="C1135" t="s">
        <v>2859</v>
      </c>
      <c r="D1135" t="s">
        <v>1027</v>
      </c>
      <c r="E1135">
        <v>1325</v>
      </c>
      <c r="F1135" t="s">
        <v>2860</v>
      </c>
      <c r="G1135" t="b">
        <v>0</v>
      </c>
      <c r="H1135" t="b">
        <v>0</v>
      </c>
      <c r="I1135" t="s">
        <v>1050</v>
      </c>
      <c r="J1135">
        <v>87</v>
      </c>
      <c r="K1135" t="s">
        <v>2</v>
      </c>
      <c r="L1135" t="s">
        <v>1547</v>
      </c>
      <c r="M1135" t="s">
        <v>1548</v>
      </c>
      <c r="N1135" t="s">
        <v>1549</v>
      </c>
      <c r="O1135" t="s">
        <v>1549</v>
      </c>
      <c r="P1135" t="s">
        <v>1550</v>
      </c>
    </row>
    <row r="1136" spans="1:16" x14ac:dyDescent="0.25">
      <c r="A1136" t="s">
        <v>2861</v>
      </c>
      <c r="B1136" t="s">
        <v>2862</v>
      </c>
      <c r="C1136" t="s">
        <v>2859</v>
      </c>
      <c r="D1136" t="s">
        <v>1027</v>
      </c>
      <c r="E1136">
        <v>1325</v>
      </c>
      <c r="F1136" t="s">
        <v>2860</v>
      </c>
      <c r="G1136" t="b">
        <v>0</v>
      </c>
      <c r="H1136" t="b">
        <v>0</v>
      </c>
      <c r="I1136" t="s">
        <v>1050</v>
      </c>
      <c r="J1136">
        <v>87</v>
      </c>
      <c r="K1136" t="s">
        <v>2</v>
      </c>
      <c r="L1136" t="s">
        <v>1547</v>
      </c>
      <c r="M1136" t="s">
        <v>1548</v>
      </c>
      <c r="N1136" t="s">
        <v>1549</v>
      </c>
      <c r="O1136" t="s">
        <v>1549</v>
      </c>
      <c r="P1136" t="s">
        <v>1550</v>
      </c>
    </row>
    <row r="1137" spans="1:16" x14ac:dyDescent="0.25">
      <c r="A1137" t="s">
        <v>2863</v>
      </c>
      <c r="B1137" t="s">
        <v>2864</v>
      </c>
      <c r="C1137" t="s">
        <v>1165</v>
      </c>
      <c r="D1137" t="s">
        <v>1027</v>
      </c>
      <c r="E1137">
        <v>63774</v>
      </c>
      <c r="F1137" t="s">
        <v>1166</v>
      </c>
      <c r="G1137" t="b">
        <v>0</v>
      </c>
      <c r="H1137" t="b">
        <v>0</v>
      </c>
      <c r="I1137" t="s">
        <v>1050</v>
      </c>
      <c r="J1137">
        <v>24</v>
      </c>
      <c r="K1137" t="s">
        <v>1</v>
      </c>
      <c r="L1137" t="s">
        <v>1167</v>
      </c>
      <c r="M1137" t="s">
        <v>1168</v>
      </c>
      <c r="N1137" t="s">
        <v>1169</v>
      </c>
      <c r="O1137" t="s">
        <v>1168</v>
      </c>
      <c r="P1137" t="s">
        <v>1170</v>
      </c>
    </row>
    <row r="1138" spans="1:16" x14ac:dyDescent="0.25">
      <c r="A1138" t="s">
        <v>2865</v>
      </c>
      <c r="B1138" t="s">
        <v>2866</v>
      </c>
      <c r="C1138" t="s">
        <v>1431</v>
      </c>
      <c r="D1138" t="s">
        <v>1027</v>
      </c>
      <c r="E1138">
        <v>41348</v>
      </c>
      <c r="F1138" t="s">
        <v>1432</v>
      </c>
      <c r="G1138" t="b">
        <v>0</v>
      </c>
      <c r="H1138" t="b">
        <v>0</v>
      </c>
      <c r="I1138" t="s">
        <v>1050</v>
      </c>
      <c r="J1138">
        <v>87</v>
      </c>
      <c r="K1138" t="s">
        <v>2</v>
      </c>
      <c r="L1138" t="s">
        <v>1168</v>
      </c>
      <c r="M1138" t="s">
        <v>1168</v>
      </c>
      <c r="N1138" t="s">
        <v>1169</v>
      </c>
      <c r="O1138" t="s">
        <v>1168</v>
      </c>
      <c r="P1138" t="s">
        <v>1434</v>
      </c>
    </row>
    <row r="1139" spans="1:16" x14ac:dyDescent="0.25">
      <c r="A1139" t="s">
        <v>2867</v>
      </c>
      <c r="B1139" t="s">
        <v>2868</v>
      </c>
      <c r="C1139" t="s">
        <v>1233</v>
      </c>
      <c r="D1139" t="s">
        <v>1027</v>
      </c>
      <c r="E1139">
        <v>63762</v>
      </c>
      <c r="F1139" t="s">
        <v>1234</v>
      </c>
      <c r="G1139" t="b">
        <v>0</v>
      </c>
      <c r="H1139" t="b">
        <v>0</v>
      </c>
      <c r="I1139" t="s">
        <v>1050</v>
      </c>
      <c r="J1139">
        <v>89</v>
      </c>
      <c r="K1139" t="s">
        <v>0</v>
      </c>
      <c r="L1139" t="s">
        <v>1167</v>
      </c>
      <c r="M1139" t="s">
        <v>1168</v>
      </c>
      <c r="N1139" t="s">
        <v>1169</v>
      </c>
      <c r="O1139" t="s">
        <v>1168</v>
      </c>
      <c r="P1139" t="s">
        <v>1235</v>
      </c>
    </row>
    <row r="1140" spans="1:16" x14ac:dyDescent="0.25">
      <c r="A1140" t="s">
        <v>2869</v>
      </c>
      <c r="B1140" t="s">
        <v>2870</v>
      </c>
      <c r="C1140" t="s">
        <v>1233</v>
      </c>
      <c r="D1140" t="s">
        <v>1027</v>
      </c>
      <c r="E1140">
        <v>63762</v>
      </c>
      <c r="F1140" t="s">
        <v>1234</v>
      </c>
      <c r="G1140" t="b">
        <v>0</v>
      </c>
      <c r="H1140" t="b">
        <v>0</v>
      </c>
      <c r="I1140" t="s">
        <v>1050</v>
      </c>
      <c r="J1140">
        <v>89</v>
      </c>
      <c r="K1140" t="s">
        <v>0</v>
      </c>
      <c r="L1140" t="s">
        <v>1167</v>
      </c>
      <c r="M1140" t="s">
        <v>1168</v>
      </c>
      <c r="N1140" t="s">
        <v>1169</v>
      </c>
      <c r="O1140" t="s">
        <v>1168</v>
      </c>
      <c r="P1140" t="s">
        <v>1235</v>
      </c>
    </row>
    <row r="1141" spans="1:16" x14ac:dyDescent="0.25">
      <c r="A1141" t="s">
        <v>2871</v>
      </c>
      <c r="B1141" t="s">
        <v>2872</v>
      </c>
      <c r="C1141" t="s">
        <v>1233</v>
      </c>
      <c r="D1141" t="s">
        <v>1027</v>
      </c>
      <c r="E1141">
        <v>63762</v>
      </c>
      <c r="F1141" t="s">
        <v>1234</v>
      </c>
      <c r="G1141" t="b">
        <v>0</v>
      </c>
      <c r="H1141" t="b">
        <v>0</v>
      </c>
      <c r="I1141" t="s">
        <v>1050</v>
      </c>
      <c r="J1141">
        <v>89</v>
      </c>
      <c r="K1141" t="s">
        <v>0</v>
      </c>
      <c r="L1141" t="s">
        <v>1167</v>
      </c>
      <c r="M1141" t="s">
        <v>1168</v>
      </c>
      <c r="N1141" t="s">
        <v>1169</v>
      </c>
      <c r="O1141" t="s">
        <v>1168</v>
      </c>
      <c r="P1141" t="s">
        <v>1235</v>
      </c>
    </row>
    <row r="1142" spans="1:16" x14ac:dyDescent="0.25">
      <c r="A1142" t="s">
        <v>2873</v>
      </c>
      <c r="B1142" t="s">
        <v>2874</v>
      </c>
      <c r="C1142" t="s">
        <v>1233</v>
      </c>
      <c r="D1142" t="s">
        <v>1027</v>
      </c>
      <c r="E1142">
        <v>63762</v>
      </c>
      <c r="F1142" t="s">
        <v>1234</v>
      </c>
      <c r="G1142" t="b">
        <v>0</v>
      </c>
      <c r="H1142" t="b">
        <v>0</v>
      </c>
      <c r="I1142" t="s">
        <v>1050</v>
      </c>
      <c r="J1142">
        <v>88</v>
      </c>
      <c r="K1142" t="s">
        <v>0</v>
      </c>
      <c r="L1142" t="s">
        <v>1167</v>
      </c>
      <c r="M1142" t="s">
        <v>1168</v>
      </c>
      <c r="N1142" t="s">
        <v>1169</v>
      </c>
      <c r="O1142" t="s">
        <v>1168</v>
      </c>
      <c r="P1142" t="s">
        <v>1235</v>
      </c>
    </row>
    <row r="1143" spans="1:16" x14ac:dyDescent="0.25">
      <c r="A1143" t="s">
        <v>2875</v>
      </c>
      <c r="B1143" t="s">
        <v>2876</v>
      </c>
      <c r="C1143" t="s">
        <v>1233</v>
      </c>
      <c r="D1143" t="s">
        <v>1027</v>
      </c>
      <c r="E1143">
        <v>63762</v>
      </c>
      <c r="F1143" t="s">
        <v>1234</v>
      </c>
      <c r="G1143" t="b">
        <v>0</v>
      </c>
      <c r="H1143" t="b">
        <v>0</v>
      </c>
      <c r="I1143" t="s">
        <v>1050</v>
      </c>
      <c r="J1143">
        <v>88</v>
      </c>
      <c r="K1143" t="s">
        <v>0</v>
      </c>
      <c r="L1143" t="s">
        <v>1167</v>
      </c>
      <c r="M1143" t="s">
        <v>1168</v>
      </c>
      <c r="N1143" t="s">
        <v>1169</v>
      </c>
      <c r="O1143" t="s">
        <v>1168</v>
      </c>
      <c r="P1143" t="s">
        <v>1235</v>
      </c>
    </row>
    <row r="1144" spans="1:16" x14ac:dyDescent="0.25">
      <c r="A1144" t="s">
        <v>2877</v>
      </c>
      <c r="B1144" t="s">
        <v>2878</v>
      </c>
      <c r="C1144" t="s">
        <v>1233</v>
      </c>
      <c r="D1144" t="s">
        <v>1027</v>
      </c>
      <c r="E1144">
        <v>63762</v>
      </c>
      <c r="F1144" t="s">
        <v>1234</v>
      </c>
      <c r="G1144" t="b">
        <v>0</v>
      </c>
      <c r="H1144" t="b">
        <v>0</v>
      </c>
      <c r="I1144" t="s">
        <v>1050</v>
      </c>
      <c r="J1144">
        <v>88</v>
      </c>
      <c r="K1144" t="s">
        <v>0</v>
      </c>
      <c r="L1144" t="s">
        <v>1167</v>
      </c>
      <c r="M1144" t="s">
        <v>1168</v>
      </c>
      <c r="N1144" t="s">
        <v>1169</v>
      </c>
      <c r="O1144" t="s">
        <v>1168</v>
      </c>
      <c r="P1144" t="s">
        <v>1235</v>
      </c>
    </row>
    <row r="1145" spans="1:16" x14ac:dyDescent="0.25">
      <c r="A1145" t="s">
        <v>2879</v>
      </c>
      <c r="B1145" t="s">
        <v>2880</v>
      </c>
      <c r="C1145" t="s">
        <v>1233</v>
      </c>
      <c r="D1145" t="s">
        <v>1027</v>
      </c>
      <c r="E1145">
        <v>63762</v>
      </c>
      <c r="F1145" t="s">
        <v>1234</v>
      </c>
      <c r="G1145" t="b">
        <v>0</v>
      </c>
      <c r="H1145" t="b">
        <v>0</v>
      </c>
      <c r="I1145" t="s">
        <v>1050</v>
      </c>
      <c r="J1145">
        <v>88</v>
      </c>
      <c r="K1145" t="s">
        <v>0</v>
      </c>
      <c r="L1145" t="s">
        <v>1167</v>
      </c>
      <c r="M1145" t="s">
        <v>1168</v>
      </c>
      <c r="N1145" t="s">
        <v>1169</v>
      </c>
      <c r="O1145" t="s">
        <v>1168</v>
      </c>
      <c r="P1145" t="s">
        <v>1235</v>
      </c>
    </row>
    <row r="1146" spans="1:16" x14ac:dyDescent="0.25">
      <c r="A1146" t="s">
        <v>2881</v>
      </c>
      <c r="B1146" t="s">
        <v>2882</v>
      </c>
      <c r="C1146" t="s">
        <v>1606</v>
      </c>
      <c r="D1146" t="s">
        <v>1027</v>
      </c>
      <c r="E1146">
        <v>1324</v>
      </c>
      <c r="F1146" t="s">
        <v>1607</v>
      </c>
      <c r="G1146" t="b">
        <v>0</v>
      </c>
      <c r="H1146" t="b">
        <v>0</v>
      </c>
      <c r="I1146" t="s">
        <v>1050</v>
      </c>
      <c r="J1146">
        <v>90</v>
      </c>
      <c r="K1146" t="s">
        <v>2</v>
      </c>
      <c r="L1146" t="s">
        <v>1608</v>
      </c>
      <c r="M1146" t="s">
        <v>1609</v>
      </c>
      <c r="N1146" t="s">
        <v>1608</v>
      </c>
      <c r="O1146" t="s">
        <v>1610</v>
      </c>
      <c r="P1146" t="s">
        <v>1611</v>
      </c>
    </row>
    <row r="1147" spans="1:16" x14ac:dyDescent="0.25">
      <c r="A1147" t="s">
        <v>2883</v>
      </c>
      <c r="B1147" t="s">
        <v>2882</v>
      </c>
      <c r="C1147" t="s">
        <v>1606</v>
      </c>
      <c r="D1147" t="s">
        <v>1027</v>
      </c>
      <c r="E1147">
        <v>1324</v>
      </c>
      <c r="F1147" t="s">
        <v>1607</v>
      </c>
      <c r="G1147" t="b">
        <v>0</v>
      </c>
      <c r="H1147" t="b">
        <v>0</v>
      </c>
      <c r="I1147" t="s">
        <v>1050</v>
      </c>
      <c r="J1147">
        <v>90</v>
      </c>
      <c r="K1147" t="s">
        <v>2</v>
      </c>
      <c r="L1147" t="s">
        <v>1608</v>
      </c>
      <c r="M1147" t="s">
        <v>1609</v>
      </c>
      <c r="N1147" t="s">
        <v>1608</v>
      </c>
      <c r="O1147" t="s">
        <v>1610</v>
      </c>
      <c r="P1147" t="s">
        <v>1611</v>
      </c>
    </row>
    <row r="1148" spans="1:16" x14ac:dyDescent="0.25">
      <c r="A1148" t="s">
        <v>2884</v>
      </c>
      <c r="B1148" t="s">
        <v>2882</v>
      </c>
      <c r="C1148" t="s">
        <v>1606</v>
      </c>
      <c r="D1148" t="s">
        <v>1027</v>
      </c>
      <c r="E1148">
        <v>1324</v>
      </c>
      <c r="F1148" t="s">
        <v>1607</v>
      </c>
      <c r="G1148" t="b">
        <v>0</v>
      </c>
      <c r="H1148" t="b">
        <v>0</v>
      </c>
      <c r="I1148" t="s">
        <v>1050</v>
      </c>
      <c r="J1148">
        <v>90</v>
      </c>
      <c r="K1148" t="s">
        <v>2</v>
      </c>
      <c r="L1148" t="s">
        <v>1608</v>
      </c>
      <c r="M1148" t="s">
        <v>1609</v>
      </c>
      <c r="N1148" t="s">
        <v>1608</v>
      </c>
      <c r="O1148" t="s">
        <v>1610</v>
      </c>
      <c r="P1148" t="s">
        <v>1611</v>
      </c>
    </row>
    <row r="1149" spans="1:16" x14ac:dyDescent="0.25">
      <c r="A1149" t="s">
        <v>2885</v>
      </c>
      <c r="B1149" t="s">
        <v>2882</v>
      </c>
      <c r="C1149" t="s">
        <v>1606</v>
      </c>
      <c r="D1149" t="s">
        <v>1027</v>
      </c>
      <c r="E1149">
        <v>1324</v>
      </c>
      <c r="F1149" t="s">
        <v>1607</v>
      </c>
      <c r="G1149" t="b">
        <v>0</v>
      </c>
      <c r="H1149" t="b">
        <v>0</v>
      </c>
      <c r="I1149" t="s">
        <v>1050</v>
      </c>
      <c r="J1149">
        <v>90</v>
      </c>
      <c r="K1149" t="s">
        <v>2</v>
      </c>
      <c r="L1149" t="s">
        <v>1608</v>
      </c>
      <c r="M1149" t="s">
        <v>1609</v>
      </c>
      <c r="N1149" t="s">
        <v>1608</v>
      </c>
      <c r="O1149" t="s">
        <v>1610</v>
      </c>
      <c r="P1149" t="s">
        <v>1611</v>
      </c>
    </row>
    <row r="1150" spans="1:16" x14ac:dyDescent="0.25">
      <c r="A1150" t="s">
        <v>2886</v>
      </c>
      <c r="B1150" t="s">
        <v>2882</v>
      </c>
      <c r="C1150" t="s">
        <v>1606</v>
      </c>
      <c r="D1150" t="s">
        <v>1027</v>
      </c>
      <c r="E1150">
        <v>1324</v>
      </c>
      <c r="F1150" t="s">
        <v>1607</v>
      </c>
      <c r="G1150" t="b">
        <v>0</v>
      </c>
      <c r="H1150" t="b">
        <v>0</v>
      </c>
      <c r="I1150" t="s">
        <v>1050</v>
      </c>
      <c r="J1150">
        <v>90</v>
      </c>
      <c r="K1150" t="s">
        <v>2</v>
      </c>
      <c r="L1150" t="s">
        <v>1608</v>
      </c>
      <c r="M1150" t="s">
        <v>1609</v>
      </c>
      <c r="N1150" t="s">
        <v>1608</v>
      </c>
      <c r="O1150" t="s">
        <v>1610</v>
      </c>
      <c r="P1150" t="s">
        <v>1611</v>
      </c>
    </row>
    <row r="1151" spans="1:16" x14ac:dyDescent="0.25">
      <c r="A1151" t="s">
        <v>2887</v>
      </c>
      <c r="B1151" t="s">
        <v>2882</v>
      </c>
      <c r="C1151" t="s">
        <v>1606</v>
      </c>
      <c r="D1151" t="s">
        <v>1027</v>
      </c>
      <c r="E1151">
        <v>1324</v>
      </c>
      <c r="F1151" t="s">
        <v>1607</v>
      </c>
      <c r="G1151" t="b">
        <v>0</v>
      </c>
      <c r="H1151" t="b">
        <v>0</v>
      </c>
      <c r="I1151" t="s">
        <v>1050</v>
      </c>
      <c r="J1151">
        <v>90</v>
      </c>
      <c r="K1151" t="s">
        <v>2</v>
      </c>
      <c r="L1151" t="s">
        <v>1608</v>
      </c>
      <c r="M1151" t="s">
        <v>1609</v>
      </c>
      <c r="N1151" t="s">
        <v>1608</v>
      </c>
      <c r="O1151" t="s">
        <v>1610</v>
      </c>
      <c r="P1151" t="s">
        <v>1611</v>
      </c>
    </row>
    <row r="1152" spans="1:16" x14ac:dyDescent="0.25">
      <c r="A1152" t="s">
        <v>2888</v>
      </c>
      <c r="B1152" t="s">
        <v>2882</v>
      </c>
      <c r="C1152" t="s">
        <v>1606</v>
      </c>
      <c r="D1152" t="s">
        <v>1027</v>
      </c>
      <c r="E1152">
        <v>1324</v>
      </c>
      <c r="F1152" t="s">
        <v>1607</v>
      </c>
      <c r="G1152" t="b">
        <v>0</v>
      </c>
      <c r="H1152" t="b">
        <v>0</v>
      </c>
      <c r="I1152" t="s">
        <v>1050</v>
      </c>
      <c r="J1152">
        <v>90</v>
      </c>
      <c r="K1152" t="s">
        <v>2</v>
      </c>
      <c r="L1152" t="s">
        <v>1608</v>
      </c>
      <c r="M1152" t="s">
        <v>1609</v>
      </c>
      <c r="N1152" t="s">
        <v>1608</v>
      </c>
      <c r="O1152" t="s">
        <v>1610</v>
      </c>
      <c r="P1152" t="s">
        <v>1611</v>
      </c>
    </row>
    <row r="1153" spans="1:16" x14ac:dyDescent="0.25">
      <c r="A1153" t="s">
        <v>2889</v>
      </c>
      <c r="B1153" t="s">
        <v>2882</v>
      </c>
      <c r="C1153" t="s">
        <v>1606</v>
      </c>
      <c r="D1153" t="s">
        <v>1027</v>
      </c>
      <c r="E1153">
        <v>1324</v>
      </c>
      <c r="F1153" t="s">
        <v>1607</v>
      </c>
      <c r="G1153" t="b">
        <v>0</v>
      </c>
      <c r="H1153" t="b">
        <v>0</v>
      </c>
      <c r="I1153" t="s">
        <v>1050</v>
      </c>
      <c r="J1153">
        <v>90</v>
      </c>
      <c r="K1153" t="s">
        <v>2</v>
      </c>
      <c r="L1153" t="s">
        <v>1608</v>
      </c>
      <c r="M1153" t="s">
        <v>1609</v>
      </c>
      <c r="N1153" t="s">
        <v>1608</v>
      </c>
      <c r="O1153" t="s">
        <v>1610</v>
      </c>
      <c r="P1153" t="s">
        <v>1611</v>
      </c>
    </row>
    <row r="1154" spans="1:16" x14ac:dyDescent="0.25">
      <c r="A1154" t="s">
        <v>2890</v>
      </c>
      <c r="B1154" t="s">
        <v>2882</v>
      </c>
      <c r="C1154" t="s">
        <v>1606</v>
      </c>
      <c r="D1154" t="s">
        <v>1027</v>
      </c>
      <c r="E1154">
        <v>1324</v>
      </c>
      <c r="F1154" t="s">
        <v>1607</v>
      </c>
      <c r="G1154" t="b">
        <v>0</v>
      </c>
      <c r="H1154" t="b">
        <v>0</v>
      </c>
      <c r="I1154" t="s">
        <v>1050</v>
      </c>
      <c r="J1154">
        <v>90</v>
      </c>
      <c r="K1154" t="s">
        <v>2</v>
      </c>
      <c r="L1154" t="s">
        <v>1608</v>
      </c>
      <c r="M1154" t="s">
        <v>1609</v>
      </c>
      <c r="N1154" t="s">
        <v>1608</v>
      </c>
      <c r="O1154" t="s">
        <v>1610</v>
      </c>
      <c r="P1154" t="s">
        <v>1611</v>
      </c>
    </row>
    <row r="1155" spans="1:16" x14ac:dyDescent="0.25">
      <c r="A1155" t="s">
        <v>2891</v>
      </c>
      <c r="B1155" t="s">
        <v>2892</v>
      </c>
      <c r="C1155" t="s">
        <v>1606</v>
      </c>
      <c r="D1155" t="s">
        <v>1027</v>
      </c>
      <c r="E1155">
        <v>1324</v>
      </c>
      <c r="F1155" t="s">
        <v>1607</v>
      </c>
      <c r="G1155" t="b">
        <v>0</v>
      </c>
      <c r="H1155" t="b">
        <v>0</v>
      </c>
      <c r="I1155" t="s">
        <v>1050</v>
      </c>
      <c r="J1155">
        <v>90</v>
      </c>
      <c r="K1155" t="s">
        <v>2</v>
      </c>
      <c r="L1155" t="s">
        <v>1608</v>
      </c>
      <c r="M1155" t="s">
        <v>1609</v>
      </c>
      <c r="N1155" t="s">
        <v>1608</v>
      </c>
      <c r="O1155" t="s">
        <v>1610</v>
      </c>
      <c r="P1155" t="s">
        <v>1611</v>
      </c>
    </row>
    <row r="1156" spans="1:16" x14ac:dyDescent="0.25">
      <c r="A1156" t="s">
        <v>2893</v>
      </c>
      <c r="B1156" t="s">
        <v>2892</v>
      </c>
      <c r="C1156" t="s">
        <v>1606</v>
      </c>
      <c r="D1156" t="s">
        <v>1027</v>
      </c>
      <c r="E1156">
        <v>1324</v>
      </c>
      <c r="F1156" t="s">
        <v>1607</v>
      </c>
      <c r="G1156" t="b">
        <v>0</v>
      </c>
      <c r="H1156" t="b">
        <v>0</v>
      </c>
      <c r="I1156" t="s">
        <v>1050</v>
      </c>
      <c r="J1156">
        <v>90</v>
      </c>
      <c r="K1156" t="s">
        <v>2</v>
      </c>
      <c r="L1156" t="s">
        <v>1608</v>
      </c>
      <c r="M1156" t="s">
        <v>1609</v>
      </c>
      <c r="N1156" t="s">
        <v>1608</v>
      </c>
      <c r="O1156" t="s">
        <v>1610</v>
      </c>
      <c r="P1156" t="s">
        <v>1611</v>
      </c>
    </row>
    <row r="1157" spans="1:16" x14ac:dyDescent="0.25">
      <c r="A1157" t="s">
        <v>2894</v>
      </c>
      <c r="B1157" t="s">
        <v>2892</v>
      </c>
      <c r="C1157" t="s">
        <v>1606</v>
      </c>
      <c r="D1157" t="s">
        <v>1027</v>
      </c>
      <c r="E1157">
        <v>1324</v>
      </c>
      <c r="F1157" t="s">
        <v>1607</v>
      </c>
      <c r="G1157" t="b">
        <v>0</v>
      </c>
      <c r="H1157" t="b">
        <v>0</v>
      </c>
      <c r="I1157" t="s">
        <v>1050</v>
      </c>
      <c r="J1157">
        <v>90</v>
      </c>
      <c r="K1157" t="s">
        <v>2</v>
      </c>
      <c r="L1157" t="s">
        <v>1608</v>
      </c>
      <c r="M1157" t="s">
        <v>1609</v>
      </c>
      <c r="N1157" t="s">
        <v>1608</v>
      </c>
      <c r="O1157" t="s">
        <v>1610</v>
      </c>
      <c r="P1157" t="s">
        <v>1611</v>
      </c>
    </row>
    <row r="1158" spans="1:16" x14ac:dyDescent="0.25">
      <c r="A1158" t="s">
        <v>2895</v>
      </c>
      <c r="B1158" t="s">
        <v>2892</v>
      </c>
      <c r="C1158" t="s">
        <v>1606</v>
      </c>
      <c r="D1158" t="s">
        <v>1027</v>
      </c>
      <c r="E1158">
        <v>1324</v>
      </c>
      <c r="F1158" t="s">
        <v>1607</v>
      </c>
      <c r="G1158" t="b">
        <v>0</v>
      </c>
      <c r="H1158" t="b">
        <v>0</v>
      </c>
      <c r="I1158" t="s">
        <v>1050</v>
      </c>
      <c r="J1158">
        <v>90</v>
      </c>
      <c r="K1158" t="s">
        <v>2</v>
      </c>
      <c r="L1158" t="s">
        <v>1608</v>
      </c>
      <c r="M1158" t="s">
        <v>1609</v>
      </c>
      <c r="N1158" t="s">
        <v>1608</v>
      </c>
      <c r="O1158" t="s">
        <v>1610</v>
      </c>
      <c r="P1158" t="s">
        <v>1611</v>
      </c>
    </row>
    <row r="1159" spans="1:16" x14ac:dyDescent="0.25">
      <c r="A1159" t="s">
        <v>2896</v>
      </c>
      <c r="B1159" t="s">
        <v>2892</v>
      </c>
      <c r="C1159" t="s">
        <v>1606</v>
      </c>
      <c r="D1159" t="s">
        <v>1027</v>
      </c>
      <c r="E1159">
        <v>1324</v>
      </c>
      <c r="F1159" t="s">
        <v>1607</v>
      </c>
      <c r="G1159" t="b">
        <v>0</v>
      </c>
      <c r="H1159" t="b">
        <v>0</v>
      </c>
      <c r="I1159" t="s">
        <v>1050</v>
      </c>
      <c r="J1159">
        <v>90</v>
      </c>
      <c r="K1159" t="s">
        <v>2</v>
      </c>
      <c r="L1159" t="s">
        <v>1608</v>
      </c>
      <c r="M1159" t="s">
        <v>1609</v>
      </c>
      <c r="N1159" t="s">
        <v>1608</v>
      </c>
      <c r="O1159" t="s">
        <v>1610</v>
      </c>
      <c r="P1159" t="s">
        <v>1611</v>
      </c>
    </row>
    <row r="1160" spans="1:16" x14ac:dyDescent="0.25">
      <c r="A1160" t="s">
        <v>2897</v>
      </c>
      <c r="B1160" t="s">
        <v>2898</v>
      </c>
      <c r="C1160" t="s">
        <v>1606</v>
      </c>
      <c r="D1160" t="s">
        <v>1027</v>
      </c>
      <c r="E1160">
        <v>1324</v>
      </c>
      <c r="F1160" t="s">
        <v>1607</v>
      </c>
      <c r="G1160" t="b">
        <v>0</v>
      </c>
      <c r="H1160" t="b">
        <v>0</v>
      </c>
      <c r="I1160" t="s">
        <v>1050</v>
      </c>
      <c r="J1160">
        <v>90</v>
      </c>
      <c r="K1160" t="s">
        <v>2</v>
      </c>
      <c r="L1160" t="s">
        <v>1608</v>
      </c>
      <c r="M1160" t="s">
        <v>1609</v>
      </c>
      <c r="N1160" t="s">
        <v>1608</v>
      </c>
      <c r="O1160" t="s">
        <v>1610</v>
      </c>
      <c r="P1160" t="s">
        <v>1611</v>
      </c>
    </row>
    <row r="1161" spans="1:16" x14ac:dyDescent="0.25">
      <c r="A1161" t="s">
        <v>2899</v>
      </c>
      <c r="B1161" t="s">
        <v>2898</v>
      </c>
      <c r="C1161" t="s">
        <v>1606</v>
      </c>
      <c r="D1161" t="s">
        <v>1027</v>
      </c>
      <c r="E1161">
        <v>1324</v>
      </c>
      <c r="F1161" t="s">
        <v>1607</v>
      </c>
      <c r="G1161" t="b">
        <v>0</v>
      </c>
      <c r="H1161" t="b">
        <v>0</v>
      </c>
      <c r="I1161" t="s">
        <v>1050</v>
      </c>
      <c r="J1161">
        <v>90</v>
      </c>
      <c r="K1161" t="s">
        <v>2</v>
      </c>
      <c r="L1161" t="s">
        <v>1608</v>
      </c>
      <c r="M1161" t="s">
        <v>1609</v>
      </c>
      <c r="N1161" t="s">
        <v>1608</v>
      </c>
      <c r="O1161" t="s">
        <v>1610</v>
      </c>
      <c r="P1161" t="s">
        <v>1611</v>
      </c>
    </row>
    <row r="1162" spans="1:16" x14ac:dyDescent="0.25">
      <c r="A1162" t="s">
        <v>2900</v>
      </c>
      <c r="B1162" t="s">
        <v>2898</v>
      </c>
      <c r="C1162" t="s">
        <v>1606</v>
      </c>
      <c r="D1162" t="s">
        <v>1027</v>
      </c>
      <c r="E1162">
        <v>1324</v>
      </c>
      <c r="F1162" t="s">
        <v>1607</v>
      </c>
      <c r="G1162" t="b">
        <v>0</v>
      </c>
      <c r="H1162" t="b">
        <v>0</v>
      </c>
      <c r="I1162" t="s">
        <v>1050</v>
      </c>
      <c r="J1162">
        <v>90</v>
      </c>
      <c r="K1162" t="s">
        <v>2</v>
      </c>
      <c r="L1162" t="s">
        <v>1608</v>
      </c>
      <c r="M1162" t="s">
        <v>1609</v>
      </c>
      <c r="N1162" t="s">
        <v>1608</v>
      </c>
      <c r="O1162" t="s">
        <v>1610</v>
      </c>
      <c r="P1162" t="s">
        <v>1611</v>
      </c>
    </row>
    <row r="1163" spans="1:16" x14ac:dyDescent="0.25">
      <c r="A1163" t="s">
        <v>2901</v>
      </c>
      <c r="B1163" t="s">
        <v>2898</v>
      </c>
      <c r="C1163" t="s">
        <v>1606</v>
      </c>
      <c r="D1163" t="s">
        <v>1027</v>
      </c>
      <c r="E1163">
        <v>1324</v>
      </c>
      <c r="F1163" t="s">
        <v>1607</v>
      </c>
      <c r="G1163" t="b">
        <v>0</v>
      </c>
      <c r="H1163" t="b">
        <v>0</v>
      </c>
      <c r="I1163" t="s">
        <v>1050</v>
      </c>
      <c r="J1163">
        <v>90</v>
      </c>
      <c r="K1163" t="s">
        <v>2</v>
      </c>
      <c r="L1163" t="s">
        <v>1608</v>
      </c>
      <c r="M1163" t="s">
        <v>1609</v>
      </c>
      <c r="N1163" t="s">
        <v>1608</v>
      </c>
      <c r="O1163" t="s">
        <v>1610</v>
      </c>
      <c r="P1163" t="s">
        <v>1611</v>
      </c>
    </row>
    <row r="1164" spans="1:16" x14ac:dyDescent="0.25">
      <c r="A1164" t="s">
        <v>2902</v>
      </c>
      <c r="B1164" t="s">
        <v>2898</v>
      </c>
      <c r="C1164" t="s">
        <v>1606</v>
      </c>
      <c r="D1164" t="s">
        <v>1027</v>
      </c>
      <c r="E1164">
        <v>1324</v>
      </c>
      <c r="F1164" t="s">
        <v>1607</v>
      </c>
      <c r="G1164" t="b">
        <v>0</v>
      </c>
      <c r="H1164" t="b">
        <v>0</v>
      </c>
      <c r="I1164" t="s">
        <v>1050</v>
      </c>
      <c r="J1164">
        <v>90</v>
      </c>
      <c r="K1164" t="s">
        <v>2</v>
      </c>
      <c r="L1164" t="s">
        <v>1608</v>
      </c>
      <c r="M1164" t="s">
        <v>1609</v>
      </c>
      <c r="N1164" t="s">
        <v>1608</v>
      </c>
      <c r="O1164" t="s">
        <v>1610</v>
      </c>
      <c r="P1164" t="s">
        <v>1611</v>
      </c>
    </row>
    <row r="1165" spans="1:16" x14ac:dyDescent="0.25">
      <c r="A1165" t="s">
        <v>2903</v>
      </c>
      <c r="B1165" t="s">
        <v>2904</v>
      </c>
      <c r="C1165" t="s">
        <v>2859</v>
      </c>
      <c r="D1165" t="s">
        <v>1027</v>
      </c>
      <c r="E1165">
        <v>1325</v>
      </c>
      <c r="F1165" t="s">
        <v>2860</v>
      </c>
      <c r="G1165" t="b">
        <v>0</v>
      </c>
      <c r="H1165" t="b">
        <v>0</v>
      </c>
      <c r="I1165" t="s">
        <v>1050</v>
      </c>
      <c r="J1165">
        <v>87</v>
      </c>
      <c r="K1165" t="s">
        <v>2</v>
      </c>
      <c r="L1165" t="s">
        <v>1547</v>
      </c>
      <c r="M1165" t="s">
        <v>1548</v>
      </c>
      <c r="N1165" t="s">
        <v>1549</v>
      </c>
      <c r="O1165" t="s">
        <v>1549</v>
      </c>
      <c r="P1165" t="s">
        <v>1550</v>
      </c>
    </row>
    <row r="1166" spans="1:16" x14ac:dyDescent="0.25">
      <c r="A1166" t="s">
        <v>2905</v>
      </c>
      <c r="B1166" t="s">
        <v>2906</v>
      </c>
      <c r="C1166" t="s">
        <v>2859</v>
      </c>
      <c r="D1166" t="s">
        <v>1027</v>
      </c>
      <c r="E1166">
        <v>1325</v>
      </c>
      <c r="F1166" t="s">
        <v>2860</v>
      </c>
      <c r="G1166" t="b">
        <v>0</v>
      </c>
      <c r="H1166" t="b">
        <v>0</v>
      </c>
      <c r="I1166" t="s">
        <v>1050</v>
      </c>
      <c r="J1166">
        <v>87</v>
      </c>
      <c r="K1166" t="s">
        <v>2</v>
      </c>
      <c r="L1166" t="s">
        <v>1547</v>
      </c>
      <c r="M1166" t="s">
        <v>1548</v>
      </c>
      <c r="N1166" t="s">
        <v>1549</v>
      </c>
      <c r="O1166" t="s">
        <v>1549</v>
      </c>
      <c r="P1166" t="s">
        <v>1550</v>
      </c>
    </row>
    <row r="1167" spans="1:16" x14ac:dyDescent="0.25">
      <c r="A1167" t="s">
        <v>2907</v>
      </c>
      <c r="B1167" t="s">
        <v>2908</v>
      </c>
      <c r="C1167" t="s">
        <v>1571</v>
      </c>
      <c r="D1167" t="s">
        <v>1027</v>
      </c>
      <c r="E1167">
        <v>63767</v>
      </c>
      <c r="G1167" t="b">
        <v>0</v>
      </c>
      <c r="H1167" t="b">
        <v>0</v>
      </c>
      <c r="I1167" t="s">
        <v>1050</v>
      </c>
      <c r="J1167">
        <v>80</v>
      </c>
      <c r="K1167" t="s">
        <v>0</v>
      </c>
      <c r="L1167" t="s">
        <v>1167</v>
      </c>
      <c r="M1167" t="s">
        <v>1168</v>
      </c>
      <c r="N1167" t="s">
        <v>1169</v>
      </c>
      <c r="O1167" t="s">
        <v>1168</v>
      </c>
      <c r="P1167" t="s">
        <v>1283</v>
      </c>
    </row>
    <row r="1168" spans="1:16" x14ac:dyDescent="0.25">
      <c r="A1168" t="s">
        <v>2909</v>
      </c>
      <c r="B1168" t="s">
        <v>2910</v>
      </c>
      <c r="C1168" t="s">
        <v>1571</v>
      </c>
      <c r="D1168" t="s">
        <v>1027</v>
      </c>
      <c r="E1168">
        <v>63767</v>
      </c>
      <c r="G1168" t="b">
        <v>0</v>
      </c>
      <c r="H1168" t="b">
        <v>0</v>
      </c>
      <c r="I1168" t="s">
        <v>1050</v>
      </c>
      <c r="J1168">
        <v>80</v>
      </c>
      <c r="K1168" t="s">
        <v>0</v>
      </c>
      <c r="L1168" t="s">
        <v>1167</v>
      </c>
      <c r="M1168" t="s">
        <v>1168</v>
      </c>
      <c r="N1168" t="s">
        <v>1169</v>
      </c>
      <c r="O1168" t="s">
        <v>1168</v>
      </c>
      <c r="P1168" t="s">
        <v>1283</v>
      </c>
    </row>
    <row r="1169" spans="1:16" x14ac:dyDescent="0.25">
      <c r="A1169" t="s">
        <v>2911</v>
      </c>
      <c r="B1169" t="s">
        <v>2912</v>
      </c>
      <c r="C1169" t="s">
        <v>1571</v>
      </c>
      <c r="D1169" t="s">
        <v>1027</v>
      </c>
      <c r="E1169">
        <v>63767</v>
      </c>
      <c r="G1169" t="b">
        <v>0</v>
      </c>
      <c r="H1169" t="b">
        <v>0</v>
      </c>
      <c r="I1169" t="s">
        <v>1050</v>
      </c>
      <c r="J1169">
        <v>80</v>
      </c>
      <c r="K1169" t="s">
        <v>0</v>
      </c>
      <c r="L1169" t="s">
        <v>1167</v>
      </c>
      <c r="M1169" t="s">
        <v>1168</v>
      </c>
      <c r="N1169" t="s">
        <v>1169</v>
      </c>
      <c r="O1169" t="s">
        <v>1168</v>
      </c>
      <c r="P1169" t="s">
        <v>1283</v>
      </c>
    </row>
    <row r="1170" spans="1:16" x14ac:dyDescent="0.25">
      <c r="A1170" t="s">
        <v>2913</v>
      </c>
      <c r="B1170" t="s">
        <v>2914</v>
      </c>
      <c r="C1170" t="s">
        <v>1571</v>
      </c>
      <c r="D1170" t="s">
        <v>1027</v>
      </c>
      <c r="E1170">
        <v>63767</v>
      </c>
      <c r="G1170" t="b">
        <v>0</v>
      </c>
      <c r="H1170" t="b">
        <v>0</v>
      </c>
      <c r="I1170" t="s">
        <v>1050</v>
      </c>
      <c r="J1170">
        <v>80</v>
      </c>
      <c r="K1170" t="s">
        <v>0</v>
      </c>
      <c r="L1170" t="s">
        <v>1167</v>
      </c>
      <c r="M1170" t="s">
        <v>1168</v>
      </c>
      <c r="N1170" t="s">
        <v>1169</v>
      </c>
      <c r="O1170" t="s">
        <v>1168</v>
      </c>
      <c r="P1170" t="s">
        <v>1283</v>
      </c>
    </row>
    <row r="1171" spans="1:16" x14ac:dyDescent="0.25">
      <c r="A1171" t="s">
        <v>2915</v>
      </c>
      <c r="B1171" t="s">
        <v>2916</v>
      </c>
      <c r="C1171" t="s">
        <v>1571</v>
      </c>
      <c r="D1171" t="s">
        <v>1027</v>
      </c>
      <c r="E1171">
        <v>63767</v>
      </c>
      <c r="G1171" t="b">
        <v>0</v>
      </c>
      <c r="H1171" t="b">
        <v>0</v>
      </c>
      <c r="I1171" t="s">
        <v>1050</v>
      </c>
      <c r="J1171">
        <v>80</v>
      </c>
      <c r="K1171" t="s">
        <v>0</v>
      </c>
      <c r="L1171" t="s">
        <v>1167</v>
      </c>
      <c r="M1171" t="s">
        <v>1168</v>
      </c>
      <c r="N1171" t="s">
        <v>1169</v>
      </c>
      <c r="O1171" t="s">
        <v>1168</v>
      </c>
      <c r="P1171" t="s">
        <v>1283</v>
      </c>
    </row>
    <row r="1172" spans="1:16" x14ac:dyDescent="0.25">
      <c r="A1172" t="s">
        <v>2917</v>
      </c>
      <c r="B1172" t="s">
        <v>2918</v>
      </c>
      <c r="C1172" t="s">
        <v>1571</v>
      </c>
      <c r="D1172" t="s">
        <v>1027</v>
      </c>
      <c r="E1172">
        <v>63767</v>
      </c>
      <c r="G1172" t="b">
        <v>0</v>
      </c>
      <c r="H1172" t="b">
        <v>0</v>
      </c>
      <c r="I1172" t="s">
        <v>1050</v>
      </c>
      <c r="J1172">
        <v>80</v>
      </c>
      <c r="K1172" t="s">
        <v>0</v>
      </c>
      <c r="L1172" t="s">
        <v>1167</v>
      </c>
      <c r="M1172" t="s">
        <v>1168</v>
      </c>
      <c r="N1172" t="s">
        <v>1169</v>
      </c>
      <c r="O1172" t="s">
        <v>1168</v>
      </c>
      <c r="P1172" t="s">
        <v>1283</v>
      </c>
    </row>
    <row r="1173" spans="1:16" x14ac:dyDescent="0.25">
      <c r="A1173" t="s">
        <v>2919</v>
      </c>
      <c r="B1173" t="s">
        <v>2920</v>
      </c>
      <c r="C1173" t="s">
        <v>1571</v>
      </c>
      <c r="D1173" t="s">
        <v>1027</v>
      </c>
      <c r="E1173">
        <v>63767</v>
      </c>
      <c r="G1173" t="b">
        <v>0</v>
      </c>
      <c r="H1173" t="b">
        <v>0</v>
      </c>
      <c r="I1173" t="s">
        <v>1050</v>
      </c>
      <c r="J1173">
        <v>80</v>
      </c>
      <c r="K1173" t="s">
        <v>0</v>
      </c>
      <c r="L1173" t="s">
        <v>1167</v>
      </c>
      <c r="M1173" t="s">
        <v>1168</v>
      </c>
      <c r="N1173" t="s">
        <v>1169</v>
      </c>
      <c r="O1173" t="s">
        <v>1168</v>
      </c>
      <c r="P1173" t="s">
        <v>1283</v>
      </c>
    </row>
    <row r="1174" spans="1:16" x14ac:dyDescent="0.25">
      <c r="A1174" t="s">
        <v>2921</v>
      </c>
      <c r="B1174" t="s">
        <v>2922</v>
      </c>
      <c r="C1174" t="s">
        <v>1571</v>
      </c>
      <c r="D1174" t="s">
        <v>1027</v>
      </c>
      <c r="E1174">
        <v>63767</v>
      </c>
      <c r="G1174" t="b">
        <v>0</v>
      </c>
      <c r="H1174" t="b">
        <v>0</v>
      </c>
      <c r="I1174" t="s">
        <v>1050</v>
      </c>
      <c r="J1174">
        <v>80</v>
      </c>
      <c r="K1174" t="s">
        <v>0</v>
      </c>
      <c r="L1174" t="s">
        <v>1167</v>
      </c>
      <c r="M1174" t="s">
        <v>1168</v>
      </c>
      <c r="N1174" t="s">
        <v>1169</v>
      </c>
      <c r="O1174" t="s">
        <v>1168</v>
      </c>
      <c r="P1174" t="s">
        <v>1283</v>
      </c>
    </row>
    <row r="1175" spans="1:16" x14ac:dyDescent="0.25">
      <c r="A1175" t="s">
        <v>2923</v>
      </c>
      <c r="B1175" t="s">
        <v>2924</v>
      </c>
      <c r="C1175" t="s">
        <v>1571</v>
      </c>
      <c r="D1175" t="s">
        <v>1027</v>
      </c>
      <c r="E1175">
        <v>63767</v>
      </c>
      <c r="G1175" t="b">
        <v>0</v>
      </c>
      <c r="H1175" t="b">
        <v>0</v>
      </c>
      <c r="I1175" t="s">
        <v>1050</v>
      </c>
      <c r="J1175">
        <v>80</v>
      </c>
      <c r="K1175" t="s">
        <v>0</v>
      </c>
      <c r="L1175" t="s">
        <v>1167</v>
      </c>
      <c r="M1175" t="s">
        <v>1168</v>
      </c>
      <c r="N1175" t="s">
        <v>1169</v>
      </c>
      <c r="O1175" t="s">
        <v>1168</v>
      </c>
      <c r="P1175" t="s">
        <v>1283</v>
      </c>
    </row>
    <row r="1176" spans="1:16" x14ac:dyDescent="0.25">
      <c r="A1176" t="s">
        <v>2925</v>
      </c>
      <c r="B1176" t="s">
        <v>2926</v>
      </c>
      <c r="C1176" t="s">
        <v>1571</v>
      </c>
      <c r="D1176" t="s">
        <v>1027</v>
      </c>
      <c r="E1176">
        <v>63767</v>
      </c>
      <c r="G1176" t="b">
        <v>0</v>
      </c>
      <c r="H1176" t="b">
        <v>0</v>
      </c>
      <c r="I1176" t="s">
        <v>1050</v>
      </c>
      <c r="J1176">
        <v>80</v>
      </c>
      <c r="K1176" t="s">
        <v>0</v>
      </c>
      <c r="L1176" t="s">
        <v>1167</v>
      </c>
      <c r="M1176" t="s">
        <v>1168</v>
      </c>
      <c r="N1176" t="s">
        <v>1169</v>
      </c>
      <c r="O1176" t="s">
        <v>1168</v>
      </c>
      <c r="P1176" t="s">
        <v>1283</v>
      </c>
    </row>
    <row r="1177" spans="1:16" x14ac:dyDescent="0.25">
      <c r="A1177" t="s">
        <v>2927</v>
      </c>
      <c r="B1177" t="s">
        <v>2928</v>
      </c>
      <c r="C1177" t="s">
        <v>1571</v>
      </c>
      <c r="D1177" t="s">
        <v>1027</v>
      </c>
      <c r="E1177">
        <v>63767</v>
      </c>
      <c r="G1177" t="b">
        <v>0</v>
      </c>
      <c r="H1177" t="b">
        <v>0</v>
      </c>
      <c r="I1177" t="s">
        <v>1050</v>
      </c>
      <c r="J1177">
        <v>87</v>
      </c>
      <c r="K1177" t="s">
        <v>0</v>
      </c>
      <c r="L1177" t="s">
        <v>1167</v>
      </c>
      <c r="M1177" t="s">
        <v>1168</v>
      </c>
      <c r="N1177" t="s">
        <v>1169</v>
      </c>
      <c r="O1177" t="s">
        <v>1168</v>
      </c>
      <c r="P1177" t="s">
        <v>1283</v>
      </c>
    </row>
    <row r="1178" spans="1:16" x14ac:dyDescent="0.25">
      <c r="A1178" t="s">
        <v>2929</v>
      </c>
      <c r="B1178" t="s">
        <v>2930</v>
      </c>
      <c r="C1178" t="s">
        <v>1233</v>
      </c>
      <c r="D1178" t="s">
        <v>1027</v>
      </c>
      <c r="E1178">
        <v>63762</v>
      </c>
      <c r="F1178" t="s">
        <v>1234</v>
      </c>
      <c r="G1178" t="b">
        <v>0</v>
      </c>
      <c r="H1178" t="b">
        <v>0</v>
      </c>
      <c r="I1178" t="s">
        <v>1050</v>
      </c>
      <c r="J1178">
        <v>80</v>
      </c>
      <c r="K1178" t="s">
        <v>0</v>
      </c>
      <c r="L1178" t="s">
        <v>1167</v>
      </c>
      <c r="M1178" t="s">
        <v>1168</v>
      </c>
      <c r="N1178" t="s">
        <v>1169</v>
      </c>
      <c r="O1178" t="s">
        <v>1168</v>
      </c>
      <c r="P1178" t="s">
        <v>1235</v>
      </c>
    </row>
    <row r="1179" spans="1:16" x14ac:dyDescent="0.25">
      <c r="A1179" t="s">
        <v>2931</v>
      </c>
      <c r="B1179" t="s">
        <v>2932</v>
      </c>
      <c r="C1179" t="s">
        <v>2026</v>
      </c>
      <c r="D1179" t="s">
        <v>1027</v>
      </c>
      <c r="E1179">
        <v>1336</v>
      </c>
      <c r="F1179" t="s">
        <v>2027</v>
      </c>
      <c r="G1179" t="b">
        <v>0</v>
      </c>
      <c r="H1179" t="b">
        <v>0</v>
      </c>
      <c r="I1179" t="s">
        <v>1050</v>
      </c>
      <c r="J1179">
        <v>80</v>
      </c>
      <c r="K1179" t="s">
        <v>0</v>
      </c>
      <c r="L1179" t="s">
        <v>1167</v>
      </c>
      <c r="M1179" t="s">
        <v>1168</v>
      </c>
      <c r="N1179" t="s">
        <v>1169</v>
      </c>
      <c r="O1179" t="s">
        <v>1168</v>
      </c>
      <c r="P1179" t="s">
        <v>2028</v>
      </c>
    </row>
    <row r="1180" spans="1:16" x14ac:dyDescent="0.25">
      <c r="A1180" t="s">
        <v>2933</v>
      </c>
      <c r="B1180" t="s">
        <v>2934</v>
      </c>
      <c r="C1180" t="s">
        <v>2026</v>
      </c>
      <c r="D1180" t="s">
        <v>1027</v>
      </c>
      <c r="E1180">
        <v>1336</v>
      </c>
      <c r="F1180" t="s">
        <v>2027</v>
      </c>
      <c r="G1180" t="b">
        <v>0</v>
      </c>
      <c r="H1180" t="b">
        <v>0</v>
      </c>
      <c r="I1180" t="s">
        <v>1050</v>
      </c>
      <c r="J1180">
        <v>80</v>
      </c>
      <c r="K1180" t="s">
        <v>0</v>
      </c>
      <c r="L1180" t="s">
        <v>1167</v>
      </c>
      <c r="M1180" t="s">
        <v>1168</v>
      </c>
      <c r="N1180" t="s">
        <v>1169</v>
      </c>
      <c r="O1180" t="s">
        <v>1168</v>
      </c>
      <c r="P1180" t="s">
        <v>2028</v>
      </c>
    </row>
    <row r="1181" spans="1:16" x14ac:dyDescent="0.25">
      <c r="A1181" t="s">
        <v>2935</v>
      </c>
      <c r="B1181" t="s">
        <v>2936</v>
      </c>
      <c r="C1181" t="s">
        <v>1571</v>
      </c>
      <c r="D1181" t="s">
        <v>1027</v>
      </c>
      <c r="E1181">
        <v>63767</v>
      </c>
      <c r="G1181" t="b">
        <v>0</v>
      </c>
      <c r="H1181" t="b">
        <v>0</v>
      </c>
      <c r="I1181" t="s">
        <v>1050</v>
      </c>
      <c r="J1181">
        <v>80</v>
      </c>
      <c r="K1181" t="s">
        <v>0</v>
      </c>
      <c r="L1181" t="s">
        <v>1167</v>
      </c>
      <c r="M1181" t="s">
        <v>1168</v>
      </c>
      <c r="N1181" t="s">
        <v>1169</v>
      </c>
      <c r="O1181" t="s">
        <v>1168</v>
      </c>
      <c r="P1181" t="s">
        <v>1283</v>
      </c>
    </row>
    <row r="1182" spans="1:16" x14ac:dyDescent="0.25">
      <c r="A1182" t="s">
        <v>2937</v>
      </c>
      <c r="B1182" t="s">
        <v>2938</v>
      </c>
      <c r="C1182" t="s">
        <v>1571</v>
      </c>
      <c r="D1182" t="s">
        <v>1027</v>
      </c>
      <c r="E1182">
        <v>63767</v>
      </c>
      <c r="G1182" t="b">
        <v>0</v>
      </c>
      <c r="H1182" t="b">
        <v>0</v>
      </c>
      <c r="I1182" t="s">
        <v>1050</v>
      </c>
      <c r="J1182">
        <v>80</v>
      </c>
      <c r="K1182" t="s">
        <v>0</v>
      </c>
      <c r="L1182" t="s">
        <v>1167</v>
      </c>
      <c r="M1182" t="s">
        <v>1168</v>
      </c>
      <c r="N1182" t="s">
        <v>1169</v>
      </c>
      <c r="O1182" t="s">
        <v>1168</v>
      </c>
      <c r="P1182" t="s">
        <v>1283</v>
      </c>
    </row>
    <row r="1183" spans="1:16" x14ac:dyDescent="0.25">
      <c r="A1183" t="s">
        <v>2939</v>
      </c>
      <c r="B1183" t="s">
        <v>2940</v>
      </c>
      <c r="C1183" t="s">
        <v>1571</v>
      </c>
      <c r="D1183" t="s">
        <v>1027</v>
      </c>
      <c r="E1183">
        <v>63767</v>
      </c>
      <c r="G1183" t="b">
        <v>0</v>
      </c>
      <c r="H1183" t="b">
        <v>0</v>
      </c>
      <c r="I1183" t="s">
        <v>1050</v>
      </c>
      <c r="J1183">
        <v>87</v>
      </c>
      <c r="K1183" t="s">
        <v>0</v>
      </c>
      <c r="L1183" t="s">
        <v>1167</v>
      </c>
      <c r="M1183" t="s">
        <v>1168</v>
      </c>
      <c r="N1183" t="s">
        <v>1169</v>
      </c>
      <c r="O1183" t="s">
        <v>1168</v>
      </c>
      <c r="P1183" t="s">
        <v>1283</v>
      </c>
    </row>
    <row r="1184" spans="1:16" x14ac:dyDescent="0.25">
      <c r="A1184" t="s">
        <v>2941</v>
      </c>
      <c r="B1184" t="s">
        <v>2942</v>
      </c>
      <c r="C1184" t="s">
        <v>1165</v>
      </c>
      <c r="D1184" t="s">
        <v>1027</v>
      </c>
      <c r="E1184">
        <v>63774</v>
      </c>
      <c r="F1184" t="s">
        <v>1166</v>
      </c>
      <c r="G1184" t="b">
        <v>0</v>
      </c>
      <c r="H1184" t="b">
        <v>0</v>
      </c>
      <c r="I1184" t="s">
        <v>1050</v>
      </c>
      <c r="J1184">
        <v>30</v>
      </c>
      <c r="K1184" t="s">
        <v>1</v>
      </c>
      <c r="L1184" t="s">
        <v>1167</v>
      </c>
      <c r="M1184" t="s">
        <v>1168</v>
      </c>
      <c r="N1184" t="s">
        <v>1169</v>
      </c>
      <c r="O1184" t="s">
        <v>1168</v>
      </c>
      <c r="P1184" t="s">
        <v>1170</v>
      </c>
    </row>
    <row r="1185" spans="1:16" x14ac:dyDescent="0.25">
      <c r="A1185" t="s">
        <v>2943</v>
      </c>
      <c r="B1185" t="s">
        <v>2944</v>
      </c>
      <c r="C1185" t="s">
        <v>1165</v>
      </c>
      <c r="D1185" t="s">
        <v>1027</v>
      </c>
      <c r="E1185">
        <v>63774</v>
      </c>
      <c r="F1185" t="s">
        <v>1166</v>
      </c>
      <c r="G1185" t="b">
        <v>0</v>
      </c>
      <c r="H1185" t="b">
        <v>0</v>
      </c>
      <c r="I1185" t="s">
        <v>1050</v>
      </c>
      <c r="J1185">
        <v>30</v>
      </c>
      <c r="K1185" t="s">
        <v>1</v>
      </c>
      <c r="L1185" t="s">
        <v>1167</v>
      </c>
      <c r="M1185" t="s">
        <v>1168</v>
      </c>
      <c r="N1185" t="s">
        <v>1169</v>
      </c>
      <c r="O1185" t="s">
        <v>1168</v>
      </c>
      <c r="P1185" t="s">
        <v>1170</v>
      </c>
    </row>
    <row r="1186" spans="1:16" x14ac:dyDescent="0.25">
      <c r="A1186" t="s">
        <v>2945</v>
      </c>
      <c r="B1186" t="s">
        <v>2946</v>
      </c>
      <c r="C1186" t="s">
        <v>1165</v>
      </c>
      <c r="D1186" t="s">
        <v>1027</v>
      </c>
      <c r="E1186">
        <v>63774</v>
      </c>
      <c r="F1186" t="s">
        <v>1166</v>
      </c>
      <c r="G1186" t="b">
        <v>0</v>
      </c>
      <c r="H1186" t="b">
        <v>0</v>
      </c>
      <c r="I1186" t="s">
        <v>1050</v>
      </c>
      <c r="J1186">
        <v>30</v>
      </c>
      <c r="K1186" t="s">
        <v>1</v>
      </c>
      <c r="L1186" t="s">
        <v>1167</v>
      </c>
      <c r="M1186" t="s">
        <v>1168</v>
      </c>
      <c r="N1186" t="s">
        <v>1169</v>
      </c>
      <c r="O1186" t="s">
        <v>1168</v>
      </c>
      <c r="P1186" t="s">
        <v>1170</v>
      </c>
    </row>
    <row r="1187" spans="1:16" x14ac:dyDescent="0.25">
      <c r="A1187" t="s">
        <v>2947</v>
      </c>
      <c r="B1187" t="s">
        <v>2946</v>
      </c>
      <c r="C1187" t="s">
        <v>1165</v>
      </c>
      <c r="D1187" t="s">
        <v>1027</v>
      </c>
      <c r="E1187">
        <v>63774</v>
      </c>
      <c r="F1187" t="s">
        <v>1166</v>
      </c>
      <c r="G1187" t="b">
        <v>0</v>
      </c>
      <c r="H1187" t="b">
        <v>0</v>
      </c>
      <c r="I1187" t="s">
        <v>1050</v>
      </c>
      <c r="J1187">
        <v>30</v>
      </c>
      <c r="K1187" t="s">
        <v>1</v>
      </c>
      <c r="L1187" t="s">
        <v>1167</v>
      </c>
      <c r="M1187" t="s">
        <v>1168</v>
      </c>
      <c r="N1187" t="s">
        <v>1169</v>
      </c>
      <c r="O1187" t="s">
        <v>1168</v>
      </c>
      <c r="P1187" t="s">
        <v>1170</v>
      </c>
    </row>
    <row r="1188" spans="1:16" x14ac:dyDescent="0.25">
      <c r="A1188" t="s">
        <v>2948</v>
      </c>
      <c r="B1188" t="s">
        <v>2949</v>
      </c>
      <c r="C1188" t="s">
        <v>1233</v>
      </c>
      <c r="D1188" t="s">
        <v>1027</v>
      </c>
      <c r="E1188">
        <v>63762</v>
      </c>
      <c r="F1188" t="s">
        <v>1234</v>
      </c>
      <c r="G1188" t="b">
        <v>0</v>
      </c>
      <c r="H1188" t="b">
        <v>0</v>
      </c>
      <c r="I1188" t="s">
        <v>1050</v>
      </c>
      <c r="J1188">
        <v>88</v>
      </c>
      <c r="K1188" t="s">
        <v>0</v>
      </c>
      <c r="L1188" t="s">
        <v>1167</v>
      </c>
      <c r="M1188" t="s">
        <v>1168</v>
      </c>
      <c r="N1188" t="s">
        <v>1169</v>
      </c>
      <c r="O1188" t="s">
        <v>1168</v>
      </c>
      <c r="P1188" t="s">
        <v>1235</v>
      </c>
    </row>
    <row r="1189" spans="1:16" x14ac:dyDescent="0.25">
      <c r="A1189" t="s">
        <v>2950</v>
      </c>
      <c r="B1189" t="s">
        <v>2951</v>
      </c>
      <c r="C1189" t="s">
        <v>1233</v>
      </c>
      <c r="D1189" t="s">
        <v>1027</v>
      </c>
      <c r="E1189">
        <v>63762</v>
      </c>
      <c r="F1189" t="s">
        <v>1234</v>
      </c>
      <c r="G1189" t="b">
        <v>0</v>
      </c>
      <c r="H1189" t="b">
        <v>0</v>
      </c>
      <c r="I1189" t="s">
        <v>1050</v>
      </c>
      <c r="J1189">
        <v>88</v>
      </c>
      <c r="K1189" t="s">
        <v>0</v>
      </c>
      <c r="L1189" t="s">
        <v>1167</v>
      </c>
      <c r="M1189" t="s">
        <v>1168</v>
      </c>
      <c r="N1189" t="s">
        <v>1169</v>
      </c>
      <c r="O1189" t="s">
        <v>1168</v>
      </c>
      <c r="P1189" t="s">
        <v>1235</v>
      </c>
    </row>
    <row r="1190" spans="1:16" x14ac:dyDescent="0.25">
      <c r="A1190" t="s">
        <v>2952</v>
      </c>
      <c r="B1190" t="s">
        <v>2953</v>
      </c>
      <c r="C1190" t="s">
        <v>1233</v>
      </c>
      <c r="D1190" t="s">
        <v>1027</v>
      </c>
      <c r="E1190">
        <v>63762</v>
      </c>
      <c r="F1190" t="s">
        <v>1234</v>
      </c>
      <c r="G1190" t="b">
        <v>0</v>
      </c>
      <c r="H1190" t="b">
        <v>0</v>
      </c>
      <c r="I1190" t="s">
        <v>1050</v>
      </c>
      <c r="J1190">
        <v>88</v>
      </c>
      <c r="K1190" t="s">
        <v>0</v>
      </c>
      <c r="L1190" t="s">
        <v>1167</v>
      </c>
      <c r="M1190" t="s">
        <v>1168</v>
      </c>
      <c r="N1190" t="s">
        <v>1169</v>
      </c>
      <c r="O1190" t="s">
        <v>1168</v>
      </c>
      <c r="P1190" t="s">
        <v>1235</v>
      </c>
    </row>
    <row r="1191" spans="1:16" x14ac:dyDescent="0.25">
      <c r="A1191" t="s">
        <v>2954</v>
      </c>
      <c r="B1191" t="s">
        <v>2955</v>
      </c>
      <c r="C1191" t="s">
        <v>1482</v>
      </c>
      <c r="D1191" t="s">
        <v>1027</v>
      </c>
      <c r="E1191">
        <v>1664</v>
      </c>
      <c r="F1191" t="s">
        <v>1483</v>
      </c>
      <c r="G1191" t="b">
        <v>0</v>
      </c>
      <c r="H1191" t="b">
        <v>0</v>
      </c>
      <c r="I1191" t="s">
        <v>1050</v>
      </c>
      <c r="J1191">
        <v>80</v>
      </c>
      <c r="K1191" t="s">
        <v>1</v>
      </c>
      <c r="L1191" t="s">
        <v>1213</v>
      </c>
      <c r="M1191" t="s">
        <v>1168</v>
      </c>
      <c r="N1191" t="s">
        <v>1168</v>
      </c>
      <c r="O1191" t="s">
        <v>1168</v>
      </c>
      <c r="P1191" t="s">
        <v>1484</v>
      </c>
    </row>
    <row r="1192" spans="1:16" x14ac:dyDescent="0.25">
      <c r="A1192" t="s">
        <v>2956</v>
      </c>
      <c r="B1192" t="s">
        <v>2957</v>
      </c>
      <c r="C1192" t="s">
        <v>1571</v>
      </c>
      <c r="D1192" t="s">
        <v>1027</v>
      </c>
      <c r="E1192">
        <v>63767</v>
      </c>
      <c r="G1192" t="b">
        <v>0</v>
      </c>
      <c r="H1192" t="b">
        <v>0</v>
      </c>
      <c r="I1192" t="s">
        <v>1050</v>
      </c>
      <c r="J1192">
        <v>80</v>
      </c>
      <c r="K1192" t="s">
        <v>0</v>
      </c>
      <c r="L1192" t="s">
        <v>1167</v>
      </c>
      <c r="M1192" t="s">
        <v>1168</v>
      </c>
      <c r="N1192" t="s">
        <v>1169</v>
      </c>
      <c r="O1192" t="s">
        <v>1168</v>
      </c>
      <c r="P1192" t="s">
        <v>1283</v>
      </c>
    </row>
    <row r="1193" spans="1:16" x14ac:dyDescent="0.25">
      <c r="A1193" t="s">
        <v>2958</v>
      </c>
      <c r="B1193" t="s">
        <v>2959</v>
      </c>
      <c r="C1193" t="s">
        <v>1571</v>
      </c>
      <c r="D1193" t="s">
        <v>1027</v>
      </c>
      <c r="E1193">
        <v>63767</v>
      </c>
      <c r="G1193" t="b">
        <v>0</v>
      </c>
      <c r="H1193" t="b">
        <v>0</v>
      </c>
      <c r="I1193" t="s">
        <v>1050</v>
      </c>
      <c r="J1193">
        <v>80</v>
      </c>
      <c r="K1193" t="s">
        <v>0</v>
      </c>
      <c r="L1193" t="s">
        <v>1167</v>
      </c>
      <c r="M1193" t="s">
        <v>1168</v>
      </c>
      <c r="N1193" t="s">
        <v>1169</v>
      </c>
      <c r="O1193" t="s">
        <v>1168</v>
      </c>
      <c r="P1193" t="s">
        <v>1283</v>
      </c>
    </row>
    <row r="1194" spans="1:16" x14ac:dyDescent="0.25">
      <c r="A1194" t="s">
        <v>2960</v>
      </c>
      <c r="B1194" t="s">
        <v>2961</v>
      </c>
      <c r="C1194" t="s">
        <v>1571</v>
      </c>
      <c r="D1194" t="s">
        <v>1027</v>
      </c>
      <c r="E1194">
        <v>63767</v>
      </c>
      <c r="G1194" t="b">
        <v>0</v>
      </c>
      <c r="H1194" t="b">
        <v>0</v>
      </c>
      <c r="I1194" t="s">
        <v>1050</v>
      </c>
      <c r="J1194">
        <v>80</v>
      </c>
      <c r="K1194" t="s">
        <v>0</v>
      </c>
      <c r="L1194" t="s">
        <v>1167</v>
      </c>
      <c r="M1194" t="s">
        <v>1168</v>
      </c>
      <c r="N1194" t="s">
        <v>1169</v>
      </c>
      <c r="O1194" t="s">
        <v>1168</v>
      </c>
      <c r="P1194" t="s">
        <v>1283</v>
      </c>
    </row>
    <row r="1195" spans="1:16" x14ac:dyDescent="0.25">
      <c r="A1195" t="s">
        <v>2962</v>
      </c>
      <c r="B1195" t="s">
        <v>2963</v>
      </c>
      <c r="C1195" t="s">
        <v>1571</v>
      </c>
      <c r="D1195" t="s">
        <v>1027</v>
      </c>
      <c r="E1195">
        <v>63767</v>
      </c>
      <c r="G1195" t="b">
        <v>0</v>
      </c>
      <c r="H1195" t="b">
        <v>0</v>
      </c>
      <c r="I1195" t="s">
        <v>1050</v>
      </c>
      <c r="J1195">
        <v>80</v>
      </c>
      <c r="K1195" t="s">
        <v>0</v>
      </c>
      <c r="L1195" t="s">
        <v>1167</v>
      </c>
      <c r="M1195" t="s">
        <v>1168</v>
      </c>
      <c r="N1195" t="s">
        <v>1169</v>
      </c>
      <c r="O1195" t="s">
        <v>1168</v>
      </c>
      <c r="P1195" t="s">
        <v>1283</v>
      </c>
    </row>
    <row r="1196" spans="1:16" x14ac:dyDescent="0.25">
      <c r="A1196" t="s">
        <v>2964</v>
      </c>
      <c r="B1196" t="s">
        <v>2965</v>
      </c>
      <c r="C1196" t="s">
        <v>1571</v>
      </c>
      <c r="D1196" t="s">
        <v>1027</v>
      </c>
      <c r="E1196">
        <v>63767</v>
      </c>
      <c r="G1196" t="b">
        <v>0</v>
      </c>
      <c r="H1196" t="b">
        <v>0</v>
      </c>
      <c r="I1196" t="s">
        <v>1050</v>
      </c>
      <c r="J1196">
        <v>80</v>
      </c>
      <c r="K1196" t="s">
        <v>0</v>
      </c>
      <c r="L1196" t="s">
        <v>1167</v>
      </c>
      <c r="M1196" t="s">
        <v>1168</v>
      </c>
      <c r="N1196" t="s">
        <v>1169</v>
      </c>
      <c r="O1196" t="s">
        <v>1168</v>
      </c>
      <c r="P1196" t="s">
        <v>1283</v>
      </c>
    </row>
    <row r="1197" spans="1:16" x14ac:dyDescent="0.25">
      <c r="A1197" t="s">
        <v>2966</v>
      </c>
      <c r="B1197" t="s">
        <v>2967</v>
      </c>
      <c r="C1197" t="s">
        <v>1571</v>
      </c>
      <c r="D1197" t="s">
        <v>1027</v>
      </c>
      <c r="E1197">
        <v>63767</v>
      </c>
      <c r="G1197" t="b">
        <v>0</v>
      </c>
      <c r="H1197" t="b">
        <v>0</v>
      </c>
      <c r="I1197" t="s">
        <v>1050</v>
      </c>
      <c r="J1197">
        <v>80</v>
      </c>
      <c r="K1197" t="s">
        <v>0</v>
      </c>
      <c r="L1197" t="s">
        <v>1167</v>
      </c>
      <c r="M1197" t="s">
        <v>1168</v>
      </c>
      <c r="N1197" t="s">
        <v>1169</v>
      </c>
      <c r="O1197" t="s">
        <v>1168</v>
      </c>
      <c r="P1197" t="s">
        <v>1283</v>
      </c>
    </row>
    <row r="1198" spans="1:16" x14ac:dyDescent="0.25">
      <c r="A1198" t="s">
        <v>2968</v>
      </c>
      <c r="B1198" t="s">
        <v>2969</v>
      </c>
      <c r="C1198" t="s">
        <v>1571</v>
      </c>
      <c r="D1198" t="s">
        <v>1027</v>
      </c>
      <c r="E1198">
        <v>63767</v>
      </c>
      <c r="G1198" t="b">
        <v>0</v>
      </c>
      <c r="H1198" t="b">
        <v>0</v>
      </c>
      <c r="I1198" t="s">
        <v>1050</v>
      </c>
      <c r="J1198">
        <v>80</v>
      </c>
      <c r="K1198" t="s">
        <v>0</v>
      </c>
      <c r="L1198" t="s">
        <v>1167</v>
      </c>
      <c r="M1198" t="s">
        <v>1168</v>
      </c>
      <c r="N1198" t="s">
        <v>1169</v>
      </c>
      <c r="O1198" t="s">
        <v>1168</v>
      </c>
      <c r="P1198" t="s">
        <v>1283</v>
      </c>
    </row>
    <row r="1199" spans="1:16" x14ac:dyDescent="0.25">
      <c r="A1199" t="s">
        <v>2970</v>
      </c>
      <c r="B1199" t="s">
        <v>2971</v>
      </c>
      <c r="C1199" t="s">
        <v>1571</v>
      </c>
      <c r="D1199" t="s">
        <v>1027</v>
      </c>
      <c r="E1199">
        <v>63767</v>
      </c>
      <c r="G1199" t="b">
        <v>0</v>
      </c>
      <c r="H1199" t="b">
        <v>0</v>
      </c>
      <c r="I1199" t="s">
        <v>1050</v>
      </c>
      <c r="J1199">
        <v>80</v>
      </c>
      <c r="K1199" t="s">
        <v>0</v>
      </c>
      <c r="L1199" t="s">
        <v>1167</v>
      </c>
      <c r="M1199" t="s">
        <v>1168</v>
      </c>
      <c r="N1199" t="s">
        <v>1169</v>
      </c>
      <c r="O1199" t="s">
        <v>1168</v>
      </c>
      <c r="P1199" t="s">
        <v>1283</v>
      </c>
    </row>
    <row r="1200" spans="1:16" x14ac:dyDescent="0.25">
      <c r="A1200" t="s">
        <v>2972</v>
      </c>
      <c r="B1200" t="s">
        <v>2973</v>
      </c>
      <c r="C1200" t="s">
        <v>1571</v>
      </c>
      <c r="D1200" t="s">
        <v>1027</v>
      </c>
      <c r="E1200">
        <v>63767</v>
      </c>
      <c r="G1200" t="b">
        <v>0</v>
      </c>
      <c r="H1200" t="b">
        <v>0</v>
      </c>
      <c r="I1200" t="s">
        <v>1050</v>
      </c>
      <c r="J1200">
        <v>80</v>
      </c>
      <c r="K1200" t="s">
        <v>0</v>
      </c>
      <c r="L1200" t="s">
        <v>1167</v>
      </c>
      <c r="M1200" t="s">
        <v>1168</v>
      </c>
      <c r="N1200" t="s">
        <v>1169</v>
      </c>
      <c r="O1200" t="s">
        <v>1168</v>
      </c>
      <c r="P1200" t="s">
        <v>1283</v>
      </c>
    </row>
    <row r="1201" spans="1:16" x14ac:dyDescent="0.25">
      <c r="A1201" t="s">
        <v>2974</v>
      </c>
      <c r="B1201" t="s">
        <v>2975</v>
      </c>
      <c r="C1201" t="s">
        <v>1571</v>
      </c>
      <c r="D1201" t="s">
        <v>1027</v>
      </c>
      <c r="E1201">
        <v>63767</v>
      </c>
      <c r="G1201" t="b">
        <v>0</v>
      </c>
      <c r="H1201" t="b">
        <v>0</v>
      </c>
      <c r="I1201" t="s">
        <v>1050</v>
      </c>
      <c r="J1201">
        <v>80</v>
      </c>
      <c r="K1201" t="s">
        <v>0</v>
      </c>
      <c r="L1201" t="s">
        <v>1167</v>
      </c>
      <c r="M1201" t="s">
        <v>1168</v>
      </c>
      <c r="N1201" t="s">
        <v>1169</v>
      </c>
      <c r="O1201" t="s">
        <v>1168</v>
      </c>
      <c r="P1201" t="s">
        <v>1283</v>
      </c>
    </row>
    <row r="1202" spans="1:16" x14ac:dyDescent="0.25">
      <c r="A1202" t="s">
        <v>2976</v>
      </c>
      <c r="B1202" t="s">
        <v>2977</v>
      </c>
      <c r="C1202" t="s">
        <v>1571</v>
      </c>
      <c r="D1202" t="s">
        <v>1027</v>
      </c>
      <c r="E1202">
        <v>63767</v>
      </c>
      <c r="G1202" t="b">
        <v>0</v>
      </c>
      <c r="H1202" t="b">
        <v>0</v>
      </c>
      <c r="I1202" t="s">
        <v>1050</v>
      </c>
      <c r="J1202">
        <v>80</v>
      </c>
      <c r="K1202" t="s">
        <v>0</v>
      </c>
      <c r="L1202" t="s">
        <v>1167</v>
      </c>
      <c r="M1202" t="s">
        <v>1168</v>
      </c>
      <c r="N1202" t="s">
        <v>1169</v>
      </c>
      <c r="O1202" t="s">
        <v>1168</v>
      </c>
      <c r="P1202" t="s">
        <v>1283</v>
      </c>
    </row>
    <row r="1203" spans="1:16" x14ac:dyDescent="0.25">
      <c r="A1203" t="s">
        <v>2978</v>
      </c>
      <c r="B1203" t="s">
        <v>2979</v>
      </c>
      <c r="C1203" t="s">
        <v>1571</v>
      </c>
      <c r="D1203" t="s">
        <v>1027</v>
      </c>
      <c r="E1203">
        <v>63767</v>
      </c>
      <c r="G1203" t="b">
        <v>0</v>
      </c>
      <c r="H1203" t="b">
        <v>0</v>
      </c>
      <c r="I1203" t="s">
        <v>1050</v>
      </c>
      <c r="J1203">
        <v>80</v>
      </c>
      <c r="K1203" t="s">
        <v>0</v>
      </c>
      <c r="L1203" t="s">
        <v>1167</v>
      </c>
      <c r="M1203" t="s">
        <v>1168</v>
      </c>
      <c r="N1203" t="s">
        <v>1169</v>
      </c>
      <c r="O1203" t="s">
        <v>1168</v>
      </c>
      <c r="P1203" t="s">
        <v>1283</v>
      </c>
    </row>
    <row r="1204" spans="1:16" x14ac:dyDescent="0.25">
      <c r="A1204" t="s">
        <v>2980</v>
      </c>
      <c r="B1204" t="s">
        <v>2981</v>
      </c>
      <c r="C1204" t="s">
        <v>1571</v>
      </c>
      <c r="D1204" t="s">
        <v>1027</v>
      </c>
      <c r="E1204">
        <v>63767</v>
      </c>
      <c r="G1204" t="b">
        <v>0</v>
      </c>
      <c r="H1204" t="b">
        <v>0</v>
      </c>
      <c r="I1204" t="s">
        <v>1050</v>
      </c>
      <c r="J1204">
        <v>80</v>
      </c>
      <c r="K1204" t="s">
        <v>0</v>
      </c>
      <c r="L1204" t="s">
        <v>1167</v>
      </c>
      <c r="M1204" t="s">
        <v>1168</v>
      </c>
      <c r="N1204" t="s">
        <v>1169</v>
      </c>
      <c r="O1204" t="s">
        <v>1168</v>
      </c>
      <c r="P1204" t="s">
        <v>1283</v>
      </c>
    </row>
    <row r="1205" spans="1:16" x14ac:dyDescent="0.25">
      <c r="A1205" t="s">
        <v>2982</v>
      </c>
      <c r="B1205" t="s">
        <v>2983</v>
      </c>
      <c r="C1205" t="s">
        <v>1571</v>
      </c>
      <c r="D1205" t="s">
        <v>1027</v>
      </c>
      <c r="E1205">
        <v>63767</v>
      </c>
      <c r="G1205" t="b">
        <v>0</v>
      </c>
      <c r="H1205" t="b">
        <v>0</v>
      </c>
      <c r="I1205" t="s">
        <v>1050</v>
      </c>
      <c r="J1205">
        <v>80</v>
      </c>
      <c r="K1205" t="s">
        <v>0</v>
      </c>
      <c r="L1205" t="s">
        <v>1167</v>
      </c>
      <c r="M1205" t="s">
        <v>1168</v>
      </c>
      <c r="N1205" t="s">
        <v>1169</v>
      </c>
      <c r="O1205" t="s">
        <v>1168</v>
      </c>
      <c r="P1205" t="s">
        <v>1283</v>
      </c>
    </row>
    <row r="1206" spans="1:16" x14ac:dyDescent="0.25">
      <c r="A1206" t="s">
        <v>2984</v>
      </c>
      <c r="B1206" t="s">
        <v>2985</v>
      </c>
      <c r="C1206" t="s">
        <v>1571</v>
      </c>
      <c r="D1206" t="s">
        <v>1027</v>
      </c>
      <c r="E1206">
        <v>63767</v>
      </c>
      <c r="G1206" t="b">
        <v>0</v>
      </c>
      <c r="H1206" t="b">
        <v>0</v>
      </c>
      <c r="I1206" t="s">
        <v>1050</v>
      </c>
      <c r="J1206">
        <v>80</v>
      </c>
      <c r="K1206" t="s">
        <v>0</v>
      </c>
      <c r="L1206" t="s">
        <v>1167</v>
      </c>
      <c r="M1206" t="s">
        <v>1168</v>
      </c>
      <c r="N1206" t="s">
        <v>1169</v>
      </c>
      <c r="O1206" t="s">
        <v>1168</v>
      </c>
      <c r="P1206" t="s">
        <v>1283</v>
      </c>
    </row>
    <row r="1207" spans="1:16" x14ac:dyDescent="0.25">
      <c r="A1207" t="s">
        <v>2986</v>
      </c>
      <c r="B1207" t="s">
        <v>2987</v>
      </c>
      <c r="C1207" t="s">
        <v>1233</v>
      </c>
      <c r="D1207" t="s">
        <v>1027</v>
      </c>
      <c r="E1207">
        <v>63762</v>
      </c>
      <c r="F1207" t="s">
        <v>1234</v>
      </c>
      <c r="G1207" t="b">
        <v>0</v>
      </c>
      <c r="H1207" t="b">
        <v>0</v>
      </c>
      <c r="I1207" t="s">
        <v>1050</v>
      </c>
      <c r="J1207">
        <v>80</v>
      </c>
      <c r="K1207" t="s">
        <v>0</v>
      </c>
      <c r="L1207" t="s">
        <v>1167</v>
      </c>
      <c r="M1207" t="s">
        <v>1168</v>
      </c>
      <c r="N1207" t="s">
        <v>1169</v>
      </c>
      <c r="O1207" t="s">
        <v>1168</v>
      </c>
      <c r="P1207" t="s">
        <v>1235</v>
      </c>
    </row>
    <row r="1208" spans="1:16" x14ac:dyDescent="0.25">
      <c r="A1208" t="s">
        <v>2988</v>
      </c>
      <c r="B1208" t="s">
        <v>2989</v>
      </c>
      <c r="C1208" t="s">
        <v>1233</v>
      </c>
      <c r="D1208" t="s">
        <v>1027</v>
      </c>
      <c r="E1208">
        <v>63762</v>
      </c>
      <c r="F1208" t="s">
        <v>1234</v>
      </c>
      <c r="G1208" t="b">
        <v>0</v>
      </c>
      <c r="H1208" t="b">
        <v>0</v>
      </c>
      <c r="I1208" t="s">
        <v>1050</v>
      </c>
      <c r="J1208">
        <v>80</v>
      </c>
      <c r="K1208" t="s">
        <v>0</v>
      </c>
      <c r="L1208" t="s">
        <v>1167</v>
      </c>
      <c r="M1208" t="s">
        <v>1168</v>
      </c>
      <c r="N1208" t="s">
        <v>1169</v>
      </c>
      <c r="O1208" t="s">
        <v>1168</v>
      </c>
      <c r="P1208" t="s">
        <v>1235</v>
      </c>
    </row>
    <row r="1209" spans="1:16" x14ac:dyDescent="0.25">
      <c r="A1209" t="s">
        <v>2990</v>
      </c>
      <c r="B1209" t="s">
        <v>2991</v>
      </c>
      <c r="C1209" t="s">
        <v>1233</v>
      </c>
      <c r="D1209" t="s">
        <v>1027</v>
      </c>
      <c r="E1209">
        <v>63762</v>
      </c>
      <c r="F1209" t="s">
        <v>1234</v>
      </c>
      <c r="G1209" t="b">
        <v>0</v>
      </c>
      <c r="H1209" t="b">
        <v>0</v>
      </c>
      <c r="I1209" t="s">
        <v>1050</v>
      </c>
      <c r="J1209">
        <v>80</v>
      </c>
      <c r="K1209" t="s">
        <v>0</v>
      </c>
      <c r="L1209" t="s">
        <v>1167</v>
      </c>
      <c r="M1209" t="s">
        <v>1168</v>
      </c>
      <c r="N1209" t="s">
        <v>1169</v>
      </c>
      <c r="O1209" t="s">
        <v>1168</v>
      </c>
      <c r="P1209" t="s">
        <v>1235</v>
      </c>
    </row>
    <row r="1210" spans="1:16" x14ac:dyDescent="0.25">
      <c r="A1210" t="s">
        <v>2992</v>
      </c>
      <c r="B1210" t="s">
        <v>2993</v>
      </c>
      <c r="C1210" t="s">
        <v>1571</v>
      </c>
      <c r="D1210" t="s">
        <v>1027</v>
      </c>
      <c r="E1210">
        <v>63767</v>
      </c>
      <c r="G1210" t="b">
        <v>0</v>
      </c>
      <c r="H1210" t="b">
        <v>0</v>
      </c>
      <c r="I1210" t="s">
        <v>1050</v>
      </c>
      <c r="J1210">
        <v>80</v>
      </c>
      <c r="K1210" t="s">
        <v>0</v>
      </c>
      <c r="L1210" t="s">
        <v>1167</v>
      </c>
      <c r="M1210" t="s">
        <v>1168</v>
      </c>
      <c r="N1210" t="s">
        <v>1169</v>
      </c>
      <c r="O1210" t="s">
        <v>1168</v>
      </c>
      <c r="P1210" t="s">
        <v>1283</v>
      </c>
    </row>
    <row r="1211" spans="1:16" x14ac:dyDescent="0.25">
      <c r="A1211" t="s">
        <v>2994</v>
      </c>
      <c r="B1211" t="s">
        <v>2995</v>
      </c>
      <c r="C1211" t="s">
        <v>1571</v>
      </c>
      <c r="D1211" t="s">
        <v>1027</v>
      </c>
      <c r="E1211">
        <v>63767</v>
      </c>
      <c r="G1211" t="b">
        <v>0</v>
      </c>
      <c r="H1211" t="b">
        <v>0</v>
      </c>
      <c r="I1211" t="s">
        <v>1050</v>
      </c>
      <c r="J1211">
        <v>80</v>
      </c>
      <c r="K1211" t="s">
        <v>0</v>
      </c>
      <c r="L1211" t="s">
        <v>1167</v>
      </c>
      <c r="M1211" t="s">
        <v>1168</v>
      </c>
      <c r="N1211" t="s">
        <v>1169</v>
      </c>
      <c r="O1211" t="s">
        <v>1168</v>
      </c>
      <c r="P1211" t="s">
        <v>1283</v>
      </c>
    </row>
    <row r="1212" spans="1:16" x14ac:dyDescent="0.25">
      <c r="A1212" t="s">
        <v>2996</v>
      </c>
      <c r="B1212" t="s">
        <v>2997</v>
      </c>
      <c r="C1212" t="s">
        <v>2998</v>
      </c>
      <c r="D1212" t="s">
        <v>1027</v>
      </c>
      <c r="E1212">
        <v>1721</v>
      </c>
      <c r="F1212" t="s">
        <v>2999</v>
      </c>
      <c r="G1212" t="b">
        <v>0</v>
      </c>
      <c r="H1212" t="b">
        <v>0</v>
      </c>
      <c r="I1212" t="s">
        <v>1050</v>
      </c>
      <c r="J1212">
        <v>88</v>
      </c>
      <c r="K1212" t="s">
        <v>0</v>
      </c>
      <c r="L1212" t="s">
        <v>3000</v>
      </c>
      <c r="M1212" t="s">
        <v>1548</v>
      </c>
      <c r="N1212" t="s">
        <v>1549</v>
      </c>
      <c r="O1212" t="s">
        <v>1549</v>
      </c>
      <c r="P1212" t="s">
        <v>3001</v>
      </c>
    </row>
    <row r="1213" spans="1:16" x14ac:dyDescent="0.25">
      <c r="A1213" t="s">
        <v>3002</v>
      </c>
      <c r="B1213" t="s">
        <v>3003</v>
      </c>
      <c r="C1213" t="s">
        <v>1217</v>
      </c>
      <c r="D1213" t="s">
        <v>1027</v>
      </c>
      <c r="G1213" t="b">
        <v>0</v>
      </c>
      <c r="H1213" t="b">
        <v>0</v>
      </c>
      <c r="I1213" t="s">
        <v>1050</v>
      </c>
      <c r="J1213">
        <v>87</v>
      </c>
      <c r="K1213" t="s">
        <v>0</v>
      </c>
      <c r="L1213" t="s">
        <v>1167</v>
      </c>
      <c r="M1213" t="s">
        <v>1168</v>
      </c>
      <c r="N1213" t="s">
        <v>1169</v>
      </c>
      <c r="O1213" t="s">
        <v>1168</v>
      </c>
      <c r="P1213" t="s">
        <v>1219</v>
      </c>
    </row>
    <row r="1214" spans="1:16" x14ac:dyDescent="0.25">
      <c r="A1214" t="s">
        <v>3004</v>
      </c>
      <c r="B1214" t="s">
        <v>3005</v>
      </c>
      <c r="C1214" t="s">
        <v>1233</v>
      </c>
      <c r="D1214" t="s">
        <v>1027</v>
      </c>
      <c r="E1214">
        <v>63762</v>
      </c>
      <c r="F1214" t="s">
        <v>1234</v>
      </c>
      <c r="G1214" t="b">
        <v>0</v>
      </c>
      <c r="H1214" t="b">
        <v>0</v>
      </c>
      <c r="I1214" t="s">
        <v>1050</v>
      </c>
      <c r="J1214">
        <v>91</v>
      </c>
      <c r="K1214" t="s">
        <v>0</v>
      </c>
      <c r="L1214" t="s">
        <v>1167</v>
      </c>
      <c r="M1214" t="s">
        <v>1168</v>
      </c>
      <c r="N1214" t="s">
        <v>1169</v>
      </c>
      <c r="O1214" t="s">
        <v>1168</v>
      </c>
      <c r="P1214" t="s">
        <v>1235</v>
      </c>
    </row>
    <row r="1215" spans="1:16" x14ac:dyDescent="0.25">
      <c r="A1215" t="s">
        <v>3006</v>
      </c>
      <c r="B1215" t="s">
        <v>3007</v>
      </c>
      <c r="C1215" t="s">
        <v>1233</v>
      </c>
      <c r="D1215" t="s">
        <v>1027</v>
      </c>
      <c r="E1215">
        <v>63762</v>
      </c>
      <c r="F1215" t="s">
        <v>1234</v>
      </c>
      <c r="G1215" t="b">
        <v>0</v>
      </c>
      <c r="H1215" t="b">
        <v>0</v>
      </c>
      <c r="I1215" t="s">
        <v>1050</v>
      </c>
      <c r="J1215">
        <v>91</v>
      </c>
      <c r="K1215" t="s">
        <v>0</v>
      </c>
      <c r="L1215" t="s">
        <v>1167</v>
      </c>
      <c r="M1215" t="s">
        <v>1168</v>
      </c>
      <c r="N1215" t="s">
        <v>1169</v>
      </c>
      <c r="O1215" t="s">
        <v>1168</v>
      </c>
      <c r="P1215" t="s">
        <v>1235</v>
      </c>
    </row>
    <row r="1216" spans="1:16" x14ac:dyDescent="0.25">
      <c r="A1216" t="s">
        <v>3008</v>
      </c>
      <c r="B1216" t="s">
        <v>3009</v>
      </c>
      <c r="C1216" t="s">
        <v>1233</v>
      </c>
      <c r="D1216" t="s">
        <v>1027</v>
      </c>
      <c r="E1216">
        <v>63762</v>
      </c>
      <c r="F1216" t="s">
        <v>1234</v>
      </c>
      <c r="G1216" t="b">
        <v>0</v>
      </c>
      <c r="H1216" t="b">
        <v>0</v>
      </c>
      <c r="I1216" t="s">
        <v>1050</v>
      </c>
      <c r="J1216">
        <v>91</v>
      </c>
      <c r="K1216" t="s">
        <v>0</v>
      </c>
      <c r="L1216" t="s">
        <v>1167</v>
      </c>
      <c r="M1216" t="s">
        <v>1168</v>
      </c>
      <c r="N1216" t="s">
        <v>1169</v>
      </c>
      <c r="O1216" t="s">
        <v>1168</v>
      </c>
      <c r="P1216" t="s">
        <v>1235</v>
      </c>
    </row>
    <row r="1217" spans="1:16" x14ac:dyDescent="0.25">
      <c r="A1217" t="s">
        <v>3010</v>
      </c>
      <c r="B1217" t="s">
        <v>3011</v>
      </c>
      <c r="C1217" t="s">
        <v>1233</v>
      </c>
      <c r="D1217" t="s">
        <v>1027</v>
      </c>
      <c r="E1217">
        <v>63762</v>
      </c>
      <c r="F1217" t="s">
        <v>1234</v>
      </c>
      <c r="G1217" t="b">
        <v>0</v>
      </c>
      <c r="H1217" t="b">
        <v>0</v>
      </c>
      <c r="I1217" t="s">
        <v>1050</v>
      </c>
      <c r="J1217">
        <v>88</v>
      </c>
      <c r="K1217" t="s">
        <v>0</v>
      </c>
      <c r="L1217" t="s">
        <v>1167</v>
      </c>
      <c r="M1217" t="s">
        <v>1168</v>
      </c>
      <c r="N1217" t="s">
        <v>1169</v>
      </c>
      <c r="O1217" t="s">
        <v>1168</v>
      </c>
      <c r="P1217" t="s">
        <v>1235</v>
      </c>
    </row>
    <row r="1218" spans="1:16" x14ac:dyDescent="0.25">
      <c r="A1218" t="s">
        <v>3012</v>
      </c>
      <c r="B1218" t="s">
        <v>3013</v>
      </c>
      <c r="C1218" t="s">
        <v>1233</v>
      </c>
      <c r="D1218" t="s">
        <v>1027</v>
      </c>
      <c r="E1218">
        <v>63762</v>
      </c>
      <c r="F1218" t="s">
        <v>1234</v>
      </c>
      <c r="G1218" t="b">
        <v>0</v>
      </c>
      <c r="H1218" t="b">
        <v>0</v>
      </c>
      <c r="I1218" t="s">
        <v>1050</v>
      </c>
      <c r="J1218">
        <v>88</v>
      </c>
      <c r="K1218" t="s">
        <v>0</v>
      </c>
      <c r="L1218" t="s">
        <v>1167</v>
      </c>
      <c r="M1218" t="s">
        <v>1168</v>
      </c>
      <c r="N1218" t="s">
        <v>1169</v>
      </c>
      <c r="O1218" t="s">
        <v>1168</v>
      </c>
      <c r="P1218" t="s">
        <v>1235</v>
      </c>
    </row>
    <row r="1219" spans="1:16" x14ac:dyDescent="0.25">
      <c r="A1219" t="s">
        <v>3014</v>
      </c>
      <c r="B1219" t="s">
        <v>3015</v>
      </c>
      <c r="C1219" t="s">
        <v>1233</v>
      </c>
      <c r="D1219" t="s">
        <v>1027</v>
      </c>
      <c r="E1219">
        <v>63762</v>
      </c>
      <c r="F1219" t="s">
        <v>1234</v>
      </c>
      <c r="G1219" t="b">
        <v>0</v>
      </c>
      <c r="H1219" t="b">
        <v>0</v>
      </c>
      <c r="I1219" t="s">
        <v>1050</v>
      </c>
      <c r="J1219">
        <v>88</v>
      </c>
      <c r="K1219" t="s">
        <v>0</v>
      </c>
      <c r="L1219" t="s">
        <v>1167</v>
      </c>
      <c r="M1219" t="s">
        <v>1168</v>
      </c>
      <c r="N1219" t="s">
        <v>1169</v>
      </c>
      <c r="O1219" t="s">
        <v>1168</v>
      </c>
      <c r="P1219" t="s">
        <v>1235</v>
      </c>
    </row>
    <row r="1220" spans="1:16" x14ac:dyDescent="0.25">
      <c r="A1220" t="s">
        <v>3016</v>
      </c>
      <c r="B1220" t="s">
        <v>3017</v>
      </c>
      <c r="C1220" t="s">
        <v>1233</v>
      </c>
      <c r="D1220" t="s">
        <v>1027</v>
      </c>
      <c r="E1220">
        <v>63762</v>
      </c>
      <c r="F1220" t="s">
        <v>1234</v>
      </c>
      <c r="G1220" t="b">
        <v>0</v>
      </c>
      <c r="H1220" t="b">
        <v>0</v>
      </c>
      <c r="I1220" t="s">
        <v>1050</v>
      </c>
      <c r="J1220">
        <v>88</v>
      </c>
      <c r="K1220" t="s">
        <v>0</v>
      </c>
      <c r="L1220" t="s">
        <v>1167</v>
      </c>
      <c r="M1220" t="s">
        <v>1168</v>
      </c>
      <c r="N1220" t="s">
        <v>1169</v>
      </c>
      <c r="O1220" t="s">
        <v>1168</v>
      </c>
      <c r="P1220" t="s">
        <v>1235</v>
      </c>
    </row>
    <row r="1221" spans="1:16" x14ac:dyDescent="0.25">
      <c r="A1221" t="s">
        <v>3018</v>
      </c>
      <c r="B1221" t="s">
        <v>3019</v>
      </c>
      <c r="C1221" t="s">
        <v>1233</v>
      </c>
      <c r="D1221" t="s">
        <v>1027</v>
      </c>
      <c r="E1221">
        <v>63762</v>
      </c>
      <c r="F1221" t="s">
        <v>1234</v>
      </c>
      <c r="G1221" t="b">
        <v>0</v>
      </c>
      <c r="H1221" t="b">
        <v>0</v>
      </c>
      <c r="I1221" t="s">
        <v>1050</v>
      </c>
      <c r="J1221">
        <v>88</v>
      </c>
      <c r="K1221" t="s">
        <v>0</v>
      </c>
      <c r="L1221" t="s">
        <v>1167</v>
      </c>
      <c r="M1221" t="s">
        <v>1168</v>
      </c>
      <c r="N1221" t="s">
        <v>1169</v>
      </c>
      <c r="O1221" t="s">
        <v>1168</v>
      </c>
      <c r="P1221" t="s">
        <v>1235</v>
      </c>
    </row>
    <row r="1222" spans="1:16" x14ac:dyDescent="0.25">
      <c r="A1222" t="s">
        <v>3020</v>
      </c>
      <c r="B1222" t="s">
        <v>3021</v>
      </c>
      <c r="C1222" t="s">
        <v>1233</v>
      </c>
      <c r="D1222" t="s">
        <v>1027</v>
      </c>
      <c r="E1222">
        <v>63762</v>
      </c>
      <c r="F1222" t="s">
        <v>1234</v>
      </c>
      <c r="G1222" t="b">
        <v>0</v>
      </c>
      <c r="H1222" t="b">
        <v>0</v>
      </c>
      <c r="I1222" t="s">
        <v>1050</v>
      </c>
      <c r="J1222">
        <v>88</v>
      </c>
      <c r="K1222" t="s">
        <v>0</v>
      </c>
      <c r="L1222" t="s">
        <v>1167</v>
      </c>
      <c r="M1222" t="s">
        <v>1168</v>
      </c>
      <c r="N1222" t="s">
        <v>1169</v>
      </c>
      <c r="O1222" t="s">
        <v>1168</v>
      </c>
      <c r="P1222" t="s">
        <v>1235</v>
      </c>
    </row>
    <row r="1223" spans="1:16" x14ac:dyDescent="0.25">
      <c r="A1223" t="s">
        <v>3022</v>
      </c>
      <c r="B1223" t="s">
        <v>3023</v>
      </c>
      <c r="C1223" t="s">
        <v>1233</v>
      </c>
      <c r="D1223" t="s">
        <v>1027</v>
      </c>
      <c r="E1223">
        <v>63762</v>
      </c>
      <c r="F1223" t="s">
        <v>1234</v>
      </c>
      <c r="G1223" t="b">
        <v>0</v>
      </c>
      <c r="H1223" t="b">
        <v>0</v>
      </c>
      <c r="I1223" t="s">
        <v>1050</v>
      </c>
      <c r="J1223">
        <v>88</v>
      </c>
      <c r="K1223" t="s">
        <v>0</v>
      </c>
      <c r="L1223" t="s">
        <v>1167</v>
      </c>
      <c r="M1223" t="s">
        <v>1168</v>
      </c>
      <c r="N1223" t="s">
        <v>1169</v>
      </c>
      <c r="O1223" t="s">
        <v>1168</v>
      </c>
      <c r="P1223" t="s">
        <v>1235</v>
      </c>
    </row>
    <row r="1224" spans="1:16" x14ac:dyDescent="0.25">
      <c r="A1224" t="s">
        <v>3024</v>
      </c>
      <c r="B1224" t="s">
        <v>3025</v>
      </c>
      <c r="C1224" t="s">
        <v>1233</v>
      </c>
      <c r="D1224" t="s">
        <v>1027</v>
      </c>
      <c r="E1224">
        <v>63762</v>
      </c>
      <c r="F1224" t="s">
        <v>1234</v>
      </c>
      <c r="G1224" t="b">
        <v>0</v>
      </c>
      <c r="H1224" t="b">
        <v>0</v>
      </c>
      <c r="I1224" t="s">
        <v>1050</v>
      </c>
      <c r="J1224">
        <v>88</v>
      </c>
      <c r="K1224" t="s">
        <v>0</v>
      </c>
      <c r="L1224" t="s">
        <v>1167</v>
      </c>
      <c r="M1224" t="s">
        <v>1168</v>
      </c>
      <c r="N1224" t="s">
        <v>1169</v>
      </c>
      <c r="O1224" t="s">
        <v>1168</v>
      </c>
      <c r="P1224" t="s">
        <v>1235</v>
      </c>
    </row>
    <row r="1225" spans="1:16" x14ac:dyDescent="0.25">
      <c r="A1225" t="s">
        <v>3026</v>
      </c>
      <c r="B1225" t="s">
        <v>3027</v>
      </c>
      <c r="C1225" t="s">
        <v>1571</v>
      </c>
      <c r="D1225" t="s">
        <v>1027</v>
      </c>
      <c r="E1225">
        <v>63767</v>
      </c>
      <c r="G1225" t="b">
        <v>0</v>
      </c>
      <c r="H1225" t="b">
        <v>0</v>
      </c>
      <c r="I1225" t="s">
        <v>1050</v>
      </c>
      <c r="J1225">
        <v>80</v>
      </c>
      <c r="K1225" t="s">
        <v>0</v>
      </c>
      <c r="L1225" t="s">
        <v>1167</v>
      </c>
      <c r="M1225" t="s">
        <v>1168</v>
      </c>
      <c r="N1225" t="s">
        <v>1169</v>
      </c>
      <c r="O1225" t="s">
        <v>1168</v>
      </c>
      <c r="P1225" t="s">
        <v>1283</v>
      </c>
    </row>
    <row r="1226" spans="1:16" x14ac:dyDescent="0.25">
      <c r="A1226" t="s">
        <v>3028</v>
      </c>
      <c r="B1226" t="s">
        <v>3029</v>
      </c>
      <c r="C1226" t="s">
        <v>1571</v>
      </c>
      <c r="D1226" t="s">
        <v>1027</v>
      </c>
      <c r="E1226">
        <v>63767</v>
      </c>
      <c r="G1226" t="b">
        <v>0</v>
      </c>
      <c r="H1226" t="b">
        <v>0</v>
      </c>
      <c r="I1226" t="s">
        <v>1050</v>
      </c>
      <c r="J1226">
        <v>80</v>
      </c>
      <c r="K1226" t="s">
        <v>0</v>
      </c>
      <c r="L1226" t="s">
        <v>1167</v>
      </c>
      <c r="M1226" t="s">
        <v>1168</v>
      </c>
      <c r="N1226" t="s">
        <v>1169</v>
      </c>
      <c r="O1226" t="s">
        <v>1168</v>
      </c>
      <c r="P1226" t="s">
        <v>1283</v>
      </c>
    </row>
    <row r="1227" spans="1:16" x14ac:dyDescent="0.25">
      <c r="A1227" t="s">
        <v>3030</v>
      </c>
      <c r="B1227" t="s">
        <v>3031</v>
      </c>
      <c r="C1227" t="s">
        <v>1571</v>
      </c>
      <c r="D1227" t="s">
        <v>1027</v>
      </c>
      <c r="E1227">
        <v>63767</v>
      </c>
      <c r="G1227" t="b">
        <v>0</v>
      </c>
      <c r="H1227" t="b">
        <v>0</v>
      </c>
      <c r="I1227" t="s">
        <v>1050</v>
      </c>
      <c r="J1227">
        <v>80</v>
      </c>
      <c r="K1227" t="s">
        <v>0</v>
      </c>
      <c r="L1227" t="s">
        <v>1167</v>
      </c>
      <c r="M1227" t="s">
        <v>1168</v>
      </c>
      <c r="N1227" t="s">
        <v>1169</v>
      </c>
      <c r="O1227" t="s">
        <v>1168</v>
      </c>
      <c r="P1227" t="s">
        <v>1283</v>
      </c>
    </row>
    <row r="1228" spans="1:16" x14ac:dyDescent="0.25">
      <c r="A1228" t="s">
        <v>3032</v>
      </c>
      <c r="B1228" t="s">
        <v>3033</v>
      </c>
      <c r="C1228" t="s">
        <v>1571</v>
      </c>
      <c r="D1228" t="s">
        <v>1027</v>
      </c>
      <c r="E1228">
        <v>63767</v>
      </c>
      <c r="G1228" t="b">
        <v>0</v>
      </c>
      <c r="H1228" t="b">
        <v>0</v>
      </c>
      <c r="I1228" t="s">
        <v>1050</v>
      </c>
      <c r="J1228">
        <v>80</v>
      </c>
      <c r="K1228" t="s">
        <v>0</v>
      </c>
      <c r="L1228" t="s">
        <v>1167</v>
      </c>
      <c r="M1228" t="s">
        <v>1168</v>
      </c>
      <c r="N1228" t="s">
        <v>1169</v>
      </c>
      <c r="O1228" t="s">
        <v>1168</v>
      </c>
      <c r="P1228" t="s">
        <v>1283</v>
      </c>
    </row>
    <row r="1229" spans="1:16" x14ac:dyDescent="0.25">
      <c r="A1229" t="s">
        <v>3034</v>
      </c>
      <c r="B1229" t="s">
        <v>3031</v>
      </c>
      <c r="C1229" t="s">
        <v>1571</v>
      </c>
      <c r="D1229" t="s">
        <v>1027</v>
      </c>
      <c r="E1229">
        <v>63767</v>
      </c>
      <c r="G1229" t="b">
        <v>0</v>
      </c>
      <c r="H1229" t="b">
        <v>0</v>
      </c>
      <c r="I1229" t="s">
        <v>1050</v>
      </c>
      <c r="J1229">
        <v>80</v>
      </c>
      <c r="K1229" t="s">
        <v>0</v>
      </c>
      <c r="L1229" t="s">
        <v>1167</v>
      </c>
      <c r="M1229" t="s">
        <v>1168</v>
      </c>
      <c r="N1229" t="s">
        <v>1169</v>
      </c>
      <c r="O1229" t="s">
        <v>1168</v>
      </c>
      <c r="P1229" t="s">
        <v>1283</v>
      </c>
    </row>
    <row r="1230" spans="1:16" x14ac:dyDescent="0.25">
      <c r="A1230" t="s">
        <v>3035</v>
      </c>
      <c r="B1230" t="s">
        <v>3036</v>
      </c>
      <c r="C1230" t="s">
        <v>1571</v>
      </c>
      <c r="D1230" t="s">
        <v>1027</v>
      </c>
      <c r="E1230">
        <v>63767</v>
      </c>
      <c r="G1230" t="b">
        <v>0</v>
      </c>
      <c r="H1230" t="b">
        <v>0</v>
      </c>
      <c r="I1230" t="s">
        <v>1050</v>
      </c>
      <c r="J1230">
        <v>80</v>
      </c>
      <c r="K1230" t="s">
        <v>0</v>
      </c>
      <c r="L1230" t="s">
        <v>1167</v>
      </c>
      <c r="M1230" t="s">
        <v>1168</v>
      </c>
      <c r="N1230" t="s">
        <v>1169</v>
      </c>
      <c r="O1230" t="s">
        <v>1168</v>
      </c>
      <c r="P1230" t="s">
        <v>1283</v>
      </c>
    </row>
    <row r="1231" spans="1:16" x14ac:dyDescent="0.25">
      <c r="A1231" t="s">
        <v>3037</v>
      </c>
      <c r="B1231" t="s">
        <v>3038</v>
      </c>
      <c r="C1231" t="s">
        <v>2026</v>
      </c>
      <c r="D1231" t="s">
        <v>1027</v>
      </c>
      <c r="E1231">
        <v>1336</v>
      </c>
      <c r="F1231" t="s">
        <v>2027</v>
      </c>
      <c r="G1231" t="b">
        <v>0</v>
      </c>
      <c r="H1231" t="b">
        <v>0</v>
      </c>
      <c r="I1231" t="s">
        <v>1050</v>
      </c>
      <c r="J1231">
        <v>80</v>
      </c>
      <c r="K1231" t="s">
        <v>0</v>
      </c>
      <c r="L1231" t="s">
        <v>1167</v>
      </c>
      <c r="M1231" t="s">
        <v>1168</v>
      </c>
      <c r="N1231" t="s">
        <v>1169</v>
      </c>
      <c r="O1231" t="s">
        <v>1168</v>
      </c>
      <c r="P1231" t="s">
        <v>2028</v>
      </c>
    </row>
    <row r="1232" spans="1:16" x14ac:dyDescent="0.25">
      <c r="A1232" t="s">
        <v>3039</v>
      </c>
      <c r="B1232" t="s">
        <v>3040</v>
      </c>
      <c r="C1232" t="s">
        <v>1571</v>
      </c>
      <c r="D1232" t="s">
        <v>1027</v>
      </c>
      <c r="E1232">
        <v>63767</v>
      </c>
      <c r="G1232" t="b">
        <v>0</v>
      </c>
      <c r="H1232" t="b">
        <v>0</v>
      </c>
      <c r="I1232" t="s">
        <v>1050</v>
      </c>
      <c r="J1232">
        <v>87</v>
      </c>
      <c r="K1232" t="s">
        <v>0</v>
      </c>
      <c r="L1232" t="s">
        <v>1167</v>
      </c>
      <c r="M1232" t="s">
        <v>1168</v>
      </c>
      <c r="N1232" t="s">
        <v>1169</v>
      </c>
      <c r="O1232" t="s">
        <v>1168</v>
      </c>
      <c r="P1232" t="s">
        <v>1283</v>
      </c>
    </row>
    <row r="1233" spans="1:16" x14ac:dyDescent="0.25">
      <c r="A1233" t="s">
        <v>3041</v>
      </c>
      <c r="B1233" t="s">
        <v>3042</v>
      </c>
      <c r="C1233" t="s">
        <v>1571</v>
      </c>
      <c r="D1233" t="s">
        <v>1027</v>
      </c>
      <c r="E1233">
        <v>63767</v>
      </c>
      <c r="G1233" t="b">
        <v>0</v>
      </c>
      <c r="H1233" t="b">
        <v>0</v>
      </c>
      <c r="I1233" t="s">
        <v>1050</v>
      </c>
      <c r="J1233">
        <v>87</v>
      </c>
      <c r="K1233" t="s">
        <v>0</v>
      </c>
      <c r="L1233" t="s">
        <v>1167</v>
      </c>
      <c r="M1233" t="s">
        <v>1168</v>
      </c>
      <c r="N1233" t="s">
        <v>1169</v>
      </c>
      <c r="O1233" t="s">
        <v>1168</v>
      </c>
      <c r="P1233" t="s">
        <v>1283</v>
      </c>
    </row>
    <row r="1234" spans="1:16" x14ac:dyDescent="0.25">
      <c r="A1234" t="s">
        <v>3043</v>
      </c>
      <c r="B1234" t="s">
        <v>3044</v>
      </c>
      <c r="C1234" t="s">
        <v>1571</v>
      </c>
      <c r="D1234" t="s">
        <v>1027</v>
      </c>
      <c r="E1234">
        <v>63767</v>
      </c>
      <c r="G1234" t="b">
        <v>0</v>
      </c>
      <c r="H1234" t="b">
        <v>0</v>
      </c>
      <c r="I1234" t="s">
        <v>1050</v>
      </c>
      <c r="J1234">
        <v>87</v>
      </c>
      <c r="K1234" t="s">
        <v>0</v>
      </c>
      <c r="L1234" t="s">
        <v>1167</v>
      </c>
      <c r="M1234" t="s">
        <v>1168</v>
      </c>
      <c r="N1234" t="s">
        <v>1169</v>
      </c>
      <c r="O1234" t="s">
        <v>1168</v>
      </c>
      <c r="P1234" t="s">
        <v>1283</v>
      </c>
    </row>
    <row r="1235" spans="1:16" x14ac:dyDescent="0.25">
      <c r="A1235" t="s">
        <v>3045</v>
      </c>
      <c r="B1235" t="s">
        <v>3046</v>
      </c>
      <c r="C1235" t="s">
        <v>1571</v>
      </c>
      <c r="D1235" t="s">
        <v>1027</v>
      </c>
      <c r="E1235">
        <v>63767</v>
      </c>
      <c r="G1235" t="b">
        <v>0</v>
      </c>
      <c r="H1235" t="b">
        <v>0</v>
      </c>
      <c r="I1235" t="s">
        <v>1050</v>
      </c>
      <c r="J1235">
        <v>87</v>
      </c>
      <c r="K1235" t="s">
        <v>0</v>
      </c>
      <c r="L1235" t="s">
        <v>1167</v>
      </c>
      <c r="M1235" t="s">
        <v>1168</v>
      </c>
      <c r="N1235" t="s">
        <v>1169</v>
      </c>
      <c r="O1235" t="s">
        <v>1168</v>
      </c>
      <c r="P1235" t="s">
        <v>1283</v>
      </c>
    </row>
    <row r="1236" spans="1:16" x14ac:dyDescent="0.25">
      <c r="A1236" t="s">
        <v>3047</v>
      </c>
      <c r="B1236" t="s">
        <v>3048</v>
      </c>
      <c r="C1236" t="s">
        <v>1571</v>
      </c>
      <c r="D1236" t="s">
        <v>1027</v>
      </c>
      <c r="E1236">
        <v>63767</v>
      </c>
      <c r="G1236" t="b">
        <v>0</v>
      </c>
      <c r="H1236" t="b">
        <v>0</v>
      </c>
      <c r="I1236" t="s">
        <v>1050</v>
      </c>
      <c r="J1236">
        <v>87</v>
      </c>
      <c r="K1236" t="s">
        <v>0</v>
      </c>
      <c r="L1236" t="s">
        <v>1167</v>
      </c>
      <c r="M1236" t="s">
        <v>1168</v>
      </c>
      <c r="N1236" t="s">
        <v>1169</v>
      </c>
      <c r="O1236" t="s">
        <v>1168</v>
      </c>
      <c r="P1236" t="s">
        <v>1283</v>
      </c>
    </row>
    <row r="1237" spans="1:16" x14ac:dyDescent="0.25">
      <c r="A1237" t="s">
        <v>3049</v>
      </c>
      <c r="B1237" t="s">
        <v>3050</v>
      </c>
      <c r="C1237" t="s">
        <v>1571</v>
      </c>
      <c r="D1237" t="s">
        <v>1027</v>
      </c>
      <c r="E1237">
        <v>63767</v>
      </c>
      <c r="G1237" t="b">
        <v>0</v>
      </c>
      <c r="H1237" t="b">
        <v>0</v>
      </c>
      <c r="I1237" t="s">
        <v>1050</v>
      </c>
      <c r="J1237">
        <v>87</v>
      </c>
      <c r="K1237" t="s">
        <v>0</v>
      </c>
      <c r="L1237" t="s">
        <v>1167</v>
      </c>
      <c r="M1237" t="s">
        <v>1168</v>
      </c>
      <c r="N1237" t="s">
        <v>1169</v>
      </c>
      <c r="O1237" t="s">
        <v>1168</v>
      </c>
      <c r="P1237" t="s">
        <v>1283</v>
      </c>
    </row>
    <row r="1238" spans="1:16" x14ac:dyDescent="0.25">
      <c r="A1238" t="s">
        <v>3051</v>
      </c>
      <c r="B1238" t="s">
        <v>3052</v>
      </c>
      <c r="C1238" t="s">
        <v>1571</v>
      </c>
      <c r="D1238" t="s">
        <v>1027</v>
      </c>
      <c r="E1238">
        <v>63767</v>
      </c>
      <c r="G1238" t="b">
        <v>0</v>
      </c>
      <c r="H1238" t="b">
        <v>0</v>
      </c>
      <c r="I1238" t="s">
        <v>1050</v>
      </c>
      <c r="J1238">
        <v>87</v>
      </c>
      <c r="K1238" t="s">
        <v>0</v>
      </c>
      <c r="L1238" t="s">
        <v>1167</v>
      </c>
      <c r="M1238" t="s">
        <v>1168</v>
      </c>
      <c r="N1238" t="s">
        <v>1169</v>
      </c>
      <c r="O1238" t="s">
        <v>1168</v>
      </c>
      <c r="P1238" t="s">
        <v>1283</v>
      </c>
    </row>
    <row r="1239" spans="1:16" x14ac:dyDescent="0.25">
      <c r="A1239" t="s">
        <v>3053</v>
      </c>
      <c r="B1239" t="s">
        <v>3054</v>
      </c>
      <c r="C1239" t="s">
        <v>1233</v>
      </c>
      <c r="D1239" t="s">
        <v>1027</v>
      </c>
      <c r="E1239">
        <v>63762</v>
      </c>
      <c r="F1239" t="s">
        <v>1234</v>
      </c>
      <c r="G1239" t="b">
        <v>0</v>
      </c>
      <c r="H1239" t="b">
        <v>0</v>
      </c>
      <c r="I1239" t="s">
        <v>1050</v>
      </c>
      <c r="J1239">
        <v>80</v>
      </c>
      <c r="K1239" t="s">
        <v>0</v>
      </c>
      <c r="L1239" t="s">
        <v>1167</v>
      </c>
      <c r="M1239" t="s">
        <v>1168</v>
      </c>
      <c r="N1239" t="s">
        <v>1169</v>
      </c>
      <c r="O1239" t="s">
        <v>1168</v>
      </c>
      <c r="P1239" t="s">
        <v>1235</v>
      </c>
    </row>
    <row r="1240" spans="1:16" x14ac:dyDescent="0.25">
      <c r="A1240" t="s">
        <v>3055</v>
      </c>
      <c r="B1240" t="s">
        <v>3056</v>
      </c>
      <c r="C1240" t="s">
        <v>1571</v>
      </c>
      <c r="D1240" t="s">
        <v>1027</v>
      </c>
      <c r="E1240">
        <v>63767</v>
      </c>
      <c r="G1240" t="b">
        <v>0</v>
      </c>
      <c r="H1240" t="b">
        <v>0</v>
      </c>
      <c r="I1240" t="s">
        <v>1050</v>
      </c>
      <c r="J1240">
        <v>80</v>
      </c>
      <c r="K1240" t="s">
        <v>0</v>
      </c>
      <c r="L1240" t="s">
        <v>1167</v>
      </c>
      <c r="M1240" t="s">
        <v>1168</v>
      </c>
      <c r="N1240" t="s">
        <v>1169</v>
      </c>
      <c r="O1240" t="s">
        <v>1168</v>
      </c>
      <c r="P1240" t="s">
        <v>1283</v>
      </c>
    </row>
    <row r="1241" spans="1:16" x14ac:dyDescent="0.25">
      <c r="A1241" t="s">
        <v>3057</v>
      </c>
      <c r="B1241" t="s">
        <v>3058</v>
      </c>
      <c r="C1241" t="s">
        <v>1571</v>
      </c>
      <c r="D1241" t="s">
        <v>1027</v>
      </c>
      <c r="E1241">
        <v>63767</v>
      </c>
      <c r="G1241" t="b">
        <v>0</v>
      </c>
      <c r="H1241" t="b">
        <v>0</v>
      </c>
      <c r="I1241" t="s">
        <v>1050</v>
      </c>
      <c r="J1241">
        <v>80</v>
      </c>
      <c r="K1241" t="s">
        <v>0</v>
      </c>
      <c r="L1241" t="s">
        <v>1167</v>
      </c>
      <c r="M1241" t="s">
        <v>1168</v>
      </c>
      <c r="N1241" t="s">
        <v>1169</v>
      </c>
      <c r="O1241" t="s">
        <v>1168</v>
      </c>
      <c r="P1241" t="s">
        <v>1283</v>
      </c>
    </row>
    <row r="1242" spans="1:16" x14ac:dyDescent="0.25">
      <c r="A1242" t="s">
        <v>3059</v>
      </c>
      <c r="B1242" t="s">
        <v>3060</v>
      </c>
      <c r="C1242" t="s">
        <v>1571</v>
      </c>
      <c r="D1242" t="s">
        <v>1027</v>
      </c>
      <c r="E1242">
        <v>63767</v>
      </c>
      <c r="G1242" t="b">
        <v>0</v>
      </c>
      <c r="H1242" t="b">
        <v>0</v>
      </c>
      <c r="I1242" t="s">
        <v>1050</v>
      </c>
      <c r="J1242">
        <v>80</v>
      </c>
      <c r="K1242" t="s">
        <v>0</v>
      </c>
      <c r="L1242" t="s">
        <v>1167</v>
      </c>
      <c r="M1242" t="s">
        <v>1168</v>
      </c>
      <c r="N1242" t="s">
        <v>1169</v>
      </c>
      <c r="O1242" t="s">
        <v>1168</v>
      </c>
      <c r="P1242" t="s">
        <v>1283</v>
      </c>
    </row>
    <row r="1243" spans="1:16" x14ac:dyDescent="0.25">
      <c r="A1243" t="s">
        <v>3061</v>
      </c>
      <c r="B1243" t="s">
        <v>3062</v>
      </c>
      <c r="C1243" t="s">
        <v>1571</v>
      </c>
      <c r="D1243" t="s">
        <v>1027</v>
      </c>
      <c r="E1243">
        <v>63767</v>
      </c>
      <c r="G1243" t="b">
        <v>0</v>
      </c>
      <c r="H1243" t="b">
        <v>0</v>
      </c>
      <c r="I1243" t="s">
        <v>1050</v>
      </c>
      <c r="J1243">
        <v>80</v>
      </c>
      <c r="K1243" t="s">
        <v>0</v>
      </c>
      <c r="L1243" t="s">
        <v>1167</v>
      </c>
      <c r="M1243" t="s">
        <v>1168</v>
      </c>
      <c r="N1243" t="s">
        <v>1169</v>
      </c>
      <c r="O1243" t="s">
        <v>1168</v>
      </c>
      <c r="P1243" t="s">
        <v>1283</v>
      </c>
    </row>
    <row r="1244" spans="1:16" x14ac:dyDescent="0.25">
      <c r="A1244" t="s">
        <v>3063</v>
      </c>
      <c r="B1244" t="s">
        <v>3064</v>
      </c>
      <c r="C1244" t="s">
        <v>1571</v>
      </c>
      <c r="D1244" t="s">
        <v>1027</v>
      </c>
      <c r="E1244">
        <v>63767</v>
      </c>
      <c r="G1244" t="b">
        <v>0</v>
      </c>
      <c r="H1244" t="b">
        <v>0</v>
      </c>
      <c r="I1244" t="s">
        <v>1050</v>
      </c>
      <c r="J1244">
        <v>80</v>
      </c>
      <c r="K1244" t="s">
        <v>0</v>
      </c>
      <c r="L1244" t="s">
        <v>1167</v>
      </c>
      <c r="M1244" t="s">
        <v>1168</v>
      </c>
      <c r="N1244" t="s">
        <v>1169</v>
      </c>
      <c r="O1244" t="s">
        <v>1168</v>
      </c>
      <c r="P1244" t="s">
        <v>1283</v>
      </c>
    </row>
    <row r="1245" spans="1:16" x14ac:dyDescent="0.25">
      <c r="A1245" t="s">
        <v>3065</v>
      </c>
      <c r="B1245" t="s">
        <v>3066</v>
      </c>
      <c r="C1245" t="s">
        <v>1571</v>
      </c>
      <c r="D1245" t="s">
        <v>1027</v>
      </c>
      <c r="E1245">
        <v>63767</v>
      </c>
      <c r="G1245" t="b">
        <v>0</v>
      </c>
      <c r="H1245" t="b">
        <v>0</v>
      </c>
      <c r="I1245" t="s">
        <v>1050</v>
      </c>
      <c r="J1245">
        <v>80</v>
      </c>
      <c r="K1245" t="s">
        <v>0</v>
      </c>
      <c r="L1245" t="s">
        <v>1167</v>
      </c>
      <c r="M1245" t="s">
        <v>1168</v>
      </c>
      <c r="N1245" t="s">
        <v>1169</v>
      </c>
      <c r="O1245" t="s">
        <v>1168</v>
      </c>
      <c r="P1245" t="s">
        <v>1283</v>
      </c>
    </row>
    <row r="1246" spans="1:16" x14ac:dyDescent="0.25">
      <c r="A1246" t="s">
        <v>3067</v>
      </c>
      <c r="B1246" t="s">
        <v>3068</v>
      </c>
      <c r="C1246" t="s">
        <v>1233</v>
      </c>
      <c r="D1246" t="s">
        <v>1027</v>
      </c>
      <c r="E1246">
        <v>63762</v>
      </c>
      <c r="F1246" t="s">
        <v>1234</v>
      </c>
      <c r="G1246" t="b">
        <v>0</v>
      </c>
      <c r="H1246" t="b">
        <v>0</v>
      </c>
      <c r="I1246" t="s">
        <v>1050</v>
      </c>
      <c r="J1246">
        <v>80</v>
      </c>
      <c r="K1246" t="s">
        <v>0</v>
      </c>
      <c r="L1246" t="s">
        <v>1167</v>
      </c>
      <c r="M1246" t="s">
        <v>1168</v>
      </c>
      <c r="N1246" t="s">
        <v>1169</v>
      </c>
      <c r="O1246" t="s">
        <v>1168</v>
      </c>
      <c r="P1246" t="s">
        <v>1235</v>
      </c>
    </row>
    <row r="1247" spans="1:16" x14ac:dyDescent="0.25">
      <c r="A1247" t="s">
        <v>3069</v>
      </c>
      <c r="B1247" t="s">
        <v>3070</v>
      </c>
      <c r="C1247" t="s">
        <v>1233</v>
      </c>
      <c r="D1247" t="s">
        <v>1027</v>
      </c>
      <c r="E1247">
        <v>63762</v>
      </c>
      <c r="F1247" t="s">
        <v>1234</v>
      </c>
      <c r="G1247" t="b">
        <v>0</v>
      </c>
      <c r="H1247" t="b">
        <v>0</v>
      </c>
      <c r="I1247" t="s">
        <v>1050</v>
      </c>
      <c r="J1247">
        <v>87</v>
      </c>
      <c r="K1247" t="s">
        <v>0</v>
      </c>
      <c r="L1247" t="s">
        <v>1167</v>
      </c>
      <c r="M1247" t="s">
        <v>1168</v>
      </c>
      <c r="N1247" t="s">
        <v>1169</v>
      </c>
      <c r="O1247" t="s">
        <v>1168</v>
      </c>
      <c r="P1247" t="s">
        <v>1235</v>
      </c>
    </row>
    <row r="1248" spans="1:16" x14ac:dyDescent="0.25">
      <c r="A1248" t="s">
        <v>3071</v>
      </c>
      <c r="B1248" t="s">
        <v>3072</v>
      </c>
      <c r="C1248" t="s">
        <v>1233</v>
      </c>
      <c r="D1248" t="s">
        <v>1027</v>
      </c>
      <c r="E1248">
        <v>63762</v>
      </c>
      <c r="F1248" t="s">
        <v>1234</v>
      </c>
      <c r="G1248" t="b">
        <v>0</v>
      </c>
      <c r="H1248" t="b">
        <v>0</v>
      </c>
      <c r="I1248" t="s">
        <v>1050</v>
      </c>
      <c r="J1248">
        <v>80</v>
      </c>
      <c r="K1248" t="s">
        <v>0</v>
      </c>
      <c r="L1248" t="s">
        <v>1167</v>
      </c>
      <c r="M1248" t="s">
        <v>1168</v>
      </c>
      <c r="N1248" t="s">
        <v>1169</v>
      </c>
      <c r="O1248" t="s">
        <v>1168</v>
      </c>
      <c r="P1248" t="s">
        <v>1235</v>
      </c>
    </row>
    <row r="1249" spans="1:16" x14ac:dyDescent="0.25">
      <c r="A1249" t="s">
        <v>3073</v>
      </c>
      <c r="B1249" t="s">
        <v>3074</v>
      </c>
      <c r="C1249" t="s">
        <v>1571</v>
      </c>
      <c r="D1249" t="s">
        <v>1027</v>
      </c>
      <c r="E1249">
        <v>63767</v>
      </c>
      <c r="G1249" t="b">
        <v>0</v>
      </c>
      <c r="H1249" t="b">
        <v>0</v>
      </c>
      <c r="I1249" t="s">
        <v>1050</v>
      </c>
      <c r="J1249">
        <v>80</v>
      </c>
      <c r="K1249" t="s">
        <v>0</v>
      </c>
      <c r="L1249" t="s">
        <v>1167</v>
      </c>
      <c r="M1249" t="s">
        <v>1168</v>
      </c>
      <c r="N1249" t="s">
        <v>1169</v>
      </c>
      <c r="O1249" t="s">
        <v>1168</v>
      </c>
      <c r="P1249" t="s">
        <v>1283</v>
      </c>
    </row>
    <row r="1250" spans="1:16" x14ac:dyDescent="0.25">
      <c r="A1250" t="s">
        <v>3075</v>
      </c>
      <c r="B1250" t="s">
        <v>3076</v>
      </c>
      <c r="C1250" t="s">
        <v>1571</v>
      </c>
      <c r="D1250" t="s">
        <v>1027</v>
      </c>
      <c r="E1250">
        <v>63767</v>
      </c>
      <c r="G1250" t="b">
        <v>0</v>
      </c>
      <c r="H1250" t="b">
        <v>0</v>
      </c>
      <c r="I1250" t="s">
        <v>1050</v>
      </c>
      <c r="J1250">
        <v>80</v>
      </c>
      <c r="K1250" t="s">
        <v>0</v>
      </c>
      <c r="L1250" t="s">
        <v>1167</v>
      </c>
      <c r="M1250" t="s">
        <v>1168</v>
      </c>
      <c r="N1250" t="s">
        <v>1169</v>
      </c>
      <c r="O1250" t="s">
        <v>1168</v>
      </c>
      <c r="P1250" t="s">
        <v>1283</v>
      </c>
    </row>
    <row r="1251" spans="1:16" x14ac:dyDescent="0.25">
      <c r="A1251" t="s">
        <v>3077</v>
      </c>
      <c r="B1251" t="s">
        <v>3078</v>
      </c>
      <c r="C1251" t="s">
        <v>1571</v>
      </c>
      <c r="D1251" t="s">
        <v>1027</v>
      </c>
      <c r="E1251">
        <v>63767</v>
      </c>
      <c r="G1251" t="b">
        <v>0</v>
      </c>
      <c r="H1251" t="b">
        <v>0</v>
      </c>
      <c r="I1251" t="s">
        <v>1050</v>
      </c>
      <c r="J1251">
        <v>80</v>
      </c>
      <c r="K1251" t="s">
        <v>0</v>
      </c>
      <c r="L1251" t="s">
        <v>1167</v>
      </c>
      <c r="M1251" t="s">
        <v>1168</v>
      </c>
      <c r="N1251" t="s">
        <v>1169</v>
      </c>
      <c r="O1251" t="s">
        <v>1168</v>
      </c>
      <c r="P1251" t="s">
        <v>1283</v>
      </c>
    </row>
    <row r="1252" spans="1:16" x14ac:dyDescent="0.25">
      <c r="A1252" t="s">
        <v>3079</v>
      </c>
      <c r="B1252" t="s">
        <v>3080</v>
      </c>
      <c r="C1252" t="s">
        <v>1571</v>
      </c>
      <c r="D1252" t="s">
        <v>1027</v>
      </c>
      <c r="E1252">
        <v>63767</v>
      </c>
      <c r="G1252" t="b">
        <v>0</v>
      </c>
      <c r="H1252" t="b">
        <v>0</v>
      </c>
      <c r="I1252" t="s">
        <v>1050</v>
      </c>
      <c r="J1252">
        <v>87</v>
      </c>
      <c r="K1252" t="s">
        <v>0</v>
      </c>
      <c r="L1252" t="s">
        <v>1167</v>
      </c>
      <c r="M1252" t="s">
        <v>1168</v>
      </c>
      <c r="N1252" t="s">
        <v>1169</v>
      </c>
      <c r="O1252" t="s">
        <v>1168</v>
      </c>
      <c r="P1252" t="s">
        <v>1283</v>
      </c>
    </row>
    <row r="1253" spans="1:16" x14ac:dyDescent="0.25">
      <c r="A1253" t="s">
        <v>3081</v>
      </c>
      <c r="B1253" t="s">
        <v>3082</v>
      </c>
      <c r="C1253" t="s">
        <v>1678</v>
      </c>
      <c r="D1253" t="s">
        <v>1027</v>
      </c>
      <c r="E1253">
        <v>63786</v>
      </c>
      <c r="F1253" t="s">
        <v>1679</v>
      </c>
      <c r="G1253" t="b">
        <v>0</v>
      </c>
      <c r="H1253" t="b">
        <v>0</v>
      </c>
      <c r="I1253" t="s">
        <v>1050</v>
      </c>
      <c r="J1253">
        <v>65</v>
      </c>
      <c r="K1253" t="s">
        <v>0</v>
      </c>
      <c r="L1253" t="s">
        <v>1680</v>
      </c>
      <c r="M1253" t="s">
        <v>1680</v>
      </c>
      <c r="N1253" t="s">
        <v>1681</v>
      </c>
      <c r="O1253" t="s">
        <v>1680</v>
      </c>
      <c r="P1253" t="s">
        <v>3083</v>
      </c>
    </row>
    <row r="1254" spans="1:16" x14ac:dyDescent="0.25">
      <c r="A1254" t="s">
        <v>3084</v>
      </c>
      <c r="B1254" t="s">
        <v>3085</v>
      </c>
      <c r="C1254" t="s">
        <v>1678</v>
      </c>
      <c r="D1254" t="s">
        <v>1027</v>
      </c>
      <c r="E1254">
        <v>63786</v>
      </c>
      <c r="F1254" t="s">
        <v>1679</v>
      </c>
      <c r="G1254" t="b">
        <v>0</v>
      </c>
      <c r="H1254" t="b">
        <v>0</v>
      </c>
      <c r="I1254" t="s">
        <v>1050</v>
      </c>
      <c r="J1254">
        <v>65</v>
      </c>
      <c r="K1254" t="s">
        <v>0</v>
      </c>
      <c r="L1254" t="s">
        <v>1680</v>
      </c>
      <c r="M1254" t="s">
        <v>1680</v>
      </c>
      <c r="N1254" t="s">
        <v>1681</v>
      </c>
      <c r="O1254" t="s">
        <v>1680</v>
      </c>
      <c r="P1254" t="s">
        <v>3083</v>
      </c>
    </row>
    <row r="1255" spans="1:16" x14ac:dyDescent="0.25">
      <c r="A1255" t="s">
        <v>3086</v>
      </c>
      <c r="B1255" t="s">
        <v>3087</v>
      </c>
      <c r="C1255" t="s">
        <v>1678</v>
      </c>
      <c r="D1255" t="s">
        <v>1027</v>
      </c>
      <c r="E1255">
        <v>63786</v>
      </c>
      <c r="F1255" t="s">
        <v>1679</v>
      </c>
      <c r="G1255" t="b">
        <v>0</v>
      </c>
      <c r="H1255" t="b">
        <v>0</v>
      </c>
      <c r="I1255" t="s">
        <v>1050</v>
      </c>
      <c r="J1255">
        <v>65</v>
      </c>
      <c r="K1255" t="s">
        <v>0</v>
      </c>
      <c r="L1255" t="s">
        <v>1680</v>
      </c>
      <c r="M1255" t="s">
        <v>1680</v>
      </c>
      <c r="N1255" t="s">
        <v>1681</v>
      </c>
      <c r="O1255" t="s">
        <v>1680</v>
      </c>
      <c r="P1255" t="s">
        <v>3083</v>
      </c>
    </row>
    <row r="1256" spans="1:16" x14ac:dyDescent="0.25">
      <c r="A1256" t="s">
        <v>3088</v>
      </c>
      <c r="B1256" t="s">
        <v>3089</v>
      </c>
      <c r="C1256" t="s">
        <v>1678</v>
      </c>
      <c r="D1256" t="s">
        <v>1027</v>
      </c>
      <c r="E1256">
        <v>63786</v>
      </c>
      <c r="F1256" t="s">
        <v>1679</v>
      </c>
      <c r="G1256" t="b">
        <v>0</v>
      </c>
      <c r="H1256" t="b">
        <v>0</v>
      </c>
      <c r="I1256" t="s">
        <v>1050</v>
      </c>
      <c r="J1256">
        <v>65</v>
      </c>
      <c r="K1256" t="s">
        <v>0</v>
      </c>
      <c r="L1256" t="s">
        <v>1680</v>
      </c>
      <c r="M1256" t="s">
        <v>1680</v>
      </c>
      <c r="N1256" t="s">
        <v>1681</v>
      </c>
      <c r="O1256" t="s">
        <v>1680</v>
      </c>
      <c r="P1256" t="s">
        <v>3083</v>
      </c>
    </row>
    <row r="1257" spans="1:16" x14ac:dyDescent="0.25">
      <c r="A1257" t="s">
        <v>3090</v>
      </c>
      <c r="B1257" t="s">
        <v>3091</v>
      </c>
      <c r="C1257" t="s">
        <v>1678</v>
      </c>
      <c r="D1257" t="s">
        <v>1027</v>
      </c>
      <c r="E1257">
        <v>63786</v>
      </c>
      <c r="F1257" t="s">
        <v>1679</v>
      </c>
      <c r="G1257" t="b">
        <v>0</v>
      </c>
      <c r="H1257" t="b">
        <v>0</v>
      </c>
      <c r="I1257" t="s">
        <v>1050</v>
      </c>
      <c r="J1257">
        <v>65</v>
      </c>
      <c r="K1257" t="s">
        <v>0</v>
      </c>
      <c r="L1257" t="s">
        <v>1680</v>
      </c>
      <c r="M1257" t="s">
        <v>1680</v>
      </c>
      <c r="N1257" t="s">
        <v>1681</v>
      </c>
      <c r="O1257" t="s">
        <v>1680</v>
      </c>
      <c r="P1257" t="s">
        <v>3083</v>
      </c>
    </row>
    <row r="1258" spans="1:16" x14ac:dyDescent="0.25">
      <c r="A1258" t="s">
        <v>3092</v>
      </c>
      <c r="B1258" t="s">
        <v>3093</v>
      </c>
      <c r="C1258" t="s">
        <v>3094</v>
      </c>
      <c r="D1258" t="s">
        <v>1027</v>
      </c>
      <c r="E1258">
        <v>1337</v>
      </c>
      <c r="G1258" t="b">
        <v>0</v>
      </c>
      <c r="H1258" t="b">
        <v>0</v>
      </c>
      <c r="I1258" t="s">
        <v>1050</v>
      </c>
      <c r="J1258">
        <v>76</v>
      </c>
      <c r="K1258" t="s">
        <v>0</v>
      </c>
      <c r="L1258" t="s">
        <v>3095</v>
      </c>
      <c r="M1258" t="s">
        <v>1175</v>
      </c>
      <c r="N1258" t="s">
        <v>1176</v>
      </c>
      <c r="O1258" t="s">
        <v>1175</v>
      </c>
      <c r="P1258" t="s">
        <v>3096</v>
      </c>
    </row>
    <row r="1259" spans="1:16" x14ac:dyDescent="0.25">
      <c r="A1259" t="s">
        <v>3097</v>
      </c>
      <c r="B1259" t="s">
        <v>3093</v>
      </c>
      <c r="C1259" t="s">
        <v>3094</v>
      </c>
      <c r="D1259" t="s">
        <v>1027</v>
      </c>
      <c r="E1259">
        <v>1337</v>
      </c>
      <c r="G1259" t="b">
        <v>0</v>
      </c>
      <c r="H1259" t="b">
        <v>0</v>
      </c>
      <c r="I1259" t="s">
        <v>1050</v>
      </c>
      <c r="J1259">
        <v>76</v>
      </c>
      <c r="K1259" t="s">
        <v>0</v>
      </c>
      <c r="L1259" t="s">
        <v>3095</v>
      </c>
      <c r="M1259" t="s">
        <v>1175</v>
      </c>
      <c r="N1259" t="s">
        <v>1176</v>
      </c>
      <c r="O1259" t="s">
        <v>1175</v>
      </c>
      <c r="P1259" t="s">
        <v>3096</v>
      </c>
    </row>
    <row r="1260" spans="1:16" x14ac:dyDescent="0.25">
      <c r="A1260" t="s">
        <v>3098</v>
      </c>
      <c r="B1260" t="s">
        <v>3093</v>
      </c>
      <c r="C1260" t="s">
        <v>3094</v>
      </c>
      <c r="D1260" t="s">
        <v>1027</v>
      </c>
      <c r="E1260">
        <v>1337</v>
      </c>
      <c r="G1260" t="b">
        <v>0</v>
      </c>
      <c r="H1260" t="b">
        <v>0</v>
      </c>
      <c r="I1260" t="s">
        <v>1050</v>
      </c>
      <c r="J1260">
        <v>76</v>
      </c>
      <c r="K1260" t="s">
        <v>0</v>
      </c>
      <c r="L1260" t="s">
        <v>3095</v>
      </c>
      <c r="M1260" t="s">
        <v>1175</v>
      </c>
      <c r="N1260" t="s">
        <v>1176</v>
      </c>
      <c r="O1260" t="s">
        <v>1175</v>
      </c>
      <c r="P1260" t="s">
        <v>3096</v>
      </c>
    </row>
    <row r="1261" spans="1:16" x14ac:dyDescent="0.25">
      <c r="A1261" t="s">
        <v>3099</v>
      </c>
      <c r="B1261" t="s">
        <v>3093</v>
      </c>
      <c r="C1261" t="s">
        <v>3094</v>
      </c>
      <c r="D1261" t="s">
        <v>1027</v>
      </c>
      <c r="E1261">
        <v>1337</v>
      </c>
      <c r="G1261" t="b">
        <v>0</v>
      </c>
      <c r="H1261" t="b">
        <v>0</v>
      </c>
      <c r="I1261" t="s">
        <v>1050</v>
      </c>
      <c r="J1261">
        <v>76</v>
      </c>
      <c r="K1261" t="s">
        <v>0</v>
      </c>
      <c r="L1261" t="s">
        <v>3095</v>
      </c>
      <c r="M1261" t="s">
        <v>1175</v>
      </c>
      <c r="N1261" t="s">
        <v>1176</v>
      </c>
      <c r="O1261" t="s">
        <v>1175</v>
      </c>
      <c r="P1261" t="s">
        <v>3096</v>
      </c>
    </row>
    <row r="1262" spans="1:16" x14ac:dyDescent="0.25">
      <c r="A1262" t="s">
        <v>3100</v>
      </c>
      <c r="B1262" t="s">
        <v>3093</v>
      </c>
      <c r="C1262" t="s">
        <v>3094</v>
      </c>
      <c r="D1262" t="s">
        <v>1027</v>
      </c>
      <c r="E1262">
        <v>1337</v>
      </c>
      <c r="G1262" t="b">
        <v>0</v>
      </c>
      <c r="H1262" t="b">
        <v>0</v>
      </c>
      <c r="I1262" t="s">
        <v>1050</v>
      </c>
      <c r="J1262">
        <v>78</v>
      </c>
      <c r="K1262" t="s">
        <v>0</v>
      </c>
      <c r="L1262" t="s">
        <v>3095</v>
      </c>
      <c r="M1262" t="s">
        <v>1175</v>
      </c>
      <c r="N1262" t="s">
        <v>1176</v>
      </c>
      <c r="O1262" t="s">
        <v>1175</v>
      </c>
      <c r="P1262" t="s">
        <v>3096</v>
      </c>
    </row>
    <row r="1263" spans="1:16" x14ac:dyDescent="0.25">
      <c r="A1263" t="s">
        <v>3101</v>
      </c>
      <c r="B1263" t="s">
        <v>3093</v>
      </c>
      <c r="C1263" t="s">
        <v>3094</v>
      </c>
      <c r="D1263" t="s">
        <v>1027</v>
      </c>
      <c r="E1263">
        <v>1337</v>
      </c>
      <c r="G1263" t="b">
        <v>0</v>
      </c>
      <c r="H1263" t="b">
        <v>0</v>
      </c>
      <c r="I1263" t="s">
        <v>1050</v>
      </c>
      <c r="J1263">
        <v>78</v>
      </c>
      <c r="K1263" t="s">
        <v>0</v>
      </c>
      <c r="L1263" t="s">
        <v>3095</v>
      </c>
      <c r="M1263" t="s">
        <v>1175</v>
      </c>
      <c r="N1263" t="s">
        <v>1176</v>
      </c>
      <c r="O1263" t="s">
        <v>1175</v>
      </c>
      <c r="P1263" t="s">
        <v>3096</v>
      </c>
    </row>
    <row r="1264" spans="1:16" x14ac:dyDescent="0.25">
      <c r="A1264" t="s">
        <v>3102</v>
      </c>
      <c r="B1264" t="s">
        <v>3093</v>
      </c>
      <c r="C1264" t="s">
        <v>3094</v>
      </c>
      <c r="D1264" t="s">
        <v>1027</v>
      </c>
      <c r="E1264">
        <v>1337</v>
      </c>
      <c r="G1264" t="b">
        <v>0</v>
      </c>
      <c r="H1264" t="b">
        <v>0</v>
      </c>
      <c r="I1264" t="s">
        <v>1050</v>
      </c>
      <c r="J1264">
        <v>77</v>
      </c>
      <c r="K1264" t="s">
        <v>0</v>
      </c>
      <c r="L1264" t="s">
        <v>3095</v>
      </c>
      <c r="M1264" t="s">
        <v>1175</v>
      </c>
      <c r="N1264" t="s">
        <v>1176</v>
      </c>
      <c r="O1264" t="s">
        <v>1175</v>
      </c>
      <c r="P1264" t="s">
        <v>3096</v>
      </c>
    </row>
    <row r="1265" spans="1:16" x14ac:dyDescent="0.25">
      <c r="A1265" t="s">
        <v>3103</v>
      </c>
      <c r="B1265" t="s">
        <v>3093</v>
      </c>
      <c r="C1265" t="s">
        <v>3094</v>
      </c>
      <c r="D1265" t="s">
        <v>1027</v>
      </c>
      <c r="E1265">
        <v>1337</v>
      </c>
      <c r="G1265" t="b">
        <v>0</v>
      </c>
      <c r="H1265" t="b">
        <v>0</v>
      </c>
      <c r="I1265" t="s">
        <v>1050</v>
      </c>
      <c r="J1265">
        <v>77</v>
      </c>
      <c r="K1265" t="s">
        <v>0</v>
      </c>
      <c r="L1265" t="s">
        <v>3095</v>
      </c>
      <c r="M1265" t="s">
        <v>1175</v>
      </c>
      <c r="N1265" t="s">
        <v>1176</v>
      </c>
      <c r="O1265" t="s">
        <v>1175</v>
      </c>
      <c r="P1265" t="s">
        <v>3096</v>
      </c>
    </row>
    <row r="1266" spans="1:16" x14ac:dyDescent="0.25">
      <c r="A1266" t="s">
        <v>3104</v>
      </c>
      <c r="B1266" t="s">
        <v>3093</v>
      </c>
      <c r="C1266" t="s">
        <v>3094</v>
      </c>
      <c r="D1266" t="s">
        <v>1027</v>
      </c>
      <c r="E1266">
        <v>1337</v>
      </c>
      <c r="G1266" t="b">
        <v>0</v>
      </c>
      <c r="H1266" t="b">
        <v>0</v>
      </c>
      <c r="I1266" t="s">
        <v>1050</v>
      </c>
      <c r="J1266">
        <v>77</v>
      </c>
      <c r="K1266" t="s">
        <v>0</v>
      </c>
      <c r="L1266" t="s">
        <v>3095</v>
      </c>
      <c r="M1266" t="s">
        <v>1175</v>
      </c>
      <c r="N1266" t="s">
        <v>1176</v>
      </c>
      <c r="O1266" t="s">
        <v>1175</v>
      </c>
      <c r="P1266" t="s">
        <v>3096</v>
      </c>
    </row>
    <row r="1267" spans="1:16" x14ac:dyDescent="0.25">
      <c r="A1267" t="s">
        <v>3105</v>
      </c>
      <c r="B1267" t="s">
        <v>3093</v>
      </c>
      <c r="C1267" t="s">
        <v>3094</v>
      </c>
      <c r="D1267" t="s">
        <v>1027</v>
      </c>
      <c r="E1267">
        <v>1337</v>
      </c>
      <c r="G1267" t="b">
        <v>0</v>
      </c>
      <c r="H1267" t="b">
        <v>0</v>
      </c>
      <c r="I1267" t="s">
        <v>1050</v>
      </c>
      <c r="J1267">
        <v>76</v>
      </c>
      <c r="K1267" t="s">
        <v>0</v>
      </c>
      <c r="L1267" t="s">
        <v>3095</v>
      </c>
      <c r="M1267" t="s">
        <v>1175</v>
      </c>
      <c r="N1267" t="s">
        <v>1176</v>
      </c>
      <c r="O1267" t="s">
        <v>1175</v>
      </c>
      <c r="P1267" t="s">
        <v>3096</v>
      </c>
    </row>
    <row r="1268" spans="1:16" x14ac:dyDescent="0.25">
      <c r="A1268" t="s">
        <v>3106</v>
      </c>
      <c r="B1268" t="s">
        <v>3093</v>
      </c>
      <c r="C1268" t="s">
        <v>3094</v>
      </c>
      <c r="D1268" t="s">
        <v>1027</v>
      </c>
      <c r="E1268">
        <v>1337</v>
      </c>
      <c r="G1268" t="b">
        <v>0</v>
      </c>
      <c r="H1268" t="b">
        <v>0</v>
      </c>
      <c r="I1268" t="s">
        <v>1050</v>
      </c>
      <c r="J1268">
        <v>76</v>
      </c>
      <c r="K1268" t="s">
        <v>0</v>
      </c>
      <c r="L1268" t="s">
        <v>3095</v>
      </c>
      <c r="M1268" t="s">
        <v>1175</v>
      </c>
      <c r="N1268" t="s">
        <v>1176</v>
      </c>
      <c r="O1268" t="s">
        <v>1175</v>
      </c>
      <c r="P1268" t="s">
        <v>3096</v>
      </c>
    </row>
    <row r="1269" spans="1:16" x14ac:dyDescent="0.25">
      <c r="A1269" t="s">
        <v>3107</v>
      </c>
      <c r="B1269" t="s">
        <v>3093</v>
      </c>
      <c r="C1269" t="s">
        <v>3094</v>
      </c>
      <c r="D1269" t="s">
        <v>1027</v>
      </c>
      <c r="E1269">
        <v>1337</v>
      </c>
      <c r="G1269" t="b">
        <v>0</v>
      </c>
      <c r="H1269" t="b">
        <v>0</v>
      </c>
      <c r="I1269" t="s">
        <v>1050</v>
      </c>
      <c r="J1269">
        <v>76</v>
      </c>
      <c r="K1269" t="s">
        <v>0</v>
      </c>
      <c r="L1269" t="s">
        <v>3095</v>
      </c>
      <c r="M1269" t="s">
        <v>1175</v>
      </c>
      <c r="N1269" t="s">
        <v>1176</v>
      </c>
      <c r="O1269" t="s">
        <v>1175</v>
      </c>
      <c r="P1269" t="s">
        <v>3096</v>
      </c>
    </row>
    <row r="1270" spans="1:16" x14ac:dyDescent="0.25">
      <c r="A1270" t="s">
        <v>3108</v>
      </c>
      <c r="B1270" t="s">
        <v>3093</v>
      </c>
      <c r="C1270" t="s">
        <v>3094</v>
      </c>
      <c r="D1270" t="s">
        <v>1027</v>
      </c>
      <c r="E1270">
        <v>1337</v>
      </c>
      <c r="G1270" t="b">
        <v>0</v>
      </c>
      <c r="H1270" t="b">
        <v>0</v>
      </c>
      <c r="I1270" t="s">
        <v>1050</v>
      </c>
      <c r="J1270">
        <v>76</v>
      </c>
      <c r="K1270" t="s">
        <v>0</v>
      </c>
      <c r="L1270" t="s">
        <v>3095</v>
      </c>
      <c r="M1270" t="s">
        <v>1175</v>
      </c>
      <c r="N1270" t="s">
        <v>1176</v>
      </c>
      <c r="O1270" t="s">
        <v>1175</v>
      </c>
      <c r="P1270" t="s">
        <v>3096</v>
      </c>
    </row>
    <row r="1271" spans="1:16" x14ac:dyDescent="0.25">
      <c r="A1271" t="s">
        <v>3109</v>
      </c>
      <c r="B1271" t="s">
        <v>3093</v>
      </c>
      <c r="C1271" t="s">
        <v>3094</v>
      </c>
      <c r="D1271" t="s">
        <v>1027</v>
      </c>
      <c r="E1271">
        <v>1337</v>
      </c>
      <c r="G1271" t="b">
        <v>0</v>
      </c>
      <c r="H1271" t="b">
        <v>0</v>
      </c>
      <c r="I1271" t="s">
        <v>1050</v>
      </c>
      <c r="J1271">
        <v>76</v>
      </c>
      <c r="K1271" t="s">
        <v>0</v>
      </c>
      <c r="L1271" t="s">
        <v>3095</v>
      </c>
      <c r="M1271" t="s">
        <v>1175</v>
      </c>
      <c r="N1271" t="s">
        <v>1176</v>
      </c>
      <c r="O1271" t="s">
        <v>1175</v>
      </c>
      <c r="P1271" t="s">
        <v>3096</v>
      </c>
    </row>
    <row r="1272" spans="1:16" x14ac:dyDescent="0.25">
      <c r="A1272" t="s">
        <v>3110</v>
      </c>
      <c r="B1272" t="s">
        <v>3093</v>
      </c>
      <c r="C1272" t="s">
        <v>3094</v>
      </c>
      <c r="D1272" t="s">
        <v>1027</v>
      </c>
      <c r="E1272">
        <v>1337</v>
      </c>
      <c r="G1272" t="b">
        <v>0</v>
      </c>
      <c r="H1272" t="b">
        <v>0</v>
      </c>
      <c r="I1272" t="s">
        <v>1050</v>
      </c>
      <c r="J1272">
        <v>76</v>
      </c>
      <c r="K1272" t="s">
        <v>0</v>
      </c>
      <c r="L1272" t="s">
        <v>3095</v>
      </c>
      <c r="M1272" t="s">
        <v>1175</v>
      </c>
      <c r="N1272" t="s">
        <v>1176</v>
      </c>
      <c r="O1272" t="s">
        <v>1175</v>
      </c>
      <c r="P1272" t="s">
        <v>3096</v>
      </c>
    </row>
    <row r="1273" spans="1:16" x14ac:dyDescent="0.25">
      <c r="A1273" t="s">
        <v>3111</v>
      </c>
      <c r="B1273" t="s">
        <v>3093</v>
      </c>
      <c r="C1273" t="s">
        <v>3094</v>
      </c>
      <c r="D1273" t="s">
        <v>1027</v>
      </c>
      <c r="E1273">
        <v>1337</v>
      </c>
      <c r="G1273" t="b">
        <v>0</v>
      </c>
      <c r="H1273" t="b">
        <v>0</v>
      </c>
      <c r="I1273" t="s">
        <v>1050</v>
      </c>
      <c r="J1273">
        <v>76</v>
      </c>
      <c r="K1273" t="s">
        <v>0</v>
      </c>
      <c r="L1273" t="s">
        <v>3095</v>
      </c>
      <c r="M1273" t="s">
        <v>1175</v>
      </c>
      <c r="N1273" t="s">
        <v>1176</v>
      </c>
      <c r="O1273" t="s">
        <v>1175</v>
      </c>
      <c r="P1273" t="s">
        <v>3096</v>
      </c>
    </row>
    <row r="1274" spans="1:16" x14ac:dyDescent="0.25">
      <c r="A1274" t="s">
        <v>3112</v>
      </c>
      <c r="B1274" t="s">
        <v>3093</v>
      </c>
      <c r="C1274" t="s">
        <v>3094</v>
      </c>
      <c r="D1274" t="s">
        <v>1027</v>
      </c>
      <c r="E1274">
        <v>1337</v>
      </c>
      <c r="G1274" t="b">
        <v>0</v>
      </c>
      <c r="H1274" t="b">
        <v>0</v>
      </c>
      <c r="I1274" t="s">
        <v>1050</v>
      </c>
      <c r="J1274">
        <v>76</v>
      </c>
      <c r="K1274" t="s">
        <v>0</v>
      </c>
      <c r="L1274" t="s">
        <v>3095</v>
      </c>
      <c r="M1274" t="s">
        <v>1175</v>
      </c>
      <c r="N1274" t="s">
        <v>1176</v>
      </c>
      <c r="O1274" t="s">
        <v>1175</v>
      </c>
      <c r="P1274" t="s">
        <v>3096</v>
      </c>
    </row>
    <row r="1275" spans="1:16" x14ac:dyDescent="0.25">
      <c r="A1275" t="s">
        <v>3113</v>
      </c>
      <c r="B1275" t="s">
        <v>3114</v>
      </c>
      <c r="C1275" t="s">
        <v>1233</v>
      </c>
      <c r="D1275" t="s">
        <v>1027</v>
      </c>
      <c r="E1275">
        <v>63762</v>
      </c>
      <c r="F1275" t="s">
        <v>1234</v>
      </c>
      <c r="G1275" t="b">
        <v>0</v>
      </c>
      <c r="H1275" t="b">
        <v>0</v>
      </c>
      <c r="I1275" t="s">
        <v>1050</v>
      </c>
      <c r="J1275">
        <v>91</v>
      </c>
      <c r="K1275" t="s">
        <v>0</v>
      </c>
      <c r="L1275" t="s">
        <v>1167</v>
      </c>
      <c r="M1275" t="s">
        <v>1168</v>
      </c>
      <c r="N1275" t="s">
        <v>1169</v>
      </c>
      <c r="O1275" t="s">
        <v>1168</v>
      </c>
      <c r="P1275" t="s">
        <v>1235</v>
      </c>
    </row>
    <row r="1276" spans="1:16" x14ac:dyDescent="0.25">
      <c r="A1276" t="s">
        <v>3115</v>
      </c>
      <c r="B1276" t="s">
        <v>3116</v>
      </c>
      <c r="C1276" t="s">
        <v>1233</v>
      </c>
      <c r="D1276" t="s">
        <v>1027</v>
      </c>
      <c r="E1276">
        <v>63762</v>
      </c>
      <c r="F1276" t="s">
        <v>1234</v>
      </c>
      <c r="G1276" t="b">
        <v>0</v>
      </c>
      <c r="H1276" t="b">
        <v>0</v>
      </c>
      <c r="I1276" t="s">
        <v>1050</v>
      </c>
      <c r="J1276">
        <v>88</v>
      </c>
      <c r="K1276" t="s">
        <v>0</v>
      </c>
      <c r="L1276" t="s">
        <v>1167</v>
      </c>
      <c r="M1276" t="s">
        <v>1168</v>
      </c>
      <c r="N1276" t="s">
        <v>1169</v>
      </c>
      <c r="O1276" t="s">
        <v>1168</v>
      </c>
      <c r="P1276" t="s">
        <v>1235</v>
      </c>
    </row>
    <row r="1277" spans="1:16" x14ac:dyDescent="0.25">
      <c r="A1277" t="s">
        <v>3117</v>
      </c>
      <c r="B1277" t="s">
        <v>3118</v>
      </c>
      <c r="C1277" t="s">
        <v>1233</v>
      </c>
      <c r="D1277" t="s">
        <v>1027</v>
      </c>
      <c r="E1277">
        <v>63762</v>
      </c>
      <c r="F1277" t="s">
        <v>1234</v>
      </c>
      <c r="G1277" t="b">
        <v>0</v>
      </c>
      <c r="H1277" t="b">
        <v>0</v>
      </c>
      <c r="I1277" t="s">
        <v>1050</v>
      </c>
      <c r="J1277">
        <v>88</v>
      </c>
      <c r="K1277" t="s">
        <v>0</v>
      </c>
      <c r="L1277" t="s">
        <v>1167</v>
      </c>
      <c r="M1277" t="s">
        <v>1168</v>
      </c>
      <c r="N1277" t="s">
        <v>1169</v>
      </c>
      <c r="O1277" t="s">
        <v>1168</v>
      </c>
      <c r="P1277" t="s">
        <v>1235</v>
      </c>
    </row>
    <row r="1278" spans="1:16" x14ac:dyDescent="0.25">
      <c r="A1278" t="s">
        <v>3119</v>
      </c>
      <c r="B1278" t="s">
        <v>3120</v>
      </c>
      <c r="C1278" t="s">
        <v>1233</v>
      </c>
      <c r="D1278" t="s">
        <v>1027</v>
      </c>
      <c r="E1278">
        <v>63762</v>
      </c>
      <c r="F1278" t="s">
        <v>1234</v>
      </c>
      <c r="G1278" t="b">
        <v>0</v>
      </c>
      <c r="H1278" t="b">
        <v>0</v>
      </c>
      <c r="I1278" t="s">
        <v>1050</v>
      </c>
      <c r="J1278">
        <v>88</v>
      </c>
      <c r="K1278" t="s">
        <v>0</v>
      </c>
      <c r="L1278" t="s">
        <v>1167</v>
      </c>
      <c r="M1278" t="s">
        <v>1168</v>
      </c>
      <c r="N1278" t="s">
        <v>1169</v>
      </c>
      <c r="O1278" t="s">
        <v>1168</v>
      </c>
      <c r="P1278" t="s">
        <v>1235</v>
      </c>
    </row>
    <row r="1279" spans="1:16" x14ac:dyDescent="0.25">
      <c r="A1279" t="s">
        <v>3121</v>
      </c>
      <c r="B1279" t="s">
        <v>3122</v>
      </c>
      <c r="C1279" t="s">
        <v>1233</v>
      </c>
      <c r="D1279" t="s">
        <v>1027</v>
      </c>
      <c r="E1279">
        <v>63762</v>
      </c>
      <c r="F1279" t="s">
        <v>1234</v>
      </c>
      <c r="G1279" t="b">
        <v>0</v>
      </c>
      <c r="H1279" t="b">
        <v>0</v>
      </c>
      <c r="I1279" t="s">
        <v>1050</v>
      </c>
      <c r="J1279">
        <v>88</v>
      </c>
      <c r="K1279" t="s">
        <v>0</v>
      </c>
      <c r="L1279" t="s">
        <v>1167</v>
      </c>
      <c r="M1279" t="s">
        <v>1168</v>
      </c>
      <c r="N1279" t="s">
        <v>1169</v>
      </c>
      <c r="O1279" t="s">
        <v>1168</v>
      </c>
      <c r="P1279" t="s">
        <v>1235</v>
      </c>
    </row>
    <row r="1280" spans="1:16" x14ac:dyDescent="0.25">
      <c r="A1280" t="s">
        <v>3123</v>
      </c>
      <c r="B1280" t="s">
        <v>3124</v>
      </c>
      <c r="C1280" t="s">
        <v>1233</v>
      </c>
      <c r="D1280" t="s">
        <v>1027</v>
      </c>
      <c r="E1280">
        <v>63762</v>
      </c>
      <c r="F1280" t="s">
        <v>1234</v>
      </c>
      <c r="G1280" t="b">
        <v>0</v>
      </c>
      <c r="H1280" t="b">
        <v>0</v>
      </c>
      <c r="I1280" t="s">
        <v>1050</v>
      </c>
      <c r="J1280">
        <v>88</v>
      </c>
      <c r="K1280" t="s">
        <v>0</v>
      </c>
      <c r="L1280" t="s">
        <v>1167</v>
      </c>
      <c r="M1280" t="s">
        <v>1168</v>
      </c>
      <c r="N1280" t="s">
        <v>1169</v>
      </c>
      <c r="O1280" t="s">
        <v>1168</v>
      </c>
      <c r="P1280" t="s">
        <v>1235</v>
      </c>
    </row>
    <row r="1281" spans="1:16" x14ac:dyDescent="0.25">
      <c r="A1281" t="s">
        <v>3125</v>
      </c>
      <c r="B1281" t="s">
        <v>3126</v>
      </c>
      <c r="C1281" t="s">
        <v>1233</v>
      </c>
      <c r="D1281" t="s">
        <v>1027</v>
      </c>
      <c r="E1281">
        <v>63762</v>
      </c>
      <c r="F1281" t="s">
        <v>1234</v>
      </c>
      <c r="G1281" t="b">
        <v>0</v>
      </c>
      <c r="H1281" t="b">
        <v>0</v>
      </c>
      <c r="I1281" t="s">
        <v>1050</v>
      </c>
      <c r="J1281">
        <v>88</v>
      </c>
      <c r="K1281" t="s">
        <v>0</v>
      </c>
      <c r="L1281" t="s">
        <v>1167</v>
      </c>
      <c r="M1281" t="s">
        <v>1168</v>
      </c>
      <c r="N1281" t="s">
        <v>1169</v>
      </c>
      <c r="O1281" t="s">
        <v>1168</v>
      </c>
      <c r="P1281" t="s">
        <v>1235</v>
      </c>
    </row>
    <row r="1282" spans="1:16" x14ac:dyDescent="0.25">
      <c r="A1282" t="s">
        <v>3127</v>
      </c>
      <c r="B1282" t="s">
        <v>3128</v>
      </c>
      <c r="C1282" t="s">
        <v>1233</v>
      </c>
      <c r="D1282" t="s">
        <v>1027</v>
      </c>
      <c r="E1282">
        <v>63762</v>
      </c>
      <c r="F1282" t="s">
        <v>1234</v>
      </c>
      <c r="G1282" t="b">
        <v>0</v>
      </c>
      <c r="H1282" t="b">
        <v>0</v>
      </c>
      <c r="I1282" t="s">
        <v>1050</v>
      </c>
      <c r="J1282">
        <v>88</v>
      </c>
      <c r="K1282" t="s">
        <v>0</v>
      </c>
      <c r="L1282" t="s">
        <v>1167</v>
      </c>
      <c r="M1282" t="s">
        <v>1168</v>
      </c>
      <c r="N1282" t="s">
        <v>1169</v>
      </c>
      <c r="O1282" t="s">
        <v>1168</v>
      </c>
      <c r="P1282" t="s">
        <v>1235</v>
      </c>
    </row>
    <row r="1283" spans="1:16" x14ac:dyDescent="0.25">
      <c r="A1283" t="s">
        <v>3129</v>
      </c>
      <c r="B1283" t="s">
        <v>3130</v>
      </c>
      <c r="C1283" t="s">
        <v>1233</v>
      </c>
      <c r="D1283" t="s">
        <v>1027</v>
      </c>
      <c r="E1283">
        <v>63762</v>
      </c>
      <c r="F1283" t="s">
        <v>1234</v>
      </c>
      <c r="G1283" t="b">
        <v>0</v>
      </c>
      <c r="H1283" t="b">
        <v>0</v>
      </c>
      <c r="I1283" t="s">
        <v>1050</v>
      </c>
      <c r="J1283">
        <v>88</v>
      </c>
      <c r="K1283" t="s">
        <v>0</v>
      </c>
      <c r="L1283" t="s">
        <v>1167</v>
      </c>
      <c r="M1283" t="s">
        <v>1168</v>
      </c>
      <c r="N1283" t="s">
        <v>1169</v>
      </c>
      <c r="O1283" t="s">
        <v>1168</v>
      </c>
      <c r="P1283" t="s">
        <v>1235</v>
      </c>
    </row>
    <row r="1284" spans="1:16" x14ac:dyDescent="0.25">
      <c r="A1284" t="s">
        <v>3131</v>
      </c>
      <c r="B1284" t="s">
        <v>3132</v>
      </c>
      <c r="C1284" t="s">
        <v>1571</v>
      </c>
      <c r="D1284" t="s">
        <v>1027</v>
      </c>
      <c r="E1284">
        <v>63767</v>
      </c>
      <c r="G1284" t="b">
        <v>0</v>
      </c>
      <c r="H1284" t="b">
        <v>0</v>
      </c>
      <c r="I1284" t="s">
        <v>1050</v>
      </c>
      <c r="J1284">
        <v>80</v>
      </c>
      <c r="K1284" t="s">
        <v>0</v>
      </c>
      <c r="L1284" t="s">
        <v>1167</v>
      </c>
      <c r="M1284" t="s">
        <v>1168</v>
      </c>
      <c r="N1284" t="s">
        <v>1169</v>
      </c>
      <c r="O1284" t="s">
        <v>1168</v>
      </c>
      <c r="P1284" t="s">
        <v>1283</v>
      </c>
    </row>
    <row r="1285" spans="1:16" x14ac:dyDescent="0.25">
      <c r="A1285" t="s">
        <v>3133</v>
      </c>
      <c r="B1285" t="s">
        <v>3134</v>
      </c>
      <c r="C1285" t="s">
        <v>1571</v>
      </c>
      <c r="D1285" t="s">
        <v>1027</v>
      </c>
      <c r="E1285">
        <v>63767</v>
      </c>
      <c r="G1285" t="b">
        <v>0</v>
      </c>
      <c r="H1285" t="b">
        <v>0</v>
      </c>
      <c r="I1285" t="s">
        <v>1050</v>
      </c>
      <c r="J1285">
        <v>80</v>
      </c>
      <c r="K1285" t="s">
        <v>0</v>
      </c>
      <c r="L1285" t="s">
        <v>1167</v>
      </c>
      <c r="M1285" t="s">
        <v>1168</v>
      </c>
      <c r="N1285" t="s">
        <v>1169</v>
      </c>
      <c r="O1285" t="s">
        <v>1168</v>
      </c>
      <c r="P1285" t="s">
        <v>1283</v>
      </c>
    </row>
    <row r="1286" spans="1:16" x14ac:dyDescent="0.25">
      <c r="A1286" t="s">
        <v>3135</v>
      </c>
      <c r="B1286" t="s">
        <v>3136</v>
      </c>
      <c r="C1286" t="s">
        <v>1571</v>
      </c>
      <c r="D1286" t="s">
        <v>1027</v>
      </c>
      <c r="E1286">
        <v>63767</v>
      </c>
      <c r="G1286" t="b">
        <v>0</v>
      </c>
      <c r="H1286" t="b">
        <v>0</v>
      </c>
      <c r="I1286" t="s">
        <v>1050</v>
      </c>
      <c r="J1286">
        <v>80</v>
      </c>
      <c r="K1286" t="s">
        <v>0</v>
      </c>
      <c r="L1286" t="s">
        <v>1167</v>
      </c>
      <c r="M1286" t="s">
        <v>1168</v>
      </c>
      <c r="N1286" t="s">
        <v>1169</v>
      </c>
      <c r="O1286" t="s">
        <v>1168</v>
      </c>
      <c r="P1286" t="s">
        <v>1283</v>
      </c>
    </row>
    <row r="1287" spans="1:16" x14ac:dyDescent="0.25">
      <c r="A1287" t="s">
        <v>3137</v>
      </c>
      <c r="B1287" t="s">
        <v>3138</v>
      </c>
      <c r="C1287" t="s">
        <v>1571</v>
      </c>
      <c r="D1287" t="s">
        <v>1027</v>
      </c>
      <c r="E1287">
        <v>63767</v>
      </c>
      <c r="G1287" t="b">
        <v>0</v>
      </c>
      <c r="H1287" t="b">
        <v>0</v>
      </c>
      <c r="I1287" t="s">
        <v>1050</v>
      </c>
      <c r="J1287">
        <v>80</v>
      </c>
      <c r="K1287" t="s">
        <v>0</v>
      </c>
      <c r="L1287" t="s">
        <v>1167</v>
      </c>
      <c r="M1287" t="s">
        <v>1168</v>
      </c>
      <c r="N1287" t="s">
        <v>1169</v>
      </c>
      <c r="O1287" t="s">
        <v>1168</v>
      </c>
      <c r="P1287" t="s">
        <v>1283</v>
      </c>
    </row>
    <row r="1288" spans="1:16" x14ac:dyDescent="0.25">
      <c r="A1288" t="s">
        <v>3139</v>
      </c>
      <c r="B1288" t="s">
        <v>3140</v>
      </c>
      <c r="C1288" t="s">
        <v>1571</v>
      </c>
      <c r="D1288" t="s">
        <v>1027</v>
      </c>
      <c r="E1288">
        <v>63767</v>
      </c>
      <c r="G1288" t="b">
        <v>0</v>
      </c>
      <c r="H1288" t="b">
        <v>0</v>
      </c>
      <c r="I1288" t="s">
        <v>1050</v>
      </c>
      <c r="J1288">
        <v>80</v>
      </c>
      <c r="K1288" t="s">
        <v>0</v>
      </c>
      <c r="L1288" t="s">
        <v>1167</v>
      </c>
      <c r="M1288" t="s">
        <v>1168</v>
      </c>
      <c r="N1288" t="s">
        <v>1169</v>
      </c>
      <c r="O1288" t="s">
        <v>1168</v>
      </c>
      <c r="P1288" t="s">
        <v>1283</v>
      </c>
    </row>
    <row r="1289" spans="1:16" x14ac:dyDescent="0.25">
      <c r="A1289" t="s">
        <v>3141</v>
      </c>
      <c r="B1289" t="s">
        <v>3142</v>
      </c>
      <c r="C1289" t="s">
        <v>1571</v>
      </c>
      <c r="D1289" t="s">
        <v>1027</v>
      </c>
      <c r="E1289">
        <v>63767</v>
      </c>
      <c r="G1289" t="b">
        <v>0</v>
      </c>
      <c r="H1289" t="b">
        <v>0</v>
      </c>
      <c r="I1289" t="s">
        <v>1050</v>
      </c>
      <c r="J1289">
        <v>80</v>
      </c>
      <c r="K1289" t="s">
        <v>0</v>
      </c>
      <c r="L1289" t="s">
        <v>1167</v>
      </c>
      <c r="M1289" t="s">
        <v>1168</v>
      </c>
      <c r="N1289" t="s">
        <v>1169</v>
      </c>
      <c r="O1289" t="s">
        <v>1168</v>
      </c>
      <c r="P1289" t="s">
        <v>1283</v>
      </c>
    </row>
    <row r="1290" spans="1:16" x14ac:dyDescent="0.25">
      <c r="A1290" t="s">
        <v>3143</v>
      </c>
      <c r="B1290" t="s">
        <v>3144</v>
      </c>
      <c r="C1290" t="s">
        <v>1571</v>
      </c>
      <c r="D1290" t="s">
        <v>1027</v>
      </c>
      <c r="E1290">
        <v>63767</v>
      </c>
      <c r="G1290" t="b">
        <v>0</v>
      </c>
      <c r="H1290" t="b">
        <v>0</v>
      </c>
      <c r="I1290" t="s">
        <v>1050</v>
      </c>
      <c r="J1290">
        <v>80</v>
      </c>
      <c r="K1290" t="s">
        <v>0</v>
      </c>
      <c r="L1290" t="s">
        <v>1167</v>
      </c>
      <c r="M1290" t="s">
        <v>1168</v>
      </c>
      <c r="N1290" t="s">
        <v>1169</v>
      </c>
      <c r="O1290" t="s">
        <v>1168</v>
      </c>
      <c r="P1290" t="s">
        <v>1283</v>
      </c>
    </row>
    <row r="1291" spans="1:16" x14ac:dyDescent="0.25">
      <c r="A1291" t="s">
        <v>3145</v>
      </c>
      <c r="B1291" t="s">
        <v>3146</v>
      </c>
      <c r="C1291" t="s">
        <v>1571</v>
      </c>
      <c r="D1291" t="s">
        <v>1027</v>
      </c>
      <c r="E1291">
        <v>63767</v>
      </c>
      <c r="G1291" t="b">
        <v>0</v>
      </c>
      <c r="H1291" t="b">
        <v>0</v>
      </c>
      <c r="I1291" t="s">
        <v>1050</v>
      </c>
      <c r="J1291">
        <v>80</v>
      </c>
      <c r="K1291" t="s">
        <v>0</v>
      </c>
      <c r="L1291" t="s">
        <v>1167</v>
      </c>
      <c r="M1291" t="s">
        <v>1168</v>
      </c>
      <c r="N1291" t="s">
        <v>1169</v>
      </c>
      <c r="O1291" t="s">
        <v>1168</v>
      </c>
      <c r="P1291" t="s">
        <v>1283</v>
      </c>
    </row>
    <row r="1292" spans="1:16" x14ac:dyDescent="0.25">
      <c r="A1292" t="s">
        <v>3147</v>
      </c>
      <c r="B1292" t="s">
        <v>3148</v>
      </c>
      <c r="C1292" t="s">
        <v>2026</v>
      </c>
      <c r="D1292" t="s">
        <v>1027</v>
      </c>
      <c r="E1292">
        <v>1336</v>
      </c>
      <c r="F1292" t="s">
        <v>2027</v>
      </c>
      <c r="G1292" t="b">
        <v>0</v>
      </c>
      <c r="H1292" t="b">
        <v>0</v>
      </c>
      <c r="I1292" t="s">
        <v>1050</v>
      </c>
      <c r="J1292">
        <v>80</v>
      </c>
      <c r="K1292" t="s">
        <v>0</v>
      </c>
      <c r="L1292" t="s">
        <v>1167</v>
      </c>
      <c r="M1292" t="s">
        <v>1168</v>
      </c>
      <c r="N1292" t="s">
        <v>1169</v>
      </c>
      <c r="O1292" t="s">
        <v>1168</v>
      </c>
      <c r="P1292" t="s">
        <v>2028</v>
      </c>
    </row>
    <row r="1293" spans="1:16" x14ac:dyDescent="0.25">
      <c r="A1293" t="s">
        <v>3149</v>
      </c>
      <c r="B1293" t="s">
        <v>3148</v>
      </c>
      <c r="C1293" t="s">
        <v>2026</v>
      </c>
      <c r="D1293" t="s">
        <v>1027</v>
      </c>
      <c r="E1293">
        <v>1336</v>
      </c>
      <c r="F1293" t="s">
        <v>2027</v>
      </c>
      <c r="G1293" t="b">
        <v>0</v>
      </c>
      <c r="H1293" t="b">
        <v>0</v>
      </c>
      <c r="I1293" t="s">
        <v>1050</v>
      </c>
      <c r="J1293">
        <v>80</v>
      </c>
      <c r="K1293" t="s">
        <v>0</v>
      </c>
      <c r="L1293" t="s">
        <v>1167</v>
      </c>
      <c r="M1293" t="s">
        <v>1168</v>
      </c>
      <c r="N1293" t="s">
        <v>1169</v>
      </c>
      <c r="O1293" t="s">
        <v>1168</v>
      </c>
      <c r="P1293" t="s">
        <v>2028</v>
      </c>
    </row>
    <row r="1294" spans="1:16" x14ac:dyDescent="0.25">
      <c r="A1294" t="s">
        <v>3150</v>
      </c>
      <c r="B1294" t="s">
        <v>3151</v>
      </c>
      <c r="C1294" t="s">
        <v>1571</v>
      </c>
      <c r="D1294" t="s">
        <v>1027</v>
      </c>
      <c r="E1294">
        <v>63767</v>
      </c>
      <c r="G1294" t="b">
        <v>0</v>
      </c>
      <c r="H1294" t="b">
        <v>0</v>
      </c>
      <c r="I1294" t="s">
        <v>1050</v>
      </c>
      <c r="J1294">
        <v>87</v>
      </c>
      <c r="K1294" t="s">
        <v>0</v>
      </c>
      <c r="L1294" t="s">
        <v>1167</v>
      </c>
      <c r="M1294" t="s">
        <v>1168</v>
      </c>
      <c r="N1294" t="s">
        <v>1169</v>
      </c>
      <c r="O1294" t="s">
        <v>1168</v>
      </c>
      <c r="P1294" t="s">
        <v>1283</v>
      </c>
    </row>
    <row r="1295" spans="1:16" x14ac:dyDescent="0.25">
      <c r="A1295" t="s">
        <v>3152</v>
      </c>
      <c r="B1295" t="s">
        <v>3153</v>
      </c>
      <c r="C1295" t="s">
        <v>1571</v>
      </c>
      <c r="D1295" t="s">
        <v>1027</v>
      </c>
      <c r="E1295">
        <v>63767</v>
      </c>
      <c r="G1295" t="b">
        <v>0</v>
      </c>
      <c r="H1295" t="b">
        <v>0</v>
      </c>
      <c r="I1295" t="s">
        <v>1050</v>
      </c>
      <c r="J1295">
        <v>87</v>
      </c>
      <c r="K1295" t="s">
        <v>0</v>
      </c>
      <c r="L1295" t="s">
        <v>1167</v>
      </c>
      <c r="M1295" t="s">
        <v>1168</v>
      </c>
      <c r="N1295" t="s">
        <v>1169</v>
      </c>
      <c r="O1295" t="s">
        <v>1168</v>
      </c>
      <c r="P1295" t="s">
        <v>1283</v>
      </c>
    </row>
    <row r="1296" spans="1:16" x14ac:dyDescent="0.25">
      <c r="A1296" t="s">
        <v>3154</v>
      </c>
      <c r="B1296" t="s">
        <v>3155</v>
      </c>
      <c r="C1296" t="s">
        <v>1571</v>
      </c>
      <c r="D1296" t="s">
        <v>1027</v>
      </c>
      <c r="E1296">
        <v>63767</v>
      </c>
      <c r="G1296" t="b">
        <v>0</v>
      </c>
      <c r="H1296" t="b">
        <v>0</v>
      </c>
      <c r="I1296" t="s">
        <v>1050</v>
      </c>
      <c r="J1296">
        <v>87</v>
      </c>
      <c r="K1296" t="s">
        <v>0</v>
      </c>
      <c r="L1296" t="s">
        <v>1167</v>
      </c>
      <c r="M1296" t="s">
        <v>1168</v>
      </c>
      <c r="N1296" t="s">
        <v>1169</v>
      </c>
      <c r="O1296" t="s">
        <v>1168</v>
      </c>
      <c r="P1296" t="s">
        <v>1283</v>
      </c>
    </row>
    <row r="1297" spans="1:16" x14ac:dyDescent="0.25">
      <c r="A1297" t="s">
        <v>3156</v>
      </c>
      <c r="B1297" t="s">
        <v>3157</v>
      </c>
      <c r="C1297" t="s">
        <v>1571</v>
      </c>
      <c r="D1297" t="s">
        <v>1027</v>
      </c>
      <c r="E1297">
        <v>63767</v>
      </c>
      <c r="G1297" t="b">
        <v>0</v>
      </c>
      <c r="H1297" t="b">
        <v>0</v>
      </c>
      <c r="I1297" t="s">
        <v>1050</v>
      </c>
      <c r="J1297">
        <v>87</v>
      </c>
      <c r="K1297" t="s">
        <v>0</v>
      </c>
      <c r="L1297" t="s">
        <v>1167</v>
      </c>
      <c r="M1297" t="s">
        <v>1168</v>
      </c>
      <c r="N1297" t="s">
        <v>1169</v>
      </c>
      <c r="O1297" t="s">
        <v>1168</v>
      </c>
      <c r="P1297" t="s">
        <v>1283</v>
      </c>
    </row>
    <row r="1298" spans="1:16" x14ac:dyDescent="0.25">
      <c r="A1298" t="s">
        <v>3158</v>
      </c>
      <c r="B1298" t="s">
        <v>3159</v>
      </c>
      <c r="C1298" t="s">
        <v>1571</v>
      </c>
      <c r="D1298" t="s">
        <v>1027</v>
      </c>
      <c r="E1298">
        <v>63767</v>
      </c>
      <c r="G1298" t="b">
        <v>0</v>
      </c>
      <c r="H1298" t="b">
        <v>0</v>
      </c>
      <c r="I1298" t="s">
        <v>1050</v>
      </c>
      <c r="J1298">
        <v>80</v>
      </c>
      <c r="K1298" t="s">
        <v>0</v>
      </c>
      <c r="L1298" t="s">
        <v>1167</v>
      </c>
      <c r="M1298" t="s">
        <v>1168</v>
      </c>
      <c r="N1298" t="s">
        <v>1169</v>
      </c>
      <c r="O1298" t="s">
        <v>1168</v>
      </c>
      <c r="P1298" t="s">
        <v>1283</v>
      </c>
    </row>
    <row r="1299" spans="1:16" x14ac:dyDescent="0.25">
      <c r="A1299" t="s">
        <v>3160</v>
      </c>
      <c r="B1299" t="s">
        <v>3161</v>
      </c>
      <c r="C1299" t="s">
        <v>1233</v>
      </c>
      <c r="D1299" t="s">
        <v>1027</v>
      </c>
      <c r="E1299">
        <v>63762</v>
      </c>
      <c r="F1299" t="s">
        <v>1234</v>
      </c>
      <c r="G1299" t="b">
        <v>0</v>
      </c>
      <c r="H1299" t="b">
        <v>0</v>
      </c>
      <c r="I1299" t="s">
        <v>1050</v>
      </c>
      <c r="J1299">
        <v>80</v>
      </c>
      <c r="K1299" t="s">
        <v>0</v>
      </c>
      <c r="L1299" t="s">
        <v>1167</v>
      </c>
      <c r="M1299" t="s">
        <v>1168</v>
      </c>
      <c r="N1299" t="s">
        <v>1169</v>
      </c>
      <c r="O1299" t="s">
        <v>1168</v>
      </c>
      <c r="P1299" t="s">
        <v>1235</v>
      </c>
    </row>
    <row r="1300" spans="1:16" x14ac:dyDescent="0.25">
      <c r="A1300" t="s">
        <v>3162</v>
      </c>
      <c r="B1300" t="s">
        <v>3163</v>
      </c>
      <c r="C1300" t="s">
        <v>1233</v>
      </c>
      <c r="D1300" t="s">
        <v>1027</v>
      </c>
      <c r="E1300">
        <v>63762</v>
      </c>
      <c r="F1300" t="s">
        <v>1234</v>
      </c>
      <c r="G1300" t="b">
        <v>0</v>
      </c>
      <c r="H1300" t="b">
        <v>0</v>
      </c>
      <c r="I1300" t="s">
        <v>1050</v>
      </c>
      <c r="J1300">
        <v>80</v>
      </c>
      <c r="K1300" t="s">
        <v>0</v>
      </c>
      <c r="L1300" t="s">
        <v>1167</v>
      </c>
      <c r="M1300" t="s">
        <v>1168</v>
      </c>
      <c r="N1300" t="s">
        <v>1169</v>
      </c>
      <c r="O1300" t="s">
        <v>1168</v>
      </c>
      <c r="P1300" t="s">
        <v>1235</v>
      </c>
    </row>
    <row r="1301" spans="1:16" x14ac:dyDescent="0.25">
      <c r="A1301" t="s">
        <v>3164</v>
      </c>
      <c r="B1301" t="s">
        <v>3165</v>
      </c>
      <c r="C1301" t="s">
        <v>1233</v>
      </c>
      <c r="D1301" t="s">
        <v>1027</v>
      </c>
      <c r="E1301">
        <v>63762</v>
      </c>
      <c r="F1301" t="s">
        <v>1234</v>
      </c>
      <c r="G1301" t="b">
        <v>0</v>
      </c>
      <c r="H1301" t="b">
        <v>0</v>
      </c>
      <c r="I1301" t="s">
        <v>1050</v>
      </c>
      <c r="J1301">
        <v>80</v>
      </c>
      <c r="K1301" t="s">
        <v>0</v>
      </c>
      <c r="L1301" t="s">
        <v>1167</v>
      </c>
      <c r="M1301" t="s">
        <v>1168</v>
      </c>
      <c r="N1301" t="s">
        <v>1169</v>
      </c>
      <c r="O1301" t="s">
        <v>1168</v>
      </c>
      <c r="P1301" t="s">
        <v>1235</v>
      </c>
    </row>
    <row r="1302" spans="1:16" x14ac:dyDescent="0.25">
      <c r="A1302" t="s">
        <v>3166</v>
      </c>
      <c r="B1302" t="s">
        <v>3167</v>
      </c>
      <c r="C1302" t="s">
        <v>1233</v>
      </c>
      <c r="D1302" t="s">
        <v>1027</v>
      </c>
      <c r="E1302">
        <v>63762</v>
      </c>
      <c r="F1302" t="s">
        <v>1234</v>
      </c>
      <c r="G1302" t="b">
        <v>0</v>
      </c>
      <c r="H1302" t="b">
        <v>0</v>
      </c>
      <c r="I1302" t="s">
        <v>1050</v>
      </c>
      <c r="J1302">
        <v>80</v>
      </c>
      <c r="K1302" t="s">
        <v>0</v>
      </c>
      <c r="L1302" t="s">
        <v>1167</v>
      </c>
      <c r="M1302" t="s">
        <v>1168</v>
      </c>
      <c r="N1302" t="s">
        <v>1169</v>
      </c>
      <c r="O1302" t="s">
        <v>1168</v>
      </c>
      <c r="P1302" t="s">
        <v>1235</v>
      </c>
    </row>
    <row r="1303" spans="1:16" x14ac:dyDescent="0.25">
      <c r="A1303" t="s">
        <v>3168</v>
      </c>
      <c r="B1303" t="s">
        <v>3169</v>
      </c>
      <c r="C1303" t="s">
        <v>1233</v>
      </c>
      <c r="D1303" t="s">
        <v>1027</v>
      </c>
      <c r="E1303">
        <v>63762</v>
      </c>
      <c r="F1303" t="s">
        <v>1234</v>
      </c>
      <c r="G1303" t="b">
        <v>0</v>
      </c>
      <c r="H1303" t="b">
        <v>0</v>
      </c>
      <c r="I1303" t="s">
        <v>1050</v>
      </c>
      <c r="J1303">
        <v>80</v>
      </c>
      <c r="K1303" t="s">
        <v>0</v>
      </c>
      <c r="L1303" t="s">
        <v>1167</v>
      </c>
      <c r="M1303" t="s">
        <v>1168</v>
      </c>
      <c r="N1303" t="s">
        <v>1169</v>
      </c>
      <c r="O1303" t="s">
        <v>1168</v>
      </c>
      <c r="P1303" t="s">
        <v>1235</v>
      </c>
    </row>
    <row r="1304" spans="1:16" x14ac:dyDescent="0.25">
      <c r="A1304" t="s">
        <v>3170</v>
      </c>
      <c r="B1304" t="s">
        <v>3171</v>
      </c>
      <c r="C1304" t="s">
        <v>2026</v>
      </c>
      <c r="D1304" t="s">
        <v>1027</v>
      </c>
      <c r="E1304">
        <v>1336</v>
      </c>
      <c r="F1304" t="s">
        <v>2027</v>
      </c>
      <c r="G1304" t="b">
        <v>0</v>
      </c>
      <c r="H1304" t="b">
        <v>0</v>
      </c>
      <c r="I1304" t="s">
        <v>1050</v>
      </c>
      <c r="J1304">
        <v>80</v>
      </c>
      <c r="K1304" t="s">
        <v>0</v>
      </c>
      <c r="L1304" t="s">
        <v>1167</v>
      </c>
      <c r="M1304" t="s">
        <v>1168</v>
      </c>
      <c r="N1304" t="s">
        <v>1169</v>
      </c>
      <c r="O1304" t="s">
        <v>1168</v>
      </c>
      <c r="P1304" t="s">
        <v>2028</v>
      </c>
    </row>
    <row r="1305" spans="1:16" x14ac:dyDescent="0.25">
      <c r="A1305" t="s">
        <v>3172</v>
      </c>
      <c r="B1305" t="s">
        <v>3171</v>
      </c>
      <c r="C1305" t="s">
        <v>2026</v>
      </c>
      <c r="D1305" t="s">
        <v>1027</v>
      </c>
      <c r="E1305">
        <v>1336</v>
      </c>
      <c r="F1305" t="s">
        <v>2027</v>
      </c>
      <c r="G1305" t="b">
        <v>0</v>
      </c>
      <c r="H1305" t="b">
        <v>0</v>
      </c>
      <c r="I1305" t="s">
        <v>1050</v>
      </c>
      <c r="J1305">
        <v>80</v>
      </c>
      <c r="K1305" t="s">
        <v>0</v>
      </c>
      <c r="L1305" t="s">
        <v>1167</v>
      </c>
      <c r="M1305" t="s">
        <v>1168</v>
      </c>
      <c r="N1305" t="s">
        <v>1169</v>
      </c>
      <c r="O1305" t="s">
        <v>1168</v>
      </c>
      <c r="P1305" t="s">
        <v>2028</v>
      </c>
    </row>
    <row r="1306" spans="1:16" x14ac:dyDescent="0.25">
      <c r="A1306" t="s">
        <v>3173</v>
      </c>
      <c r="B1306" t="s">
        <v>3174</v>
      </c>
      <c r="C1306" t="s">
        <v>1181</v>
      </c>
      <c r="D1306" t="s">
        <v>1027</v>
      </c>
      <c r="E1306">
        <v>63765</v>
      </c>
      <c r="F1306" t="s">
        <v>1182</v>
      </c>
      <c r="G1306" t="b">
        <v>0</v>
      </c>
      <c r="H1306" t="b">
        <v>0</v>
      </c>
      <c r="I1306" t="s">
        <v>1050</v>
      </c>
      <c r="J1306">
        <v>56</v>
      </c>
      <c r="K1306" t="s">
        <v>2</v>
      </c>
      <c r="L1306" t="s">
        <v>1167</v>
      </c>
      <c r="M1306" t="s">
        <v>1168</v>
      </c>
      <c r="N1306" t="s">
        <v>1169</v>
      </c>
      <c r="O1306" t="s">
        <v>1168</v>
      </c>
      <c r="P1306" t="s">
        <v>1183</v>
      </c>
    </row>
    <row r="1307" spans="1:16" x14ac:dyDescent="0.25">
      <c r="A1307" t="s">
        <v>3175</v>
      </c>
      <c r="B1307" t="s">
        <v>3174</v>
      </c>
      <c r="C1307" t="s">
        <v>1181</v>
      </c>
      <c r="D1307" t="s">
        <v>1027</v>
      </c>
      <c r="E1307">
        <v>63765</v>
      </c>
      <c r="F1307" t="s">
        <v>1182</v>
      </c>
      <c r="G1307" t="b">
        <v>0</v>
      </c>
      <c r="H1307" t="b">
        <v>0</v>
      </c>
      <c r="I1307" t="s">
        <v>1050</v>
      </c>
      <c r="J1307">
        <v>56</v>
      </c>
      <c r="K1307" t="s">
        <v>2</v>
      </c>
      <c r="L1307" t="s">
        <v>1167</v>
      </c>
      <c r="M1307" t="s">
        <v>1168</v>
      </c>
      <c r="N1307" t="s">
        <v>1169</v>
      </c>
      <c r="O1307" t="s">
        <v>1168</v>
      </c>
      <c r="P1307" t="s">
        <v>1183</v>
      </c>
    </row>
    <row r="1308" spans="1:16" x14ac:dyDescent="0.25">
      <c r="A1308" t="s">
        <v>3176</v>
      </c>
      <c r="B1308" t="s">
        <v>3177</v>
      </c>
      <c r="C1308" t="s">
        <v>1571</v>
      </c>
      <c r="D1308" t="s">
        <v>1027</v>
      </c>
      <c r="E1308">
        <v>63767</v>
      </c>
      <c r="G1308" t="b">
        <v>0</v>
      </c>
      <c r="H1308" t="b">
        <v>0</v>
      </c>
      <c r="I1308" t="s">
        <v>1050</v>
      </c>
      <c r="J1308">
        <v>87</v>
      </c>
      <c r="K1308" t="s">
        <v>0</v>
      </c>
      <c r="L1308" t="s">
        <v>1167</v>
      </c>
      <c r="M1308" t="s">
        <v>1168</v>
      </c>
      <c r="N1308" t="s">
        <v>1169</v>
      </c>
      <c r="O1308" t="s">
        <v>1168</v>
      </c>
      <c r="P1308" t="s">
        <v>1283</v>
      </c>
    </row>
    <row r="1309" spans="1:16" x14ac:dyDescent="0.25">
      <c r="A1309" t="s">
        <v>3178</v>
      </c>
      <c r="B1309" t="s">
        <v>3179</v>
      </c>
      <c r="C1309" t="s">
        <v>1571</v>
      </c>
      <c r="D1309" t="s">
        <v>1027</v>
      </c>
      <c r="E1309">
        <v>63767</v>
      </c>
      <c r="G1309" t="b">
        <v>0</v>
      </c>
      <c r="H1309" t="b">
        <v>0</v>
      </c>
      <c r="I1309" t="s">
        <v>1050</v>
      </c>
      <c r="J1309">
        <v>87</v>
      </c>
      <c r="K1309" t="s">
        <v>0</v>
      </c>
      <c r="L1309" t="s">
        <v>1167</v>
      </c>
      <c r="M1309" t="s">
        <v>1168</v>
      </c>
      <c r="N1309" t="s">
        <v>1169</v>
      </c>
      <c r="O1309" t="s">
        <v>1168</v>
      </c>
      <c r="P1309" t="s">
        <v>1283</v>
      </c>
    </row>
    <row r="1310" spans="1:16" x14ac:dyDescent="0.25">
      <c r="A1310" t="s">
        <v>3180</v>
      </c>
      <c r="B1310" t="s">
        <v>3181</v>
      </c>
      <c r="C1310" t="s">
        <v>1571</v>
      </c>
      <c r="D1310" t="s">
        <v>1027</v>
      </c>
      <c r="E1310">
        <v>63767</v>
      </c>
      <c r="G1310" t="b">
        <v>0</v>
      </c>
      <c r="H1310" t="b">
        <v>0</v>
      </c>
      <c r="I1310" t="s">
        <v>1050</v>
      </c>
      <c r="J1310">
        <v>80</v>
      </c>
      <c r="K1310" t="s">
        <v>0</v>
      </c>
      <c r="L1310" t="s">
        <v>1167</v>
      </c>
      <c r="M1310" t="s">
        <v>1168</v>
      </c>
      <c r="N1310" t="s">
        <v>1169</v>
      </c>
      <c r="O1310" t="s">
        <v>1168</v>
      </c>
      <c r="P1310" t="s">
        <v>1283</v>
      </c>
    </row>
    <row r="1311" spans="1:16" x14ac:dyDescent="0.25">
      <c r="A1311" t="s">
        <v>3182</v>
      </c>
      <c r="B1311" t="s">
        <v>3183</v>
      </c>
      <c r="C1311" t="s">
        <v>3184</v>
      </c>
      <c r="D1311" t="s">
        <v>1027</v>
      </c>
      <c r="E1311">
        <v>1392</v>
      </c>
      <c r="F1311" t="s">
        <v>3185</v>
      </c>
      <c r="G1311" t="b">
        <v>0</v>
      </c>
      <c r="H1311" t="b">
        <v>0</v>
      </c>
      <c r="I1311" t="s">
        <v>1050</v>
      </c>
      <c r="J1311">
        <v>87</v>
      </c>
      <c r="K1311" t="s">
        <v>0</v>
      </c>
      <c r="L1311" t="s">
        <v>1167</v>
      </c>
      <c r="M1311" t="s">
        <v>1168</v>
      </c>
      <c r="N1311" t="s">
        <v>1169</v>
      </c>
      <c r="O1311" t="s">
        <v>1168</v>
      </c>
      <c r="P1311" t="s">
        <v>3186</v>
      </c>
    </row>
    <row r="1312" spans="1:16" x14ac:dyDescent="0.25">
      <c r="A1312" t="s">
        <v>3187</v>
      </c>
      <c r="B1312" t="s">
        <v>3188</v>
      </c>
      <c r="C1312" t="s">
        <v>1233</v>
      </c>
      <c r="D1312" t="s">
        <v>1027</v>
      </c>
      <c r="E1312">
        <v>63762</v>
      </c>
      <c r="F1312" t="s">
        <v>1234</v>
      </c>
      <c r="G1312" t="b">
        <v>0</v>
      </c>
      <c r="H1312" t="b">
        <v>0</v>
      </c>
      <c r="I1312" t="s">
        <v>1050</v>
      </c>
      <c r="J1312">
        <v>88</v>
      </c>
      <c r="K1312" t="s">
        <v>0</v>
      </c>
      <c r="L1312" t="s">
        <v>1167</v>
      </c>
      <c r="M1312" t="s">
        <v>1168</v>
      </c>
      <c r="N1312" t="s">
        <v>1169</v>
      </c>
      <c r="O1312" t="s">
        <v>1168</v>
      </c>
      <c r="P1312" t="s">
        <v>1235</v>
      </c>
    </row>
    <row r="1313" spans="1:16" x14ac:dyDescent="0.25">
      <c r="A1313" t="s">
        <v>3189</v>
      </c>
      <c r="B1313" t="s">
        <v>3190</v>
      </c>
      <c r="C1313" t="s">
        <v>1233</v>
      </c>
      <c r="D1313" t="s">
        <v>1027</v>
      </c>
      <c r="E1313">
        <v>63762</v>
      </c>
      <c r="F1313" t="s">
        <v>1234</v>
      </c>
      <c r="G1313" t="b">
        <v>0</v>
      </c>
      <c r="H1313" t="b">
        <v>0</v>
      </c>
      <c r="I1313" t="s">
        <v>1050</v>
      </c>
      <c r="J1313">
        <v>88</v>
      </c>
      <c r="K1313" t="s">
        <v>0</v>
      </c>
      <c r="L1313" t="s">
        <v>1167</v>
      </c>
      <c r="M1313" t="s">
        <v>1168</v>
      </c>
      <c r="N1313" t="s">
        <v>1169</v>
      </c>
      <c r="O1313" t="s">
        <v>1168</v>
      </c>
      <c r="P1313" t="s">
        <v>1235</v>
      </c>
    </row>
    <row r="1314" spans="1:16" x14ac:dyDescent="0.25">
      <c r="A1314" t="s">
        <v>3191</v>
      </c>
      <c r="B1314" t="s">
        <v>3192</v>
      </c>
      <c r="C1314" t="s">
        <v>1571</v>
      </c>
      <c r="D1314" t="s">
        <v>1027</v>
      </c>
      <c r="E1314">
        <v>63767</v>
      </c>
      <c r="G1314" t="b">
        <v>0</v>
      </c>
      <c r="H1314" t="b">
        <v>0</v>
      </c>
      <c r="I1314" t="s">
        <v>1050</v>
      </c>
      <c r="J1314">
        <v>80</v>
      </c>
      <c r="K1314" t="s">
        <v>0</v>
      </c>
      <c r="L1314" t="s">
        <v>1167</v>
      </c>
      <c r="M1314" t="s">
        <v>1168</v>
      </c>
      <c r="N1314" t="s">
        <v>1169</v>
      </c>
      <c r="O1314" t="s">
        <v>1168</v>
      </c>
      <c r="P1314" t="s">
        <v>1283</v>
      </c>
    </row>
    <row r="1315" spans="1:16" x14ac:dyDescent="0.25">
      <c r="A1315" t="s">
        <v>3193</v>
      </c>
      <c r="B1315" t="s">
        <v>3194</v>
      </c>
      <c r="C1315" t="s">
        <v>1571</v>
      </c>
      <c r="D1315" t="s">
        <v>1027</v>
      </c>
      <c r="E1315">
        <v>63767</v>
      </c>
      <c r="G1315" t="b">
        <v>0</v>
      </c>
      <c r="H1315" t="b">
        <v>0</v>
      </c>
      <c r="I1315" t="s">
        <v>1050</v>
      </c>
      <c r="J1315">
        <v>80</v>
      </c>
      <c r="K1315" t="s">
        <v>0</v>
      </c>
      <c r="L1315" t="s">
        <v>1167</v>
      </c>
      <c r="M1315" t="s">
        <v>1168</v>
      </c>
      <c r="N1315" t="s">
        <v>1169</v>
      </c>
      <c r="O1315" t="s">
        <v>1168</v>
      </c>
      <c r="P1315" t="s">
        <v>1283</v>
      </c>
    </row>
    <row r="1316" spans="1:16" x14ac:dyDescent="0.25">
      <c r="A1316" t="s">
        <v>3195</v>
      </c>
      <c r="B1316" t="s">
        <v>3196</v>
      </c>
      <c r="C1316" t="s">
        <v>1571</v>
      </c>
      <c r="D1316" t="s">
        <v>1027</v>
      </c>
      <c r="E1316">
        <v>63767</v>
      </c>
      <c r="G1316" t="b">
        <v>0</v>
      </c>
      <c r="H1316" t="b">
        <v>0</v>
      </c>
      <c r="I1316" t="s">
        <v>1050</v>
      </c>
      <c r="J1316">
        <v>80</v>
      </c>
      <c r="K1316" t="s">
        <v>0</v>
      </c>
      <c r="L1316" t="s">
        <v>1167</v>
      </c>
      <c r="M1316" t="s">
        <v>1168</v>
      </c>
      <c r="N1316" t="s">
        <v>1169</v>
      </c>
      <c r="O1316" t="s">
        <v>1168</v>
      </c>
      <c r="P1316" t="s">
        <v>1283</v>
      </c>
    </row>
    <row r="1317" spans="1:16" x14ac:dyDescent="0.25">
      <c r="A1317" t="s">
        <v>3197</v>
      </c>
      <c r="B1317" t="s">
        <v>3198</v>
      </c>
      <c r="C1317" t="s">
        <v>1571</v>
      </c>
      <c r="D1317" t="s">
        <v>1027</v>
      </c>
      <c r="E1317">
        <v>63767</v>
      </c>
      <c r="G1317" t="b">
        <v>0</v>
      </c>
      <c r="H1317" t="b">
        <v>0</v>
      </c>
      <c r="I1317" t="s">
        <v>1050</v>
      </c>
      <c r="J1317">
        <v>80</v>
      </c>
      <c r="K1317" t="s">
        <v>0</v>
      </c>
      <c r="L1317" t="s">
        <v>1167</v>
      </c>
      <c r="M1317" t="s">
        <v>1168</v>
      </c>
      <c r="N1317" t="s">
        <v>1169</v>
      </c>
      <c r="O1317" t="s">
        <v>1168</v>
      </c>
      <c r="P1317" t="s">
        <v>1283</v>
      </c>
    </row>
    <row r="1318" spans="1:16" x14ac:dyDescent="0.25">
      <c r="A1318" t="s">
        <v>3199</v>
      </c>
      <c r="B1318" t="s">
        <v>3200</v>
      </c>
      <c r="C1318" t="s">
        <v>1571</v>
      </c>
      <c r="D1318" t="s">
        <v>1027</v>
      </c>
      <c r="E1318">
        <v>63767</v>
      </c>
      <c r="G1318" t="b">
        <v>0</v>
      </c>
      <c r="H1318" t="b">
        <v>0</v>
      </c>
      <c r="I1318" t="s">
        <v>1050</v>
      </c>
      <c r="J1318">
        <v>80</v>
      </c>
      <c r="K1318" t="s">
        <v>0</v>
      </c>
      <c r="L1318" t="s">
        <v>1167</v>
      </c>
      <c r="M1318" t="s">
        <v>1168</v>
      </c>
      <c r="N1318" t="s">
        <v>1169</v>
      </c>
      <c r="O1318" t="s">
        <v>1168</v>
      </c>
      <c r="P1318" t="s">
        <v>1283</v>
      </c>
    </row>
    <row r="1319" spans="1:16" x14ac:dyDescent="0.25">
      <c r="A1319" t="s">
        <v>3201</v>
      </c>
      <c r="B1319" t="s">
        <v>3202</v>
      </c>
      <c r="C1319" t="s">
        <v>1571</v>
      </c>
      <c r="D1319" t="s">
        <v>1027</v>
      </c>
      <c r="E1319">
        <v>63767</v>
      </c>
      <c r="G1319" t="b">
        <v>0</v>
      </c>
      <c r="H1319" t="b">
        <v>0</v>
      </c>
      <c r="I1319" t="s">
        <v>1050</v>
      </c>
      <c r="J1319">
        <v>80</v>
      </c>
      <c r="K1319" t="s">
        <v>0</v>
      </c>
      <c r="L1319" t="s">
        <v>1167</v>
      </c>
      <c r="M1319" t="s">
        <v>1168</v>
      </c>
      <c r="N1319" t="s">
        <v>1169</v>
      </c>
      <c r="O1319" t="s">
        <v>1168</v>
      </c>
      <c r="P1319" t="s">
        <v>1283</v>
      </c>
    </row>
    <row r="1320" spans="1:16" x14ac:dyDescent="0.25">
      <c r="A1320" t="s">
        <v>3203</v>
      </c>
      <c r="B1320" t="s">
        <v>3204</v>
      </c>
      <c r="C1320" t="s">
        <v>1571</v>
      </c>
      <c r="D1320" t="s">
        <v>1027</v>
      </c>
      <c r="E1320">
        <v>63767</v>
      </c>
      <c r="G1320" t="b">
        <v>0</v>
      </c>
      <c r="H1320" t="b">
        <v>0</v>
      </c>
      <c r="I1320" t="s">
        <v>1050</v>
      </c>
      <c r="J1320">
        <v>80</v>
      </c>
      <c r="K1320" t="s">
        <v>0</v>
      </c>
      <c r="L1320" t="s">
        <v>1167</v>
      </c>
      <c r="M1320" t="s">
        <v>1168</v>
      </c>
      <c r="N1320" t="s">
        <v>1169</v>
      </c>
      <c r="O1320" t="s">
        <v>1168</v>
      </c>
      <c r="P1320" t="s">
        <v>1283</v>
      </c>
    </row>
    <row r="1321" spans="1:16" x14ac:dyDescent="0.25">
      <c r="A1321" t="s">
        <v>3205</v>
      </c>
      <c r="B1321" t="s">
        <v>3204</v>
      </c>
      <c r="C1321" t="s">
        <v>1571</v>
      </c>
      <c r="D1321" t="s">
        <v>1027</v>
      </c>
      <c r="E1321">
        <v>63767</v>
      </c>
      <c r="G1321" t="b">
        <v>0</v>
      </c>
      <c r="H1321" t="b">
        <v>0</v>
      </c>
      <c r="I1321" t="s">
        <v>1050</v>
      </c>
      <c r="J1321">
        <v>80</v>
      </c>
      <c r="K1321" t="s">
        <v>0</v>
      </c>
      <c r="L1321" t="s">
        <v>1167</v>
      </c>
      <c r="M1321" t="s">
        <v>1168</v>
      </c>
      <c r="N1321" t="s">
        <v>1169</v>
      </c>
      <c r="O1321" t="s">
        <v>1168</v>
      </c>
      <c r="P1321" t="s">
        <v>1283</v>
      </c>
    </row>
    <row r="1322" spans="1:16" x14ac:dyDescent="0.25">
      <c r="A1322" t="s">
        <v>3206</v>
      </c>
      <c r="B1322" t="s">
        <v>3207</v>
      </c>
      <c r="C1322" t="s">
        <v>1571</v>
      </c>
      <c r="D1322" t="s">
        <v>1027</v>
      </c>
      <c r="E1322">
        <v>63767</v>
      </c>
      <c r="G1322" t="b">
        <v>0</v>
      </c>
      <c r="H1322" t="b">
        <v>0</v>
      </c>
      <c r="I1322" t="s">
        <v>1050</v>
      </c>
      <c r="J1322">
        <v>80</v>
      </c>
      <c r="K1322" t="s">
        <v>0</v>
      </c>
      <c r="L1322" t="s">
        <v>1167</v>
      </c>
      <c r="M1322" t="s">
        <v>1168</v>
      </c>
      <c r="N1322" t="s">
        <v>1169</v>
      </c>
      <c r="O1322" t="s">
        <v>1168</v>
      </c>
      <c r="P1322" t="s">
        <v>1283</v>
      </c>
    </row>
    <row r="1323" spans="1:16" x14ac:dyDescent="0.25">
      <c r="A1323" t="s">
        <v>3208</v>
      </c>
      <c r="B1323" t="s">
        <v>3207</v>
      </c>
      <c r="C1323" t="s">
        <v>1571</v>
      </c>
      <c r="D1323" t="s">
        <v>1027</v>
      </c>
      <c r="E1323">
        <v>63767</v>
      </c>
      <c r="G1323" t="b">
        <v>0</v>
      </c>
      <c r="H1323" t="b">
        <v>0</v>
      </c>
      <c r="I1323" t="s">
        <v>1050</v>
      </c>
      <c r="J1323">
        <v>80</v>
      </c>
      <c r="K1323" t="s">
        <v>0</v>
      </c>
      <c r="L1323" t="s">
        <v>1167</v>
      </c>
      <c r="M1323" t="s">
        <v>1168</v>
      </c>
      <c r="N1323" t="s">
        <v>1169</v>
      </c>
      <c r="O1323" t="s">
        <v>1168</v>
      </c>
      <c r="P1323" t="s">
        <v>1283</v>
      </c>
    </row>
    <row r="1324" spans="1:16" x14ac:dyDescent="0.25">
      <c r="A1324" t="s">
        <v>3209</v>
      </c>
      <c r="B1324" t="s">
        <v>3210</v>
      </c>
      <c r="C1324" t="s">
        <v>1571</v>
      </c>
      <c r="D1324" t="s">
        <v>1027</v>
      </c>
      <c r="E1324">
        <v>63767</v>
      </c>
      <c r="G1324" t="b">
        <v>0</v>
      </c>
      <c r="H1324" t="b">
        <v>0</v>
      </c>
      <c r="I1324" t="s">
        <v>1050</v>
      </c>
      <c r="J1324">
        <v>80</v>
      </c>
      <c r="K1324" t="s">
        <v>0</v>
      </c>
      <c r="L1324" t="s">
        <v>1167</v>
      </c>
      <c r="M1324" t="s">
        <v>1168</v>
      </c>
      <c r="N1324" t="s">
        <v>1169</v>
      </c>
      <c r="O1324" t="s">
        <v>1168</v>
      </c>
      <c r="P1324" t="s">
        <v>1283</v>
      </c>
    </row>
    <row r="1325" spans="1:16" x14ac:dyDescent="0.25">
      <c r="A1325" t="s">
        <v>3211</v>
      </c>
      <c r="B1325" t="s">
        <v>3212</v>
      </c>
      <c r="C1325" t="s">
        <v>1571</v>
      </c>
      <c r="D1325" t="s">
        <v>1027</v>
      </c>
      <c r="E1325">
        <v>63767</v>
      </c>
      <c r="G1325" t="b">
        <v>0</v>
      </c>
      <c r="H1325" t="b">
        <v>0</v>
      </c>
      <c r="I1325" t="s">
        <v>1050</v>
      </c>
      <c r="J1325">
        <v>80</v>
      </c>
      <c r="K1325" t="s">
        <v>0</v>
      </c>
      <c r="L1325" t="s">
        <v>1167</v>
      </c>
      <c r="M1325" t="s">
        <v>1168</v>
      </c>
      <c r="N1325" t="s">
        <v>1169</v>
      </c>
      <c r="O1325" t="s">
        <v>1168</v>
      </c>
      <c r="P1325" t="s">
        <v>1283</v>
      </c>
    </row>
    <row r="1326" spans="1:16" x14ac:dyDescent="0.25">
      <c r="A1326" t="s">
        <v>3213</v>
      </c>
      <c r="B1326" t="s">
        <v>3214</v>
      </c>
      <c r="C1326" t="s">
        <v>1571</v>
      </c>
      <c r="D1326" t="s">
        <v>1027</v>
      </c>
      <c r="E1326">
        <v>63767</v>
      </c>
      <c r="G1326" t="b">
        <v>0</v>
      </c>
      <c r="H1326" t="b">
        <v>0</v>
      </c>
      <c r="I1326" t="s">
        <v>1050</v>
      </c>
      <c r="J1326">
        <v>80</v>
      </c>
      <c r="K1326" t="s">
        <v>0</v>
      </c>
      <c r="L1326" t="s">
        <v>1167</v>
      </c>
      <c r="M1326" t="s">
        <v>1168</v>
      </c>
      <c r="N1326" t="s">
        <v>1169</v>
      </c>
      <c r="O1326" t="s">
        <v>1168</v>
      </c>
      <c r="P1326" t="s">
        <v>1283</v>
      </c>
    </row>
    <row r="1327" spans="1:16" x14ac:dyDescent="0.25">
      <c r="A1327" t="s">
        <v>3215</v>
      </c>
      <c r="B1327" t="s">
        <v>3214</v>
      </c>
      <c r="C1327" t="s">
        <v>1571</v>
      </c>
      <c r="D1327" t="s">
        <v>1027</v>
      </c>
      <c r="E1327">
        <v>63767</v>
      </c>
      <c r="G1327" t="b">
        <v>0</v>
      </c>
      <c r="H1327" t="b">
        <v>0</v>
      </c>
      <c r="I1327" t="s">
        <v>1050</v>
      </c>
      <c r="J1327">
        <v>80</v>
      </c>
      <c r="K1327" t="s">
        <v>0</v>
      </c>
      <c r="L1327" t="s">
        <v>1167</v>
      </c>
      <c r="M1327" t="s">
        <v>1168</v>
      </c>
      <c r="N1327" t="s">
        <v>1169</v>
      </c>
      <c r="O1327" t="s">
        <v>1168</v>
      </c>
      <c r="P1327" t="s">
        <v>1283</v>
      </c>
    </row>
    <row r="1328" spans="1:16" x14ac:dyDescent="0.25">
      <c r="A1328" t="s">
        <v>3216</v>
      </c>
      <c r="B1328" t="s">
        <v>3217</v>
      </c>
      <c r="C1328" t="s">
        <v>1571</v>
      </c>
      <c r="D1328" t="s">
        <v>1027</v>
      </c>
      <c r="E1328">
        <v>63767</v>
      </c>
      <c r="G1328" t="b">
        <v>0</v>
      </c>
      <c r="H1328" t="b">
        <v>0</v>
      </c>
      <c r="I1328" t="s">
        <v>1050</v>
      </c>
      <c r="J1328">
        <v>80</v>
      </c>
      <c r="K1328" t="s">
        <v>0</v>
      </c>
      <c r="L1328" t="s">
        <v>1167</v>
      </c>
      <c r="M1328" t="s">
        <v>1168</v>
      </c>
      <c r="N1328" t="s">
        <v>1169</v>
      </c>
      <c r="O1328" t="s">
        <v>1168</v>
      </c>
      <c r="P1328" t="s">
        <v>1283</v>
      </c>
    </row>
    <row r="1329" spans="1:16" x14ac:dyDescent="0.25">
      <c r="A1329" t="s">
        <v>3218</v>
      </c>
      <c r="B1329" t="s">
        <v>3219</v>
      </c>
      <c r="C1329" t="s">
        <v>2026</v>
      </c>
      <c r="D1329" t="s">
        <v>1027</v>
      </c>
      <c r="E1329">
        <v>1336</v>
      </c>
      <c r="F1329" t="s">
        <v>2027</v>
      </c>
      <c r="G1329" t="b">
        <v>0</v>
      </c>
      <c r="H1329" t="b">
        <v>0</v>
      </c>
      <c r="I1329" t="s">
        <v>1050</v>
      </c>
      <c r="J1329">
        <v>80</v>
      </c>
      <c r="K1329" t="s">
        <v>0</v>
      </c>
      <c r="L1329" t="s">
        <v>1167</v>
      </c>
      <c r="M1329" t="s">
        <v>1168</v>
      </c>
      <c r="N1329" t="s">
        <v>1169</v>
      </c>
      <c r="O1329" t="s">
        <v>1168</v>
      </c>
      <c r="P1329" t="s">
        <v>2028</v>
      </c>
    </row>
    <row r="1330" spans="1:16" x14ac:dyDescent="0.25">
      <c r="A1330" t="s">
        <v>3220</v>
      </c>
      <c r="B1330" t="s">
        <v>3221</v>
      </c>
      <c r="C1330" t="s">
        <v>1233</v>
      </c>
      <c r="D1330" t="s">
        <v>1027</v>
      </c>
      <c r="E1330">
        <v>63762</v>
      </c>
      <c r="F1330" t="s">
        <v>1234</v>
      </c>
      <c r="G1330" t="b">
        <v>0</v>
      </c>
      <c r="H1330" t="b">
        <v>0</v>
      </c>
      <c r="I1330" t="s">
        <v>1050</v>
      </c>
      <c r="J1330">
        <v>80</v>
      </c>
      <c r="K1330" t="s">
        <v>0</v>
      </c>
      <c r="L1330" t="s">
        <v>1167</v>
      </c>
      <c r="M1330" t="s">
        <v>1168</v>
      </c>
      <c r="N1330" t="s">
        <v>1169</v>
      </c>
      <c r="O1330" t="s">
        <v>1168</v>
      </c>
      <c r="P1330" t="s">
        <v>1235</v>
      </c>
    </row>
    <row r="1331" spans="1:16" x14ac:dyDescent="0.25">
      <c r="A1331" t="s">
        <v>3222</v>
      </c>
      <c r="B1331" t="s">
        <v>3223</v>
      </c>
      <c r="C1331" t="s">
        <v>1233</v>
      </c>
      <c r="D1331" t="s">
        <v>1027</v>
      </c>
      <c r="E1331">
        <v>63762</v>
      </c>
      <c r="F1331" t="s">
        <v>1234</v>
      </c>
      <c r="G1331" t="b">
        <v>0</v>
      </c>
      <c r="H1331" t="b">
        <v>0</v>
      </c>
      <c r="I1331" t="s">
        <v>1050</v>
      </c>
      <c r="J1331">
        <v>80</v>
      </c>
      <c r="K1331" t="s">
        <v>0</v>
      </c>
      <c r="L1331" t="s">
        <v>1167</v>
      </c>
      <c r="M1331" t="s">
        <v>1168</v>
      </c>
      <c r="N1331" t="s">
        <v>1169</v>
      </c>
      <c r="O1331" t="s">
        <v>1168</v>
      </c>
      <c r="P1331" t="s">
        <v>1235</v>
      </c>
    </row>
    <row r="1332" spans="1:16" x14ac:dyDescent="0.25">
      <c r="A1332" t="s">
        <v>3224</v>
      </c>
      <c r="B1332" t="s">
        <v>3225</v>
      </c>
      <c r="C1332" t="s">
        <v>1571</v>
      </c>
      <c r="D1332" t="s">
        <v>1027</v>
      </c>
      <c r="E1332">
        <v>63767</v>
      </c>
      <c r="G1332" t="b">
        <v>0</v>
      </c>
      <c r="H1332" t="b">
        <v>0</v>
      </c>
      <c r="I1332" t="s">
        <v>1050</v>
      </c>
      <c r="J1332">
        <v>80</v>
      </c>
      <c r="K1332" t="s">
        <v>0</v>
      </c>
      <c r="L1332" t="s">
        <v>1167</v>
      </c>
      <c r="M1332" t="s">
        <v>1168</v>
      </c>
      <c r="N1332" t="s">
        <v>1169</v>
      </c>
      <c r="O1332" t="s">
        <v>1168</v>
      </c>
      <c r="P1332" t="s">
        <v>1283</v>
      </c>
    </row>
    <row r="1333" spans="1:16" x14ac:dyDescent="0.25">
      <c r="A1333" t="s">
        <v>3226</v>
      </c>
      <c r="B1333" t="s">
        <v>3227</v>
      </c>
      <c r="C1333" t="s">
        <v>1571</v>
      </c>
      <c r="D1333" t="s">
        <v>1027</v>
      </c>
      <c r="E1333">
        <v>63767</v>
      </c>
      <c r="G1333" t="b">
        <v>0</v>
      </c>
      <c r="H1333" t="b">
        <v>0</v>
      </c>
      <c r="I1333" t="s">
        <v>1050</v>
      </c>
      <c r="J1333">
        <v>80</v>
      </c>
      <c r="K1333" t="s">
        <v>0</v>
      </c>
      <c r="L1333" t="s">
        <v>1167</v>
      </c>
      <c r="M1333" t="s">
        <v>1168</v>
      </c>
      <c r="N1333" t="s">
        <v>1169</v>
      </c>
      <c r="O1333" t="s">
        <v>1168</v>
      </c>
      <c r="P1333" t="s">
        <v>1283</v>
      </c>
    </row>
    <row r="1334" spans="1:16" x14ac:dyDescent="0.25">
      <c r="A1334" t="s">
        <v>3228</v>
      </c>
      <c r="B1334" t="s">
        <v>3229</v>
      </c>
      <c r="C1334" t="s">
        <v>1233</v>
      </c>
      <c r="D1334" t="s">
        <v>1027</v>
      </c>
      <c r="E1334">
        <v>63762</v>
      </c>
      <c r="F1334" t="s">
        <v>1234</v>
      </c>
      <c r="G1334" t="b">
        <v>0</v>
      </c>
      <c r="H1334" t="b">
        <v>0</v>
      </c>
      <c r="I1334" t="s">
        <v>1050</v>
      </c>
      <c r="J1334">
        <v>80</v>
      </c>
      <c r="K1334" t="s">
        <v>0</v>
      </c>
      <c r="L1334" t="s">
        <v>1167</v>
      </c>
      <c r="M1334" t="s">
        <v>1168</v>
      </c>
      <c r="N1334" t="s">
        <v>1169</v>
      </c>
      <c r="O1334" t="s">
        <v>1168</v>
      </c>
      <c r="P1334" t="s">
        <v>1235</v>
      </c>
    </row>
    <row r="1335" spans="1:16" x14ac:dyDescent="0.25">
      <c r="A1335" t="s">
        <v>3230</v>
      </c>
      <c r="B1335" t="s">
        <v>3231</v>
      </c>
      <c r="C1335" t="s">
        <v>1233</v>
      </c>
      <c r="D1335" t="s">
        <v>1027</v>
      </c>
      <c r="E1335">
        <v>63762</v>
      </c>
      <c r="F1335" t="s">
        <v>1234</v>
      </c>
      <c r="G1335" t="b">
        <v>0</v>
      </c>
      <c r="H1335" t="b">
        <v>0</v>
      </c>
      <c r="I1335" t="s">
        <v>1050</v>
      </c>
      <c r="J1335">
        <v>80</v>
      </c>
      <c r="K1335" t="s">
        <v>0</v>
      </c>
      <c r="L1335" t="s">
        <v>1167</v>
      </c>
      <c r="M1335" t="s">
        <v>1168</v>
      </c>
      <c r="N1335" t="s">
        <v>1169</v>
      </c>
      <c r="O1335" t="s">
        <v>1168</v>
      </c>
      <c r="P1335" t="s">
        <v>1235</v>
      </c>
    </row>
    <row r="1336" spans="1:16" x14ac:dyDescent="0.25">
      <c r="A1336" t="s">
        <v>3232</v>
      </c>
      <c r="B1336" t="s">
        <v>3233</v>
      </c>
      <c r="C1336" t="s">
        <v>1233</v>
      </c>
      <c r="D1336" t="s">
        <v>1027</v>
      </c>
      <c r="E1336">
        <v>63762</v>
      </c>
      <c r="F1336" t="s">
        <v>1234</v>
      </c>
      <c r="G1336" t="b">
        <v>0</v>
      </c>
      <c r="H1336" t="b">
        <v>0</v>
      </c>
      <c r="I1336" t="s">
        <v>1050</v>
      </c>
      <c r="J1336">
        <v>80</v>
      </c>
      <c r="K1336" t="s">
        <v>0</v>
      </c>
      <c r="L1336" t="s">
        <v>1167</v>
      </c>
      <c r="M1336" t="s">
        <v>1168</v>
      </c>
      <c r="N1336" t="s">
        <v>1169</v>
      </c>
      <c r="O1336" t="s">
        <v>1168</v>
      </c>
      <c r="P1336" t="s">
        <v>1235</v>
      </c>
    </row>
    <row r="1337" spans="1:16" x14ac:dyDescent="0.25">
      <c r="A1337" t="s">
        <v>3234</v>
      </c>
      <c r="B1337" t="s">
        <v>3235</v>
      </c>
      <c r="C1337" t="s">
        <v>1571</v>
      </c>
      <c r="D1337" t="s">
        <v>1027</v>
      </c>
      <c r="E1337">
        <v>63767</v>
      </c>
      <c r="G1337" t="b">
        <v>0</v>
      </c>
      <c r="H1337" t="b">
        <v>0</v>
      </c>
      <c r="I1337" t="s">
        <v>1050</v>
      </c>
      <c r="J1337">
        <v>80</v>
      </c>
      <c r="K1337" t="s">
        <v>0</v>
      </c>
      <c r="L1337" t="s">
        <v>1167</v>
      </c>
      <c r="M1337" t="s">
        <v>1168</v>
      </c>
      <c r="N1337" t="s">
        <v>1169</v>
      </c>
      <c r="O1337" t="s">
        <v>1168</v>
      </c>
      <c r="P1337" t="s">
        <v>1283</v>
      </c>
    </row>
    <row r="1338" spans="1:16" x14ac:dyDescent="0.25">
      <c r="A1338" t="s">
        <v>3236</v>
      </c>
      <c r="B1338" t="s">
        <v>3237</v>
      </c>
      <c r="C1338" t="s">
        <v>1571</v>
      </c>
      <c r="D1338" t="s">
        <v>1027</v>
      </c>
      <c r="E1338">
        <v>63767</v>
      </c>
      <c r="G1338" t="b">
        <v>0</v>
      </c>
      <c r="H1338" t="b">
        <v>0</v>
      </c>
      <c r="I1338" t="s">
        <v>1050</v>
      </c>
      <c r="J1338">
        <v>80</v>
      </c>
      <c r="K1338" t="s">
        <v>0</v>
      </c>
      <c r="L1338" t="s">
        <v>1167</v>
      </c>
      <c r="M1338" t="s">
        <v>1168</v>
      </c>
      <c r="N1338" t="s">
        <v>1169</v>
      </c>
      <c r="O1338" t="s">
        <v>1168</v>
      </c>
      <c r="P1338" t="s">
        <v>1283</v>
      </c>
    </row>
    <row r="1339" spans="1:16" x14ac:dyDescent="0.25">
      <c r="A1339" t="s">
        <v>3238</v>
      </c>
      <c r="B1339" t="s">
        <v>3239</v>
      </c>
      <c r="C1339" t="s">
        <v>1571</v>
      </c>
      <c r="D1339" t="s">
        <v>1027</v>
      </c>
      <c r="E1339">
        <v>63767</v>
      </c>
      <c r="G1339" t="b">
        <v>0</v>
      </c>
      <c r="H1339" t="b">
        <v>0</v>
      </c>
      <c r="I1339" t="s">
        <v>1050</v>
      </c>
      <c r="J1339">
        <v>80</v>
      </c>
      <c r="K1339" t="s">
        <v>0</v>
      </c>
      <c r="L1339" t="s">
        <v>1167</v>
      </c>
      <c r="M1339" t="s">
        <v>1168</v>
      </c>
      <c r="N1339" t="s">
        <v>1169</v>
      </c>
      <c r="O1339" t="s">
        <v>1168</v>
      </c>
      <c r="P1339" t="s">
        <v>1283</v>
      </c>
    </row>
    <row r="1340" spans="1:16" x14ac:dyDescent="0.25">
      <c r="A1340" t="s">
        <v>3240</v>
      </c>
      <c r="B1340" t="s">
        <v>3241</v>
      </c>
      <c r="C1340" t="s">
        <v>1165</v>
      </c>
      <c r="D1340" t="s">
        <v>1027</v>
      </c>
      <c r="E1340">
        <v>63774</v>
      </c>
      <c r="F1340" t="s">
        <v>1166</v>
      </c>
      <c r="G1340" t="b">
        <v>0</v>
      </c>
      <c r="H1340" t="b">
        <v>0</v>
      </c>
      <c r="I1340" t="s">
        <v>1050</v>
      </c>
      <c r="J1340">
        <v>24</v>
      </c>
      <c r="K1340" t="s">
        <v>1</v>
      </c>
      <c r="L1340" t="s">
        <v>1167</v>
      </c>
      <c r="M1340" t="s">
        <v>1168</v>
      </c>
      <c r="N1340" t="s">
        <v>1169</v>
      </c>
      <c r="O1340" t="s">
        <v>1168</v>
      </c>
      <c r="P1340" t="s">
        <v>1170</v>
      </c>
    </row>
    <row r="1341" spans="1:16" x14ac:dyDescent="0.25">
      <c r="A1341" t="s">
        <v>3242</v>
      </c>
      <c r="B1341" t="s">
        <v>3243</v>
      </c>
      <c r="C1341" t="s">
        <v>1165</v>
      </c>
      <c r="D1341" t="s">
        <v>1027</v>
      </c>
      <c r="E1341">
        <v>63774</v>
      </c>
      <c r="F1341" t="s">
        <v>1166</v>
      </c>
      <c r="G1341" t="b">
        <v>0</v>
      </c>
      <c r="H1341" t="b">
        <v>0</v>
      </c>
      <c r="I1341" t="s">
        <v>1050</v>
      </c>
      <c r="J1341">
        <v>24</v>
      </c>
      <c r="K1341" t="s">
        <v>1</v>
      </c>
      <c r="L1341" t="s">
        <v>1167</v>
      </c>
      <c r="M1341" t="s">
        <v>1168</v>
      </c>
      <c r="N1341" t="s">
        <v>1169</v>
      </c>
      <c r="O1341" t="s">
        <v>1168</v>
      </c>
      <c r="P1341" t="s">
        <v>1170</v>
      </c>
    </row>
    <row r="1342" spans="1:16" x14ac:dyDescent="0.25">
      <c r="A1342" t="s">
        <v>3244</v>
      </c>
      <c r="B1342" t="s">
        <v>3245</v>
      </c>
      <c r="C1342" t="s">
        <v>1165</v>
      </c>
      <c r="D1342" t="s">
        <v>1027</v>
      </c>
      <c r="E1342">
        <v>63774</v>
      </c>
      <c r="F1342" t="s">
        <v>1166</v>
      </c>
      <c r="G1342" t="b">
        <v>0</v>
      </c>
      <c r="H1342" t="b">
        <v>0</v>
      </c>
      <c r="I1342" t="s">
        <v>1050</v>
      </c>
      <c r="J1342">
        <v>24</v>
      </c>
      <c r="K1342" t="s">
        <v>1</v>
      </c>
      <c r="L1342" t="s">
        <v>1167</v>
      </c>
      <c r="M1342" t="s">
        <v>1168</v>
      </c>
      <c r="N1342" t="s">
        <v>1169</v>
      </c>
      <c r="O1342" t="s">
        <v>1168</v>
      </c>
      <c r="P1342" t="s">
        <v>1170</v>
      </c>
    </row>
    <row r="1343" spans="1:16" x14ac:dyDescent="0.25">
      <c r="A1343" t="s">
        <v>3246</v>
      </c>
      <c r="B1343" t="s">
        <v>3247</v>
      </c>
      <c r="C1343" t="s">
        <v>1165</v>
      </c>
      <c r="D1343" t="s">
        <v>1027</v>
      </c>
      <c r="E1343">
        <v>63774</v>
      </c>
      <c r="F1343" t="s">
        <v>1166</v>
      </c>
      <c r="G1343" t="b">
        <v>0</v>
      </c>
      <c r="H1343" t="b">
        <v>0</v>
      </c>
      <c r="I1343" t="s">
        <v>1050</v>
      </c>
      <c r="J1343">
        <v>24</v>
      </c>
      <c r="K1343" t="s">
        <v>1</v>
      </c>
      <c r="L1343" t="s">
        <v>1167</v>
      </c>
      <c r="M1343" t="s">
        <v>1168</v>
      </c>
      <c r="N1343" t="s">
        <v>1169</v>
      </c>
      <c r="O1343" t="s">
        <v>1168</v>
      </c>
      <c r="P1343" t="s">
        <v>1170</v>
      </c>
    </row>
    <row r="1344" spans="1:16" x14ac:dyDescent="0.25">
      <c r="A1344" t="s">
        <v>3248</v>
      </c>
      <c r="B1344" t="s">
        <v>3249</v>
      </c>
      <c r="C1344" t="s">
        <v>1165</v>
      </c>
      <c r="D1344" t="s">
        <v>1027</v>
      </c>
      <c r="E1344">
        <v>63774</v>
      </c>
      <c r="F1344" t="s">
        <v>1166</v>
      </c>
      <c r="G1344" t="b">
        <v>0</v>
      </c>
      <c r="H1344" t="b">
        <v>0</v>
      </c>
      <c r="I1344" t="s">
        <v>1050</v>
      </c>
      <c r="J1344">
        <v>24</v>
      </c>
      <c r="K1344" t="s">
        <v>1</v>
      </c>
      <c r="L1344" t="s">
        <v>1167</v>
      </c>
      <c r="M1344" t="s">
        <v>1168</v>
      </c>
      <c r="N1344" t="s">
        <v>1169</v>
      </c>
      <c r="O1344" t="s">
        <v>1168</v>
      </c>
      <c r="P1344" t="s">
        <v>1170</v>
      </c>
    </row>
    <row r="1345" spans="1:16" x14ac:dyDescent="0.25">
      <c r="A1345" t="s">
        <v>3250</v>
      </c>
      <c r="B1345" t="s">
        <v>3251</v>
      </c>
      <c r="C1345" t="s">
        <v>1165</v>
      </c>
      <c r="D1345" t="s">
        <v>1027</v>
      </c>
      <c r="E1345">
        <v>63774</v>
      </c>
      <c r="F1345" t="s">
        <v>1166</v>
      </c>
      <c r="G1345" t="b">
        <v>0</v>
      </c>
      <c r="H1345" t="b">
        <v>0</v>
      </c>
      <c r="I1345" t="s">
        <v>1050</v>
      </c>
      <c r="J1345">
        <v>24</v>
      </c>
      <c r="K1345" t="s">
        <v>1</v>
      </c>
      <c r="L1345" t="s">
        <v>1167</v>
      </c>
      <c r="M1345" t="s">
        <v>1168</v>
      </c>
      <c r="N1345" t="s">
        <v>1169</v>
      </c>
      <c r="O1345" t="s">
        <v>1168</v>
      </c>
      <c r="P1345" t="s">
        <v>1170</v>
      </c>
    </row>
    <row r="1346" spans="1:16" x14ac:dyDescent="0.25">
      <c r="A1346" t="s">
        <v>3252</v>
      </c>
      <c r="B1346" t="s">
        <v>3253</v>
      </c>
      <c r="C1346" t="s">
        <v>1571</v>
      </c>
      <c r="D1346" t="s">
        <v>1027</v>
      </c>
      <c r="E1346">
        <v>63767</v>
      </c>
      <c r="G1346" t="b">
        <v>0</v>
      </c>
      <c r="H1346" t="b">
        <v>0</v>
      </c>
      <c r="I1346" t="s">
        <v>1050</v>
      </c>
      <c r="J1346">
        <v>80</v>
      </c>
      <c r="K1346" t="s">
        <v>0</v>
      </c>
      <c r="L1346" t="s">
        <v>1167</v>
      </c>
      <c r="M1346" t="s">
        <v>1168</v>
      </c>
      <c r="N1346" t="s">
        <v>1169</v>
      </c>
      <c r="O1346" t="s">
        <v>1168</v>
      </c>
      <c r="P1346" t="s">
        <v>1283</v>
      </c>
    </row>
    <row r="1347" spans="1:16" x14ac:dyDescent="0.25">
      <c r="A1347" t="s">
        <v>3254</v>
      </c>
      <c r="B1347" t="s">
        <v>3255</v>
      </c>
      <c r="C1347" t="s">
        <v>1571</v>
      </c>
      <c r="D1347" t="s">
        <v>1027</v>
      </c>
      <c r="E1347">
        <v>63767</v>
      </c>
      <c r="G1347" t="b">
        <v>0</v>
      </c>
      <c r="H1347" t="b">
        <v>0</v>
      </c>
      <c r="I1347" t="s">
        <v>1050</v>
      </c>
      <c r="J1347">
        <v>80</v>
      </c>
      <c r="K1347" t="s">
        <v>0</v>
      </c>
      <c r="L1347" t="s">
        <v>1167</v>
      </c>
      <c r="M1347" t="s">
        <v>1168</v>
      </c>
      <c r="N1347" t="s">
        <v>1169</v>
      </c>
      <c r="O1347" t="s">
        <v>1168</v>
      </c>
      <c r="P1347" t="s">
        <v>1283</v>
      </c>
    </row>
    <row r="1348" spans="1:16" x14ac:dyDescent="0.25">
      <c r="A1348" t="s">
        <v>3256</v>
      </c>
      <c r="B1348" t="s">
        <v>3257</v>
      </c>
      <c r="C1348" t="s">
        <v>1571</v>
      </c>
      <c r="D1348" t="s">
        <v>1027</v>
      </c>
      <c r="E1348">
        <v>63767</v>
      </c>
      <c r="G1348" t="b">
        <v>0</v>
      </c>
      <c r="H1348" t="b">
        <v>0</v>
      </c>
      <c r="I1348" t="s">
        <v>1050</v>
      </c>
      <c r="J1348">
        <v>80</v>
      </c>
      <c r="K1348" t="s">
        <v>0</v>
      </c>
      <c r="L1348" t="s">
        <v>1167</v>
      </c>
      <c r="M1348" t="s">
        <v>1168</v>
      </c>
      <c r="N1348" t="s">
        <v>1169</v>
      </c>
      <c r="O1348" t="s">
        <v>1168</v>
      </c>
      <c r="P1348" t="s">
        <v>1283</v>
      </c>
    </row>
    <row r="1349" spans="1:16" x14ac:dyDescent="0.25">
      <c r="A1349" t="s">
        <v>3258</v>
      </c>
      <c r="B1349" t="s">
        <v>3259</v>
      </c>
      <c r="C1349" t="s">
        <v>1571</v>
      </c>
      <c r="D1349" t="s">
        <v>1027</v>
      </c>
      <c r="E1349">
        <v>63767</v>
      </c>
      <c r="G1349" t="b">
        <v>0</v>
      </c>
      <c r="H1349" t="b">
        <v>0</v>
      </c>
      <c r="I1349" t="s">
        <v>1050</v>
      </c>
      <c r="J1349">
        <v>80</v>
      </c>
      <c r="K1349" t="s">
        <v>0</v>
      </c>
      <c r="L1349" t="s">
        <v>1167</v>
      </c>
      <c r="M1349" t="s">
        <v>1168</v>
      </c>
      <c r="N1349" t="s">
        <v>1169</v>
      </c>
      <c r="O1349" t="s">
        <v>1168</v>
      </c>
      <c r="P1349" t="s">
        <v>1283</v>
      </c>
    </row>
    <row r="1350" spans="1:16" x14ac:dyDescent="0.25">
      <c r="A1350" t="s">
        <v>3260</v>
      </c>
      <c r="B1350" t="s">
        <v>3261</v>
      </c>
      <c r="C1350" t="s">
        <v>1571</v>
      </c>
      <c r="D1350" t="s">
        <v>1027</v>
      </c>
      <c r="E1350">
        <v>63767</v>
      </c>
      <c r="G1350" t="b">
        <v>0</v>
      </c>
      <c r="H1350" t="b">
        <v>0</v>
      </c>
      <c r="I1350" t="s">
        <v>1050</v>
      </c>
      <c r="J1350">
        <v>80</v>
      </c>
      <c r="K1350" t="s">
        <v>0</v>
      </c>
      <c r="L1350" t="s">
        <v>1167</v>
      </c>
      <c r="M1350" t="s">
        <v>1168</v>
      </c>
      <c r="N1350" t="s">
        <v>1169</v>
      </c>
      <c r="O1350" t="s">
        <v>1168</v>
      </c>
      <c r="P1350" t="s">
        <v>1283</v>
      </c>
    </row>
    <row r="1351" spans="1:16" x14ac:dyDescent="0.25">
      <c r="A1351" t="s">
        <v>3262</v>
      </c>
      <c r="B1351" t="s">
        <v>3263</v>
      </c>
      <c r="C1351" t="s">
        <v>1571</v>
      </c>
      <c r="D1351" t="s">
        <v>1027</v>
      </c>
      <c r="E1351">
        <v>63767</v>
      </c>
      <c r="G1351" t="b">
        <v>0</v>
      </c>
      <c r="H1351" t="b">
        <v>0</v>
      </c>
      <c r="I1351" t="s">
        <v>1050</v>
      </c>
      <c r="J1351">
        <v>80</v>
      </c>
      <c r="K1351" t="s">
        <v>0</v>
      </c>
      <c r="L1351" t="s">
        <v>1167</v>
      </c>
      <c r="M1351" t="s">
        <v>1168</v>
      </c>
      <c r="N1351" t="s">
        <v>1169</v>
      </c>
      <c r="O1351" t="s">
        <v>1168</v>
      </c>
      <c r="P1351" t="s">
        <v>1283</v>
      </c>
    </row>
    <row r="1352" spans="1:16" x14ac:dyDescent="0.25">
      <c r="A1352" t="s">
        <v>3264</v>
      </c>
      <c r="B1352" t="s">
        <v>3263</v>
      </c>
      <c r="C1352" t="s">
        <v>1571</v>
      </c>
      <c r="D1352" t="s">
        <v>1027</v>
      </c>
      <c r="E1352">
        <v>63767</v>
      </c>
      <c r="G1352" t="b">
        <v>0</v>
      </c>
      <c r="H1352" t="b">
        <v>0</v>
      </c>
      <c r="I1352" t="s">
        <v>1050</v>
      </c>
      <c r="J1352">
        <v>80</v>
      </c>
      <c r="K1352" t="s">
        <v>0</v>
      </c>
      <c r="L1352" t="s">
        <v>1167</v>
      </c>
      <c r="M1352" t="s">
        <v>1168</v>
      </c>
      <c r="N1352" t="s">
        <v>1169</v>
      </c>
      <c r="O1352" t="s">
        <v>1168</v>
      </c>
      <c r="P1352" t="s">
        <v>1283</v>
      </c>
    </row>
    <row r="1353" spans="1:16" x14ac:dyDescent="0.25">
      <c r="A1353" t="s">
        <v>3265</v>
      </c>
      <c r="B1353" t="s">
        <v>3266</v>
      </c>
      <c r="C1353" t="s">
        <v>1233</v>
      </c>
      <c r="D1353" t="s">
        <v>1027</v>
      </c>
      <c r="E1353">
        <v>63762</v>
      </c>
      <c r="F1353" t="s">
        <v>1234</v>
      </c>
      <c r="G1353" t="b">
        <v>0</v>
      </c>
      <c r="H1353" t="b">
        <v>0</v>
      </c>
      <c r="I1353" t="s">
        <v>1050</v>
      </c>
      <c r="J1353">
        <v>88</v>
      </c>
      <c r="K1353" t="s">
        <v>0</v>
      </c>
      <c r="L1353" t="s">
        <v>1167</v>
      </c>
      <c r="M1353" t="s">
        <v>1168</v>
      </c>
      <c r="N1353" t="s">
        <v>1169</v>
      </c>
      <c r="O1353" t="s">
        <v>1168</v>
      </c>
      <c r="P1353" t="s">
        <v>1235</v>
      </c>
    </row>
    <row r="1354" spans="1:16" x14ac:dyDescent="0.25">
      <c r="A1354" t="s">
        <v>3267</v>
      </c>
      <c r="B1354" t="s">
        <v>3268</v>
      </c>
      <c r="C1354" t="s">
        <v>1233</v>
      </c>
      <c r="D1354" t="s">
        <v>1027</v>
      </c>
      <c r="E1354">
        <v>63762</v>
      </c>
      <c r="F1354" t="s">
        <v>1234</v>
      </c>
      <c r="G1354" t="b">
        <v>0</v>
      </c>
      <c r="H1354" t="b">
        <v>0</v>
      </c>
      <c r="I1354" t="s">
        <v>1050</v>
      </c>
      <c r="J1354">
        <v>88</v>
      </c>
      <c r="K1354" t="s">
        <v>0</v>
      </c>
      <c r="L1354" t="s">
        <v>1167</v>
      </c>
      <c r="M1354" t="s">
        <v>1168</v>
      </c>
      <c r="N1354" t="s">
        <v>1169</v>
      </c>
      <c r="O1354" t="s">
        <v>1168</v>
      </c>
      <c r="P1354" t="s">
        <v>1235</v>
      </c>
    </row>
    <row r="1355" spans="1:16" x14ac:dyDescent="0.25">
      <c r="A1355" t="s">
        <v>3269</v>
      </c>
      <c r="B1355" t="s">
        <v>3270</v>
      </c>
      <c r="C1355" t="s">
        <v>1233</v>
      </c>
      <c r="D1355" t="s">
        <v>1027</v>
      </c>
      <c r="E1355">
        <v>63762</v>
      </c>
      <c r="F1355" t="s">
        <v>1234</v>
      </c>
      <c r="G1355" t="b">
        <v>0</v>
      </c>
      <c r="H1355" t="b">
        <v>0</v>
      </c>
      <c r="I1355" t="s">
        <v>1050</v>
      </c>
      <c r="J1355">
        <v>88</v>
      </c>
      <c r="K1355" t="s">
        <v>0</v>
      </c>
      <c r="L1355" t="s">
        <v>1167</v>
      </c>
      <c r="M1355" t="s">
        <v>1168</v>
      </c>
      <c r="N1355" t="s">
        <v>1169</v>
      </c>
      <c r="O1355" t="s">
        <v>1168</v>
      </c>
      <c r="P1355" t="s">
        <v>1235</v>
      </c>
    </row>
    <row r="1356" spans="1:16" x14ac:dyDescent="0.25">
      <c r="A1356" t="s">
        <v>3271</v>
      </c>
      <c r="B1356" t="s">
        <v>3272</v>
      </c>
      <c r="C1356" t="s">
        <v>1233</v>
      </c>
      <c r="D1356" t="s">
        <v>1027</v>
      </c>
      <c r="E1356">
        <v>63762</v>
      </c>
      <c r="F1356" t="s">
        <v>1234</v>
      </c>
      <c r="G1356" t="b">
        <v>0</v>
      </c>
      <c r="H1356" t="b">
        <v>0</v>
      </c>
      <c r="I1356" t="s">
        <v>1050</v>
      </c>
      <c r="J1356">
        <v>88</v>
      </c>
      <c r="K1356" t="s">
        <v>0</v>
      </c>
      <c r="L1356" t="s">
        <v>1167</v>
      </c>
      <c r="M1356" t="s">
        <v>1168</v>
      </c>
      <c r="N1356" t="s">
        <v>1169</v>
      </c>
      <c r="O1356" t="s">
        <v>1168</v>
      </c>
      <c r="P1356" t="s">
        <v>1235</v>
      </c>
    </row>
    <row r="1357" spans="1:16" x14ac:dyDescent="0.25">
      <c r="A1357" t="s">
        <v>3273</v>
      </c>
      <c r="B1357" t="s">
        <v>3274</v>
      </c>
      <c r="C1357" t="s">
        <v>1228</v>
      </c>
      <c r="D1357" t="s">
        <v>1027</v>
      </c>
      <c r="E1357">
        <v>1660</v>
      </c>
      <c r="F1357" t="s">
        <v>1229</v>
      </c>
      <c r="G1357" t="b">
        <v>0</v>
      </c>
      <c r="H1357" t="b">
        <v>0</v>
      </c>
      <c r="I1357" t="s">
        <v>1050</v>
      </c>
      <c r="J1357">
        <v>87</v>
      </c>
      <c r="K1357" t="s">
        <v>2</v>
      </c>
      <c r="L1357" t="s">
        <v>1167</v>
      </c>
      <c r="M1357" t="s">
        <v>1168</v>
      </c>
      <c r="N1357" t="s">
        <v>1169</v>
      </c>
      <c r="O1357" t="s">
        <v>1168</v>
      </c>
      <c r="P1357" t="s">
        <v>1230</v>
      </c>
    </row>
    <row r="1358" spans="1:16" x14ac:dyDescent="0.25">
      <c r="A1358" t="s">
        <v>3275</v>
      </c>
      <c r="B1358" t="s">
        <v>3274</v>
      </c>
      <c r="C1358" t="s">
        <v>1228</v>
      </c>
      <c r="D1358" t="s">
        <v>1027</v>
      </c>
      <c r="E1358">
        <v>1660</v>
      </c>
      <c r="F1358" t="s">
        <v>1229</v>
      </c>
      <c r="G1358" t="b">
        <v>0</v>
      </c>
      <c r="H1358" t="b">
        <v>0</v>
      </c>
      <c r="I1358" t="s">
        <v>1050</v>
      </c>
      <c r="J1358">
        <v>87</v>
      </c>
      <c r="K1358" t="s">
        <v>2</v>
      </c>
      <c r="L1358" t="s">
        <v>1167</v>
      </c>
      <c r="M1358" t="s">
        <v>1168</v>
      </c>
      <c r="N1358" t="s">
        <v>1169</v>
      </c>
      <c r="O1358" t="s">
        <v>1168</v>
      </c>
      <c r="P1358" t="s">
        <v>1230</v>
      </c>
    </row>
    <row r="1359" spans="1:16" x14ac:dyDescent="0.25">
      <c r="A1359" t="s">
        <v>3276</v>
      </c>
      <c r="B1359" t="s">
        <v>3277</v>
      </c>
      <c r="C1359" t="s">
        <v>1571</v>
      </c>
      <c r="D1359" t="s">
        <v>1027</v>
      </c>
      <c r="E1359">
        <v>63767</v>
      </c>
      <c r="G1359" t="b">
        <v>0</v>
      </c>
      <c r="H1359" t="b">
        <v>0</v>
      </c>
      <c r="I1359" t="s">
        <v>1050</v>
      </c>
      <c r="J1359">
        <v>80</v>
      </c>
      <c r="K1359" t="s">
        <v>0</v>
      </c>
      <c r="L1359" t="s">
        <v>1167</v>
      </c>
      <c r="M1359" t="s">
        <v>1168</v>
      </c>
      <c r="N1359" t="s">
        <v>1169</v>
      </c>
      <c r="O1359" t="s">
        <v>1168</v>
      </c>
      <c r="P1359" t="s">
        <v>1283</v>
      </c>
    </row>
    <row r="1360" spans="1:16" x14ac:dyDescent="0.25">
      <c r="A1360" t="s">
        <v>3278</v>
      </c>
      <c r="B1360" t="s">
        <v>3279</v>
      </c>
      <c r="C1360" t="s">
        <v>1571</v>
      </c>
      <c r="D1360" t="s">
        <v>1027</v>
      </c>
      <c r="E1360">
        <v>63767</v>
      </c>
      <c r="G1360" t="b">
        <v>0</v>
      </c>
      <c r="H1360" t="b">
        <v>0</v>
      </c>
      <c r="I1360" t="s">
        <v>1050</v>
      </c>
      <c r="J1360">
        <v>80</v>
      </c>
      <c r="K1360" t="s">
        <v>0</v>
      </c>
      <c r="L1360" t="s">
        <v>1167</v>
      </c>
      <c r="M1360" t="s">
        <v>1168</v>
      </c>
      <c r="N1360" t="s">
        <v>1169</v>
      </c>
      <c r="O1360" t="s">
        <v>1168</v>
      </c>
      <c r="P1360" t="s">
        <v>1283</v>
      </c>
    </row>
    <row r="1361" spans="1:16" x14ac:dyDescent="0.25">
      <c r="A1361" t="s">
        <v>3280</v>
      </c>
      <c r="B1361" t="s">
        <v>3281</v>
      </c>
      <c r="C1361" t="s">
        <v>1571</v>
      </c>
      <c r="D1361" t="s">
        <v>1027</v>
      </c>
      <c r="E1361">
        <v>63767</v>
      </c>
      <c r="G1361" t="b">
        <v>0</v>
      </c>
      <c r="H1361" t="b">
        <v>0</v>
      </c>
      <c r="I1361" t="s">
        <v>1050</v>
      </c>
      <c r="J1361">
        <v>80</v>
      </c>
      <c r="K1361" t="s">
        <v>0</v>
      </c>
      <c r="L1361" t="s">
        <v>1167</v>
      </c>
      <c r="M1361" t="s">
        <v>1168</v>
      </c>
      <c r="N1361" t="s">
        <v>1169</v>
      </c>
      <c r="O1361" t="s">
        <v>1168</v>
      </c>
      <c r="P1361" t="s">
        <v>1283</v>
      </c>
    </row>
    <row r="1362" spans="1:16" x14ac:dyDescent="0.25">
      <c r="A1362" t="s">
        <v>3282</v>
      </c>
      <c r="B1362" t="s">
        <v>3283</v>
      </c>
      <c r="C1362" t="s">
        <v>1571</v>
      </c>
      <c r="D1362" t="s">
        <v>1027</v>
      </c>
      <c r="E1362">
        <v>63767</v>
      </c>
      <c r="G1362" t="b">
        <v>0</v>
      </c>
      <c r="H1362" t="b">
        <v>0</v>
      </c>
      <c r="I1362" t="s">
        <v>1050</v>
      </c>
      <c r="J1362">
        <v>80</v>
      </c>
      <c r="K1362" t="s">
        <v>0</v>
      </c>
      <c r="L1362" t="s">
        <v>1167</v>
      </c>
      <c r="M1362" t="s">
        <v>1168</v>
      </c>
      <c r="N1362" t="s">
        <v>1169</v>
      </c>
      <c r="O1362" t="s">
        <v>1168</v>
      </c>
      <c r="P1362" t="s">
        <v>1283</v>
      </c>
    </row>
    <row r="1363" spans="1:16" x14ac:dyDescent="0.25">
      <c r="A1363" t="s">
        <v>3284</v>
      </c>
      <c r="B1363" t="s">
        <v>3285</v>
      </c>
      <c r="C1363" t="s">
        <v>1571</v>
      </c>
      <c r="D1363" t="s">
        <v>1027</v>
      </c>
      <c r="E1363">
        <v>63767</v>
      </c>
      <c r="G1363" t="b">
        <v>0</v>
      </c>
      <c r="H1363" t="b">
        <v>0</v>
      </c>
      <c r="I1363" t="s">
        <v>1050</v>
      </c>
      <c r="J1363">
        <v>80</v>
      </c>
      <c r="K1363" t="s">
        <v>0</v>
      </c>
      <c r="L1363" t="s">
        <v>1167</v>
      </c>
      <c r="M1363" t="s">
        <v>1168</v>
      </c>
      <c r="N1363" t="s">
        <v>1169</v>
      </c>
      <c r="O1363" t="s">
        <v>1168</v>
      </c>
      <c r="P1363" t="s">
        <v>1283</v>
      </c>
    </row>
    <row r="1364" spans="1:16" x14ac:dyDescent="0.25">
      <c r="A1364" t="s">
        <v>3286</v>
      </c>
      <c r="B1364" t="s">
        <v>3285</v>
      </c>
      <c r="C1364" t="s">
        <v>1571</v>
      </c>
      <c r="D1364" t="s">
        <v>1027</v>
      </c>
      <c r="E1364">
        <v>63767</v>
      </c>
      <c r="G1364" t="b">
        <v>0</v>
      </c>
      <c r="H1364" t="b">
        <v>0</v>
      </c>
      <c r="I1364" t="s">
        <v>1050</v>
      </c>
      <c r="J1364">
        <v>80</v>
      </c>
      <c r="K1364" t="s">
        <v>0</v>
      </c>
      <c r="L1364" t="s">
        <v>1167</v>
      </c>
      <c r="M1364" t="s">
        <v>1168</v>
      </c>
      <c r="N1364" t="s">
        <v>1169</v>
      </c>
      <c r="O1364" t="s">
        <v>1168</v>
      </c>
      <c r="P1364" t="s">
        <v>1283</v>
      </c>
    </row>
    <row r="1365" spans="1:16" x14ac:dyDescent="0.25">
      <c r="A1365" t="s">
        <v>3287</v>
      </c>
      <c r="B1365" t="s">
        <v>3288</v>
      </c>
      <c r="C1365" t="s">
        <v>1571</v>
      </c>
      <c r="D1365" t="s">
        <v>1027</v>
      </c>
      <c r="E1365">
        <v>63767</v>
      </c>
      <c r="G1365" t="b">
        <v>0</v>
      </c>
      <c r="H1365" t="b">
        <v>0</v>
      </c>
      <c r="I1365" t="s">
        <v>1050</v>
      </c>
      <c r="J1365">
        <v>80</v>
      </c>
      <c r="K1365" t="s">
        <v>0</v>
      </c>
      <c r="L1365" t="s">
        <v>1167</v>
      </c>
      <c r="M1365" t="s">
        <v>1168</v>
      </c>
      <c r="N1365" t="s">
        <v>1169</v>
      </c>
      <c r="O1365" t="s">
        <v>1168</v>
      </c>
      <c r="P1365" t="s">
        <v>1283</v>
      </c>
    </row>
    <row r="1366" spans="1:16" x14ac:dyDescent="0.25">
      <c r="A1366" t="s">
        <v>3289</v>
      </c>
      <c r="B1366" t="s">
        <v>3290</v>
      </c>
      <c r="C1366" t="s">
        <v>1571</v>
      </c>
      <c r="D1366" t="s">
        <v>1027</v>
      </c>
      <c r="E1366">
        <v>63767</v>
      </c>
      <c r="G1366" t="b">
        <v>0</v>
      </c>
      <c r="H1366" t="b">
        <v>0</v>
      </c>
      <c r="I1366" t="s">
        <v>1050</v>
      </c>
      <c r="J1366">
        <v>80</v>
      </c>
      <c r="K1366" t="s">
        <v>0</v>
      </c>
      <c r="L1366" t="s">
        <v>1167</v>
      </c>
      <c r="M1366" t="s">
        <v>1168</v>
      </c>
      <c r="N1366" t="s">
        <v>1169</v>
      </c>
      <c r="O1366" t="s">
        <v>1168</v>
      </c>
      <c r="P1366" t="s">
        <v>1283</v>
      </c>
    </row>
    <row r="1367" spans="1:16" x14ac:dyDescent="0.25">
      <c r="A1367" t="s">
        <v>3291</v>
      </c>
      <c r="B1367" t="s">
        <v>3290</v>
      </c>
      <c r="C1367" t="s">
        <v>1571</v>
      </c>
      <c r="D1367" t="s">
        <v>1027</v>
      </c>
      <c r="E1367">
        <v>63767</v>
      </c>
      <c r="G1367" t="b">
        <v>0</v>
      </c>
      <c r="H1367" t="b">
        <v>0</v>
      </c>
      <c r="I1367" t="s">
        <v>1050</v>
      </c>
      <c r="J1367">
        <v>80</v>
      </c>
      <c r="K1367" t="s">
        <v>0</v>
      </c>
      <c r="L1367" t="s">
        <v>1167</v>
      </c>
      <c r="M1367" t="s">
        <v>1168</v>
      </c>
      <c r="N1367" t="s">
        <v>1169</v>
      </c>
      <c r="O1367" t="s">
        <v>1168</v>
      </c>
      <c r="P1367" t="s">
        <v>1283</v>
      </c>
    </row>
    <row r="1368" spans="1:16" x14ac:dyDescent="0.25">
      <c r="A1368" t="s">
        <v>3292</v>
      </c>
      <c r="B1368" t="s">
        <v>3293</v>
      </c>
      <c r="C1368" t="s">
        <v>1571</v>
      </c>
      <c r="D1368" t="s">
        <v>1027</v>
      </c>
      <c r="E1368">
        <v>63767</v>
      </c>
      <c r="G1368" t="b">
        <v>0</v>
      </c>
      <c r="H1368" t="b">
        <v>0</v>
      </c>
      <c r="I1368" t="s">
        <v>1050</v>
      </c>
      <c r="J1368">
        <v>80</v>
      </c>
      <c r="K1368" t="s">
        <v>0</v>
      </c>
      <c r="L1368" t="s">
        <v>1167</v>
      </c>
      <c r="M1368" t="s">
        <v>1168</v>
      </c>
      <c r="N1368" t="s">
        <v>1169</v>
      </c>
      <c r="O1368" t="s">
        <v>1168</v>
      </c>
      <c r="P1368" t="s">
        <v>1283</v>
      </c>
    </row>
    <row r="1369" spans="1:16" x14ac:dyDescent="0.25">
      <c r="A1369" t="s">
        <v>3294</v>
      </c>
      <c r="B1369" t="s">
        <v>3295</v>
      </c>
      <c r="C1369" t="s">
        <v>1571</v>
      </c>
      <c r="D1369" t="s">
        <v>1027</v>
      </c>
      <c r="E1369">
        <v>63767</v>
      </c>
      <c r="G1369" t="b">
        <v>0</v>
      </c>
      <c r="H1369" t="b">
        <v>0</v>
      </c>
      <c r="I1369" t="s">
        <v>1050</v>
      </c>
      <c r="J1369">
        <v>80</v>
      </c>
      <c r="K1369" t="s">
        <v>0</v>
      </c>
      <c r="L1369" t="s">
        <v>1167</v>
      </c>
      <c r="M1369" t="s">
        <v>1168</v>
      </c>
      <c r="N1369" t="s">
        <v>1169</v>
      </c>
      <c r="O1369" t="s">
        <v>1168</v>
      </c>
      <c r="P1369" t="s">
        <v>1283</v>
      </c>
    </row>
    <row r="1370" spans="1:16" x14ac:dyDescent="0.25">
      <c r="A1370" t="s">
        <v>3296</v>
      </c>
      <c r="B1370" t="s">
        <v>3297</v>
      </c>
      <c r="C1370" t="s">
        <v>1571</v>
      </c>
      <c r="D1370" t="s">
        <v>1027</v>
      </c>
      <c r="E1370">
        <v>63767</v>
      </c>
      <c r="G1370" t="b">
        <v>0</v>
      </c>
      <c r="H1370" t="b">
        <v>0</v>
      </c>
      <c r="I1370" t="s">
        <v>1050</v>
      </c>
      <c r="J1370">
        <v>80</v>
      </c>
      <c r="K1370" t="s">
        <v>0</v>
      </c>
      <c r="L1370" t="s">
        <v>1167</v>
      </c>
      <c r="M1370" t="s">
        <v>1168</v>
      </c>
      <c r="N1370" t="s">
        <v>1169</v>
      </c>
      <c r="O1370" t="s">
        <v>1168</v>
      </c>
      <c r="P1370" t="s">
        <v>1283</v>
      </c>
    </row>
    <row r="1371" spans="1:16" x14ac:dyDescent="0.25">
      <c r="A1371" t="s">
        <v>3298</v>
      </c>
      <c r="B1371" t="s">
        <v>3299</v>
      </c>
      <c r="C1371" t="s">
        <v>1571</v>
      </c>
      <c r="D1371" t="s">
        <v>1027</v>
      </c>
      <c r="E1371">
        <v>63767</v>
      </c>
      <c r="G1371" t="b">
        <v>0</v>
      </c>
      <c r="H1371" t="b">
        <v>0</v>
      </c>
      <c r="I1371" t="s">
        <v>1050</v>
      </c>
      <c r="J1371">
        <v>80</v>
      </c>
      <c r="K1371" t="s">
        <v>0</v>
      </c>
      <c r="L1371" t="s">
        <v>1167</v>
      </c>
      <c r="M1371" t="s">
        <v>1168</v>
      </c>
      <c r="N1371" t="s">
        <v>1169</v>
      </c>
      <c r="O1371" t="s">
        <v>1168</v>
      </c>
      <c r="P1371" t="s">
        <v>1283</v>
      </c>
    </row>
    <row r="1372" spans="1:16" x14ac:dyDescent="0.25">
      <c r="A1372" t="s">
        <v>3300</v>
      </c>
      <c r="B1372" t="s">
        <v>3301</v>
      </c>
      <c r="C1372" t="s">
        <v>1571</v>
      </c>
      <c r="D1372" t="s">
        <v>1027</v>
      </c>
      <c r="E1372">
        <v>63767</v>
      </c>
      <c r="G1372" t="b">
        <v>0</v>
      </c>
      <c r="H1372" t="b">
        <v>0</v>
      </c>
      <c r="I1372" t="s">
        <v>1050</v>
      </c>
      <c r="J1372">
        <v>80</v>
      </c>
      <c r="K1372" t="s">
        <v>0</v>
      </c>
      <c r="L1372" t="s">
        <v>1167</v>
      </c>
      <c r="M1372" t="s">
        <v>1168</v>
      </c>
      <c r="N1372" t="s">
        <v>1169</v>
      </c>
      <c r="O1372" t="s">
        <v>1168</v>
      </c>
      <c r="P1372" t="s">
        <v>1283</v>
      </c>
    </row>
    <row r="1373" spans="1:16" x14ac:dyDescent="0.25">
      <c r="A1373" t="s">
        <v>3302</v>
      </c>
      <c r="B1373" t="s">
        <v>3303</v>
      </c>
      <c r="C1373" t="s">
        <v>1571</v>
      </c>
      <c r="D1373" t="s">
        <v>1027</v>
      </c>
      <c r="E1373">
        <v>63767</v>
      </c>
      <c r="G1373" t="b">
        <v>0</v>
      </c>
      <c r="H1373" t="b">
        <v>0</v>
      </c>
      <c r="I1373" t="s">
        <v>1050</v>
      </c>
      <c r="J1373">
        <v>80</v>
      </c>
      <c r="K1373" t="s">
        <v>0</v>
      </c>
      <c r="L1373" t="s">
        <v>1167</v>
      </c>
      <c r="M1373" t="s">
        <v>1168</v>
      </c>
      <c r="N1373" t="s">
        <v>1169</v>
      </c>
      <c r="O1373" t="s">
        <v>1168</v>
      </c>
      <c r="P1373" t="s">
        <v>1283</v>
      </c>
    </row>
    <row r="1374" spans="1:16" x14ac:dyDescent="0.25">
      <c r="A1374" t="s">
        <v>3304</v>
      </c>
      <c r="B1374" t="s">
        <v>3305</v>
      </c>
      <c r="C1374" t="s">
        <v>1571</v>
      </c>
      <c r="D1374" t="s">
        <v>1027</v>
      </c>
      <c r="E1374">
        <v>63767</v>
      </c>
      <c r="G1374" t="b">
        <v>0</v>
      </c>
      <c r="H1374" t="b">
        <v>0</v>
      </c>
      <c r="I1374" t="s">
        <v>1050</v>
      </c>
      <c r="J1374">
        <v>80</v>
      </c>
      <c r="K1374" t="s">
        <v>0</v>
      </c>
      <c r="L1374" t="s">
        <v>1167</v>
      </c>
      <c r="M1374" t="s">
        <v>1168</v>
      </c>
      <c r="N1374" t="s">
        <v>1169</v>
      </c>
      <c r="O1374" t="s">
        <v>1168</v>
      </c>
      <c r="P1374" t="s">
        <v>1283</v>
      </c>
    </row>
    <row r="1375" spans="1:16" x14ac:dyDescent="0.25">
      <c r="A1375" t="s">
        <v>3306</v>
      </c>
      <c r="B1375" t="s">
        <v>3307</v>
      </c>
      <c r="C1375" t="s">
        <v>1571</v>
      </c>
      <c r="D1375" t="s">
        <v>1027</v>
      </c>
      <c r="E1375">
        <v>63767</v>
      </c>
      <c r="G1375" t="b">
        <v>0</v>
      </c>
      <c r="H1375" t="b">
        <v>0</v>
      </c>
      <c r="I1375" t="s">
        <v>1050</v>
      </c>
      <c r="J1375">
        <v>80</v>
      </c>
      <c r="K1375" t="s">
        <v>0</v>
      </c>
      <c r="L1375" t="s">
        <v>1167</v>
      </c>
      <c r="M1375" t="s">
        <v>1168</v>
      </c>
      <c r="N1375" t="s">
        <v>1169</v>
      </c>
      <c r="O1375" t="s">
        <v>1168</v>
      </c>
      <c r="P1375" t="s">
        <v>1283</v>
      </c>
    </row>
    <row r="1376" spans="1:16" x14ac:dyDescent="0.25">
      <c r="A1376" t="s">
        <v>3308</v>
      </c>
      <c r="B1376" t="s">
        <v>3309</v>
      </c>
      <c r="C1376" t="s">
        <v>1571</v>
      </c>
      <c r="D1376" t="s">
        <v>1027</v>
      </c>
      <c r="E1376">
        <v>63767</v>
      </c>
      <c r="G1376" t="b">
        <v>0</v>
      </c>
      <c r="H1376" t="b">
        <v>0</v>
      </c>
      <c r="I1376" t="s">
        <v>1050</v>
      </c>
      <c r="J1376">
        <v>80</v>
      </c>
      <c r="K1376" t="s">
        <v>0</v>
      </c>
      <c r="L1376" t="s">
        <v>1167</v>
      </c>
      <c r="M1376" t="s">
        <v>1168</v>
      </c>
      <c r="N1376" t="s">
        <v>1169</v>
      </c>
      <c r="O1376" t="s">
        <v>1168</v>
      </c>
      <c r="P1376" t="s">
        <v>1283</v>
      </c>
    </row>
    <row r="1377" spans="1:16" x14ac:dyDescent="0.25">
      <c r="A1377" t="s">
        <v>3310</v>
      </c>
      <c r="B1377" t="s">
        <v>3311</v>
      </c>
      <c r="C1377" t="s">
        <v>1571</v>
      </c>
      <c r="D1377" t="s">
        <v>1027</v>
      </c>
      <c r="E1377">
        <v>63767</v>
      </c>
      <c r="G1377" t="b">
        <v>0</v>
      </c>
      <c r="H1377" t="b">
        <v>0</v>
      </c>
      <c r="I1377" t="s">
        <v>1050</v>
      </c>
      <c r="J1377">
        <v>80</v>
      </c>
      <c r="K1377" t="s">
        <v>0</v>
      </c>
      <c r="L1377" t="s">
        <v>1167</v>
      </c>
      <c r="M1377" t="s">
        <v>1168</v>
      </c>
      <c r="N1377" t="s">
        <v>1169</v>
      </c>
      <c r="O1377" t="s">
        <v>1168</v>
      </c>
      <c r="P1377" t="s">
        <v>1283</v>
      </c>
    </row>
    <row r="1378" spans="1:16" x14ac:dyDescent="0.25">
      <c r="A1378" t="s">
        <v>3312</v>
      </c>
      <c r="B1378" t="s">
        <v>3313</v>
      </c>
      <c r="C1378" t="s">
        <v>1571</v>
      </c>
      <c r="D1378" t="s">
        <v>1027</v>
      </c>
      <c r="E1378">
        <v>63767</v>
      </c>
      <c r="G1378" t="b">
        <v>0</v>
      </c>
      <c r="H1378" t="b">
        <v>0</v>
      </c>
      <c r="I1378" t="s">
        <v>1050</v>
      </c>
      <c r="J1378">
        <v>87</v>
      </c>
      <c r="K1378" t="s">
        <v>0</v>
      </c>
      <c r="L1378" t="s">
        <v>1167</v>
      </c>
      <c r="M1378" t="s">
        <v>1168</v>
      </c>
      <c r="N1378" t="s">
        <v>1169</v>
      </c>
      <c r="O1378" t="s">
        <v>1168</v>
      </c>
      <c r="P1378" t="s">
        <v>1283</v>
      </c>
    </row>
    <row r="1379" spans="1:16" x14ac:dyDescent="0.25">
      <c r="A1379" t="s">
        <v>3314</v>
      </c>
      <c r="B1379" t="s">
        <v>3315</v>
      </c>
      <c r="C1379" t="s">
        <v>1571</v>
      </c>
      <c r="D1379" t="s">
        <v>1027</v>
      </c>
      <c r="E1379">
        <v>63767</v>
      </c>
      <c r="G1379" t="b">
        <v>0</v>
      </c>
      <c r="H1379" t="b">
        <v>0</v>
      </c>
      <c r="I1379" t="s">
        <v>1050</v>
      </c>
      <c r="J1379">
        <v>80</v>
      </c>
      <c r="K1379" t="s">
        <v>0</v>
      </c>
      <c r="L1379" t="s">
        <v>1167</v>
      </c>
      <c r="M1379" t="s">
        <v>1168</v>
      </c>
      <c r="N1379" t="s">
        <v>1169</v>
      </c>
      <c r="O1379" t="s">
        <v>1168</v>
      </c>
      <c r="P1379" t="s">
        <v>1283</v>
      </c>
    </row>
    <row r="1380" spans="1:16" x14ac:dyDescent="0.25">
      <c r="A1380" t="s">
        <v>3316</v>
      </c>
      <c r="B1380" t="s">
        <v>3317</v>
      </c>
      <c r="C1380" t="s">
        <v>1571</v>
      </c>
      <c r="D1380" t="s">
        <v>1027</v>
      </c>
      <c r="E1380">
        <v>63767</v>
      </c>
      <c r="G1380" t="b">
        <v>0</v>
      </c>
      <c r="H1380" t="b">
        <v>0</v>
      </c>
      <c r="I1380" t="s">
        <v>1050</v>
      </c>
      <c r="J1380">
        <v>80</v>
      </c>
      <c r="K1380" t="s">
        <v>0</v>
      </c>
      <c r="L1380" t="s">
        <v>1167</v>
      </c>
      <c r="M1380" t="s">
        <v>1168</v>
      </c>
      <c r="N1380" t="s">
        <v>1169</v>
      </c>
      <c r="O1380" t="s">
        <v>1168</v>
      </c>
      <c r="P1380" t="s">
        <v>1283</v>
      </c>
    </row>
    <row r="1381" spans="1:16" x14ac:dyDescent="0.25">
      <c r="A1381" t="s">
        <v>3318</v>
      </c>
      <c r="B1381" t="s">
        <v>3319</v>
      </c>
      <c r="C1381" t="s">
        <v>1571</v>
      </c>
      <c r="D1381" t="s">
        <v>1027</v>
      </c>
      <c r="E1381">
        <v>63767</v>
      </c>
      <c r="G1381" t="b">
        <v>0</v>
      </c>
      <c r="H1381" t="b">
        <v>0</v>
      </c>
      <c r="I1381" t="s">
        <v>1050</v>
      </c>
      <c r="J1381">
        <v>80</v>
      </c>
      <c r="K1381" t="s">
        <v>0</v>
      </c>
      <c r="L1381" t="s">
        <v>1167</v>
      </c>
      <c r="M1381" t="s">
        <v>1168</v>
      </c>
      <c r="N1381" t="s">
        <v>1169</v>
      </c>
      <c r="O1381" t="s">
        <v>1168</v>
      </c>
      <c r="P1381" t="s">
        <v>1283</v>
      </c>
    </row>
    <row r="1382" spans="1:16" x14ac:dyDescent="0.25">
      <c r="A1382" t="s">
        <v>3320</v>
      </c>
      <c r="B1382" t="s">
        <v>3321</v>
      </c>
      <c r="C1382" t="s">
        <v>1571</v>
      </c>
      <c r="D1382" t="s">
        <v>1027</v>
      </c>
      <c r="E1382">
        <v>63767</v>
      </c>
      <c r="G1382" t="b">
        <v>0</v>
      </c>
      <c r="H1382" t="b">
        <v>0</v>
      </c>
      <c r="I1382" t="s">
        <v>1050</v>
      </c>
      <c r="J1382">
        <v>80</v>
      </c>
      <c r="K1382" t="s">
        <v>0</v>
      </c>
      <c r="L1382" t="s">
        <v>1167</v>
      </c>
      <c r="M1382" t="s">
        <v>1168</v>
      </c>
      <c r="N1382" t="s">
        <v>1169</v>
      </c>
      <c r="O1382" t="s">
        <v>1168</v>
      </c>
      <c r="P1382" t="s">
        <v>1283</v>
      </c>
    </row>
    <row r="1383" spans="1:16" x14ac:dyDescent="0.25">
      <c r="A1383" t="s">
        <v>3322</v>
      </c>
      <c r="B1383" t="s">
        <v>3323</v>
      </c>
      <c r="C1383" t="s">
        <v>1165</v>
      </c>
      <c r="D1383" t="s">
        <v>1027</v>
      </c>
      <c r="E1383">
        <v>63774</v>
      </c>
      <c r="F1383" t="s">
        <v>1166</v>
      </c>
      <c r="G1383" t="b">
        <v>0</v>
      </c>
      <c r="H1383" t="b">
        <v>0</v>
      </c>
      <c r="I1383" t="s">
        <v>1050</v>
      </c>
      <c r="J1383">
        <v>30</v>
      </c>
      <c r="K1383" t="s">
        <v>1</v>
      </c>
      <c r="L1383" t="s">
        <v>1167</v>
      </c>
      <c r="M1383" t="s">
        <v>1168</v>
      </c>
      <c r="N1383" t="s">
        <v>1169</v>
      </c>
      <c r="O1383" t="s">
        <v>1168</v>
      </c>
      <c r="P1383" t="s">
        <v>1170</v>
      </c>
    </row>
    <row r="1384" spans="1:16" x14ac:dyDescent="0.25">
      <c r="A1384" t="s">
        <v>3324</v>
      </c>
      <c r="B1384" t="s">
        <v>3323</v>
      </c>
      <c r="C1384" t="s">
        <v>1165</v>
      </c>
      <c r="D1384" t="s">
        <v>1027</v>
      </c>
      <c r="E1384">
        <v>63774</v>
      </c>
      <c r="F1384" t="s">
        <v>1166</v>
      </c>
      <c r="G1384" t="b">
        <v>0</v>
      </c>
      <c r="H1384" t="b">
        <v>0</v>
      </c>
      <c r="I1384" t="s">
        <v>1050</v>
      </c>
      <c r="J1384">
        <v>30</v>
      </c>
      <c r="K1384" t="s">
        <v>1</v>
      </c>
      <c r="L1384" t="s">
        <v>1167</v>
      </c>
      <c r="M1384" t="s">
        <v>1168</v>
      </c>
      <c r="N1384" t="s">
        <v>1169</v>
      </c>
      <c r="O1384" t="s">
        <v>1168</v>
      </c>
      <c r="P1384" t="s">
        <v>1170</v>
      </c>
    </row>
    <row r="1385" spans="1:16" x14ac:dyDescent="0.25">
      <c r="A1385" t="s">
        <v>3325</v>
      </c>
      <c r="B1385" t="s">
        <v>3326</v>
      </c>
      <c r="C1385" t="s">
        <v>1165</v>
      </c>
      <c r="D1385" t="s">
        <v>1027</v>
      </c>
      <c r="E1385">
        <v>63774</v>
      </c>
      <c r="F1385" t="s">
        <v>1166</v>
      </c>
      <c r="G1385" t="b">
        <v>0</v>
      </c>
      <c r="H1385" t="b">
        <v>0</v>
      </c>
      <c r="I1385" t="s">
        <v>1050</v>
      </c>
      <c r="J1385">
        <v>52</v>
      </c>
      <c r="K1385" t="s">
        <v>1</v>
      </c>
      <c r="L1385" t="s">
        <v>1167</v>
      </c>
      <c r="M1385" t="s">
        <v>1168</v>
      </c>
      <c r="N1385" t="s">
        <v>1169</v>
      </c>
      <c r="O1385" t="s">
        <v>1168</v>
      </c>
      <c r="P1385" t="s">
        <v>1170</v>
      </c>
    </row>
    <row r="1386" spans="1:16" x14ac:dyDescent="0.25">
      <c r="A1386" t="s">
        <v>3327</v>
      </c>
      <c r="B1386" t="s">
        <v>3326</v>
      </c>
      <c r="C1386" t="s">
        <v>1165</v>
      </c>
      <c r="D1386" t="s">
        <v>1027</v>
      </c>
      <c r="E1386">
        <v>63774</v>
      </c>
      <c r="F1386" t="s">
        <v>1166</v>
      </c>
      <c r="G1386" t="b">
        <v>0</v>
      </c>
      <c r="H1386" t="b">
        <v>0</v>
      </c>
      <c r="I1386" t="s">
        <v>1050</v>
      </c>
      <c r="J1386">
        <v>52</v>
      </c>
      <c r="K1386" t="s">
        <v>1</v>
      </c>
      <c r="L1386" t="s">
        <v>1167</v>
      </c>
      <c r="M1386" t="s">
        <v>1168</v>
      </c>
      <c r="N1386" t="s">
        <v>1169</v>
      </c>
      <c r="O1386" t="s">
        <v>1168</v>
      </c>
      <c r="P1386" t="s">
        <v>1170</v>
      </c>
    </row>
    <row r="1387" spans="1:16" x14ac:dyDescent="0.25">
      <c r="A1387" t="s">
        <v>3328</v>
      </c>
      <c r="B1387" t="s">
        <v>3329</v>
      </c>
      <c r="C1387" t="s">
        <v>1606</v>
      </c>
      <c r="D1387" t="s">
        <v>1027</v>
      </c>
      <c r="E1387">
        <v>1324</v>
      </c>
      <c r="F1387" t="s">
        <v>1607</v>
      </c>
      <c r="G1387" t="b">
        <v>0</v>
      </c>
      <c r="H1387" t="b">
        <v>0</v>
      </c>
      <c r="I1387" t="s">
        <v>1050</v>
      </c>
      <c r="J1387">
        <v>80</v>
      </c>
      <c r="K1387" t="s">
        <v>2</v>
      </c>
      <c r="L1387" t="s">
        <v>1608</v>
      </c>
      <c r="M1387" t="s">
        <v>1609</v>
      </c>
      <c r="N1387" t="s">
        <v>1608</v>
      </c>
      <c r="O1387" t="s">
        <v>1610</v>
      </c>
      <c r="P1387" t="s">
        <v>1611</v>
      </c>
    </row>
    <row r="1388" spans="1:16" x14ac:dyDescent="0.25">
      <c r="A1388" t="s">
        <v>3330</v>
      </c>
      <c r="B1388" t="s">
        <v>3329</v>
      </c>
      <c r="C1388" t="s">
        <v>1606</v>
      </c>
      <c r="D1388" t="s">
        <v>1027</v>
      </c>
      <c r="E1388">
        <v>1324</v>
      </c>
      <c r="F1388" t="s">
        <v>1607</v>
      </c>
      <c r="G1388" t="b">
        <v>0</v>
      </c>
      <c r="H1388" t="b">
        <v>0</v>
      </c>
      <c r="I1388" t="s">
        <v>1050</v>
      </c>
      <c r="J1388">
        <v>80</v>
      </c>
      <c r="K1388" t="s">
        <v>2</v>
      </c>
      <c r="L1388" t="s">
        <v>1608</v>
      </c>
      <c r="M1388" t="s">
        <v>1609</v>
      </c>
      <c r="N1388" t="s">
        <v>1608</v>
      </c>
      <c r="O1388" t="s">
        <v>1610</v>
      </c>
      <c r="P1388" t="s">
        <v>1611</v>
      </c>
    </row>
    <row r="1389" spans="1:16" x14ac:dyDescent="0.25">
      <c r="A1389" t="s">
        <v>3331</v>
      </c>
      <c r="B1389" t="s">
        <v>3329</v>
      </c>
      <c r="C1389" t="s">
        <v>1606</v>
      </c>
      <c r="D1389" t="s">
        <v>1027</v>
      </c>
      <c r="E1389">
        <v>1324</v>
      </c>
      <c r="F1389" t="s">
        <v>1607</v>
      </c>
      <c r="G1389" t="b">
        <v>0</v>
      </c>
      <c r="H1389" t="b">
        <v>0</v>
      </c>
      <c r="I1389" t="s">
        <v>1050</v>
      </c>
      <c r="J1389">
        <v>80</v>
      </c>
      <c r="K1389" t="s">
        <v>2</v>
      </c>
      <c r="L1389" t="s">
        <v>1608</v>
      </c>
      <c r="M1389" t="s">
        <v>1609</v>
      </c>
      <c r="N1389" t="s">
        <v>1608</v>
      </c>
      <c r="O1389" t="s">
        <v>1610</v>
      </c>
      <c r="P1389" t="s">
        <v>1611</v>
      </c>
    </row>
    <row r="1390" spans="1:16" x14ac:dyDescent="0.25">
      <c r="A1390" t="s">
        <v>3332</v>
      </c>
      <c r="B1390" t="s">
        <v>3329</v>
      </c>
      <c r="C1390" t="s">
        <v>1606</v>
      </c>
      <c r="D1390" t="s">
        <v>1027</v>
      </c>
      <c r="E1390">
        <v>1324</v>
      </c>
      <c r="F1390" t="s">
        <v>1607</v>
      </c>
      <c r="G1390" t="b">
        <v>0</v>
      </c>
      <c r="H1390" t="b">
        <v>0</v>
      </c>
      <c r="I1390" t="s">
        <v>1050</v>
      </c>
      <c r="J1390">
        <v>80</v>
      </c>
      <c r="K1390" t="s">
        <v>2</v>
      </c>
      <c r="L1390" t="s">
        <v>1608</v>
      </c>
      <c r="M1390" t="s">
        <v>1609</v>
      </c>
      <c r="N1390" t="s">
        <v>1608</v>
      </c>
      <c r="O1390" t="s">
        <v>1610</v>
      </c>
      <c r="P1390" t="s">
        <v>1611</v>
      </c>
    </row>
    <row r="1391" spans="1:16" x14ac:dyDescent="0.25">
      <c r="A1391" t="s">
        <v>3333</v>
      </c>
      <c r="B1391" t="s">
        <v>3329</v>
      </c>
      <c r="C1391" t="s">
        <v>1606</v>
      </c>
      <c r="D1391" t="s">
        <v>1027</v>
      </c>
      <c r="E1391">
        <v>1324</v>
      </c>
      <c r="F1391" t="s">
        <v>1607</v>
      </c>
      <c r="G1391" t="b">
        <v>0</v>
      </c>
      <c r="H1391" t="b">
        <v>0</v>
      </c>
      <c r="I1391" t="s">
        <v>1050</v>
      </c>
      <c r="J1391">
        <v>87</v>
      </c>
      <c r="K1391" t="s">
        <v>2</v>
      </c>
      <c r="L1391" t="s">
        <v>1608</v>
      </c>
      <c r="M1391" t="s">
        <v>1609</v>
      </c>
      <c r="N1391" t="s">
        <v>1608</v>
      </c>
      <c r="O1391" t="s">
        <v>1610</v>
      </c>
      <c r="P1391" t="s">
        <v>1611</v>
      </c>
    </row>
    <row r="1392" spans="1:16" x14ac:dyDescent="0.25">
      <c r="A1392" t="s">
        <v>3334</v>
      </c>
      <c r="B1392" t="s">
        <v>3329</v>
      </c>
      <c r="C1392" t="s">
        <v>1606</v>
      </c>
      <c r="D1392" t="s">
        <v>1027</v>
      </c>
      <c r="E1392">
        <v>1324</v>
      </c>
      <c r="F1392" t="s">
        <v>1607</v>
      </c>
      <c r="G1392" t="b">
        <v>0</v>
      </c>
      <c r="H1392" t="b">
        <v>0</v>
      </c>
      <c r="I1392" t="s">
        <v>1050</v>
      </c>
      <c r="J1392">
        <v>87</v>
      </c>
      <c r="K1392" t="s">
        <v>2</v>
      </c>
      <c r="L1392" t="s">
        <v>1608</v>
      </c>
      <c r="M1392" t="s">
        <v>1609</v>
      </c>
      <c r="N1392" t="s">
        <v>1608</v>
      </c>
      <c r="O1392" t="s">
        <v>1610</v>
      </c>
      <c r="P1392" t="s">
        <v>1611</v>
      </c>
    </row>
    <row r="1393" spans="1:16" x14ac:dyDescent="0.25">
      <c r="A1393" t="s">
        <v>3335</v>
      </c>
      <c r="B1393" t="s">
        <v>3336</v>
      </c>
      <c r="C1393" t="s">
        <v>1233</v>
      </c>
      <c r="D1393" t="s">
        <v>1027</v>
      </c>
      <c r="E1393">
        <v>63762</v>
      </c>
      <c r="F1393" t="s">
        <v>1234</v>
      </c>
      <c r="G1393" t="b">
        <v>0</v>
      </c>
      <c r="H1393" t="b">
        <v>0</v>
      </c>
      <c r="I1393" t="s">
        <v>1050</v>
      </c>
      <c r="J1393">
        <v>89</v>
      </c>
      <c r="K1393" t="s">
        <v>0</v>
      </c>
      <c r="L1393" t="s">
        <v>1167</v>
      </c>
      <c r="M1393" t="s">
        <v>1168</v>
      </c>
      <c r="N1393" t="s">
        <v>1169</v>
      </c>
      <c r="O1393" t="s">
        <v>1168</v>
      </c>
      <c r="P1393" t="s">
        <v>1235</v>
      </c>
    </row>
    <row r="1394" spans="1:16" x14ac:dyDescent="0.25">
      <c r="A1394" t="s">
        <v>3337</v>
      </c>
      <c r="B1394" t="s">
        <v>3338</v>
      </c>
      <c r="C1394" t="s">
        <v>1233</v>
      </c>
      <c r="D1394" t="s">
        <v>1027</v>
      </c>
      <c r="E1394">
        <v>63762</v>
      </c>
      <c r="F1394" t="s">
        <v>1234</v>
      </c>
      <c r="G1394" t="b">
        <v>0</v>
      </c>
      <c r="H1394" t="b">
        <v>0</v>
      </c>
      <c r="I1394" t="s">
        <v>1050</v>
      </c>
      <c r="J1394">
        <v>89</v>
      </c>
      <c r="K1394" t="s">
        <v>0</v>
      </c>
      <c r="L1394" t="s">
        <v>1167</v>
      </c>
      <c r="M1394" t="s">
        <v>1168</v>
      </c>
      <c r="N1394" t="s">
        <v>1169</v>
      </c>
      <c r="O1394" t="s">
        <v>1168</v>
      </c>
      <c r="P1394" t="s">
        <v>1235</v>
      </c>
    </row>
    <row r="1395" spans="1:16" x14ac:dyDescent="0.25">
      <c r="A1395" t="s">
        <v>3339</v>
      </c>
      <c r="B1395" t="s">
        <v>3340</v>
      </c>
      <c r="C1395" t="s">
        <v>1233</v>
      </c>
      <c r="D1395" t="s">
        <v>1027</v>
      </c>
      <c r="E1395">
        <v>63762</v>
      </c>
      <c r="F1395" t="s">
        <v>1234</v>
      </c>
      <c r="G1395" t="b">
        <v>0</v>
      </c>
      <c r="H1395" t="b">
        <v>0</v>
      </c>
      <c r="I1395" t="s">
        <v>1050</v>
      </c>
      <c r="J1395">
        <v>88</v>
      </c>
      <c r="K1395" t="s">
        <v>0</v>
      </c>
      <c r="L1395" t="s">
        <v>1167</v>
      </c>
      <c r="M1395" t="s">
        <v>1168</v>
      </c>
      <c r="N1395" t="s">
        <v>1169</v>
      </c>
      <c r="O1395" t="s">
        <v>1168</v>
      </c>
      <c r="P1395" t="s">
        <v>1235</v>
      </c>
    </row>
    <row r="1396" spans="1:16" x14ac:dyDescent="0.25">
      <c r="A1396" t="s">
        <v>3341</v>
      </c>
      <c r="B1396" t="s">
        <v>3342</v>
      </c>
      <c r="C1396" t="s">
        <v>1233</v>
      </c>
      <c r="D1396" t="s">
        <v>1027</v>
      </c>
      <c r="E1396">
        <v>63762</v>
      </c>
      <c r="F1396" t="s">
        <v>1234</v>
      </c>
      <c r="G1396" t="b">
        <v>0</v>
      </c>
      <c r="H1396" t="b">
        <v>0</v>
      </c>
      <c r="I1396" t="s">
        <v>1050</v>
      </c>
      <c r="J1396">
        <v>88</v>
      </c>
      <c r="K1396" t="s">
        <v>0</v>
      </c>
      <c r="L1396" t="s">
        <v>1167</v>
      </c>
      <c r="M1396" t="s">
        <v>1168</v>
      </c>
      <c r="N1396" t="s">
        <v>1169</v>
      </c>
      <c r="O1396" t="s">
        <v>1168</v>
      </c>
      <c r="P1396" t="s">
        <v>1235</v>
      </c>
    </row>
    <row r="1397" spans="1:16" x14ac:dyDescent="0.25">
      <c r="A1397" t="s">
        <v>3343</v>
      </c>
      <c r="B1397" t="s">
        <v>3344</v>
      </c>
      <c r="C1397" t="s">
        <v>1233</v>
      </c>
      <c r="D1397" t="s">
        <v>1027</v>
      </c>
      <c r="E1397">
        <v>63762</v>
      </c>
      <c r="F1397" t="s">
        <v>1234</v>
      </c>
      <c r="G1397" t="b">
        <v>0</v>
      </c>
      <c r="H1397" t="b">
        <v>0</v>
      </c>
      <c r="I1397" t="s">
        <v>1050</v>
      </c>
      <c r="J1397">
        <v>88</v>
      </c>
      <c r="K1397" t="s">
        <v>0</v>
      </c>
      <c r="L1397" t="s">
        <v>1167</v>
      </c>
      <c r="M1397" t="s">
        <v>1168</v>
      </c>
      <c r="N1397" t="s">
        <v>1169</v>
      </c>
      <c r="O1397" t="s">
        <v>1168</v>
      </c>
      <c r="P1397" t="s">
        <v>1235</v>
      </c>
    </row>
    <row r="1398" spans="1:16" x14ac:dyDescent="0.25">
      <c r="A1398" t="s">
        <v>3345</v>
      </c>
      <c r="B1398" t="s">
        <v>3346</v>
      </c>
      <c r="C1398" t="s">
        <v>1233</v>
      </c>
      <c r="D1398" t="s">
        <v>1027</v>
      </c>
      <c r="E1398">
        <v>63762</v>
      </c>
      <c r="F1398" t="s">
        <v>1234</v>
      </c>
      <c r="G1398" t="b">
        <v>0</v>
      </c>
      <c r="H1398" t="b">
        <v>0</v>
      </c>
      <c r="I1398" t="s">
        <v>1050</v>
      </c>
      <c r="J1398">
        <v>88</v>
      </c>
      <c r="K1398" t="s">
        <v>0</v>
      </c>
      <c r="L1398" t="s">
        <v>1167</v>
      </c>
      <c r="M1398" t="s">
        <v>1168</v>
      </c>
      <c r="N1398" t="s">
        <v>1169</v>
      </c>
      <c r="O1398" t="s">
        <v>1168</v>
      </c>
      <c r="P1398" t="s">
        <v>1235</v>
      </c>
    </row>
    <row r="1399" spans="1:16" x14ac:dyDescent="0.25">
      <c r="A1399" t="s">
        <v>3347</v>
      </c>
      <c r="B1399" t="s">
        <v>3348</v>
      </c>
      <c r="C1399" t="s">
        <v>1233</v>
      </c>
      <c r="D1399" t="s">
        <v>1027</v>
      </c>
      <c r="E1399">
        <v>63762</v>
      </c>
      <c r="F1399" t="s">
        <v>1234</v>
      </c>
      <c r="G1399" t="b">
        <v>0</v>
      </c>
      <c r="H1399" t="b">
        <v>0</v>
      </c>
      <c r="I1399" t="s">
        <v>1050</v>
      </c>
      <c r="J1399">
        <v>88</v>
      </c>
      <c r="K1399" t="s">
        <v>0</v>
      </c>
      <c r="L1399" t="s">
        <v>1167</v>
      </c>
      <c r="M1399" t="s">
        <v>1168</v>
      </c>
      <c r="N1399" t="s">
        <v>1169</v>
      </c>
      <c r="O1399" t="s">
        <v>1168</v>
      </c>
      <c r="P1399" t="s">
        <v>1235</v>
      </c>
    </row>
    <row r="1400" spans="1:16" x14ac:dyDescent="0.25">
      <c r="A1400" t="s">
        <v>3349</v>
      </c>
      <c r="B1400" t="s">
        <v>3350</v>
      </c>
      <c r="C1400" t="s">
        <v>1233</v>
      </c>
      <c r="D1400" t="s">
        <v>1027</v>
      </c>
      <c r="E1400">
        <v>63762</v>
      </c>
      <c r="F1400" t="s">
        <v>1234</v>
      </c>
      <c r="G1400" t="b">
        <v>0</v>
      </c>
      <c r="H1400" t="b">
        <v>0</v>
      </c>
      <c r="I1400" t="s">
        <v>1050</v>
      </c>
      <c r="J1400">
        <v>88</v>
      </c>
      <c r="K1400" t="s">
        <v>0</v>
      </c>
      <c r="L1400" t="s">
        <v>1167</v>
      </c>
      <c r="M1400" t="s">
        <v>1168</v>
      </c>
      <c r="N1400" t="s">
        <v>1169</v>
      </c>
      <c r="O1400" t="s">
        <v>1168</v>
      </c>
      <c r="P1400" t="s">
        <v>1235</v>
      </c>
    </row>
    <row r="1401" spans="1:16" x14ac:dyDescent="0.25">
      <c r="A1401" t="s">
        <v>3351</v>
      </c>
      <c r="B1401" t="s">
        <v>3352</v>
      </c>
      <c r="C1401" t="s">
        <v>1606</v>
      </c>
      <c r="D1401" t="s">
        <v>1027</v>
      </c>
      <c r="E1401">
        <v>1324</v>
      </c>
      <c r="F1401" t="s">
        <v>1607</v>
      </c>
      <c r="G1401" t="b">
        <v>0</v>
      </c>
      <c r="H1401" t="b">
        <v>0</v>
      </c>
      <c r="I1401" t="s">
        <v>1050</v>
      </c>
      <c r="J1401">
        <v>90</v>
      </c>
      <c r="K1401" t="s">
        <v>2</v>
      </c>
      <c r="L1401" t="s">
        <v>1608</v>
      </c>
      <c r="M1401" t="s">
        <v>1609</v>
      </c>
      <c r="N1401" t="s">
        <v>1608</v>
      </c>
      <c r="O1401" t="s">
        <v>1610</v>
      </c>
      <c r="P1401" t="s">
        <v>1611</v>
      </c>
    </row>
    <row r="1402" spans="1:16" x14ac:dyDescent="0.25">
      <c r="A1402" t="s">
        <v>3353</v>
      </c>
      <c r="B1402" t="s">
        <v>3352</v>
      </c>
      <c r="C1402" t="s">
        <v>1606</v>
      </c>
      <c r="D1402" t="s">
        <v>1027</v>
      </c>
      <c r="E1402">
        <v>1324</v>
      </c>
      <c r="F1402" t="s">
        <v>1607</v>
      </c>
      <c r="G1402" t="b">
        <v>0</v>
      </c>
      <c r="H1402" t="b">
        <v>0</v>
      </c>
      <c r="I1402" t="s">
        <v>1050</v>
      </c>
      <c r="J1402">
        <v>90</v>
      </c>
      <c r="K1402" t="s">
        <v>2</v>
      </c>
      <c r="L1402" t="s">
        <v>1608</v>
      </c>
      <c r="M1402" t="s">
        <v>1609</v>
      </c>
      <c r="N1402" t="s">
        <v>1608</v>
      </c>
      <c r="O1402" t="s">
        <v>1610</v>
      </c>
      <c r="P1402" t="s">
        <v>1611</v>
      </c>
    </row>
    <row r="1403" spans="1:16" x14ac:dyDescent="0.25">
      <c r="A1403" t="s">
        <v>3354</v>
      </c>
      <c r="B1403" t="s">
        <v>3352</v>
      </c>
      <c r="C1403" t="s">
        <v>1606</v>
      </c>
      <c r="D1403" t="s">
        <v>1027</v>
      </c>
      <c r="E1403">
        <v>1324</v>
      </c>
      <c r="F1403" t="s">
        <v>1607</v>
      </c>
      <c r="G1403" t="b">
        <v>0</v>
      </c>
      <c r="H1403" t="b">
        <v>0</v>
      </c>
      <c r="I1403" t="s">
        <v>1050</v>
      </c>
      <c r="J1403">
        <v>90</v>
      </c>
      <c r="K1403" t="s">
        <v>2</v>
      </c>
      <c r="L1403" t="s">
        <v>1608</v>
      </c>
      <c r="M1403" t="s">
        <v>1609</v>
      </c>
      <c r="N1403" t="s">
        <v>1608</v>
      </c>
      <c r="O1403" t="s">
        <v>1610</v>
      </c>
      <c r="P1403" t="s">
        <v>1611</v>
      </c>
    </row>
    <row r="1404" spans="1:16" x14ac:dyDescent="0.25">
      <c r="A1404" t="s">
        <v>3355</v>
      </c>
      <c r="B1404" t="s">
        <v>3356</v>
      </c>
      <c r="C1404" t="s">
        <v>1571</v>
      </c>
      <c r="D1404" t="s">
        <v>1027</v>
      </c>
      <c r="E1404">
        <v>63767</v>
      </c>
      <c r="G1404" t="b">
        <v>0</v>
      </c>
      <c r="H1404" t="b">
        <v>0</v>
      </c>
      <c r="I1404" t="s">
        <v>1050</v>
      </c>
      <c r="J1404">
        <v>80</v>
      </c>
      <c r="K1404" t="s">
        <v>0</v>
      </c>
      <c r="L1404" t="s">
        <v>1167</v>
      </c>
      <c r="M1404" t="s">
        <v>1168</v>
      </c>
      <c r="N1404" t="s">
        <v>1169</v>
      </c>
      <c r="O1404" t="s">
        <v>1168</v>
      </c>
      <c r="P1404" t="s">
        <v>1283</v>
      </c>
    </row>
    <row r="1405" spans="1:16" x14ac:dyDescent="0.25">
      <c r="A1405" t="s">
        <v>3357</v>
      </c>
      <c r="B1405" t="s">
        <v>3358</v>
      </c>
      <c r="C1405" t="s">
        <v>1571</v>
      </c>
      <c r="D1405" t="s">
        <v>1027</v>
      </c>
      <c r="E1405">
        <v>63767</v>
      </c>
      <c r="G1405" t="b">
        <v>0</v>
      </c>
      <c r="H1405" t="b">
        <v>0</v>
      </c>
      <c r="I1405" t="s">
        <v>1050</v>
      </c>
      <c r="J1405">
        <v>80</v>
      </c>
      <c r="K1405" t="s">
        <v>0</v>
      </c>
      <c r="L1405" t="s">
        <v>1167</v>
      </c>
      <c r="M1405" t="s">
        <v>1168</v>
      </c>
      <c r="N1405" t="s">
        <v>1169</v>
      </c>
      <c r="O1405" t="s">
        <v>1168</v>
      </c>
      <c r="P1405" t="s">
        <v>1283</v>
      </c>
    </row>
    <row r="1406" spans="1:16" x14ac:dyDescent="0.25">
      <c r="A1406" t="s">
        <v>3359</v>
      </c>
      <c r="B1406" t="s">
        <v>3358</v>
      </c>
      <c r="C1406" t="s">
        <v>1571</v>
      </c>
      <c r="D1406" t="s">
        <v>1027</v>
      </c>
      <c r="E1406">
        <v>63767</v>
      </c>
      <c r="G1406" t="b">
        <v>0</v>
      </c>
      <c r="H1406" t="b">
        <v>0</v>
      </c>
      <c r="I1406" t="s">
        <v>1050</v>
      </c>
      <c r="J1406">
        <v>80</v>
      </c>
      <c r="K1406" t="s">
        <v>0</v>
      </c>
      <c r="L1406" t="s">
        <v>1167</v>
      </c>
      <c r="M1406" t="s">
        <v>1168</v>
      </c>
      <c r="N1406" t="s">
        <v>1169</v>
      </c>
      <c r="O1406" t="s">
        <v>1168</v>
      </c>
      <c r="P1406" t="s">
        <v>1283</v>
      </c>
    </row>
    <row r="1407" spans="1:16" x14ac:dyDescent="0.25">
      <c r="A1407" t="s">
        <v>3360</v>
      </c>
      <c r="B1407" t="s">
        <v>3361</v>
      </c>
      <c r="C1407" t="s">
        <v>1571</v>
      </c>
      <c r="D1407" t="s">
        <v>1027</v>
      </c>
      <c r="E1407">
        <v>63767</v>
      </c>
      <c r="G1407" t="b">
        <v>0</v>
      </c>
      <c r="H1407" t="b">
        <v>0</v>
      </c>
      <c r="I1407" t="s">
        <v>1050</v>
      </c>
      <c r="J1407">
        <v>80</v>
      </c>
      <c r="K1407" t="s">
        <v>0</v>
      </c>
      <c r="L1407" t="s">
        <v>1167</v>
      </c>
      <c r="M1407" t="s">
        <v>1168</v>
      </c>
      <c r="N1407" t="s">
        <v>1169</v>
      </c>
      <c r="O1407" t="s">
        <v>1168</v>
      </c>
      <c r="P1407" t="s">
        <v>1283</v>
      </c>
    </row>
    <row r="1408" spans="1:16" x14ac:dyDescent="0.25">
      <c r="A1408" t="s">
        <v>3362</v>
      </c>
      <c r="B1408" t="s">
        <v>3363</v>
      </c>
      <c r="C1408" t="s">
        <v>1571</v>
      </c>
      <c r="D1408" t="s">
        <v>1027</v>
      </c>
      <c r="E1408">
        <v>63767</v>
      </c>
      <c r="G1408" t="b">
        <v>0</v>
      </c>
      <c r="H1408" t="b">
        <v>0</v>
      </c>
      <c r="I1408" t="s">
        <v>1050</v>
      </c>
      <c r="J1408">
        <v>80</v>
      </c>
      <c r="K1408" t="s">
        <v>0</v>
      </c>
      <c r="L1408" t="s">
        <v>1167</v>
      </c>
      <c r="M1408" t="s">
        <v>1168</v>
      </c>
      <c r="N1408" t="s">
        <v>1169</v>
      </c>
      <c r="O1408" t="s">
        <v>1168</v>
      </c>
      <c r="P1408" t="s">
        <v>1283</v>
      </c>
    </row>
    <row r="1409" spans="1:16" x14ac:dyDescent="0.25">
      <c r="A1409" t="s">
        <v>3364</v>
      </c>
      <c r="B1409" t="s">
        <v>3365</v>
      </c>
      <c r="C1409" t="s">
        <v>1571</v>
      </c>
      <c r="D1409" t="s">
        <v>1027</v>
      </c>
      <c r="E1409">
        <v>63767</v>
      </c>
      <c r="G1409" t="b">
        <v>0</v>
      </c>
      <c r="H1409" t="b">
        <v>0</v>
      </c>
      <c r="I1409" t="s">
        <v>1050</v>
      </c>
      <c r="J1409">
        <v>80</v>
      </c>
      <c r="K1409" t="s">
        <v>0</v>
      </c>
      <c r="L1409" t="s">
        <v>1167</v>
      </c>
      <c r="M1409" t="s">
        <v>1168</v>
      </c>
      <c r="N1409" t="s">
        <v>1169</v>
      </c>
      <c r="O1409" t="s">
        <v>1168</v>
      </c>
      <c r="P1409" t="s">
        <v>1283</v>
      </c>
    </row>
    <row r="1410" spans="1:16" x14ac:dyDescent="0.25">
      <c r="A1410" t="s">
        <v>3366</v>
      </c>
      <c r="B1410" t="s">
        <v>3367</v>
      </c>
      <c r="C1410" t="s">
        <v>1571</v>
      </c>
      <c r="D1410" t="s">
        <v>1027</v>
      </c>
      <c r="E1410">
        <v>63767</v>
      </c>
      <c r="G1410" t="b">
        <v>0</v>
      </c>
      <c r="H1410" t="b">
        <v>0</v>
      </c>
      <c r="I1410" t="s">
        <v>1050</v>
      </c>
      <c r="J1410">
        <v>80</v>
      </c>
      <c r="K1410" t="s">
        <v>0</v>
      </c>
      <c r="L1410" t="s">
        <v>1167</v>
      </c>
      <c r="M1410" t="s">
        <v>1168</v>
      </c>
      <c r="N1410" t="s">
        <v>1169</v>
      </c>
      <c r="O1410" t="s">
        <v>1168</v>
      </c>
      <c r="P1410" t="s">
        <v>1283</v>
      </c>
    </row>
    <row r="1411" spans="1:16" x14ac:dyDescent="0.25">
      <c r="A1411" t="s">
        <v>3368</v>
      </c>
      <c r="B1411" t="s">
        <v>3369</v>
      </c>
      <c r="C1411" t="s">
        <v>1571</v>
      </c>
      <c r="D1411" t="s">
        <v>1027</v>
      </c>
      <c r="E1411">
        <v>63767</v>
      </c>
      <c r="G1411" t="b">
        <v>0</v>
      </c>
      <c r="H1411" t="b">
        <v>0</v>
      </c>
      <c r="I1411" t="s">
        <v>1050</v>
      </c>
      <c r="J1411">
        <v>80</v>
      </c>
      <c r="K1411" t="s">
        <v>0</v>
      </c>
      <c r="L1411" t="s">
        <v>1167</v>
      </c>
      <c r="M1411" t="s">
        <v>1168</v>
      </c>
      <c r="N1411" t="s">
        <v>1169</v>
      </c>
      <c r="O1411" t="s">
        <v>1168</v>
      </c>
      <c r="P1411" t="s">
        <v>1283</v>
      </c>
    </row>
    <row r="1412" spans="1:16" x14ac:dyDescent="0.25">
      <c r="A1412" t="s">
        <v>3370</v>
      </c>
      <c r="B1412" t="s">
        <v>3369</v>
      </c>
      <c r="C1412" t="s">
        <v>1571</v>
      </c>
      <c r="D1412" t="s">
        <v>1027</v>
      </c>
      <c r="E1412">
        <v>63767</v>
      </c>
      <c r="G1412" t="b">
        <v>0</v>
      </c>
      <c r="H1412" t="b">
        <v>0</v>
      </c>
      <c r="I1412" t="s">
        <v>1050</v>
      </c>
      <c r="J1412">
        <v>80</v>
      </c>
      <c r="K1412" t="s">
        <v>0</v>
      </c>
      <c r="L1412" t="s">
        <v>1167</v>
      </c>
      <c r="M1412" t="s">
        <v>1168</v>
      </c>
      <c r="N1412" t="s">
        <v>1169</v>
      </c>
      <c r="O1412" t="s">
        <v>1168</v>
      </c>
      <c r="P1412" t="s">
        <v>1283</v>
      </c>
    </row>
    <row r="1413" spans="1:16" x14ac:dyDescent="0.25">
      <c r="A1413" t="s">
        <v>3371</v>
      </c>
      <c r="B1413" t="s">
        <v>3372</v>
      </c>
      <c r="C1413" t="s">
        <v>1571</v>
      </c>
      <c r="D1413" t="s">
        <v>1027</v>
      </c>
      <c r="E1413">
        <v>63767</v>
      </c>
      <c r="G1413" t="b">
        <v>0</v>
      </c>
      <c r="H1413" t="b">
        <v>0</v>
      </c>
      <c r="I1413" t="s">
        <v>1050</v>
      </c>
      <c r="J1413">
        <v>80</v>
      </c>
      <c r="K1413" t="s">
        <v>0</v>
      </c>
      <c r="L1413" t="s">
        <v>1167</v>
      </c>
      <c r="M1413" t="s">
        <v>1168</v>
      </c>
      <c r="N1413" t="s">
        <v>1169</v>
      </c>
      <c r="O1413" t="s">
        <v>1168</v>
      </c>
      <c r="P1413" t="s">
        <v>1283</v>
      </c>
    </row>
    <row r="1414" spans="1:16" x14ac:dyDescent="0.25">
      <c r="A1414" t="s">
        <v>3373</v>
      </c>
      <c r="B1414" t="s">
        <v>3372</v>
      </c>
      <c r="C1414" t="s">
        <v>1571</v>
      </c>
      <c r="D1414" t="s">
        <v>1027</v>
      </c>
      <c r="E1414">
        <v>63767</v>
      </c>
      <c r="G1414" t="b">
        <v>0</v>
      </c>
      <c r="H1414" t="b">
        <v>0</v>
      </c>
      <c r="I1414" t="s">
        <v>1050</v>
      </c>
      <c r="J1414">
        <v>80</v>
      </c>
      <c r="K1414" t="s">
        <v>0</v>
      </c>
      <c r="L1414" t="s">
        <v>1167</v>
      </c>
      <c r="M1414" t="s">
        <v>1168</v>
      </c>
      <c r="N1414" t="s">
        <v>1169</v>
      </c>
      <c r="O1414" t="s">
        <v>1168</v>
      </c>
      <c r="P1414" t="s">
        <v>1283</v>
      </c>
    </row>
    <row r="1415" spans="1:16" x14ac:dyDescent="0.25">
      <c r="A1415" t="s">
        <v>3374</v>
      </c>
      <c r="B1415" t="s">
        <v>3375</v>
      </c>
      <c r="C1415" t="s">
        <v>1571</v>
      </c>
      <c r="D1415" t="s">
        <v>1027</v>
      </c>
      <c r="E1415">
        <v>63767</v>
      </c>
      <c r="G1415" t="b">
        <v>0</v>
      </c>
      <c r="H1415" t="b">
        <v>0</v>
      </c>
      <c r="I1415" t="s">
        <v>1050</v>
      </c>
      <c r="J1415">
        <v>80</v>
      </c>
      <c r="K1415" t="s">
        <v>0</v>
      </c>
      <c r="L1415" t="s">
        <v>1167</v>
      </c>
      <c r="M1415" t="s">
        <v>1168</v>
      </c>
      <c r="N1415" t="s">
        <v>1169</v>
      </c>
      <c r="O1415" t="s">
        <v>1168</v>
      </c>
      <c r="P1415" t="s">
        <v>1283</v>
      </c>
    </row>
    <row r="1416" spans="1:16" x14ac:dyDescent="0.25">
      <c r="A1416" t="s">
        <v>3376</v>
      </c>
      <c r="B1416" t="s">
        <v>3377</v>
      </c>
      <c r="C1416" t="s">
        <v>1571</v>
      </c>
      <c r="D1416" t="s">
        <v>1027</v>
      </c>
      <c r="E1416">
        <v>63767</v>
      </c>
      <c r="G1416" t="b">
        <v>0</v>
      </c>
      <c r="H1416" t="b">
        <v>0</v>
      </c>
      <c r="I1416" t="s">
        <v>1050</v>
      </c>
      <c r="J1416">
        <v>80</v>
      </c>
      <c r="K1416" t="s">
        <v>0</v>
      </c>
      <c r="L1416" t="s">
        <v>1167</v>
      </c>
      <c r="M1416" t="s">
        <v>1168</v>
      </c>
      <c r="N1416" t="s">
        <v>1169</v>
      </c>
      <c r="O1416" t="s">
        <v>1168</v>
      </c>
      <c r="P1416" t="s">
        <v>1283</v>
      </c>
    </row>
    <row r="1417" spans="1:16" x14ac:dyDescent="0.25">
      <c r="A1417" t="s">
        <v>3378</v>
      </c>
      <c r="B1417" t="s">
        <v>3379</v>
      </c>
      <c r="C1417" t="s">
        <v>1571</v>
      </c>
      <c r="D1417" t="s">
        <v>1027</v>
      </c>
      <c r="E1417">
        <v>63767</v>
      </c>
      <c r="G1417" t="b">
        <v>0</v>
      </c>
      <c r="H1417" t="b">
        <v>0</v>
      </c>
      <c r="I1417" t="s">
        <v>1050</v>
      </c>
      <c r="J1417">
        <v>80</v>
      </c>
      <c r="K1417" t="s">
        <v>0</v>
      </c>
      <c r="L1417" t="s">
        <v>1167</v>
      </c>
      <c r="M1417" t="s">
        <v>1168</v>
      </c>
      <c r="N1417" t="s">
        <v>1169</v>
      </c>
      <c r="O1417" t="s">
        <v>1168</v>
      </c>
      <c r="P1417" t="s">
        <v>1283</v>
      </c>
    </row>
    <row r="1418" spans="1:16" x14ac:dyDescent="0.25">
      <c r="A1418" t="s">
        <v>3380</v>
      </c>
      <c r="B1418" t="s">
        <v>3381</v>
      </c>
      <c r="C1418" t="s">
        <v>1571</v>
      </c>
      <c r="D1418" t="s">
        <v>1027</v>
      </c>
      <c r="E1418">
        <v>63767</v>
      </c>
      <c r="G1418" t="b">
        <v>0</v>
      </c>
      <c r="H1418" t="b">
        <v>0</v>
      </c>
      <c r="I1418" t="s">
        <v>1050</v>
      </c>
      <c r="J1418">
        <v>80</v>
      </c>
      <c r="K1418" t="s">
        <v>0</v>
      </c>
      <c r="L1418" t="s">
        <v>1167</v>
      </c>
      <c r="M1418" t="s">
        <v>1168</v>
      </c>
      <c r="N1418" t="s">
        <v>1169</v>
      </c>
      <c r="O1418" t="s">
        <v>1168</v>
      </c>
      <c r="P1418" t="s">
        <v>1283</v>
      </c>
    </row>
    <row r="1419" spans="1:16" x14ac:dyDescent="0.25">
      <c r="A1419" t="s">
        <v>3382</v>
      </c>
      <c r="B1419" t="s">
        <v>3383</v>
      </c>
      <c r="C1419" t="s">
        <v>1571</v>
      </c>
      <c r="D1419" t="s">
        <v>1027</v>
      </c>
      <c r="E1419">
        <v>63767</v>
      </c>
      <c r="G1419" t="b">
        <v>0</v>
      </c>
      <c r="H1419" t="b">
        <v>0</v>
      </c>
      <c r="I1419" t="s">
        <v>1050</v>
      </c>
      <c r="J1419">
        <v>80</v>
      </c>
      <c r="K1419" t="s">
        <v>0</v>
      </c>
      <c r="L1419" t="s">
        <v>1167</v>
      </c>
      <c r="M1419" t="s">
        <v>1168</v>
      </c>
      <c r="N1419" t="s">
        <v>1169</v>
      </c>
      <c r="O1419" t="s">
        <v>1168</v>
      </c>
      <c r="P1419" t="s">
        <v>1283</v>
      </c>
    </row>
    <row r="1420" spans="1:16" x14ac:dyDescent="0.25">
      <c r="A1420" t="s">
        <v>3384</v>
      </c>
      <c r="B1420" t="s">
        <v>3385</v>
      </c>
      <c r="C1420" t="s">
        <v>1571</v>
      </c>
      <c r="D1420" t="s">
        <v>1027</v>
      </c>
      <c r="E1420">
        <v>63767</v>
      </c>
      <c r="G1420" t="b">
        <v>0</v>
      </c>
      <c r="H1420" t="b">
        <v>0</v>
      </c>
      <c r="I1420" t="s">
        <v>1050</v>
      </c>
      <c r="J1420">
        <v>80</v>
      </c>
      <c r="K1420" t="s">
        <v>0</v>
      </c>
      <c r="L1420" t="s">
        <v>1167</v>
      </c>
      <c r="M1420" t="s">
        <v>1168</v>
      </c>
      <c r="N1420" t="s">
        <v>1169</v>
      </c>
      <c r="O1420" t="s">
        <v>1168</v>
      </c>
      <c r="P1420" t="s">
        <v>1283</v>
      </c>
    </row>
    <row r="1421" spans="1:16" x14ac:dyDescent="0.25">
      <c r="A1421" t="s">
        <v>3386</v>
      </c>
      <c r="B1421" t="s">
        <v>3387</v>
      </c>
      <c r="C1421" t="s">
        <v>1571</v>
      </c>
      <c r="D1421" t="s">
        <v>1027</v>
      </c>
      <c r="E1421">
        <v>63767</v>
      </c>
      <c r="G1421" t="b">
        <v>0</v>
      </c>
      <c r="H1421" t="b">
        <v>0</v>
      </c>
      <c r="I1421" t="s">
        <v>1050</v>
      </c>
      <c r="J1421">
        <v>80</v>
      </c>
      <c r="K1421" t="s">
        <v>0</v>
      </c>
      <c r="L1421" t="s">
        <v>1167</v>
      </c>
      <c r="M1421" t="s">
        <v>1168</v>
      </c>
      <c r="N1421" t="s">
        <v>1169</v>
      </c>
      <c r="O1421" t="s">
        <v>1168</v>
      </c>
      <c r="P1421" t="s">
        <v>1283</v>
      </c>
    </row>
    <row r="1422" spans="1:16" x14ac:dyDescent="0.25">
      <c r="A1422" t="s">
        <v>3388</v>
      </c>
      <c r="B1422" t="s">
        <v>3389</v>
      </c>
      <c r="C1422" t="s">
        <v>1571</v>
      </c>
      <c r="D1422" t="s">
        <v>1027</v>
      </c>
      <c r="E1422">
        <v>63767</v>
      </c>
      <c r="G1422" t="b">
        <v>0</v>
      </c>
      <c r="H1422" t="b">
        <v>0</v>
      </c>
      <c r="I1422" t="s">
        <v>1050</v>
      </c>
      <c r="J1422">
        <v>80</v>
      </c>
      <c r="K1422" t="s">
        <v>0</v>
      </c>
      <c r="L1422" t="s">
        <v>1167</v>
      </c>
      <c r="M1422" t="s">
        <v>1168</v>
      </c>
      <c r="N1422" t="s">
        <v>1169</v>
      </c>
      <c r="O1422" t="s">
        <v>1168</v>
      </c>
      <c r="P1422" t="s">
        <v>1283</v>
      </c>
    </row>
    <row r="1423" spans="1:16" x14ac:dyDescent="0.25">
      <c r="A1423" t="s">
        <v>3390</v>
      </c>
      <c r="B1423" t="s">
        <v>3391</v>
      </c>
      <c r="C1423" t="s">
        <v>1571</v>
      </c>
      <c r="D1423" t="s">
        <v>1027</v>
      </c>
      <c r="E1423">
        <v>63767</v>
      </c>
      <c r="G1423" t="b">
        <v>0</v>
      </c>
      <c r="H1423" t="b">
        <v>0</v>
      </c>
      <c r="I1423" t="s">
        <v>1050</v>
      </c>
      <c r="J1423">
        <v>80</v>
      </c>
      <c r="K1423" t="s">
        <v>0</v>
      </c>
      <c r="L1423" t="s">
        <v>1167</v>
      </c>
      <c r="M1423" t="s">
        <v>1168</v>
      </c>
      <c r="N1423" t="s">
        <v>1169</v>
      </c>
      <c r="O1423" t="s">
        <v>1168</v>
      </c>
      <c r="P1423" t="s">
        <v>1283</v>
      </c>
    </row>
    <row r="1424" spans="1:16" x14ac:dyDescent="0.25">
      <c r="A1424" t="s">
        <v>3392</v>
      </c>
      <c r="B1424" t="s">
        <v>3393</v>
      </c>
      <c r="C1424" t="s">
        <v>1571</v>
      </c>
      <c r="D1424" t="s">
        <v>1027</v>
      </c>
      <c r="E1424">
        <v>63767</v>
      </c>
      <c r="G1424" t="b">
        <v>0</v>
      </c>
      <c r="H1424" t="b">
        <v>0</v>
      </c>
      <c r="I1424" t="s">
        <v>1050</v>
      </c>
      <c r="J1424">
        <v>80</v>
      </c>
      <c r="K1424" t="s">
        <v>0</v>
      </c>
      <c r="L1424" t="s">
        <v>1167</v>
      </c>
      <c r="M1424" t="s">
        <v>1168</v>
      </c>
      <c r="N1424" t="s">
        <v>1169</v>
      </c>
      <c r="O1424" t="s">
        <v>1168</v>
      </c>
      <c r="P1424" t="s">
        <v>1283</v>
      </c>
    </row>
    <row r="1425" spans="1:16" x14ac:dyDescent="0.25">
      <c r="A1425" t="s">
        <v>3394</v>
      </c>
      <c r="B1425" t="s">
        <v>3395</v>
      </c>
      <c r="C1425" t="s">
        <v>2026</v>
      </c>
      <c r="D1425" t="s">
        <v>1027</v>
      </c>
      <c r="E1425">
        <v>1336</v>
      </c>
      <c r="F1425" t="s">
        <v>2027</v>
      </c>
      <c r="G1425" t="b">
        <v>0</v>
      </c>
      <c r="H1425" t="b">
        <v>0</v>
      </c>
      <c r="I1425" t="s">
        <v>1050</v>
      </c>
      <c r="J1425">
        <v>80</v>
      </c>
      <c r="K1425" t="s">
        <v>0</v>
      </c>
      <c r="L1425" t="s">
        <v>1167</v>
      </c>
      <c r="M1425" t="s">
        <v>1168</v>
      </c>
      <c r="N1425" t="s">
        <v>1169</v>
      </c>
      <c r="O1425" t="s">
        <v>1168</v>
      </c>
      <c r="P1425" t="s">
        <v>2028</v>
      </c>
    </row>
    <row r="1426" spans="1:16" x14ac:dyDescent="0.25">
      <c r="A1426" t="s">
        <v>3396</v>
      </c>
      <c r="B1426" t="s">
        <v>3397</v>
      </c>
      <c r="C1426" t="s">
        <v>2026</v>
      </c>
      <c r="D1426" t="s">
        <v>1027</v>
      </c>
      <c r="E1426">
        <v>1336</v>
      </c>
      <c r="F1426" t="s">
        <v>2027</v>
      </c>
      <c r="G1426" t="b">
        <v>0</v>
      </c>
      <c r="H1426" t="b">
        <v>0</v>
      </c>
      <c r="I1426" t="s">
        <v>1050</v>
      </c>
      <c r="J1426">
        <v>80</v>
      </c>
      <c r="K1426" t="s">
        <v>0</v>
      </c>
      <c r="L1426" t="s">
        <v>1167</v>
      </c>
      <c r="M1426" t="s">
        <v>1168</v>
      </c>
      <c r="N1426" t="s">
        <v>1169</v>
      </c>
      <c r="O1426" t="s">
        <v>1168</v>
      </c>
      <c r="P1426" t="s">
        <v>2028</v>
      </c>
    </row>
    <row r="1427" spans="1:16" x14ac:dyDescent="0.25">
      <c r="A1427" t="s">
        <v>3398</v>
      </c>
      <c r="B1427" t="s">
        <v>3399</v>
      </c>
      <c r="C1427" t="s">
        <v>2026</v>
      </c>
      <c r="D1427" t="s">
        <v>1027</v>
      </c>
      <c r="E1427">
        <v>1336</v>
      </c>
      <c r="F1427" t="s">
        <v>2027</v>
      </c>
      <c r="G1427" t="b">
        <v>0</v>
      </c>
      <c r="H1427" t="b">
        <v>0</v>
      </c>
      <c r="I1427" t="s">
        <v>1050</v>
      </c>
      <c r="J1427">
        <v>80</v>
      </c>
      <c r="K1427" t="s">
        <v>0</v>
      </c>
      <c r="L1427" t="s">
        <v>1167</v>
      </c>
      <c r="M1427" t="s">
        <v>1168</v>
      </c>
      <c r="N1427" t="s">
        <v>1169</v>
      </c>
      <c r="O1427" t="s">
        <v>1168</v>
      </c>
      <c r="P1427" t="s">
        <v>2028</v>
      </c>
    </row>
    <row r="1428" spans="1:16" x14ac:dyDescent="0.25">
      <c r="A1428" t="s">
        <v>3400</v>
      </c>
      <c r="B1428" t="s">
        <v>3401</v>
      </c>
      <c r="C1428" t="s">
        <v>1233</v>
      </c>
      <c r="D1428" t="s">
        <v>1027</v>
      </c>
      <c r="E1428">
        <v>63762</v>
      </c>
      <c r="F1428" t="s">
        <v>1234</v>
      </c>
      <c r="G1428" t="b">
        <v>0</v>
      </c>
      <c r="H1428" t="b">
        <v>0</v>
      </c>
      <c r="I1428" t="s">
        <v>1050</v>
      </c>
      <c r="J1428">
        <v>80</v>
      </c>
      <c r="K1428" t="s">
        <v>0</v>
      </c>
      <c r="L1428" t="s">
        <v>1167</v>
      </c>
      <c r="M1428" t="s">
        <v>1168</v>
      </c>
      <c r="N1428" t="s">
        <v>1169</v>
      </c>
      <c r="O1428" t="s">
        <v>1168</v>
      </c>
      <c r="P1428" t="s">
        <v>1235</v>
      </c>
    </row>
    <row r="1429" spans="1:16" x14ac:dyDescent="0.25">
      <c r="A1429" t="s">
        <v>3402</v>
      </c>
      <c r="B1429" t="s">
        <v>3403</v>
      </c>
      <c r="C1429" t="s">
        <v>1571</v>
      </c>
      <c r="D1429" t="s">
        <v>1027</v>
      </c>
      <c r="E1429">
        <v>63767</v>
      </c>
      <c r="G1429" t="b">
        <v>0</v>
      </c>
      <c r="H1429" t="b">
        <v>0</v>
      </c>
      <c r="I1429" t="s">
        <v>1050</v>
      </c>
      <c r="J1429">
        <v>80</v>
      </c>
      <c r="K1429" t="s">
        <v>0</v>
      </c>
      <c r="L1429" t="s">
        <v>1167</v>
      </c>
      <c r="M1429" t="s">
        <v>1168</v>
      </c>
      <c r="N1429" t="s">
        <v>1169</v>
      </c>
      <c r="O1429" t="s">
        <v>1168</v>
      </c>
      <c r="P1429" t="s">
        <v>1283</v>
      </c>
    </row>
    <row r="1430" spans="1:16" x14ac:dyDescent="0.25">
      <c r="A1430" t="s">
        <v>3404</v>
      </c>
      <c r="B1430" t="s">
        <v>3405</v>
      </c>
      <c r="C1430" t="s">
        <v>1571</v>
      </c>
      <c r="D1430" t="s">
        <v>1027</v>
      </c>
      <c r="E1430">
        <v>63767</v>
      </c>
      <c r="G1430" t="b">
        <v>0</v>
      </c>
      <c r="H1430" t="b">
        <v>0</v>
      </c>
      <c r="I1430" t="s">
        <v>1050</v>
      </c>
      <c r="J1430">
        <v>80</v>
      </c>
      <c r="K1430" t="s">
        <v>0</v>
      </c>
      <c r="L1430" t="s">
        <v>1167</v>
      </c>
      <c r="M1430" t="s">
        <v>1168</v>
      </c>
      <c r="N1430" t="s">
        <v>1169</v>
      </c>
      <c r="O1430" t="s">
        <v>1168</v>
      </c>
      <c r="P1430" t="s">
        <v>1283</v>
      </c>
    </row>
    <row r="1431" spans="1:16" x14ac:dyDescent="0.25">
      <c r="A1431" t="s">
        <v>3406</v>
      </c>
      <c r="B1431" t="s">
        <v>3407</v>
      </c>
      <c r="C1431" t="s">
        <v>1571</v>
      </c>
      <c r="D1431" t="s">
        <v>1027</v>
      </c>
      <c r="E1431">
        <v>63767</v>
      </c>
      <c r="G1431" t="b">
        <v>0</v>
      </c>
      <c r="H1431" t="b">
        <v>0</v>
      </c>
      <c r="I1431" t="s">
        <v>1050</v>
      </c>
      <c r="J1431">
        <v>80</v>
      </c>
      <c r="K1431" t="s">
        <v>0</v>
      </c>
      <c r="L1431" t="s">
        <v>1167</v>
      </c>
      <c r="M1431" t="s">
        <v>1168</v>
      </c>
      <c r="N1431" t="s">
        <v>1169</v>
      </c>
      <c r="O1431" t="s">
        <v>1168</v>
      </c>
      <c r="P1431" t="s">
        <v>1283</v>
      </c>
    </row>
    <row r="1432" spans="1:16" x14ac:dyDescent="0.25">
      <c r="A1432" t="s">
        <v>3408</v>
      </c>
      <c r="B1432" t="s">
        <v>3409</v>
      </c>
      <c r="C1432" t="s">
        <v>1571</v>
      </c>
      <c r="D1432" t="s">
        <v>1027</v>
      </c>
      <c r="E1432">
        <v>63767</v>
      </c>
      <c r="G1432" t="b">
        <v>0</v>
      </c>
      <c r="H1432" t="b">
        <v>0</v>
      </c>
      <c r="I1432" t="s">
        <v>1050</v>
      </c>
      <c r="J1432">
        <v>87</v>
      </c>
      <c r="K1432" t="s">
        <v>0</v>
      </c>
      <c r="L1432" t="s">
        <v>1167</v>
      </c>
      <c r="M1432" t="s">
        <v>1168</v>
      </c>
      <c r="N1432" t="s">
        <v>1169</v>
      </c>
      <c r="O1432" t="s">
        <v>1168</v>
      </c>
      <c r="P1432" t="s">
        <v>1283</v>
      </c>
    </row>
    <row r="1433" spans="1:16" x14ac:dyDescent="0.25">
      <c r="A1433" t="s">
        <v>3410</v>
      </c>
      <c r="B1433" t="s">
        <v>3411</v>
      </c>
      <c r="C1433" t="s">
        <v>1571</v>
      </c>
      <c r="D1433" t="s">
        <v>1027</v>
      </c>
      <c r="E1433">
        <v>63767</v>
      </c>
      <c r="G1433" t="b">
        <v>0</v>
      </c>
      <c r="H1433" t="b">
        <v>0</v>
      </c>
      <c r="I1433" t="s">
        <v>1050</v>
      </c>
      <c r="J1433">
        <v>87</v>
      </c>
      <c r="K1433" t="s">
        <v>0</v>
      </c>
      <c r="L1433" t="s">
        <v>1167</v>
      </c>
      <c r="M1433" t="s">
        <v>1168</v>
      </c>
      <c r="N1433" t="s">
        <v>1169</v>
      </c>
      <c r="O1433" t="s">
        <v>1168</v>
      </c>
      <c r="P1433" t="s">
        <v>1283</v>
      </c>
    </row>
    <row r="1434" spans="1:16" x14ac:dyDescent="0.25">
      <c r="A1434" t="s">
        <v>3412</v>
      </c>
      <c r="B1434" t="s">
        <v>3413</v>
      </c>
      <c r="C1434" t="s">
        <v>1571</v>
      </c>
      <c r="D1434" t="s">
        <v>1027</v>
      </c>
      <c r="E1434">
        <v>63767</v>
      </c>
      <c r="G1434" t="b">
        <v>0</v>
      </c>
      <c r="H1434" t="b">
        <v>0</v>
      </c>
      <c r="I1434" t="s">
        <v>1050</v>
      </c>
      <c r="J1434">
        <v>87</v>
      </c>
      <c r="K1434" t="s">
        <v>0</v>
      </c>
      <c r="L1434" t="s">
        <v>1167</v>
      </c>
      <c r="M1434" t="s">
        <v>1168</v>
      </c>
      <c r="N1434" t="s">
        <v>1169</v>
      </c>
      <c r="O1434" t="s">
        <v>1168</v>
      </c>
      <c r="P1434" t="s">
        <v>1283</v>
      </c>
    </row>
    <row r="1435" spans="1:16" x14ac:dyDescent="0.25">
      <c r="A1435" t="s">
        <v>3414</v>
      </c>
      <c r="B1435" t="s">
        <v>3415</v>
      </c>
      <c r="C1435" t="s">
        <v>1571</v>
      </c>
      <c r="D1435" t="s">
        <v>1027</v>
      </c>
      <c r="E1435">
        <v>63767</v>
      </c>
      <c r="G1435" t="b">
        <v>0</v>
      </c>
      <c r="H1435" t="b">
        <v>0</v>
      </c>
      <c r="I1435" t="s">
        <v>1050</v>
      </c>
      <c r="J1435">
        <v>87</v>
      </c>
      <c r="K1435" t="s">
        <v>0</v>
      </c>
      <c r="L1435" t="s">
        <v>1167</v>
      </c>
      <c r="M1435" t="s">
        <v>1168</v>
      </c>
      <c r="N1435" t="s">
        <v>1169</v>
      </c>
      <c r="O1435" t="s">
        <v>1168</v>
      </c>
      <c r="P1435" t="s">
        <v>1283</v>
      </c>
    </row>
    <row r="1436" spans="1:16" x14ac:dyDescent="0.25">
      <c r="A1436" t="s">
        <v>3416</v>
      </c>
      <c r="B1436" t="s">
        <v>3417</v>
      </c>
      <c r="C1436" t="s">
        <v>1233</v>
      </c>
      <c r="D1436" t="s">
        <v>1027</v>
      </c>
      <c r="E1436">
        <v>63762</v>
      </c>
      <c r="F1436" t="s">
        <v>1234</v>
      </c>
      <c r="G1436" t="b">
        <v>0</v>
      </c>
      <c r="H1436" t="b">
        <v>0</v>
      </c>
      <c r="I1436" t="s">
        <v>1050</v>
      </c>
      <c r="J1436">
        <v>80</v>
      </c>
      <c r="K1436" t="s">
        <v>0</v>
      </c>
      <c r="L1436" t="s">
        <v>1167</v>
      </c>
      <c r="M1436" t="s">
        <v>1168</v>
      </c>
      <c r="N1436" t="s">
        <v>1169</v>
      </c>
      <c r="O1436" t="s">
        <v>1168</v>
      </c>
      <c r="P1436" t="s">
        <v>1235</v>
      </c>
    </row>
    <row r="1437" spans="1:16" x14ac:dyDescent="0.25">
      <c r="A1437" t="s">
        <v>3418</v>
      </c>
      <c r="B1437" t="s">
        <v>3419</v>
      </c>
      <c r="C1437" t="s">
        <v>1233</v>
      </c>
      <c r="D1437" t="s">
        <v>1027</v>
      </c>
      <c r="E1437">
        <v>63762</v>
      </c>
      <c r="F1437" t="s">
        <v>1234</v>
      </c>
      <c r="G1437" t="b">
        <v>0</v>
      </c>
      <c r="H1437" t="b">
        <v>0</v>
      </c>
      <c r="I1437" t="s">
        <v>1050</v>
      </c>
      <c r="J1437">
        <v>80</v>
      </c>
      <c r="K1437" t="s">
        <v>0</v>
      </c>
      <c r="L1437" t="s">
        <v>1167</v>
      </c>
      <c r="M1437" t="s">
        <v>1168</v>
      </c>
      <c r="N1437" t="s">
        <v>1169</v>
      </c>
      <c r="O1437" t="s">
        <v>1168</v>
      </c>
      <c r="P1437" t="s">
        <v>1235</v>
      </c>
    </row>
    <row r="1438" spans="1:16" x14ac:dyDescent="0.25">
      <c r="A1438" t="s">
        <v>3420</v>
      </c>
      <c r="B1438" t="s">
        <v>3421</v>
      </c>
      <c r="C1438" t="s">
        <v>1233</v>
      </c>
      <c r="D1438" t="s">
        <v>1027</v>
      </c>
      <c r="E1438">
        <v>63762</v>
      </c>
      <c r="F1438" t="s">
        <v>1234</v>
      </c>
      <c r="G1438" t="b">
        <v>0</v>
      </c>
      <c r="H1438" t="b">
        <v>0</v>
      </c>
      <c r="I1438" t="s">
        <v>1050</v>
      </c>
      <c r="J1438">
        <v>80</v>
      </c>
      <c r="K1438" t="s">
        <v>0</v>
      </c>
      <c r="L1438" t="s">
        <v>1167</v>
      </c>
      <c r="M1438" t="s">
        <v>1168</v>
      </c>
      <c r="N1438" t="s">
        <v>1169</v>
      </c>
      <c r="O1438" t="s">
        <v>1168</v>
      </c>
      <c r="P1438" t="s">
        <v>1235</v>
      </c>
    </row>
    <row r="1439" spans="1:16" x14ac:dyDescent="0.25">
      <c r="A1439" t="s">
        <v>3422</v>
      </c>
      <c r="B1439" t="s">
        <v>3423</v>
      </c>
      <c r="C1439" t="s">
        <v>1571</v>
      </c>
      <c r="D1439" t="s">
        <v>1027</v>
      </c>
      <c r="E1439">
        <v>63767</v>
      </c>
      <c r="G1439" t="b">
        <v>0</v>
      </c>
      <c r="H1439" t="b">
        <v>0</v>
      </c>
      <c r="I1439" t="s">
        <v>1050</v>
      </c>
      <c r="J1439">
        <v>80</v>
      </c>
      <c r="K1439" t="s">
        <v>0</v>
      </c>
      <c r="L1439" t="s">
        <v>1167</v>
      </c>
      <c r="M1439" t="s">
        <v>1168</v>
      </c>
      <c r="N1439" t="s">
        <v>1169</v>
      </c>
      <c r="O1439" t="s">
        <v>1168</v>
      </c>
      <c r="P1439" t="s">
        <v>1283</v>
      </c>
    </row>
    <row r="1440" spans="1:16" x14ac:dyDescent="0.25">
      <c r="A1440" t="s">
        <v>3424</v>
      </c>
      <c r="B1440" t="s">
        <v>3425</v>
      </c>
      <c r="C1440" t="s">
        <v>1571</v>
      </c>
      <c r="D1440" t="s">
        <v>1027</v>
      </c>
      <c r="E1440">
        <v>63767</v>
      </c>
      <c r="G1440" t="b">
        <v>0</v>
      </c>
      <c r="H1440" t="b">
        <v>0</v>
      </c>
      <c r="I1440" t="s">
        <v>1050</v>
      </c>
      <c r="J1440">
        <v>80</v>
      </c>
      <c r="K1440" t="s">
        <v>0</v>
      </c>
      <c r="L1440" t="s">
        <v>1167</v>
      </c>
      <c r="M1440" t="s">
        <v>1168</v>
      </c>
      <c r="N1440" t="s">
        <v>1169</v>
      </c>
      <c r="O1440" t="s">
        <v>1168</v>
      </c>
      <c r="P1440" t="s">
        <v>1283</v>
      </c>
    </row>
    <row r="1441" spans="1:16" x14ac:dyDescent="0.25">
      <c r="A1441" t="s">
        <v>3426</v>
      </c>
      <c r="B1441" t="s">
        <v>3427</v>
      </c>
      <c r="C1441" t="s">
        <v>1571</v>
      </c>
      <c r="D1441" t="s">
        <v>1027</v>
      </c>
      <c r="E1441">
        <v>63767</v>
      </c>
      <c r="G1441" t="b">
        <v>0</v>
      </c>
      <c r="H1441" t="b">
        <v>0</v>
      </c>
      <c r="I1441" t="s">
        <v>1050</v>
      </c>
      <c r="J1441">
        <v>80</v>
      </c>
      <c r="K1441" t="s">
        <v>0</v>
      </c>
      <c r="L1441" t="s">
        <v>1167</v>
      </c>
      <c r="M1441" t="s">
        <v>1168</v>
      </c>
      <c r="N1441" t="s">
        <v>1169</v>
      </c>
      <c r="O1441" t="s">
        <v>1168</v>
      </c>
      <c r="P1441" t="s">
        <v>1283</v>
      </c>
    </row>
    <row r="1442" spans="1:16" x14ac:dyDescent="0.25">
      <c r="A1442" t="s">
        <v>3428</v>
      </c>
      <c r="B1442" t="s">
        <v>3429</v>
      </c>
      <c r="C1442" t="s">
        <v>1571</v>
      </c>
      <c r="D1442" t="s">
        <v>1027</v>
      </c>
      <c r="E1442">
        <v>63767</v>
      </c>
      <c r="G1442" t="b">
        <v>0</v>
      </c>
      <c r="H1442" t="b">
        <v>0</v>
      </c>
      <c r="I1442" t="s">
        <v>1050</v>
      </c>
      <c r="J1442">
        <v>80</v>
      </c>
      <c r="K1442" t="s">
        <v>0</v>
      </c>
      <c r="L1442" t="s">
        <v>1167</v>
      </c>
      <c r="M1442" t="s">
        <v>1168</v>
      </c>
      <c r="N1442" t="s">
        <v>1169</v>
      </c>
      <c r="O1442" t="s">
        <v>1168</v>
      </c>
      <c r="P1442" t="s">
        <v>1283</v>
      </c>
    </row>
    <row r="1443" spans="1:16" x14ac:dyDescent="0.25">
      <c r="A1443" t="s">
        <v>3430</v>
      </c>
      <c r="B1443" t="s">
        <v>3431</v>
      </c>
      <c r="C1443" t="s">
        <v>1571</v>
      </c>
      <c r="D1443" t="s">
        <v>1027</v>
      </c>
      <c r="E1443">
        <v>63767</v>
      </c>
      <c r="G1443" t="b">
        <v>0</v>
      </c>
      <c r="H1443" t="b">
        <v>0</v>
      </c>
      <c r="I1443" t="s">
        <v>1050</v>
      </c>
      <c r="J1443">
        <v>80</v>
      </c>
      <c r="K1443" t="s">
        <v>0</v>
      </c>
      <c r="L1443" t="s">
        <v>1167</v>
      </c>
      <c r="M1443" t="s">
        <v>1168</v>
      </c>
      <c r="N1443" t="s">
        <v>1169</v>
      </c>
      <c r="O1443" t="s">
        <v>1168</v>
      </c>
      <c r="P1443" t="s">
        <v>1283</v>
      </c>
    </row>
    <row r="1444" spans="1:16" x14ac:dyDescent="0.25">
      <c r="A1444" t="s">
        <v>3432</v>
      </c>
      <c r="B1444" t="s">
        <v>3433</v>
      </c>
      <c r="C1444" t="s">
        <v>1571</v>
      </c>
      <c r="D1444" t="s">
        <v>1027</v>
      </c>
      <c r="E1444">
        <v>63767</v>
      </c>
      <c r="G1444" t="b">
        <v>0</v>
      </c>
      <c r="H1444" t="b">
        <v>0</v>
      </c>
      <c r="I1444" t="s">
        <v>1050</v>
      </c>
      <c r="J1444">
        <v>80</v>
      </c>
      <c r="K1444" t="s">
        <v>0</v>
      </c>
      <c r="L1444" t="s">
        <v>1167</v>
      </c>
      <c r="M1444" t="s">
        <v>1168</v>
      </c>
      <c r="N1444" t="s">
        <v>1169</v>
      </c>
      <c r="O1444" t="s">
        <v>1168</v>
      </c>
      <c r="P1444" t="s">
        <v>1283</v>
      </c>
    </row>
    <row r="1445" spans="1:16" x14ac:dyDescent="0.25">
      <c r="A1445" t="s">
        <v>3434</v>
      </c>
      <c r="B1445" t="s">
        <v>3435</v>
      </c>
      <c r="C1445" t="s">
        <v>1571</v>
      </c>
      <c r="D1445" t="s">
        <v>1027</v>
      </c>
      <c r="E1445">
        <v>63767</v>
      </c>
      <c r="G1445" t="b">
        <v>0</v>
      </c>
      <c r="H1445" t="b">
        <v>0</v>
      </c>
      <c r="I1445" t="s">
        <v>1050</v>
      </c>
      <c r="J1445">
        <v>80</v>
      </c>
      <c r="K1445" t="s">
        <v>0</v>
      </c>
      <c r="L1445" t="s">
        <v>1167</v>
      </c>
      <c r="M1445" t="s">
        <v>1168</v>
      </c>
      <c r="N1445" t="s">
        <v>1169</v>
      </c>
      <c r="O1445" t="s">
        <v>1168</v>
      </c>
      <c r="P1445" t="s">
        <v>1283</v>
      </c>
    </row>
    <row r="1446" spans="1:16" x14ac:dyDescent="0.25">
      <c r="A1446" t="s">
        <v>3436</v>
      </c>
      <c r="B1446" t="s">
        <v>3437</v>
      </c>
      <c r="C1446" t="s">
        <v>1571</v>
      </c>
      <c r="D1446" t="s">
        <v>1027</v>
      </c>
      <c r="E1446">
        <v>63767</v>
      </c>
      <c r="G1446" t="b">
        <v>0</v>
      </c>
      <c r="H1446" t="b">
        <v>0</v>
      </c>
      <c r="I1446" t="s">
        <v>1050</v>
      </c>
      <c r="J1446">
        <v>87</v>
      </c>
      <c r="K1446" t="s">
        <v>0</v>
      </c>
      <c r="L1446" t="s">
        <v>1167</v>
      </c>
      <c r="M1446" t="s">
        <v>1168</v>
      </c>
      <c r="N1446" t="s">
        <v>1169</v>
      </c>
      <c r="O1446" t="s">
        <v>1168</v>
      </c>
      <c r="P1446" t="s">
        <v>1283</v>
      </c>
    </row>
    <row r="1447" spans="1:16" x14ac:dyDescent="0.25">
      <c r="A1447" t="s">
        <v>3438</v>
      </c>
      <c r="B1447" t="s">
        <v>3439</v>
      </c>
      <c r="C1447" t="s">
        <v>1571</v>
      </c>
      <c r="D1447" t="s">
        <v>1027</v>
      </c>
      <c r="E1447">
        <v>63767</v>
      </c>
      <c r="G1447" t="b">
        <v>0</v>
      </c>
      <c r="H1447" t="b">
        <v>0</v>
      </c>
      <c r="I1447" t="s">
        <v>1050</v>
      </c>
      <c r="J1447">
        <v>87</v>
      </c>
      <c r="K1447" t="s">
        <v>0</v>
      </c>
      <c r="L1447" t="s">
        <v>1167</v>
      </c>
      <c r="M1447" t="s">
        <v>1168</v>
      </c>
      <c r="N1447" t="s">
        <v>1169</v>
      </c>
      <c r="O1447" t="s">
        <v>1168</v>
      </c>
      <c r="P1447" t="s">
        <v>1283</v>
      </c>
    </row>
    <row r="1448" spans="1:16" x14ac:dyDescent="0.25">
      <c r="A1448" t="s">
        <v>3440</v>
      </c>
      <c r="B1448" t="s">
        <v>3441</v>
      </c>
      <c r="C1448" t="s">
        <v>1571</v>
      </c>
      <c r="D1448" t="s">
        <v>1027</v>
      </c>
      <c r="E1448">
        <v>63767</v>
      </c>
      <c r="G1448" t="b">
        <v>0</v>
      </c>
      <c r="H1448" t="b">
        <v>0</v>
      </c>
      <c r="I1448" t="s">
        <v>1050</v>
      </c>
      <c r="J1448">
        <v>80</v>
      </c>
      <c r="K1448" t="s">
        <v>0</v>
      </c>
      <c r="L1448" t="s">
        <v>1167</v>
      </c>
      <c r="M1448" t="s">
        <v>1168</v>
      </c>
      <c r="N1448" t="s">
        <v>1169</v>
      </c>
      <c r="O1448" t="s">
        <v>1168</v>
      </c>
      <c r="P1448" t="s">
        <v>1283</v>
      </c>
    </row>
    <row r="1449" spans="1:16" x14ac:dyDescent="0.25">
      <c r="A1449" t="s">
        <v>3442</v>
      </c>
      <c r="B1449" t="s">
        <v>3443</v>
      </c>
      <c r="C1449" t="s">
        <v>1571</v>
      </c>
      <c r="D1449" t="s">
        <v>1027</v>
      </c>
      <c r="E1449">
        <v>63767</v>
      </c>
      <c r="G1449" t="b">
        <v>0</v>
      </c>
      <c r="H1449" t="b">
        <v>0</v>
      </c>
      <c r="I1449" t="s">
        <v>1050</v>
      </c>
      <c r="J1449">
        <v>80</v>
      </c>
      <c r="K1449" t="s">
        <v>0</v>
      </c>
      <c r="L1449" t="s">
        <v>1167</v>
      </c>
      <c r="M1449" t="s">
        <v>1168</v>
      </c>
      <c r="N1449" t="s">
        <v>1169</v>
      </c>
      <c r="O1449" t="s">
        <v>1168</v>
      </c>
      <c r="P1449" t="s">
        <v>1283</v>
      </c>
    </row>
    <row r="1450" spans="1:16" x14ac:dyDescent="0.25">
      <c r="A1450" t="s">
        <v>3444</v>
      </c>
      <c r="B1450" t="s">
        <v>3445</v>
      </c>
      <c r="C1450" t="s">
        <v>1165</v>
      </c>
      <c r="D1450" t="s">
        <v>1027</v>
      </c>
      <c r="E1450">
        <v>63774</v>
      </c>
      <c r="F1450" t="s">
        <v>1166</v>
      </c>
      <c r="G1450" t="b">
        <v>0</v>
      </c>
      <c r="H1450" t="b">
        <v>0</v>
      </c>
      <c r="I1450" t="s">
        <v>1050</v>
      </c>
      <c r="J1450">
        <v>51</v>
      </c>
      <c r="K1450" t="s">
        <v>1</v>
      </c>
      <c r="L1450" t="s">
        <v>1167</v>
      </c>
      <c r="M1450" t="s">
        <v>1168</v>
      </c>
      <c r="N1450" t="s">
        <v>1169</v>
      </c>
      <c r="O1450" t="s">
        <v>1168</v>
      </c>
      <c r="P1450" t="s">
        <v>1170</v>
      </c>
    </row>
    <row r="1451" spans="1:16" x14ac:dyDescent="0.25">
      <c r="A1451" t="s">
        <v>3446</v>
      </c>
      <c r="B1451" t="s">
        <v>3445</v>
      </c>
      <c r="C1451" t="s">
        <v>1165</v>
      </c>
      <c r="D1451" t="s">
        <v>1027</v>
      </c>
      <c r="E1451">
        <v>63774</v>
      </c>
      <c r="F1451" t="s">
        <v>1166</v>
      </c>
      <c r="G1451" t="b">
        <v>0</v>
      </c>
      <c r="H1451" t="b">
        <v>0</v>
      </c>
      <c r="I1451" t="s">
        <v>1050</v>
      </c>
      <c r="J1451">
        <v>51</v>
      </c>
      <c r="K1451" t="s">
        <v>1</v>
      </c>
      <c r="L1451" t="s">
        <v>1167</v>
      </c>
      <c r="M1451" t="s">
        <v>1168</v>
      </c>
      <c r="N1451" t="s">
        <v>1169</v>
      </c>
      <c r="O1451" t="s">
        <v>1168</v>
      </c>
      <c r="P1451" t="s">
        <v>1170</v>
      </c>
    </row>
    <row r="1452" spans="1:16" x14ac:dyDescent="0.25">
      <c r="A1452" t="s">
        <v>3447</v>
      </c>
      <c r="B1452" t="s">
        <v>3448</v>
      </c>
      <c r="C1452" t="s">
        <v>3184</v>
      </c>
      <c r="D1452" t="s">
        <v>1027</v>
      </c>
      <c r="E1452">
        <v>1392</v>
      </c>
      <c r="F1452" t="s">
        <v>3185</v>
      </c>
      <c r="G1452" t="b">
        <v>0</v>
      </c>
      <c r="H1452" t="b">
        <v>0</v>
      </c>
      <c r="I1452" t="s">
        <v>1050</v>
      </c>
      <c r="J1452">
        <v>87</v>
      </c>
      <c r="K1452" t="s">
        <v>0</v>
      </c>
      <c r="L1452" t="s">
        <v>1167</v>
      </c>
      <c r="M1452" t="s">
        <v>1168</v>
      </c>
      <c r="N1452" t="s">
        <v>1169</v>
      </c>
      <c r="O1452" t="s">
        <v>1168</v>
      </c>
      <c r="P1452" t="s">
        <v>3186</v>
      </c>
    </row>
    <row r="1453" spans="1:16" x14ac:dyDescent="0.25">
      <c r="A1453" t="s">
        <v>3449</v>
      </c>
      <c r="B1453" t="s">
        <v>3450</v>
      </c>
      <c r="C1453" t="s">
        <v>1165</v>
      </c>
      <c r="D1453" t="s">
        <v>1027</v>
      </c>
      <c r="E1453">
        <v>63774</v>
      </c>
      <c r="F1453" t="s">
        <v>1166</v>
      </c>
      <c r="G1453" t="b">
        <v>0</v>
      </c>
      <c r="H1453" t="b">
        <v>0</v>
      </c>
      <c r="I1453" t="s">
        <v>1050</v>
      </c>
      <c r="J1453">
        <v>87</v>
      </c>
      <c r="K1453" t="s">
        <v>1</v>
      </c>
      <c r="L1453" t="s">
        <v>1167</v>
      </c>
      <c r="M1453" t="s">
        <v>1168</v>
      </c>
      <c r="N1453" t="s">
        <v>1169</v>
      </c>
      <c r="O1453" t="s">
        <v>1168</v>
      </c>
      <c r="P1453" t="s">
        <v>1170</v>
      </c>
    </row>
    <row r="1454" spans="1:16" x14ac:dyDescent="0.25">
      <c r="A1454" t="s">
        <v>3451</v>
      </c>
      <c r="B1454" t="s">
        <v>3452</v>
      </c>
      <c r="C1454" t="s">
        <v>1228</v>
      </c>
      <c r="D1454" t="s">
        <v>1027</v>
      </c>
      <c r="E1454">
        <v>1660</v>
      </c>
      <c r="F1454" t="s">
        <v>1229</v>
      </c>
      <c r="G1454" t="b">
        <v>0</v>
      </c>
      <c r="H1454" t="b">
        <v>0</v>
      </c>
      <c r="I1454" t="s">
        <v>1050</v>
      </c>
      <c r="J1454">
        <v>91</v>
      </c>
      <c r="K1454" t="s">
        <v>2</v>
      </c>
      <c r="L1454" t="s">
        <v>1167</v>
      </c>
      <c r="M1454" t="s">
        <v>1168</v>
      </c>
      <c r="N1454" t="s">
        <v>1169</v>
      </c>
      <c r="O1454" t="s">
        <v>1168</v>
      </c>
      <c r="P1454" t="s">
        <v>1230</v>
      </c>
    </row>
    <row r="1455" spans="1:16" x14ac:dyDescent="0.25">
      <c r="A1455" t="s">
        <v>3453</v>
      </c>
      <c r="B1455" t="s">
        <v>3452</v>
      </c>
      <c r="C1455" t="s">
        <v>1228</v>
      </c>
      <c r="D1455" t="s">
        <v>1027</v>
      </c>
      <c r="E1455">
        <v>1660</v>
      </c>
      <c r="F1455" t="s">
        <v>1229</v>
      </c>
      <c r="G1455" t="b">
        <v>0</v>
      </c>
      <c r="H1455" t="b">
        <v>0</v>
      </c>
      <c r="I1455" t="s">
        <v>1050</v>
      </c>
      <c r="J1455">
        <v>91</v>
      </c>
      <c r="K1455" t="s">
        <v>2</v>
      </c>
      <c r="L1455" t="s">
        <v>1167</v>
      </c>
      <c r="M1455" t="s">
        <v>1168</v>
      </c>
      <c r="N1455" t="s">
        <v>1169</v>
      </c>
      <c r="O1455" t="s">
        <v>1168</v>
      </c>
      <c r="P1455" t="s">
        <v>1230</v>
      </c>
    </row>
    <row r="1456" spans="1:16" x14ac:dyDescent="0.25">
      <c r="A1456" t="s">
        <v>3454</v>
      </c>
      <c r="B1456" t="s">
        <v>3452</v>
      </c>
      <c r="C1456" t="s">
        <v>1228</v>
      </c>
      <c r="D1456" t="s">
        <v>1027</v>
      </c>
      <c r="E1456">
        <v>1660</v>
      </c>
      <c r="F1456" t="s">
        <v>1229</v>
      </c>
      <c r="G1456" t="b">
        <v>0</v>
      </c>
      <c r="H1456" t="b">
        <v>0</v>
      </c>
      <c r="I1456" t="s">
        <v>1050</v>
      </c>
      <c r="J1456">
        <v>91</v>
      </c>
      <c r="K1456" t="s">
        <v>2</v>
      </c>
      <c r="L1456" t="s">
        <v>1167</v>
      </c>
      <c r="M1456" t="s">
        <v>1168</v>
      </c>
      <c r="N1456" t="s">
        <v>1169</v>
      </c>
      <c r="O1456" t="s">
        <v>1168</v>
      </c>
      <c r="P1456" t="s">
        <v>1230</v>
      </c>
    </row>
    <row r="1457" spans="1:16" x14ac:dyDescent="0.25">
      <c r="A1457" t="s">
        <v>3455</v>
      </c>
      <c r="B1457" t="s">
        <v>3452</v>
      </c>
      <c r="C1457" t="s">
        <v>1228</v>
      </c>
      <c r="D1457" t="s">
        <v>1027</v>
      </c>
      <c r="E1457">
        <v>1660</v>
      </c>
      <c r="F1457" t="s">
        <v>1229</v>
      </c>
      <c r="G1457" t="b">
        <v>0</v>
      </c>
      <c r="H1457" t="b">
        <v>0</v>
      </c>
      <c r="I1457" t="s">
        <v>1050</v>
      </c>
      <c r="J1457">
        <v>91</v>
      </c>
      <c r="K1457" t="s">
        <v>2</v>
      </c>
      <c r="L1457" t="s">
        <v>1167</v>
      </c>
      <c r="M1457" t="s">
        <v>1168</v>
      </c>
      <c r="N1457" t="s">
        <v>1169</v>
      </c>
      <c r="O1457" t="s">
        <v>1168</v>
      </c>
      <c r="P1457" t="s">
        <v>1230</v>
      </c>
    </row>
    <row r="1458" spans="1:16" x14ac:dyDescent="0.25">
      <c r="A1458" t="s">
        <v>3456</v>
      </c>
      <c r="B1458" t="s">
        <v>3457</v>
      </c>
      <c r="C1458" t="s">
        <v>1233</v>
      </c>
      <c r="D1458" t="s">
        <v>1027</v>
      </c>
      <c r="E1458">
        <v>63762</v>
      </c>
      <c r="F1458" t="s">
        <v>1234</v>
      </c>
      <c r="G1458" t="b">
        <v>0</v>
      </c>
      <c r="H1458" t="b">
        <v>0</v>
      </c>
      <c r="I1458" t="s">
        <v>1050</v>
      </c>
      <c r="J1458">
        <v>88</v>
      </c>
      <c r="K1458" t="s">
        <v>0</v>
      </c>
      <c r="L1458" t="s">
        <v>1167</v>
      </c>
      <c r="M1458" t="s">
        <v>1168</v>
      </c>
      <c r="N1458" t="s">
        <v>1169</v>
      </c>
      <c r="O1458" t="s">
        <v>1168</v>
      </c>
      <c r="P1458" t="s">
        <v>1235</v>
      </c>
    </row>
    <row r="1459" spans="1:16" x14ac:dyDescent="0.25">
      <c r="A1459" t="s">
        <v>3458</v>
      </c>
      <c r="B1459" t="s">
        <v>3459</v>
      </c>
      <c r="C1459" t="s">
        <v>1233</v>
      </c>
      <c r="D1459" t="s">
        <v>1027</v>
      </c>
      <c r="E1459">
        <v>63762</v>
      </c>
      <c r="F1459" t="s">
        <v>1234</v>
      </c>
      <c r="G1459" t="b">
        <v>0</v>
      </c>
      <c r="H1459" t="b">
        <v>0</v>
      </c>
      <c r="I1459" t="s">
        <v>1050</v>
      </c>
      <c r="J1459">
        <v>88</v>
      </c>
      <c r="K1459" t="s">
        <v>0</v>
      </c>
      <c r="L1459" t="s">
        <v>1167</v>
      </c>
      <c r="M1459" t="s">
        <v>1168</v>
      </c>
      <c r="N1459" t="s">
        <v>1169</v>
      </c>
      <c r="O1459" t="s">
        <v>1168</v>
      </c>
      <c r="P1459" t="s">
        <v>1235</v>
      </c>
    </row>
    <row r="1460" spans="1:16" x14ac:dyDescent="0.25">
      <c r="A1460" t="s">
        <v>3460</v>
      </c>
      <c r="B1460" t="s">
        <v>3461</v>
      </c>
      <c r="C1460" t="s">
        <v>1233</v>
      </c>
      <c r="D1460" t="s">
        <v>1027</v>
      </c>
      <c r="E1460">
        <v>63762</v>
      </c>
      <c r="F1460" t="s">
        <v>1234</v>
      </c>
      <c r="G1460" t="b">
        <v>0</v>
      </c>
      <c r="H1460" t="b">
        <v>0</v>
      </c>
      <c r="I1460" t="s">
        <v>1050</v>
      </c>
      <c r="J1460">
        <v>88</v>
      </c>
      <c r="K1460" t="s">
        <v>0</v>
      </c>
      <c r="L1460" t="s">
        <v>1167</v>
      </c>
      <c r="M1460" t="s">
        <v>1168</v>
      </c>
      <c r="N1460" t="s">
        <v>1169</v>
      </c>
      <c r="O1460" t="s">
        <v>1168</v>
      </c>
      <c r="P1460" t="s">
        <v>1235</v>
      </c>
    </row>
    <row r="1461" spans="1:16" x14ac:dyDescent="0.25">
      <c r="A1461" t="s">
        <v>3462</v>
      </c>
      <c r="B1461" t="s">
        <v>3463</v>
      </c>
      <c r="C1461" t="s">
        <v>1233</v>
      </c>
      <c r="D1461" t="s">
        <v>1027</v>
      </c>
      <c r="E1461">
        <v>63762</v>
      </c>
      <c r="F1461" t="s">
        <v>1234</v>
      </c>
      <c r="G1461" t="b">
        <v>0</v>
      </c>
      <c r="H1461" t="b">
        <v>0</v>
      </c>
      <c r="I1461" t="s">
        <v>1050</v>
      </c>
      <c r="J1461">
        <v>88</v>
      </c>
      <c r="K1461" t="s">
        <v>0</v>
      </c>
      <c r="L1461" t="s">
        <v>1167</v>
      </c>
      <c r="M1461" t="s">
        <v>1168</v>
      </c>
      <c r="N1461" t="s">
        <v>1169</v>
      </c>
      <c r="O1461" t="s">
        <v>1168</v>
      </c>
      <c r="P1461" t="s">
        <v>1235</v>
      </c>
    </row>
    <row r="1462" spans="1:16" x14ac:dyDescent="0.25">
      <c r="A1462" t="s">
        <v>3464</v>
      </c>
      <c r="B1462" t="s">
        <v>3465</v>
      </c>
      <c r="C1462" t="s">
        <v>1233</v>
      </c>
      <c r="D1462" t="s">
        <v>1027</v>
      </c>
      <c r="E1462">
        <v>63762</v>
      </c>
      <c r="F1462" t="s">
        <v>1234</v>
      </c>
      <c r="G1462" t="b">
        <v>0</v>
      </c>
      <c r="H1462" t="b">
        <v>0</v>
      </c>
      <c r="I1462" t="s">
        <v>1050</v>
      </c>
      <c r="J1462">
        <v>88</v>
      </c>
      <c r="K1462" t="s">
        <v>0</v>
      </c>
      <c r="L1462" t="s">
        <v>1167</v>
      </c>
      <c r="M1462" t="s">
        <v>1168</v>
      </c>
      <c r="N1462" t="s">
        <v>1169</v>
      </c>
      <c r="O1462" t="s">
        <v>1168</v>
      </c>
      <c r="P1462" t="s">
        <v>1235</v>
      </c>
    </row>
    <row r="1463" spans="1:16" x14ac:dyDescent="0.25">
      <c r="A1463" t="s">
        <v>3466</v>
      </c>
      <c r="B1463" t="s">
        <v>3467</v>
      </c>
      <c r="C1463" t="s">
        <v>1233</v>
      </c>
      <c r="D1463" t="s">
        <v>1027</v>
      </c>
      <c r="E1463">
        <v>63762</v>
      </c>
      <c r="F1463" t="s">
        <v>1234</v>
      </c>
      <c r="G1463" t="b">
        <v>0</v>
      </c>
      <c r="H1463" t="b">
        <v>0</v>
      </c>
      <c r="I1463" t="s">
        <v>1050</v>
      </c>
      <c r="J1463">
        <v>88</v>
      </c>
      <c r="K1463" t="s">
        <v>0</v>
      </c>
      <c r="L1463" t="s">
        <v>1167</v>
      </c>
      <c r="M1463" t="s">
        <v>1168</v>
      </c>
      <c r="N1463" t="s">
        <v>1169</v>
      </c>
      <c r="O1463" t="s">
        <v>1168</v>
      </c>
      <c r="P1463" t="s">
        <v>1235</v>
      </c>
    </row>
    <row r="1464" spans="1:16" x14ac:dyDescent="0.25">
      <c r="A1464" t="s">
        <v>3468</v>
      </c>
      <c r="B1464" t="s">
        <v>3469</v>
      </c>
      <c r="C1464" t="s">
        <v>1233</v>
      </c>
      <c r="D1464" t="s">
        <v>1027</v>
      </c>
      <c r="E1464">
        <v>63762</v>
      </c>
      <c r="F1464" t="s">
        <v>1234</v>
      </c>
      <c r="G1464" t="b">
        <v>0</v>
      </c>
      <c r="H1464" t="b">
        <v>0</v>
      </c>
      <c r="I1464" t="s">
        <v>1050</v>
      </c>
      <c r="J1464">
        <v>88</v>
      </c>
      <c r="K1464" t="s">
        <v>0</v>
      </c>
      <c r="L1464" t="s">
        <v>1167</v>
      </c>
      <c r="M1464" t="s">
        <v>1168</v>
      </c>
      <c r="N1464" t="s">
        <v>1169</v>
      </c>
      <c r="O1464" t="s">
        <v>1168</v>
      </c>
      <c r="P1464" t="s">
        <v>1235</v>
      </c>
    </row>
    <row r="1465" spans="1:16" x14ac:dyDescent="0.25">
      <c r="A1465" t="s">
        <v>3470</v>
      </c>
      <c r="B1465" t="s">
        <v>3471</v>
      </c>
      <c r="C1465" t="s">
        <v>1233</v>
      </c>
      <c r="D1465" t="s">
        <v>1027</v>
      </c>
      <c r="E1465">
        <v>63762</v>
      </c>
      <c r="F1465" t="s">
        <v>1234</v>
      </c>
      <c r="G1465" t="b">
        <v>0</v>
      </c>
      <c r="H1465" t="b">
        <v>0</v>
      </c>
      <c r="I1465" t="s">
        <v>1050</v>
      </c>
      <c r="J1465">
        <v>88</v>
      </c>
      <c r="K1465" t="s">
        <v>0</v>
      </c>
      <c r="L1465" t="s">
        <v>1167</v>
      </c>
      <c r="M1465" t="s">
        <v>1168</v>
      </c>
      <c r="N1465" t="s">
        <v>1169</v>
      </c>
      <c r="O1465" t="s">
        <v>1168</v>
      </c>
      <c r="P1465" t="s">
        <v>1235</v>
      </c>
    </row>
    <row r="1466" spans="1:16" x14ac:dyDescent="0.25">
      <c r="A1466" t="s">
        <v>3472</v>
      </c>
      <c r="B1466" t="s">
        <v>3473</v>
      </c>
      <c r="C1466" t="s">
        <v>1606</v>
      </c>
      <c r="D1466" t="s">
        <v>1027</v>
      </c>
      <c r="E1466">
        <v>1324</v>
      </c>
      <c r="F1466" t="s">
        <v>1607</v>
      </c>
      <c r="G1466" t="b">
        <v>0</v>
      </c>
      <c r="H1466" t="b">
        <v>0</v>
      </c>
      <c r="I1466" t="s">
        <v>1050</v>
      </c>
      <c r="J1466">
        <v>90</v>
      </c>
      <c r="K1466" t="s">
        <v>2</v>
      </c>
      <c r="L1466" t="s">
        <v>1608</v>
      </c>
      <c r="M1466" t="s">
        <v>1609</v>
      </c>
      <c r="N1466" t="s">
        <v>1608</v>
      </c>
      <c r="O1466" t="s">
        <v>1610</v>
      </c>
      <c r="P1466" t="s">
        <v>1611</v>
      </c>
    </row>
    <row r="1467" spans="1:16" x14ac:dyDescent="0.25">
      <c r="A1467" t="s">
        <v>3474</v>
      </c>
      <c r="B1467" t="s">
        <v>3475</v>
      </c>
      <c r="C1467" t="s">
        <v>1606</v>
      </c>
      <c r="D1467" t="s">
        <v>1027</v>
      </c>
      <c r="E1467">
        <v>1324</v>
      </c>
      <c r="F1467" t="s">
        <v>1607</v>
      </c>
      <c r="G1467" t="b">
        <v>0</v>
      </c>
      <c r="H1467" t="b">
        <v>0</v>
      </c>
      <c r="I1467" t="s">
        <v>1050</v>
      </c>
      <c r="J1467">
        <v>90</v>
      </c>
      <c r="K1467" t="s">
        <v>2</v>
      </c>
      <c r="L1467" t="s">
        <v>1608</v>
      </c>
      <c r="M1467" t="s">
        <v>1609</v>
      </c>
      <c r="N1467" t="s">
        <v>1608</v>
      </c>
      <c r="O1467" t="s">
        <v>1610</v>
      </c>
      <c r="P1467" t="s">
        <v>1611</v>
      </c>
    </row>
    <row r="1468" spans="1:16" x14ac:dyDescent="0.25">
      <c r="A1468" t="s">
        <v>3476</v>
      </c>
      <c r="B1468" t="s">
        <v>3475</v>
      </c>
      <c r="C1468" t="s">
        <v>1606</v>
      </c>
      <c r="D1468" t="s">
        <v>1027</v>
      </c>
      <c r="E1468">
        <v>1324</v>
      </c>
      <c r="F1468" t="s">
        <v>1607</v>
      </c>
      <c r="G1468" t="b">
        <v>0</v>
      </c>
      <c r="H1468" t="b">
        <v>0</v>
      </c>
      <c r="I1468" t="s">
        <v>1050</v>
      </c>
      <c r="J1468">
        <v>90</v>
      </c>
      <c r="K1468" t="s">
        <v>2</v>
      </c>
      <c r="L1468" t="s">
        <v>1608</v>
      </c>
      <c r="M1468" t="s">
        <v>1609</v>
      </c>
      <c r="N1468" t="s">
        <v>1608</v>
      </c>
      <c r="O1468" t="s">
        <v>1610</v>
      </c>
      <c r="P1468" t="s">
        <v>1611</v>
      </c>
    </row>
    <row r="1469" spans="1:16" x14ac:dyDescent="0.25">
      <c r="A1469" t="s">
        <v>3477</v>
      </c>
      <c r="B1469" t="s">
        <v>3475</v>
      </c>
      <c r="C1469" t="s">
        <v>1606</v>
      </c>
      <c r="D1469" t="s">
        <v>1027</v>
      </c>
      <c r="E1469">
        <v>1324</v>
      </c>
      <c r="F1469" t="s">
        <v>1607</v>
      </c>
      <c r="G1469" t="b">
        <v>0</v>
      </c>
      <c r="H1469" t="b">
        <v>0</v>
      </c>
      <c r="I1469" t="s">
        <v>1050</v>
      </c>
      <c r="J1469">
        <v>90</v>
      </c>
      <c r="K1469" t="s">
        <v>2</v>
      </c>
      <c r="L1469" t="s">
        <v>1608</v>
      </c>
      <c r="M1469" t="s">
        <v>1609</v>
      </c>
      <c r="N1469" t="s">
        <v>1608</v>
      </c>
      <c r="O1469" t="s">
        <v>1610</v>
      </c>
      <c r="P1469" t="s">
        <v>1611</v>
      </c>
    </row>
    <row r="1470" spans="1:16" x14ac:dyDescent="0.25">
      <c r="A1470" t="s">
        <v>3478</v>
      </c>
      <c r="B1470" t="s">
        <v>3475</v>
      </c>
      <c r="C1470" t="s">
        <v>1606</v>
      </c>
      <c r="D1470" t="s">
        <v>1027</v>
      </c>
      <c r="E1470">
        <v>1324</v>
      </c>
      <c r="F1470" t="s">
        <v>1607</v>
      </c>
      <c r="G1470" t="b">
        <v>0</v>
      </c>
      <c r="H1470" t="b">
        <v>0</v>
      </c>
      <c r="I1470" t="s">
        <v>1050</v>
      </c>
      <c r="J1470">
        <v>90</v>
      </c>
      <c r="K1470" t="s">
        <v>2</v>
      </c>
      <c r="L1470" t="s">
        <v>1608</v>
      </c>
      <c r="M1470" t="s">
        <v>1609</v>
      </c>
      <c r="N1470" t="s">
        <v>1608</v>
      </c>
      <c r="O1470" t="s">
        <v>1610</v>
      </c>
      <c r="P1470" t="s">
        <v>1611</v>
      </c>
    </row>
    <row r="1471" spans="1:16" x14ac:dyDescent="0.25">
      <c r="A1471" t="s">
        <v>3479</v>
      </c>
      <c r="B1471" t="s">
        <v>3475</v>
      </c>
      <c r="C1471" t="s">
        <v>1606</v>
      </c>
      <c r="D1471" t="s">
        <v>1027</v>
      </c>
      <c r="E1471">
        <v>1324</v>
      </c>
      <c r="F1471" t="s">
        <v>1607</v>
      </c>
      <c r="G1471" t="b">
        <v>0</v>
      </c>
      <c r="H1471" t="b">
        <v>0</v>
      </c>
      <c r="I1471" t="s">
        <v>1050</v>
      </c>
      <c r="J1471">
        <v>90</v>
      </c>
      <c r="K1471" t="s">
        <v>2</v>
      </c>
      <c r="L1471" t="s">
        <v>1608</v>
      </c>
      <c r="M1471" t="s">
        <v>1609</v>
      </c>
      <c r="N1471" t="s">
        <v>1608</v>
      </c>
      <c r="O1471" t="s">
        <v>1610</v>
      </c>
      <c r="P1471" t="s">
        <v>1611</v>
      </c>
    </row>
    <row r="1472" spans="1:16" x14ac:dyDescent="0.25">
      <c r="A1472" t="s">
        <v>3480</v>
      </c>
      <c r="B1472" t="s">
        <v>3475</v>
      </c>
      <c r="C1472" t="s">
        <v>1606</v>
      </c>
      <c r="D1472" t="s">
        <v>1027</v>
      </c>
      <c r="E1472">
        <v>1324</v>
      </c>
      <c r="F1472" t="s">
        <v>1607</v>
      </c>
      <c r="G1472" t="b">
        <v>0</v>
      </c>
      <c r="H1472" t="b">
        <v>0</v>
      </c>
      <c r="I1472" t="s">
        <v>1050</v>
      </c>
      <c r="J1472">
        <v>90</v>
      </c>
      <c r="K1472" t="s">
        <v>2</v>
      </c>
      <c r="L1472" t="s">
        <v>1608</v>
      </c>
      <c r="M1472" t="s">
        <v>1609</v>
      </c>
      <c r="N1472" t="s">
        <v>1608</v>
      </c>
      <c r="O1472" t="s">
        <v>1610</v>
      </c>
      <c r="P1472" t="s">
        <v>1611</v>
      </c>
    </row>
    <row r="1473" spans="1:16" x14ac:dyDescent="0.25">
      <c r="A1473" t="s">
        <v>3481</v>
      </c>
      <c r="B1473" t="s">
        <v>3475</v>
      </c>
      <c r="C1473" t="s">
        <v>1606</v>
      </c>
      <c r="D1473" t="s">
        <v>1027</v>
      </c>
      <c r="E1473">
        <v>1324</v>
      </c>
      <c r="F1473" t="s">
        <v>1607</v>
      </c>
      <c r="G1473" t="b">
        <v>0</v>
      </c>
      <c r="H1473" t="b">
        <v>0</v>
      </c>
      <c r="I1473" t="s">
        <v>1050</v>
      </c>
      <c r="J1473">
        <v>90</v>
      </c>
      <c r="K1473" t="s">
        <v>2</v>
      </c>
      <c r="L1473" t="s">
        <v>1608</v>
      </c>
      <c r="M1473" t="s">
        <v>1609</v>
      </c>
      <c r="N1473" t="s">
        <v>1608</v>
      </c>
      <c r="O1473" t="s">
        <v>1610</v>
      </c>
      <c r="P1473" t="s">
        <v>1611</v>
      </c>
    </row>
    <row r="1474" spans="1:16" x14ac:dyDescent="0.25">
      <c r="A1474" t="s">
        <v>3482</v>
      </c>
      <c r="B1474" t="s">
        <v>3475</v>
      </c>
      <c r="C1474" t="s">
        <v>1606</v>
      </c>
      <c r="D1474" t="s">
        <v>1027</v>
      </c>
      <c r="E1474">
        <v>1324</v>
      </c>
      <c r="F1474" t="s">
        <v>1607</v>
      </c>
      <c r="G1474" t="b">
        <v>0</v>
      </c>
      <c r="H1474" t="b">
        <v>0</v>
      </c>
      <c r="I1474" t="s">
        <v>1050</v>
      </c>
      <c r="J1474">
        <v>90</v>
      </c>
      <c r="K1474" t="s">
        <v>2</v>
      </c>
      <c r="L1474" t="s">
        <v>1608</v>
      </c>
      <c r="M1474" t="s">
        <v>1609</v>
      </c>
      <c r="N1474" t="s">
        <v>1608</v>
      </c>
      <c r="O1474" t="s">
        <v>1610</v>
      </c>
      <c r="P1474" t="s">
        <v>1611</v>
      </c>
    </row>
    <row r="1475" spans="1:16" x14ac:dyDescent="0.25">
      <c r="A1475" t="s">
        <v>3483</v>
      </c>
      <c r="B1475" t="s">
        <v>3475</v>
      </c>
      <c r="C1475" t="s">
        <v>1606</v>
      </c>
      <c r="D1475" t="s">
        <v>1027</v>
      </c>
      <c r="E1475">
        <v>1324</v>
      </c>
      <c r="F1475" t="s">
        <v>1607</v>
      </c>
      <c r="G1475" t="b">
        <v>0</v>
      </c>
      <c r="H1475" t="b">
        <v>0</v>
      </c>
      <c r="I1475" t="s">
        <v>1050</v>
      </c>
      <c r="J1475">
        <v>90</v>
      </c>
      <c r="K1475" t="s">
        <v>2</v>
      </c>
      <c r="L1475" t="s">
        <v>1608</v>
      </c>
      <c r="M1475" t="s">
        <v>1609</v>
      </c>
      <c r="N1475" t="s">
        <v>1608</v>
      </c>
      <c r="O1475" t="s">
        <v>1610</v>
      </c>
      <c r="P1475" t="s">
        <v>1611</v>
      </c>
    </row>
    <row r="1476" spans="1:16" x14ac:dyDescent="0.25">
      <c r="A1476" t="s">
        <v>3484</v>
      </c>
      <c r="B1476" t="s">
        <v>3475</v>
      </c>
      <c r="C1476" t="s">
        <v>1606</v>
      </c>
      <c r="D1476" t="s">
        <v>1027</v>
      </c>
      <c r="E1476">
        <v>1324</v>
      </c>
      <c r="F1476" t="s">
        <v>1607</v>
      </c>
      <c r="G1476" t="b">
        <v>0</v>
      </c>
      <c r="H1476" t="b">
        <v>0</v>
      </c>
      <c r="I1476" t="s">
        <v>1050</v>
      </c>
      <c r="J1476">
        <v>90</v>
      </c>
      <c r="K1476" t="s">
        <v>2</v>
      </c>
      <c r="L1476" t="s">
        <v>1608</v>
      </c>
      <c r="M1476" t="s">
        <v>1609</v>
      </c>
      <c r="N1476" t="s">
        <v>1608</v>
      </c>
      <c r="O1476" t="s">
        <v>1610</v>
      </c>
      <c r="P1476" t="s">
        <v>1611</v>
      </c>
    </row>
    <row r="1477" spans="1:16" x14ac:dyDescent="0.25">
      <c r="A1477" t="s">
        <v>3485</v>
      </c>
      <c r="B1477" t="s">
        <v>3475</v>
      </c>
      <c r="C1477" t="s">
        <v>1606</v>
      </c>
      <c r="D1477" t="s">
        <v>1027</v>
      </c>
      <c r="E1477">
        <v>1324</v>
      </c>
      <c r="F1477" t="s">
        <v>1607</v>
      </c>
      <c r="G1477" t="b">
        <v>0</v>
      </c>
      <c r="H1477" t="b">
        <v>0</v>
      </c>
      <c r="I1477" t="s">
        <v>1050</v>
      </c>
      <c r="J1477">
        <v>90</v>
      </c>
      <c r="K1477" t="s">
        <v>2</v>
      </c>
      <c r="L1477" t="s">
        <v>1608</v>
      </c>
      <c r="M1477" t="s">
        <v>1609</v>
      </c>
      <c r="N1477" t="s">
        <v>1608</v>
      </c>
      <c r="O1477" t="s">
        <v>1610</v>
      </c>
      <c r="P1477" t="s">
        <v>1611</v>
      </c>
    </row>
    <row r="1478" spans="1:16" x14ac:dyDescent="0.25">
      <c r="A1478" t="s">
        <v>3486</v>
      </c>
      <c r="B1478" t="s">
        <v>3487</v>
      </c>
      <c r="C1478" t="s">
        <v>1571</v>
      </c>
      <c r="D1478" t="s">
        <v>1027</v>
      </c>
      <c r="E1478">
        <v>63767</v>
      </c>
      <c r="G1478" t="b">
        <v>0</v>
      </c>
      <c r="H1478" t="b">
        <v>0</v>
      </c>
      <c r="I1478" t="s">
        <v>1050</v>
      </c>
      <c r="J1478">
        <v>80</v>
      </c>
      <c r="K1478" t="s">
        <v>0</v>
      </c>
      <c r="L1478" t="s">
        <v>1167</v>
      </c>
      <c r="M1478" t="s">
        <v>1168</v>
      </c>
      <c r="N1478" t="s">
        <v>1169</v>
      </c>
      <c r="O1478" t="s">
        <v>1168</v>
      </c>
      <c r="P1478" t="s">
        <v>1283</v>
      </c>
    </row>
    <row r="1479" spans="1:16" x14ac:dyDescent="0.25">
      <c r="A1479" t="s">
        <v>3488</v>
      </c>
      <c r="B1479" t="s">
        <v>3489</v>
      </c>
      <c r="C1479" t="s">
        <v>1571</v>
      </c>
      <c r="D1479" t="s">
        <v>1027</v>
      </c>
      <c r="E1479">
        <v>63767</v>
      </c>
      <c r="G1479" t="b">
        <v>0</v>
      </c>
      <c r="H1479" t="b">
        <v>0</v>
      </c>
      <c r="I1479" t="s">
        <v>1050</v>
      </c>
      <c r="J1479">
        <v>80</v>
      </c>
      <c r="K1479" t="s">
        <v>0</v>
      </c>
      <c r="L1479" t="s">
        <v>1167</v>
      </c>
      <c r="M1479" t="s">
        <v>1168</v>
      </c>
      <c r="N1479" t="s">
        <v>1169</v>
      </c>
      <c r="O1479" t="s">
        <v>1168</v>
      </c>
      <c r="P1479" t="s">
        <v>1283</v>
      </c>
    </row>
    <row r="1480" spans="1:16" x14ac:dyDescent="0.25">
      <c r="A1480" t="s">
        <v>3490</v>
      </c>
      <c r="B1480" t="s">
        <v>3491</v>
      </c>
      <c r="C1480" t="s">
        <v>1571</v>
      </c>
      <c r="D1480" t="s">
        <v>1027</v>
      </c>
      <c r="E1480">
        <v>63767</v>
      </c>
      <c r="G1480" t="b">
        <v>0</v>
      </c>
      <c r="H1480" t="b">
        <v>0</v>
      </c>
      <c r="I1480" t="s">
        <v>1050</v>
      </c>
      <c r="J1480">
        <v>80</v>
      </c>
      <c r="K1480" t="s">
        <v>0</v>
      </c>
      <c r="L1480" t="s">
        <v>1167</v>
      </c>
      <c r="M1480" t="s">
        <v>1168</v>
      </c>
      <c r="N1480" t="s">
        <v>1169</v>
      </c>
      <c r="O1480" t="s">
        <v>1168</v>
      </c>
      <c r="P1480" t="s">
        <v>1283</v>
      </c>
    </row>
    <row r="1481" spans="1:16" x14ac:dyDescent="0.25">
      <c r="A1481" t="s">
        <v>3492</v>
      </c>
      <c r="B1481" t="s">
        <v>3493</v>
      </c>
      <c r="C1481" t="s">
        <v>1571</v>
      </c>
      <c r="D1481" t="s">
        <v>1027</v>
      </c>
      <c r="E1481">
        <v>63767</v>
      </c>
      <c r="G1481" t="b">
        <v>0</v>
      </c>
      <c r="H1481" t="b">
        <v>0</v>
      </c>
      <c r="I1481" t="s">
        <v>1050</v>
      </c>
      <c r="J1481">
        <v>80</v>
      </c>
      <c r="K1481" t="s">
        <v>0</v>
      </c>
      <c r="L1481" t="s">
        <v>1167</v>
      </c>
      <c r="M1481" t="s">
        <v>1168</v>
      </c>
      <c r="N1481" t="s">
        <v>1169</v>
      </c>
      <c r="O1481" t="s">
        <v>1168</v>
      </c>
      <c r="P1481" t="s">
        <v>1283</v>
      </c>
    </row>
    <row r="1482" spans="1:16" x14ac:dyDescent="0.25">
      <c r="A1482" t="s">
        <v>3494</v>
      </c>
      <c r="B1482" t="s">
        <v>3495</v>
      </c>
      <c r="C1482" t="s">
        <v>1571</v>
      </c>
      <c r="D1482" t="s">
        <v>1027</v>
      </c>
      <c r="E1482">
        <v>63767</v>
      </c>
      <c r="G1482" t="b">
        <v>0</v>
      </c>
      <c r="H1482" t="b">
        <v>0</v>
      </c>
      <c r="I1482" t="s">
        <v>1050</v>
      </c>
      <c r="J1482">
        <v>80</v>
      </c>
      <c r="K1482" t="s">
        <v>0</v>
      </c>
      <c r="L1482" t="s">
        <v>1167</v>
      </c>
      <c r="M1482" t="s">
        <v>1168</v>
      </c>
      <c r="N1482" t="s">
        <v>1169</v>
      </c>
      <c r="O1482" t="s">
        <v>1168</v>
      </c>
      <c r="P1482" t="s">
        <v>1283</v>
      </c>
    </row>
    <row r="1483" spans="1:16" x14ac:dyDescent="0.25">
      <c r="A1483" t="s">
        <v>3496</v>
      </c>
      <c r="B1483" t="s">
        <v>3497</v>
      </c>
      <c r="C1483" t="s">
        <v>1571</v>
      </c>
      <c r="D1483" t="s">
        <v>1027</v>
      </c>
      <c r="E1483">
        <v>63767</v>
      </c>
      <c r="G1483" t="b">
        <v>0</v>
      </c>
      <c r="H1483" t="b">
        <v>0</v>
      </c>
      <c r="I1483" t="s">
        <v>1050</v>
      </c>
      <c r="J1483">
        <v>80</v>
      </c>
      <c r="K1483" t="s">
        <v>0</v>
      </c>
      <c r="L1483" t="s">
        <v>1167</v>
      </c>
      <c r="M1483" t="s">
        <v>1168</v>
      </c>
      <c r="N1483" t="s">
        <v>1169</v>
      </c>
      <c r="O1483" t="s">
        <v>1168</v>
      </c>
      <c r="P1483" t="s">
        <v>1283</v>
      </c>
    </row>
    <row r="1484" spans="1:16" x14ac:dyDescent="0.25">
      <c r="A1484" t="s">
        <v>3498</v>
      </c>
      <c r="B1484" t="s">
        <v>3499</v>
      </c>
      <c r="C1484" t="s">
        <v>1571</v>
      </c>
      <c r="D1484" t="s">
        <v>1027</v>
      </c>
      <c r="E1484">
        <v>63767</v>
      </c>
      <c r="G1484" t="b">
        <v>0</v>
      </c>
      <c r="H1484" t="b">
        <v>0</v>
      </c>
      <c r="I1484" t="s">
        <v>1050</v>
      </c>
      <c r="J1484">
        <v>80</v>
      </c>
      <c r="K1484" t="s">
        <v>0</v>
      </c>
      <c r="L1484" t="s">
        <v>1167</v>
      </c>
      <c r="M1484" t="s">
        <v>1168</v>
      </c>
      <c r="N1484" t="s">
        <v>1169</v>
      </c>
      <c r="O1484" t="s">
        <v>1168</v>
      </c>
      <c r="P1484" t="s">
        <v>1283</v>
      </c>
    </row>
    <row r="1485" spans="1:16" x14ac:dyDescent="0.25">
      <c r="A1485" t="s">
        <v>3500</v>
      </c>
      <c r="B1485" t="s">
        <v>3501</v>
      </c>
      <c r="C1485" t="s">
        <v>1571</v>
      </c>
      <c r="D1485" t="s">
        <v>1027</v>
      </c>
      <c r="E1485">
        <v>63767</v>
      </c>
      <c r="G1485" t="b">
        <v>0</v>
      </c>
      <c r="H1485" t="b">
        <v>0</v>
      </c>
      <c r="I1485" t="s">
        <v>1050</v>
      </c>
      <c r="J1485">
        <v>80</v>
      </c>
      <c r="K1485" t="s">
        <v>0</v>
      </c>
      <c r="L1485" t="s">
        <v>1167</v>
      </c>
      <c r="M1485" t="s">
        <v>1168</v>
      </c>
      <c r="N1485" t="s">
        <v>1169</v>
      </c>
      <c r="O1485" t="s">
        <v>1168</v>
      </c>
      <c r="P1485" t="s">
        <v>1283</v>
      </c>
    </row>
    <row r="1486" spans="1:16" x14ac:dyDescent="0.25">
      <c r="A1486" t="s">
        <v>3502</v>
      </c>
      <c r="B1486" t="s">
        <v>3503</v>
      </c>
      <c r="C1486" t="s">
        <v>1571</v>
      </c>
      <c r="D1486" t="s">
        <v>1027</v>
      </c>
      <c r="E1486">
        <v>63767</v>
      </c>
      <c r="G1486" t="b">
        <v>0</v>
      </c>
      <c r="H1486" t="b">
        <v>0</v>
      </c>
      <c r="I1486" t="s">
        <v>1050</v>
      </c>
      <c r="J1486">
        <v>80</v>
      </c>
      <c r="K1486" t="s">
        <v>0</v>
      </c>
      <c r="L1486" t="s">
        <v>1167</v>
      </c>
      <c r="M1486" t="s">
        <v>1168</v>
      </c>
      <c r="N1486" t="s">
        <v>1169</v>
      </c>
      <c r="O1486" t="s">
        <v>1168</v>
      </c>
      <c r="P1486" t="s">
        <v>1283</v>
      </c>
    </row>
    <row r="1487" spans="1:16" x14ac:dyDescent="0.25">
      <c r="A1487" t="s">
        <v>3504</v>
      </c>
      <c r="B1487" t="s">
        <v>3505</v>
      </c>
      <c r="C1487" t="s">
        <v>1571</v>
      </c>
      <c r="D1487" t="s">
        <v>1027</v>
      </c>
      <c r="E1487">
        <v>63767</v>
      </c>
      <c r="G1487" t="b">
        <v>0</v>
      </c>
      <c r="H1487" t="b">
        <v>0</v>
      </c>
      <c r="I1487" t="s">
        <v>1050</v>
      </c>
      <c r="J1487">
        <v>80</v>
      </c>
      <c r="K1487" t="s">
        <v>0</v>
      </c>
      <c r="L1487" t="s">
        <v>1167</v>
      </c>
      <c r="M1487" t="s">
        <v>1168</v>
      </c>
      <c r="N1487" t="s">
        <v>1169</v>
      </c>
      <c r="O1487" t="s">
        <v>1168</v>
      </c>
      <c r="P1487" t="s">
        <v>1283</v>
      </c>
    </row>
    <row r="1488" spans="1:16" x14ac:dyDescent="0.25">
      <c r="A1488" t="s">
        <v>3506</v>
      </c>
      <c r="B1488" t="s">
        <v>3507</v>
      </c>
      <c r="C1488" t="s">
        <v>1571</v>
      </c>
      <c r="D1488" t="s">
        <v>1027</v>
      </c>
      <c r="E1488">
        <v>63767</v>
      </c>
      <c r="G1488" t="b">
        <v>0</v>
      </c>
      <c r="H1488" t="b">
        <v>0</v>
      </c>
      <c r="I1488" t="s">
        <v>1050</v>
      </c>
      <c r="J1488">
        <v>80</v>
      </c>
      <c r="K1488" t="s">
        <v>0</v>
      </c>
      <c r="L1488" t="s">
        <v>1167</v>
      </c>
      <c r="M1488" t="s">
        <v>1168</v>
      </c>
      <c r="N1488" t="s">
        <v>1169</v>
      </c>
      <c r="O1488" t="s">
        <v>1168</v>
      </c>
      <c r="P1488" t="s">
        <v>1283</v>
      </c>
    </row>
    <row r="1489" spans="1:16" x14ac:dyDescent="0.25">
      <c r="A1489" t="s">
        <v>3508</v>
      </c>
      <c r="B1489" t="s">
        <v>3501</v>
      </c>
      <c r="C1489" t="s">
        <v>1571</v>
      </c>
      <c r="D1489" t="s">
        <v>1027</v>
      </c>
      <c r="E1489">
        <v>63767</v>
      </c>
      <c r="G1489" t="b">
        <v>0</v>
      </c>
      <c r="H1489" t="b">
        <v>0</v>
      </c>
      <c r="I1489" t="s">
        <v>1050</v>
      </c>
      <c r="J1489">
        <v>80</v>
      </c>
      <c r="K1489" t="s">
        <v>0</v>
      </c>
      <c r="L1489" t="s">
        <v>1167</v>
      </c>
      <c r="M1489" t="s">
        <v>1168</v>
      </c>
      <c r="N1489" t="s">
        <v>1169</v>
      </c>
      <c r="O1489" t="s">
        <v>1168</v>
      </c>
      <c r="P1489" t="s">
        <v>1283</v>
      </c>
    </row>
    <row r="1490" spans="1:16" x14ac:dyDescent="0.25">
      <c r="A1490" t="s">
        <v>3509</v>
      </c>
      <c r="B1490" t="s">
        <v>3510</v>
      </c>
      <c r="C1490" t="s">
        <v>1571</v>
      </c>
      <c r="D1490" t="s">
        <v>1027</v>
      </c>
      <c r="E1490">
        <v>63767</v>
      </c>
      <c r="G1490" t="b">
        <v>0</v>
      </c>
      <c r="H1490" t="b">
        <v>0</v>
      </c>
      <c r="I1490" t="s">
        <v>1050</v>
      </c>
      <c r="J1490">
        <v>80</v>
      </c>
      <c r="K1490" t="s">
        <v>0</v>
      </c>
      <c r="L1490" t="s">
        <v>1167</v>
      </c>
      <c r="M1490" t="s">
        <v>1168</v>
      </c>
      <c r="N1490" t="s">
        <v>1169</v>
      </c>
      <c r="O1490" t="s">
        <v>1168</v>
      </c>
      <c r="P1490" t="s">
        <v>1283</v>
      </c>
    </row>
    <row r="1491" spans="1:16" x14ac:dyDescent="0.25">
      <c r="A1491" t="s">
        <v>3511</v>
      </c>
      <c r="B1491" t="s">
        <v>3512</v>
      </c>
      <c r="C1491" t="s">
        <v>1571</v>
      </c>
      <c r="D1491" t="s">
        <v>1027</v>
      </c>
      <c r="E1491">
        <v>63767</v>
      </c>
      <c r="G1491" t="b">
        <v>0</v>
      </c>
      <c r="H1491" t="b">
        <v>0</v>
      </c>
      <c r="I1491" t="s">
        <v>1050</v>
      </c>
      <c r="J1491">
        <v>80</v>
      </c>
      <c r="K1491" t="s">
        <v>0</v>
      </c>
      <c r="L1491" t="s">
        <v>1167</v>
      </c>
      <c r="M1491" t="s">
        <v>1168</v>
      </c>
      <c r="N1491" t="s">
        <v>1169</v>
      </c>
      <c r="O1491" t="s">
        <v>1168</v>
      </c>
      <c r="P1491" t="s">
        <v>1283</v>
      </c>
    </row>
    <row r="1492" spans="1:16" x14ac:dyDescent="0.25">
      <c r="A1492" t="s">
        <v>3513</v>
      </c>
      <c r="B1492" t="s">
        <v>3512</v>
      </c>
      <c r="C1492" t="s">
        <v>1571</v>
      </c>
      <c r="D1492" t="s">
        <v>1027</v>
      </c>
      <c r="E1492">
        <v>63767</v>
      </c>
      <c r="G1492" t="b">
        <v>0</v>
      </c>
      <c r="H1492" t="b">
        <v>0</v>
      </c>
      <c r="I1492" t="s">
        <v>1050</v>
      </c>
      <c r="J1492">
        <v>80</v>
      </c>
      <c r="K1492" t="s">
        <v>0</v>
      </c>
      <c r="L1492" t="s">
        <v>1167</v>
      </c>
      <c r="M1492" t="s">
        <v>1168</v>
      </c>
      <c r="N1492" t="s">
        <v>1169</v>
      </c>
      <c r="O1492" t="s">
        <v>1168</v>
      </c>
      <c r="P1492" t="s">
        <v>1283</v>
      </c>
    </row>
    <row r="1493" spans="1:16" x14ac:dyDescent="0.25">
      <c r="A1493" t="s">
        <v>3514</v>
      </c>
      <c r="B1493" t="s">
        <v>3505</v>
      </c>
      <c r="C1493" t="s">
        <v>1571</v>
      </c>
      <c r="D1493" t="s">
        <v>1027</v>
      </c>
      <c r="E1493">
        <v>63767</v>
      </c>
      <c r="G1493" t="b">
        <v>0</v>
      </c>
      <c r="H1493" t="b">
        <v>0</v>
      </c>
      <c r="I1493" t="s">
        <v>1050</v>
      </c>
      <c r="J1493">
        <v>80</v>
      </c>
      <c r="K1493" t="s">
        <v>0</v>
      </c>
      <c r="L1493" t="s">
        <v>1167</v>
      </c>
      <c r="M1493" t="s">
        <v>1168</v>
      </c>
      <c r="N1493" t="s">
        <v>1169</v>
      </c>
      <c r="O1493" t="s">
        <v>1168</v>
      </c>
      <c r="P1493" t="s">
        <v>1283</v>
      </c>
    </row>
    <row r="1494" spans="1:16" x14ac:dyDescent="0.25">
      <c r="A1494" t="s">
        <v>3515</v>
      </c>
      <c r="B1494" t="s">
        <v>3516</v>
      </c>
      <c r="C1494" t="s">
        <v>1571</v>
      </c>
      <c r="D1494" t="s">
        <v>1027</v>
      </c>
      <c r="E1494">
        <v>63767</v>
      </c>
      <c r="G1494" t="b">
        <v>0</v>
      </c>
      <c r="H1494" t="b">
        <v>0</v>
      </c>
      <c r="I1494" t="s">
        <v>1050</v>
      </c>
      <c r="J1494">
        <v>80</v>
      </c>
      <c r="K1494" t="s">
        <v>0</v>
      </c>
      <c r="L1494" t="s">
        <v>1167</v>
      </c>
      <c r="M1494" t="s">
        <v>1168</v>
      </c>
      <c r="N1494" t="s">
        <v>1169</v>
      </c>
      <c r="O1494" t="s">
        <v>1168</v>
      </c>
      <c r="P1494" t="s">
        <v>1283</v>
      </c>
    </row>
    <row r="1495" spans="1:16" x14ac:dyDescent="0.25">
      <c r="A1495" t="s">
        <v>3517</v>
      </c>
      <c r="B1495" t="s">
        <v>3501</v>
      </c>
      <c r="C1495" t="s">
        <v>1571</v>
      </c>
      <c r="D1495" t="s">
        <v>1027</v>
      </c>
      <c r="E1495">
        <v>63767</v>
      </c>
      <c r="G1495" t="b">
        <v>0</v>
      </c>
      <c r="H1495" t="b">
        <v>0</v>
      </c>
      <c r="I1495" t="s">
        <v>1050</v>
      </c>
      <c r="J1495">
        <v>80</v>
      </c>
      <c r="K1495" t="s">
        <v>0</v>
      </c>
      <c r="L1495" t="s">
        <v>1167</v>
      </c>
      <c r="M1495" t="s">
        <v>1168</v>
      </c>
      <c r="N1495" t="s">
        <v>1169</v>
      </c>
      <c r="O1495" t="s">
        <v>1168</v>
      </c>
      <c r="P1495" t="s">
        <v>1283</v>
      </c>
    </row>
    <row r="1496" spans="1:16" x14ac:dyDescent="0.25">
      <c r="A1496" t="s">
        <v>3518</v>
      </c>
      <c r="B1496" t="s">
        <v>3519</v>
      </c>
      <c r="C1496" t="s">
        <v>1571</v>
      </c>
      <c r="D1496" t="s">
        <v>1027</v>
      </c>
      <c r="E1496">
        <v>63767</v>
      </c>
      <c r="G1496" t="b">
        <v>0</v>
      </c>
      <c r="H1496" t="b">
        <v>0</v>
      </c>
      <c r="I1496" t="s">
        <v>1050</v>
      </c>
      <c r="J1496">
        <v>87</v>
      </c>
      <c r="K1496" t="s">
        <v>0</v>
      </c>
      <c r="L1496" t="s">
        <v>1167</v>
      </c>
      <c r="M1496" t="s">
        <v>1168</v>
      </c>
      <c r="N1496" t="s">
        <v>1169</v>
      </c>
      <c r="O1496" t="s">
        <v>1168</v>
      </c>
      <c r="P1496" t="s">
        <v>1283</v>
      </c>
    </row>
    <row r="1497" spans="1:16" x14ac:dyDescent="0.25">
      <c r="A1497" t="s">
        <v>3520</v>
      </c>
      <c r="B1497" t="s">
        <v>3521</v>
      </c>
      <c r="C1497" t="s">
        <v>1571</v>
      </c>
      <c r="D1497" t="s">
        <v>1027</v>
      </c>
      <c r="E1497">
        <v>63767</v>
      </c>
      <c r="G1497" t="b">
        <v>0</v>
      </c>
      <c r="H1497" t="b">
        <v>0</v>
      </c>
      <c r="I1497" t="s">
        <v>1050</v>
      </c>
      <c r="J1497">
        <v>87</v>
      </c>
      <c r="K1497" t="s">
        <v>0</v>
      </c>
      <c r="L1497" t="s">
        <v>1167</v>
      </c>
      <c r="M1497" t="s">
        <v>1168</v>
      </c>
      <c r="N1497" t="s">
        <v>1169</v>
      </c>
      <c r="O1497" t="s">
        <v>1168</v>
      </c>
      <c r="P1497" t="s">
        <v>1283</v>
      </c>
    </row>
    <row r="1498" spans="1:16" x14ac:dyDescent="0.25">
      <c r="A1498" t="s">
        <v>3522</v>
      </c>
      <c r="B1498" t="s">
        <v>3521</v>
      </c>
      <c r="C1498" t="s">
        <v>1571</v>
      </c>
      <c r="D1498" t="s">
        <v>1027</v>
      </c>
      <c r="E1498">
        <v>63767</v>
      </c>
      <c r="G1498" t="b">
        <v>0</v>
      </c>
      <c r="H1498" t="b">
        <v>0</v>
      </c>
      <c r="I1498" t="s">
        <v>1050</v>
      </c>
      <c r="J1498">
        <v>87</v>
      </c>
      <c r="K1498" t="s">
        <v>0</v>
      </c>
      <c r="L1498" t="s">
        <v>1167</v>
      </c>
      <c r="M1498" t="s">
        <v>1168</v>
      </c>
      <c r="N1498" t="s">
        <v>1169</v>
      </c>
      <c r="O1498" t="s">
        <v>1168</v>
      </c>
      <c r="P1498" t="s">
        <v>1283</v>
      </c>
    </row>
    <row r="1499" spans="1:16" x14ac:dyDescent="0.25">
      <c r="A1499" t="s">
        <v>3523</v>
      </c>
      <c r="B1499" t="s">
        <v>3524</v>
      </c>
      <c r="C1499" t="s">
        <v>1571</v>
      </c>
      <c r="D1499" t="s">
        <v>1027</v>
      </c>
      <c r="E1499">
        <v>63767</v>
      </c>
      <c r="G1499" t="b">
        <v>0</v>
      </c>
      <c r="H1499" t="b">
        <v>0</v>
      </c>
      <c r="I1499" t="s">
        <v>1050</v>
      </c>
      <c r="J1499">
        <v>87</v>
      </c>
      <c r="K1499" t="s">
        <v>0</v>
      </c>
      <c r="L1499" t="s">
        <v>1167</v>
      </c>
      <c r="M1499" t="s">
        <v>1168</v>
      </c>
      <c r="N1499" t="s">
        <v>1169</v>
      </c>
      <c r="O1499" t="s">
        <v>1168</v>
      </c>
      <c r="P1499" t="s">
        <v>1283</v>
      </c>
    </row>
    <row r="1500" spans="1:16" x14ac:dyDescent="0.25">
      <c r="A1500" t="s">
        <v>3525</v>
      </c>
      <c r="B1500" t="s">
        <v>3526</v>
      </c>
      <c r="C1500" t="s">
        <v>1571</v>
      </c>
      <c r="D1500" t="s">
        <v>1027</v>
      </c>
      <c r="E1500">
        <v>63767</v>
      </c>
      <c r="G1500" t="b">
        <v>0</v>
      </c>
      <c r="H1500" t="b">
        <v>0</v>
      </c>
      <c r="I1500" t="s">
        <v>1050</v>
      </c>
      <c r="J1500">
        <v>87</v>
      </c>
      <c r="K1500" t="s">
        <v>0</v>
      </c>
      <c r="L1500" t="s">
        <v>1167</v>
      </c>
      <c r="M1500" t="s">
        <v>1168</v>
      </c>
      <c r="N1500" t="s">
        <v>1169</v>
      </c>
      <c r="O1500" t="s">
        <v>1168</v>
      </c>
      <c r="P1500" t="s">
        <v>1283</v>
      </c>
    </row>
    <row r="1501" spans="1:16" x14ac:dyDescent="0.25">
      <c r="A1501" t="s">
        <v>3527</v>
      </c>
      <c r="B1501" t="s">
        <v>3526</v>
      </c>
      <c r="C1501" t="s">
        <v>1571</v>
      </c>
      <c r="D1501" t="s">
        <v>1027</v>
      </c>
      <c r="E1501">
        <v>63767</v>
      </c>
      <c r="G1501" t="b">
        <v>0</v>
      </c>
      <c r="H1501" t="b">
        <v>0</v>
      </c>
      <c r="I1501" t="s">
        <v>1050</v>
      </c>
      <c r="J1501">
        <v>87</v>
      </c>
      <c r="K1501" t="s">
        <v>0</v>
      </c>
      <c r="L1501" t="s">
        <v>1167</v>
      </c>
      <c r="M1501" t="s">
        <v>1168</v>
      </c>
      <c r="N1501" t="s">
        <v>1169</v>
      </c>
      <c r="O1501" t="s">
        <v>1168</v>
      </c>
      <c r="P1501" t="s">
        <v>1283</v>
      </c>
    </row>
    <row r="1502" spans="1:16" x14ac:dyDescent="0.25">
      <c r="A1502" t="s">
        <v>3528</v>
      </c>
      <c r="B1502" t="s">
        <v>3529</v>
      </c>
      <c r="C1502" t="s">
        <v>1571</v>
      </c>
      <c r="D1502" t="s">
        <v>1027</v>
      </c>
      <c r="E1502">
        <v>63767</v>
      </c>
      <c r="G1502" t="b">
        <v>0</v>
      </c>
      <c r="H1502" t="b">
        <v>0</v>
      </c>
      <c r="I1502" t="s">
        <v>1050</v>
      </c>
      <c r="J1502">
        <v>87</v>
      </c>
      <c r="K1502" t="s">
        <v>0</v>
      </c>
      <c r="L1502" t="s">
        <v>1167</v>
      </c>
      <c r="M1502" t="s">
        <v>1168</v>
      </c>
      <c r="N1502" t="s">
        <v>1169</v>
      </c>
      <c r="O1502" t="s">
        <v>1168</v>
      </c>
      <c r="P1502" t="s">
        <v>1283</v>
      </c>
    </row>
    <row r="1503" spans="1:16" x14ac:dyDescent="0.25">
      <c r="A1503" t="s">
        <v>3530</v>
      </c>
      <c r="B1503" t="s">
        <v>3531</v>
      </c>
      <c r="C1503" t="s">
        <v>1571</v>
      </c>
      <c r="D1503" t="s">
        <v>1027</v>
      </c>
      <c r="E1503">
        <v>63767</v>
      </c>
      <c r="G1503" t="b">
        <v>0</v>
      </c>
      <c r="H1503" t="b">
        <v>0</v>
      </c>
      <c r="I1503" t="s">
        <v>1050</v>
      </c>
      <c r="J1503">
        <v>87</v>
      </c>
      <c r="K1503" t="s">
        <v>0</v>
      </c>
      <c r="L1503" t="s">
        <v>1167</v>
      </c>
      <c r="M1503" t="s">
        <v>1168</v>
      </c>
      <c r="N1503" t="s">
        <v>1169</v>
      </c>
      <c r="O1503" t="s">
        <v>1168</v>
      </c>
      <c r="P1503" t="s">
        <v>1283</v>
      </c>
    </row>
    <row r="1504" spans="1:16" x14ac:dyDescent="0.25">
      <c r="A1504" t="s">
        <v>3532</v>
      </c>
      <c r="B1504" t="s">
        <v>3531</v>
      </c>
      <c r="C1504" t="s">
        <v>1571</v>
      </c>
      <c r="D1504" t="s">
        <v>1027</v>
      </c>
      <c r="E1504">
        <v>63767</v>
      </c>
      <c r="G1504" t="b">
        <v>0</v>
      </c>
      <c r="H1504" t="b">
        <v>0</v>
      </c>
      <c r="I1504" t="s">
        <v>1050</v>
      </c>
      <c r="J1504">
        <v>87</v>
      </c>
      <c r="K1504" t="s">
        <v>0</v>
      </c>
      <c r="L1504" t="s">
        <v>1167</v>
      </c>
      <c r="M1504" t="s">
        <v>1168</v>
      </c>
      <c r="N1504" t="s">
        <v>1169</v>
      </c>
      <c r="O1504" t="s">
        <v>1168</v>
      </c>
      <c r="P1504" t="s">
        <v>1283</v>
      </c>
    </row>
    <row r="1505" spans="1:16" x14ac:dyDescent="0.25">
      <c r="A1505" t="s">
        <v>3533</v>
      </c>
      <c r="B1505" t="s">
        <v>3534</v>
      </c>
      <c r="C1505" t="s">
        <v>1571</v>
      </c>
      <c r="D1505" t="s">
        <v>1027</v>
      </c>
      <c r="E1505">
        <v>63767</v>
      </c>
      <c r="G1505" t="b">
        <v>0</v>
      </c>
      <c r="H1505" t="b">
        <v>0</v>
      </c>
      <c r="I1505" t="s">
        <v>1050</v>
      </c>
      <c r="J1505">
        <v>87</v>
      </c>
      <c r="K1505" t="s">
        <v>0</v>
      </c>
      <c r="L1505" t="s">
        <v>1167</v>
      </c>
      <c r="M1505" t="s">
        <v>1168</v>
      </c>
      <c r="N1505" t="s">
        <v>1169</v>
      </c>
      <c r="O1505" t="s">
        <v>1168</v>
      </c>
      <c r="P1505" t="s">
        <v>1283</v>
      </c>
    </row>
    <row r="1506" spans="1:16" x14ac:dyDescent="0.25">
      <c r="A1506" t="s">
        <v>3535</v>
      </c>
      <c r="B1506" t="s">
        <v>3536</v>
      </c>
      <c r="C1506" t="s">
        <v>1571</v>
      </c>
      <c r="D1506" t="s">
        <v>1027</v>
      </c>
      <c r="E1506">
        <v>63767</v>
      </c>
      <c r="G1506" t="b">
        <v>0</v>
      </c>
      <c r="H1506" t="b">
        <v>0</v>
      </c>
      <c r="I1506" t="s">
        <v>1050</v>
      </c>
      <c r="J1506">
        <v>87</v>
      </c>
      <c r="K1506" t="s">
        <v>0</v>
      </c>
      <c r="L1506" t="s">
        <v>1167</v>
      </c>
      <c r="M1506" t="s">
        <v>1168</v>
      </c>
      <c r="N1506" t="s">
        <v>1169</v>
      </c>
      <c r="O1506" t="s">
        <v>1168</v>
      </c>
      <c r="P1506" t="s">
        <v>1283</v>
      </c>
    </row>
    <row r="1507" spans="1:16" x14ac:dyDescent="0.25">
      <c r="A1507" t="s">
        <v>3537</v>
      </c>
      <c r="B1507" t="s">
        <v>3536</v>
      </c>
      <c r="C1507" t="s">
        <v>1571</v>
      </c>
      <c r="D1507" t="s">
        <v>1027</v>
      </c>
      <c r="E1507">
        <v>63767</v>
      </c>
      <c r="G1507" t="b">
        <v>0</v>
      </c>
      <c r="H1507" t="b">
        <v>0</v>
      </c>
      <c r="I1507" t="s">
        <v>1050</v>
      </c>
      <c r="J1507">
        <v>87</v>
      </c>
      <c r="K1507" t="s">
        <v>0</v>
      </c>
      <c r="L1507" t="s">
        <v>1167</v>
      </c>
      <c r="M1507" t="s">
        <v>1168</v>
      </c>
      <c r="N1507" t="s">
        <v>1169</v>
      </c>
      <c r="O1507" t="s">
        <v>1168</v>
      </c>
      <c r="P1507" t="s">
        <v>1283</v>
      </c>
    </row>
    <row r="1508" spans="1:16" x14ac:dyDescent="0.25">
      <c r="A1508" t="s">
        <v>3538</v>
      </c>
      <c r="B1508" t="s">
        <v>3539</v>
      </c>
      <c r="C1508" t="s">
        <v>1571</v>
      </c>
      <c r="D1508" t="s">
        <v>1027</v>
      </c>
      <c r="E1508">
        <v>63767</v>
      </c>
      <c r="G1508" t="b">
        <v>0</v>
      </c>
      <c r="H1508" t="b">
        <v>0</v>
      </c>
      <c r="I1508" t="s">
        <v>1050</v>
      </c>
      <c r="J1508">
        <v>87</v>
      </c>
      <c r="K1508" t="s">
        <v>0</v>
      </c>
      <c r="L1508" t="s">
        <v>1167</v>
      </c>
      <c r="M1508" t="s">
        <v>1168</v>
      </c>
      <c r="N1508" t="s">
        <v>1169</v>
      </c>
      <c r="O1508" t="s">
        <v>1168</v>
      </c>
      <c r="P1508" t="s">
        <v>1283</v>
      </c>
    </row>
    <row r="1509" spans="1:16" x14ac:dyDescent="0.25">
      <c r="A1509" t="s">
        <v>3540</v>
      </c>
      <c r="B1509" t="s">
        <v>3541</v>
      </c>
      <c r="C1509" t="s">
        <v>1571</v>
      </c>
      <c r="D1509" t="s">
        <v>1027</v>
      </c>
      <c r="E1509">
        <v>63767</v>
      </c>
      <c r="G1509" t="b">
        <v>0</v>
      </c>
      <c r="H1509" t="b">
        <v>0</v>
      </c>
      <c r="I1509" t="s">
        <v>1050</v>
      </c>
      <c r="J1509">
        <v>87</v>
      </c>
      <c r="K1509" t="s">
        <v>0</v>
      </c>
      <c r="L1509" t="s">
        <v>1167</v>
      </c>
      <c r="M1509" t="s">
        <v>1168</v>
      </c>
      <c r="N1509" t="s">
        <v>1169</v>
      </c>
      <c r="O1509" t="s">
        <v>1168</v>
      </c>
      <c r="P1509" t="s">
        <v>1283</v>
      </c>
    </row>
    <row r="1510" spans="1:16" x14ac:dyDescent="0.25">
      <c r="A1510" t="s">
        <v>3542</v>
      </c>
      <c r="B1510" t="s">
        <v>3543</v>
      </c>
      <c r="C1510" t="s">
        <v>1571</v>
      </c>
      <c r="D1510" t="s">
        <v>1027</v>
      </c>
      <c r="E1510">
        <v>63767</v>
      </c>
      <c r="G1510" t="b">
        <v>0</v>
      </c>
      <c r="H1510" t="b">
        <v>0</v>
      </c>
      <c r="I1510" t="s">
        <v>1050</v>
      </c>
      <c r="J1510">
        <v>87</v>
      </c>
      <c r="K1510" t="s">
        <v>0</v>
      </c>
      <c r="L1510" t="s">
        <v>1167</v>
      </c>
      <c r="M1510" t="s">
        <v>1168</v>
      </c>
      <c r="N1510" t="s">
        <v>1169</v>
      </c>
      <c r="O1510" t="s">
        <v>1168</v>
      </c>
      <c r="P1510" t="s">
        <v>1283</v>
      </c>
    </row>
    <row r="1511" spans="1:16" x14ac:dyDescent="0.25">
      <c r="A1511" t="s">
        <v>3544</v>
      </c>
      <c r="B1511" t="s">
        <v>3543</v>
      </c>
      <c r="C1511" t="s">
        <v>1571</v>
      </c>
      <c r="D1511" t="s">
        <v>1027</v>
      </c>
      <c r="E1511">
        <v>63767</v>
      </c>
      <c r="G1511" t="b">
        <v>0</v>
      </c>
      <c r="H1511" t="b">
        <v>0</v>
      </c>
      <c r="I1511" t="s">
        <v>1050</v>
      </c>
      <c r="J1511">
        <v>87</v>
      </c>
      <c r="K1511" t="s">
        <v>0</v>
      </c>
      <c r="L1511" t="s">
        <v>1167</v>
      </c>
      <c r="M1511" t="s">
        <v>1168</v>
      </c>
      <c r="N1511" t="s">
        <v>1169</v>
      </c>
      <c r="O1511" t="s">
        <v>1168</v>
      </c>
      <c r="P1511" t="s">
        <v>1283</v>
      </c>
    </row>
    <row r="1512" spans="1:16" x14ac:dyDescent="0.25">
      <c r="A1512" t="s">
        <v>3545</v>
      </c>
      <c r="B1512" t="s">
        <v>3543</v>
      </c>
      <c r="C1512" t="s">
        <v>1571</v>
      </c>
      <c r="D1512" t="s">
        <v>1027</v>
      </c>
      <c r="E1512">
        <v>63767</v>
      </c>
      <c r="G1512" t="b">
        <v>0</v>
      </c>
      <c r="H1512" t="b">
        <v>0</v>
      </c>
      <c r="I1512" t="s">
        <v>1050</v>
      </c>
      <c r="J1512">
        <v>87</v>
      </c>
      <c r="K1512" t="s">
        <v>0</v>
      </c>
      <c r="L1512" t="s">
        <v>1167</v>
      </c>
      <c r="M1512" t="s">
        <v>1168</v>
      </c>
      <c r="N1512" t="s">
        <v>1169</v>
      </c>
      <c r="O1512" t="s">
        <v>1168</v>
      </c>
      <c r="P1512" t="s">
        <v>1283</v>
      </c>
    </row>
    <row r="1513" spans="1:16" x14ac:dyDescent="0.25">
      <c r="A1513" t="s">
        <v>3546</v>
      </c>
      <c r="B1513" t="s">
        <v>3539</v>
      </c>
      <c r="C1513" t="s">
        <v>1571</v>
      </c>
      <c r="D1513" t="s">
        <v>1027</v>
      </c>
      <c r="E1513">
        <v>63767</v>
      </c>
      <c r="G1513" t="b">
        <v>0</v>
      </c>
      <c r="H1513" t="b">
        <v>0</v>
      </c>
      <c r="I1513" t="s">
        <v>1050</v>
      </c>
      <c r="J1513">
        <v>87</v>
      </c>
      <c r="K1513" t="s">
        <v>0</v>
      </c>
      <c r="L1513" t="s">
        <v>1167</v>
      </c>
      <c r="M1513" t="s">
        <v>1168</v>
      </c>
      <c r="N1513" t="s">
        <v>1169</v>
      </c>
      <c r="O1513" t="s">
        <v>1168</v>
      </c>
      <c r="P1513" t="s">
        <v>1283</v>
      </c>
    </row>
    <row r="1514" spans="1:16" x14ac:dyDescent="0.25">
      <c r="A1514" t="s">
        <v>3547</v>
      </c>
      <c r="B1514" t="s">
        <v>3539</v>
      </c>
      <c r="C1514" t="s">
        <v>1571</v>
      </c>
      <c r="D1514" t="s">
        <v>1027</v>
      </c>
      <c r="E1514">
        <v>63767</v>
      </c>
      <c r="G1514" t="b">
        <v>0</v>
      </c>
      <c r="H1514" t="b">
        <v>0</v>
      </c>
      <c r="I1514" t="s">
        <v>1050</v>
      </c>
      <c r="J1514">
        <v>87</v>
      </c>
      <c r="K1514" t="s">
        <v>0</v>
      </c>
      <c r="L1514" t="s">
        <v>1167</v>
      </c>
      <c r="M1514" t="s">
        <v>1168</v>
      </c>
      <c r="N1514" t="s">
        <v>1169</v>
      </c>
      <c r="O1514" t="s">
        <v>1168</v>
      </c>
      <c r="P1514" t="s">
        <v>1283</v>
      </c>
    </row>
    <row r="1515" spans="1:16" x14ac:dyDescent="0.25">
      <c r="A1515" t="s">
        <v>3548</v>
      </c>
      <c r="B1515" t="s">
        <v>3541</v>
      </c>
      <c r="C1515" t="s">
        <v>1571</v>
      </c>
      <c r="D1515" t="s">
        <v>1027</v>
      </c>
      <c r="E1515">
        <v>63767</v>
      </c>
      <c r="G1515" t="b">
        <v>0</v>
      </c>
      <c r="H1515" t="b">
        <v>0</v>
      </c>
      <c r="I1515" t="s">
        <v>1050</v>
      </c>
      <c r="J1515">
        <v>87</v>
      </c>
      <c r="K1515" t="s">
        <v>0</v>
      </c>
      <c r="L1515" t="s">
        <v>1167</v>
      </c>
      <c r="M1515" t="s">
        <v>1168</v>
      </c>
      <c r="N1515" t="s">
        <v>1169</v>
      </c>
      <c r="O1515" t="s">
        <v>1168</v>
      </c>
      <c r="P1515" t="s">
        <v>1283</v>
      </c>
    </row>
    <row r="1516" spans="1:16" x14ac:dyDescent="0.25">
      <c r="A1516" t="s">
        <v>3549</v>
      </c>
      <c r="B1516" t="s">
        <v>3550</v>
      </c>
      <c r="C1516" t="s">
        <v>1571</v>
      </c>
      <c r="D1516" t="s">
        <v>1027</v>
      </c>
      <c r="E1516">
        <v>63767</v>
      </c>
      <c r="G1516" t="b">
        <v>0</v>
      </c>
      <c r="H1516" t="b">
        <v>0</v>
      </c>
      <c r="I1516" t="s">
        <v>1050</v>
      </c>
      <c r="J1516">
        <v>87</v>
      </c>
      <c r="K1516" t="s">
        <v>0</v>
      </c>
      <c r="L1516" t="s">
        <v>1167</v>
      </c>
      <c r="M1516" t="s">
        <v>1168</v>
      </c>
      <c r="N1516" t="s">
        <v>1169</v>
      </c>
      <c r="O1516" t="s">
        <v>1168</v>
      </c>
      <c r="P1516" t="s">
        <v>1283</v>
      </c>
    </row>
    <row r="1517" spans="1:16" x14ac:dyDescent="0.25">
      <c r="A1517" t="s">
        <v>3551</v>
      </c>
      <c r="B1517" t="s">
        <v>3552</v>
      </c>
      <c r="C1517" t="s">
        <v>1571</v>
      </c>
      <c r="D1517" t="s">
        <v>1027</v>
      </c>
      <c r="E1517">
        <v>63767</v>
      </c>
      <c r="G1517" t="b">
        <v>0</v>
      </c>
      <c r="H1517" t="b">
        <v>0</v>
      </c>
      <c r="I1517" t="s">
        <v>1050</v>
      </c>
      <c r="J1517">
        <v>80</v>
      </c>
      <c r="K1517" t="s">
        <v>0</v>
      </c>
      <c r="L1517" t="s">
        <v>1167</v>
      </c>
      <c r="M1517" t="s">
        <v>1168</v>
      </c>
      <c r="N1517" t="s">
        <v>1169</v>
      </c>
      <c r="O1517" t="s">
        <v>1168</v>
      </c>
      <c r="P1517" t="s">
        <v>1283</v>
      </c>
    </row>
    <row r="1518" spans="1:16" x14ac:dyDescent="0.25">
      <c r="A1518" t="s">
        <v>3553</v>
      </c>
      <c r="B1518" t="s">
        <v>3554</v>
      </c>
      <c r="C1518" t="s">
        <v>2026</v>
      </c>
      <c r="D1518" t="s">
        <v>1027</v>
      </c>
      <c r="E1518">
        <v>1336</v>
      </c>
      <c r="F1518" t="s">
        <v>2027</v>
      </c>
      <c r="G1518" t="b">
        <v>0</v>
      </c>
      <c r="H1518" t="b">
        <v>0</v>
      </c>
      <c r="I1518" t="s">
        <v>1050</v>
      </c>
      <c r="J1518">
        <v>80</v>
      </c>
      <c r="K1518" t="s">
        <v>0</v>
      </c>
      <c r="L1518" t="s">
        <v>1167</v>
      </c>
      <c r="M1518" t="s">
        <v>1168</v>
      </c>
      <c r="N1518" t="s">
        <v>1169</v>
      </c>
      <c r="O1518" t="s">
        <v>1168</v>
      </c>
      <c r="P1518" t="s">
        <v>2028</v>
      </c>
    </row>
    <row r="1519" spans="1:16" x14ac:dyDescent="0.25">
      <c r="A1519" t="s">
        <v>3555</v>
      </c>
      <c r="B1519" t="s">
        <v>3556</v>
      </c>
      <c r="C1519" t="s">
        <v>1233</v>
      </c>
      <c r="D1519" t="s">
        <v>1027</v>
      </c>
      <c r="E1519">
        <v>63762</v>
      </c>
      <c r="F1519" t="s">
        <v>1234</v>
      </c>
      <c r="G1519" t="b">
        <v>0</v>
      </c>
      <c r="H1519" t="b">
        <v>0</v>
      </c>
      <c r="I1519" t="s">
        <v>1050</v>
      </c>
      <c r="J1519">
        <v>80</v>
      </c>
      <c r="K1519" t="s">
        <v>0</v>
      </c>
      <c r="L1519" t="s">
        <v>1167</v>
      </c>
      <c r="M1519" t="s">
        <v>1168</v>
      </c>
      <c r="N1519" t="s">
        <v>1169</v>
      </c>
      <c r="O1519" t="s">
        <v>1168</v>
      </c>
      <c r="P1519" t="s">
        <v>1235</v>
      </c>
    </row>
    <row r="1520" spans="1:16" x14ac:dyDescent="0.25">
      <c r="A1520" t="s">
        <v>3557</v>
      </c>
      <c r="B1520" t="s">
        <v>3558</v>
      </c>
      <c r="C1520" t="s">
        <v>1233</v>
      </c>
      <c r="D1520" t="s">
        <v>1027</v>
      </c>
      <c r="E1520">
        <v>63762</v>
      </c>
      <c r="F1520" t="s">
        <v>1234</v>
      </c>
      <c r="G1520" t="b">
        <v>0</v>
      </c>
      <c r="H1520" t="b">
        <v>0</v>
      </c>
      <c r="I1520" t="s">
        <v>1050</v>
      </c>
      <c r="J1520">
        <v>80</v>
      </c>
      <c r="K1520" t="s">
        <v>0</v>
      </c>
      <c r="L1520" t="s">
        <v>1167</v>
      </c>
      <c r="M1520" t="s">
        <v>1168</v>
      </c>
      <c r="N1520" t="s">
        <v>1169</v>
      </c>
      <c r="O1520" t="s">
        <v>1168</v>
      </c>
      <c r="P1520" t="s">
        <v>1235</v>
      </c>
    </row>
    <row r="1521" spans="1:16" x14ac:dyDescent="0.25">
      <c r="A1521" t="s">
        <v>3559</v>
      </c>
      <c r="B1521" t="s">
        <v>3560</v>
      </c>
      <c r="C1521" t="s">
        <v>1233</v>
      </c>
      <c r="D1521" t="s">
        <v>1027</v>
      </c>
      <c r="E1521">
        <v>63762</v>
      </c>
      <c r="F1521" t="s">
        <v>1234</v>
      </c>
      <c r="G1521" t="b">
        <v>0</v>
      </c>
      <c r="H1521" t="b">
        <v>0</v>
      </c>
      <c r="I1521" t="s">
        <v>1050</v>
      </c>
      <c r="J1521">
        <v>80</v>
      </c>
      <c r="K1521" t="s">
        <v>0</v>
      </c>
      <c r="L1521" t="s">
        <v>1167</v>
      </c>
      <c r="M1521" t="s">
        <v>1168</v>
      </c>
      <c r="N1521" t="s">
        <v>1169</v>
      </c>
      <c r="O1521" t="s">
        <v>1168</v>
      </c>
      <c r="P1521" t="s">
        <v>1235</v>
      </c>
    </row>
    <row r="1522" spans="1:16" x14ac:dyDescent="0.25">
      <c r="A1522" t="s">
        <v>3561</v>
      </c>
      <c r="B1522" t="s">
        <v>3562</v>
      </c>
      <c r="C1522" t="s">
        <v>1571</v>
      </c>
      <c r="D1522" t="s">
        <v>1027</v>
      </c>
      <c r="E1522">
        <v>63767</v>
      </c>
      <c r="G1522" t="b">
        <v>0</v>
      </c>
      <c r="H1522" t="b">
        <v>0</v>
      </c>
      <c r="I1522" t="s">
        <v>1050</v>
      </c>
      <c r="J1522">
        <v>80</v>
      </c>
      <c r="K1522" t="s">
        <v>0</v>
      </c>
      <c r="L1522" t="s">
        <v>1167</v>
      </c>
      <c r="M1522" t="s">
        <v>1168</v>
      </c>
      <c r="N1522" t="s">
        <v>1169</v>
      </c>
      <c r="O1522" t="s">
        <v>1168</v>
      </c>
      <c r="P1522" t="s">
        <v>1283</v>
      </c>
    </row>
    <row r="1523" spans="1:16" x14ac:dyDescent="0.25">
      <c r="A1523" t="s">
        <v>3563</v>
      </c>
      <c r="B1523" t="s">
        <v>3564</v>
      </c>
      <c r="C1523" t="s">
        <v>1571</v>
      </c>
      <c r="D1523" t="s">
        <v>1027</v>
      </c>
      <c r="E1523">
        <v>63767</v>
      </c>
      <c r="G1523" t="b">
        <v>0</v>
      </c>
      <c r="H1523" t="b">
        <v>0</v>
      </c>
      <c r="I1523" t="s">
        <v>1050</v>
      </c>
      <c r="J1523">
        <v>80</v>
      </c>
      <c r="K1523" t="s">
        <v>0</v>
      </c>
      <c r="L1523" t="s">
        <v>1167</v>
      </c>
      <c r="M1523" t="s">
        <v>1168</v>
      </c>
      <c r="N1523" t="s">
        <v>1169</v>
      </c>
      <c r="O1523" t="s">
        <v>1168</v>
      </c>
      <c r="P1523" t="s">
        <v>1283</v>
      </c>
    </row>
    <row r="1524" spans="1:16" x14ac:dyDescent="0.25">
      <c r="A1524" t="s">
        <v>3565</v>
      </c>
      <c r="B1524" t="s">
        <v>3566</v>
      </c>
      <c r="C1524" t="s">
        <v>1571</v>
      </c>
      <c r="D1524" t="s">
        <v>1027</v>
      </c>
      <c r="E1524">
        <v>63767</v>
      </c>
      <c r="G1524" t="b">
        <v>0</v>
      </c>
      <c r="H1524" t="b">
        <v>0</v>
      </c>
      <c r="I1524" t="s">
        <v>1050</v>
      </c>
      <c r="J1524">
        <v>80</v>
      </c>
      <c r="K1524" t="s">
        <v>0</v>
      </c>
      <c r="L1524" t="s">
        <v>1167</v>
      </c>
      <c r="M1524" t="s">
        <v>1168</v>
      </c>
      <c r="N1524" t="s">
        <v>1169</v>
      </c>
      <c r="O1524" t="s">
        <v>1168</v>
      </c>
      <c r="P1524" t="s">
        <v>1283</v>
      </c>
    </row>
    <row r="1525" spans="1:16" x14ac:dyDescent="0.25">
      <c r="A1525" t="s">
        <v>3567</v>
      </c>
      <c r="B1525" t="s">
        <v>3568</v>
      </c>
      <c r="C1525" t="s">
        <v>1571</v>
      </c>
      <c r="D1525" t="s">
        <v>1027</v>
      </c>
      <c r="E1525">
        <v>63767</v>
      </c>
      <c r="G1525" t="b">
        <v>0</v>
      </c>
      <c r="H1525" t="b">
        <v>0</v>
      </c>
      <c r="I1525" t="s">
        <v>1050</v>
      </c>
      <c r="J1525">
        <v>80</v>
      </c>
      <c r="K1525" t="s">
        <v>0</v>
      </c>
      <c r="L1525" t="s">
        <v>1167</v>
      </c>
      <c r="M1525" t="s">
        <v>1168</v>
      </c>
      <c r="N1525" t="s">
        <v>1169</v>
      </c>
      <c r="O1525" t="s">
        <v>1168</v>
      </c>
      <c r="P1525" t="s">
        <v>1283</v>
      </c>
    </row>
    <row r="1526" spans="1:16" x14ac:dyDescent="0.25">
      <c r="A1526" t="s">
        <v>3569</v>
      </c>
      <c r="B1526" t="s">
        <v>3570</v>
      </c>
      <c r="C1526" t="s">
        <v>1571</v>
      </c>
      <c r="D1526" t="s">
        <v>1027</v>
      </c>
      <c r="E1526">
        <v>63767</v>
      </c>
      <c r="G1526" t="b">
        <v>0</v>
      </c>
      <c r="H1526" t="b">
        <v>0</v>
      </c>
      <c r="I1526" t="s">
        <v>1050</v>
      </c>
      <c r="J1526">
        <v>80</v>
      </c>
      <c r="K1526" t="s">
        <v>0</v>
      </c>
      <c r="L1526" t="s">
        <v>1167</v>
      </c>
      <c r="M1526" t="s">
        <v>1168</v>
      </c>
      <c r="N1526" t="s">
        <v>1169</v>
      </c>
      <c r="O1526" t="s">
        <v>1168</v>
      </c>
      <c r="P1526" t="s">
        <v>1283</v>
      </c>
    </row>
    <row r="1527" spans="1:16" x14ac:dyDescent="0.25">
      <c r="A1527" t="s">
        <v>3571</v>
      </c>
      <c r="B1527" t="s">
        <v>3572</v>
      </c>
      <c r="C1527" t="s">
        <v>1571</v>
      </c>
      <c r="D1527" t="s">
        <v>1027</v>
      </c>
      <c r="E1527">
        <v>63767</v>
      </c>
      <c r="G1527" t="b">
        <v>0</v>
      </c>
      <c r="H1527" t="b">
        <v>0</v>
      </c>
      <c r="I1527" t="s">
        <v>1050</v>
      </c>
      <c r="J1527">
        <v>80</v>
      </c>
      <c r="K1527" t="s">
        <v>0</v>
      </c>
      <c r="L1527" t="s">
        <v>1167</v>
      </c>
      <c r="M1527" t="s">
        <v>1168</v>
      </c>
      <c r="N1527" t="s">
        <v>1169</v>
      </c>
      <c r="O1527" t="s">
        <v>1168</v>
      </c>
      <c r="P1527" t="s">
        <v>1283</v>
      </c>
    </row>
    <row r="1528" spans="1:16" x14ac:dyDescent="0.25">
      <c r="A1528" t="s">
        <v>3573</v>
      </c>
      <c r="B1528" t="s">
        <v>3574</v>
      </c>
      <c r="C1528" t="s">
        <v>1571</v>
      </c>
      <c r="D1528" t="s">
        <v>1027</v>
      </c>
      <c r="E1528">
        <v>63767</v>
      </c>
      <c r="G1528" t="b">
        <v>0</v>
      </c>
      <c r="H1528" t="b">
        <v>0</v>
      </c>
      <c r="I1528" t="s">
        <v>1050</v>
      </c>
      <c r="J1528">
        <v>80</v>
      </c>
      <c r="K1528" t="s">
        <v>0</v>
      </c>
      <c r="L1528" t="s">
        <v>1167</v>
      </c>
      <c r="M1528" t="s">
        <v>1168</v>
      </c>
      <c r="N1528" t="s">
        <v>1169</v>
      </c>
      <c r="O1528" t="s">
        <v>1168</v>
      </c>
      <c r="P1528" t="s">
        <v>1283</v>
      </c>
    </row>
    <row r="1529" spans="1:16" x14ac:dyDescent="0.25">
      <c r="A1529" t="s">
        <v>3575</v>
      </c>
      <c r="B1529" t="s">
        <v>3576</v>
      </c>
      <c r="C1529" t="s">
        <v>1571</v>
      </c>
      <c r="D1529" t="s">
        <v>1027</v>
      </c>
      <c r="E1529">
        <v>63767</v>
      </c>
      <c r="G1529" t="b">
        <v>0</v>
      </c>
      <c r="H1529" t="b">
        <v>0</v>
      </c>
      <c r="I1529" t="s">
        <v>1050</v>
      </c>
      <c r="J1529">
        <v>80</v>
      </c>
      <c r="K1529" t="s">
        <v>0</v>
      </c>
      <c r="L1529" t="s">
        <v>1167</v>
      </c>
      <c r="M1529" t="s">
        <v>1168</v>
      </c>
      <c r="N1529" t="s">
        <v>1169</v>
      </c>
      <c r="O1529" t="s">
        <v>1168</v>
      </c>
      <c r="P1529" t="s">
        <v>1283</v>
      </c>
    </row>
    <row r="1530" spans="1:16" x14ac:dyDescent="0.25">
      <c r="A1530" t="s">
        <v>3577</v>
      </c>
      <c r="B1530" t="s">
        <v>3578</v>
      </c>
      <c r="C1530" t="s">
        <v>1571</v>
      </c>
      <c r="D1530" t="s">
        <v>1027</v>
      </c>
      <c r="E1530">
        <v>63767</v>
      </c>
      <c r="G1530" t="b">
        <v>0</v>
      </c>
      <c r="H1530" t="b">
        <v>0</v>
      </c>
      <c r="I1530" t="s">
        <v>1050</v>
      </c>
      <c r="J1530">
        <v>80</v>
      </c>
      <c r="K1530" t="s">
        <v>0</v>
      </c>
      <c r="L1530" t="s">
        <v>1167</v>
      </c>
      <c r="M1530" t="s">
        <v>1168</v>
      </c>
      <c r="N1530" t="s">
        <v>1169</v>
      </c>
      <c r="O1530" t="s">
        <v>1168</v>
      </c>
      <c r="P1530" t="s">
        <v>1283</v>
      </c>
    </row>
    <row r="1531" spans="1:16" x14ac:dyDescent="0.25">
      <c r="A1531" t="s">
        <v>3579</v>
      </c>
      <c r="B1531" t="s">
        <v>3580</v>
      </c>
      <c r="C1531" t="s">
        <v>1571</v>
      </c>
      <c r="D1531" t="s">
        <v>1027</v>
      </c>
      <c r="E1531">
        <v>63767</v>
      </c>
      <c r="G1531" t="b">
        <v>0</v>
      </c>
      <c r="H1531" t="b">
        <v>0</v>
      </c>
      <c r="I1531" t="s">
        <v>1050</v>
      </c>
      <c r="J1531">
        <v>80</v>
      </c>
      <c r="K1531" t="s">
        <v>0</v>
      </c>
      <c r="L1531" t="s">
        <v>1167</v>
      </c>
      <c r="M1531" t="s">
        <v>1168</v>
      </c>
      <c r="N1531" t="s">
        <v>1169</v>
      </c>
      <c r="O1531" t="s">
        <v>1168</v>
      </c>
      <c r="P1531" t="s">
        <v>1283</v>
      </c>
    </row>
    <row r="1532" spans="1:16" x14ac:dyDescent="0.25">
      <c r="A1532" t="s">
        <v>3581</v>
      </c>
      <c r="B1532" t="s">
        <v>3582</v>
      </c>
      <c r="C1532" t="s">
        <v>1571</v>
      </c>
      <c r="D1532" t="s">
        <v>1027</v>
      </c>
      <c r="E1532">
        <v>63767</v>
      </c>
      <c r="G1532" t="b">
        <v>0</v>
      </c>
      <c r="H1532" t="b">
        <v>0</v>
      </c>
      <c r="I1532" t="s">
        <v>1050</v>
      </c>
      <c r="J1532">
        <v>80</v>
      </c>
      <c r="K1532" t="s">
        <v>0</v>
      </c>
      <c r="L1532" t="s">
        <v>1167</v>
      </c>
      <c r="M1532" t="s">
        <v>1168</v>
      </c>
      <c r="N1532" t="s">
        <v>1169</v>
      </c>
      <c r="O1532" t="s">
        <v>1168</v>
      </c>
      <c r="P1532" t="s">
        <v>1283</v>
      </c>
    </row>
    <row r="1533" spans="1:16" x14ac:dyDescent="0.25">
      <c r="A1533" t="s">
        <v>3583</v>
      </c>
      <c r="B1533" t="s">
        <v>3584</v>
      </c>
      <c r="C1533" t="s">
        <v>1571</v>
      </c>
      <c r="D1533" t="s">
        <v>1027</v>
      </c>
      <c r="E1533">
        <v>63767</v>
      </c>
      <c r="G1533" t="b">
        <v>0</v>
      </c>
      <c r="H1533" t="b">
        <v>0</v>
      </c>
      <c r="I1533" t="s">
        <v>1050</v>
      </c>
      <c r="J1533">
        <v>80</v>
      </c>
      <c r="K1533" t="s">
        <v>0</v>
      </c>
      <c r="L1533" t="s">
        <v>1167</v>
      </c>
      <c r="M1533" t="s">
        <v>1168</v>
      </c>
      <c r="N1533" t="s">
        <v>1169</v>
      </c>
      <c r="O1533" t="s">
        <v>1168</v>
      </c>
      <c r="P1533" t="s">
        <v>1283</v>
      </c>
    </row>
    <row r="1534" spans="1:16" x14ac:dyDescent="0.25">
      <c r="A1534" t="s">
        <v>3585</v>
      </c>
      <c r="B1534" t="s">
        <v>3586</v>
      </c>
      <c r="C1534" t="s">
        <v>1571</v>
      </c>
      <c r="D1534" t="s">
        <v>1027</v>
      </c>
      <c r="E1534">
        <v>63767</v>
      </c>
      <c r="G1534" t="b">
        <v>0</v>
      </c>
      <c r="H1534" t="b">
        <v>0</v>
      </c>
      <c r="I1534" t="s">
        <v>1050</v>
      </c>
      <c r="J1534">
        <v>80</v>
      </c>
      <c r="K1534" t="s">
        <v>0</v>
      </c>
      <c r="L1534" t="s">
        <v>1167</v>
      </c>
      <c r="M1534" t="s">
        <v>1168</v>
      </c>
      <c r="N1534" t="s">
        <v>1169</v>
      </c>
      <c r="O1534" t="s">
        <v>1168</v>
      </c>
      <c r="P1534" t="s">
        <v>1283</v>
      </c>
    </row>
    <row r="1535" spans="1:16" x14ac:dyDescent="0.25">
      <c r="A1535" t="s">
        <v>3587</v>
      </c>
      <c r="B1535" t="s">
        <v>3588</v>
      </c>
      <c r="C1535" t="s">
        <v>1165</v>
      </c>
      <c r="D1535" t="s">
        <v>1027</v>
      </c>
      <c r="E1535">
        <v>63774</v>
      </c>
      <c r="F1535" t="s">
        <v>1166</v>
      </c>
      <c r="G1535" t="b">
        <v>0</v>
      </c>
      <c r="H1535" t="b">
        <v>0</v>
      </c>
      <c r="I1535" t="s">
        <v>1050</v>
      </c>
      <c r="J1535">
        <v>87</v>
      </c>
      <c r="K1535" t="s">
        <v>1</v>
      </c>
      <c r="L1535" t="s">
        <v>1167</v>
      </c>
      <c r="M1535" t="s">
        <v>1168</v>
      </c>
      <c r="N1535" t="s">
        <v>1169</v>
      </c>
      <c r="O1535" t="s">
        <v>1168</v>
      </c>
      <c r="P1535" t="s">
        <v>1170</v>
      </c>
    </row>
    <row r="1536" spans="1:16" x14ac:dyDescent="0.25">
      <c r="A1536" t="s">
        <v>3589</v>
      </c>
      <c r="B1536" t="s">
        <v>3588</v>
      </c>
      <c r="C1536" t="s">
        <v>1165</v>
      </c>
      <c r="D1536" t="s">
        <v>1027</v>
      </c>
      <c r="E1536">
        <v>63774</v>
      </c>
      <c r="F1536" t="s">
        <v>1166</v>
      </c>
      <c r="G1536" t="b">
        <v>0</v>
      </c>
      <c r="H1536" t="b">
        <v>0</v>
      </c>
      <c r="I1536" t="s">
        <v>1050</v>
      </c>
      <c r="J1536">
        <v>87</v>
      </c>
      <c r="K1536" t="s">
        <v>1</v>
      </c>
      <c r="L1536" t="s">
        <v>1167</v>
      </c>
      <c r="M1536" t="s">
        <v>1168</v>
      </c>
      <c r="N1536" t="s">
        <v>1169</v>
      </c>
      <c r="O1536" t="s">
        <v>1168</v>
      </c>
      <c r="P1536" t="s">
        <v>1170</v>
      </c>
    </row>
    <row r="1537" spans="1:16" x14ac:dyDescent="0.25">
      <c r="A1537" t="s">
        <v>3590</v>
      </c>
      <c r="B1537" t="s">
        <v>3591</v>
      </c>
      <c r="C1537" t="s">
        <v>1233</v>
      </c>
      <c r="D1537" t="s">
        <v>1027</v>
      </c>
      <c r="E1537">
        <v>63762</v>
      </c>
      <c r="F1537" t="s">
        <v>1234</v>
      </c>
      <c r="G1537" t="b">
        <v>0</v>
      </c>
      <c r="H1537" t="b">
        <v>0</v>
      </c>
      <c r="I1537" t="s">
        <v>1050</v>
      </c>
      <c r="J1537">
        <v>88</v>
      </c>
      <c r="K1537" t="s">
        <v>0</v>
      </c>
      <c r="L1537" t="s">
        <v>1167</v>
      </c>
      <c r="M1537" t="s">
        <v>1168</v>
      </c>
      <c r="N1537" t="s">
        <v>1169</v>
      </c>
      <c r="O1537" t="s">
        <v>1168</v>
      </c>
      <c r="P1537" t="s">
        <v>1235</v>
      </c>
    </row>
    <row r="1538" spans="1:16" x14ac:dyDescent="0.25">
      <c r="A1538" t="s">
        <v>3592</v>
      </c>
      <c r="B1538" t="s">
        <v>3593</v>
      </c>
      <c r="C1538" t="s">
        <v>1233</v>
      </c>
      <c r="D1538" t="s">
        <v>1027</v>
      </c>
      <c r="E1538">
        <v>63762</v>
      </c>
      <c r="F1538" t="s">
        <v>1234</v>
      </c>
      <c r="G1538" t="b">
        <v>0</v>
      </c>
      <c r="H1538" t="b">
        <v>0</v>
      </c>
      <c r="I1538" t="s">
        <v>1050</v>
      </c>
      <c r="J1538">
        <v>91</v>
      </c>
      <c r="K1538" t="s">
        <v>0</v>
      </c>
      <c r="L1538" t="s">
        <v>1167</v>
      </c>
      <c r="M1538" t="s">
        <v>1168</v>
      </c>
      <c r="N1538" t="s">
        <v>1169</v>
      </c>
      <c r="O1538" t="s">
        <v>1168</v>
      </c>
      <c r="P1538" t="s">
        <v>1235</v>
      </c>
    </row>
    <row r="1539" spans="1:16" x14ac:dyDescent="0.25">
      <c r="A1539" t="s">
        <v>3594</v>
      </c>
      <c r="B1539" t="s">
        <v>3595</v>
      </c>
      <c r="C1539" t="s">
        <v>1233</v>
      </c>
      <c r="D1539" t="s">
        <v>1027</v>
      </c>
      <c r="E1539">
        <v>63762</v>
      </c>
      <c r="F1539" t="s">
        <v>1234</v>
      </c>
      <c r="G1539" t="b">
        <v>0</v>
      </c>
      <c r="H1539" t="b">
        <v>0</v>
      </c>
      <c r="I1539" t="s">
        <v>1050</v>
      </c>
      <c r="J1539">
        <v>91</v>
      </c>
      <c r="K1539" t="s">
        <v>0</v>
      </c>
      <c r="L1539" t="s">
        <v>1167</v>
      </c>
      <c r="M1539" t="s">
        <v>1168</v>
      </c>
      <c r="N1539" t="s">
        <v>1169</v>
      </c>
      <c r="O1539" t="s">
        <v>1168</v>
      </c>
      <c r="P1539" t="s">
        <v>1235</v>
      </c>
    </row>
    <row r="1540" spans="1:16" x14ac:dyDescent="0.25">
      <c r="A1540" t="s">
        <v>3596</v>
      </c>
      <c r="B1540" t="s">
        <v>3597</v>
      </c>
      <c r="C1540" t="s">
        <v>1233</v>
      </c>
      <c r="D1540" t="s">
        <v>1027</v>
      </c>
      <c r="E1540">
        <v>63762</v>
      </c>
      <c r="F1540" t="s">
        <v>1234</v>
      </c>
      <c r="G1540" t="b">
        <v>0</v>
      </c>
      <c r="H1540" t="b">
        <v>0</v>
      </c>
      <c r="I1540" t="s">
        <v>1050</v>
      </c>
      <c r="J1540">
        <v>91</v>
      </c>
      <c r="K1540" t="s">
        <v>0</v>
      </c>
      <c r="L1540" t="s">
        <v>1167</v>
      </c>
      <c r="M1540" t="s">
        <v>1168</v>
      </c>
      <c r="N1540" t="s">
        <v>1169</v>
      </c>
      <c r="O1540" t="s">
        <v>1168</v>
      </c>
      <c r="P1540" t="s">
        <v>1235</v>
      </c>
    </row>
    <row r="1541" spans="1:16" x14ac:dyDescent="0.25">
      <c r="A1541" t="s">
        <v>3598</v>
      </c>
      <c r="B1541" t="s">
        <v>3599</v>
      </c>
      <c r="C1541" t="s">
        <v>1233</v>
      </c>
      <c r="D1541" t="s">
        <v>1027</v>
      </c>
      <c r="E1541">
        <v>63762</v>
      </c>
      <c r="F1541" t="s">
        <v>1234</v>
      </c>
      <c r="G1541" t="b">
        <v>0</v>
      </c>
      <c r="H1541" t="b">
        <v>0</v>
      </c>
      <c r="I1541" t="s">
        <v>1050</v>
      </c>
      <c r="J1541">
        <v>88</v>
      </c>
      <c r="K1541" t="s">
        <v>0</v>
      </c>
      <c r="L1541" t="s">
        <v>1167</v>
      </c>
      <c r="M1541" t="s">
        <v>1168</v>
      </c>
      <c r="N1541" t="s">
        <v>1169</v>
      </c>
      <c r="O1541" t="s">
        <v>1168</v>
      </c>
      <c r="P1541" t="s">
        <v>1235</v>
      </c>
    </row>
    <row r="1542" spans="1:16" x14ac:dyDescent="0.25">
      <c r="A1542" t="s">
        <v>3600</v>
      </c>
      <c r="B1542" t="s">
        <v>3601</v>
      </c>
      <c r="C1542" t="s">
        <v>1233</v>
      </c>
      <c r="D1542" t="s">
        <v>1027</v>
      </c>
      <c r="E1542">
        <v>63762</v>
      </c>
      <c r="F1542" t="s">
        <v>1234</v>
      </c>
      <c r="G1542" t="b">
        <v>0</v>
      </c>
      <c r="H1542" t="b">
        <v>0</v>
      </c>
      <c r="I1542" t="s">
        <v>1050</v>
      </c>
      <c r="J1542">
        <v>88</v>
      </c>
      <c r="K1542" t="s">
        <v>0</v>
      </c>
      <c r="L1542" t="s">
        <v>1167</v>
      </c>
      <c r="M1542" t="s">
        <v>1168</v>
      </c>
      <c r="N1542" t="s">
        <v>1169</v>
      </c>
      <c r="O1542" t="s">
        <v>1168</v>
      </c>
      <c r="P1542" t="s">
        <v>1235</v>
      </c>
    </row>
    <row r="1543" spans="1:16" x14ac:dyDescent="0.25">
      <c r="A1543" t="s">
        <v>3602</v>
      </c>
      <c r="B1543" t="s">
        <v>3603</v>
      </c>
      <c r="C1543" t="s">
        <v>1233</v>
      </c>
      <c r="D1543" t="s">
        <v>1027</v>
      </c>
      <c r="E1543">
        <v>63762</v>
      </c>
      <c r="F1543" t="s">
        <v>1234</v>
      </c>
      <c r="G1543" t="b">
        <v>0</v>
      </c>
      <c r="H1543" t="b">
        <v>0</v>
      </c>
      <c r="I1543" t="s">
        <v>1050</v>
      </c>
      <c r="J1543">
        <v>88</v>
      </c>
      <c r="K1543" t="s">
        <v>0</v>
      </c>
      <c r="L1543" t="s">
        <v>1167</v>
      </c>
      <c r="M1543" t="s">
        <v>1168</v>
      </c>
      <c r="N1543" t="s">
        <v>1169</v>
      </c>
      <c r="O1543" t="s">
        <v>1168</v>
      </c>
      <c r="P1543" t="s">
        <v>1235</v>
      </c>
    </row>
    <row r="1544" spans="1:16" x14ac:dyDescent="0.25">
      <c r="A1544" t="s">
        <v>3604</v>
      </c>
      <c r="B1544" t="s">
        <v>3605</v>
      </c>
      <c r="C1544" t="s">
        <v>1233</v>
      </c>
      <c r="D1544" t="s">
        <v>1027</v>
      </c>
      <c r="E1544">
        <v>63762</v>
      </c>
      <c r="F1544" t="s">
        <v>1234</v>
      </c>
      <c r="G1544" t="b">
        <v>0</v>
      </c>
      <c r="H1544" t="b">
        <v>0</v>
      </c>
      <c r="I1544" t="s">
        <v>1050</v>
      </c>
      <c r="J1544">
        <v>88</v>
      </c>
      <c r="K1544" t="s">
        <v>0</v>
      </c>
      <c r="L1544" t="s">
        <v>1167</v>
      </c>
      <c r="M1544" t="s">
        <v>1168</v>
      </c>
      <c r="N1544" t="s">
        <v>1169</v>
      </c>
      <c r="O1544" t="s">
        <v>1168</v>
      </c>
      <c r="P1544" t="s">
        <v>1235</v>
      </c>
    </row>
    <row r="1545" spans="1:16" x14ac:dyDescent="0.25">
      <c r="A1545" t="s">
        <v>3606</v>
      </c>
      <c r="B1545" t="s">
        <v>3607</v>
      </c>
      <c r="C1545" t="s">
        <v>1233</v>
      </c>
      <c r="D1545" t="s">
        <v>1027</v>
      </c>
      <c r="E1545">
        <v>63762</v>
      </c>
      <c r="F1545" t="s">
        <v>1234</v>
      </c>
      <c r="G1545" t="b">
        <v>0</v>
      </c>
      <c r="H1545" t="b">
        <v>0</v>
      </c>
      <c r="I1545" t="s">
        <v>1050</v>
      </c>
      <c r="J1545">
        <v>88</v>
      </c>
      <c r="K1545" t="s">
        <v>0</v>
      </c>
      <c r="L1545" t="s">
        <v>1167</v>
      </c>
      <c r="M1545" t="s">
        <v>1168</v>
      </c>
      <c r="N1545" t="s">
        <v>1169</v>
      </c>
      <c r="O1545" t="s">
        <v>1168</v>
      </c>
      <c r="P1545" t="s">
        <v>1235</v>
      </c>
    </row>
    <row r="1546" spans="1:16" x14ac:dyDescent="0.25">
      <c r="A1546" t="s">
        <v>3608</v>
      </c>
      <c r="B1546" t="s">
        <v>3609</v>
      </c>
      <c r="C1546" t="s">
        <v>1233</v>
      </c>
      <c r="D1546" t="s">
        <v>1027</v>
      </c>
      <c r="E1546">
        <v>63762</v>
      </c>
      <c r="F1546" t="s">
        <v>1234</v>
      </c>
      <c r="G1546" t="b">
        <v>0</v>
      </c>
      <c r="H1546" t="b">
        <v>0</v>
      </c>
      <c r="I1546" t="s">
        <v>1050</v>
      </c>
      <c r="J1546">
        <v>88</v>
      </c>
      <c r="K1546" t="s">
        <v>0</v>
      </c>
      <c r="L1546" t="s">
        <v>1167</v>
      </c>
      <c r="M1546" t="s">
        <v>1168</v>
      </c>
      <c r="N1546" t="s">
        <v>1169</v>
      </c>
      <c r="O1546" t="s">
        <v>1168</v>
      </c>
      <c r="P1546" t="s">
        <v>1235</v>
      </c>
    </row>
    <row r="1547" spans="1:16" x14ac:dyDescent="0.25">
      <c r="A1547" t="s">
        <v>3610</v>
      </c>
      <c r="B1547" t="s">
        <v>3611</v>
      </c>
      <c r="C1547" t="s">
        <v>1233</v>
      </c>
      <c r="D1547" t="s">
        <v>1027</v>
      </c>
      <c r="E1547">
        <v>63762</v>
      </c>
      <c r="F1547" t="s">
        <v>1234</v>
      </c>
      <c r="G1547" t="b">
        <v>0</v>
      </c>
      <c r="H1547" t="b">
        <v>0</v>
      </c>
      <c r="I1547" t="s">
        <v>1050</v>
      </c>
      <c r="J1547">
        <v>88</v>
      </c>
      <c r="K1547" t="s">
        <v>0</v>
      </c>
      <c r="L1547" t="s">
        <v>1167</v>
      </c>
      <c r="M1547" t="s">
        <v>1168</v>
      </c>
      <c r="N1547" t="s">
        <v>1169</v>
      </c>
      <c r="O1547" t="s">
        <v>1168</v>
      </c>
      <c r="P1547" t="s">
        <v>1235</v>
      </c>
    </row>
    <row r="1548" spans="1:16" x14ac:dyDescent="0.25">
      <c r="A1548" t="s">
        <v>3612</v>
      </c>
      <c r="B1548" t="s">
        <v>3613</v>
      </c>
      <c r="C1548" t="s">
        <v>1233</v>
      </c>
      <c r="D1548" t="s">
        <v>1027</v>
      </c>
      <c r="E1548">
        <v>63762</v>
      </c>
      <c r="F1548" t="s">
        <v>1234</v>
      </c>
      <c r="G1548" t="b">
        <v>0</v>
      </c>
      <c r="H1548" t="b">
        <v>0</v>
      </c>
      <c r="I1548" t="s">
        <v>1050</v>
      </c>
      <c r="J1548">
        <v>88</v>
      </c>
      <c r="K1548" t="s">
        <v>0</v>
      </c>
      <c r="L1548" t="s">
        <v>1167</v>
      </c>
      <c r="M1548" t="s">
        <v>1168</v>
      </c>
      <c r="N1548" t="s">
        <v>1169</v>
      </c>
      <c r="O1548" t="s">
        <v>1168</v>
      </c>
      <c r="P1548" t="s">
        <v>1235</v>
      </c>
    </row>
    <row r="1549" spans="1:16" x14ac:dyDescent="0.25">
      <c r="A1549" t="s">
        <v>3614</v>
      </c>
      <c r="B1549" t="s">
        <v>3615</v>
      </c>
      <c r="C1549" t="s">
        <v>1233</v>
      </c>
      <c r="D1549" t="s">
        <v>1027</v>
      </c>
      <c r="E1549">
        <v>63762</v>
      </c>
      <c r="F1549" t="s">
        <v>1234</v>
      </c>
      <c r="G1549" t="b">
        <v>0</v>
      </c>
      <c r="H1549" t="b">
        <v>0</v>
      </c>
      <c r="I1549" t="s">
        <v>1050</v>
      </c>
      <c r="J1549">
        <v>88</v>
      </c>
      <c r="K1549" t="s">
        <v>0</v>
      </c>
      <c r="L1549" t="s">
        <v>1167</v>
      </c>
      <c r="M1549" t="s">
        <v>1168</v>
      </c>
      <c r="N1549" t="s">
        <v>1169</v>
      </c>
      <c r="O1549" t="s">
        <v>1168</v>
      </c>
      <c r="P1549" t="s">
        <v>1235</v>
      </c>
    </row>
    <row r="1550" spans="1:16" x14ac:dyDescent="0.25">
      <c r="A1550" t="s">
        <v>3616</v>
      </c>
      <c r="B1550" t="s">
        <v>3617</v>
      </c>
      <c r="C1550" t="s">
        <v>1233</v>
      </c>
      <c r="D1550" t="s">
        <v>1027</v>
      </c>
      <c r="E1550">
        <v>63762</v>
      </c>
      <c r="F1550" t="s">
        <v>1234</v>
      </c>
      <c r="G1550" t="b">
        <v>0</v>
      </c>
      <c r="H1550" t="b">
        <v>0</v>
      </c>
      <c r="I1550" t="s">
        <v>1050</v>
      </c>
      <c r="J1550">
        <v>88</v>
      </c>
      <c r="K1550" t="s">
        <v>0</v>
      </c>
      <c r="L1550" t="s">
        <v>1167</v>
      </c>
      <c r="M1550" t="s">
        <v>1168</v>
      </c>
      <c r="N1550" t="s">
        <v>1169</v>
      </c>
      <c r="O1550" t="s">
        <v>1168</v>
      </c>
      <c r="P1550" t="s">
        <v>1235</v>
      </c>
    </row>
    <row r="1551" spans="1:16" x14ac:dyDescent="0.25">
      <c r="A1551" t="s">
        <v>3618</v>
      </c>
      <c r="B1551" t="s">
        <v>3619</v>
      </c>
      <c r="C1551" t="s">
        <v>1233</v>
      </c>
      <c r="D1551" t="s">
        <v>1027</v>
      </c>
      <c r="E1551">
        <v>63762</v>
      </c>
      <c r="F1551" t="s">
        <v>1234</v>
      </c>
      <c r="G1551" t="b">
        <v>0</v>
      </c>
      <c r="H1551" t="b">
        <v>0</v>
      </c>
      <c r="I1551" t="s">
        <v>1050</v>
      </c>
      <c r="J1551">
        <v>88</v>
      </c>
      <c r="K1551" t="s">
        <v>0</v>
      </c>
      <c r="L1551" t="s">
        <v>1167</v>
      </c>
      <c r="M1551" t="s">
        <v>1168</v>
      </c>
      <c r="N1551" t="s">
        <v>1169</v>
      </c>
      <c r="O1551" t="s">
        <v>1168</v>
      </c>
      <c r="P1551" t="s">
        <v>1235</v>
      </c>
    </row>
    <row r="1552" spans="1:16" x14ac:dyDescent="0.25">
      <c r="A1552" t="s">
        <v>3620</v>
      </c>
      <c r="B1552" t="s">
        <v>3621</v>
      </c>
      <c r="C1552" t="s">
        <v>1233</v>
      </c>
      <c r="D1552" t="s">
        <v>1027</v>
      </c>
      <c r="E1552">
        <v>63762</v>
      </c>
      <c r="F1552" t="s">
        <v>1234</v>
      </c>
      <c r="G1552" t="b">
        <v>0</v>
      </c>
      <c r="H1552" t="b">
        <v>0</v>
      </c>
      <c r="I1552" t="s">
        <v>1050</v>
      </c>
      <c r="J1552">
        <v>88</v>
      </c>
      <c r="K1552" t="s">
        <v>0</v>
      </c>
      <c r="L1552" t="s">
        <v>1167</v>
      </c>
      <c r="M1552" t="s">
        <v>1168</v>
      </c>
      <c r="N1552" t="s">
        <v>1169</v>
      </c>
      <c r="O1552" t="s">
        <v>1168</v>
      </c>
      <c r="P1552" t="s">
        <v>1235</v>
      </c>
    </row>
    <row r="1553" spans="1:16" x14ac:dyDescent="0.25">
      <c r="A1553" t="s">
        <v>3622</v>
      </c>
      <c r="B1553" t="s">
        <v>3623</v>
      </c>
      <c r="C1553" t="s">
        <v>1233</v>
      </c>
      <c r="D1553" t="s">
        <v>1027</v>
      </c>
      <c r="E1553">
        <v>63762</v>
      </c>
      <c r="F1553" t="s">
        <v>1234</v>
      </c>
      <c r="G1553" t="b">
        <v>0</v>
      </c>
      <c r="H1553" t="b">
        <v>0</v>
      </c>
      <c r="I1553" t="s">
        <v>1050</v>
      </c>
      <c r="J1553">
        <v>88</v>
      </c>
      <c r="K1553" t="s">
        <v>0</v>
      </c>
      <c r="L1553" t="s">
        <v>1167</v>
      </c>
      <c r="M1553" t="s">
        <v>1168</v>
      </c>
      <c r="N1553" t="s">
        <v>1169</v>
      </c>
      <c r="O1553" t="s">
        <v>1168</v>
      </c>
      <c r="P1553" t="s">
        <v>1235</v>
      </c>
    </row>
    <row r="1554" spans="1:16" x14ac:dyDescent="0.25">
      <c r="A1554" t="s">
        <v>3624</v>
      </c>
      <c r="B1554" t="s">
        <v>3625</v>
      </c>
      <c r="C1554" t="s">
        <v>1233</v>
      </c>
      <c r="D1554" t="s">
        <v>1027</v>
      </c>
      <c r="E1554">
        <v>63762</v>
      </c>
      <c r="F1554" t="s">
        <v>1234</v>
      </c>
      <c r="G1554" t="b">
        <v>0</v>
      </c>
      <c r="H1554" t="b">
        <v>0</v>
      </c>
      <c r="I1554" t="s">
        <v>1050</v>
      </c>
      <c r="J1554">
        <v>88</v>
      </c>
      <c r="K1554" t="s">
        <v>0</v>
      </c>
      <c r="L1554" t="s">
        <v>1167</v>
      </c>
      <c r="M1554" t="s">
        <v>1168</v>
      </c>
      <c r="N1554" t="s">
        <v>1169</v>
      </c>
      <c r="O1554" t="s">
        <v>1168</v>
      </c>
      <c r="P1554" t="s">
        <v>1235</v>
      </c>
    </row>
    <row r="1555" spans="1:16" x14ac:dyDescent="0.25">
      <c r="A1555" t="s">
        <v>3626</v>
      </c>
      <c r="B1555" t="s">
        <v>3627</v>
      </c>
      <c r="C1555" t="s">
        <v>1233</v>
      </c>
      <c r="D1555" t="s">
        <v>1027</v>
      </c>
      <c r="E1555">
        <v>63762</v>
      </c>
      <c r="F1555" t="s">
        <v>1234</v>
      </c>
      <c r="G1555" t="b">
        <v>0</v>
      </c>
      <c r="H1555" t="b">
        <v>0</v>
      </c>
      <c r="I1555" t="s">
        <v>1050</v>
      </c>
      <c r="J1555">
        <v>88</v>
      </c>
      <c r="K1555" t="s">
        <v>0</v>
      </c>
      <c r="L1555" t="s">
        <v>1167</v>
      </c>
      <c r="M1555" t="s">
        <v>1168</v>
      </c>
      <c r="N1555" t="s">
        <v>1169</v>
      </c>
      <c r="O1555" t="s">
        <v>1168</v>
      </c>
      <c r="P1555" t="s">
        <v>1235</v>
      </c>
    </row>
    <row r="1556" spans="1:16" x14ac:dyDescent="0.25">
      <c r="A1556" t="s">
        <v>3628</v>
      </c>
      <c r="B1556" t="s">
        <v>3629</v>
      </c>
      <c r="C1556" t="s">
        <v>1233</v>
      </c>
      <c r="D1556" t="s">
        <v>1027</v>
      </c>
      <c r="E1556">
        <v>63762</v>
      </c>
      <c r="F1556" t="s">
        <v>1234</v>
      </c>
      <c r="G1556" t="b">
        <v>0</v>
      </c>
      <c r="H1556" t="b">
        <v>0</v>
      </c>
      <c r="I1556" t="s">
        <v>1050</v>
      </c>
      <c r="J1556">
        <v>88</v>
      </c>
      <c r="K1556" t="s">
        <v>0</v>
      </c>
      <c r="L1556" t="s">
        <v>1167</v>
      </c>
      <c r="M1556" t="s">
        <v>1168</v>
      </c>
      <c r="N1556" t="s">
        <v>1169</v>
      </c>
      <c r="O1556" t="s">
        <v>1168</v>
      </c>
      <c r="P1556" t="s">
        <v>1235</v>
      </c>
    </row>
    <row r="1557" spans="1:16" x14ac:dyDescent="0.25">
      <c r="A1557" t="s">
        <v>3630</v>
      </c>
      <c r="B1557" t="s">
        <v>3631</v>
      </c>
      <c r="C1557" t="s">
        <v>1233</v>
      </c>
      <c r="D1557" t="s">
        <v>1027</v>
      </c>
      <c r="E1557">
        <v>63762</v>
      </c>
      <c r="F1557" t="s">
        <v>1234</v>
      </c>
      <c r="G1557" t="b">
        <v>0</v>
      </c>
      <c r="H1557" t="b">
        <v>0</v>
      </c>
      <c r="I1557" t="s">
        <v>1050</v>
      </c>
      <c r="J1557">
        <v>88</v>
      </c>
      <c r="K1557" t="s">
        <v>0</v>
      </c>
      <c r="L1557" t="s">
        <v>1167</v>
      </c>
      <c r="M1557" t="s">
        <v>1168</v>
      </c>
      <c r="N1557" t="s">
        <v>1169</v>
      </c>
      <c r="O1557" t="s">
        <v>1168</v>
      </c>
      <c r="P1557" t="s">
        <v>1235</v>
      </c>
    </row>
    <row r="1558" spans="1:16" x14ac:dyDescent="0.25">
      <c r="A1558" t="s">
        <v>3632</v>
      </c>
      <c r="B1558" t="s">
        <v>3633</v>
      </c>
      <c r="C1558" t="s">
        <v>1233</v>
      </c>
      <c r="D1558" t="s">
        <v>1027</v>
      </c>
      <c r="E1558">
        <v>63762</v>
      </c>
      <c r="F1558" t="s">
        <v>1234</v>
      </c>
      <c r="G1558" t="b">
        <v>0</v>
      </c>
      <c r="H1558" t="b">
        <v>0</v>
      </c>
      <c r="I1558" t="s">
        <v>1050</v>
      </c>
      <c r="J1558">
        <v>88</v>
      </c>
      <c r="K1558" t="s">
        <v>0</v>
      </c>
      <c r="L1558" t="s">
        <v>1167</v>
      </c>
      <c r="M1558" t="s">
        <v>1168</v>
      </c>
      <c r="N1558" t="s">
        <v>1169</v>
      </c>
      <c r="O1558" t="s">
        <v>1168</v>
      </c>
      <c r="P1558" t="s">
        <v>1235</v>
      </c>
    </row>
    <row r="1559" spans="1:16" x14ac:dyDescent="0.25">
      <c r="A1559" t="s">
        <v>3634</v>
      </c>
      <c r="B1559" t="s">
        <v>3635</v>
      </c>
      <c r="C1559" t="s">
        <v>1233</v>
      </c>
      <c r="D1559" t="s">
        <v>1027</v>
      </c>
      <c r="E1559">
        <v>63762</v>
      </c>
      <c r="F1559" t="s">
        <v>1234</v>
      </c>
      <c r="G1559" t="b">
        <v>0</v>
      </c>
      <c r="H1559" t="b">
        <v>0</v>
      </c>
      <c r="I1559" t="s">
        <v>1050</v>
      </c>
      <c r="J1559">
        <v>88</v>
      </c>
      <c r="K1559" t="s">
        <v>0</v>
      </c>
      <c r="L1559" t="s">
        <v>1167</v>
      </c>
      <c r="M1559" t="s">
        <v>1168</v>
      </c>
      <c r="N1559" t="s">
        <v>1169</v>
      </c>
      <c r="O1559" t="s">
        <v>1168</v>
      </c>
      <c r="P1559" t="s">
        <v>1235</v>
      </c>
    </row>
    <row r="1560" spans="1:16" x14ac:dyDescent="0.25">
      <c r="A1560" t="s">
        <v>3636</v>
      </c>
      <c r="B1560" t="s">
        <v>3637</v>
      </c>
      <c r="C1560" t="s">
        <v>1233</v>
      </c>
      <c r="D1560" t="s">
        <v>1027</v>
      </c>
      <c r="E1560">
        <v>63762</v>
      </c>
      <c r="F1560" t="s">
        <v>1234</v>
      </c>
      <c r="G1560" t="b">
        <v>0</v>
      </c>
      <c r="H1560" t="b">
        <v>0</v>
      </c>
      <c r="I1560" t="s">
        <v>1050</v>
      </c>
      <c r="J1560">
        <v>88</v>
      </c>
      <c r="K1560" t="s">
        <v>0</v>
      </c>
      <c r="L1560" t="s">
        <v>1167</v>
      </c>
      <c r="M1560" t="s">
        <v>1168</v>
      </c>
      <c r="N1560" t="s">
        <v>1169</v>
      </c>
      <c r="O1560" t="s">
        <v>1168</v>
      </c>
      <c r="P1560" t="s">
        <v>1235</v>
      </c>
    </row>
    <row r="1561" spans="1:16" x14ac:dyDescent="0.25">
      <c r="A1561" t="s">
        <v>3638</v>
      </c>
      <c r="B1561" t="s">
        <v>3639</v>
      </c>
      <c r="C1561" t="s">
        <v>1233</v>
      </c>
      <c r="D1561" t="s">
        <v>1027</v>
      </c>
      <c r="E1561">
        <v>63762</v>
      </c>
      <c r="F1561" t="s">
        <v>1234</v>
      </c>
      <c r="G1561" t="b">
        <v>0</v>
      </c>
      <c r="H1561" t="b">
        <v>0</v>
      </c>
      <c r="I1561" t="s">
        <v>1050</v>
      </c>
      <c r="J1561">
        <v>88</v>
      </c>
      <c r="K1561" t="s">
        <v>0</v>
      </c>
      <c r="L1561" t="s">
        <v>1167</v>
      </c>
      <c r="M1561" t="s">
        <v>1168</v>
      </c>
      <c r="N1561" t="s">
        <v>1169</v>
      </c>
      <c r="O1561" t="s">
        <v>1168</v>
      </c>
      <c r="P1561" t="s">
        <v>1235</v>
      </c>
    </row>
    <row r="1562" spans="1:16" x14ac:dyDescent="0.25">
      <c r="A1562" t="s">
        <v>3640</v>
      </c>
      <c r="B1562" t="s">
        <v>3641</v>
      </c>
      <c r="C1562" t="s">
        <v>1571</v>
      </c>
      <c r="D1562" t="s">
        <v>1027</v>
      </c>
      <c r="E1562">
        <v>63767</v>
      </c>
      <c r="G1562" t="b">
        <v>0</v>
      </c>
      <c r="H1562" t="b">
        <v>0</v>
      </c>
      <c r="I1562" t="s">
        <v>1050</v>
      </c>
      <c r="J1562">
        <v>80</v>
      </c>
      <c r="K1562" t="s">
        <v>0</v>
      </c>
      <c r="L1562" t="s">
        <v>1167</v>
      </c>
      <c r="M1562" t="s">
        <v>1168</v>
      </c>
      <c r="N1562" t="s">
        <v>1169</v>
      </c>
      <c r="O1562" t="s">
        <v>1168</v>
      </c>
      <c r="P1562" t="s">
        <v>1283</v>
      </c>
    </row>
    <row r="1563" spans="1:16" x14ac:dyDescent="0.25">
      <c r="A1563" t="s">
        <v>3642</v>
      </c>
      <c r="B1563" t="s">
        <v>3643</v>
      </c>
      <c r="C1563" t="s">
        <v>1571</v>
      </c>
      <c r="D1563" t="s">
        <v>1027</v>
      </c>
      <c r="E1563">
        <v>63767</v>
      </c>
      <c r="G1563" t="b">
        <v>0</v>
      </c>
      <c r="H1563" t="b">
        <v>0</v>
      </c>
      <c r="I1563" t="s">
        <v>1050</v>
      </c>
      <c r="J1563">
        <v>80</v>
      </c>
      <c r="K1563" t="s">
        <v>0</v>
      </c>
      <c r="L1563" t="s">
        <v>1167</v>
      </c>
      <c r="M1563" t="s">
        <v>1168</v>
      </c>
      <c r="N1563" t="s">
        <v>1169</v>
      </c>
      <c r="O1563" t="s">
        <v>1168</v>
      </c>
      <c r="P1563" t="s">
        <v>1283</v>
      </c>
    </row>
    <row r="1564" spans="1:16" x14ac:dyDescent="0.25">
      <c r="A1564" t="s">
        <v>3644</v>
      </c>
      <c r="B1564" t="s">
        <v>3645</v>
      </c>
      <c r="C1564" t="s">
        <v>1571</v>
      </c>
      <c r="D1564" t="s">
        <v>1027</v>
      </c>
      <c r="E1564">
        <v>63767</v>
      </c>
      <c r="G1564" t="b">
        <v>0</v>
      </c>
      <c r="H1564" t="b">
        <v>0</v>
      </c>
      <c r="I1564" t="s">
        <v>1050</v>
      </c>
      <c r="J1564">
        <v>80</v>
      </c>
      <c r="K1564" t="s">
        <v>0</v>
      </c>
      <c r="L1564" t="s">
        <v>1167</v>
      </c>
      <c r="M1564" t="s">
        <v>1168</v>
      </c>
      <c r="N1564" t="s">
        <v>1169</v>
      </c>
      <c r="O1564" t="s">
        <v>1168</v>
      </c>
      <c r="P1564" t="s">
        <v>1283</v>
      </c>
    </row>
    <row r="1565" spans="1:16" x14ac:dyDescent="0.25">
      <c r="A1565" t="s">
        <v>3646</v>
      </c>
      <c r="B1565" t="s">
        <v>3647</v>
      </c>
      <c r="C1565" t="s">
        <v>1571</v>
      </c>
      <c r="D1565" t="s">
        <v>1027</v>
      </c>
      <c r="E1565">
        <v>63767</v>
      </c>
      <c r="G1565" t="b">
        <v>0</v>
      </c>
      <c r="H1565" t="b">
        <v>0</v>
      </c>
      <c r="I1565" t="s">
        <v>1050</v>
      </c>
      <c r="J1565">
        <v>80</v>
      </c>
      <c r="K1565" t="s">
        <v>0</v>
      </c>
      <c r="L1565" t="s">
        <v>1167</v>
      </c>
      <c r="M1565" t="s">
        <v>1168</v>
      </c>
      <c r="N1565" t="s">
        <v>1169</v>
      </c>
      <c r="O1565" t="s">
        <v>1168</v>
      </c>
      <c r="P1565" t="s">
        <v>1283</v>
      </c>
    </row>
    <row r="1566" spans="1:16" x14ac:dyDescent="0.25">
      <c r="A1566" t="s">
        <v>3648</v>
      </c>
      <c r="B1566" t="s">
        <v>3649</v>
      </c>
      <c r="C1566" t="s">
        <v>1571</v>
      </c>
      <c r="D1566" t="s">
        <v>1027</v>
      </c>
      <c r="E1566">
        <v>63767</v>
      </c>
      <c r="G1566" t="b">
        <v>0</v>
      </c>
      <c r="H1566" t="b">
        <v>0</v>
      </c>
      <c r="I1566" t="s">
        <v>1050</v>
      </c>
      <c r="J1566">
        <v>80</v>
      </c>
      <c r="K1566" t="s">
        <v>0</v>
      </c>
      <c r="L1566" t="s">
        <v>1167</v>
      </c>
      <c r="M1566" t="s">
        <v>1168</v>
      </c>
      <c r="N1566" t="s">
        <v>1169</v>
      </c>
      <c r="O1566" t="s">
        <v>1168</v>
      </c>
      <c r="P1566" t="s">
        <v>1283</v>
      </c>
    </row>
    <row r="1567" spans="1:16" x14ac:dyDescent="0.25">
      <c r="A1567" t="s">
        <v>3650</v>
      </c>
      <c r="B1567" t="s">
        <v>3651</v>
      </c>
      <c r="C1567" t="s">
        <v>1571</v>
      </c>
      <c r="D1567" t="s">
        <v>1027</v>
      </c>
      <c r="E1567">
        <v>63767</v>
      </c>
      <c r="G1567" t="b">
        <v>0</v>
      </c>
      <c r="H1567" t="b">
        <v>0</v>
      </c>
      <c r="I1567" t="s">
        <v>1050</v>
      </c>
      <c r="J1567">
        <v>80</v>
      </c>
      <c r="K1567" t="s">
        <v>0</v>
      </c>
      <c r="L1567" t="s">
        <v>1167</v>
      </c>
      <c r="M1567" t="s">
        <v>1168</v>
      </c>
      <c r="N1567" t="s">
        <v>1169</v>
      </c>
      <c r="O1567" t="s">
        <v>1168</v>
      </c>
      <c r="P1567" t="s">
        <v>1283</v>
      </c>
    </row>
    <row r="1568" spans="1:16" x14ac:dyDescent="0.25">
      <c r="A1568" t="s">
        <v>3652</v>
      </c>
      <c r="B1568" t="s">
        <v>3653</v>
      </c>
      <c r="C1568" t="s">
        <v>2026</v>
      </c>
      <c r="D1568" t="s">
        <v>1027</v>
      </c>
      <c r="E1568">
        <v>1336</v>
      </c>
      <c r="F1568" t="s">
        <v>2027</v>
      </c>
      <c r="G1568" t="b">
        <v>0</v>
      </c>
      <c r="H1568" t="b">
        <v>0</v>
      </c>
      <c r="I1568" t="s">
        <v>1050</v>
      </c>
      <c r="J1568">
        <v>80</v>
      </c>
      <c r="K1568" t="s">
        <v>0</v>
      </c>
      <c r="L1568" t="s">
        <v>1167</v>
      </c>
      <c r="M1568" t="s">
        <v>1168</v>
      </c>
      <c r="N1568" t="s">
        <v>1169</v>
      </c>
      <c r="O1568" t="s">
        <v>1168</v>
      </c>
      <c r="P1568" t="s">
        <v>2028</v>
      </c>
    </row>
    <row r="1569" spans="1:16" x14ac:dyDescent="0.25">
      <c r="A1569" t="s">
        <v>3654</v>
      </c>
      <c r="B1569" t="s">
        <v>3653</v>
      </c>
      <c r="C1569" t="s">
        <v>2026</v>
      </c>
      <c r="D1569" t="s">
        <v>1027</v>
      </c>
      <c r="E1569">
        <v>1336</v>
      </c>
      <c r="F1569" t="s">
        <v>2027</v>
      </c>
      <c r="G1569" t="b">
        <v>0</v>
      </c>
      <c r="H1569" t="b">
        <v>0</v>
      </c>
      <c r="I1569" t="s">
        <v>1050</v>
      </c>
      <c r="J1569">
        <v>80</v>
      </c>
      <c r="K1569" t="s">
        <v>0</v>
      </c>
      <c r="L1569" t="s">
        <v>1167</v>
      </c>
      <c r="M1569" t="s">
        <v>1168</v>
      </c>
      <c r="N1569" t="s">
        <v>1169</v>
      </c>
      <c r="O1569" t="s">
        <v>1168</v>
      </c>
      <c r="P1569" t="s">
        <v>2028</v>
      </c>
    </row>
    <row r="1570" spans="1:16" x14ac:dyDescent="0.25">
      <c r="A1570" t="s">
        <v>3655</v>
      </c>
      <c r="B1570" t="s">
        <v>3656</v>
      </c>
      <c r="C1570" t="s">
        <v>1571</v>
      </c>
      <c r="D1570" t="s">
        <v>1027</v>
      </c>
      <c r="E1570">
        <v>63767</v>
      </c>
      <c r="G1570" t="b">
        <v>0</v>
      </c>
      <c r="H1570" t="b">
        <v>0</v>
      </c>
      <c r="I1570" t="s">
        <v>1050</v>
      </c>
      <c r="J1570">
        <v>87</v>
      </c>
      <c r="K1570" t="s">
        <v>0</v>
      </c>
      <c r="L1570" t="s">
        <v>1167</v>
      </c>
      <c r="M1570" t="s">
        <v>1168</v>
      </c>
      <c r="N1570" t="s">
        <v>1169</v>
      </c>
      <c r="O1570" t="s">
        <v>1168</v>
      </c>
      <c r="P1570" t="s">
        <v>1283</v>
      </c>
    </row>
    <row r="1571" spans="1:16" x14ac:dyDescent="0.25">
      <c r="A1571" t="s">
        <v>3657</v>
      </c>
      <c r="B1571" t="s">
        <v>3658</v>
      </c>
      <c r="C1571" t="s">
        <v>1571</v>
      </c>
      <c r="D1571" t="s">
        <v>1027</v>
      </c>
      <c r="E1571">
        <v>63767</v>
      </c>
      <c r="G1571" t="b">
        <v>0</v>
      </c>
      <c r="H1571" t="b">
        <v>0</v>
      </c>
      <c r="I1571" t="s">
        <v>1050</v>
      </c>
      <c r="J1571">
        <v>87</v>
      </c>
      <c r="K1571" t="s">
        <v>0</v>
      </c>
      <c r="L1571" t="s">
        <v>1167</v>
      </c>
      <c r="M1571" t="s">
        <v>1168</v>
      </c>
      <c r="N1571" t="s">
        <v>1169</v>
      </c>
      <c r="O1571" t="s">
        <v>1168</v>
      </c>
      <c r="P1571" t="s">
        <v>1283</v>
      </c>
    </row>
    <row r="1572" spans="1:16" x14ac:dyDescent="0.25">
      <c r="A1572" t="s">
        <v>3659</v>
      </c>
      <c r="B1572" t="s">
        <v>3660</v>
      </c>
      <c r="C1572" t="s">
        <v>1571</v>
      </c>
      <c r="D1572" t="s">
        <v>1027</v>
      </c>
      <c r="E1572">
        <v>63767</v>
      </c>
      <c r="G1572" t="b">
        <v>0</v>
      </c>
      <c r="H1572" t="b">
        <v>0</v>
      </c>
      <c r="I1572" t="s">
        <v>1050</v>
      </c>
      <c r="J1572">
        <v>87</v>
      </c>
      <c r="K1572" t="s">
        <v>0</v>
      </c>
      <c r="L1572" t="s">
        <v>1167</v>
      </c>
      <c r="M1572" t="s">
        <v>1168</v>
      </c>
      <c r="N1572" t="s">
        <v>1169</v>
      </c>
      <c r="O1572" t="s">
        <v>1168</v>
      </c>
      <c r="P1572" t="s">
        <v>1283</v>
      </c>
    </row>
    <row r="1573" spans="1:16" x14ac:dyDescent="0.25">
      <c r="A1573" t="s">
        <v>3661</v>
      </c>
      <c r="B1573" t="s">
        <v>3662</v>
      </c>
      <c r="C1573" t="s">
        <v>1571</v>
      </c>
      <c r="D1573" t="s">
        <v>1027</v>
      </c>
      <c r="E1573">
        <v>63767</v>
      </c>
      <c r="G1573" t="b">
        <v>0</v>
      </c>
      <c r="H1573" t="b">
        <v>0</v>
      </c>
      <c r="I1573" t="s">
        <v>1050</v>
      </c>
      <c r="J1573">
        <v>87</v>
      </c>
      <c r="K1573" t="s">
        <v>0</v>
      </c>
      <c r="L1573" t="s">
        <v>1167</v>
      </c>
      <c r="M1573" t="s">
        <v>1168</v>
      </c>
      <c r="N1573" t="s">
        <v>1169</v>
      </c>
      <c r="O1573" t="s">
        <v>1168</v>
      </c>
      <c r="P1573" t="s">
        <v>1283</v>
      </c>
    </row>
    <row r="1574" spans="1:16" x14ac:dyDescent="0.25">
      <c r="A1574" t="s">
        <v>3663</v>
      </c>
      <c r="B1574" t="s">
        <v>3664</v>
      </c>
      <c r="C1574" t="s">
        <v>1233</v>
      </c>
      <c r="D1574" t="s">
        <v>1027</v>
      </c>
      <c r="E1574">
        <v>63762</v>
      </c>
      <c r="F1574" t="s">
        <v>1234</v>
      </c>
      <c r="G1574" t="b">
        <v>0</v>
      </c>
      <c r="H1574" t="b">
        <v>0</v>
      </c>
      <c r="I1574" t="s">
        <v>1050</v>
      </c>
      <c r="J1574">
        <v>80</v>
      </c>
      <c r="K1574" t="s">
        <v>0</v>
      </c>
      <c r="L1574" t="s">
        <v>1167</v>
      </c>
      <c r="M1574" t="s">
        <v>1168</v>
      </c>
      <c r="N1574" t="s">
        <v>1169</v>
      </c>
      <c r="O1574" t="s">
        <v>1168</v>
      </c>
      <c r="P1574" t="s">
        <v>1235</v>
      </c>
    </row>
    <row r="1575" spans="1:16" x14ac:dyDescent="0.25">
      <c r="A1575" t="s">
        <v>3665</v>
      </c>
      <c r="B1575" t="s">
        <v>3666</v>
      </c>
      <c r="C1575" t="s">
        <v>1233</v>
      </c>
      <c r="D1575" t="s">
        <v>1027</v>
      </c>
      <c r="E1575">
        <v>63762</v>
      </c>
      <c r="F1575" t="s">
        <v>1234</v>
      </c>
      <c r="G1575" t="b">
        <v>0</v>
      </c>
      <c r="H1575" t="b">
        <v>0</v>
      </c>
      <c r="I1575" t="s">
        <v>1050</v>
      </c>
      <c r="J1575">
        <v>80</v>
      </c>
      <c r="K1575" t="s">
        <v>0</v>
      </c>
      <c r="L1575" t="s">
        <v>1167</v>
      </c>
      <c r="M1575" t="s">
        <v>1168</v>
      </c>
      <c r="N1575" t="s">
        <v>1169</v>
      </c>
      <c r="O1575" t="s">
        <v>1168</v>
      </c>
      <c r="P1575" t="s">
        <v>1235</v>
      </c>
    </row>
    <row r="1576" spans="1:16" x14ac:dyDescent="0.25">
      <c r="A1576" t="s">
        <v>3667</v>
      </c>
      <c r="B1576" t="s">
        <v>3668</v>
      </c>
      <c r="C1576" t="s">
        <v>1571</v>
      </c>
      <c r="D1576" t="s">
        <v>1027</v>
      </c>
      <c r="E1576">
        <v>63767</v>
      </c>
      <c r="G1576" t="b">
        <v>0</v>
      </c>
      <c r="H1576" t="b">
        <v>0</v>
      </c>
      <c r="I1576" t="s">
        <v>1050</v>
      </c>
      <c r="J1576">
        <v>80</v>
      </c>
      <c r="K1576" t="s">
        <v>0</v>
      </c>
      <c r="L1576" t="s">
        <v>1167</v>
      </c>
      <c r="M1576" t="s">
        <v>1168</v>
      </c>
      <c r="N1576" t="s">
        <v>1169</v>
      </c>
      <c r="O1576" t="s">
        <v>1168</v>
      </c>
      <c r="P1576" t="s">
        <v>1283</v>
      </c>
    </row>
    <row r="1577" spans="1:16" x14ac:dyDescent="0.25">
      <c r="A1577" t="s">
        <v>3669</v>
      </c>
      <c r="B1577" t="s">
        <v>3670</v>
      </c>
      <c r="C1577" t="s">
        <v>1571</v>
      </c>
      <c r="D1577" t="s">
        <v>1027</v>
      </c>
      <c r="E1577">
        <v>63767</v>
      </c>
      <c r="G1577" t="b">
        <v>0</v>
      </c>
      <c r="H1577" t="b">
        <v>0</v>
      </c>
      <c r="I1577" t="s">
        <v>1050</v>
      </c>
      <c r="J1577">
        <v>80</v>
      </c>
      <c r="K1577" t="s">
        <v>0</v>
      </c>
      <c r="L1577" t="s">
        <v>1167</v>
      </c>
      <c r="M1577" t="s">
        <v>1168</v>
      </c>
      <c r="N1577" t="s">
        <v>1169</v>
      </c>
      <c r="O1577" t="s">
        <v>1168</v>
      </c>
      <c r="P1577" t="s">
        <v>1283</v>
      </c>
    </row>
    <row r="1578" spans="1:16" x14ac:dyDescent="0.25">
      <c r="A1578" t="s">
        <v>3671</v>
      </c>
      <c r="B1578" t="s">
        <v>3672</v>
      </c>
      <c r="C1578" t="s">
        <v>1233</v>
      </c>
      <c r="D1578" t="s">
        <v>1027</v>
      </c>
      <c r="E1578">
        <v>63762</v>
      </c>
      <c r="F1578" t="s">
        <v>1234</v>
      </c>
      <c r="G1578" t="b">
        <v>0</v>
      </c>
      <c r="H1578" t="b">
        <v>0</v>
      </c>
      <c r="I1578" t="s">
        <v>1050</v>
      </c>
      <c r="J1578">
        <v>88</v>
      </c>
      <c r="K1578" t="s">
        <v>0</v>
      </c>
      <c r="L1578" t="s">
        <v>1167</v>
      </c>
      <c r="M1578" t="s">
        <v>1168</v>
      </c>
      <c r="N1578" t="s">
        <v>1169</v>
      </c>
      <c r="O1578" t="s">
        <v>1168</v>
      </c>
      <c r="P1578" t="s">
        <v>1235</v>
      </c>
    </row>
    <row r="1579" spans="1:16" x14ac:dyDescent="0.25">
      <c r="A1579" t="s">
        <v>3673</v>
      </c>
      <c r="B1579" t="s">
        <v>3674</v>
      </c>
      <c r="C1579" t="s">
        <v>1233</v>
      </c>
      <c r="D1579" t="s">
        <v>1027</v>
      </c>
      <c r="E1579">
        <v>63762</v>
      </c>
      <c r="F1579" t="s">
        <v>1234</v>
      </c>
      <c r="G1579" t="b">
        <v>0</v>
      </c>
      <c r="H1579" t="b">
        <v>0</v>
      </c>
      <c r="I1579" t="s">
        <v>1050</v>
      </c>
      <c r="J1579">
        <v>91</v>
      </c>
      <c r="K1579" t="s">
        <v>0</v>
      </c>
      <c r="L1579" t="s">
        <v>1167</v>
      </c>
      <c r="M1579" t="s">
        <v>1168</v>
      </c>
      <c r="N1579" t="s">
        <v>1169</v>
      </c>
      <c r="O1579" t="s">
        <v>1168</v>
      </c>
      <c r="P1579" t="s">
        <v>1235</v>
      </c>
    </row>
    <row r="1580" spans="1:16" x14ac:dyDescent="0.25">
      <c r="A1580" t="s">
        <v>3675</v>
      </c>
      <c r="B1580" t="s">
        <v>3676</v>
      </c>
      <c r="C1580" t="s">
        <v>1233</v>
      </c>
      <c r="D1580" t="s">
        <v>1027</v>
      </c>
      <c r="E1580">
        <v>63762</v>
      </c>
      <c r="F1580" t="s">
        <v>1234</v>
      </c>
      <c r="G1580" t="b">
        <v>0</v>
      </c>
      <c r="H1580" t="b">
        <v>0</v>
      </c>
      <c r="I1580" t="s">
        <v>1050</v>
      </c>
      <c r="J1580">
        <v>91</v>
      </c>
      <c r="K1580" t="s">
        <v>0</v>
      </c>
      <c r="L1580" t="s">
        <v>1167</v>
      </c>
      <c r="M1580" t="s">
        <v>1168</v>
      </c>
      <c r="N1580" t="s">
        <v>1169</v>
      </c>
      <c r="O1580" t="s">
        <v>1168</v>
      </c>
      <c r="P1580" t="s">
        <v>1235</v>
      </c>
    </row>
    <row r="1581" spans="1:16" x14ac:dyDescent="0.25">
      <c r="A1581" t="s">
        <v>3677</v>
      </c>
      <c r="B1581" t="s">
        <v>3678</v>
      </c>
      <c r="C1581" t="s">
        <v>1165</v>
      </c>
      <c r="D1581" t="s">
        <v>1027</v>
      </c>
      <c r="E1581">
        <v>63774</v>
      </c>
      <c r="F1581" t="s">
        <v>1166</v>
      </c>
      <c r="G1581" t="b">
        <v>0</v>
      </c>
      <c r="H1581" t="b">
        <v>0</v>
      </c>
      <c r="I1581" t="s">
        <v>1050</v>
      </c>
      <c r="J1581">
        <v>51</v>
      </c>
      <c r="K1581" t="s">
        <v>1</v>
      </c>
      <c r="L1581" t="s">
        <v>1167</v>
      </c>
      <c r="M1581" t="s">
        <v>1168</v>
      </c>
      <c r="N1581" t="s">
        <v>1169</v>
      </c>
      <c r="O1581" t="s">
        <v>1168</v>
      </c>
      <c r="P1581" t="s">
        <v>1170</v>
      </c>
    </row>
    <row r="1582" spans="1:16" x14ac:dyDescent="0.25">
      <c r="A1582" t="s">
        <v>3679</v>
      </c>
      <c r="B1582" t="s">
        <v>3678</v>
      </c>
      <c r="C1582" t="s">
        <v>1165</v>
      </c>
      <c r="D1582" t="s">
        <v>1027</v>
      </c>
      <c r="E1582">
        <v>63774</v>
      </c>
      <c r="F1582" t="s">
        <v>1166</v>
      </c>
      <c r="G1582" t="b">
        <v>0</v>
      </c>
      <c r="H1582" t="b">
        <v>0</v>
      </c>
      <c r="I1582" t="s">
        <v>1050</v>
      </c>
      <c r="J1582">
        <v>51</v>
      </c>
      <c r="K1582" t="s">
        <v>1</v>
      </c>
      <c r="L1582" t="s">
        <v>1167</v>
      </c>
      <c r="M1582" t="s">
        <v>1168</v>
      </c>
      <c r="N1582" t="s">
        <v>1169</v>
      </c>
      <c r="O1582" t="s">
        <v>1168</v>
      </c>
      <c r="P1582" t="s">
        <v>1170</v>
      </c>
    </row>
    <row r="1583" spans="1:16" x14ac:dyDescent="0.25">
      <c r="A1583" t="s">
        <v>3680</v>
      </c>
      <c r="B1583" t="s">
        <v>3681</v>
      </c>
      <c r="C1583" t="s">
        <v>1165</v>
      </c>
      <c r="D1583" t="s">
        <v>1027</v>
      </c>
      <c r="E1583">
        <v>63774</v>
      </c>
      <c r="F1583" t="s">
        <v>1166</v>
      </c>
      <c r="G1583" t="b">
        <v>0</v>
      </c>
      <c r="H1583" t="b">
        <v>0</v>
      </c>
      <c r="I1583" t="s">
        <v>1050</v>
      </c>
      <c r="J1583">
        <v>52</v>
      </c>
      <c r="K1583" t="s">
        <v>1</v>
      </c>
      <c r="L1583" t="s">
        <v>1167</v>
      </c>
      <c r="M1583" t="s">
        <v>1168</v>
      </c>
      <c r="N1583" t="s">
        <v>1169</v>
      </c>
      <c r="O1583" t="s">
        <v>1168</v>
      </c>
      <c r="P1583" t="s">
        <v>1170</v>
      </c>
    </row>
    <row r="1584" spans="1:16" x14ac:dyDescent="0.25">
      <c r="A1584" t="s">
        <v>3682</v>
      </c>
      <c r="B1584" t="s">
        <v>3681</v>
      </c>
      <c r="C1584" t="s">
        <v>1165</v>
      </c>
      <c r="D1584" t="s">
        <v>1027</v>
      </c>
      <c r="E1584">
        <v>63774</v>
      </c>
      <c r="F1584" t="s">
        <v>1166</v>
      </c>
      <c r="G1584" t="b">
        <v>0</v>
      </c>
      <c r="H1584" t="b">
        <v>0</v>
      </c>
      <c r="I1584" t="s">
        <v>1050</v>
      </c>
      <c r="J1584">
        <v>52</v>
      </c>
      <c r="K1584" t="s">
        <v>1</v>
      </c>
      <c r="L1584" t="s">
        <v>1167</v>
      </c>
      <c r="M1584" t="s">
        <v>1168</v>
      </c>
      <c r="N1584" t="s">
        <v>1169</v>
      </c>
      <c r="O1584" t="s">
        <v>1168</v>
      </c>
      <c r="P1584" t="s">
        <v>1170</v>
      </c>
    </row>
    <row r="1585" spans="1:16" x14ac:dyDescent="0.25">
      <c r="A1585" t="s">
        <v>3683</v>
      </c>
      <c r="B1585" t="s">
        <v>3684</v>
      </c>
      <c r="C1585" t="s">
        <v>1165</v>
      </c>
      <c r="D1585" t="s">
        <v>1027</v>
      </c>
      <c r="E1585">
        <v>63774</v>
      </c>
      <c r="F1585" t="s">
        <v>1166</v>
      </c>
      <c r="G1585" t="b">
        <v>0</v>
      </c>
      <c r="H1585" t="b">
        <v>0</v>
      </c>
      <c r="I1585" t="s">
        <v>1050</v>
      </c>
      <c r="J1585">
        <v>52</v>
      </c>
      <c r="K1585" t="s">
        <v>1</v>
      </c>
      <c r="L1585" t="s">
        <v>1167</v>
      </c>
      <c r="M1585" t="s">
        <v>1168</v>
      </c>
      <c r="N1585" t="s">
        <v>1169</v>
      </c>
      <c r="O1585" t="s">
        <v>1168</v>
      </c>
      <c r="P1585" t="s">
        <v>1170</v>
      </c>
    </row>
    <row r="1586" spans="1:16" x14ac:dyDescent="0.25">
      <c r="A1586" t="s">
        <v>3685</v>
      </c>
      <c r="B1586" t="s">
        <v>3684</v>
      </c>
      <c r="C1586" t="s">
        <v>1165</v>
      </c>
      <c r="D1586" t="s">
        <v>1027</v>
      </c>
      <c r="E1586">
        <v>63774</v>
      </c>
      <c r="F1586" t="s">
        <v>1166</v>
      </c>
      <c r="G1586" t="b">
        <v>0</v>
      </c>
      <c r="H1586" t="b">
        <v>0</v>
      </c>
      <c r="I1586" t="s">
        <v>1050</v>
      </c>
      <c r="J1586">
        <v>52</v>
      </c>
      <c r="K1586" t="s">
        <v>1</v>
      </c>
      <c r="L1586" t="s">
        <v>1167</v>
      </c>
      <c r="M1586" t="s">
        <v>1168</v>
      </c>
      <c r="N1586" t="s">
        <v>1169</v>
      </c>
      <c r="O1586" t="s">
        <v>1168</v>
      </c>
      <c r="P1586" t="s">
        <v>1170</v>
      </c>
    </row>
    <row r="1587" spans="1:16" x14ac:dyDescent="0.25">
      <c r="A1587" t="s">
        <v>3686</v>
      </c>
      <c r="B1587" t="s">
        <v>3687</v>
      </c>
      <c r="C1587" t="s">
        <v>1165</v>
      </c>
      <c r="D1587" t="s">
        <v>1027</v>
      </c>
      <c r="E1587">
        <v>63774</v>
      </c>
      <c r="F1587" t="s">
        <v>1166</v>
      </c>
      <c r="G1587" t="b">
        <v>0</v>
      </c>
      <c r="H1587" t="b">
        <v>0</v>
      </c>
      <c r="I1587" t="s">
        <v>1050</v>
      </c>
      <c r="J1587">
        <v>52</v>
      </c>
      <c r="K1587" t="s">
        <v>1</v>
      </c>
      <c r="L1587" t="s">
        <v>1167</v>
      </c>
      <c r="M1587" t="s">
        <v>1168</v>
      </c>
      <c r="N1587" t="s">
        <v>1169</v>
      </c>
      <c r="O1587" t="s">
        <v>1168</v>
      </c>
      <c r="P1587" t="s">
        <v>1170</v>
      </c>
    </row>
    <row r="1588" spans="1:16" x14ac:dyDescent="0.25">
      <c r="A1588" t="s">
        <v>3688</v>
      </c>
      <c r="B1588" t="s">
        <v>3687</v>
      </c>
      <c r="C1588" t="s">
        <v>1165</v>
      </c>
      <c r="D1588" t="s">
        <v>1027</v>
      </c>
      <c r="E1588">
        <v>63774</v>
      </c>
      <c r="F1588" t="s">
        <v>1166</v>
      </c>
      <c r="G1588" t="b">
        <v>0</v>
      </c>
      <c r="H1588" t="b">
        <v>0</v>
      </c>
      <c r="I1588" t="s">
        <v>1050</v>
      </c>
      <c r="J1588">
        <v>52</v>
      </c>
      <c r="K1588" t="s">
        <v>1</v>
      </c>
      <c r="L1588" t="s">
        <v>1167</v>
      </c>
      <c r="M1588" t="s">
        <v>1168</v>
      </c>
      <c r="N1588" t="s">
        <v>1169</v>
      </c>
      <c r="O1588" t="s">
        <v>1168</v>
      </c>
      <c r="P1588" t="s">
        <v>1170</v>
      </c>
    </row>
    <row r="1589" spans="1:16" x14ac:dyDescent="0.25">
      <c r="A1589" t="s">
        <v>3689</v>
      </c>
      <c r="B1589" t="s">
        <v>3690</v>
      </c>
      <c r="C1589" t="s">
        <v>1165</v>
      </c>
      <c r="D1589" t="s">
        <v>1027</v>
      </c>
      <c r="E1589">
        <v>63774</v>
      </c>
      <c r="F1589" t="s">
        <v>1166</v>
      </c>
      <c r="G1589" t="b">
        <v>0</v>
      </c>
      <c r="H1589" t="b">
        <v>0</v>
      </c>
      <c r="I1589" t="s">
        <v>1050</v>
      </c>
      <c r="J1589">
        <v>87</v>
      </c>
      <c r="K1589" t="s">
        <v>1</v>
      </c>
      <c r="L1589" t="s">
        <v>1167</v>
      </c>
      <c r="M1589" t="s">
        <v>1168</v>
      </c>
      <c r="N1589" t="s">
        <v>1169</v>
      </c>
      <c r="O1589" t="s">
        <v>1168</v>
      </c>
      <c r="P1589" t="s">
        <v>1170</v>
      </c>
    </row>
    <row r="1590" spans="1:16" x14ac:dyDescent="0.25">
      <c r="A1590" t="s">
        <v>3691</v>
      </c>
      <c r="B1590" t="s">
        <v>3692</v>
      </c>
      <c r="C1590" t="s">
        <v>3094</v>
      </c>
      <c r="D1590" t="s">
        <v>1027</v>
      </c>
      <c r="E1590">
        <v>1337</v>
      </c>
      <c r="G1590" t="b">
        <v>0</v>
      </c>
      <c r="H1590" t="b">
        <v>0</v>
      </c>
      <c r="I1590" t="s">
        <v>1050</v>
      </c>
      <c r="J1590">
        <v>78</v>
      </c>
      <c r="K1590" t="s">
        <v>0</v>
      </c>
      <c r="L1590" t="s">
        <v>3095</v>
      </c>
      <c r="M1590" t="s">
        <v>1175</v>
      </c>
      <c r="N1590" t="s">
        <v>1176</v>
      </c>
      <c r="O1590" t="s">
        <v>1175</v>
      </c>
      <c r="P1590" t="s">
        <v>3096</v>
      </c>
    </row>
    <row r="1591" spans="1:16" x14ac:dyDescent="0.25">
      <c r="A1591" t="s">
        <v>3693</v>
      </c>
      <c r="B1591" t="s">
        <v>3692</v>
      </c>
      <c r="C1591" t="s">
        <v>3094</v>
      </c>
      <c r="D1591" t="s">
        <v>1027</v>
      </c>
      <c r="E1591">
        <v>1337</v>
      </c>
      <c r="G1591" t="b">
        <v>0</v>
      </c>
      <c r="H1591" t="b">
        <v>0</v>
      </c>
      <c r="I1591" t="s">
        <v>1050</v>
      </c>
      <c r="J1591">
        <v>78</v>
      </c>
      <c r="K1591" t="s">
        <v>0</v>
      </c>
      <c r="L1591" t="s">
        <v>3095</v>
      </c>
      <c r="M1591" t="s">
        <v>1175</v>
      </c>
      <c r="N1591" t="s">
        <v>1176</v>
      </c>
      <c r="O1591" t="s">
        <v>1175</v>
      </c>
      <c r="P1591" t="s">
        <v>3096</v>
      </c>
    </row>
    <row r="1592" spans="1:16" x14ac:dyDescent="0.25">
      <c r="A1592" t="s">
        <v>3694</v>
      </c>
      <c r="B1592" t="s">
        <v>3692</v>
      </c>
      <c r="C1592" t="s">
        <v>3094</v>
      </c>
      <c r="D1592" t="s">
        <v>1027</v>
      </c>
      <c r="E1592">
        <v>1337</v>
      </c>
      <c r="G1592" t="b">
        <v>0</v>
      </c>
      <c r="H1592" t="b">
        <v>0</v>
      </c>
      <c r="I1592" t="s">
        <v>1050</v>
      </c>
      <c r="J1592">
        <v>78</v>
      </c>
      <c r="K1592" t="s">
        <v>0</v>
      </c>
      <c r="L1592" t="s">
        <v>3095</v>
      </c>
      <c r="M1592" t="s">
        <v>1175</v>
      </c>
      <c r="N1592" t="s">
        <v>1176</v>
      </c>
      <c r="O1592" t="s">
        <v>1175</v>
      </c>
      <c r="P1592" t="s">
        <v>3096</v>
      </c>
    </row>
    <row r="1593" spans="1:16" x14ac:dyDescent="0.25">
      <c r="A1593" t="s">
        <v>3695</v>
      </c>
      <c r="B1593" t="s">
        <v>3692</v>
      </c>
      <c r="C1593" t="s">
        <v>3094</v>
      </c>
      <c r="D1593" t="s">
        <v>1027</v>
      </c>
      <c r="E1593">
        <v>1337</v>
      </c>
      <c r="G1593" t="b">
        <v>0</v>
      </c>
      <c r="H1593" t="b">
        <v>0</v>
      </c>
      <c r="I1593" t="s">
        <v>1050</v>
      </c>
      <c r="J1593">
        <v>78</v>
      </c>
      <c r="K1593" t="s">
        <v>0</v>
      </c>
      <c r="L1593" t="s">
        <v>3095</v>
      </c>
      <c r="M1593" t="s">
        <v>1175</v>
      </c>
      <c r="N1593" t="s">
        <v>1176</v>
      </c>
      <c r="O1593" t="s">
        <v>1175</v>
      </c>
      <c r="P1593" t="s">
        <v>3096</v>
      </c>
    </row>
    <row r="1594" spans="1:16" x14ac:dyDescent="0.25">
      <c r="A1594" t="s">
        <v>3696</v>
      </c>
      <c r="B1594" t="s">
        <v>3692</v>
      </c>
      <c r="C1594" t="s">
        <v>3094</v>
      </c>
      <c r="D1594" t="s">
        <v>1027</v>
      </c>
      <c r="E1594">
        <v>1337</v>
      </c>
      <c r="G1594" t="b">
        <v>0</v>
      </c>
      <c r="H1594" t="b">
        <v>0</v>
      </c>
      <c r="I1594" t="s">
        <v>1050</v>
      </c>
      <c r="J1594">
        <v>76</v>
      </c>
      <c r="K1594" t="s">
        <v>0</v>
      </c>
      <c r="L1594" t="s">
        <v>3095</v>
      </c>
      <c r="M1594" t="s">
        <v>1175</v>
      </c>
      <c r="N1594" t="s">
        <v>1176</v>
      </c>
      <c r="O1594" t="s">
        <v>1175</v>
      </c>
      <c r="P1594" t="s">
        <v>3096</v>
      </c>
    </row>
    <row r="1595" spans="1:16" x14ac:dyDescent="0.25">
      <c r="A1595" t="s">
        <v>3697</v>
      </c>
      <c r="B1595" t="s">
        <v>3692</v>
      </c>
      <c r="C1595" t="s">
        <v>3094</v>
      </c>
      <c r="D1595" t="s">
        <v>1027</v>
      </c>
      <c r="E1595">
        <v>1337</v>
      </c>
      <c r="G1595" t="b">
        <v>0</v>
      </c>
      <c r="H1595" t="b">
        <v>0</v>
      </c>
      <c r="I1595" t="s">
        <v>1050</v>
      </c>
      <c r="J1595">
        <v>76</v>
      </c>
      <c r="K1595" t="s">
        <v>0</v>
      </c>
      <c r="L1595" t="s">
        <v>3095</v>
      </c>
      <c r="M1595" t="s">
        <v>1175</v>
      </c>
      <c r="N1595" t="s">
        <v>1176</v>
      </c>
      <c r="O1595" t="s">
        <v>1175</v>
      </c>
      <c r="P1595" t="s">
        <v>3096</v>
      </c>
    </row>
    <row r="1596" spans="1:16" x14ac:dyDescent="0.25">
      <c r="A1596" t="s">
        <v>3698</v>
      </c>
      <c r="B1596" t="s">
        <v>3692</v>
      </c>
      <c r="C1596" t="s">
        <v>3094</v>
      </c>
      <c r="D1596" t="s">
        <v>1027</v>
      </c>
      <c r="E1596">
        <v>1337</v>
      </c>
      <c r="G1596" t="b">
        <v>0</v>
      </c>
      <c r="H1596" t="b">
        <v>0</v>
      </c>
      <c r="I1596" t="s">
        <v>1050</v>
      </c>
      <c r="J1596">
        <v>76</v>
      </c>
      <c r="K1596" t="s">
        <v>0</v>
      </c>
      <c r="L1596" t="s">
        <v>3095</v>
      </c>
      <c r="M1596" t="s">
        <v>1175</v>
      </c>
      <c r="N1596" t="s">
        <v>1176</v>
      </c>
      <c r="O1596" t="s">
        <v>1175</v>
      </c>
      <c r="P1596" t="s">
        <v>3096</v>
      </c>
    </row>
    <row r="1597" spans="1:16" x14ac:dyDescent="0.25">
      <c r="A1597" t="s">
        <v>3699</v>
      </c>
      <c r="B1597" t="s">
        <v>3692</v>
      </c>
      <c r="C1597" t="s">
        <v>3094</v>
      </c>
      <c r="D1597" t="s">
        <v>1027</v>
      </c>
      <c r="E1597">
        <v>1337</v>
      </c>
      <c r="G1597" t="b">
        <v>0</v>
      </c>
      <c r="H1597" t="b">
        <v>0</v>
      </c>
      <c r="I1597" t="s">
        <v>1050</v>
      </c>
      <c r="J1597">
        <v>76</v>
      </c>
      <c r="K1597" t="s">
        <v>0</v>
      </c>
      <c r="L1597" t="s">
        <v>3095</v>
      </c>
      <c r="M1597" t="s">
        <v>1175</v>
      </c>
      <c r="N1597" t="s">
        <v>1176</v>
      </c>
      <c r="O1597" t="s">
        <v>1175</v>
      </c>
      <c r="P1597" t="s">
        <v>3096</v>
      </c>
    </row>
    <row r="1598" spans="1:16" x14ac:dyDescent="0.25">
      <c r="A1598" t="s">
        <v>3700</v>
      </c>
      <c r="B1598" t="s">
        <v>3692</v>
      </c>
      <c r="C1598" t="s">
        <v>3094</v>
      </c>
      <c r="D1598" t="s">
        <v>1027</v>
      </c>
      <c r="E1598">
        <v>1337</v>
      </c>
      <c r="G1598" t="b">
        <v>0</v>
      </c>
      <c r="H1598" t="b">
        <v>0</v>
      </c>
      <c r="I1598" t="s">
        <v>1050</v>
      </c>
      <c r="J1598">
        <v>77</v>
      </c>
      <c r="K1598" t="s">
        <v>0</v>
      </c>
      <c r="L1598" t="s">
        <v>3095</v>
      </c>
      <c r="M1598" t="s">
        <v>1175</v>
      </c>
      <c r="N1598" t="s">
        <v>1176</v>
      </c>
      <c r="O1598" t="s">
        <v>1175</v>
      </c>
      <c r="P1598" t="s">
        <v>3096</v>
      </c>
    </row>
    <row r="1599" spans="1:16" x14ac:dyDescent="0.25">
      <c r="A1599" t="s">
        <v>3701</v>
      </c>
      <c r="B1599" t="s">
        <v>3692</v>
      </c>
      <c r="C1599" t="s">
        <v>3094</v>
      </c>
      <c r="D1599" t="s">
        <v>1027</v>
      </c>
      <c r="E1599">
        <v>1337</v>
      </c>
      <c r="G1599" t="b">
        <v>0</v>
      </c>
      <c r="H1599" t="b">
        <v>0</v>
      </c>
      <c r="I1599" t="s">
        <v>1050</v>
      </c>
      <c r="J1599">
        <v>77</v>
      </c>
      <c r="K1599" t="s">
        <v>0</v>
      </c>
      <c r="L1599" t="s">
        <v>3095</v>
      </c>
      <c r="M1599" t="s">
        <v>1175</v>
      </c>
      <c r="N1599" t="s">
        <v>1176</v>
      </c>
      <c r="O1599" t="s">
        <v>1175</v>
      </c>
      <c r="P1599" t="s">
        <v>3096</v>
      </c>
    </row>
    <row r="1600" spans="1:16" x14ac:dyDescent="0.25">
      <c r="A1600" t="s">
        <v>3702</v>
      </c>
      <c r="B1600" t="s">
        <v>3692</v>
      </c>
      <c r="C1600" t="s">
        <v>3094</v>
      </c>
      <c r="D1600" t="s">
        <v>1027</v>
      </c>
      <c r="E1600">
        <v>1337</v>
      </c>
      <c r="G1600" t="b">
        <v>0</v>
      </c>
      <c r="H1600" t="b">
        <v>0</v>
      </c>
      <c r="I1600" t="s">
        <v>1050</v>
      </c>
      <c r="J1600">
        <v>77</v>
      </c>
      <c r="K1600" t="s">
        <v>0</v>
      </c>
      <c r="L1600" t="s">
        <v>3095</v>
      </c>
      <c r="M1600" t="s">
        <v>1175</v>
      </c>
      <c r="N1600" t="s">
        <v>1176</v>
      </c>
      <c r="O1600" t="s">
        <v>1175</v>
      </c>
      <c r="P1600" t="s">
        <v>3096</v>
      </c>
    </row>
    <row r="1601" spans="1:16" x14ac:dyDescent="0.25">
      <c r="A1601" t="s">
        <v>3703</v>
      </c>
      <c r="B1601" t="s">
        <v>3704</v>
      </c>
      <c r="C1601" t="s">
        <v>1233</v>
      </c>
      <c r="D1601" t="s">
        <v>1027</v>
      </c>
      <c r="E1601">
        <v>63762</v>
      </c>
      <c r="F1601" t="s">
        <v>1234</v>
      </c>
      <c r="G1601" t="b">
        <v>0</v>
      </c>
      <c r="H1601" t="b">
        <v>0</v>
      </c>
      <c r="I1601" t="s">
        <v>1050</v>
      </c>
      <c r="J1601">
        <v>91</v>
      </c>
      <c r="K1601" t="s">
        <v>0</v>
      </c>
      <c r="L1601" t="s">
        <v>1167</v>
      </c>
      <c r="M1601" t="s">
        <v>1168</v>
      </c>
      <c r="N1601" t="s">
        <v>1169</v>
      </c>
      <c r="O1601" t="s">
        <v>1168</v>
      </c>
      <c r="P1601" t="s">
        <v>1235</v>
      </c>
    </row>
    <row r="1602" spans="1:16" x14ac:dyDescent="0.25">
      <c r="A1602" t="s">
        <v>3705</v>
      </c>
      <c r="B1602" t="s">
        <v>3706</v>
      </c>
      <c r="C1602" t="s">
        <v>1233</v>
      </c>
      <c r="D1602" t="s">
        <v>1027</v>
      </c>
      <c r="E1602">
        <v>63762</v>
      </c>
      <c r="F1602" t="s">
        <v>1234</v>
      </c>
      <c r="G1602" t="b">
        <v>0</v>
      </c>
      <c r="H1602" t="b">
        <v>0</v>
      </c>
      <c r="I1602" t="s">
        <v>1050</v>
      </c>
      <c r="J1602">
        <v>88</v>
      </c>
      <c r="K1602" t="s">
        <v>0</v>
      </c>
      <c r="L1602" t="s">
        <v>1167</v>
      </c>
      <c r="M1602" t="s">
        <v>1168</v>
      </c>
      <c r="N1602" t="s">
        <v>1169</v>
      </c>
      <c r="O1602" t="s">
        <v>1168</v>
      </c>
      <c r="P1602" t="s">
        <v>1235</v>
      </c>
    </row>
    <row r="1603" spans="1:16" x14ac:dyDescent="0.25">
      <c r="A1603" t="s">
        <v>3707</v>
      </c>
      <c r="B1603" t="s">
        <v>3708</v>
      </c>
      <c r="C1603" t="s">
        <v>1233</v>
      </c>
      <c r="D1603" t="s">
        <v>1027</v>
      </c>
      <c r="E1603">
        <v>63762</v>
      </c>
      <c r="F1603" t="s">
        <v>1234</v>
      </c>
      <c r="G1603" t="b">
        <v>0</v>
      </c>
      <c r="H1603" t="b">
        <v>0</v>
      </c>
      <c r="I1603" t="s">
        <v>1050</v>
      </c>
      <c r="J1603">
        <v>88</v>
      </c>
      <c r="K1603" t="s">
        <v>0</v>
      </c>
      <c r="L1603" t="s">
        <v>1167</v>
      </c>
      <c r="M1603" t="s">
        <v>1168</v>
      </c>
      <c r="N1603" t="s">
        <v>1169</v>
      </c>
      <c r="O1603" t="s">
        <v>1168</v>
      </c>
      <c r="P1603" t="s">
        <v>1235</v>
      </c>
    </row>
    <row r="1604" spans="1:16" x14ac:dyDescent="0.25">
      <c r="A1604" t="s">
        <v>3709</v>
      </c>
      <c r="B1604" t="s">
        <v>3710</v>
      </c>
      <c r="C1604" t="s">
        <v>1233</v>
      </c>
      <c r="D1604" t="s">
        <v>1027</v>
      </c>
      <c r="E1604">
        <v>63762</v>
      </c>
      <c r="F1604" t="s">
        <v>1234</v>
      </c>
      <c r="G1604" t="b">
        <v>0</v>
      </c>
      <c r="H1604" t="b">
        <v>0</v>
      </c>
      <c r="I1604" t="s">
        <v>1050</v>
      </c>
      <c r="J1604">
        <v>88</v>
      </c>
      <c r="K1604" t="s">
        <v>0</v>
      </c>
      <c r="L1604" t="s">
        <v>1167</v>
      </c>
      <c r="M1604" t="s">
        <v>1168</v>
      </c>
      <c r="N1604" t="s">
        <v>1169</v>
      </c>
      <c r="O1604" t="s">
        <v>1168</v>
      </c>
      <c r="P1604" t="s">
        <v>1235</v>
      </c>
    </row>
    <row r="1605" spans="1:16" x14ac:dyDescent="0.25">
      <c r="A1605" t="s">
        <v>3711</v>
      </c>
      <c r="B1605" t="s">
        <v>3712</v>
      </c>
      <c r="C1605" t="s">
        <v>1233</v>
      </c>
      <c r="D1605" t="s">
        <v>1027</v>
      </c>
      <c r="E1605">
        <v>63762</v>
      </c>
      <c r="F1605" t="s">
        <v>1234</v>
      </c>
      <c r="G1605" t="b">
        <v>0</v>
      </c>
      <c r="H1605" t="b">
        <v>0</v>
      </c>
      <c r="I1605" t="s">
        <v>1050</v>
      </c>
      <c r="J1605">
        <v>88</v>
      </c>
      <c r="K1605" t="s">
        <v>0</v>
      </c>
      <c r="L1605" t="s">
        <v>1167</v>
      </c>
      <c r="M1605" t="s">
        <v>1168</v>
      </c>
      <c r="N1605" t="s">
        <v>1169</v>
      </c>
      <c r="O1605" t="s">
        <v>1168</v>
      </c>
      <c r="P1605" t="s">
        <v>1235</v>
      </c>
    </row>
    <row r="1606" spans="1:16" x14ac:dyDescent="0.25">
      <c r="A1606" t="s">
        <v>3713</v>
      </c>
      <c r="B1606" t="s">
        <v>3714</v>
      </c>
      <c r="C1606" t="s">
        <v>1233</v>
      </c>
      <c r="D1606" t="s">
        <v>1027</v>
      </c>
      <c r="E1606">
        <v>63762</v>
      </c>
      <c r="F1606" t="s">
        <v>1234</v>
      </c>
      <c r="G1606" t="b">
        <v>0</v>
      </c>
      <c r="H1606" t="b">
        <v>0</v>
      </c>
      <c r="I1606" t="s">
        <v>1050</v>
      </c>
      <c r="J1606">
        <v>88</v>
      </c>
      <c r="K1606" t="s">
        <v>0</v>
      </c>
      <c r="L1606" t="s">
        <v>1167</v>
      </c>
      <c r="M1606" t="s">
        <v>1168</v>
      </c>
      <c r="N1606" t="s">
        <v>1169</v>
      </c>
      <c r="O1606" t="s">
        <v>1168</v>
      </c>
      <c r="P1606" t="s">
        <v>1235</v>
      </c>
    </row>
    <row r="1607" spans="1:16" x14ac:dyDescent="0.25">
      <c r="A1607" t="s">
        <v>3715</v>
      </c>
      <c r="B1607" t="s">
        <v>3716</v>
      </c>
      <c r="C1607" t="s">
        <v>1233</v>
      </c>
      <c r="D1607" t="s">
        <v>1027</v>
      </c>
      <c r="E1607">
        <v>63762</v>
      </c>
      <c r="F1607" t="s">
        <v>1234</v>
      </c>
      <c r="G1607" t="b">
        <v>0</v>
      </c>
      <c r="H1607" t="b">
        <v>0</v>
      </c>
      <c r="I1607" t="s">
        <v>1050</v>
      </c>
      <c r="J1607">
        <v>88</v>
      </c>
      <c r="K1607" t="s">
        <v>0</v>
      </c>
      <c r="L1607" t="s">
        <v>1167</v>
      </c>
      <c r="M1607" t="s">
        <v>1168</v>
      </c>
      <c r="N1607" t="s">
        <v>1169</v>
      </c>
      <c r="O1607" t="s">
        <v>1168</v>
      </c>
      <c r="P1607" t="s">
        <v>1235</v>
      </c>
    </row>
    <row r="1608" spans="1:16" x14ac:dyDescent="0.25">
      <c r="A1608" t="s">
        <v>3717</v>
      </c>
      <c r="B1608" t="s">
        <v>3718</v>
      </c>
      <c r="C1608" t="s">
        <v>1482</v>
      </c>
      <c r="D1608" t="s">
        <v>1027</v>
      </c>
      <c r="E1608">
        <v>1664</v>
      </c>
      <c r="F1608" t="s">
        <v>1483</v>
      </c>
      <c r="G1608" t="b">
        <v>0</v>
      </c>
      <c r="H1608" t="b">
        <v>0</v>
      </c>
      <c r="I1608" t="s">
        <v>1050</v>
      </c>
      <c r="J1608">
        <v>80</v>
      </c>
      <c r="K1608" t="s">
        <v>1</v>
      </c>
      <c r="L1608" t="s">
        <v>1213</v>
      </c>
      <c r="M1608" t="s">
        <v>1168</v>
      </c>
      <c r="N1608" t="s">
        <v>1168</v>
      </c>
      <c r="O1608" t="s">
        <v>1168</v>
      </c>
      <c r="P1608" t="s">
        <v>1484</v>
      </c>
    </row>
    <row r="1609" spans="1:16" x14ac:dyDescent="0.25">
      <c r="A1609" t="s">
        <v>3719</v>
      </c>
      <c r="B1609" t="s">
        <v>3720</v>
      </c>
      <c r="C1609" t="s">
        <v>1571</v>
      </c>
      <c r="D1609" t="s">
        <v>1027</v>
      </c>
      <c r="E1609">
        <v>63767</v>
      </c>
      <c r="G1609" t="b">
        <v>0</v>
      </c>
      <c r="H1609" t="b">
        <v>0</v>
      </c>
      <c r="I1609" t="s">
        <v>1050</v>
      </c>
      <c r="J1609">
        <v>80</v>
      </c>
      <c r="K1609" t="s">
        <v>0</v>
      </c>
      <c r="L1609" t="s">
        <v>1167</v>
      </c>
      <c r="M1609" t="s">
        <v>1168</v>
      </c>
      <c r="N1609" t="s">
        <v>1169</v>
      </c>
      <c r="O1609" t="s">
        <v>1168</v>
      </c>
      <c r="P1609" t="s">
        <v>1283</v>
      </c>
    </row>
    <row r="1610" spans="1:16" x14ac:dyDescent="0.25">
      <c r="A1610" t="s">
        <v>3721</v>
      </c>
      <c r="B1610" t="s">
        <v>3722</v>
      </c>
      <c r="C1610" t="s">
        <v>1571</v>
      </c>
      <c r="D1610" t="s">
        <v>1027</v>
      </c>
      <c r="E1610">
        <v>63767</v>
      </c>
      <c r="G1610" t="b">
        <v>0</v>
      </c>
      <c r="H1610" t="b">
        <v>0</v>
      </c>
      <c r="I1610" t="s">
        <v>1050</v>
      </c>
      <c r="J1610">
        <v>80</v>
      </c>
      <c r="K1610" t="s">
        <v>0</v>
      </c>
      <c r="L1610" t="s">
        <v>1167</v>
      </c>
      <c r="M1610" t="s">
        <v>1168</v>
      </c>
      <c r="N1610" t="s">
        <v>1169</v>
      </c>
      <c r="O1610" t="s">
        <v>1168</v>
      </c>
      <c r="P1610" t="s">
        <v>1283</v>
      </c>
    </row>
    <row r="1611" spans="1:16" x14ac:dyDescent="0.25">
      <c r="A1611" t="s">
        <v>3723</v>
      </c>
      <c r="B1611" t="s">
        <v>3722</v>
      </c>
      <c r="C1611" t="s">
        <v>1571</v>
      </c>
      <c r="D1611" t="s">
        <v>1027</v>
      </c>
      <c r="E1611">
        <v>63767</v>
      </c>
      <c r="G1611" t="b">
        <v>0</v>
      </c>
      <c r="H1611" t="b">
        <v>0</v>
      </c>
      <c r="I1611" t="s">
        <v>1050</v>
      </c>
      <c r="J1611">
        <v>80</v>
      </c>
      <c r="K1611" t="s">
        <v>0</v>
      </c>
      <c r="L1611" t="s">
        <v>1167</v>
      </c>
      <c r="M1611" t="s">
        <v>1168</v>
      </c>
      <c r="N1611" t="s">
        <v>1169</v>
      </c>
      <c r="O1611" t="s">
        <v>1168</v>
      </c>
      <c r="P1611" t="s">
        <v>1283</v>
      </c>
    </row>
    <row r="1612" spans="1:16" x14ac:dyDescent="0.25">
      <c r="A1612" t="s">
        <v>3724</v>
      </c>
      <c r="B1612" t="s">
        <v>3725</v>
      </c>
      <c r="C1612" t="s">
        <v>1571</v>
      </c>
      <c r="D1612" t="s">
        <v>1027</v>
      </c>
      <c r="E1612">
        <v>63767</v>
      </c>
      <c r="G1612" t="b">
        <v>0</v>
      </c>
      <c r="H1612" t="b">
        <v>0</v>
      </c>
      <c r="I1612" t="s">
        <v>1050</v>
      </c>
      <c r="J1612">
        <v>80</v>
      </c>
      <c r="K1612" t="s">
        <v>0</v>
      </c>
      <c r="L1612" t="s">
        <v>1167</v>
      </c>
      <c r="M1612" t="s">
        <v>1168</v>
      </c>
      <c r="N1612" t="s">
        <v>1169</v>
      </c>
      <c r="O1612" t="s">
        <v>1168</v>
      </c>
      <c r="P1612" t="s">
        <v>1283</v>
      </c>
    </row>
    <row r="1613" spans="1:16" x14ac:dyDescent="0.25">
      <c r="A1613" t="s">
        <v>3726</v>
      </c>
      <c r="B1613" t="s">
        <v>3727</v>
      </c>
      <c r="C1613" t="s">
        <v>1571</v>
      </c>
      <c r="D1613" t="s">
        <v>1027</v>
      </c>
      <c r="E1613">
        <v>63767</v>
      </c>
      <c r="G1613" t="b">
        <v>0</v>
      </c>
      <c r="H1613" t="b">
        <v>0</v>
      </c>
      <c r="I1613" t="s">
        <v>1050</v>
      </c>
      <c r="J1613">
        <v>80</v>
      </c>
      <c r="K1613" t="s">
        <v>0</v>
      </c>
      <c r="L1613" t="s">
        <v>1167</v>
      </c>
      <c r="M1613" t="s">
        <v>1168</v>
      </c>
      <c r="N1613" t="s">
        <v>1169</v>
      </c>
      <c r="O1613" t="s">
        <v>1168</v>
      </c>
      <c r="P1613" t="s">
        <v>1283</v>
      </c>
    </row>
    <row r="1614" spans="1:16" x14ac:dyDescent="0.25">
      <c r="A1614" t="s">
        <v>3728</v>
      </c>
      <c r="B1614" t="s">
        <v>3729</v>
      </c>
      <c r="C1614" t="s">
        <v>1571</v>
      </c>
      <c r="D1614" t="s">
        <v>1027</v>
      </c>
      <c r="E1614">
        <v>63767</v>
      </c>
      <c r="G1614" t="b">
        <v>0</v>
      </c>
      <c r="H1614" t="b">
        <v>0</v>
      </c>
      <c r="I1614" t="s">
        <v>1050</v>
      </c>
      <c r="J1614">
        <v>80</v>
      </c>
      <c r="K1614" t="s">
        <v>0</v>
      </c>
      <c r="L1614" t="s">
        <v>1167</v>
      </c>
      <c r="M1614" t="s">
        <v>1168</v>
      </c>
      <c r="N1614" t="s">
        <v>1169</v>
      </c>
      <c r="O1614" t="s">
        <v>1168</v>
      </c>
      <c r="P1614" t="s">
        <v>1283</v>
      </c>
    </row>
    <row r="1615" spans="1:16" x14ac:dyDescent="0.25">
      <c r="A1615" t="s">
        <v>3730</v>
      </c>
      <c r="B1615" t="s">
        <v>3731</v>
      </c>
      <c r="C1615" t="s">
        <v>1571</v>
      </c>
      <c r="D1615" t="s">
        <v>1027</v>
      </c>
      <c r="E1615">
        <v>63767</v>
      </c>
      <c r="G1615" t="b">
        <v>0</v>
      </c>
      <c r="H1615" t="b">
        <v>0</v>
      </c>
      <c r="I1615" t="s">
        <v>1050</v>
      </c>
      <c r="J1615">
        <v>80</v>
      </c>
      <c r="K1615" t="s">
        <v>0</v>
      </c>
      <c r="L1615" t="s">
        <v>1167</v>
      </c>
      <c r="M1615" t="s">
        <v>1168</v>
      </c>
      <c r="N1615" t="s">
        <v>1169</v>
      </c>
      <c r="O1615" t="s">
        <v>1168</v>
      </c>
      <c r="P1615" t="s">
        <v>1283</v>
      </c>
    </row>
    <row r="1616" spans="1:16" x14ac:dyDescent="0.25">
      <c r="A1616" t="s">
        <v>3732</v>
      </c>
      <c r="B1616" t="s">
        <v>3733</v>
      </c>
      <c r="C1616" t="s">
        <v>1571</v>
      </c>
      <c r="D1616" t="s">
        <v>1027</v>
      </c>
      <c r="E1616">
        <v>63767</v>
      </c>
      <c r="G1616" t="b">
        <v>0</v>
      </c>
      <c r="H1616" t="b">
        <v>0</v>
      </c>
      <c r="I1616" t="s">
        <v>1050</v>
      </c>
      <c r="J1616">
        <v>87</v>
      </c>
      <c r="K1616" t="s">
        <v>0</v>
      </c>
      <c r="L1616" t="s">
        <v>1167</v>
      </c>
      <c r="M1616" t="s">
        <v>1168</v>
      </c>
      <c r="N1616" t="s">
        <v>1169</v>
      </c>
      <c r="O1616" t="s">
        <v>1168</v>
      </c>
      <c r="P1616" t="s">
        <v>1283</v>
      </c>
    </row>
    <row r="1617" spans="1:16" x14ac:dyDescent="0.25">
      <c r="A1617" t="s">
        <v>3734</v>
      </c>
      <c r="B1617" t="s">
        <v>3735</v>
      </c>
      <c r="C1617" t="s">
        <v>1571</v>
      </c>
      <c r="D1617" t="s">
        <v>1027</v>
      </c>
      <c r="E1617">
        <v>63767</v>
      </c>
      <c r="G1617" t="b">
        <v>0</v>
      </c>
      <c r="H1617" t="b">
        <v>0</v>
      </c>
      <c r="I1617" t="s">
        <v>1050</v>
      </c>
      <c r="J1617">
        <v>87</v>
      </c>
      <c r="K1617" t="s">
        <v>0</v>
      </c>
      <c r="L1617" t="s">
        <v>1167</v>
      </c>
      <c r="M1617" t="s">
        <v>1168</v>
      </c>
      <c r="N1617" t="s">
        <v>1169</v>
      </c>
      <c r="O1617" t="s">
        <v>1168</v>
      </c>
      <c r="P1617" t="s">
        <v>1283</v>
      </c>
    </row>
    <row r="1618" spans="1:16" x14ac:dyDescent="0.25">
      <c r="A1618" t="s">
        <v>3736</v>
      </c>
      <c r="B1618" t="s">
        <v>3737</v>
      </c>
      <c r="C1618" t="s">
        <v>1571</v>
      </c>
      <c r="D1618" t="s">
        <v>1027</v>
      </c>
      <c r="E1618">
        <v>63767</v>
      </c>
      <c r="G1618" t="b">
        <v>0</v>
      </c>
      <c r="H1618" t="b">
        <v>0</v>
      </c>
      <c r="I1618" t="s">
        <v>1050</v>
      </c>
      <c r="J1618">
        <v>87</v>
      </c>
      <c r="K1618" t="s">
        <v>0</v>
      </c>
      <c r="L1618" t="s">
        <v>1167</v>
      </c>
      <c r="M1618" t="s">
        <v>1168</v>
      </c>
      <c r="N1618" t="s">
        <v>1169</v>
      </c>
      <c r="O1618" t="s">
        <v>1168</v>
      </c>
      <c r="P1618" t="s">
        <v>1283</v>
      </c>
    </row>
    <row r="1619" spans="1:16" x14ac:dyDescent="0.25">
      <c r="A1619" t="s">
        <v>3738</v>
      </c>
      <c r="B1619" t="s">
        <v>3739</v>
      </c>
      <c r="C1619" t="s">
        <v>1571</v>
      </c>
      <c r="D1619" t="s">
        <v>1027</v>
      </c>
      <c r="E1619">
        <v>63767</v>
      </c>
      <c r="G1619" t="b">
        <v>0</v>
      </c>
      <c r="H1619" t="b">
        <v>0</v>
      </c>
      <c r="I1619" t="s">
        <v>1050</v>
      </c>
      <c r="J1619">
        <v>87</v>
      </c>
      <c r="K1619" t="s">
        <v>0</v>
      </c>
      <c r="L1619" t="s">
        <v>1167</v>
      </c>
      <c r="M1619" t="s">
        <v>1168</v>
      </c>
      <c r="N1619" t="s">
        <v>1169</v>
      </c>
      <c r="O1619" t="s">
        <v>1168</v>
      </c>
      <c r="P1619" t="s">
        <v>1283</v>
      </c>
    </row>
    <row r="1620" spans="1:16" x14ac:dyDescent="0.25">
      <c r="A1620" t="s">
        <v>3740</v>
      </c>
      <c r="B1620" t="s">
        <v>3741</v>
      </c>
      <c r="C1620" t="s">
        <v>1571</v>
      </c>
      <c r="D1620" t="s">
        <v>1027</v>
      </c>
      <c r="E1620">
        <v>63767</v>
      </c>
      <c r="G1620" t="b">
        <v>0</v>
      </c>
      <c r="H1620" t="b">
        <v>0</v>
      </c>
      <c r="I1620" t="s">
        <v>1050</v>
      </c>
      <c r="J1620">
        <v>87</v>
      </c>
      <c r="K1620" t="s">
        <v>0</v>
      </c>
      <c r="L1620" t="s">
        <v>1167</v>
      </c>
      <c r="M1620" t="s">
        <v>1168</v>
      </c>
      <c r="N1620" t="s">
        <v>1169</v>
      </c>
      <c r="O1620" t="s">
        <v>1168</v>
      </c>
      <c r="P1620" t="s">
        <v>1283</v>
      </c>
    </row>
    <row r="1621" spans="1:16" x14ac:dyDescent="0.25">
      <c r="A1621" t="s">
        <v>3742</v>
      </c>
      <c r="B1621" t="s">
        <v>3743</v>
      </c>
      <c r="C1621" t="s">
        <v>1571</v>
      </c>
      <c r="D1621" t="s">
        <v>1027</v>
      </c>
      <c r="E1621">
        <v>63767</v>
      </c>
      <c r="G1621" t="b">
        <v>0</v>
      </c>
      <c r="H1621" t="b">
        <v>0</v>
      </c>
      <c r="I1621" t="s">
        <v>1050</v>
      </c>
      <c r="J1621">
        <v>87</v>
      </c>
      <c r="K1621" t="s">
        <v>0</v>
      </c>
      <c r="L1621" t="s">
        <v>1167</v>
      </c>
      <c r="M1621" t="s">
        <v>1168</v>
      </c>
      <c r="N1621" t="s">
        <v>1169</v>
      </c>
      <c r="O1621" t="s">
        <v>1168</v>
      </c>
      <c r="P1621" t="s">
        <v>1283</v>
      </c>
    </row>
    <row r="1622" spans="1:16" x14ac:dyDescent="0.25">
      <c r="A1622" t="s">
        <v>3744</v>
      </c>
      <c r="B1622" t="s">
        <v>3745</v>
      </c>
      <c r="C1622" t="s">
        <v>1571</v>
      </c>
      <c r="D1622" t="s">
        <v>1027</v>
      </c>
      <c r="E1622">
        <v>63767</v>
      </c>
      <c r="G1622" t="b">
        <v>0</v>
      </c>
      <c r="H1622" t="b">
        <v>0</v>
      </c>
      <c r="I1622" t="s">
        <v>1050</v>
      </c>
      <c r="J1622">
        <v>87</v>
      </c>
      <c r="K1622" t="s">
        <v>0</v>
      </c>
      <c r="L1622" t="s">
        <v>1167</v>
      </c>
      <c r="M1622" t="s">
        <v>1168</v>
      </c>
      <c r="N1622" t="s">
        <v>1169</v>
      </c>
      <c r="O1622" t="s">
        <v>1168</v>
      </c>
      <c r="P1622" t="s">
        <v>1283</v>
      </c>
    </row>
    <row r="1623" spans="1:16" x14ac:dyDescent="0.25">
      <c r="A1623" t="s">
        <v>3746</v>
      </c>
      <c r="B1623" t="s">
        <v>3747</v>
      </c>
      <c r="C1623" t="s">
        <v>1571</v>
      </c>
      <c r="D1623" t="s">
        <v>1027</v>
      </c>
      <c r="E1623">
        <v>63767</v>
      </c>
      <c r="G1623" t="b">
        <v>0</v>
      </c>
      <c r="H1623" t="b">
        <v>0</v>
      </c>
      <c r="I1623" t="s">
        <v>1050</v>
      </c>
      <c r="J1623">
        <v>87</v>
      </c>
      <c r="K1623" t="s">
        <v>0</v>
      </c>
      <c r="L1623" t="s">
        <v>1167</v>
      </c>
      <c r="M1623" t="s">
        <v>1168</v>
      </c>
      <c r="N1623" t="s">
        <v>1169</v>
      </c>
      <c r="O1623" t="s">
        <v>1168</v>
      </c>
      <c r="P1623" t="s">
        <v>1283</v>
      </c>
    </row>
    <row r="1624" spans="1:16" x14ac:dyDescent="0.25">
      <c r="A1624" t="s">
        <v>3748</v>
      </c>
      <c r="B1624" t="s">
        <v>3749</v>
      </c>
      <c r="C1624" t="s">
        <v>1571</v>
      </c>
      <c r="D1624" t="s">
        <v>1027</v>
      </c>
      <c r="E1624">
        <v>63767</v>
      </c>
      <c r="G1624" t="b">
        <v>0</v>
      </c>
      <c r="H1624" t="b">
        <v>0</v>
      </c>
      <c r="I1624" t="s">
        <v>1050</v>
      </c>
      <c r="J1624">
        <v>87</v>
      </c>
      <c r="K1624" t="s">
        <v>0</v>
      </c>
      <c r="L1624" t="s">
        <v>1167</v>
      </c>
      <c r="M1624" t="s">
        <v>1168</v>
      </c>
      <c r="N1624" t="s">
        <v>1169</v>
      </c>
      <c r="O1624" t="s">
        <v>1168</v>
      </c>
      <c r="P1624" t="s">
        <v>1283</v>
      </c>
    </row>
    <row r="1625" spans="1:16" x14ac:dyDescent="0.25">
      <c r="A1625" t="s">
        <v>3750</v>
      </c>
      <c r="B1625" t="s">
        <v>3751</v>
      </c>
      <c r="C1625" t="s">
        <v>1571</v>
      </c>
      <c r="D1625" t="s">
        <v>1027</v>
      </c>
      <c r="E1625">
        <v>63767</v>
      </c>
      <c r="G1625" t="b">
        <v>0</v>
      </c>
      <c r="H1625" t="b">
        <v>0</v>
      </c>
      <c r="I1625" t="s">
        <v>1050</v>
      </c>
      <c r="J1625">
        <v>80</v>
      </c>
      <c r="K1625" t="s">
        <v>0</v>
      </c>
      <c r="L1625" t="s">
        <v>1167</v>
      </c>
      <c r="M1625" t="s">
        <v>1168</v>
      </c>
      <c r="N1625" t="s">
        <v>1169</v>
      </c>
      <c r="O1625" t="s">
        <v>1168</v>
      </c>
      <c r="P1625" t="s">
        <v>1283</v>
      </c>
    </row>
    <row r="1626" spans="1:16" x14ac:dyDescent="0.25">
      <c r="A1626" t="s">
        <v>3752</v>
      </c>
      <c r="B1626" t="s">
        <v>3753</v>
      </c>
      <c r="C1626" t="s">
        <v>1571</v>
      </c>
      <c r="D1626" t="s">
        <v>1027</v>
      </c>
      <c r="E1626">
        <v>63767</v>
      </c>
      <c r="G1626" t="b">
        <v>0</v>
      </c>
      <c r="H1626" t="b">
        <v>0</v>
      </c>
      <c r="I1626" t="s">
        <v>1050</v>
      </c>
      <c r="J1626">
        <v>80</v>
      </c>
      <c r="K1626" t="s">
        <v>0</v>
      </c>
      <c r="L1626" t="s">
        <v>1167</v>
      </c>
      <c r="M1626" t="s">
        <v>1168</v>
      </c>
      <c r="N1626" t="s">
        <v>1169</v>
      </c>
      <c r="O1626" t="s">
        <v>1168</v>
      </c>
      <c r="P1626" t="s">
        <v>1283</v>
      </c>
    </row>
    <row r="1627" spans="1:16" x14ac:dyDescent="0.25">
      <c r="A1627" t="s">
        <v>3754</v>
      </c>
      <c r="B1627" t="s">
        <v>3755</v>
      </c>
      <c r="C1627" t="s">
        <v>1571</v>
      </c>
      <c r="D1627" t="s">
        <v>1027</v>
      </c>
      <c r="E1627">
        <v>63767</v>
      </c>
      <c r="G1627" t="b">
        <v>0</v>
      </c>
      <c r="H1627" t="b">
        <v>0</v>
      </c>
      <c r="I1627" t="s">
        <v>1050</v>
      </c>
      <c r="J1627">
        <v>80</v>
      </c>
      <c r="K1627" t="s">
        <v>0</v>
      </c>
      <c r="L1627" t="s">
        <v>1167</v>
      </c>
      <c r="M1627" t="s">
        <v>1168</v>
      </c>
      <c r="N1627" t="s">
        <v>1169</v>
      </c>
      <c r="O1627" t="s">
        <v>1168</v>
      </c>
      <c r="P1627" t="s">
        <v>1283</v>
      </c>
    </row>
    <row r="1628" spans="1:16" x14ac:dyDescent="0.25">
      <c r="A1628" t="s">
        <v>3756</v>
      </c>
      <c r="B1628" t="s">
        <v>3757</v>
      </c>
      <c r="C1628" t="s">
        <v>1571</v>
      </c>
      <c r="D1628" t="s">
        <v>1027</v>
      </c>
      <c r="E1628">
        <v>63767</v>
      </c>
      <c r="G1628" t="b">
        <v>0</v>
      </c>
      <c r="H1628" t="b">
        <v>0</v>
      </c>
      <c r="I1628" t="s">
        <v>1050</v>
      </c>
      <c r="J1628">
        <v>80</v>
      </c>
      <c r="K1628" t="s">
        <v>0</v>
      </c>
      <c r="L1628" t="s">
        <v>1167</v>
      </c>
      <c r="M1628" t="s">
        <v>1168</v>
      </c>
      <c r="N1628" t="s">
        <v>1169</v>
      </c>
      <c r="O1628" t="s">
        <v>1168</v>
      </c>
      <c r="P1628" t="s">
        <v>1283</v>
      </c>
    </row>
    <row r="1629" spans="1:16" x14ac:dyDescent="0.25">
      <c r="A1629" t="s">
        <v>3758</v>
      </c>
      <c r="B1629" t="s">
        <v>3759</v>
      </c>
      <c r="C1629" t="s">
        <v>1571</v>
      </c>
      <c r="D1629" t="s">
        <v>1027</v>
      </c>
      <c r="E1629">
        <v>63767</v>
      </c>
      <c r="G1629" t="b">
        <v>0</v>
      </c>
      <c r="H1629" t="b">
        <v>0</v>
      </c>
      <c r="I1629" t="s">
        <v>1050</v>
      </c>
      <c r="J1629">
        <v>80</v>
      </c>
      <c r="K1629" t="s">
        <v>0</v>
      </c>
      <c r="L1629" t="s">
        <v>1167</v>
      </c>
      <c r="M1629" t="s">
        <v>1168</v>
      </c>
      <c r="N1629" t="s">
        <v>1169</v>
      </c>
      <c r="O1629" t="s">
        <v>1168</v>
      </c>
      <c r="P1629" t="s">
        <v>1283</v>
      </c>
    </row>
    <row r="1630" spans="1:16" x14ac:dyDescent="0.25">
      <c r="A1630" t="s">
        <v>3760</v>
      </c>
      <c r="B1630" t="s">
        <v>3761</v>
      </c>
      <c r="C1630" t="s">
        <v>1233</v>
      </c>
      <c r="D1630" t="s">
        <v>1027</v>
      </c>
      <c r="E1630">
        <v>63762</v>
      </c>
      <c r="F1630" t="s">
        <v>1234</v>
      </c>
      <c r="G1630" t="b">
        <v>0</v>
      </c>
      <c r="H1630" t="b">
        <v>0</v>
      </c>
      <c r="I1630" t="s">
        <v>1050</v>
      </c>
      <c r="J1630">
        <v>80</v>
      </c>
      <c r="K1630" t="s">
        <v>0</v>
      </c>
      <c r="L1630" t="s">
        <v>1167</v>
      </c>
      <c r="M1630" t="s">
        <v>1168</v>
      </c>
      <c r="N1630" t="s">
        <v>1169</v>
      </c>
      <c r="O1630" t="s">
        <v>1168</v>
      </c>
      <c r="P1630" t="s">
        <v>1235</v>
      </c>
    </row>
    <row r="1631" spans="1:16" x14ac:dyDescent="0.25">
      <c r="A1631" t="s">
        <v>3762</v>
      </c>
      <c r="B1631" t="s">
        <v>3763</v>
      </c>
      <c r="C1631" t="s">
        <v>2026</v>
      </c>
      <c r="D1631" t="s">
        <v>1027</v>
      </c>
      <c r="E1631">
        <v>1336</v>
      </c>
      <c r="F1631" t="s">
        <v>2027</v>
      </c>
      <c r="G1631" t="b">
        <v>0</v>
      </c>
      <c r="H1631" t="b">
        <v>0</v>
      </c>
      <c r="I1631" t="s">
        <v>1050</v>
      </c>
      <c r="J1631">
        <v>80</v>
      </c>
      <c r="K1631" t="s">
        <v>0</v>
      </c>
      <c r="L1631" t="s">
        <v>1167</v>
      </c>
      <c r="M1631" t="s">
        <v>1168</v>
      </c>
      <c r="N1631" t="s">
        <v>1169</v>
      </c>
      <c r="O1631" t="s">
        <v>1168</v>
      </c>
      <c r="P1631" t="s">
        <v>2028</v>
      </c>
    </row>
    <row r="1632" spans="1:16" x14ac:dyDescent="0.25">
      <c r="A1632" t="s">
        <v>3764</v>
      </c>
      <c r="B1632" t="s">
        <v>3765</v>
      </c>
      <c r="C1632" t="s">
        <v>1571</v>
      </c>
      <c r="D1632" t="s">
        <v>1027</v>
      </c>
      <c r="E1632">
        <v>63767</v>
      </c>
      <c r="G1632" t="b">
        <v>0</v>
      </c>
      <c r="H1632" t="b">
        <v>0</v>
      </c>
      <c r="I1632" t="s">
        <v>1050</v>
      </c>
      <c r="J1632">
        <v>80</v>
      </c>
      <c r="K1632" t="s">
        <v>0</v>
      </c>
      <c r="L1632" t="s">
        <v>1167</v>
      </c>
      <c r="M1632" t="s">
        <v>1168</v>
      </c>
      <c r="N1632" t="s">
        <v>1169</v>
      </c>
      <c r="O1632" t="s">
        <v>1168</v>
      </c>
      <c r="P1632" t="s">
        <v>1283</v>
      </c>
    </row>
    <row r="1633" spans="1:16" x14ac:dyDescent="0.25">
      <c r="A1633" t="s">
        <v>3766</v>
      </c>
      <c r="B1633" t="s">
        <v>3767</v>
      </c>
      <c r="C1633" t="s">
        <v>1571</v>
      </c>
      <c r="D1633" t="s">
        <v>1027</v>
      </c>
      <c r="E1633">
        <v>63767</v>
      </c>
      <c r="G1633" t="b">
        <v>0</v>
      </c>
      <c r="H1633" t="b">
        <v>0</v>
      </c>
      <c r="I1633" t="s">
        <v>1050</v>
      </c>
      <c r="J1633">
        <v>80</v>
      </c>
      <c r="K1633" t="s">
        <v>0</v>
      </c>
      <c r="L1633" t="s">
        <v>1167</v>
      </c>
      <c r="M1633" t="s">
        <v>1168</v>
      </c>
      <c r="N1633" t="s">
        <v>1169</v>
      </c>
      <c r="O1633" t="s">
        <v>1168</v>
      </c>
      <c r="P1633" t="s">
        <v>1283</v>
      </c>
    </row>
    <row r="1634" spans="1:16" x14ac:dyDescent="0.25">
      <c r="A1634" t="s">
        <v>3768</v>
      </c>
      <c r="B1634" t="s">
        <v>3769</v>
      </c>
      <c r="C1634" t="s">
        <v>1571</v>
      </c>
      <c r="D1634" t="s">
        <v>1027</v>
      </c>
      <c r="E1634">
        <v>63767</v>
      </c>
      <c r="G1634" t="b">
        <v>0</v>
      </c>
      <c r="H1634" t="b">
        <v>0</v>
      </c>
      <c r="I1634" t="s">
        <v>1050</v>
      </c>
      <c r="J1634">
        <v>80</v>
      </c>
      <c r="K1634" t="s">
        <v>0</v>
      </c>
      <c r="L1634" t="s">
        <v>1167</v>
      </c>
      <c r="M1634" t="s">
        <v>1168</v>
      </c>
      <c r="N1634" t="s">
        <v>1169</v>
      </c>
      <c r="O1634" t="s">
        <v>1168</v>
      </c>
      <c r="P1634" t="s">
        <v>1283</v>
      </c>
    </row>
    <row r="1635" spans="1:16" x14ac:dyDescent="0.25">
      <c r="A1635" t="s">
        <v>3770</v>
      </c>
      <c r="B1635" t="s">
        <v>3771</v>
      </c>
      <c r="C1635" t="s">
        <v>1571</v>
      </c>
      <c r="D1635" t="s">
        <v>1027</v>
      </c>
      <c r="E1635">
        <v>63767</v>
      </c>
      <c r="G1635" t="b">
        <v>0</v>
      </c>
      <c r="H1635" t="b">
        <v>0</v>
      </c>
      <c r="I1635" t="s">
        <v>1050</v>
      </c>
      <c r="J1635">
        <v>80</v>
      </c>
      <c r="K1635" t="s">
        <v>0</v>
      </c>
      <c r="L1635" t="s">
        <v>1167</v>
      </c>
      <c r="M1635" t="s">
        <v>1168</v>
      </c>
      <c r="N1635" t="s">
        <v>1169</v>
      </c>
      <c r="O1635" t="s">
        <v>1168</v>
      </c>
      <c r="P1635" t="s">
        <v>1283</v>
      </c>
    </row>
    <row r="1636" spans="1:16" x14ac:dyDescent="0.25">
      <c r="A1636" t="s">
        <v>3772</v>
      </c>
      <c r="B1636" t="s">
        <v>3773</v>
      </c>
      <c r="C1636" t="s">
        <v>1571</v>
      </c>
      <c r="D1636" t="s">
        <v>1027</v>
      </c>
      <c r="E1636">
        <v>63767</v>
      </c>
      <c r="G1636" t="b">
        <v>0</v>
      </c>
      <c r="H1636" t="b">
        <v>0</v>
      </c>
      <c r="I1636" t="s">
        <v>1050</v>
      </c>
      <c r="J1636">
        <v>80</v>
      </c>
      <c r="K1636" t="s">
        <v>0</v>
      </c>
      <c r="L1636" t="s">
        <v>1167</v>
      </c>
      <c r="M1636" t="s">
        <v>1168</v>
      </c>
      <c r="N1636" t="s">
        <v>1169</v>
      </c>
      <c r="O1636" t="s">
        <v>1168</v>
      </c>
      <c r="P1636" t="s">
        <v>1283</v>
      </c>
    </row>
    <row r="1637" spans="1:16" x14ac:dyDescent="0.25">
      <c r="A1637" t="s">
        <v>3774</v>
      </c>
      <c r="B1637" t="s">
        <v>3775</v>
      </c>
      <c r="C1637" t="s">
        <v>1571</v>
      </c>
      <c r="D1637" t="s">
        <v>1027</v>
      </c>
      <c r="E1637">
        <v>63767</v>
      </c>
      <c r="G1637" t="b">
        <v>0</v>
      </c>
      <c r="H1637" t="b">
        <v>0</v>
      </c>
      <c r="I1637" t="s">
        <v>1050</v>
      </c>
      <c r="J1637">
        <v>87</v>
      </c>
      <c r="K1637" t="s">
        <v>0</v>
      </c>
      <c r="L1637" t="s">
        <v>1167</v>
      </c>
      <c r="M1637" t="s">
        <v>1168</v>
      </c>
      <c r="N1637" t="s">
        <v>1169</v>
      </c>
      <c r="O1637" t="s">
        <v>1168</v>
      </c>
      <c r="P1637" t="s">
        <v>1283</v>
      </c>
    </row>
    <row r="1638" spans="1:16" x14ac:dyDescent="0.25">
      <c r="A1638" t="s">
        <v>3776</v>
      </c>
      <c r="B1638" t="s">
        <v>3777</v>
      </c>
      <c r="C1638" t="s">
        <v>1165</v>
      </c>
      <c r="D1638" t="s">
        <v>1027</v>
      </c>
      <c r="E1638">
        <v>63774</v>
      </c>
      <c r="F1638" t="s">
        <v>1166</v>
      </c>
      <c r="G1638" t="b">
        <v>0</v>
      </c>
      <c r="H1638" t="b">
        <v>0</v>
      </c>
      <c r="I1638" t="s">
        <v>1050</v>
      </c>
      <c r="J1638">
        <v>52</v>
      </c>
      <c r="K1638" t="s">
        <v>1</v>
      </c>
      <c r="L1638" t="s">
        <v>1167</v>
      </c>
      <c r="M1638" t="s">
        <v>1168</v>
      </c>
      <c r="N1638" t="s">
        <v>1169</v>
      </c>
      <c r="O1638" t="s">
        <v>1168</v>
      </c>
      <c r="P1638" t="s">
        <v>1170</v>
      </c>
    </row>
    <row r="1639" spans="1:16" x14ac:dyDescent="0.25">
      <c r="A1639" t="s">
        <v>3778</v>
      </c>
      <c r="B1639" t="s">
        <v>3777</v>
      </c>
      <c r="C1639" t="s">
        <v>1165</v>
      </c>
      <c r="D1639" t="s">
        <v>1027</v>
      </c>
      <c r="E1639">
        <v>63774</v>
      </c>
      <c r="F1639" t="s">
        <v>1166</v>
      </c>
      <c r="G1639" t="b">
        <v>0</v>
      </c>
      <c r="H1639" t="b">
        <v>0</v>
      </c>
      <c r="I1639" t="s">
        <v>1050</v>
      </c>
      <c r="J1639">
        <v>52</v>
      </c>
      <c r="K1639" t="s">
        <v>1</v>
      </c>
      <c r="L1639" t="s">
        <v>1167</v>
      </c>
      <c r="M1639" t="s">
        <v>1168</v>
      </c>
      <c r="N1639" t="s">
        <v>1169</v>
      </c>
      <c r="O1639" t="s">
        <v>1168</v>
      </c>
      <c r="P1639" t="s">
        <v>1170</v>
      </c>
    </row>
    <row r="1640" spans="1:16" x14ac:dyDescent="0.25">
      <c r="A1640" t="s">
        <v>3779</v>
      </c>
      <c r="B1640" t="s">
        <v>3780</v>
      </c>
      <c r="C1640" t="s">
        <v>2998</v>
      </c>
      <c r="D1640" t="s">
        <v>1027</v>
      </c>
      <c r="E1640">
        <v>1721</v>
      </c>
      <c r="F1640" t="s">
        <v>2999</v>
      </c>
      <c r="G1640" t="b">
        <v>0</v>
      </c>
      <c r="H1640" t="b">
        <v>0</v>
      </c>
      <c r="I1640" t="s">
        <v>1050</v>
      </c>
      <c r="J1640">
        <v>88</v>
      </c>
      <c r="K1640" t="s">
        <v>0</v>
      </c>
      <c r="L1640" t="s">
        <v>3000</v>
      </c>
      <c r="M1640" t="s">
        <v>1548</v>
      </c>
      <c r="N1640" t="s">
        <v>1549</v>
      </c>
      <c r="O1640" t="s">
        <v>1549</v>
      </c>
      <c r="P1640" t="s">
        <v>3001</v>
      </c>
    </row>
    <row r="1641" spans="1:16" x14ac:dyDescent="0.25">
      <c r="A1641" t="s">
        <v>3781</v>
      </c>
      <c r="B1641" t="s">
        <v>3782</v>
      </c>
      <c r="C1641" t="s">
        <v>1233</v>
      </c>
      <c r="D1641" t="s">
        <v>1027</v>
      </c>
      <c r="E1641">
        <v>63762</v>
      </c>
      <c r="F1641" t="s">
        <v>1234</v>
      </c>
      <c r="G1641" t="b">
        <v>0</v>
      </c>
      <c r="H1641" t="b">
        <v>0</v>
      </c>
      <c r="I1641" t="s">
        <v>1050</v>
      </c>
      <c r="J1641">
        <v>88</v>
      </c>
      <c r="K1641" t="s">
        <v>0</v>
      </c>
      <c r="L1641" t="s">
        <v>1167</v>
      </c>
      <c r="M1641" t="s">
        <v>1168</v>
      </c>
      <c r="N1641" t="s">
        <v>1169</v>
      </c>
      <c r="O1641" t="s">
        <v>1168</v>
      </c>
      <c r="P1641" t="s">
        <v>1235</v>
      </c>
    </row>
    <row r="1642" spans="1:16" x14ac:dyDescent="0.25">
      <c r="A1642" t="s">
        <v>3783</v>
      </c>
      <c r="B1642" t="s">
        <v>3784</v>
      </c>
      <c r="C1642" t="s">
        <v>1233</v>
      </c>
      <c r="D1642" t="s">
        <v>1027</v>
      </c>
      <c r="E1642">
        <v>63762</v>
      </c>
      <c r="F1642" t="s">
        <v>1234</v>
      </c>
      <c r="G1642" t="b">
        <v>0</v>
      </c>
      <c r="H1642" t="b">
        <v>0</v>
      </c>
      <c r="I1642" t="s">
        <v>1050</v>
      </c>
      <c r="J1642">
        <v>88</v>
      </c>
      <c r="K1642" t="s">
        <v>0</v>
      </c>
      <c r="L1642" t="s">
        <v>1167</v>
      </c>
      <c r="M1642" t="s">
        <v>1168</v>
      </c>
      <c r="N1642" t="s">
        <v>1169</v>
      </c>
      <c r="O1642" t="s">
        <v>1168</v>
      </c>
      <c r="P1642" t="s">
        <v>1235</v>
      </c>
    </row>
    <row r="1643" spans="1:16" x14ac:dyDescent="0.25">
      <c r="A1643" t="s">
        <v>3785</v>
      </c>
      <c r="B1643" t="s">
        <v>3786</v>
      </c>
      <c r="C1643" t="s">
        <v>1233</v>
      </c>
      <c r="D1643" t="s">
        <v>1027</v>
      </c>
      <c r="E1643">
        <v>63762</v>
      </c>
      <c r="F1643" t="s">
        <v>1234</v>
      </c>
      <c r="G1643" t="b">
        <v>0</v>
      </c>
      <c r="H1643" t="b">
        <v>0</v>
      </c>
      <c r="I1643" t="s">
        <v>1050</v>
      </c>
      <c r="J1643">
        <v>88</v>
      </c>
      <c r="K1643" t="s">
        <v>0</v>
      </c>
      <c r="L1643" t="s">
        <v>1167</v>
      </c>
      <c r="M1643" t="s">
        <v>1168</v>
      </c>
      <c r="N1643" t="s">
        <v>1169</v>
      </c>
      <c r="O1643" t="s">
        <v>1168</v>
      </c>
      <c r="P1643" t="s">
        <v>1235</v>
      </c>
    </row>
    <row r="1644" spans="1:16" x14ac:dyDescent="0.25">
      <c r="A1644" t="s">
        <v>3787</v>
      </c>
      <c r="B1644" t="s">
        <v>3788</v>
      </c>
      <c r="C1644" t="s">
        <v>1233</v>
      </c>
      <c r="D1644" t="s">
        <v>1027</v>
      </c>
      <c r="E1644">
        <v>63762</v>
      </c>
      <c r="F1644" t="s">
        <v>1234</v>
      </c>
      <c r="G1644" t="b">
        <v>0</v>
      </c>
      <c r="H1644" t="b">
        <v>0</v>
      </c>
      <c r="I1644" t="s">
        <v>1050</v>
      </c>
      <c r="J1644">
        <v>88</v>
      </c>
      <c r="K1644" t="s">
        <v>0</v>
      </c>
      <c r="L1644" t="s">
        <v>1167</v>
      </c>
      <c r="M1644" t="s">
        <v>1168</v>
      </c>
      <c r="N1644" t="s">
        <v>1169</v>
      </c>
      <c r="O1644" t="s">
        <v>1168</v>
      </c>
      <c r="P1644" t="s">
        <v>1235</v>
      </c>
    </row>
    <row r="1645" spans="1:16" x14ac:dyDescent="0.25">
      <c r="A1645" t="s">
        <v>3789</v>
      </c>
      <c r="B1645" t="s">
        <v>3790</v>
      </c>
      <c r="C1645" t="s">
        <v>1233</v>
      </c>
      <c r="D1645" t="s">
        <v>1027</v>
      </c>
      <c r="E1645">
        <v>63762</v>
      </c>
      <c r="F1645" t="s">
        <v>1234</v>
      </c>
      <c r="G1645" t="b">
        <v>0</v>
      </c>
      <c r="H1645" t="b">
        <v>0</v>
      </c>
      <c r="I1645" t="s">
        <v>1050</v>
      </c>
      <c r="J1645">
        <v>88</v>
      </c>
      <c r="K1645" t="s">
        <v>0</v>
      </c>
      <c r="L1645" t="s">
        <v>1167</v>
      </c>
      <c r="M1645" t="s">
        <v>1168</v>
      </c>
      <c r="N1645" t="s">
        <v>1169</v>
      </c>
      <c r="O1645" t="s">
        <v>1168</v>
      </c>
      <c r="P1645" t="s">
        <v>1235</v>
      </c>
    </row>
    <row r="1646" spans="1:16" x14ac:dyDescent="0.25">
      <c r="A1646" t="s">
        <v>3791</v>
      </c>
      <c r="B1646" t="s">
        <v>3792</v>
      </c>
      <c r="C1646" t="s">
        <v>1233</v>
      </c>
      <c r="D1646" t="s">
        <v>1027</v>
      </c>
      <c r="E1646">
        <v>63762</v>
      </c>
      <c r="F1646" t="s">
        <v>1234</v>
      </c>
      <c r="G1646" t="b">
        <v>0</v>
      </c>
      <c r="H1646" t="b">
        <v>0</v>
      </c>
      <c r="I1646" t="s">
        <v>1050</v>
      </c>
      <c r="J1646">
        <v>88</v>
      </c>
      <c r="K1646" t="s">
        <v>0</v>
      </c>
      <c r="L1646" t="s">
        <v>1167</v>
      </c>
      <c r="M1646" t="s">
        <v>1168</v>
      </c>
      <c r="N1646" t="s">
        <v>1169</v>
      </c>
      <c r="O1646" t="s">
        <v>1168</v>
      </c>
      <c r="P1646" t="s">
        <v>1235</v>
      </c>
    </row>
    <row r="1647" spans="1:16" x14ac:dyDescent="0.25">
      <c r="A1647" t="s">
        <v>3793</v>
      </c>
      <c r="B1647" t="s">
        <v>3794</v>
      </c>
      <c r="C1647" t="s">
        <v>1233</v>
      </c>
      <c r="D1647" t="s">
        <v>1027</v>
      </c>
      <c r="E1647">
        <v>63762</v>
      </c>
      <c r="F1647" t="s">
        <v>1234</v>
      </c>
      <c r="G1647" t="b">
        <v>0</v>
      </c>
      <c r="H1647" t="b">
        <v>0</v>
      </c>
      <c r="I1647" t="s">
        <v>1050</v>
      </c>
      <c r="J1647">
        <v>88</v>
      </c>
      <c r="K1647" t="s">
        <v>0</v>
      </c>
      <c r="L1647" t="s">
        <v>1167</v>
      </c>
      <c r="M1647" t="s">
        <v>1168</v>
      </c>
      <c r="N1647" t="s">
        <v>1169</v>
      </c>
      <c r="O1647" t="s">
        <v>1168</v>
      </c>
      <c r="P1647" t="s">
        <v>1235</v>
      </c>
    </row>
    <row r="1648" spans="1:16" x14ac:dyDescent="0.25">
      <c r="A1648" t="s">
        <v>3795</v>
      </c>
      <c r="B1648" t="s">
        <v>3796</v>
      </c>
      <c r="C1648" t="s">
        <v>1233</v>
      </c>
      <c r="D1648" t="s">
        <v>1027</v>
      </c>
      <c r="E1648">
        <v>63762</v>
      </c>
      <c r="F1648" t="s">
        <v>1234</v>
      </c>
      <c r="G1648" t="b">
        <v>0</v>
      </c>
      <c r="H1648" t="b">
        <v>0</v>
      </c>
      <c r="I1648" t="s">
        <v>1050</v>
      </c>
      <c r="J1648">
        <v>88</v>
      </c>
      <c r="K1648" t="s">
        <v>0</v>
      </c>
      <c r="L1648" t="s">
        <v>1167</v>
      </c>
      <c r="M1648" t="s">
        <v>1168</v>
      </c>
      <c r="N1648" t="s">
        <v>1169</v>
      </c>
      <c r="O1648" t="s">
        <v>1168</v>
      </c>
      <c r="P1648" t="s">
        <v>1235</v>
      </c>
    </row>
    <row r="1649" spans="1:16" x14ac:dyDescent="0.25">
      <c r="A1649" t="s">
        <v>3797</v>
      </c>
      <c r="B1649" t="s">
        <v>3798</v>
      </c>
      <c r="C1649" t="s">
        <v>1233</v>
      </c>
      <c r="D1649" t="s">
        <v>1027</v>
      </c>
      <c r="E1649">
        <v>63762</v>
      </c>
      <c r="F1649" t="s">
        <v>1234</v>
      </c>
      <c r="G1649" t="b">
        <v>0</v>
      </c>
      <c r="H1649" t="b">
        <v>0</v>
      </c>
      <c r="I1649" t="s">
        <v>1050</v>
      </c>
      <c r="J1649">
        <v>88</v>
      </c>
      <c r="K1649" t="s">
        <v>0</v>
      </c>
      <c r="L1649" t="s">
        <v>1167</v>
      </c>
      <c r="M1649" t="s">
        <v>1168</v>
      </c>
      <c r="N1649" t="s">
        <v>1169</v>
      </c>
      <c r="O1649" t="s">
        <v>1168</v>
      </c>
      <c r="P1649" t="s">
        <v>1235</v>
      </c>
    </row>
    <row r="1650" spans="1:16" x14ac:dyDescent="0.25">
      <c r="A1650" t="s">
        <v>3799</v>
      </c>
      <c r="B1650" t="s">
        <v>3800</v>
      </c>
      <c r="C1650" t="s">
        <v>1233</v>
      </c>
      <c r="D1650" t="s">
        <v>1027</v>
      </c>
      <c r="E1650">
        <v>63762</v>
      </c>
      <c r="F1650" t="s">
        <v>1234</v>
      </c>
      <c r="G1650" t="b">
        <v>0</v>
      </c>
      <c r="H1650" t="b">
        <v>0</v>
      </c>
      <c r="I1650" t="s">
        <v>1050</v>
      </c>
      <c r="J1650">
        <v>88</v>
      </c>
      <c r="K1650" t="s">
        <v>0</v>
      </c>
      <c r="L1650" t="s">
        <v>1167</v>
      </c>
      <c r="M1650" t="s">
        <v>1168</v>
      </c>
      <c r="N1650" t="s">
        <v>1169</v>
      </c>
      <c r="O1650" t="s">
        <v>1168</v>
      </c>
      <c r="P1650" t="s">
        <v>1235</v>
      </c>
    </row>
    <row r="1651" spans="1:16" x14ac:dyDescent="0.25">
      <c r="A1651" t="s">
        <v>3801</v>
      </c>
      <c r="B1651" t="s">
        <v>3802</v>
      </c>
      <c r="C1651" t="s">
        <v>1233</v>
      </c>
      <c r="D1651" t="s">
        <v>1027</v>
      </c>
      <c r="E1651">
        <v>63762</v>
      </c>
      <c r="F1651" t="s">
        <v>1234</v>
      </c>
      <c r="G1651" t="b">
        <v>0</v>
      </c>
      <c r="H1651" t="b">
        <v>0</v>
      </c>
      <c r="I1651" t="s">
        <v>1050</v>
      </c>
      <c r="J1651">
        <v>88</v>
      </c>
      <c r="K1651" t="s">
        <v>0</v>
      </c>
      <c r="L1651" t="s">
        <v>1167</v>
      </c>
      <c r="M1651" t="s">
        <v>1168</v>
      </c>
      <c r="N1651" t="s">
        <v>1169</v>
      </c>
      <c r="O1651" t="s">
        <v>1168</v>
      </c>
      <c r="P1651" t="s">
        <v>1235</v>
      </c>
    </row>
    <row r="1652" spans="1:16" x14ac:dyDescent="0.25">
      <c r="A1652" t="s">
        <v>3803</v>
      </c>
      <c r="B1652" t="s">
        <v>3804</v>
      </c>
      <c r="C1652" t="s">
        <v>1233</v>
      </c>
      <c r="D1652" t="s">
        <v>1027</v>
      </c>
      <c r="E1652">
        <v>63762</v>
      </c>
      <c r="F1652" t="s">
        <v>1234</v>
      </c>
      <c r="G1652" t="b">
        <v>0</v>
      </c>
      <c r="H1652" t="b">
        <v>0</v>
      </c>
      <c r="I1652" t="s">
        <v>1050</v>
      </c>
      <c r="J1652">
        <v>88</v>
      </c>
      <c r="K1652" t="s">
        <v>0</v>
      </c>
      <c r="L1652" t="s">
        <v>1167</v>
      </c>
      <c r="M1652" t="s">
        <v>1168</v>
      </c>
      <c r="N1652" t="s">
        <v>1169</v>
      </c>
      <c r="O1652" t="s">
        <v>1168</v>
      </c>
      <c r="P1652" t="s">
        <v>1235</v>
      </c>
    </row>
    <row r="1653" spans="1:16" x14ac:dyDescent="0.25">
      <c r="A1653" t="s">
        <v>3805</v>
      </c>
      <c r="B1653" t="s">
        <v>3806</v>
      </c>
      <c r="C1653" t="s">
        <v>1233</v>
      </c>
      <c r="D1653" t="s">
        <v>1027</v>
      </c>
      <c r="E1653">
        <v>63762</v>
      </c>
      <c r="F1653" t="s">
        <v>1234</v>
      </c>
      <c r="G1653" t="b">
        <v>0</v>
      </c>
      <c r="H1653" t="b">
        <v>0</v>
      </c>
      <c r="I1653" t="s">
        <v>1050</v>
      </c>
      <c r="J1653">
        <v>88</v>
      </c>
      <c r="K1653" t="s">
        <v>0</v>
      </c>
      <c r="L1653" t="s">
        <v>1167</v>
      </c>
      <c r="M1653" t="s">
        <v>1168</v>
      </c>
      <c r="N1653" t="s">
        <v>1169</v>
      </c>
      <c r="O1653" t="s">
        <v>1168</v>
      </c>
      <c r="P1653" t="s">
        <v>1235</v>
      </c>
    </row>
    <row r="1654" spans="1:16" x14ac:dyDescent="0.25">
      <c r="A1654" t="s">
        <v>3807</v>
      </c>
      <c r="B1654" t="s">
        <v>3808</v>
      </c>
      <c r="C1654" t="s">
        <v>1571</v>
      </c>
      <c r="D1654" t="s">
        <v>1027</v>
      </c>
      <c r="E1654">
        <v>63767</v>
      </c>
      <c r="G1654" t="b">
        <v>0</v>
      </c>
      <c r="H1654" t="b">
        <v>0</v>
      </c>
      <c r="I1654" t="s">
        <v>1050</v>
      </c>
      <c r="J1654">
        <v>80</v>
      </c>
      <c r="K1654" t="s">
        <v>0</v>
      </c>
      <c r="L1654" t="s">
        <v>1167</v>
      </c>
      <c r="M1654" t="s">
        <v>1168</v>
      </c>
      <c r="N1654" t="s">
        <v>1169</v>
      </c>
      <c r="O1654" t="s">
        <v>1168</v>
      </c>
      <c r="P1654" t="s">
        <v>1283</v>
      </c>
    </row>
    <row r="1655" spans="1:16" x14ac:dyDescent="0.25">
      <c r="A1655" t="s">
        <v>3809</v>
      </c>
      <c r="B1655" t="s">
        <v>3810</v>
      </c>
      <c r="C1655" t="s">
        <v>1571</v>
      </c>
      <c r="D1655" t="s">
        <v>1027</v>
      </c>
      <c r="E1655">
        <v>63767</v>
      </c>
      <c r="G1655" t="b">
        <v>0</v>
      </c>
      <c r="H1655" t="b">
        <v>0</v>
      </c>
      <c r="I1655" t="s">
        <v>1050</v>
      </c>
      <c r="J1655">
        <v>80</v>
      </c>
      <c r="K1655" t="s">
        <v>0</v>
      </c>
      <c r="L1655" t="s">
        <v>1167</v>
      </c>
      <c r="M1655" t="s">
        <v>1168</v>
      </c>
      <c r="N1655" t="s">
        <v>1169</v>
      </c>
      <c r="O1655" t="s">
        <v>1168</v>
      </c>
      <c r="P1655" t="s">
        <v>1283</v>
      </c>
    </row>
    <row r="1656" spans="1:16" x14ac:dyDescent="0.25">
      <c r="A1656" t="s">
        <v>3811</v>
      </c>
      <c r="B1656" t="s">
        <v>3812</v>
      </c>
      <c r="C1656" t="s">
        <v>1571</v>
      </c>
      <c r="D1656" t="s">
        <v>1027</v>
      </c>
      <c r="E1656">
        <v>63767</v>
      </c>
      <c r="G1656" t="b">
        <v>0</v>
      </c>
      <c r="H1656" t="b">
        <v>0</v>
      </c>
      <c r="I1656" t="s">
        <v>1050</v>
      </c>
      <c r="J1656">
        <v>80</v>
      </c>
      <c r="K1656" t="s">
        <v>0</v>
      </c>
      <c r="L1656" t="s">
        <v>1167</v>
      </c>
      <c r="M1656" t="s">
        <v>1168</v>
      </c>
      <c r="N1656" t="s">
        <v>1169</v>
      </c>
      <c r="O1656" t="s">
        <v>1168</v>
      </c>
      <c r="P1656" t="s">
        <v>1283</v>
      </c>
    </row>
    <row r="1657" spans="1:16" x14ac:dyDescent="0.25">
      <c r="A1657" t="s">
        <v>3813</v>
      </c>
      <c r="B1657" t="s">
        <v>3814</v>
      </c>
      <c r="C1657" t="s">
        <v>1571</v>
      </c>
      <c r="D1657" t="s">
        <v>1027</v>
      </c>
      <c r="E1657">
        <v>63767</v>
      </c>
      <c r="G1657" t="b">
        <v>0</v>
      </c>
      <c r="H1657" t="b">
        <v>0</v>
      </c>
      <c r="I1657" t="s">
        <v>1050</v>
      </c>
      <c r="J1657">
        <v>80</v>
      </c>
      <c r="K1657" t="s">
        <v>0</v>
      </c>
      <c r="L1657" t="s">
        <v>1167</v>
      </c>
      <c r="M1657" t="s">
        <v>1168</v>
      </c>
      <c r="N1657" t="s">
        <v>1169</v>
      </c>
      <c r="O1657" t="s">
        <v>1168</v>
      </c>
      <c r="P1657" t="s">
        <v>1283</v>
      </c>
    </row>
    <row r="1658" spans="1:16" x14ac:dyDescent="0.25">
      <c r="A1658" t="s">
        <v>3815</v>
      </c>
      <c r="B1658" t="s">
        <v>3816</v>
      </c>
      <c r="C1658" t="s">
        <v>1571</v>
      </c>
      <c r="D1658" t="s">
        <v>1027</v>
      </c>
      <c r="E1658">
        <v>63767</v>
      </c>
      <c r="G1658" t="b">
        <v>0</v>
      </c>
      <c r="H1658" t="b">
        <v>0</v>
      </c>
      <c r="I1658" t="s">
        <v>1050</v>
      </c>
      <c r="J1658">
        <v>87</v>
      </c>
      <c r="K1658" t="s">
        <v>0</v>
      </c>
      <c r="L1658" t="s">
        <v>1167</v>
      </c>
      <c r="M1658" t="s">
        <v>1168</v>
      </c>
      <c r="N1658" t="s">
        <v>1169</v>
      </c>
      <c r="O1658" t="s">
        <v>1168</v>
      </c>
      <c r="P1658" t="s">
        <v>1283</v>
      </c>
    </row>
    <row r="1659" spans="1:16" x14ac:dyDescent="0.25">
      <c r="A1659" t="s">
        <v>3817</v>
      </c>
      <c r="B1659" t="s">
        <v>3818</v>
      </c>
      <c r="C1659" t="s">
        <v>1233</v>
      </c>
      <c r="D1659" t="s">
        <v>1027</v>
      </c>
      <c r="E1659">
        <v>63762</v>
      </c>
      <c r="F1659" t="s">
        <v>1234</v>
      </c>
      <c r="G1659" t="b">
        <v>0</v>
      </c>
      <c r="H1659" t="b">
        <v>0</v>
      </c>
      <c r="I1659" t="s">
        <v>1050</v>
      </c>
      <c r="J1659">
        <v>80</v>
      </c>
      <c r="K1659" t="s">
        <v>0</v>
      </c>
      <c r="L1659" t="s">
        <v>1167</v>
      </c>
      <c r="M1659" t="s">
        <v>1168</v>
      </c>
      <c r="N1659" t="s">
        <v>1169</v>
      </c>
      <c r="O1659" t="s">
        <v>1168</v>
      </c>
      <c r="P1659" t="s">
        <v>1235</v>
      </c>
    </row>
    <row r="1660" spans="1:16" x14ac:dyDescent="0.25">
      <c r="A1660" t="s">
        <v>3819</v>
      </c>
      <c r="B1660" t="s">
        <v>3820</v>
      </c>
      <c r="C1660" t="s">
        <v>1233</v>
      </c>
      <c r="D1660" t="s">
        <v>1027</v>
      </c>
      <c r="E1660">
        <v>63762</v>
      </c>
      <c r="F1660" t="s">
        <v>1234</v>
      </c>
      <c r="G1660" t="b">
        <v>0</v>
      </c>
      <c r="H1660" t="b">
        <v>0</v>
      </c>
      <c r="I1660" t="s">
        <v>1050</v>
      </c>
      <c r="J1660">
        <v>80</v>
      </c>
      <c r="K1660" t="s">
        <v>0</v>
      </c>
      <c r="L1660" t="s">
        <v>1167</v>
      </c>
      <c r="M1660" t="s">
        <v>1168</v>
      </c>
      <c r="N1660" t="s">
        <v>1169</v>
      </c>
      <c r="O1660" t="s">
        <v>1168</v>
      </c>
      <c r="P1660" t="s">
        <v>1235</v>
      </c>
    </row>
    <row r="1661" spans="1:16" x14ac:dyDescent="0.25">
      <c r="A1661" t="s">
        <v>3821</v>
      </c>
      <c r="B1661" t="s">
        <v>3822</v>
      </c>
      <c r="C1661" t="s">
        <v>1571</v>
      </c>
      <c r="D1661" t="s">
        <v>1027</v>
      </c>
      <c r="E1661">
        <v>63767</v>
      </c>
      <c r="G1661" t="b">
        <v>0</v>
      </c>
      <c r="H1661" t="b">
        <v>0</v>
      </c>
      <c r="I1661" t="s">
        <v>1050</v>
      </c>
      <c r="J1661">
        <v>80</v>
      </c>
      <c r="K1661" t="s">
        <v>0</v>
      </c>
      <c r="L1661" t="s">
        <v>1167</v>
      </c>
      <c r="M1661" t="s">
        <v>1168</v>
      </c>
      <c r="N1661" t="s">
        <v>1169</v>
      </c>
      <c r="O1661" t="s">
        <v>1168</v>
      </c>
      <c r="P1661" t="s">
        <v>1283</v>
      </c>
    </row>
    <row r="1662" spans="1:16" x14ac:dyDescent="0.25">
      <c r="A1662" t="s">
        <v>3823</v>
      </c>
      <c r="B1662" t="s">
        <v>3824</v>
      </c>
      <c r="C1662" t="s">
        <v>1571</v>
      </c>
      <c r="D1662" t="s">
        <v>1027</v>
      </c>
      <c r="E1662">
        <v>63767</v>
      </c>
      <c r="G1662" t="b">
        <v>0</v>
      </c>
      <c r="H1662" t="b">
        <v>0</v>
      </c>
      <c r="I1662" t="s">
        <v>1050</v>
      </c>
      <c r="J1662">
        <v>80</v>
      </c>
      <c r="K1662" t="s">
        <v>0</v>
      </c>
      <c r="L1662" t="s">
        <v>1167</v>
      </c>
      <c r="M1662" t="s">
        <v>1168</v>
      </c>
      <c r="N1662" t="s">
        <v>1169</v>
      </c>
      <c r="O1662" t="s">
        <v>1168</v>
      </c>
      <c r="P1662" t="s">
        <v>1283</v>
      </c>
    </row>
    <row r="1663" spans="1:16" x14ac:dyDescent="0.25">
      <c r="A1663" t="s">
        <v>3825</v>
      </c>
      <c r="B1663" t="s">
        <v>3826</v>
      </c>
      <c r="C1663" t="s">
        <v>1571</v>
      </c>
      <c r="D1663" t="s">
        <v>1027</v>
      </c>
      <c r="E1663">
        <v>63767</v>
      </c>
      <c r="G1663" t="b">
        <v>0</v>
      </c>
      <c r="H1663" t="b">
        <v>0</v>
      </c>
      <c r="I1663" t="s">
        <v>1050</v>
      </c>
      <c r="J1663">
        <v>80</v>
      </c>
      <c r="K1663" t="s">
        <v>0</v>
      </c>
      <c r="L1663" t="s">
        <v>1167</v>
      </c>
      <c r="M1663" t="s">
        <v>1168</v>
      </c>
      <c r="N1663" t="s">
        <v>1169</v>
      </c>
      <c r="O1663" t="s">
        <v>1168</v>
      </c>
      <c r="P1663" t="s">
        <v>1283</v>
      </c>
    </row>
    <row r="1664" spans="1:16" x14ac:dyDescent="0.25">
      <c r="A1664" t="s">
        <v>3827</v>
      </c>
      <c r="B1664" t="s">
        <v>3826</v>
      </c>
      <c r="C1664" t="s">
        <v>1571</v>
      </c>
      <c r="D1664" t="s">
        <v>1027</v>
      </c>
      <c r="E1664">
        <v>63767</v>
      </c>
      <c r="G1664" t="b">
        <v>0</v>
      </c>
      <c r="H1664" t="b">
        <v>0</v>
      </c>
      <c r="I1664" t="s">
        <v>1050</v>
      </c>
      <c r="J1664">
        <v>80</v>
      </c>
      <c r="K1664" t="s">
        <v>0</v>
      </c>
      <c r="L1664" t="s">
        <v>1167</v>
      </c>
      <c r="M1664" t="s">
        <v>1168</v>
      </c>
      <c r="N1664" t="s">
        <v>1169</v>
      </c>
      <c r="O1664" t="s">
        <v>1168</v>
      </c>
      <c r="P1664" t="s">
        <v>1283</v>
      </c>
    </row>
    <row r="1665" spans="1:16" x14ac:dyDescent="0.25">
      <c r="A1665" t="s">
        <v>3828</v>
      </c>
      <c r="B1665" t="s">
        <v>3829</v>
      </c>
      <c r="C1665" t="s">
        <v>1571</v>
      </c>
      <c r="D1665" t="s">
        <v>1027</v>
      </c>
      <c r="E1665">
        <v>63767</v>
      </c>
      <c r="G1665" t="b">
        <v>0</v>
      </c>
      <c r="H1665" t="b">
        <v>0</v>
      </c>
      <c r="I1665" t="s">
        <v>1050</v>
      </c>
      <c r="J1665">
        <v>80</v>
      </c>
      <c r="K1665" t="s">
        <v>0</v>
      </c>
      <c r="L1665" t="s">
        <v>1167</v>
      </c>
      <c r="M1665" t="s">
        <v>1168</v>
      </c>
      <c r="N1665" t="s">
        <v>1169</v>
      </c>
      <c r="O1665" t="s">
        <v>1168</v>
      </c>
      <c r="P1665" t="s">
        <v>1283</v>
      </c>
    </row>
    <row r="1666" spans="1:16" x14ac:dyDescent="0.25">
      <c r="A1666" t="s">
        <v>3830</v>
      </c>
      <c r="B1666" t="s">
        <v>3831</v>
      </c>
      <c r="C1666" t="s">
        <v>1571</v>
      </c>
      <c r="D1666" t="s">
        <v>1027</v>
      </c>
      <c r="E1666">
        <v>63767</v>
      </c>
      <c r="G1666" t="b">
        <v>0</v>
      </c>
      <c r="H1666" t="b">
        <v>0</v>
      </c>
      <c r="I1666" t="s">
        <v>1050</v>
      </c>
      <c r="J1666">
        <v>80</v>
      </c>
      <c r="K1666" t="s">
        <v>0</v>
      </c>
      <c r="L1666" t="s">
        <v>1167</v>
      </c>
      <c r="M1666" t="s">
        <v>1168</v>
      </c>
      <c r="N1666" t="s">
        <v>1169</v>
      </c>
      <c r="O1666" t="s">
        <v>1168</v>
      </c>
      <c r="P1666" t="s">
        <v>1283</v>
      </c>
    </row>
    <row r="1667" spans="1:16" x14ac:dyDescent="0.25">
      <c r="A1667" t="s">
        <v>3832</v>
      </c>
      <c r="B1667" t="s">
        <v>3833</v>
      </c>
      <c r="C1667" t="s">
        <v>2026</v>
      </c>
      <c r="D1667" t="s">
        <v>1027</v>
      </c>
      <c r="E1667">
        <v>1336</v>
      </c>
      <c r="F1667" t="s">
        <v>2027</v>
      </c>
      <c r="G1667" t="b">
        <v>0</v>
      </c>
      <c r="H1667" t="b">
        <v>0</v>
      </c>
      <c r="I1667" t="s">
        <v>1050</v>
      </c>
      <c r="J1667">
        <v>80</v>
      </c>
      <c r="K1667" t="s">
        <v>0</v>
      </c>
      <c r="L1667" t="s">
        <v>1167</v>
      </c>
      <c r="M1667" t="s">
        <v>1168</v>
      </c>
      <c r="N1667" t="s">
        <v>1169</v>
      </c>
      <c r="O1667" t="s">
        <v>1168</v>
      </c>
      <c r="P1667" t="s">
        <v>2028</v>
      </c>
    </row>
    <row r="1668" spans="1:16" x14ac:dyDescent="0.25">
      <c r="A1668" t="s">
        <v>3834</v>
      </c>
      <c r="B1668" t="s">
        <v>3835</v>
      </c>
      <c r="C1668" t="s">
        <v>1233</v>
      </c>
      <c r="D1668" t="s">
        <v>1027</v>
      </c>
      <c r="E1668">
        <v>63762</v>
      </c>
      <c r="F1668" t="s">
        <v>1234</v>
      </c>
      <c r="G1668" t="b">
        <v>0</v>
      </c>
      <c r="H1668" t="b">
        <v>0</v>
      </c>
      <c r="I1668" t="s">
        <v>1050</v>
      </c>
      <c r="J1668">
        <v>87</v>
      </c>
      <c r="K1668" t="s">
        <v>0</v>
      </c>
      <c r="L1668" t="s">
        <v>1167</v>
      </c>
      <c r="M1668" t="s">
        <v>1168</v>
      </c>
      <c r="N1668" t="s">
        <v>1169</v>
      </c>
      <c r="O1668" t="s">
        <v>1168</v>
      </c>
      <c r="P1668" t="s">
        <v>1235</v>
      </c>
    </row>
    <row r="1669" spans="1:16" x14ac:dyDescent="0.25">
      <c r="A1669" t="s">
        <v>3836</v>
      </c>
      <c r="B1669" t="s">
        <v>3837</v>
      </c>
      <c r="C1669" t="s">
        <v>1233</v>
      </c>
      <c r="D1669" t="s">
        <v>1027</v>
      </c>
      <c r="E1669">
        <v>63762</v>
      </c>
      <c r="F1669" t="s">
        <v>1234</v>
      </c>
      <c r="G1669" t="b">
        <v>0</v>
      </c>
      <c r="H1669" t="b">
        <v>0</v>
      </c>
      <c r="I1669" t="s">
        <v>1050</v>
      </c>
      <c r="J1669">
        <v>80</v>
      </c>
      <c r="K1669" t="s">
        <v>0</v>
      </c>
      <c r="L1669" t="s">
        <v>1167</v>
      </c>
      <c r="M1669" t="s">
        <v>1168</v>
      </c>
      <c r="N1669" t="s">
        <v>1169</v>
      </c>
      <c r="O1669" t="s">
        <v>1168</v>
      </c>
      <c r="P1669" t="s">
        <v>1235</v>
      </c>
    </row>
    <row r="1670" spans="1:16" x14ac:dyDescent="0.25">
      <c r="A1670" t="s">
        <v>3838</v>
      </c>
      <c r="B1670" t="s">
        <v>3839</v>
      </c>
      <c r="C1670" t="s">
        <v>1233</v>
      </c>
      <c r="D1670" t="s">
        <v>1027</v>
      </c>
      <c r="E1670">
        <v>63762</v>
      </c>
      <c r="F1670" t="s">
        <v>1234</v>
      </c>
      <c r="G1670" t="b">
        <v>0</v>
      </c>
      <c r="H1670" t="b">
        <v>0</v>
      </c>
      <c r="I1670" t="s">
        <v>1050</v>
      </c>
      <c r="J1670">
        <v>80</v>
      </c>
      <c r="K1670" t="s">
        <v>0</v>
      </c>
      <c r="L1670" t="s">
        <v>1167</v>
      </c>
      <c r="M1670" t="s">
        <v>1168</v>
      </c>
      <c r="N1670" t="s">
        <v>1169</v>
      </c>
      <c r="O1670" t="s">
        <v>1168</v>
      </c>
      <c r="P1670" t="s">
        <v>1235</v>
      </c>
    </row>
    <row r="1671" spans="1:16" x14ac:dyDescent="0.25">
      <c r="A1671" t="s">
        <v>3840</v>
      </c>
      <c r="B1671" t="s">
        <v>3841</v>
      </c>
      <c r="C1671" t="s">
        <v>1571</v>
      </c>
      <c r="D1671" t="s">
        <v>1027</v>
      </c>
      <c r="E1671">
        <v>63767</v>
      </c>
      <c r="G1671" t="b">
        <v>0</v>
      </c>
      <c r="H1671" t="b">
        <v>0</v>
      </c>
      <c r="I1671" t="s">
        <v>1050</v>
      </c>
      <c r="J1671">
        <v>80</v>
      </c>
      <c r="K1671" t="s">
        <v>0</v>
      </c>
      <c r="L1671" t="s">
        <v>1167</v>
      </c>
      <c r="M1671" t="s">
        <v>1168</v>
      </c>
      <c r="N1671" t="s">
        <v>1169</v>
      </c>
      <c r="O1671" t="s">
        <v>1168</v>
      </c>
      <c r="P1671" t="s">
        <v>1283</v>
      </c>
    </row>
    <row r="1672" spans="1:16" x14ac:dyDescent="0.25">
      <c r="A1672" t="s">
        <v>3842</v>
      </c>
      <c r="B1672" t="s">
        <v>3843</v>
      </c>
      <c r="C1672" t="s">
        <v>2026</v>
      </c>
      <c r="D1672" t="s">
        <v>1027</v>
      </c>
      <c r="E1672">
        <v>1336</v>
      </c>
      <c r="F1672" t="s">
        <v>2027</v>
      </c>
      <c r="G1672" t="b">
        <v>0</v>
      </c>
      <c r="H1672" t="b">
        <v>0</v>
      </c>
      <c r="I1672" t="s">
        <v>1050</v>
      </c>
      <c r="J1672">
        <v>87</v>
      </c>
      <c r="K1672" t="s">
        <v>0</v>
      </c>
      <c r="L1672" t="s">
        <v>1167</v>
      </c>
      <c r="M1672" t="s">
        <v>1168</v>
      </c>
      <c r="N1672" t="s">
        <v>1169</v>
      </c>
      <c r="O1672" t="s">
        <v>1168</v>
      </c>
      <c r="P1672" t="s">
        <v>2028</v>
      </c>
    </row>
    <row r="1673" spans="1:16" x14ac:dyDescent="0.25">
      <c r="A1673" t="s">
        <v>3844</v>
      </c>
      <c r="B1673" t="s">
        <v>3845</v>
      </c>
      <c r="C1673" t="s">
        <v>1571</v>
      </c>
      <c r="D1673" t="s">
        <v>1027</v>
      </c>
      <c r="E1673">
        <v>63767</v>
      </c>
      <c r="G1673" t="b">
        <v>0</v>
      </c>
      <c r="H1673" t="b">
        <v>0</v>
      </c>
      <c r="I1673" t="s">
        <v>1050</v>
      </c>
      <c r="J1673">
        <v>80</v>
      </c>
      <c r="K1673" t="s">
        <v>0</v>
      </c>
      <c r="L1673" t="s">
        <v>1167</v>
      </c>
      <c r="M1673" t="s">
        <v>1168</v>
      </c>
      <c r="N1673" t="s">
        <v>1169</v>
      </c>
      <c r="O1673" t="s">
        <v>1168</v>
      </c>
      <c r="P1673" t="s">
        <v>1283</v>
      </c>
    </row>
    <row r="1674" spans="1:16" x14ac:dyDescent="0.25">
      <c r="A1674" t="s">
        <v>3846</v>
      </c>
      <c r="B1674" t="s">
        <v>3847</v>
      </c>
      <c r="C1674" t="s">
        <v>1571</v>
      </c>
      <c r="D1674" t="s">
        <v>1027</v>
      </c>
      <c r="E1674">
        <v>63767</v>
      </c>
      <c r="G1674" t="b">
        <v>0</v>
      </c>
      <c r="H1674" t="b">
        <v>0</v>
      </c>
      <c r="I1674" t="s">
        <v>1050</v>
      </c>
      <c r="J1674">
        <v>80</v>
      </c>
      <c r="K1674" t="s">
        <v>0</v>
      </c>
      <c r="L1674" t="s">
        <v>1167</v>
      </c>
      <c r="M1674" t="s">
        <v>1168</v>
      </c>
      <c r="N1674" t="s">
        <v>1169</v>
      </c>
      <c r="O1674" t="s">
        <v>1168</v>
      </c>
      <c r="P1674" t="s">
        <v>1283</v>
      </c>
    </row>
    <row r="1675" spans="1:16" x14ac:dyDescent="0.25">
      <c r="A1675" t="s">
        <v>3848</v>
      </c>
      <c r="B1675" t="s">
        <v>3849</v>
      </c>
      <c r="C1675" t="s">
        <v>1571</v>
      </c>
      <c r="D1675" t="s">
        <v>1027</v>
      </c>
      <c r="E1675">
        <v>63767</v>
      </c>
      <c r="G1675" t="b">
        <v>0</v>
      </c>
      <c r="H1675" t="b">
        <v>0</v>
      </c>
      <c r="I1675" t="s">
        <v>1050</v>
      </c>
      <c r="J1675">
        <v>80</v>
      </c>
      <c r="K1675" t="s">
        <v>0</v>
      </c>
      <c r="L1675" t="s">
        <v>1167</v>
      </c>
      <c r="M1675" t="s">
        <v>1168</v>
      </c>
      <c r="N1675" t="s">
        <v>1169</v>
      </c>
      <c r="O1675" t="s">
        <v>1168</v>
      </c>
      <c r="P1675" t="s">
        <v>1283</v>
      </c>
    </row>
    <row r="1676" spans="1:16" x14ac:dyDescent="0.25">
      <c r="A1676" t="s">
        <v>3850</v>
      </c>
      <c r="B1676" t="s">
        <v>3851</v>
      </c>
      <c r="C1676" t="s">
        <v>1571</v>
      </c>
      <c r="D1676" t="s">
        <v>1027</v>
      </c>
      <c r="E1676">
        <v>63767</v>
      </c>
      <c r="G1676" t="b">
        <v>0</v>
      </c>
      <c r="H1676" t="b">
        <v>0</v>
      </c>
      <c r="I1676" t="s">
        <v>1050</v>
      </c>
      <c r="J1676">
        <v>80</v>
      </c>
      <c r="K1676" t="s">
        <v>0</v>
      </c>
      <c r="L1676" t="s">
        <v>1167</v>
      </c>
      <c r="M1676" t="s">
        <v>1168</v>
      </c>
      <c r="N1676" t="s">
        <v>1169</v>
      </c>
      <c r="O1676" t="s">
        <v>1168</v>
      </c>
      <c r="P1676" t="s">
        <v>1283</v>
      </c>
    </row>
    <row r="1677" spans="1:16" x14ac:dyDescent="0.25">
      <c r="A1677" t="s">
        <v>3852</v>
      </c>
      <c r="B1677" t="s">
        <v>3853</v>
      </c>
      <c r="C1677" t="s">
        <v>1165</v>
      </c>
      <c r="D1677" t="s">
        <v>1027</v>
      </c>
      <c r="E1677">
        <v>63774</v>
      </c>
      <c r="F1677" t="s">
        <v>1166</v>
      </c>
      <c r="G1677" t="b">
        <v>0</v>
      </c>
      <c r="H1677" t="b">
        <v>0</v>
      </c>
      <c r="I1677" t="s">
        <v>1050</v>
      </c>
      <c r="J1677">
        <v>58</v>
      </c>
      <c r="K1677" t="s">
        <v>1</v>
      </c>
      <c r="L1677" t="s">
        <v>1167</v>
      </c>
      <c r="M1677" t="s">
        <v>1168</v>
      </c>
      <c r="N1677" t="s">
        <v>1169</v>
      </c>
      <c r="O1677" t="s">
        <v>1168</v>
      </c>
      <c r="P1677" t="s">
        <v>1170</v>
      </c>
    </row>
    <row r="1678" spans="1:16" x14ac:dyDescent="0.25">
      <c r="A1678" t="s">
        <v>3854</v>
      </c>
      <c r="B1678" t="s">
        <v>3855</v>
      </c>
      <c r="C1678" t="s">
        <v>1165</v>
      </c>
      <c r="D1678" t="s">
        <v>1027</v>
      </c>
      <c r="E1678">
        <v>63774</v>
      </c>
      <c r="F1678" t="s">
        <v>1166</v>
      </c>
      <c r="G1678" t="b">
        <v>0</v>
      </c>
      <c r="H1678" t="b">
        <v>0</v>
      </c>
      <c r="I1678" t="s">
        <v>1050</v>
      </c>
      <c r="J1678">
        <v>58</v>
      </c>
      <c r="K1678" t="s">
        <v>1</v>
      </c>
      <c r="L1678" t="s">
        <v>1167</v>
      </c>
      <c r="M1678" t="s">
        <v>1168</v>
      </c>
      <c r="N1678" t="s">
        <v>1169</v>
      </c>
      <c r="O1678" t="s">
        <v>1168</v>
      </c>
      <c r="P1678" t="s">
        <v>1170</v>
      </c>
    </row>
    <row r="1679" spans="1:16" x14ac:dyDescent="0.25">
      <c r="A1679" t="s">
        <v>3856</v>
      </c>
      <c r="B1679" t="s">
        <v>3857</v>
      </c>
      <c r="C1679" t="s">
        <v>1678</v>
      </c>
      <c r="D1679" t="s">
        <v>1027</v>
      </c>
      <c r="E1679">
        <v>63786</v>
      </c>
      <c r="F1679" t="s">
        <v>1679</v>
      </c>
      <c r="G1679" t="b">
        <v>0</v>
      </c>
      <c r="H1679" t="b">
        <v>0</v>
      </c>
      <c r="I1679" t="s">
        <v>1050</v>
      </c>
      <c r="J1679">
        <v>25</v>
      </c>
      <c r="K1679" t="s">
        <v>2</v>
      </c>
      <c r="L1679" t="s">
        <v>1680</v>
      </c>
      <c r="M1679" t="s">
        <v>1680</v>
      </c>
      <c r="N1679" t="s">
        <v>1681</v>
      </c>
      <c r="O1679" t="s">
        <v>1680</v>
      </c>
      <c r="P1679" t="s">
        <v>1682</v>
      </c>
    </row>
    <row r="1680" spans="1:16" x14ac:dyDescent="0.25">
      <c r="A1680" t="s">
        <v>3858</v>
      </c>
      <c r="B1680" t="s">
        <v>3859</v>
      </c>
      <c r="C1680" t="s">
        <v>1233</v>
      </c>
      <c r="D1680" t="s">
        <v>1027</v>
      </c>
      <c r="E1680">
        <v>63762</v>
      </c>
      <c r="F1680" t="s">
        <v>1234</v>
      </c>
      <c r="G1680" t="b">
        <v>0</v>
      </c>
      <c r="H1680" t="b">
        <v>0</v>
      </c>
      <c r="I1680" t="s">
        <v>1050</v>
      </c>
      <c r="J1680">
        <v>88</v>
      </c>
      <c r="K1680" t="s">
        <v>0</v>
      </c>
      <c r="L1680" t="s">
        <v>1167</v>
      </c>
      <c r="M1680" t="s">
        <v>1168</v>
      </c>
      <c r="N1680" t="s">
        <v>1169</v>
      </c>
      <c r="O1680" t="s">
        <v>1168</v>
      </c>
      <c r="P1680" t="s">
        <v>1235</v>
      </c>
    </row>
    <row r="1681" spans="1:16" x14ac:dyDescent="0.25">
      <c r="A1681" t="s">
        <v>3860</v>
      </c>
      <c r="B1681" t="s">
        <v>3861</v>
      </c>
      <c r="C1681" t="s">
        <v>1233</v>
      </c>
      <c r="D1681" t="s">
        <v>1027</v>
      </c>
      <c r="E1681">
        <v>63762</v>
      </c>
      <c r="F1681" t="s">
        <v>1234</v>
      </c>
      <c r="G1681" t="b">
        <v>0</v>
      </c>
      <c r="H1681" t="b">
        <v>0</v>
      </c>
      <c r="I1681" t="s">
        <v>1050</v>
      </c>
      <c r="J1681">
        <v>88</v>
      </c>
      <c r="K1681" t="s">
        <v>0</v>
      </c>
      <c r="L1681" t="s">
        <v>1167</v>
      </c>
      <c r="M1681" t="s">
        <v>1168</v>
      </c>
      <c r="N1681" t="s">
        <v>1169</v>
      </c>
      <c r="O1681" t="s">
        <v>1168</v>
      </c>
      <c r="P1681" t="s">
        <v>1235</v>
      </c>
    </row>
    <row r="1682" spans="1:16" x14ac:dyDescent="0.25">
      <c r="A1682" t="s">
        <v>3862</v>
      </c>
      <c r="B1682" t="s">
        <v>3863</v>
      </c>
      <c r="C1682" t="s">
        <v>1233</v>
      </c>
      <c r="D1682" t="s">
        <v>1027</v>
      </c>
      <c r="E1682">
        <v>63762</v>
      </c>
      <c r="F1682" t="s">
        <v>1234</v>
      </c>
      <c r="G1682" t="b">
        <v>0</v>
      </c>
      <c r="H1682" t="b">
        <v>0</v>
      </c>
      <c r="I1682" t="s">
        <v>1050</v>
      </c>
      <c r="J1682">
        <v>88</v>
      </c>
      <c r="K1682" t="s">
        <v>0</v>
      </c>
      <c r="L1682" t="s">
        <v>1167</v>
      </c>
      <c r="M1682" t="s">
        <v>1168</v>
      </c>
      <c r="N1682" t="s">
        <v>1169</v>
      </c>
      <c r="O1682" t="s">
        <v>1168</v>
      </c>
      <c r="P1682" t="s">
        <v>1235</v>
      </c>
    </row>
    <row r="1683" spans="1:16" x14ac:dyDescent="0.25">
      <c r="A1683" t="s">
        <v>3864</v>
      </c>
      <c r="B1683" t="s">
        <v>3865</v>
      </c>
      <c r="C1683" t="s">
        <v>1233</v>
      </c>
      <c r="D1683" t="s">
        <v>1027</v>
      </c>
      <c r="E1683">
        <v>63762</v>
      </c>
      <c r="F1683" t="s">
        <v>1234</v>
      </c>
      <c r="G1683" t="b">
        <v>0</v>
      </c>
      <c r="H1683" t="b">
        <v>0</v>
      </c>
      <c r="I1683" t="s">
        <v>1050</v>
      </c>
      <c r="J1683">
        <v>88</v>
      </c>
      <c r="K1683" t="s">
        <v>0</v>
      </c>
      <c r="L1683" t="s">
        <v>1167</v>
      </c>
      <c r="M1683" t="s">
        <v>1168</v>
      </c>
      <c r="N1683" t="s">
        <v>1169</v>
      </c>
      <c r="O1683" t="s">
        <v>1168</v>
      </c>
      <c r="P1683" t="s">
        <v>1235</v>
      </c>
    </row>
    <row r="1684" spans="1:16" x14ac:dyDescent="0.25">
      <c r="A1684" t="s">
        <v>3866</v>
      </c>
      <c r="B1684" t="s">
        <v>3867</v>
      </c>
      <c r="C1684" t="s">
        <v>1233</v>
      </c>
      <c r="D1684" t="s">
        <v>1027</v>
      </c>
      <c r="E1684">
        <v>63762</v>
      </c>
      <c r="F1684" t="s">
        <v>1234</v>
      </c>
      <c r="G1684" t="b">
        <v>0</v>
      </c>
      <c r="H1684" t="b">
        <v>0</v>
      </c>
      <c r="I1684" t="s">
        <v>1050</v>
      </c>
      <c r="J1684">
        <v>88</v>
      </c>
      <c r="K1684" t="s">
        <v>0</v>
      </c>
      <c r="L1684" t="s">
        <v>1167</v>
      </c>
      <c r="M1684" t="s">
        <v>1168</v>
      </c>
      <c r="N1684" t="s">
        <v>1169</v>
      </c>
      <c r="O1684" t="s">
        <v>1168</v>
      </c>
      <c r="P1684" t="s">
        <v>1235</v>
      </c>
    </row>
    <row r="1685" spans="1:16" x14ac:dyDescent="0.25">
      <c r="A1685" t="s">
        <v>3868</v>
      </c>
      <c r="B1685" t="s">
        <v>3869</v>
      </c>
      <c r="C1685" t="s">
        <v>1233</v>
      </c>
      <c r="D1685" t="s">
        <v>1027</v>
      </c>
      <c r="E1685">
        <v>63762</v>
      </c>
      <c r="F1685" t="s">
        <v>1234</v>
      </c>
      <c r="G1685" t="b">
        <v>0</v>
      </c>
      <c r="H1685" t="b">
        <v>0</v>
      </c>
      <c r="I1685" t="s">
        <v>1050</v>
      </c>
      <c r="J1685">
        <v>88</v>
      </c>
      <c r="K1685" t="s">
        <v>0</v>
      </c>
      <c r="L1685" t="s">
        <v>1167</v>
      </c>
      <c r="M1685" t="s">
        <v>1168</v>
      </c>
      <c r="N1685" t="s">
        <v>1169</v>
      </c>
      <c r="O1685" t="s">
        <v>1168</v>
      </c>
      <c r="P1685" t="s">
        <v>1235</v>
      </c>
    </row>
    <row r="1686" spans="1:16" x14ac:dyDescent="0.25">
      <c r="A1686" t="s">
        <v>3870</v>
      </c>
      <c r="B1686" t="s">
        <v>3871</v>
      </c>
      <c r="C1686" t="s">
        <v>1233</v>
      </c>
      <c r="D1686" t="s">
        <v>1027</v>
      </c>
      <c r="E1686">
        <v>63762</v>
      </c>
      <c r="F1686" t="s">
        <v>1234</v>
      </c>
      <c r="G1686" t="b">
        <v>0</v>
      </c>
      <c r="H1686" t="b">
        <v>0</v>
      </c>
      <c r="I1686" t="s">
        <v>1050</v>
      </c>
      <c r="J1686">
        <v>88</v>
      </c>
      <c r="K1686" t="s">
        <v>0</v>
      </c>
      <c r="L1686" t="s">
        <v>1167</v>
      </c>
      <c r="M1686" t="s">
        <v>1168</v>
      </c>
      <c r="N1686" t="s">
        <v>1169</v>
      </c>
      <c r="O1686" t="s">
        <v>1168</v>
      </c>
      <c r="P1686" t="s">
        <v>1235</v>
      </c>
    </row>
    <row r="1687" spans="1:16" x14ac:dyDescent="0.25">
      <c r="A1687" t="s">
        <v>3872</v>
      </c>
      <c r="B1687" t="s">
        <v>3873</v>
      </c>
      <c r="C1687" t="s">
        <v>1233</v>
      </c>
      <c r="D1687" t="s">
        <v>1027</v>
      </c>
      <c r="E1687">
        <v>63762</v>
      </c>
      <c r="F1687" t="s">
        <v>1234</v>
      </c>
      <c r="G1687" t="b">
        <v>0</v>
      </c>
      <c r="H1687" t="b">
        <v>0</v>
      </c>
      <c r="I1687" t="s">
        <v>1050</v>
      </c>
      <c r="J1687">
        <v>88</v>
      </c>
      <c r="K1687" t="s">
        <v>0</v>
      </c>
      <c r="L1687" t="s">
        <v>1167</v>
      </c>
      <c r="M1687" t="s">
        <v>1168</v>
      </c>
      <c r="N1687" t="s">
        <v>1169</v>
      </c>
      <c r="O1687" t="s">
        <v>1168</v>
      </c>
      <c r="P1687" t="s">
        <v>1235</v>
      </c>
    </row>
    <row r="1688" spans="1:16" x14ac:dyDescent="0.25">
      <c r="A1688" t="s">
        <v>3874</v>
      </c>
      <c r="B1688" t="s">
        <v>3875</v>
      </c>
      <c r="C1688" t="s">
        <v>1233</v>
      </c>
      <c r="D1688" t="s">
        <v>1027</v>
      </c>
      <c r="E1688">
        <v>63762</v>
      </c>
      <c r="F1688" t="s">
        <v>1234</v>
      </c>
      <c r="G1688" t="b">
        <v>0</v>
      </c>
      <c r="H1688" t="b">
        <v>0</v>
      </c>
      <c r="I1688" t="s">
        <v>1050</v>
      </c>
      <c r="J1688">
        <v>88</v>
      </c>
      <c r="K1688" t="s">
        <v>0</v>
      </c>
      <c r="L1688" t="s">
        <v>1167</v>
      </c>
      <c r="M1688" t="s">
        <v>1168</v>
      </c>
      <c r="N1688" t="s">
        <v>1169</v>
      </c>
      <c r="O1688" t="s">
        <v>1168</v>
      </c>
      <c r="P1688" t="s">
        <v>1235</v>
      </c>
    </row>
    <row r="1689" spans="1:16" x14ac:dyDescent="0.25">
      <c r="A1689" t="s">
        <v>3876</v>
      </c>
      <c r="B1689" t="s">
        <v>3877</v>
      </c>
      <c r="C1689" t="s">
        <v>1233</v>
      </c>
      <c r="D1689" t="s">
        <v>1027</v>
      </c>
      <c r="E1689">
        <v>63762</v>
      </c>
      <c r="F1689" t="s">
        <v>1234</v>
      </c>
      <c r="G1689" t="b">
        <v>0</v>
      </c>
      <c r="H1689" t="b">
        <v>0</v>
      </c>
      <c r="I1689" t="s">
        <v>1050</v>
      </c>
      <c r="J1689">
        <v>88</v>
      </c>
      <c r="K1689" t="s">
        <v>0</v>
      </c>
      <c r="L1689" t="s">
        <v>1167</v>
      </c>
      <c r="M1689" t="s">
        <v>1168</v>
      </c>
      <c r="N1689" t="s">
        <v>1169</v>
      </c>
      <c r="O1689" t="s">
        <v>1168</v>
      </c>
      <c r="P1689" t="s">
        <v>1235</v>
      </c>
    </row>
    <row r="1690" spans="1:16" x14ac:dyDescent="0.25">
      <c r="A1690" t="s">
        <v>3878</v>
      </c>
      <c r="B1690" t="s">
        <v>3879</v>
      </c>
      <c r="C1690" t="s">
        <v>1233</v>
      </c>
      <c r="D1690" t="s">
        <v>1027</v>
      </c>
      <c r="E1690">
        <v>63762</v>
      </c>
      <c r="F1690" t="s">
        <v>1234</v>
      </c>
      <c r="G1690" t="b">
        <v>0</v>
      </c>
      <c r="H1690" t="b">
        <v>0</v>
      </c>
      <c r="I1690" t="s">
        <v>1050</v>
      </c>
      <c r="J1690">
        <v>88</v>
      </c>
      <c r="K1690" t="s">
        <v>0</v>
      </c>
      <c r="L1690" t="s">
        <v>1167</v>
      </c>
      <c r="M1690" t="s">
        <v>1168</v>
      </c>
      <c r="N1690" t="s">
        <v>1169</v>
      </c>
      <c r="O1690" t="s">
        <v>1168</v>
      </c>
      <c r="P1690" t="s">
        <v>1235</v>
      </c>
    </row>
    <row r="1691" spans="1:16" x14ac:dyDescent="0.25">
      <c r="A1691" t="s">
        <v>3880</v>
      </c>
      <c r="B1691" t="s">
        <v>3881</v>
      </c>
      <c r="C1691" t="s">
        <v>1233</v>
      </c>
      <c r="D1691" t="s">
        <v>1027</v>
      </c>
      <c r="E1691">
        <v>63762</v>
      </c>
      <c r="F1691" t="s">
        <v>1234</v>
      </c>
      <c r="G1691" t="b">
        <v>0</v>
      </c>
      <c r="H1691" t="b">
        <v>0</v>
      </c>
      <c r="I1691" t="s">
        <v>1050</v>
      </c>
      <c r="J1691">
        <v>88</v>
      </c>
      <c r="K1691" t="s">
        <v>0</v>
      </c>
      <c r="L1691" t="s">
        <v>1167</v>
      </c>
      <c r="M1691" t="s">
        <v>1168</v>
      </c>
      <c r="N1691" t="s">
        <v>1169</v>
      </c>
      <c r="O1691" t="s">
        <v>1168</v>
      </c>
      <c r="P1691" t="s">
        <v>1235</v>
      </c>
    </row>
    <row r="1692" spans="1:16" x14ac:dyDescent="0.25">
      <c r="A1692" t="s">
        <v>3882</v>
      </c>
      <c r="B1692" t="s">
        <v>3883</v>
      </c>
      <c r="C1692" t="s">
        <v>1233</v>
      </c>
      <c r="D1692" t="s">
        <v>1027</v>
      </c>
      <c r="E1692">
        <v>63762</v>
      </c>
      <c r="F1692" t="s">
        <v>1234</v>
      </c>
      <c r="G1692" t="b">
        <v>0</v>
      </c>
      <c r="H1692" t="b">
        <v>0</v>
      </c>
      <c r="I1692" t="s">
        <v>1050</v>
      </c>
      <c r="J1692">
        <v>88</v>
      </c>
      <c r="K1692" t="s">
        <v>0</v>
      </c>
      <c r="L1692" t="s">
        <v>1167</v>
      </c>
      <c r="M1692" t="s">
        <v>1168</v>
      </c>
      <c r="N1692" t="s">
        <v>1169</v>
      </c>
      <c r="O1692" t="s">
        <v>1168</v>
      </c>
      <c r="P1692" t="s">
        <v>1235</v>
      </c>
    </row>
    <row r="1693" spans="1:16" x14ac:dyDescent="0.25">
      <c r="A1693" t="s">
        <v>3884</v>
      </c>
      <c r="B1693" t="s">
        <v>3885</v>
      </c>
      <c r="C1693" t="s">
        <v>1233</v>
      </c>
      <c r="D1693" t="s">
        <v>1027</v>
      </c>
      <c r="E1693">
        <v>63762</v>
      </c>
      <c r="F1693" t="s">
        <v>1234</v>
      </c>
      <c r="G1693" t="b">
        <v>0</v>
      </c>
      <c r="H1693" t="b">
        <v>0</v>
      </c>
      <c r="I1693" t="s">
        <v>1050</v>
      </c>
      <c r="J1693">
        <v>88</v>
      </c>
      <c r="K1693" t="s">
        <v>0</v>
      </c>
      <c r="L1693" t="s">
        <v>1167</v>
      </c>
      <c r="M1693" t="s">
        <v>1168</v>
      </c>
      <c r="N1693" t="s">
        <v>1169</v>
      </c>
      <c r="O1693" t="s">
        <v>1168</v>
      </c>
      <c r="P1693" t="s">
        <v>1235</v>
      </c>
    </row>
    <row r="1694" spans="1:16" x14ac:dyDescent="0.25">
      <c r="A1694" t="s">
        <v>3886</v>
      </c>
      <c r="B1694" t="s">
        <v>3887</v>
      </c>
      <c r="C1694" t="s">
        <v>1228</v>
      </c>
      <c r="D1694" t="s">
        <v>1027</v>
      </c>
      <c r="E1694">
        <v>1660</v>
      </c>
      <c r="F1694" t="s">
        <v>1229</v>
      </c>
      <c r="G1694" t="b">
        <v>0</v>
      </c>
      <c r="H1694" t="b">
        <v>0</v>
      </c>
      <c r="I1694" t="s">
        <v>1050</v>
      </c>
      <c r="J1694">
        <v>85</v>
      </c>
      <c r="K1694" t="s">
        <v>2</v>
      </c>
      <c r="L1694" t="s">
        <v>1167</v>
      </c>
      <c r="M1694" t="s">
        <v>1168</v>
      </c>
      <c r="N1694" t="s">
        <v>1169</v>
      </c>
      <c r="O1694" t="s">
        <v>1168</v>
      </c>
      <c r="P1694" t="s">
        <v>1230</v>
      </c>
    </row>
    <row r="1695" spans="1:16" x14ac:dyDescent="0.25">
      <c r="A1695" t="s">
        <v>3888</v>
      </c>
      <c r="B1695" t="s">
        <v>3889</v>
      </c>
      <c r="C1695" t="s">
        <v>1571</v>
      </c>
      <c r="D1695" t="s">
        <v>1027</v>
      </c>
      <c r="E1695">
        <v>63767</v>
      </c>
      <c r="G1695" t="b">
        <v>0</v>
      </c>
      <c r="H1695" t="b">
        <v>0</v>
      </c>
      <c r="I1695" t="s">
        <v>1050</v>
      </c>
      <c r="J1695">
        <v>80</v>
      </c>
      <c r="K1695" t="s">
        <v>0</v>
      </c>
      <c r="L1695" t="s">
        <v>1167</v>
      </c>
      <c r="M1695" t="s">
        <v>1168</v>
      </c>
      <c r="N1695" t="s">
        <v>1169</v>
      </c>
      <c r="O1695" t="s">
        <v>1168</v>
      </c>
      <c r="P1695" t="s">
        <v>1283</v>
      </c>
    </row>
    <row r="1696" spans="1:16" x14ac:dyDescent="0.25">
      <c r="A1696" t="s">
        <v>3890</v>
      </c>
      <c r="B1696" t="s">
        <v>3891</v>
      </c>
      <c r="C1696" t="s">
        <v>1571</v>
      </c>
      <c r="D1696" t="s">
        <v>1027</v>
      </c>
      <c r="E1696">
        <v>63767</v>
      </c>
      <c r="G1696" t="b">
        <v>0</v>
      </c>
      <c r="H1696" t="b">
        <v>0</v>
      </c>
      <c r="I1696" t="s">
        <v>1050</v>
      </c>
      <c r="J1696">
        <v>80</v>
      </c>
      <c r="K1696" t="s">
        <v>0</v>
      </c>
      <c r="L1696" t="s">
        <v>1167</v>
      </c>
      <c r="M1696" t="s">
        <v>1168</v>
      </c>
      <c r="N1696" t="s">
        <v>1169</v>
      </c>
      <c r="O1696" t="s">
        <v>1168</v>
      </c>
      <c r="P1696" t="s">
        <v>1283</v>
      </c>
    </row>
    <row r="1697" spans="1:16" x14ac:dyDescent="0.25">
      <c r="A1697" t="s">
        <v>3892</v>
      </c>
      <c r="B1697" t="s">
        <v>3893</v>
      </c>
      <c r="C1697" t="s">
        <v>1571</v>
      </c>
      <c r="D1697" t="s">
        <v>1027</v>
      </c>
      <c r="E1697">
        <v>63767</v>
      </c>
      <c r="G1697" t="b">
        <v>0</v>
      </c>
      <c r="H1697" t="b">
        <v>0</v>
      </c>
      <c r="I1697" t="s">
        <v>1050</v>
      </c>
      <c r="J1697">
        <v>80</v>
      </c>
      <c r="K1697" t="s">
        <v>0</v>
      </c>
      <c r="L1697" t="s">
        <v>1167</v>
      </c>
      <c r="M1697" t="s">
        <v>1168</v>
      </c>
      <c r="N1697" t="s">
        <v>1169</v>
      </c>
      <c r="O1697" t="s">
        <v>1168</v>
      </c>
      <c r="P1697" t="s">
        <v>1283</v>
      </c>
    </row>
    <row r="1698" spans="1:16" x14ac:dyDescent="0.25">
      <c r="A1698" t="s">
        <v>3894</v>
      </c>
      <c r="B1698" t="s">
        <v>3895</v>
      </c>
      <c r="C1698" t="s">
        <v>1571</v>
      </c>
      <c r="D1698" t="s">
        <v>1027</v>
      </c>
      <c r="E1698">
        <v>63767</v>
      </c>
      <c r="G1698" t="b">
        <v>0</v>
      </c>
      <c r="H1698" t="b">
        <v>0</v>
      </c>
      <c r="I1698" t="s">
        <v>1050</v>
      </c>
      <c r="J1698">
        <v>80</v>
      </c>
      <c r="K1698" t="s">
        <v>0</v>
      </c>
      <c r="L1698" t="s">
        <v>1167</v>
      </c>
      <c r="M1698" t="s">
        <v>1168</v>
      </c>
      <c r="N1698" t="s">
        <v>1169</v>
      </c>
      <c r="O1698" t="s">
        <v>1168</v>
      </c>
      <c r="P1698" t="s">
        <v>1283</v>
      </c>
    </row>
    <row r="1699" spans="1:16" x14ac:dyDescent="0.25">
      <c r="A1699" t="s">
        <v>3896</v>
      </c>
      <c r="B1699" t="s">
        <v>3897</v>
      </c>
      <c r="C1699" t="s">
        <v>1571</v>
      </c>
      <c r="D1699" t="s">
        <v>1027</v>
      </c>
      <c r="E1699">
        <v>63767</v>
      </c>
      <c r="G1699" t="b">
        <v>0</v>
      </c>
      <c r="H1699" t="b">
        <v>0</v>
      </c>
      <c r="I1699" t="s">
        <v>1050</v>
      </c>
      <c r="J1699">
        <v>80</v>
      </c>
      <c r="K1699" t="s">
        <v>0</v>
      </c>
      <c r="L1699" t="s">
        <v>1167</v>
      </c>
      <c r="M1699" t="s">
        <v>1168</v>
      </c>
      <c r="N1699" t="s">
        <v>1169</v>
      </c>
      <c r="O1699" t="s">
        <v>1168</v>
      </c>
      <c r="P1699" t="s">
        <v>1283</v>
      </c>
    </row>
    <row r="1700" spans="1:16" x14ac:dyDescent="0.25">
      <c r="A1700" t="s">
        <v>3898</v>
      </c>
      <c r="B1700" t="s">
        <v>3899</v>
      </c>
      <c r="C1700" t="s">
        <v>1571</v>
      </c>
      <c r="D1700" t="s">
        <v>1027</v>
      </c>
      <c r="E1700">
        <v>63767</v>
      </c>
      <c r="G1700" t="b">
        <v>0</v>
      </c>
      <c r="H1700" t="b">
        <v>0</v>
      </c>
      <c r="I1700" t="s">
        <v>1050</v>
      </c>
      <c r="J1700">
        <v>80</v>
      </c>
      <c r="K1700" t="s">
        <v>0</v>
      </c>
      <c r="L1700" t="s">
        <v>1167</v>
      </c>
      <c r="M1700" t="s">
        <v>1168</v>
      </c>
      <c r="N1700" t="s">
        <v>1169</v>
      </c>
      <c r="O1700" t="s">
        <v>1168</v>
      </c>
      <c r="P1700" t="s">
        <v>1283</v>
      </c>
    </row>
    <row r="1701" spans="1:16" x14ac:dyDescent="0.25">
      <c r="A1701" t="s">
        <v>3900</v>
      </c>
      <c r="B1701" t="s">
        <v>3901</v>
      </c>
      <c r="C1701" t="s">
        <v>1571</v>
      </c>
      <c r="D1701" t="s">
        <v>1027</v>
      </c>
      <c r="E1701">
        <v>63767</v>
      </c>
      <c r="G1701" t="b">
        <v>0</v>
      </c>
      <c r="H1701" t="b">
        <v>0</v>
      </c>
      <c r="I1701" t="s">
        <v>1050</v>
      </c>
      <c r="J1701">
        <v>80</v>
      </c>
      <c r="K1701" t="s">
        <v>0</v>
      </c>
      <c r="L1701" t="s">
        <v>1167</v>
      </c>
      <c r="M1701" t="s">
        <v>1168</v>
      </c>
      <c r="N1701" t="s">
        <v>1169</v>
      </c>
      <c r="O1701" t="s">
        <v>1168</v>
      </c>
      <c r="P1701" t="s">
        <v>1283</v>
      </c>
    </row>
    <row r="1702" spans="1:16" x14ac:dyDescent="0.25">
      <c r="A1702" t="s">
        <v>3902</v>
      </c>
      <c r="B1702" t="s">
        <v>3903</v>
      </c>
      <c r="C1702" t="s">
        <v>1571</v>
      </c>
      <c r="D1702" t="s">
        <v>1027</v>
      </c>
      <c r="E1702">
        <v>63767</v>
      </c>
      <c r="G1702" t="b">
        <v>0</v>
      </c>
      <c r="H1702" t="b">
        <v>0</v>
      </c>
      <c r="I1702" t="s">
        <v>1050</v>
      </c>
      <c r="J1702">
        <v>80</v>
      </c>
      <c r="K1702" t="s">
        <v>0</v>
      </c>
      <c r="L1702" t="s">
        <v>1167</v>
      </c>
      <c r="M1702" t="s">
        <v>1168</v>
      </c>
      <c r="N1702" t="s">
        <v>1169</v>
      </c>
      <c r="O1702" t="s">
        <v>1168</v>
      </c>
      <c r="P1702" t="s">
        <v>1283</v>
      </c>
    </row>
    <row r="1703" spans="1:16" x14ac:dyDescent="0.25">
      <c r="A1703" t="s">
        <v>3904</v>
      </c>
      <c r="B1703" t="s">
        <v>3905</v>
      </c>
      <c r="C1703" t="s">
        <v>1571</v>
      </c>
      <c r="D1703" t="s">
        <v>1027</v>
      </c>
      <c r="E1703">
        <v>63767</v>
      </c>
      <c r="G1703" t="b">
        <v>0</v>
      </c>
      <c r="H1703" t="b">
        <v>0</v>
      </c>
      <c r="I1703" t="s">
        <v>1050</v>
      </c>
      <c r="J1703">
        <v>80</v>
      </c>
      <c r="K1703" t="s">
        <v>0</v>
      </c>
      <c r="L1703" t="s">
        <v>1167</v>
      </c>
      <c r="M1703" t="s">
        <v>1168</v>
      </c>
      <c r="N1703" t="s">
        <v>1169</v>
      </c>
      <c r="O1703" t="s">
        <v>1168</v>
      </c>
      <c r="P1703" t="s">
        <v>1283</v>
      </c>
    </row>
    <row r="1704" spans="1:16" x14ac:dyDescent="0.25">
      <c r="A1704" t="s">
        <v>3906</v>
      </c>
      <c r="B1704" t="s">
        <v>3907</v>
      </c>
      <c r="C1704" t="s">
        <v>1571</v>
      </c>
      <c r="D1704" t="s">
        <v>1027</v>
      </c>
      <c r="E1704">
        <v>63767</v>
      </c>
      <c r="G1704" t="b">
        <v>0</v>
      </c>
      <c r="H1704" t="b">
        <v>0</v>
      </c>
      <c r="I1704" t="s">
        <v>1050</v>
      </c>
      <c r="J1704">
        <v>80</v>
      </c>
      <c r="K1704" t="s">
        <v>0</v>
      </c>
      <c r="L1704" t="s">
        <v>1167</v>
      </c>
      <c r="M1704" t="s">
        <v>1168</v>
      </c>
      <c r="N1704" t="s">
        <v>1169</v>
      </c>
      <c r="O1704" t="s">
        <v>1168</v>
      </c>
      <c r="P1704" t="s">
        <v>1283</v>
      </c>
    </row>
    <row r="1705" spans="1:16" x14ac:dyDescent="0.25">
      <c r="A1705" t="s">
        <v>3908</v>
      </c>
      <c r="B1705" t="s">
        <v>3909</v>
      </c>
      <c r="C1705" t="s">
        <v>1571</v>
      </c>
      <c r="D1705" t="s">
        <v>1027</v>
      </c>
      <c r="E1705">
        <v>63767</v>
      </c>
      <c r="G1705" t="b">
        <v>0</v>
      </c>
      <c r="H1705" t="b">
        <v>0</v>
      </c>
      <c r="I1705" t="s">
        <v>1050</v>
      </c>
      <c r="J1705">
        <v>80</v>
      </c>
      <c r="K1705" t="s">
        <v>0</v>
      </c>
      <c r="L1705" t="s">
        <v>1167</v>
      </c>
      <c r="M1705" t="s">
        <v>1168</v>
      </c>
      <c r="N1705" t="s">
        <v>1169</v>
      </c>
      <c r="O1705" t="s">
        <v>1168</v>
      </c>
      <c r="P1705" t="s">
        <v>1283</v>
      </c>
    </row>
    <row r="1706" spans="1:16" x14ac:dyDescent="0.25">
      <c r="A1706" t="s">
        <v>3910</v>
      </c>
      <c r="B1706" t="s">
        <v>3911</v>
      </c>
      <c r="C1706" t="s">
        <v>1571</v>
      </c>
      <c r="D1706" t="s">
        <v>1027</v>
      </c>
      <c r="E1706">
        <v>63767</v>
      </c>
      <c r="G1706" t="b">
        <v>0</v>
      </c>
      <c r="H1706" t="b">
        <v>0</v>
      </c>
      <c r="I1706" t="s">
        <v>1050</v>
      </c>
      <c r="J1706">
        <v>80</v>
      </c>
      <c r="K1706" t="s">
        <v>0</v>
      </c>
      <c r="L1706" t="s">
        <v>1167</v>
      </c>
      <c r="M1706" t="s">
        <v>1168</v>
      </c>
      <c r="N1706" t="s">
        <v>1169</v>
      </c>
      <c r="O1706" t="s">
        <v>1168</v>
      </c>
      <c r="P1706" t="s">
        <v>1283</v>
      </c>
    </row>
    <row r="1707" spans="1:16" x14ac:dyDescent="0.25">
      <c r="A1707" t="s">
        <v>3912</v>
      </c>
      <c r="B1707" t="s">
        <v>3913</v>
      </c>
      <c r="C1707" t="s">
        <v>1571</v>
      </c>
      <c r="D1707" t="s">
        <v>1027</v>
      </c>
      <c r="E1707">
        <v>63767</v>
      </c>
      <c r="G1707" t="b">
        <v>0</v>
      </c>
      <c r="H1707" t="b">
        <v>0</v>
      </c>
      <c r="I1707" t="s">
        <v>1050</v>
      </c>
      <c r="J1707">
        <v>80</v>
      </c>
      <c r="K1707" t="s">
        <v>0</v>
      </c>
      <c r="L1707" t="s">
        <v>1167</v>
      </c>
      <c r="M1707" t="s">
        <v>1168</v>
      </c>
      <c r="N1707" t="s">
        <v>1169</v>
      </c>
      <c r="O1707" t="s">
        <v>1168</v>
      </c>
      <c r="P1707" t="s">
        <v>1283</v>
      </c>
    </row>
    <row r="1708" spans="1:16" x14ac:dyDescent="0.25">
      <c r="A1708" t="s">
        <v>3914</v>
      </c>
      <c r="B1708" t="s">
        <v>3913</v>
      </c>
      <c r="C1708" t="s">
        <v>1571</v>
      </c>
      <c r="D1708" t="s">
        <v>1027</v>
      </c>
      <c r="E1708">
        <v>63767</v>
      </c>
      <c r="G1708" t="b">
        <v>0</v>
      </c>
      <c r="H1708" t="b">
        <v>0</v>
      </c>
      <c r="I1708" t="s">
        <v>1050</v>
      </c>
      <c r="J1708">
        <v>80</v>
      </c>
      <c r="K1708" t="s">
        <v>0</v>
      </c>
      <c r="L1708" t="s">
        <v>1167</v>
      </c>
      <c r="M1708" t="s">
        <v>1168</v>
      </c>
      <c r="N1708" t="s">
        <v>1169</v>
      </c>
      <c r="O1708" t="s">
        <v>1168</v>
      </c>
      <c r="P1708" t="s">
        <v>1283</v>
      </c>
    </row>
    <row r="1709" spans="1:16" x14ac:dyDescent="0.25">
      <c r="A1709" t="s">
        <v>3915</v>
      </c>
      <c r="B1709" t="s">
        <v>3911</v>
      </c>
      <c r="C1709" t="s">
        <v>1571</v>
      </c>
      <c r="D1709" t="s">
        <v>1027</v>
      </c>
      <c r="E1709">
        <v>63767</v>
      </c>
      <c r="G1709" t="b">
        <v>0</v>
      </c>
      <c r="H1709" t="b">
        <v>0</v>
      </c>
      <c r="I1709" t="s">
        <v>1050</v>
      </c>
      <c r="J1709">
        <v>80</v>
      </c>
      <c r="K1709" t="s">
        <v>0</v>
      </c>
      <c r="L1709" t="s">
        <v>1167</v>
      </c>
      <c r="M1709" t="s">
        <v>1168</v>
      </c>
      <c r="N1709" t="s">
        <v>1169</v>
      </c>
      <c r="O1709" t="s">
        <v>1168</v>
      </c>
      <c r="P1709" t="s">
        <v>1283</v>
      </c>
    </row>
    <row r="1710" spans="1:16" x14ac:dyDescent="0.25">
      <c r="A1710" t="s">
        <v>3916</v>
      </c>
      <c r="B1710" t="s">
        <v>3917</v>
      </c>
      <c r="C1710" t="s">
        <v>1571</v>
      </c>
      <c r="D1710" t="s">
        <v>1027</v>
      </c>
      <c r="E1710">
        <v>63767</v>
      </c>
      <c r="G1710" t="b">
        <v>0</v>
      </c>
      <c r="H1710" t="b">
        <v>0</v>
      </c>
      <c r="I1710" t="s">
        <v>1050</v>
      </c>
      <c r="J1710">
        <v>80</v>
      </c>
      <c r="K1710" t="s">
        <v>0</v>
      </c>
      <c r="L1710" t="s">
        <v>1167</v>
      </c>
      <c r="M1710" t="s">
        <v>1168</v>
      </c>
      <c r="N1710" t="s">
        <v>1169</v>
      </c>
      <c r="O1710" t="s">
        <v>1168</v>
      </c>
      <c r="P1710" t="s">
        <v>1283</v>
      </c>
    </row>
    <row r="1711" spans="1:16" x14ac:dyDescent="0.25">
      <c r="A1711" t="s">
        <v>3918</v>
      </c>
      <c r="B1711" t="s">
        <v>3919</v>
      </c>
      <c r="C1711" t="s">
        <v>3920</v>
      </c>
      <c r="D1711" t="s">
        <v>1027</v>
      </c>
      <c r="E1711">
        <v>1351</v>
      </c>
      <c r="F1711" t="s">
        <v>3921</v>
      </c>
      <c r="G1711" t="b">
        <v>0</v>
      </c>
      <c r="H1711" t="b">
        <v>0</v>
      </c>
      <c r="I1711" t="s">
        <v>1050</v>
      </c>
      <c r="J1711">
        <v>87</v>
      </c>
      <c r="K1711" t="s">
        <v>2</v>
      </c>
      <c r="L1711" t="s">
        <v>3922</v>
      </c>
      <c r="M1711" t="s">
        <v>1548</v>
      </c>
      <c r="N1711" t="s">
        <v>1548</v>
      </c>
      <c r="O1711" t="s">
        <v>1548</v>
      </c>
      <c r="P1711" t="s">
        <v>1434</v>
      </c>
    </row>
    <row r="1712" spans="1:16" x14ac:dyDescent="0.25">
      <c r="A1712" t="s">
        <v>3923</v>
      </c>
      <c r="B1712" t="s">
        <v>3924</v>
      </c>
      <c r="C1712" t="s">
        <v>2026</v>
      </c>
      <c r="D1712" t="s">
        <v>1027</v>
      </c>
      <c r="E1712">
        <v>1336</v>
      </c>
      <c r="F1712" t="s">
        <v>2027</v>
      </c>
      <c r="G1712" t="b">
        <v>0</v>
      </c>
      <c r="H1712" t="b">
        <v>0</v>
      </c>
      <c r="I1712" t="s">
        <v>1050</v>
      </c>
      <c r="J1712">
        <v>80</v>
      </c>
      <c r="K1712" t="s">
        <v>0</v>
      </c>
      <c r="L1712" t="s">
        <v>1167</v>
      </c>
      <c r="M1712" t="s">
        <v>1168</v>
      </c>
      <c r="N1712" t="s">
        <v>1169</v>
      </c>
      <c r="O1712" t="s">
        <v>1168</v>
      </c>
      <c r="P1712" t="s">
        <v>2028</v>
      </c>
    </row>
    <row r="1713" spans="1:16" x14ac:dyDescent="0.25">
      <c r="A1713" t="s">
        <v>3925</v>
      </c>
      <c r="B1713" t="s">
        <v>3926</v>
      </c>
      <c r="C1713" t="s">
        <v>1233</v>
      </c>
      <c r="D1713" t="s">
        <v>1027</v>
      </c>
      <c r="E1713">
        <v>63762</v>
      </c>
      <c r="F1713" t="s">
        <v>1234</v>
      </c>
      <c r="G1713" t="b">
        <v>0</v>
      </c>
      <c r="H1713" t="b">
        <v>0</v>
      </c>
      <c r="I1713" t="s">
        <v>1050</v>
      </c>
      <c r="J1713">
        <v>80</v>
      </c>
      <c r="K1713" t="s">
        <v>0</v>
      </c>
      <c r="L1713" t="s">
        <v>1167</v>
      </c>
      <c r="M1713" t="s">
        <v>1168</v>
      </c>
      <c r="N1713" t="s">
        <v>1169</v>
      </c>
      <c r="O1713" t="s">
        <v>1168</v>
      </c>
      <c r="P1713" t="s">
        <v>1235</v>
      </c>
    </row>
    <row r="1714" spans="1:16" x14ac:dyDescent="0.25">
      <c r="A1714" t="s">
        <v>3927</v>
      </c>
      <c r="B1714" t="s">
        <v>3928</v>
      </c>
      <c r="C1714" t="s">
        <v>1571</v>
      </c>
      <c r="D1714" t="s">
        <v>1027</v>
      </c>
      <c r="E1714">
        <v>63767</v>
      </c>
      <c r="G1714" t="b">
        <v>0</v>
      </c>
      <c r="H1714" t="b">
        <v>0</v>
      </c>
      <c r="I1714" t="s">
        <v>1050</v>
      </c>
      <c r="J1714">
        <v>80</v>
      </c>
      <c r="K1714" t="s">
        <v>0</v>
      </c>
      <c r="L1714" t="s">
        <v>1167</v>
      </c>
      <c r="M1714" t="s">
        <v>1168</v>
      </c>
      <c r="N1714" t="s">
        <v>1169</v>
      </c>
      <c r="O1714" t="s">
        <v>1168</v>
      </c>
      <c r="P1714" t="s">
        <v>1283</v>
      </c>
    </row>
    <row r="1715" spans="1:16" x14ac:dyDescent="0.25">
      <c r="A1715" t="s">
        <v>3929</v>
      </c>
      <c r="B1715" t="s">
        <v>3930</v>
      </c>
      <c r="C1715" t="s">
        <v>1571</v>
      </c>
      <c r="D1715" t="s">
        <v>1027</v>
      </c>
      <c r="E1715">
        <v>63767</v>
      </c>
      <c r="G1715" t="b">
        <v>0</v>
      </c>
      <c r="H1715" t="b">
        <v>0</v>
      </c>
      <c r="I1715" t="s">
        <v>1050</v>
      </c>
      <c r="J1715">
        <v>80</v>
      </c>
      <c r="K1715" t="s">
        <v>0</v>
      </c>
      <c r="L1715" t="s">
        <v>1167</v>
      </c>
      <c r="M1715" t="s">
        <v>1168</v>
      </c>
      <c r="N1715" t="s">
        <v>1169</v>
      </c>
      <c r="O1715" t="s">
        <v>1168</v>
      </c>
      <c r="P1715" t="s">
        <v>1283</v>
      </c>
    </row>
    <row r="1716" spans="1:16" x14ac:dyDescent="0.25">
      <c r="A1716" t="s">
        <v>3931</v>
      </c>
      <c r="B1716" t="s">
        <v>3932</v>
      </c>
      <c r="C1716" t="s">
        <v>1571</v>
      </c>
      <c r="D1716" t="s">
        <v>1027</v>
      </c>
      <c r="E1716">
        <v>63767</v>
      </c>
      <c r="G1716" t="b">
        <v>0</v>
      </c>
      <c r="H1716" t="b">
        <v>0</v>
      </c>
      <c r="I1716" t="s">
        <v>1050</v>
      </c>
      <c r="J1716">
        <v>80</v>
      </c>
      <c r="K1716" t="s">
        <v>0</v>
      </c>
      <c r="L1716" t="s">
        <v>1167</v>
      </c>
      <c r="M1716" t="s">
        <v>1168</v>
      </c>
      <c r="N1716" t="s">
        <v>1169</v>
      </c>
      <c r="O1716" t="s">
        <v>1168</v>
      </c>
      <c r="P1716" t="s">
        <v>1283</v>
      </c>
    </row>
    <row r="1717" spans="1:16" x14ac:dyDescent="0.25">
      <c r="A1717" t="s">
        <v>3933</v>
      </c>
      <c r="B1717" t="s">
        <v>3934</v>
      </c>
      <c r="C1717" t="s">
        <v>1571</v>
      </c>
      <c r="D1717" t="s">
        <v>1027</v>
      </c>
      <c r="E1717">
        <v>63767</v>
      </c>
      <c r="G1717" t="b">
        <v>0</v>
      </c>
      <c r="H1717" t="b">
        <v>0</v>
      </c>
      <c r="I1717" t="s">
        <v>1050</v>
      </c>
      <c r="J1717">
        <v>87</v>
      </c>
      <c r="K1717" t="s">
        <v>0</v>
      </c>
      <c r="L1717" t="s">
        <v>1167</v>
      </c>
      <c r="M1717" t="s">
        <v>1168</v>
      </c>
      <c r="N1717" t="s">
        <v>1169</v>
      </c>
      <c r="O1717" t="s">
        <v>1168</v>
      </c>
      <c r="P1717" t="s">
        <v>1283</v>
      </c>
    </row>
    <row r="1718" spans="1:16" x14ac:dyDescent="0.25">
      <c r="A1718" t="s">
        <v>3935</v>
      </c>
      <c r="B1718" t="s">
        <v>3936</v>
      </c>
      <c r="C1718" t="s">
        <v>1571</v>
      </c>
      <c r="D1718" t="s">
        <v>1027</v>
      </c>
      <c r="E1718">
        <v>63767</v>
      </c>
      <c r="G1718" t="b">
        <v>0</v>
      </c>
      <c r="H1718" t="b">
        <v>0</v>
      </c>
      <c r="I1718" t="s">
        <v>1050</v>
      </c>
      <c r="J1718">
        <v>87</v>
      </c>
      <c r="K1718" t="s">
        <v>0</v>
      </c>
      <c r="L1718" t="s">
        <v>1167</v>
      </c>
      <c r="M1718" t="s">
        <v>1168</v>
      </c>
      <c r="N1718" t="s">
        <v>1169</v>
      </c>
      <c r="O1718" t="s">
        <v>1168</v>
      </c>
      <c r="P1718" t="s">
        <v>1283</v>
      </c>
    </row>
    <row r="1719" spans="1:16" x14ac:dyDescent="0.25">
      <c r="A1719" t="s">
        <v>3937</v>
      </c>
      <c r="B1719" t="s">
        <v>3938</v>
      </c>
      <c r="C1719" t="s">
        <v>1571</v>
      </c>
      <c r="D1719" t="s">
        <v>1027</v>
      </c>
      <c r="E1719">
        <v>63767</v>
      </c>
      <c r="G1719" t="b">
        <v>0</v>
      </c>
      <c r="H1719" t="b">
        <v>0</v>
      </c>
      <c r="I1719" t="s">
        <v>1050</v>
      </c>
      <c r="J1719">
        <v>87</v>
      </c>
      <c r="K1719" t="s">
        <v>0</v>
      </c>
      <c r="L1719" t="s">
        <v>1167</v>
      </c>
      <c r="M1719" t="s">
        <v>1168</v>
      </c>
      <c r="N1719" t="s">
        <v>1169</v>
      </c>
      <c r="O1719" t="s">
        <v>1168</v>
      </c>
      <c r="P1719" t="s">
        <v>1283</v>
      </c>
    </row>
    <row r="1720" spans="1:16" x14ac:dyDescent="0.25">
      <c r="A1720" t="s">
        <v>3939</v>
      </c>
      <c r="B1720" t="s">
        <v>3940</v>
      </c>
      <c r="C1720" t="s">
        <v>1571</v>
      </c>
      <c r="D1720" t="s">
        <v>1027</v>
      </c>
      <c r="E1720">
        <v>63767</v>
      </c>
      <c r="G1720" t="b">
        <v>0</v>
      </c>
      <c r="H1720" t="b">
        <v>0</v>
      </c>
      <c r="I1720" t="s">
        <v>1050</v>
      </c>
      <c r="J1720">
        <v>87</v>
      </c>
      <c r="K1720" t="s">
        <v>0</v>
      </c>
      <c r="L1720" t="s">
        <v>1167</v>
      </c>
      <c r="M1720" t="s">
        <v>1168</v>
      </c>
      <c r="N1720" t="s">
        <v>1169</v>
      </c>
      <c r="O1720" t="s">
        <v>1168</v>
      </c>
      <c r="P1720" t="s">
        <v>1283</v>
      </c>
    </row>
    <row r="1721" spans="1:16" x14ac:dyDescent="0.25">
      <c r="A1721" t="s">
        <v>3941</v>
      </c>
      <c r="B1721" t="s">
        <v>3942</v>
      </c>
      <c r="C1721" t="s">
        <v>1571</v>
      </c>
      <c r="D1721" t="s">
        <v>1027</v>
      </c>
      <c r="E1721">
        <v>63767</v>
      </c>
      <c r="G1721" t="b">
        <v>0</v>
      </c>
      <c r="H1721" t="b">
        <v>0</v>
      </c>
      <c r="I1721" t="s">
        <v>1050</v>
      </c>
      <c r="J1721">
        <v>87</v>
      </c>
      <c r="K1721" t="s">
        <v>0</v>
      </c>
      <c r="L1721" t="s">
        <v>1167</v>
      </c>
      <c r="M1721" t="s">
        <v>1168</v>
      </c>
      <c r="N1721" t="s">
        <v>1169</v>
      </c>
      <c r="O1721" t="s">
        <v>1168</v>
      </c>
      <c r="P1721" t="s">
        <v>1283</v>
      </c>
    </row>
    <row r="1722" spans="1:16" x14ac:dyDescent="0.25">
      <c r="A1722" t="s">
        <v>3943</v>
      </c>
      <c r="B1722" t="s">
        <v>3944</v>
      </c>
      <c r="C1722" t="s">
        <v>1571</v>
      </c>
      <c r="D1722" t="s">
        <v>1027</v>
      </c>
      <c r="E1722">
        <v>63767</v>
      </c>
      <c r="G1722" t="b">
        <v>0</v>
      </c>
      <c r="H1722" t="b">
        <v>0</v>
      </c>
      <c r="I1722" t="s">
        <v>1050</v>
      </c>
      <c r="J1722">
        <v>87</v>
      </c>
      <c r="K1722" t="s">
        <v>0</v>
      </c>
      <c r="L1722" t="s">
        <v>1167</v>
      </c>
      <c r="M1722" t="s">
        <v>1168</v>
      </c>
      <c r="N1722" t="s">
        <v>1169</v>
      </c>
      <c r="O1722" t="s">
        <v>1168</v>
      </c>
      <c r="P1722" t="s">
        <v>1283</v>
      </c>
    </row>
    <row r="1723" spans="1:16" x14ac:dyDescent="0.25">
      <c r="A1723" t="s">
        <v>3945</v>
      </c>
      <c r="B1723" t="s">
        <v>3946</v>
      </c>
      <c r="C1723" t="s">
        <v>1571</v>
      </c>
      <c r="D1723" t="s">
        <v>1027</v>
      </c>
      <c r="E1723">
        <v>63767</v>
      </c>
      <c r="G1723" t="b">
        <v>0</v>
      </c>
      <c r="H1723" t="b">
        <v>0</v>
      </c>
      <c r="I1723" t="s">
        <v>1050</v>
      </c>
      <c r="J1723">
        <v>80</v>
      </c>
      <c r="K1723" t="s">
        <v>0</v>
      </c>
      <c r="L1723" t="s">
        <v>1167</v>
      </c>
      <c r="M1723" t="s">
        <v>1168</v>
      </c>
      <c r="N1723" t="s">
        <v>1169</v>
      </c>
      <c r="O1723" t="s">
        <v>1168</v>
      </c>
      <c r="P1723" t="s">
        <v>1283</v>
      </c>
    </row>
    <row r="1724" spans="1:16" x14ac:dyDescent="0.25">
      <c r="A1724" t="s">
        <v>3947</v>
      </c>
      <c r="B1724" t="s">
        <v>3946</v>
      </c>
      <c r="C1724" t="s">
        <v>1571</v>
      </c>
      <c r="D1724" t="s">
        <v>1027</v>
      </c>
      <c r="E1724">
        <v>63767</v>
      </c>
      <c r="G1724" t="b">
        <v>0</v>
      </c>
      <c r="H1724" t="b">
        <v>0</v>
      </c>
      <c r="I1724" t="s">
        <v>1050</v>
      </c>
      <c r="J1724">
        <v>80</v>
      </c>
      <c r="K1724" t="s">
        <v>0</v>
      </c>
      <c r="L1724" t="s">
        <v>1167</v>
      </c>
      <c r="M1724" t="s">
        <v>1168</v>
      </c>
      <c r="N1724" t="s">
        <v>1169</v>
      </c>
      <c r="O1724" t="s">
        <v>1168</v>
      </c>
      <c r="P1724" t="s">
        <v>1283</v>
      </c>
    </row>
    <row r="1725" spans="1:16" x14ac:dyDescent="0.25">
      <c r="A1725" t="s">
        <v>3948</v>
      </c>
      <c r="B1725" t="s">
        <v>3949</v>
      </c>
      <c r="C1725" t="s">
        <v>3950</v>
      </c>
      <c r="D1725" t="s">
        <v>1027</v>
      </c>
      <c r="E1725">
        <v>1456</v>
      </c>
      <c r="F1725" t="s">
        <v>3951</v>
      </c>
      <c r="G1725" t="b">
        <v>0</v>
      </c>
      <c r="H1725" t="b">
        <v>0</v>
      </c>
      <c r="I1725" t="s">
        <v>1050</v>
      </c>
      <c r="J1725">
        <v>87</v>
      </c>
      <c r="K1725" t="s">
        <v>0</v>
      </c>
      <c r="L1725" t="s">
        <v>1213</v>
      </c>
      <c r="M1725" t="s">
        <v>1168</v>
      </c>
      <c r="N1725" t="s">
        <v>1168</v>
      </c>
      <c r="O1725" t="s">
        <v>1168</v>
      </c>
      <c r="P1725" t="s">
        <v>3952</v>
      </c>
    </row>
    <row r="1726" spans="1:16" x14ac:dyDescent="0.25">
      <c r="A1726" t="s">
        <v>3953</v>
      </c>
      <c r="B1726" t="s">
        <v>3954</v>
      </c>
      <c r="C1726" t="s">
        <v>3950</v>
      </c>
      <c r="D1726" t="s">
        <v>1027</v>
      </c>
      <c r="E1726">
        <v>1456</v>
      </c>
      <c r="F1726" t="s">
        <v>3951</v>
      </c>
      <c r="G1726" t="b">
        <v>0</v>
      </c>
      <c r="H1726" t="b">
        <v>0</v>
      </c>
      <c r="I1726" t="s">
        <v>1050</v>
      </c>
      <c r="J1726">
        <v>87</v>
      </c>
      <c r="K1726" t="s">
        <v>0</v>
      </c>
      <c r="L1726" t="s">
        <v>1213</v>
      </c>
      <c r="M1726" t="s">
        <v>1168</v>
      </c>
      <c r="N1726" t="s">
        <v>1168</v>
      </c>
      <c r="O1726" t="s">
        <v>1168</v>
      </c>
      <c r="P1726" t="s">
        <v>3952</v>
      </c>
    </row>
    <row r="1727" spans="1:16" x14ac:dyDescent="0.25">
      <c r="A1727" t="s">
        <v>3955</v>
      </c>
      <c r="B1727" t="s">
        <v>3956</v>
      </c>
      <c r="C1727" t="s">
        <v>1165</v>
      </c>
      <c r="D1727" t="s">
        <v>1027</v>
      </c>
      <c r="E1727">
        <v>63774</v>
      </c>
      <c r="F1727" t="s">
        <v>1166</v>
      </c>
      <c r="G1727" t="b">
        <v>0</v>
      </c>
      <c r="H1727" t="b">
        <v>0</v>
      </c>
      <c r="I1727" t="s">
        <v>1050</v>
      </c>
      <c r="J1727">
        <v>30</v>
      </c>
      <c r="K1727" t="s">
        <v>1</v>
      </c>
      <c r="L1727" t="s">
        <v>1167</v>
      </c>
      <c r="M1727" t="s">
        <v>1168</v>
      </c>
      <c r="N1727" t="s">
        <v>1169</v>
      </c>
      <c r="O1727" t="s">
        <v>1168</v>
      </c>
      <c r="P1727" t="s">
        <v>1170</v>
      </c>
    </row>
    <row r="1728" spans="1:16" x14ac:dyDescent="0.25">
      <c r="A1728" t="s">
        <v>3957</v>
      </c>
      <c r="B1728" t="s">
        <v>3958</v>
      </c>
      <c r="C1728" t="s">
        <v>1165</v>
      </c>
      <c r="D1728" t="s">
        <v>1027</v>
      </c>
      <c r="E1728">
        <v>63774</v>
      </c>
      <c r="F1728" t="s">
        <v>1166</v>
      </c>
      <c r="G1728" t="b">
        <v>0</v>
      </c>
      <c r="H1728" t="b">
        <v>0</v>
      </c>
      <c r="I1728" t="s">
        <v>1050</v>
      </c>
      <c r="J1728">
        <v>30</v>
      </c>
      <c r="K1728" t="s">
        <v>1</v>
      </c>
      <c r="L1728" t="s">
        <v>1167</v>
      </c>
      <c r="M1728" t="s">
        <v>1168</v>
      </c>
      <c r="N1728" t="s">
        <v>1169</v>
      </c>
      <c r="O1728" t="s">
        <v>1168</v>
      </c>
      <c r="P1728" t="s">
        <v>1170</v>
      </c>
    </row>
    <row r="1729" spans="1:16" x14ac:dyDescent="0.25">
      <c r="A1729" t="s">
        <v>3959</v>
      </c>
      <c r="B1729" t="s">
        <v>3960</v>
      </c>
      <c r="C1729" t="s">
        <v>1165</v>
      </c>
      <c r="D1729" t="s">
        <v>1027</v>
      </c>
      <c r="E1729">
        <v>63774</v>
      </c>
      <c r="F1729" t="s">
        <v>1166</v>
      </c>
      <c r="G1729" t="b">
        <v>0</v>
      </c>
      <c r="H1729" t="b">
        <v>0</v>
      </c>
      <c r="I1729" t="s">
        <v>1050</v>
      </c>
      <c r="J1729">
        <v>51</v>
      </c>
      <c r="K1729" t="s">
        <v>1</v>
      </c>
      <c r="L1729" t="s">
        <v>1167</v>
      </c>
      <c r="M1729" t="s">
        <v>1168</v>
      </c>
      <c r="N1729" t="s">
        <v>1169</v>
      </c>
      <c r="O1729" t="s">
        <v>1168</v>
      </c>
      <c r="P1729" t="s">
        <v>1170</v>
      </c>
    </row>
    <row r="1730" spans="1:16" x14ac:dyDescent="0.25">
      <c r="A1730" t="s">
        <v>3961</v>
      </c>
      <c r="B1730" t="s">
        <v>3960</v>
      </c>
      <c r="C1730" t="s">
        <v>1165</v>
      </c>
      <c r="D1730" t="s">
        <v>1027</v>
      </c>
      <c r="E1730">
        <v>63774</v>
      </c>
      <c r="F1730" t="s">
        <v>1166</v>
      </c>
      <c r="G1730" t="b">
        <v>0</v>
      </c>
      <c r="H1730" t="b">
        <v>0</v>
      </c>
      <c r="I1730" t="s">
        <v>1050</v>
      </c>
      <c r="J1730">
        <v>51</v>
      </c>
      <c r="K1730" t="s">
        <v>1</v>
      </c>
      <c r="L1730" t="s">
        <v>1167</v>
      </c>
      <c r="M1730" t="s">
        <v>1168</v>
      </c>
      <c r="N1730" t="s">
        <v>1169</v>
      </c>
      <c r="O1730" t="s">
        <v>1168</v>
      </c>
      <c r="P1730" t="s">
        <v>1170</v>
      </c>
    </row>
    <row r="1731" spans="1:16" x14ac:dyDescent="0.25">
      <c r="A1731" t="s">
        <v>3962</v>
      </c>
      <c r="B1731" t="s">
        <v>3963</v>
      </c>
      <c r="C1731" t="s">
        <v>1217</v>
      </c>
      <c r="D1731" t="s">
        <v>1027</v>
      </c>
      <c r="E1731">
        <v>1450</v>
      </c>
      <c r="F1731" t="s">
        <v>1218</v>
      </c>
      <c r="G1731" t="b">
        <v>0</v>
      </c>
      <c r="H1731" t="b">
        <v>0</v>
      </c>
      <c r="I1731" t="s">
        <v>1050</v>
      </c>
      <c r="J1731">
        <v>91</v>
      </c>
      <c r="K1731" t="s">
        <v>0</v>
      </c>
      <c r="L1731" t="s">
        <v>1167</v>
      </c>
      <c r="M1731" t="s">
        <v>1168</v>
      </c>
      <c r="N1731" t="s">
        <v>1169</v>
      </c>
      <c r="O1731" t="s">
        <v>1168</v>
      </c>
      <c r="P1731" t="s">
        <v>1219</v>
      </c>
    </row>
    <row r="1732" spans="1:16" x14ac:dyDescent="0.25">
      <c r="A1732" t="s">
        <v>3964</v>
      </c>
      <c r="B1732" t="s">
        <v>3965</v>
      </c>
      <c r="C1732" t="s">
        <v>1217</v>
      </c>
      <c r="D1732" t="s">
        <v>1027</v>
      </c>
      <c r="E1732">
        <v>1450</v>
      </c>
      <c r="F1732" t="s">
        <v>1218</v>
      </c>
      <c r="G1732" t="b">
        <v>0</v>
      </c>
      <c r="H1732" t="b">
        <v>0</v>
      </c>
      <c r="I1732" t="s">
        <v>1050</v>
      </c>
      <c r="J1732">
        <v>91</v>
      </c>
      <c r="K1732" t="s">
        <v>0</v>
      </c>
      <c r="L1732" t="s">
        <v>1167</v>
      </c>
      <c r="M1732" t="s">
        <v>1168</v>
      </c>
      <c r="N1732" t="s">
        <v>1169</v>
      </c>
      <c r="O1732" t="s">
        <v>1168</v>
      </c>
      <c r="P1732" t="s">
        <v>1219</v>
      </c>
    </row>
    <row r="1733" spans="1:16" x14ac:dyDescent="0.25">
      <c r="A1733" t="s">
        <v>3966</v>
      </c>
      <c r="B1733" t="s">
        <v>3967</v>
      </c>
      <c r="C1733" t="s">
        <v>1217</v>
      </c>
      <c r="D1733" t="s">
        <v>1027</v>
      </c>
      <c r="E1733">
        <v>1450</v>
      </c>
      <c r="F1733" t="s">
        <v>1218</v>
      </c>
      <c r="G1733" t="b">
        <v>0</v>
      </c>
      <c r="H1733" t="b">
        <v>0</v>
      </c>
      <c r="I1733" t="s">
        <v>1050</v>
      </c>
      <c r="J1733">
        <v>91</v>
      </c>
      <c r="K1733" t="s">
        <v>0</v>
      </c>
      <c r="L1733" t="s">
        <v>1167</v>
      </c>
      <c r="M1733" t="s">
        <v>1168</v>
      </c>
      <c r="N1733" t="s">
        <v>1169</v>
      </c>
      <c r="O1733" t="s">
        <v>1168</v>
      </c>
      <c r="P1733" t="s">
        <v>1219</v>
      </c>
    </row>
    <row r="1734" spans="1:16" x14ac:dyDescent="0.25">
      <c r="A1734" t="s">
        <v>3968</v>
      </c>
      <c r="B1734" t="s">
        <v>3969</v>
      </c>
      <c r="C1734" t="s">
        <v>1217</v>
      </c>
      <c r="D1734" t="s">
        <v>1027</v>
      </c>
      <c r="E1734">
        <v>1450</v>
      </c>
      <c r="F1734" t="s">
        <v>1218</v>
      </c>
      <c r="G1734" t="b">
        <v>0</v>
      </c>
      <c r="H1734" t="b">
        <v>0</v>
      </c>
      <c r="I1734" t="s">
        <v>1050</v>
      </c>
      <c r="J1734">
        <v>91</v>
      </c>
      <c r="K1734" t="s">
        <v>0</v>
      </c>
      <c r="L1734" t="s">
        <v>1167</v>
      </c>
      <c r="M1734" t="s">
        <v>1168</v>
      </c>
      <c r="N1734" t="s">
        <v>1169</v>
      </c>
      <c r="O1734" t="s">
        <v>1168</v>
      </c>
      <c r="P1734" t="s">
        <v>1219</v>
      </c>
    </row>
    <row r="1735" spans="1:16" x14ac:dyDescent="0.25">
      <c r="A1735" t="s">
        <v>3970</v>
      </c>
      <c r="B1735" t="s">
        <v>3963</v>
      </c>
      <c r="C1735" t="s">
        <v>1217</v>
      </c>
      <c r="D1735" t="s">
        <v>1027</v>
      </c>
      <c r="E1735">
        <v>1450</v>
      </c>
      <c r="F1735" t="s">
        <v>1218</v>
      </c>
      <c r="G1735" t="b">
        <v>0</v>
      </c>
      <c r="H1735" t="b">
        <v>0</v>
      </c>
      <c r="I1735" t="s">
        <v>1050</v>
      </c>
      <c r="J1735">
        <v>91</v>
      </c>
      <c r="K1735" t="s">
        <v>0</v>
      </c>
      <c r="L1735" t="s">
        <v>1167</v>
      </c>
      <c r="M1735" t="s">
        <v>1168</v>
      </c>
      <c r="N1735" t="s">
        <v>1169</v>
      </c>
      <c r="O1735" t="s">
        <v>1168</v>
      </c>
      <c r="P1735" t="s">
        <v>1219</v>
      </c>
    </row>
    <row r="1736" spans="1:16" x14ac:dyDescent="0.25">
      <c r="A1736" t="s">
        <v>3971</v>
      </c>
      <c r="B1736" t="s">
        <v>3965</v>
      </c>
      <c r="C1736" t="s">
        <v>1217</v>
      </c>
      <c r="D1736" t="s">
        <v>1027</v>
      </c>
      <c r="E1736">
        <v>1450</v>
      </c>
      <c r="F1736" t="s">
        <v>1218</v>
      </c>
      <c r="G1736" t="b">
        <v>0</v>
      </c>
      <c r="H1736" t="b">
        <v>0</v>
      </c>
      <c r="I1736" t="s">
        <v>1050</v>
      </c>
      <c r="J1736">
        <v>91</v>
      </c>
      <c r="K1736" t="s">
        <v>0</v>
      </c>
      <c r="L1736" t="s">
        <v>1167</v>
      </c>
      <c r="M1736" t="s">
        <v>1168</v>
      </c>
      <c r="N1736" t="s">
        <v>1169</v>
      </c>
      <c r="O1736" t="s">
        <v>1168</v>
      </c>
      <c r="P1736" t="s">
        <v>1219</v>
      </c>
    </row>
    <row r="1737" spans="1:16" x14ac:dyDescent="0.25">
      <c r="A1737" t="s">
        <v>3972</v>
      </c>
      <c r="B1737" t="s">
        <v>3967</v>
      </c>
      <c r="C1737" t="s">
        <v>1217</v>
      </c>
      <c r="D1737" t="s">
        <v>1027</v>
      </c>
      <c r="E1737">
        <v>1450</v>
      </c>
      <c r="F1737" t="s">
        <v>1218</v>
      </c>
      <c r="G1737" t="b">
        <v>0</v>
      </c>
      <c r="H1737" t="b">
        <v>0</v>
      </c>
      <c r="I1737" t="s">
        <v>1050</v>
      </c>
      <c r="J1737">
        <v>91</v>
      </c>
      <c r="K1737" t="s">
        <v>0</v>
      </c>
      <c r="L1737" t="s">
        <v>1167</v>
      </c>
      <c r="M1737" t="s">
        <v>1168</v>
      </c>
      <c r="N1737" t="s">
        <v>1169</v>
      </c>
      <c r="O1737" t="s">
        <v>1168</v>
      </c>
      <c r="P1737" t="s">
        <v>1219</v>
      </c>
    </row>
    <row r="1738" spans="1:16" x14ac:dyDescent="0.25">
      <c r="A1738" t="s">
        <v>3973</v>
      </c>
      <c r="B1738" t="s">
        <v>3969</v>
      </c>
      <c r="C1738" t="s">
        <v>1217</v>
      </c>
      <c r="D1738" t="s">
        <v>1027</v>
      </c>
      <c r="E1738">
        <v>1450</v>
      </c>
      <c r="F1738" t="s">
        <v>1218</v>
      </c>
      <c r="G1738" t="b">
        <v>0</v>
      </c>
      <c r="H1738" t="b">
        <v>0</v>
      </c>
      <c r="I1738" t="s">
        <v>1050</v>
      </c>
      <c r="J1738">
        <v>91</v>
      </c>
      <c r="K1738" t="s">
        <v>0</v>
      </c>
      <c r="L1738" t="s">
        <v>1167</v>
      </c>
      <c r="M1738" t="s">
        <v>1168</v>
      </c>
      <c r="N1738" t="s">
        <v>1169</v>
      </c>
      <c r="O1738" t="s">
        <v>1168</v>
      </c>
      <c r="P1738" t="s">
        <v>1219</v>
      </c>
    </row>
    <row r="1739" spans="1:16" x14ac:dyDescent="0.25">
      <c r="A1739" t="s">
        <v>3974</v>
      </c>
      <c r="B1739" t="s">
        <v>3963</v>
      </c>
      <c r="C1739" t="s">
        <v>1217</v>
      </c>
      <c r="D1739" t="s">
        <v>1027</v>
      </c>
      <c r="E1739">
        <v>1450</v>
      </c>
      <c r="F1739" t="s">
        <v>1218</v>
      </c>
      <c r="G1739" t="b">
        <v>0</v>
      </c>
      <c r="H1739" t="b">
        <v>0</v>
      </c>
      <c r="I1739" t="s">
        <v>1050</v>
      </c>
      <c r="J1739">
        <v>91</v>
      </c>
      <c r="K1739" t="s">
        <v>0</v>
      </c>
      <c r="L1739" t="s">
        <v>1167</v>
      </c>
      <c r="M1739" t="s">
        <v>1168</v>
      </c>
      <c r="N1739" t="s">
        <v>1169</v>
      </c>
      <c r="O1739" t="s">
        <v>1168</v>
      </c>
      <c r="P1739" t="s">
        <v>1219</v>
      </c>
    </row>
    <row r="1740" spans="1:16" x14ac:dyDescent="0.25">
      <c r="A1740" t="s">
        <v>3975</v>
      </c>
      <c r="B1740" t="s">
        <v>3965</v>
      </c>
      <c r="C1740" t="s">
        <v>1217</v>
      </c>
      <c r="D1740" t="s">
        <v>1027</v>
      </c>
      <c r="E1740">
        <v>1450</v>
      </c>
      <c r="F1740" t="s">
        <v>1218</v>
      </c>
      <c r="G1740" t="b">
        <v>0</v>
      </c>
      <c r="H1740" t="b">
        <v>0</v>
      </c>
      <c r="I1740" t="s">
        <v>1050</v>
      </c>
      <c r="J1740">
        <v>91</v>
      </c>
      <c r="K1740" t="s">
        <v>0</v>
      </c>
      <c r="L1740" t="s">
        <v>1167</v>
      </c>
      <c r="M1740" t="s">
        <v>1168</v>
      </c>
      <c r="N1740" t="s">
        <v>1169</v>
      </c>
      <c r="O1740" t="s">
        <v>1168</v>
      </c>
      <c r="P1740" t="s">
        <v>1219</v>
      </c>
    </row>
    <row r="1741" spans="1:16" x14ac:dyDescent="0.25">
      <c r="A1741" t="s">
        <v>3976</v>
      </c>
      <c r="B1741" t="s">
        <v>3967</v>
      </c>
      <c r="C1741" t="s">
        <v>1217</v>
      </c>
      <c r="D1741" t="s">
        <v>1027</v>
      </c>
      <c r="E1741">
        <v>1450</v>
      </c>
      <c r="F1741" t="s">
        <v>1218</v>
      </c>
      <c r="G1741" t="b">
        <v>0</v>
      </c>
      <c r="H1741" t="b">
        <v>0</v>
      </c>
      <c r="I1741" t="s">
        <v>1050</v>
      </c>
      <c r="J1741">
        <v>91</v>
      </c>
      <c r="K1741" t="s">
        <v>0</v>
      </c>
      <c r="L1741" t="s">
        <v>1167</v>
      </c>
      <c r="M1741" t="s">
        <v>1168</v>
      </c>
      <c r="N1741" t="s">
        <v>1169</v>
      </c>
      <c r="O1741" t="s">
        <v>1168</v>
      </c>
      <c r="P1741" t="s">
        <v>1219</v>
      </c>
    </row>
    <row r="1742" spans="1:16" x14ac:dyDescent="0.25">
      <c r="A1742" t="s">
        <v>3977</v>
      </c>
      <c r="B1742" t="s">
        <v>3969</v>
      </c>
      <c r="C1742" t="s">
        <v>1217</v>
      </c>
      <c r="D1742" t="s">
        <v>1027</v>
      </c>
      <c r="E1742">
        <v>1450</v>
      </c>
      <c r="F1742" t="s">
        <v>1218</v>
      </c>
      <c r="G1742" t="b">
        <v>0</v>
      </c>
      <c r="H1742" t="b">
        <v>0</v>
      </c>
      <c r="I1742" t="s">
        <v>1050</v>
      </c>
      <c r="J1742">
        <v>91</v>
      </c>
      <c r="K1742" t="s">
        <v>0</v>
      </c>
      <c r="L1742" t="s">
        <v>1167</v>
      </c>
      <c r="M1742" t="s">
        <v>1168</v>
      </c>
      <c r="N1742" t="s">
        <v>1169</v>
      </c>
      <c r="O1742" t="s">
        <v>1168</v>
      </c>
      <c r="P1742" t="s">
        <v>1219</v>
      </c>
    </row>
    <row r="1743" spans="1:16" x14ac:dyDescent="0.25">
      <c r="A1743" t="s">
        <v>3978</v>
      </c>
      <c r="B1743" t="s">
        <v>3963</v>
      </c>
      <c r="C1743" t="s">
        <v>1217</v>
      </c>
      <c r="D1743" t="s">
        <v>1027</v>
      </c>
      <c r="E1743">
        <v>1450</v>
      </c>
      <c r="F1743" t="s">
        <v>1218</v>
      </c>
      <c r="G1743" t="b">
        <v>0</v>
      </c>
      <c r="H1743" t="b">
        <v>0</v>
      </c>
      <c r="I1743" t="s">
        <v>1050</v>
      </c>
      <c r="J1743">
        <v>91</v>
      </c>
      <c r="K1743" t="s">
        <v>0</v>
      </c>
      <c r="L1743" t="s">
        <v>1167</v>
      </c>
      <c r="M1743" t="s">
        <v>1168</v>
      </c>
      <c r="N1743" t="s">
        <v>1169</v>
      </c>
      <c r="O1743" t="s">
        <v>1168</v>
      </c>
      <c r="P1743" t="s">
        <v>1219</v>
      </c>
    </row>
    <row r="1744" spans="1:16" x14ac:dyDescent="0.25">
      <c r="A1744" t="s">
        <v>3979</v>
      </c>
      <c r="B1744" t="s">
        <v>3965</v>
      </c>
      <c r="C1744" t="s">
        <v>1217</v>
      </c>
      <c r="D1744" t="s">
        <v>1027</v>
      </c>
      <c r="E1744">
        <v>1450</v>
      </c>
      <c r="F1744" t="s">
        <v>1218</v>
      </c>
      <c r="G1744" t="b">
        <v>0</v>
      </c>
      <c r="H1744" t="b">
        <v>0</v>
      </c>
      <c r="I1744" t="s">
        <v>1050</v>
      </c>
      <c r="J1744">
        <v>91</v>
      </c>
      <c r="K1744" t="s">
        <v>0</v>
      </c>
      <c r="L1744" t="s">
        <v>1167</v>
      </c>
      <c r="M1744" t="s">
        <v>1168</v>
      </c>
      <c r="N1744" t="s">
        <v>1169</v>
      </c>
      <c r="O1744" t="s">
        <v>1168</v>
      </c>
      <c r="P1744" t="s">
        <v>1219</v>
      </c>
    </row>
    <row r="1745" spans="1:16" x14ac:dyDescent="0.25">
      <c r="A1745" t="s">
        <v>3980</v>
      </c>
      <c r="B1745" t="s">
        <v>3967</v>
      </c>
      <c r="C1745" t="s">
        <v>1217</v>
      </c>
      <c r="D1745" t="s">
        <v>1027</v>
      </c>
      <c r="E1745">
        <v>1450</v>
      </c>
      <c r="F1745" t="s">
        <v>1218</v>
      </c>
      <c r="G1745" t="b">
        <v>0</v>
      </c>
      <c r="H1745" t="b">
        <v>0</v>
      </c>
      <c r="I1745" t="s">
        <v>1050</v>
      </c>
      <c r="J1745">
        <v>91</v>
      </c>
      <c r="K1745" t="s">
        <v>0</v>
      </c>
      <c r="L1745" t="s">
        <v>1167</v>
      </c>
      <c r="M1745" t="s">
        <v>1168</v>
      </c>
      <c r="N1745" t="s">
        <v>1169</v>
      </c>
      <c r="O1745" t="s">
        <v>1168</v>
      </c>
      <c r="P1745" t="s">
        <v>1219</v>
      </c>
    </row>
    <row r="1746" spans="1:16" x14ac:dyDescent="0.25">
      <c r="A1746" t="s">
        <v>3981</v>
      </c>
      <c r="B1746" t="s">
        <v>3969</v>
      </c>
      <c r="C1746" t="s">
        <v>1217</v>
      </c>
      <c r="D1746" t="s">
        <v>1027</v>
      </c>
      <c r="E1746">
        <v>1450</v>
      </c>
      <c r="F1746" t="s">
        <v>1218</v>
      </c>
      <c r="G1746" t="b">
        <v>0</v>
      </c>
      <c r="H1746" t="b">
        <v>0</v>
      </c>
      <c r="I1746" t="s">
        <v>1050</v>
      </c>
      <c r="J1746">
        <v>91</v>
      </c>
      <c r="K1746" t="s">
        <v>0</v>
      </c>
      <c r="L1746" t="s">
        <v>1167</v>
      </c>
      <c r="M1746" t="s">
        <v>1168</v>
      </c>
      <c r="N1746" t="s">
        <v>1169</v>
      </c>
      <c r="O1746" t="s">
        <v>1168</v>
      </c>
      <c r="P1746" t="s">
        <v>1219</v>
      </c>
    </row>
    <row r="1747" spans="1:16" x14ac:dyDescent="0.25">
      <c r="A1747" t="s">
        <v>3982</v>
      </c>
      <c r="B1747" t="s">
        <v>3983</v>
      </c>
      <c r="C1747" t="s">
        <v>1233</v>
      </c>
      <c r="D1747" t="s">
        <v>1027</v>
      </c>
      <c r="E1747">
        <v>63762</v>
      </c>
      <c r="F1747" t="s">
        <v>1234</v>
      </c>
      <c r="G1747" t="b">
        <v>0</v>
      </c>
      <c r="H1747" t="b">
        <v>0</v>
      </c>
      <c r="I1747" t="s">
        <v>1050</v>
      </c>
      <c r="J1747">
        <v>91</v>
      </c>
      <c r="K1747" t="s">
        <v>0</v>
      </c>
      <c r="L1747" t="s">
        <v>1167</v>
      </c>
      <c r="M1747" t="s">
        <v>1168</v>
      </c>
      <c r="N1747" t="s">
        <v>1169</v>
      </c>
      <c r="O1747" t="s">
        <v>1168</v>
      </c>
      <c r="P1747" t="s">
        <v>1235</v>
      </c>
    </row>
    <row r="1748" spans="1:16" x14ac:dyDescent="0.25">
      <c r="A1748" t="s">
        <v>3984</v>
      </c>
      <c r="B1748" t="s">
        <v>3985</v>
      </c>
      <c r="C1748" t="s">
        <v>1233</v>
      </c>
      <c r="D1748" t="s">
        <v>1027</v>
      </c>
      <c r="E1748">
        <v>63762</v>
      </c>
      <c r="F1748" t="s">
        <v>1234</v>
      </c>
      <c r="G1748" t="b">
        <v>0</v>
      </c>
      <c r="H1748" t="b">
        <v>0</v>
      </c>
      <c r="I1748" t="s">
        <v>1050</v>
      </c>
      <c r="J1748">
        <v>91</v>
      </c>
      <c r="K1748" t="s">
        <v>0</v>
      </c>
      <c r="L1748" t="s">
        <v>1167</v>
      </c>
      <c r="M1748" t="s">
        <v>1168</v>
      </c>
      <c r="N1748" t="s">
        <v>1169</v>
      </c>
      <c r="O1748" t="s">
        <v>1168</v>
      </c>
      <c r="P1748" t="s">
        <v>1235</v>
      </c>
    </row>
    <row r="1749" spans="1:16" x14ac:dyDescent="0.25">
      <c r="A1749" t="s">
        <v>3986</v>
      </c>
      <c r="B1749" t="s">
        <v>3987</v>
      </c>
      <c r="C1749" t="s">
        <v>1233</v>
      </c>
      <c r="D1749" t="s">
        <v>1027</v>
      </c>
      <c r="E1749">
        <v>63762</v>
      </c>
      <c r="F1749" t="s">
        <v>1234</v>
      </c>
      <c r="G1749" t="b">
        <v>0</v>
      </c>
      <c r="H1749" t="b">
        <v>0</v>
      </c>
      <c r="I1749" t="s">
        <v>1050</v>
      </c>
      <c r="J1749">
        <v>91</v>
      </c>
      <c r="K1749" t="s">
        <v>0</v>
      </c>
      <c r="L1749" t="s">
        <v>1167</v>
      </c>
      <c r="M1749" t="s">
        <v>1168</v>
      </c>
      <c r="N1749" t="s">
        <v>1169</v>
      </c>
      <c r="O1749" t="s">
        <v>1168</v>
      </c>
      <c r="P1749" t="s">
        <v>1235</v>
      </c>
    </row>
    <row r="1750" spans="1:16" x14ac:dyDescent="0.25">
      <c r="A1750" t="s">
        <v>3988</v>
      </c>
      <c r="B1750" t="s">
        <v>3989</v>
      </c>
      <c r="C1750" t="s">
        <v>1233</v>
      </c>
      <c r="D1750" t="s">
        <v>1027</v>
      </c>
      <c r="E1750">
        <v>63762</v>
      </c>
      <c r="F1750" t="s">
        <v>1234</v>
      </c>
      <c r="G1750" t="b">
        <v>0</v>
      </c>
      <c r="H1750" t="b">
        <v>0</v>
      </c>
      <c r="I1750" t="s">
        <v>1050</v>
      </c>
      <c r="J1750">
        <v>91</v>
      </c>
      <c r="K1750" t="s">
        <v>0</v>
      </c>
      <c r="L1750" t="s">
        <v>1167</v>
      </c>
      <c r="M1750" t="s">
        <v>1168</v>
      </c>
      <c r="N1750" t="s">
        <v>1169</v>
      </c>
      <c r="O1750" t="s">
        <v>1168</v>
      </c>
      <c r="P1750" t="s">
        <v>1235</v>
      </c>
    </row>
    <row r="1751" spans="1:16" x14ac:dyDescent="0.25">
      <c r="A1751" t="s">
        <v>3990</v>
      </c>
      <c r="B1751" t="s">
        <v>3991</v>
      </c>
      <c r="C1751" t="s">
        <v>1233</v>
      </c>
      <c r="D1751" t="s">
        <v>1027</v>
      </c>
      <c r="E1751">
        <v>63762</v>
      </c>
      <c r="F1751" t="s">
        <v>1234</v>
      </c>
      <c r="G1751" t="b">
        <v>0</v>
      </c>
      <c r="H1751" t="b">
        <v>0</v>
      </c>
      <c r="I1751" t="s">
        <v>1050</v>
      </c>
      <c r="J1751">
        <v>91</v>
      </c>
      <c r="K1751" t="s">
        <v>0</v>
      </c>
      <c r="L1751" t="s">
        <v>1167</v>
      </c>
      <c r="M1751" t="s">
        <v>1168</v>
      </c>
      <c r="N1751" t="s">
        <v>1169</v>
      </c>
      <c r="O1751" t="s">
        <v>1168</v>
      </c>
      <c r="P1751" t="s">
        <v>1235</v>
      </c>
    </row>
    <row r="1752" spans="1:16" x14ac:dyDescent="0.25">
      <c r="A1752" t="s">
        <v>3992</v>
      </c>
      <c r="B1752" t="s">
        <v>3993</v>
      </c>
      <c r="C1752" t="s">
        <v>1233</v>
      </c>
      <c r="D1752" t="s">
        <v>1027</v>
      </c>
      <c r="E1752">
        <v>63762</v>
      </c>
      <c r="F1752" t="s">
        <v>1234</v>
      </c>
      <c r="G1752" t="b">
        <v>0</v>
      </c>
      <c r="H1752" t="b">
        <v>0</v>
      </c>
      <c r="I1752" t="s">
        <v>1050</v>
      </c>
      <c r="J1752">
        <v>91</v>
      </c>
      <c r="K1752" t="s">
        <v>0</v>
      </c>
      <c r="L1752" t="s">
        <v>1167</v>
      </c>
      <c r="M1752" t="s">
        <v>1168</v>
      </c>
      <c r="N1752" t="s">
        <v>1169</v>
      </c>
      <c r="O1752" t="s">
        <v>1168</v>
      </c>
      <c r="P1752" t="s">
        <v>1235</v>
      </c>
    </row>
    <row r="1753" spans="1:16" x14ac:dyDescent="0.25">
      <c r="A1753" t="s">
        <v>3994</v>
      </c>
      <c r="B1753" t="s">
        <v>3995</v>
      </c>
      <c r="C1753" t="s">
        <v>1233</v>
      </c>
      <c r="D1753" t="s">
        <v>1027</v>
      </c>
      <c r="E1753">
        <v>63762</v>
      </c>
      <c r="F1753" t="s">
        <v>1234</v>
      </c>
      <c r="G1753" t="b">
        <v>0</v>
      </c>
      <c r="H1753" t="b">
        <v>0</v>
      </c>
      <c r="I1753" t="s">
        <v>1050</v>
      </c>
      <c r="J1753">
        <v>88</v>
      </c>
      <c r="K1753" t="s">
        <v>0</v>
      </c>
      <c r="L1753" t="s">
        <v>1167</v>
      </c>
      <c r="M1753" t="s">
        <v>1168</v>
      </c>
      <c r="N1753" t="s">
        <v>1169</v>
      </c>
      <c r="O1753" t="s">
        <v>1168</v>
      </c>
      <c r="P1753" t="s">
        <v>1235</v>
      </c>
    </row>
    <row r="1754" spans="1:16" x14ac:dyDescent="0.25">
      <c r="A1754" t="s">
        <v>3996</v>
      </c>
      <c r="B1754" t="s">
        <v>3997</v>
      </c>
      <c r="C1754" t="s">
        <v>1233</v>
      </c>
      <c r="D1754" t="s">
        <v>1027</v>
      </c>
      <c r="E1754">
        <v>63762</v>
      </c>
      <c r="F1754" t="s">
        <v>1234</v>
      </c>
      <c r="G1754" t="b">
        <v>0</v>
      </c>
      <c r="H1754" t="b">
        <v>0</v>
      </c>
      <c r="I1754" t="s">
        <v>1050</v>
      </c>
      <c r="J1754">
        <v>88</v>
      </c>
      <c r="K1754" t="s">
        <v>0</v>
      </c>
      <c r="L1754" t="s">
        <v>1167</v>
      </c>
      <c r="M1754" t="s">
        <v>1168</v>
      </c>
      <c r="N1754" t="s">
        <v>1169</v>
      </c>
      <c r="O1754" t="s">
        <v>1168</v>
      </c>
      <c r="P1754" t="s">
        <v>1235</v>
      </c>
    </row>
    <row r="1755" spans="1:16" x14ac:dyDescent="0.25">
      <c r="A1755" t="s">
        <v>3998</v>
      </c>
      <c r="B1755" t="s">
        <v>3999</v>
      </c>
      <c r="C1755" t="s">
        <v>1233</v>
      </c>
      <c r="D1755" t="s">
        <v>1027</v>
      </c>
      <c r="E1755">
        <v>63762</v>
      </c>
      <c r="F1755" t="s">
        <v>1234</v>
      </c>
      <c r="G1755" t="b">
        <v>0</v>
      </c>
      <c r="H1755" t="b">
        <v>0</v>
      </c>
      <c r="I1755" t="s">
        <v>1050</v>
      </c>
      <c r="J1755">
        <v>88</v>
      </c>
      <c r="K1755" t="s">
        <v>0</v>
      </c>
      <c r="L1755" t="s">
        <v>1167</v>
      </c>
      <c r="M1755" t="s">
        <v>1168</v>
      </c>
      <c r="N1755" t="s">
        <v>1169</v>
      </c>
      <c r="O1755" t="s">
        <v>1168</v>
      </c>
      <c r="P1755" t="s">
        <v>1235</v>
      </c>
    </row>
    <row r="1756" spans="1:16" x14ac:dyDescent="0.25">
      <c r="A1756" t="s">
        <v>4000</v>
      </c>
      <c r="B1756" t="s">
        <v>4001</v>
      </c>
      <c r="C1756" t="s">
        <v>1233</v>
      </c>
      <c r="D1756" t="s">
        <v>1027</v>
      </c>
      <c r="E1756">
        <v>63762</v>
      </c>
      <c r="F1756" t="s">
        <v>1234</v>
      </c>
      <c r="G1756" t="b">
        <v>0</v>
      </c>
      <c r="H1756" t="b">
        <v>0</v>
      </c>
      <c r="I1756" t="s">
        <v>1050</v>
      </c>
      <c r="J1756">
        <v>88</v>
      </c>
      <c r="K1756" t="s">
        <v>0</v>
      </c>
      <c r="L1756" t="s">
        <v>1167</v>
      </c>
      <c r="M1756" t="s">
        <v>1168</v>
      </c>
      <c r="N1756" t="s">
        <v>1169</v>
      </c>
      <c r="O1756" t="s">
        <v>1168</v>
      </c>
      <c r="P1756" t="s">
        <v>1235</v>
      </c>
    </row>
    <row r="1757" spans="1:16" x14ac:dyDescent="0.25">
      <c r="A1757" t="s">
        <v>4002</v>
      </c>
      <c r="B1757" t="s">
        <v>4003</v>
      </c>
      <c r="C1757" t="s">
        <v>3950</v>
      </c>
      <c r="D1757" t="s">
        <v>1027</v>
      </c>
      <c r="E1757">
        <v>1456</v>
      </c>
      <c r="F1757" t="s">
        <v>3951</v>
      </c>
      <c r="G1757" t="b">
        <v>0</v>
      </c>
      <c r="H1757" t="b">
        <v>0</v>
      </c>
      <c r="I1757" t="s">
        <v>1050</v>
      </c>
      <c r="J1757">
        <v>87</v>
      </c>
      <c r="K1757" t="s">
        <v>0</v>
      </c>
      <c r="L1757" t="s">
        <v>1213</v>
      </c>
      <c r="M1757" t="s">
        <v>1168</v>
      </c>
      <c r="N1757" t="s">
        <v>1168</v>
      </c>
      <c r="O1757" t="s">
        <v>1168</v>
      </c>
      <c r="P1757" t="s">
        <v>3952</v>
      </c>
    </row>
    <row r="1758" spans="1:16" x14ac:dyDescent="0.25">
      <c r="A1758" t="s">
        <v>4004</v>
      </c>
      <c r="B1758" t="s">
        <v>4005</v>
      </c>
      <c r="C1758" t="s">
        <v>3950</v>
      </c>
      <c r="D1758" t="s">
        <v>1027</v>
      </c>
      <c r="E1758">
        <v>1456</v>
      </c>
      <c r="F1758" t="s">
        <v>3951</v>
      </c>
      <c r="G1758" t="b">
        <v>0</v>
      </c>
      <c r="H1758" t="b">
        <v>0</v>
      </c>
      <c r="I1758" t="s">
        <v>1050</v>
      </c>
      <c r="J1758">
        <v>87</v>
      </c>
      <c r="K1758" t="s">
        <v>0</v>
      </c>
      <c r="L1758" t="s">
        <v>1213</v>
      </c>
      <c r="M1758" t="s">
        <v>1168</v>
      </c>
      <c r="N1758" t="s">
        <v>1168</v>
      </c>
      <c r="O1758" t="s">
        <v>1168</v>
      </c>
      <c r="P1758" t="s">
        <v>3952</v>
      </c>
    </row>
    <row r="1759" spans="1:16" x14ac:dyDescent="0.25">
      <c r="A1759" t="s">
        <v>4006</v>
      </c>
      <c r="B1759" t="s">
        <v>4007</v>
      </c>
      <c r="C1759" t="s">
        <v>1571</v>
      </c>
      <c r="D1759" t="s">
        <v>1027</v>
      </c>
      <c r="E1759">
        <v>63767</v>
      </c>
      <c r="G1759" t="b">
        <v>0</v>
      </c>
      <c r="H1759" t="b">
        <v>0</v>
      </c>
      <c r="I1759" t="s">
        <v>1050</v>
      </c>
      <c r="J1759">
        <v>80</v>
      </c>
      <c r="K1759" t="s">
        <v>0</v>
      </c>
      <c r="L1759" t="s">
        <v>1167</v>
      </c>
      <c r="M1759" t="s">
        <v>1168</v>
      </c>
      <c r="N1759" t="s">
        <v>1169</v>
      </c>
      <c r="O1759" t="s">
        <v>1168</v>
      </c>
      <c r="P1759" t="s">
        <v>1283</v>
      </c>
    </row>
    <row r="1760" spans="1:16" x14ac:dyDescent="0.25">
      <c r="A1760" t="s">
        <v>4008</v>
      </c>
      <c r="B1760" t="s">
        <v>4009</v>
      </c>
      <c r="C1760" t="s">
        <v>1571</v>
      </c>
      <c r="D1760" t="s">
        <v>1027</v>
      </c>
      <c r="E1760">
        <v>63767</v>
      </c>
      <c r="G1760" t="b">
        <v>0</v>
      </c>
      <c r="H1760" t="b">
        <v>0</v>
      </c>
      <c r="I1760" t="s">
        <v>1050</v>
      </c>
      <c r="J1760">
        <v>80</v>
      </c>
      <c r="K1760" t="s">
        <v>0</v>
      </c>
      <c r="L1760" t="s">
        <v>1167</v>
      </c>
      <c r="M1760" t="s">
        <v>1168</v>
      </c>
      <c r="N1760" t="s">
        <v>1169</v>
      </c>
      <c r="O1760" t="s">
        <v>1168</v>
      </c>
      <c r="P1760" t="s">
        <v>1283</v>
      </c>
    </row>
    <row r="1761" spans="1:16" x14ac:dyDescent="0.25">
      <c r="A1761" t="s">
        <v>4010</v>
      </c>
      <c r="B1761" t="s">
        <v>4011</v>
      </c>
      <c r="C1761" t="s">
        <v>1571</v>
      </c>
      <c r="D1761" t="s">
        <v>1027</v>
      </c>
      <c r="E1761">
        <v>63767</v>
      </c>
      <c r="G1761" t="b">
        <v>0</v>
      </c>
      <c r="H1761" t="b">
        <v>0</v>
      </c>
      <c r="I1761" t="s">
        <v>1050</v>
      </c>
      <c r="J1761">
        <v>80</v>
      </c>
      <c r="K1761" t="s">
        <v>0</v>
      </c>
      <c r="L1761" t="s">
        <v>1167</v>
      </c>
      <c r="M1761" t="s">
        <v>1168</v>
      </c>
      <c r="N1761" t="s">
        <v>1169</v>
      </c>
      <c r="O1761" t="s">
        <v>1168</v>
      </c>
      <c r="P1761" t="s">
        <v>1283</v>
      </c>
    </row>
    <row r="1762" spans="1:16" x14ac:dyDescent="0.25">
      <c r="A1762" t="s">
        <v>4012</v>
      </c>
      <c r="B1762" t="s">
        <v>4013</v>
      </c>
      <c r="C1762" t="s">
        <v>1571</v>
      </c>
      <c r="D1762" t="s">
        <v>1027</v>
      </c>
      <c r="E1762">
        <v>63767</v>
      </c>
      <c r="G1762" t="b">
        <v>0</v>
      </c>
      <c r="H1762" t="b">
        <v>0</v>
      </c>
      <c r="I1762" t="s">
        <v>1050</v>
      </c>
      <c r="J1762">
        <v>80</v>
      </c>
      <c r="K1762" t="s">
        <v>0</v>
      </c>
      <c r="L1762" t="s">
        <v>1167</v>
      </c>
      <c r="M1762" t="s">
        <v>1168</v>
      </c>
      <c r="N1762" t="s">
        <v>1169</v>
      </c>
      <c r="O1762" t="s">
        <v>1168</v>
      </c>
      <c r="P1762" t="s">
        <v>1283</v>
      </c>
    </row>
    <row r="1763" spans="1:16" x14ac:dyDescent="0.25">
      <c r="A1763" t="s">
        <v>4014</v>
      </c>
      <c r="B1763" t="s">
        <v>4015</v>
      </c>
      <c r="C1763" t="s">
        <v>1571</v>
      </c>
      <c r="D1763" t="s">
        <v>1027</v>
      </c>
      <c r="E1763">
        <v>63767</v>
      </c>
      <c r="G1763" t="b">
        <v>0</v>
      </c>
      <c r="H1763" t="b">
        <v>0</v>
      </c>
      <c r="I1763" t="s">
        <v>1050</v>
      </c>
      <c r="J1763">
        <v>80</v>
      </c>
      <c r="K1763" t="s">
        <v>0</v>
      </c>
      <c r="L1763" t="s">
        <v>1167</v>
      </c>
      <c r="M1763" t="s">
        <v>1168</v>
      </c>
      <c r="N1763" t="s">
        <v>1169</v>
      </c>
      <c r="O1763" t="s">
        <v>1168</v>
      </c>
      <c r="P1763" t="s">
        <v>1283</v>
      </c>
    </row>
    <row r="1764" spans="1:16" x14ac:dyDescent="0.25">
      <c r="A1764" t="s">
        <v>4016</v>
      </c>
      <c r="B1764" t="s">
        <v>4017</v>
      </c>
      <c r="C1764" t="s">
        <v>2026</v>
      </c>
      <c r="D1764" t="s">
        <v>1027</v>
      </c>
      <c r="E1764">
        <v>1336</v>
      </c>
      <c r="F1764" t="s">
        <v>2027</v>
      </c>
      <c r="G1764" t="b">
        <v>0</v>
      </c>
      <c r="H1764" t="b">
        <v>0</v>
      </c>
      <c r="I1764" t="s">
        <v>1050</v>
      </c>
      <c r="J1764">
        <v>80</v>
      </c>
      <c r="K1764" t="s">
        <v>0</v>
      </c>
      <c r="L1764" t="s">
        <v>1167</v>
      </c>
      <c r="M1764" t="s">
        <v>1168</v>
      </c>
      <c r="N1764" t="s">
        <v>1169</v>
      </c>
      <c r="O1764" t="s">
        <v>1168</v>
      </c>
      <c r="P1764" t="s">
        <v>2028</v>
      </c>
    </row>
    <row r="1765" spans="1:16" x14ac:dyDescent="0.25">
      <c r="A1765" t="s">
        <v>4018</v>
      </c>
      <c r="B1765" t="s">
        <v>4019</v>
      </c>
      <c r="C1765" t="s">
        <v>2026</v>
      </c>
      <c r="D1765" t="s">
        <v>1027</v>
      </c>
      <c r="E1765">
        <v>1336</v>
      </c>
      <c r="F1765" t="s">
        <v>2027</v>
      </c>
      <c r="G1765" t="b">
        <v>0</v>
      </c>
      <c r="H1765" t="b">
        <v>0</v>
      </c>
      <c r="I1765" t="s">
        <v>1050</v>
      </c>
      <c r="J1765">
        <v>80</v>
      </c>
      <c r="K1765" t="s">
        <v>0</v>
      </c>
      <c r="L1765" t="s">
        <v>1167</v>
      </c>
      <c r="M1765" t="s">
        <v>1168</v>
      </c>
      <c r="N1765" t="s">
        <v>1169</v>
      </c>
      <c r="O1765" t="s">
        <v>1168</v>
      </c>
      <c r="P1765" t="s">
        <v>2028</v>
      </c>
    </row>
    <row r="1766" spans="1:16" x14ac:dyDescent="0.25">
      <c r="A1766" t="s">
        <v>4020</v>
      </c>
      <c r="B1766" t="s">
        <v>4021</v>
      </c>
      <c r="C1766" t="s">
        <v>2026</v>
      </c>
      <c r="D1766" t="s">
        <v>1027</v>
      </c>
      <c r="E1766">
        <v>1336</v>
      </c>
      <c r="F1766" t="s">
        <v>2027</v>
      </c>
      <c r="G1766" t="b">
        <v>0</v>
      </c>
      <c r="H1766" t="b">
        <v>0</v>
      </c>
      <c r="I1766" t="s">
        <v>1050</v>
      </c>
      <c r="J1766">
        <v>80</v>
      </c>
      <c r="K1766" t="s">
        <v>0</v>
      </c>
      <c r="L1766" t="s">
        <v>1167</v>
      </c>
      <c r="M1766" t="s">
        <v>1168</v>
      </c>
      <c r="N1766" t="s">
        <v>1169</v>
      </c>
      <c r="O1766" t="s">
        <v>1168</v>
      </c>
      <c r="P1766" t="s">
        <v>2028</v>
      </c>
    </row>
    <row r="1767" spans="1:16" x14ac:dyDescent="0.25">
      <c r="A1767" t="s">
        <v>4022</v>
      </c>
      <c r="B1767" t="s">
        <v>4023</v>
      </c>
      <c r="C1767" t="s">
        <v>2026</v>
      </c>
      <c r="D1767" t="s">
        <v>1027</v>
      </c>
      <c r="E1767">
        <v>1336</v>
      </c>
      <c r="F1767" t="s">
        <v>2027</v>
      </c>
      <c r="G1767" t="b">
        <v>0</v>
      </c>
      <c r="H1767" t="b">
        <v>0</v>
      </c>
      <c r="I1767" t="s">
        <v>1050</v>
      </c>
      <c r="J1767">
        <v>80</v>
      </c>
      <c r="K1767" t="s">
        <v>0</v>
      </c>
      <c r="L1767" t="s">
        <v>1167</v>
      </c>
      <c r="M1767" t="s">
        <v>1168</v>
      </c>
      <c r="N1767" t="s">
        <v>1169</v>
      </c>
      <c r="O1767" t="s">
        <v>1168</v>
      </c>
      <c r="P1767" t="s">
        <v>2028</v>
      </c>
    </row>
    <row r="1768" spans="1:16" x14ac:dyDescent="0.25">
      <c r="A1768" t="s">
        <v>4024</v>
      </c>
      <c r="B1768" t="s">
        <v>4025</v>
      </c>
      <c r="C1768" t="s">
        <v>1571</v>
      </c>
      <c r="D1768" t="s">
        <v>1027</v>
      </c>
      <c r="E1768">
        <v>63767</v>
      </c>
      <c r="G1768" t="b">
        <v>0</v>
      </c>
      <c r="H1768" t="b">
        <v>0</v>
      </c>
      <c r="I1768" t="s">
        <v>1050</v>
      </c>
      <c r="J1768">
        <v>87</v>
      </c>
      <c r="K1768" t="s">
        <v>0</v>
      </c>
      <c r="L1768" t="s">
        <v>1167</v>
      </c>
      <c r="M1768" t="s">
        <v>1168</v>
      </c>
      <c r="N1768" t="s">
        <v>1169</v>
      </c>
      <c r="O1768" t="s">
        <v>1168</v>
      </c>
      <c r="P1768" t="s">
        <v>1283</v>
      </c>
    </row>
    <row r="1769" spans="1:16" x14ac:dyDescent="0.25">
      <c r="A1769" t="s">
        <v>4026</v>
      </c>
      <c r="B1769" t="s">
        <v>4027</v>
      </c>
      <c r="C1769" t="s">
        <v>1571</v>
      </c>
      <c r="D1769" t="s">
        <v>1027</v>
      </c>
      <c r="E1769">
        <v>63767</v>
      </c>
      <c r="G1769" t="b">
        <v>0</v>
      </c>
      <c r="H1769" t="b">
        <v>0</v>
      </c>
      <c r="I1769" t="s">
        <v>1050</v>
      </c>
      <c r="J1769">
        <v>80</v>
      </c>
      <c r="K1769" t="s">
        <v>0</v>
      </c>
      <c r="L1769" t="s">
        <v>1167</v>
      </c>
      <c r="M1769" t="s">
        <v>1168</v>
      </c>
      <c r="N1769" t="s">
        <v>1169</v>
      </c>
      <c r="O1769" t="s">
        <v>1168</v>
      </c>
      <c r="P1769" t="s">
        <v>1283</v>
      </c>
    </row>
    <row r="1770" spans="1:16" x14ac:dyDescent="0.25">
      <c r="A1770" t="s">
        <v>4028</v>
      </c>
      <c r="B1770" t="s">
        <v>4029</v>
      </c>
      <c r="C1770" t="s">
        <v>1571</v>
      </c>
      <c r="D1770" t="s">
        <v>1027</v>
      </c>
      <c r="E1770">
        <v>63767</v>
      </c>
      <c r="G1770" t="b">
        <v>0</v>
      </c>
      <c r="H1770" t="b">
        <v>0</v>
      </c>
      <c r="I1770" t="s">
        <v>1050</v>
      </c>
      <c r="J1770">
        <v>80</v>
      </c>
      <c r="K1770" t="s">
        <v>0</v>
      </c>
      <c r="L1770" t="s">
        <v>1167</v>
      </c>
      <c r="M1770" t="s">
        <v>1168</v>
      </c>
      <c r="N1770" t="s">
        <v>1169</v>
      </c>
      <c r="O1770" t="s">
        <v>1168</v>
      </c>
      <c r="P1770" t="s">
        <v>1283</v>
      </c>
    </row>
    <row r="1771" spans="1:16" x14ac:dyDescent="0.25">
      <c r="A1771" t="s">
        <v>4030</v>
      </c>
      <c r="B1771" t="s">
        <v>4031</v>
      </c>
      <c r="C1771" t="s">
        <v>1571</v>
      </c>
      <c r="D1771" t="s">
        <v>1027</v>
      </c>
      <c r="E1771">
        <v>63767</v>
      </c>
      <c r="G1771" t="b">
        <v>0</v>
      </c>
      <c r="H1771" t="b">
        <v>0</v>
      </c>
      <c r="I1771" t="s">
        <v>1050</v>
      </c>
      <c r="J1771">
        <v>80</v>
      </c>
      <c r="K1771" t="s">
        <v>0</v>
      </c>
      <c r="L1771" t="s">
        <v>1167</v>
      </c>
      <c r="M1771" t="s">
        <v>1168</v>
      </c>
      <c r="N1771" t="s">
        <v>1169</v>
      </c>
      <c r="O1771" t="s">
        <v>1168</v>
      </c>
      <c r="P1771" t="s">
        <v>1283</v>
      </c>
    </row>
    <row r="1772" spans="1:16" x14ac:dyDescent="0.25">
      <c r="A1772" t="s">
        <v>4032</v>
      </c>
      <c r="B1772" t="s">
        <v>4033</v>
      </c>
      <c r="C1772" t="s">
        <v>1571</v>
      </c>
      <c r="D1772" t="s">
        <v>1027</v>
      </c>
      <c r="E1772">
        <v>63767</v>
      </c>
      <c r="G1772" t="b">
        <v>0</v>
      </c>
      <c r="H1772" t="b">
        <v>0</v>
      </c>
      <c r="I1772" t="s">
        <v>1050</v>
      </c>
      <c r="J1772">
        <v>80</v>
      </c>
      <c r="K1772" t="s">
        <v>0</v>
      </c>
      <c r="L1772" t="s">
        <v>1167</v>
      </c>
      <c r="M1772" t="s">
        <v>1168</v>
      </c>
      <c r="N1772" t="s">
        <v>1169</v>
      </c>
      <c r="O1772" t="s">
        <v>1168</v>
      </c>
      <c r="P1772" t="s">
        <v>1283</v>
      </c>
    </row>
    <row r="1773" spans="1:16" x14ac:dyDescent="0.25">
      <c r="A1773" t="s">
        <v>4034</v>
      </c>
      <c r="B1773" t="s">
        <v>4035</v>
      </c>
      <c r="C1773" t="s">
        <v>1571</v>
      </c>
      <c r="D1773" t="s">
        <v>1027</v>
      </c>
      <c r="E1773">
        <v>63767</v>
      </c>
      <c r="G1773" t="b">
        <v>0</v>
      </c>
      <c r="H1773" t="b">
        <v>0</v>
      </c>
      <c r="I1773" t="s">
        <v>1050</v>
      </c>
      <c r="J1773">
        <v>80</v>
      </c>
      <c r="K1773" t="s">
        <v>0</v>
      </c>
      <c r="L1773" t="s">
        <v>1167</v>
      </c>
      <c r="M1773" t="s">
        <v>1168</v>
      </c>
      <c r="N1773" t="s">
        <v>1169</v>
      </c>
      <c r="O1773" t="s">
        <v>1168</v>
      </c>
      <c r="P1773" t="s">
        <v>1283</v>
      </c>
    </row>
    <row r="1774" spans="1:16" x14ac:dyDescent="0.25">
      <c r="A1774" t="s">
        <v>4036</v>
      </c>
      <c r="B1774" t="s">
        <v>4037</v>
      </c>
      <c r="C1774" t="s">
        <v>1233</v>
      </c>
      <c r="D1774" t="s">
        <v>1027</v>
      </c>
      <c r="E1774">
        <v>63762</v>
      </c>
      <c r="F1774" t="s">
        <v>1234</v>
      </c>
      <c r="G1774" t="b">
        <v>0</v>
      </c>
      <c r="H1774" t="b">
        <v>0</v>
      </c>
      <c r="I1774" t="s">
        <v>1050</v>
      </c>
      <c r="J1774">
        <v>80</v>
      </c>
      <c r="K1774" t="s">
        <v>0</v>
      </c>
      <c r="L1774" t="s">
        <v>1167</v>
      </c>
      <c r="M1774" t="s">
        <v>1168</v>
      </c>
      <c r="N1774" t="s">
        <v>1169</v>
      </c>
      <c r="O1774" t="s">
        <v>1168</v>
      </c>
      <c r="P1774" t="s">
        <v>1235</v>
      </c>
    </row>
    <row r="1775" spans="1:16" x14ac:dyDescent="0.25">
      <c r="A1775" t="s">
        <v>4038</v>
      </c>
      <c r="B1775" t="s">
        <v>4039</v>
      </c>
      <c r="C1775" t="s">
        <v>1233</v>
      </c>
      <c r="D1775" t="s">
        <v>1027</v>
      </c>
      <c r="E1775">
        <v>63762</v>
      </c>
      <c r="F1775" t="s">
        <v>1234</v>
      </c>
      <c r="G1775" t="b">
        <v>0</v>
      </c>
      <c r="H1775" t="b">
        <v>0</v>
      </c>
      <c r="I1775" t="s">
        <v>1050</v>
      </c>
      <c r="J1775">
        <v>87</v>
      </c>
      <c r="K1775" t="s">
        <v>0</v>
      </c>
      <c r="L1775" t="s">
        <v>1167</v>
      </c>
      <c r="M1775" t="s">
        <v>1168</v>
      </c>
      <c r="N1775" t="s">
        <v>1169</v>
      </c>
      <c r="O1775" t="s">
        <v>1168</v>
      </c>
      <c r="P1775" t="s">
        <v>1235</v>
      </c>
    </row>
    <row r="1776" spans="1:16" x14ac:dyDescent="0.25">
      <c r="A1776" t="s">
        <v>4040</v>
      </c>
      <c r="B1776" t="s">
        <v>4041</v>
      </c>
      <c r="C1776" t="s">
        <v>1233</v>
      </c>
      <c r="D1776" t="s">
        <v>1027</v>
      </c>
      <c r="E1776">
        <v>63762</v>
      </c>
      <c r="F1776" t="s">
        <v>1234</v>
      </c>
      <c r="G1776" t="b">
        <v>0</v>
      </c>
      <c r="H1776" t="b">
        <v>0</v>
      </c>
      <c r="I1776" t="s">
        <v>1050</v>
      </c>
      <c r="J1776">
        <v>87</v>
      </c>
      <c r="K1776" t="s">
        <v>0</v>
      </c>
      <c r="L1776" t="s">
        <v>1167</v>
      </c>
      <c r="M1776" t="s">
        <v>1168</v>
      </c>
      <c r="N1776" t="s">
        <v>1169</v>
      </c>
      <c r="O1776" t="s">
        <v>1168</v>
      </c>
      <c r="P1776" t="s">
        <v>1235</v>
      </c>
    </row>
    <row r="1777" spans="1:16" x14ac:dyDescent="0.25">
      <c r="A1777" t="s">
        <v>4042</v>
      </c>
      <c r="B1777" t="s">
        <v>4043</v>
      </c>
      <c r="C1777" t="s">
        <v>1233</v>
      </c>
      <c r="D1777" t="s">
        <v>1027</v>
      </c>
      <c r="E1777">
        <v>63762</v>
      </c>
      <c r="F1777" t="s">
        <v>1234</v>
      </c>
      <c r="G1777" t="b">
        <v>0</v>
      </c>
      <c r="H1777" t="b">
        <v>0</v>
      </c>
      <c r="I1777" t="s">
        <v>1050</v>
      </c>
      <c r="J1777">
        <v>87</v>
      </c>
      <c r="K1777" t="s">
        <v>0</v>
      </c>
      <c r="L1777" t="s">
        <v>1167</v>
      </c>
      <c r="M1777" t="s">
        <v>1168</v>
      </c>
      <c r="N1777" t="s">
        <v>1169</v>
      </c>
      <c r="O1777" t="s">
        <v>1168</v>
      </c>
      <c r="P1777" t="s">
        <v>1235</v>
      </c>
    </row>
    <row r="1778" spans="1:16" x14ac:dyDescent="0.25">
      <c r="A1778" t="s">
        <v>4044</v>
      </c>
      <c r="B1778" t="s">
        <v>4045</v>
      </c>
      <c r="C1778" t="s">
        <v>1233</v>
      </c>
      <c r="D1778" t="s">
        <v>1027</v>
      </c>
      <c r="E1778">
        <v>63762</v>
      </c>
      <c r="F1778" t="s">
        <v>1234</v>
      </c>
      <c r="G1778" t="b">
        <v>0</v>
      </c>
      <c r="H1778" t="b">
        <v>0</v>
      </c>
      <c r="I1778" t="s">
        <v>1050</v>
      </c>
      <c r="J1778">
        <v>87</v>
      </c>
      <c r="K1778" t="s">
        <v>0</v>
      </c>
      <c r="L1778" t="s">
        <v>1167</v>
      </c>
      <c r="M1778" t="s">
        <v>1168</v>
      </c>
      <c r="N1778" t="s">
        <v>1169</v>
      </c>
      <c r="O1778" t="s">
        <v>1168</v>
      </c>
      <c r="P1778" t="s">
        <v>1235</v>
      </c>
    </row>
    <row r="1779" spans="1:16" x14ac:dyDescent="0.25">
      <c r="A1779" t="s">
        <v>4046</v>
      </c>
      <c r="B1779" t="s">
        <v>4047</v>
      </c>
      <c r="C1779" t="s">
        <v>1233</v>
      </c>
      <c r="D1779" t="s">
        <v>1027</v>
      </c>
      <c r="E1779">
        <v>63762</v>
      </c>
      <c r="F1779" t="s">
        <v>1234</v>
      </c>
      <c r="G1779" t="b">
        <v>0</v>
      </c>
      <c r="H1779" t="b">
        <v>0</v>
      </c>
      <c r="I1779" t="s">
        <v>1050</v>
      </c>
      <c r="J1779">
        <v>87</v>
      </c>
      <c r="K1779" t="s">
        <v>0</v>
      </c>
      <c r="L1779" t="s">
        <v>1167</v>
      </c>
      <c r="M1779" t="s">
        <v>1168</v>
      </c>
      <c r="N1779" t="s">
        <v>1169</v>
      </c>
      <c r="O1779" t="s">
        <v>1168</v>
      </c>
      <c r="P1779" t="s">
        <v>1235</v>
      </c>
    </row>
    <row r="1780" spans="1:16" x14ac:dyDescent="0.25">
      <c r="A1780" t="s">
        <v>4048</v>
      </c>
      <c r="B1780" t="s">
        <v>4049</v>
      </c>
      <c r="C1780" t="s">
        <v>1571</v>
      </c>
      <c r="D1780" t="s">
        <v>1027</v>
      </c>
      <c r="E1780">
        <v>63767</v>
      </c>
      <c r="G1780" t="b">
        <v>0</v>
      </c>
      <c r="H1780" t="b">
        <v>0</v>
      </c>
      <c r="I1780" t="s">
        <v>1050</v>
      </c>
      <c r="J1780">
        <v>80</v>
      </c>
      <c r="K1780" t="s">
        <v>0</v>
      </c>
      <c r="L1780" t="s">
        <v>1167</v>
      </c>
      <c r="M1780" t="s">
        <v>1168</v>
      </c>
      <c r="N1780" t="s">
        <v>1169</v>
      </c>
      <c r="O1780" t="s">
        <v>1168</v>
      </c>
      <c r="P1780" t="s">
        <v>1283</v>
      </c>
    </row>
    <row r="1781" spans="1:16" x14ac:dyDescent="0.25">
      <c r="A1781" t="s">
        <v>4050</v>
      </c>
      <c r="B1781" t="s">
        <v>4051</v>
      </c>
      <c r="C1781" t="s">
        <v>1571</v>
      </c>
      <c r="D1781" t="s">
        <v>1027</v>
      </c>
      <c r="E1781">
        <v>63767</v>
      </c>
      <c r="G1781" t="b">
        <v>0</v>
      </c>
      <c r="H1781" t="b">
        <v>0</v>
      </c>
      <c r="I1781" t="s">
        <v>1050</v>
      </c>
      <c r="J1781">
        <v>80</v>
      </c>
      <c r="K1781" t="s">
        <v>0</v>
      </c>
      <c r="L1781" t="s">
        <v>1167</v>
      </c>
      <c r="M1781" t="s">
        <v>1168</v>
      </c>
      <c r="N1781" t="s">
        <v>1169</v>
      </c>
      <c r="O1781" t="s">
        <v>1168</v>
      </c>
      <c r="P1781" t="s">
        <v>1283</v>
      </c>
    </row>
    <row r="1782" spans="1:16" x14ac:dyDescent="0.25">
      <c r="A1782" t="s">
        <v>4052</v>
      </c>
      <c r="B1782" t="s">
        <v>4053</v>
      </c>
      <c r="C1782" t="s">
        <v>1165</v>
      </c>
      <c r="D1782" t="s">
        <v>1027</v>
      </c>
      <c r="E1782">
        <v>63774</v>
      </c>
      <c r="F1782" t="s">
        <v>1166</v>
      </c>
      <c r="G1782" t="b">
        <v>0</v>
      </c>
      <c r="H1782" t="b">
        <v>0</v>
      </c>
      <c r="I1782" t="s">
        <v>1050</v>
      </c>
      <c r="J1782">
        <v>24</v>
      </c>
      <c r="K1782" t="s">
        <v>1</v>
      </c>
      <c r="L1782" t="s">
        <v>1167</v>
      </c>
      <c r="M1782" t="s">
        <v>1168</v>
      </c>
      <c r="N1782" t="s">
        <v>1169</v>
      </c>
      <c r="O1782" t="s">
        <v>1168</v>
      </c>
      <c r="P1782" t="s">
        <v>1170</v>
      </c>
    </row>
    <row r="1783" spans="1:16" x14ac:dyDescent="0.25">
      <c r="A1783" t="s">
        <v>4054</v>
      </c>
      <c r="B1783" t="s">
        <v>4055</v>
      </c>
      <c r="C1783" t="s">
        <v>1165</v>
      </c>
      <c r="D1783" t="s">
        <v>1027</v>
      </c>
      <c r="E1783">
        <v>63774</v>
      </c>
      <c r="F1783" t="s">
        <v>1166</v>
      </c>
      <c r="G1783" t="b">
        <v>0</v>
      </c>
      <c r="H1783" t="b">
        <v>0</v>
      </c>
      <c r="I1783" t="s">
        <v>1050</v>
      </c>
      <c r="J1783">
        <v>24</v>
      </c>
      <c r="K1783" t="s">
        <v>1</v>
      </c>
      <c r="L1783" t="s">
        <v>1167</v>
      </c>
      <c r="M1783" t="s">
        <v>1168</v>
      </c>
      <c r="N1783" t="s">
        <v>1169</v>
      </c>
      <c r="O1783" t="s">
        <v>1168</v>
      </c>
      <c r="P1783" t="s">
        <v>1170</v>
      </c>
    </row>
    <row r="1784" spans="1:16" x14ac:dyDescent="0.25">
      <c r="A1784" t="s">
        <v>4056</v>
      </c>
      <c r="B1784" t="s">
        <v>4057</v>
      </c>
      <c r="C1784" t="s">
        <v>1165</v>
      </c>
      <c r="D1784" t="s">
        <v>1027</v>
      </c>
      <c r="E1784">
        <v>63774</v>
      </c>
      <c r="F1784" t="s">
        <v>1166</v>
      </c>
      <c r="G1784" t="b">
        <v>0</v>
      </c>
      <c r="H1784" t="b">
        <v>0</v>
      </c>
      <c r="I1784" t="s">
        <v>1050</v>
      </c>
      <c r="J1784">
        <v>24</v>
      </c>
      <c r="K1784" t="s">
        <v>1</v>
      </c>
      <c r="L1784" t="s">
        <v>1167</v>
      </c>
      <c r="M1784" t="s">
        <v>1168</v>
      </c>
      <c r="N1784" t="s">
        <v>1169</v>
      </c>
      <c r="O1784" t="s">
        <v>1168</v>
      </c>
      <c r="P1784" t="s">
        <v>1170</v>
      </c>
    </row>
    <row r="1785" spans="1:16" x14ac:dyDescent="0.25">
      <c r="A1785" t="s">
        <v>4058</v>
      </c>
      <c r="B1785" t="s">
        <v>4059</v>
      </c>
      <c r="C1785" t="s">
        <v>1165</v>
      </c>
      <c r="D1785" t="s">
        <v>1027</v>
      </c>
      <c r="E1785">
        <v>63774</v>
      </c>
      <c r="F1785" t="s">
        <v>1166</v>
      </c>
      <c r="G1785" t="b">
        <v>0</v>
      </c>
      <c r="H1785" t="b">
        <v>0</v>
      </c>
      <c r="I1785" t="s">
        <v>1050</v>
      </c>
      <c r="J1785">
        <v>24</v>
      </c>
      <c r="K1785" t="s">
        <v>1</v>
      </c>
      <c r="L1785" t="s">
        <v>1167</v>
      </c>
      <c r="M1785" t="s">
        <v>1168</v>
      </c>
      <c r="N1785" t="s">
        <v>1169</v>
      </c>
      <c r="O1785" t="s">
        <v>1168</v>
      </c>
      <c r="P1785" t="s">
        <v>1170</v>
      </c>
    </row>
    <row r="1786" spans="1:16" x14ac:dyDescent="0.25">
      <c r="A1786" t="s">
        <v>4060</v>
      </c>
      <c r="B1786" t="s">
        <v>4061</v>
      </c>
      <c r="C1786" t="s">
        <v>1165</v>
      </c>
      <c r="D1786" t="s">
        <v>1027</v>
      </c>
      <c r="E1786">
        <v>63774</v>
      </c>
      <c r="F1786" t="s">
        <v>1166</v>
      </c>
      <c r="G1786" t="b">
        <v>0</v>
      </c>
      <c r="H1786" t="b">
        <v>0</v>
      </c>
      <c r="I1786" t="s">
        <v>1050</v>
      </c>
      <c r="J1786">
        <v>24</v>
      </c>
      <c r="K1786" t="s">
        <v>1</v>
      </c>
      <c r="L1786" t="s">
        <v>1167</v>
      </c>
      <c r="M1786" t="s">
        <v>1168</v>
      </c>
      <c r="N1786" t="s">
        <v>1169</v>
      </c>
      <c r="O1786" t="s">
        <v>1168</v>
      </c>
      <c r="P1786" t="s">
        <v>1170</v>
      </c>
    </row>
    <row r="1787" spans="1:16" x14ac:dyDescent="0.25">
      <c r="A1787" t="s">
        <v>4062</v>
      </c>
      <c r="B1787" t="s">
        <v>4063</v>
      </c>
      <c r="C1787" t="s">
        <v>1165</v>
      </c>
      <c r="D1787" t="s">
        <v>1027</v>
      </c>
      <c r="E1787">
        <v>63774</v>
      </c>
      <c r="F1787" t="s">
        <v>1166</v>
      </c>
      <c r="G1787" t="b">
        <v>0</v>
      </c>
      <c r="H1787" t="b">
        <v>0</v>
      </c>
      <c r="I1787" t="s">
        <v>1050</v>
      </c>
      <c r="J1787">
        <v>24</v>
      </c>
      <c r="K1787" t="s">
        <v>1</v>
      </c>
      <c r="L1787" t="s">
        <v>1167</v>
      </c>
      <c r="M1787" t="s">
        <v>1168</v>
      </c>
      <c r="N1787" t="s">
        <v>1169</v>
      </c>
      <c r="O1787" t="s">
        <v>1168</v>
      </c>
      <c r="P1787" t="s">
        <v>1170</v>
      </c>
    </row>
    <row r="1788" spans="1:16" x14ac:dyDescent="0.25">
      <c r="A1788" t="s">
        <v>4064</v>
      </c>
      <c r="B1788" t="s">
        <v>4065</v>
      </c>
      <c r="C1788" t="s">
        <v>1165</v>
      </c>
      <c r="D1788" t="s">
        <v>1027</v>
      </c>
      <c r="E1788">
        <v>63774</v>
      </c>
      <c r="F1788" t="s">
        <v>1166</v>
      </c>
      <c r="G1788" t="b">
        <v>0</v>
      </c>
      <c r="H1788" t="b">
        <v>0</v>
      </c>
      <c r="I1788" t="s">
        <v>1050</v>
      </c>
      <c r="J1788">
        <v>24</v>
      </c>
      <c r="K1788" t="s">
        <v>1</v>
      </c>
      <c r="L1788" t="s">
        <v>1167</v>
      </c>
      <c r="M1788" t="s">
        <v>1168</v>
      </c>
      <c r="N1788" t="s">
        <v>1169</v>
      </c>
      <c r="O1788" t="s">
        <v>1168</v>
      </c>
      <c r="P1788" t="s">
        <v>1170</v>
      </c>
    </row>
    <row r="1789" spans="1:16" x14ac:dyDescent="0.25">
      <c r="A1789" t="s">
        <v>4066</v>
      </c>
      <c r="B1789" t="s">
        <v>4067</v>
      </c>
      <c r="C1789" t="s">
        <v>1165</v>
      </c>
      <c r="D1789" t="s">
        <v>1027</v>
      </c>
      <c r="E1789">
        <v>63774</v>
      </c>
      <c r="F1789" t="s">
        <v>1166</v>
      </c>
      <c r="G1789" t="b">
        <v>0</v>
      </c>
      <c r="H1789" t="b">
        <v>0</v>
      </c>
      <c r="I1789" t="s">
        <v>1050</v>
      </c>
      <c r="J1789">
        <v>24</v>
      </c>
      <c r="K1789" t="s">
        <v>1</v>
      </c>
      <c r="L1789" t="s">
        <v>1167</v>
      </c>
      <c r="M1789" t="s">
        <v>1168</v>
      </c>
      <c r="N1789" t="s">
        <v>1169</v>
      </c>
      <c r="O1789" t="s">
        <v>1168</v>
      </c>
      <c r="P1789" t="s">
        <v>1170</v>
      </c>
    </row>
    <row r="1790" spans="1:16" x14ac:dyDescent="0.25">
      <c r="A1790" t="s">
        <v>4068</v>
      </c>
      <c r="B1790" t="s">
        <v>4069</v>
      </c>
      <c r="C1790" t="s">
        <v>1165</v>
      </c>
      <c r="D1790" t="s">
        <v>1027</v>
      </c>
      <c r="E1790">
        <v>63774</v>
      </c>
      <c r="F1790" t="s">
        <v>1166</v>
      </c>
      <c r="G1790" t="b">
        <v>0</v>
      </c>
      <c r="H1790" t="b">
        <v>0</v>
      </c>
      <c r="I1790" t="s">
        <v>1050</v>
      </c>
      <c r="J1790">
        <v>24</v>
      </c>
      <c r="K1790" t="s">
        <v>1</v>
      </c>
      <c r="L1790" t="s">
        <v>1167</v>
      </c>
      <c r="M1790" t="s">
        <v>1168</v>
      </c>
      <c r="N1790" t="s">
        <v>1169</v>
      </c>
      <c r="O1790" t="s">
        <v>1168</v>
      </c>
      <c r="P1790" t="s">
        <v>1170</v>
      </c>
    </row>
    <row r="1791" spans="1:16" x14ac:dyDescent="0.25">
      <c r="A1791" t="s">
        <v>4070</v>
      </c>
      <c r="B1791" t="s">
        <v>4059</v>
      </c>
      <c r="C1791" t="s">
        <v>1165</v>
      </c>
      <c r="D1791" t="s">
        <v>1027</v>
      </c>
      <c r="E1791">
        <v>63774</v>
      </c>
      <c r="F1791" t="s">
        <v>1166</v>
      </c>
      <c r="G1791" t="b">
        <v>0</v>
      </c>
      <c r="H1791" t="b">
        <v>0</v>
      </c>
      <c r="I1791" t="s">
        <v>1050</v>
      </c>
      <c r="J1791">
        <v>24</v>
      </c>
      <c r="K1791" t="s">
        <v>1</v>
      </c>
      <c r="L1791" t="s">
        <v>1167</v>
      </c>
      <c r="M1791" t="s">
        <v>1168</v>
      </c>
      <c r="N1791" t="s">
        <v>1169</v>
      </c>
      <c r="O1791" t="s">
        <v>1168</v>
      </c>
      <c r="P1791" t="s">
        <v>1170</v>
      </c>
    </row>
    <row r="1792" spans="1:16" x14ac:dyDescent="0.25">
      <c r="A1792" t="s">
        <v>4071</v>
      </c>
      <c r="B1792" t="s">
        <v>4061</v>
      </c>
      <c r="C1792" t="s">
        <v>1165</v>
      </c>
      <c r="D1792" t="s">
        <v>1027</v>
      </c>
      <c r="E1792">
        <v>63774</v>
      </c>
      <c r="F1792" t="s">
        <v>1166</v>
      </c>
      <c r="G1792" t="b">
        <v>0</v>
      </c>
      <c r="H1792" t="b">
        <v>0</v>
      </c>
      <c r="I1792" t="s">
        <v>1050</v>
      </c>
      <c r="J1792">
        <v>24</v>
      </c>
      <c r="K1792" t="s">
        <v>1</v>
      </c>
      <c r="L1792" t="s">
        <v>1167</v>
      </c>
      <c r="M1792" t="s">
        <v>1168</v>
      </c>
      <c r="N1792" t="s">
        <v>1169</v>
      </c>
      <c r="O1792" t="s">
        <v>1168</v>
      </c>
      <c r="P1792" t="s">
        <v>1170</v>
      </c>
    </row>
    <row r="1793" spans="1:16" x14ac:dyDescent="0.25">
      <c r="A1793" t="s">
        <v>4072</v>
      </c>
      <c r="B1793" t="s">
        <v>4063</v>
      </c>
      <c r="C1793" t="s">
        <v>1165</v>
      </c>
      <c r="D1793" t="s">
        <v>1027</v>
      </c>
      <c r="E1793">
        <v>63774</v>
      </c>
      <c r="F1793" t="s">
        <v>1166</v>
      </c>
      <c r="G1793" t="b">
        <v>0</v>
      </c>
      <c r="H1793" t="b">
        <v>0</v>
      </c>
      <c r="I1793" t="s">
        <v>1050</v>
      </c>
      <c r="J1793">
        <v>24</v>
      </c>
      <c r="K1793" t="s">
        <v>1</v>
      </c>
      <c r="L1793" t="s">
        <v>1167</v>
      </c>
      <c r="M1793" t="s">
        <v>1168</v>
      </c>
      <c r="N1793" t="s">
        <v>1169</v>
      </c>
      <c r="O1793" t="s">
        <v>1168</v>
      </c>
      <c r="P1793" t="s">
        <v>1170</v>
      </c>
    </row>
    <row r="1794" spans="1:16" x14ac:dyDescent="0.25">
      <c r="A1794" t="s">
        <v>4073</v>
      </c>
      <c r="B1794" t="s">
        <v>4065</v>
      </c>
      <c r="C1794" t="s">
        <v>1165</v>
      </c>
      <c r="D1794" t="s">
        <v>1027</v>
      </c>
      <c r="E1794">
        <v>63774</v>
      </c>
      <c r="F1794" t="s">
        <v>1166</v>
      </c>
      <c r="G1794" t="b">
        <v>0</v>
      </c>
      <c r="H1794" t="b">
        <v>0</v>
      </c>
      <c r="I1794" t="s">
        <v>1050</v>
      </c>
      <c r="J1794">
        <v>24</v>
      </c>
      <c r="K1794" t="s">
        <v>1</v>
      </c>
      <c r="L1794" t="s">
        <v>1167</v>
      </c>
      <c r="M1794" t="s">
        <v>1168</v>
      </c>
      <c r="N1794" t="s">
        <v>1169</v>
      </c>
      <c r="O1794" t="s">
        <v>1168</v>
      </c>
      <c r="P1794" t="s">
        <v>1170</v>
      </c>
    </row>
    <row r="1795" spans="1:16" x14ac:dyDescent="0.25">
      <c r="A1795" t="s">
        <v>4074</v>
      </c>
      <c r="B1795" t="s">
        <v>4067</v>
      </c>
      <c r="C1795" t="s">
        <v>1165</v>
      </c>
      <c r="D1795" t="s">
        <v>1027</v>
      </c>
      <c r="E1795">
        <v>63774</v>
      </c>
      <c r="F1795" t="s">
        <v>1166</v>
      </c>
      <c r="G1795" t="b">
        <v>0</v>
      </c>
      <c r="H1795" t="b">
        <v>0</v>
      </c>
      <c r="I1795" t="s">
        <v>1050</v>
      </c>
      <c r="J1795">
        <v>24</v>
      </c>
      <c r="K1795" t="s">
        <v>1</v>
      </c>
      <c r="L1795" t="s">
        <v>1167</v>
      </c>
      <c r="M1795" t="s">
        <v>1168</v>
      </c>
      <c r="N1795" t="s">
        <v>1169</v>
      </c>
      <c r="O1795" t="s">
        <v>1168</v>
      </c>
      <c r="P1795" t="s">
        <v>1170</v>
      </c>
    </row>
    <row r="1796" spans="1:16" x14ac:dyDescent="0.25">
      <c r="A1796" t="s">
        <v>4075</v>
      </c>
      <c r="B1796" t="s">
        <v>4069</v>
      </c>
      <c r="C1796" t="s">
        <v>1165</v>
      </c>
      <c r="D1796" t="s">
        <v>1027</v>
      </c>
      <c r="E1796">
        <v>63774</v>
      </c>
      <c r="F1796" t="s">
        <v>1166</v>
      </c>
      <c r="G1796" t="b">
        <v>0</v>
      </c>
      <c r="H1796" t="b">
        <v>0</v>
      </c>
      <c r="I1796" t="s">
        <v>1050</v>
      </c>
      <c r="J1796">
        <v>24</v>
      </c>
      <c r="K1796" t="s">
        <v>1</v>
      </c>
      <c r="L1796" t="s">
        <v>1167</v>
      </c>
      <c r="M1796" t="s">
        <v>1168</v>
      </c>
      <c r="N1796" t="s">
        <v>1169</v>
      </c>
      <c r="O1796" t="s">
        <v>1168</v>
      </c>
      <c r="P1796" t="s">
        <v>1170</v>
      </c>
    </row>
    <row r="1797" spans="1:16" x14ac:dyDescent="0.25">
      <c r="A1797" t="s">
        <v>4076</v>
      </c>
      <c r="B1797" t="s">
        <v>4077</v>
      </c>
      <c r="C1797" t="s">
        <v>1165</v>
      </c>
      <c r="D1797" t="s">
        <v>1027</v>
      </c>
      <c r="E1797">
        <v>63774</v>
      </c>
      <c r="F1797" t="s">
        <v>1166</v>
      </c>
      <c r="G1797" t="b">
        <v>0</v>
      </c>
      <c r="H1797" t="b">
        <v>0</v>
      </c>
      <c r="I1797" t="s">
        <v>1050</v>
      </c>
      <c r="J1797">
        <v>25</v>
      </c>
      <c r="K1797" t="s">
        <v>1</v>
      </c>
      <c r="L1797" t="s">
        <v>1167</v>
      </c>
      <c r="M1797" t="s">
        <v>1168</v>
      </c>
      <c r="N1797" t="s">
        <v>1169</v>
      </c>
      <c r="O1797" t="s">
        <v>1168</v>
      </c>
      <c r="P1797" t="s">
        <v>1170</v>
      </c>
    </row>
    <row r="1798" spans="1:16" x14ac:dyDescent="0.25">
      <c r="A1798" t="s">
        <v>4078</v>
      </c>
      <c r="B1798" t="s">
        <v>4079</v>
      </c>
      <c r="C1798" t="s">
        <v>1571</v>
      </c>
      <c r="D1798" t="s">
        <v>1027</v>
      </c>
      <c r="E1798">
        <v>63767</v>
      </c>
      <c r="G1798" t="b">
        <v>0</v>
      </c>
      <c r="H1798" t="b">
        <v>0</v>
      </c>
      <c r="I1798" t="s">
        <v>1050</v>
      </c>
      <c r="J1798">
        <v>80</v>
      </c>
      <c r="K1798" t="s">
        <v>0</v>
      </c>
      <c r="L1798" t="s">
        <v>1167</v>
      </c>
      <c r="M1798" t="s">
        <v>1168</v>
      </c>
      <c r="N1798" t="s">
        <v>1169</v>
      </c>
      <c r="O1798" t="s">
        <v>1168</v>
      </c>
      <c r="P1798" t="s">
        <v>1283</v>
      </c>
    </row>
    <row r="1799" spans="1:16" x14ac:dyDescent="0.25">
      <c r="A1799" t="s">
        <v>4080</v>
      </c>
      <c r="B1799" t="s">
        <v>4081</v>
      </c>
      <c r="C1799" t="s">
        <v>1165</v>
      </c>
      <c r="D1799" t="s">
        <v>1027</v>
      </c>
      <c r="E1799">
        <v>63774</v>
      </c>
      <c r="F1799" t="s">
        <v>1166</v>
      </c>
      <c r="G1799" t="b">
        <v>0</v>
      </c>
      <c r="H1799" t="b">
        <v>0</v>
      </c>
      <c r="I1799" t="s">
        <v>1050</v>
      </c>
      <c r="J1799">
        <v>57</v>
      </c>
      <c r="K1799" t="s">
        <v>1</v>
      </c>
      <c r="L1799" t="s">
        <v>1167</v>
      </c>
      <c r="M1799" t="s">
        <v>1168</v>
      </c>
      <c r="N1799" t="s">
        <v>1169</v>
      </c>
      <c r="O1799" t="s">
        <v>1168</v>
      </c>
      <c r="P1799" t="s">
        <v>1170</v>
      </c>
    </row>
    <row r="1800" spans="1:16" x14ac:dyDescent="0.25">
      <c r="A1800" t="s">
        <v>4082</v>
      </c>
      <c r="B1800" t="s">
        <v>4083</v>
      </c>
      <c r="C1800" t="s">
        <v>1165</v>
      </c>
      <c r="D1800" t="s">
        <v>1027</v>
      </c>
      <c r="E1800">
        <v>63774</v>
      </c>
      <c r="F1800" t="s">
        <v>1166</v>
      </c>
      <c r="G1800" t="b">
        <v>0</v>
      </c>
      <c r="H1800" t="b">
        <v>0</v>
      </c>
      <c r="I1800" t="s">
        <v>1050</v>
      </c>
      <c r="J1800">
        <v>57</v>
      </c>
      <c r="K1800" t="s">
        <v>1</v>
      </c>
      <c r="L1800" t="s">
        <v>1167</v>
      </c>
      <c r="M1800" t="s">
        <v>1168</v>
      </c>
      <c r="N1800" t="s">
        <v>1169</v>
      </c>
      <c r="O1800" t="s">
        <v>1168</v>
      </c>
      <c r="P1800" t="s">
        <v>1170</v>
      </c>
    </row>
    <row r="1801" spans="1:16" x14ac:dyDescent="0.25">
      <c r="A1801" t="s">
        <v>4084</v>
      </c>
      <c r="B1801" t="s">
        <v>4085</v>
      </c>
      <c r="C1801" t="s">
        <v>1527</v>
      </c>
      <c r="D1801" t="s">
        <v>1027</v>
      </c>
      <c r="E1801">
        <v>1394</v>
      </c>
      <c r="F1801" t="s">
        <v>1528</v>
      </c>
      <c r="G1801" t="b">
        <v>0</v>
      </c>
      <c r="H1801" t="b">
        <v>0</v>
      </c>
      <c r="I1801" t="s">
        <v>1050</v>
      </c>
      <c r="J1801">
        <v>82</v>
      </c>
      <c r="K1801" t="s">
        <v>0</v>
      </c>
      <c r="L1801" t="s">
        <v>1167</v>
      </c>
      <c r="M1801" t="s">
        <v>1168</v>
      </c>
      <c r="N1801" t="s">
        <v>1169</v>
      </c>
      <c r="O1801" t="s">
        <v>1213</v>
      </c>
      <c r="P1801" t="s">
        <v>4086</v>
      </c>
    </row>
    <row r="1802" spans="1:16" x14ac:dyDescent="0.25">
      <c r="A1802" t="s">
        <v>4087</v>
      </c>
      <c r="B1802" t="s">
        <v>4088</v>
      </c>
      <c r="C1802" t="s">
        <v>1527</v>
      </c>
      <c r="D1802" t="s">
        <v>1027</v>
      </c>
      <c r="E1802">
        <v>1394</v>
      </c>
      <c r="F1802" t="s">
        <v>1528</v>
      </c>
      <c r="G1802" t="b">
        <v>0</v>
      </c>
      <c r="H1802" t="b">
        <v>0</v>
      </c>
      <c r="I1802" t="s">
        <v>1050</v>
      </c>
      <c r="J1802">
        <v>82</v>
      </c>
      <c r="K1802" t="s">
        <v>0</v>
      </c>
      <c r="L1802" t="s">
        <v>1167</v>
      </c>
      <c r="M1802" t="s">
        <v>1168</v>
      </c>
      <c r="N1802" t="s">
        <v>1169</v>
      </c>
      <c r="O1802" t="s">
        <v>1213</v>
      </c>
      <c r="P1802" t="s">
        <v>4086</v>
      </c>
    </row>
    <row r="1803" spans="1:16" x14ac:dyDescent="0.25">
      <c r="A1803" t="s">
        <v>4089</v>
      </c>
      <c r="B1803" t="s">
        <v>4090</v>
      </c>
      <c r="C1803" t="s">
        <v>1233</v>
      </c>
      <c r="D1803" t="s">
        <v>1027</v>
      </c>
      <c r="E1803">
        <v>63762</v>
      </c>
      <c r="F1803" t="s">
        <v>1234</v>
      </c>
      <c r="G1803" t="b">
        <v>0</v>
      </c>
      <c r="H1803" t="b">
        <v>0</v>
      </c>
      <c r="I1803" t="s">
        <v>1050</v>
      </c>
      <c r="J1803">
        <v>91</v>
      </c>
      <c r="K1803" t="s">
        <v>0</v>
      </c>
      <c r="L1803" t="s">
        <v>1167</v>
      </c>
      <c r="M1803" t="s">
        <v>1168</v>
      </c>
      <c r="N1803" t="s">
        <v>1169</v>
      </c>
      <c r="O1803" t="s">
        <v>1168</v>
      </c>
      <c r="P1803" t="s">
        <v>1235</v>
      </c>
    </row>
    <row r="1804" spans="1:16" x14ac:dyDescent="0.25">
      <c r="A1804" t="s">
        <v>4091</v>
      </c>
      <c r="B1804" t="s">
        <v>4092</v>
      </c>
      <c r="C1804" t="s">
        <v>1233</v>
      </c>
      <c r="D1804" t="s">
        <v>1027</v>
      </c>
      <c r="E1804">
        <v>63762</v>
      </c>
      <c r="F1804" t="s">
        <v>1234</v>
      </c>
      <c r="G1804" t="b">
        <v>0</v>
      </c>
      <c r="H1804" t="b">
        <v>0</v>
      </c>
      <c r="I1804" t="s">
        <v>1050</v>
      </c>
      <c r="J1804">
        <v>91</v>
      </c>
      <c r="K1804" t="s">
        <v>0</v>
      </c>
      <c r="L1804" t="s">
        <v>1167</v>
      </c>
      <c r="M1804" t="s">
        <v>1168</v>
      </c>
      <c r="N1804" t="s">
        <v>1169</v>
      </c>
      <c r="O1804" t="s">
        <v>1168</v>
      </c>
      <c r="P1804" t="s">
        <v>1235</v>
      </c>
    </row>
    <row r="1805" spans="1:16" x14ac:dyDescent="0.25">
      <c r="A1805" t="s">
        <v>4093</v>
      </c>
      <c r="B1805" t="s">
        <v>4094</v>
      </c>
      <c r="C1805" t="s">
        <v>1233</v>
      </c>
      <c r="D1805" t="s">
        <v>1027</v>
      </c>
      <c r="E1805">
        <v>63762</v>
      </c>
      <c r="F1805" t="s">
        <v>1234</v>
      </c>
      <c r="G1805" t="b">
        <v>0</v>
      </c>
      <c r="H1805" t="b">
        <v>0</v>
      </c>
      <c r="I1805" t="s">
        <v>1050</v>
      </c>
      <c r="J1805">
        <v>88</v>
      </c>
      <c r="K1805" t="s">
        <v>0</v>
      </c>
      <c r="L1805" t="s">
        <v>1167</v>
      </c>
      <c r="M1805" t="s">
        <v>1168</v>
      </c>
      <c r="N1805" t="s">
        <v>1169</v>
      </c>
      <c r="O1805" t="s">
        <v>1168</v>
      </c>
      <c r="P1805" t="s">
        <v>1235</v>
      </c>
    </row>
    <row r="1806" spans="1:16" x14ac:dyDescent="0.25">
      <c r="A1806" t="s">
        <v>4095</v>
      </c>
      <c r="B1806" t="s">
        <v>4096</v>
      </c>
      <c r="C1806" t="s">
        <v>1233</v>
      </c>
      <c r="D1806" t="s">
        <v>1027</v>
      </c>
      <c r="E1806">
        <v>63762</v>
      </c>
      <c r="F1806" t="s">
        <v>1234</v>
      </c>
      <c r="G1806" t="b">
        <v>0</v>
      </c>
      <c r="H1806" t="b">
        <v>0</v>
      </c>
      <c r="I1806" t="s">
        <v>1050</v>
      </c>
      <c r="J1806">
        <v>88</v>
      </c>
      <c r="K1806" t="s">
        <v>0</v>
      </c>
      <c r="L1806" t="s">
        <v>1167</v>
      </c>
      <c r="M1806" t="s">
        <v>1168</v>
      </c>
      <c r="N1806" t="s">
        <v>1169</v>
      </c>
      <c r="O1806" t="s">
        <v>1168</v>
      </c>
      <c r="P1806" t="s">
        <v>1235</v>
      </c>
    </row>
    <row r="1807" spans="1:16" x14ac:dyDescent="0.25">
      <c r="A1807" t="s">
        <v>4097</v>
      </c>
      <c r="B1807" t="s">
        <v>4098</v>
      </c>
      <c r="C1807" t="s">
        <v>1233</v>
      </c>
      <c r="D1807" t="s">
        <v>1027</v>
      </c>
      <c r="E1807">
        <v>63762</v>
      </c>
      <c r="F1807" t="s">
        <v>1234</v>
      </c>
      <c r="G1807" t="b">
        <v>0</v>
      </c>
      <c r="H1807" t="b">
        <v>0</v>
      </c>
      <c r="I1807" t="s">
        <v>1050</v>
      </c>
      <c r="J1807">
        <v>88</v>
      </c>
      <c r="K1807" t="s">
        <v>0</v>
      </c>
      <c r="L1807" t="s">
        <v>1167</v>
      </c>
      <c r="M1807" t="s">
        <v>1168</v>
      </c>
      <c r="N1807" t="s">
        <v>1169</v>
      </c>
      <c r="O1807" t="s">
        <v>1168</v>
      </c>
      <c r="P1807" t="s">
        <v>1235</v>
      </c>
    </row>
    <row r="1808" spans="1:16" x14ac:dyDescent="0.25">
      <c r="A1808" t="s">
        <v>4099</v>
      </c>
      <c r="B1808" t="s">
        <v>4100</v>
      </c>
      <c r="C1808" t="s">
        <v>1233</v>
      </c>
      <c r="D1808" t="s">
        <v>1027</v>
      </c>
      <c r="E1808">
        <v>63762</v>
      </c>
      <c r="F1808" t="s">
        <v>1234</v>
      </c>
      <c r="G1808" t="b">
        <v>0</v>
      </c>
      <c r="H1808" t="b">
        <v>0</v>
      </c>
      <c r="I1808" t="s">
        <v>1050</v>
      </c>
      <c r="J1808">
        <v>88</v>
      </c>
      <c r="K1808" t="s">
        <v>0</v>
      </c>
      <c r="L1808" t="s">
        <v>1167</v>
      </c>
      <c r="M1808" t="s">
        <v>1168</v>
      </c>
      <c r="N1808" t="s">
        <v>1169</v>
      </c>
      <c r="O1808" t="s">
        <v>1168</v>
      </c>
      <c r="P1808" t="s">
        <v>1235</v>
      </c>
    </row>
    <row r="1809" spans="1:16" x14ac:dyDescent="0.25">
      <c r="A1809" t="s">
        <v>4101</v>
      </c>
      <c r="B1809" t="s">
        <v>4102</v>
      </c>
      <c r="C1809" t="s">
        <v>1233</v>
      </c>
      <c r="D1809" t="s">
        <v>1027</v>
      </c>
      <c r="E1809">
        <v>63762</v>
      </c>
      <c r="F1809" t="s">
        <v>1234</v>
      </c>
      <c r="G1809" t="b">
        <v>0</v>
      </c>
      <c r="H1809" t="b">
        <v>0</v>
      </c>
      <c r="I1809" t="s">
        <v>1050</v>
      </c>
      <c r="J1809">
        <v>88</v>
      </c>
      <c r="K1809" t="s">
        <v>0</v>
      </c>
      <c r="L1809" t="s">
        <v>1167</v>
      </c>
      <c r="M1809" t="s">
        <v>1168</v>
      </c>
      <c r="N1809" t="s">
        <v>1169</v>
      </c>
      <c r="O1809" t="s">
        <v>1168</v>
      </c>
      <c r="P1809" t="s">
        <v>1235</v>
      </c>
    </row>
    <row r="1810" spans="1:16" x14ac:dyDescent="0.25">
      <c r="A1810" t="s">
        <v>4103</v>
      </c>
      <c r="B1810" t="s">
        <v>4104</v>
      </c>
      <c r="C1810" t="s">
        <v>1233</v>
      </c>
      <c r="D1810" t="s">
        <v>1027</v>
      </c>
      <c r="E1810">
        <v>63762</v>
      </c>
      <c r="F1810" t="s">
        <v>1234</v>
      </c>
      <c r="G1810" t="b">
        <v>0</v>
      </c>
      <c r="H1810" t="b">
        <v>0</v>
      </c>
      <c r="I1810" t="s">
        <v>1050</v>
      </c>
      <c r="J1810">
        <v>88</v>
      </c>
      <c r="K1810" t="s">
        <v>0</v>
      </c>
      <c r="L1810" t="s">
        <v>1167</v>
      </c>
      <c r="M1810" t="s">
        <v>1168</v>
      </c>
      <c r="N1810" t="s">
        <v>1169</v>
      </c>
      <c r="O1810" t="s">
        <v>1168</v>
      </c>
      <c r="P1810" t="s">
        <v>1235</v>
      </c>
    </row>
    <row r="1811" spans="1:16" x14ac:dyDescent="0.25">
      <c r="A1811" t="s">
        <v>4105</v>
      </c>
      <c r="B1811" t="s">
        <v>4106</v>
      </c>
      <c r="C1811" t="s">
        <v>1233</v>
      </c>
      <c r="D1811" t="s">
        <v>1027</v>
      </c>
      <c r="E1811">
        <v>63762</v>
      </c>
      <c r="F1811" t="s">
        <v>1234</v>
      </c>
      <c r="G1811" t="b">
        <v>0</v>
      </c>
      <c r="H1811" t="b">
        <v>0</v>
      </c>
      <c r="I1811" t="s">
        <v>1050</v>
      </c>
      <c r="J1811">
        <v>88</v>
      </c>
      <c r="K1811" t="s">
        <v>0</v>
      </c>
      <c r="L1811" t="s">
        <v>1167</v>
      </c>
      <c r="M1811" t="s">
        <v>1168</v>
      </c>
      <c r="N1811" t="s">
        <v>1169</v>
      </c>
      <c r="O1811" t="s">
        <v>1168</v>
      </c>
      <c r="P1811" t="s">
        <v>1235</v>
      </c>
    </row>
    <row r="1812" spans="1:16" x14ac:dyDescent="0.25">
      <c r="A1812" t="s">
        <v>4107</v>
      </c>
      <c r="B1812" t="s">
        <v>4108</v>
      </c>
      <c r="C1812" t="s">
        <v>1750</v>
      </c>
      <c r="D1812" t="s">
        <v>1027</v>
      </c>
      <c r="E1812">
        <v>1494</v>
      </c>
      <c r="F1812" t="s">
        <v>1751</v>
      </c>
      <c r="G1812" t="b">
        <v>0</v>
      </c>
      <c r="H1812" t="b">
        <v>0</v>
      </c>
      <c r="I1812" t="s">
        <v>1050</v>
      </c>
      <c r="J1812">
        <v>42</v>
      </c>
      <c r="K1812" t="s">
        <v>1</v>
      </c>
      <c r="L1812" t="s">
        <v>1547</v>
      </c>
      <c r="M1812" t="s">
        <v>1548</v>
      </c>
      <c r="N1812" t="s">
        <v>1548</v>
      </c>
      <c r="O1812" t="s">
        <v>1548</v>
      </c>
      <c r="P1812" t="s">
        <v>1752</v>
      </c>
    </row>
    <row r="1813" spans="1:16" x14ac:dyDescent="0.25">
      <c r="A1813" t="s">
        <v>4109</v>
      </c>
      <c r="B1813" t="s">
        <v>4108</v>
      </c>
      <c r="C1813" t="s">
        <v>1750</v>
      </c>
      <c r="D1813" t="s">
        <v>1027</v>
      </c>
      <c r="E1813">
        <v>1494</v>
      </c>
      <c r="F1813" t="s">
        <v>1751</v>
      </c>
      <c r="G1813" t="b">
        <v>0</v>
      </c>
      <c r="H1813" t="b">
        <v>0</v>
      </c>
      <c r="I1813" t="s">
        <v>1050</v>
      </c>
      <c r="J1813">
        <v>42</v>
      </c>
      <c r="K1813" t="s">
        <v>1</v>
      </c>
      <c r="L1813" t="s">
        <v>1547</v>
      </c>
      <c r="M1813" t="s">
        <v>1548</v>
      </c>
      <c r="N1813" t="s">
        <v>1548</v>
      </c>
      <c r="O1813" t="s">
        <v>1548</v>
      </c>
      <c r="P1813" t="s">
        <v>1752</v>
      </c>
    </row>
    <row r="1814" spans="1:16" x14ac:dyDescent="0.25">
      <c r="A1814" t="s">
        <v>4110</v>
      </c>
      <c r="B1814" t="s">
        <v>4108</v>
      </c>
      <c r="C1814" t="s">
        <v>1750</v>
      </c>
      <c r="D1814" t="s">
        <v>1027</v>
      </c>
      <c r="E1814">
        <v>1494</v>
      </c>
      <c r="F1814" t="s">
        <v>1751</v>
      </c>
      <c r="G1814" t="b">
        <v>0</v>
      </c>
      <c r="H1814" t="b">
        <v>0</v>
      </c>
      <c r="I1814" t="s">
        <v>1050</v>
      </c>
      <c r="J1814">
        <v>42</v>
      </c>
      <c r="K1814" t="s">
        <v>1</v>
      </c>
      <c r="L1814" t="s">
        <v>1547</v>
      </c>
      <c r="M1814" t="s">
        <v>1548</v>
      </c>
      <c r="N1814" t="s">
        <v>1548</v>
      </c>
      <c r="O1814" t="s">
        <v>1548</v>
      </c>
      <c r="P1814" t="s">
        <v>1752</v>
      </c>
    </row>
    <row r="1815" spans="1:16" x14ac:dyDescent="0.25">
      <c r="A1815" t="s">
        <v>4111</v>
      </c>
      <c r="B1815" t="s">
        <v>4108</v>
      </c>
      <c r="C1815" t="s">
        <v>1750</v>
      </c>
      <c r="D1815" t="s">
        <v>1027</v>
      </c>
      <c r="E1815">
        <v>1494</v>
      </c>
      <c r="F1815" t="s">
        <v>1751</v>
      </c>
      <c r="G1815" t="b">
        <v>0</v>
      </c>
      <c r="H1815" t="b">
        <v>0</v>
      </c>
      <c r="I1815" t="s">
        <v>1050</v>
      </c>
      <c r="J1815">
        <v>42</v>
      </c>
      <c r="K1815" t="s">
        <v>1</v>
      </c>
      <c r="L1815" t="s">
        <v>1547</v>
      </c>
      <c r="M1815" t="s">
        <v>1548</v>
      </c>
      <c r="N1815" t="s">
        <v>1548</v>
      </c>
      <c r="O1815" t="s">
        <v>1548</v>
      </c>
      <c r="P1815" t="s">
        <v>1752</v>
      </c>
    </row>
    <row r="1816" spans="1:16" x14ac:dyDescent="0.25">
      <c r="A1816" t="s">
        <v>4112</v>
      </c>
      <c r="B1816" t="s">
        <v>4113</v>
      </c>
      <c r="C1816" t="s">
        <v>1750</v>
      </c>
      <c r="D1816" t="s">
        <v>1027</v>
      </c>
      <c r="E1816">
        <v>1494</v>
      </c>
      <c r="F1816" t="s">
        <v>1751</v>
      </c>
      <c r="G1816" t="b">
        <v>0</v>
      </c>
      <c r="H1816" t="b">
        <v>0</v>
      </c>
      <c r="I1816" t="s">
        <v>1050</v>
      </c>
      <c r="J1816">
        <v>42</v>
      </c>
      <c r="K1816" t="s">
        <v>1</v>
      </c>
      <c r="L1816" t="s">
        <v>1547</v>
      </c>
      <c r="M1816" t="s">
        <v>1548</v>
      </c>
      <c r="N1816" t="s">
        <v>1548</v>
      </c>
      <c r="O1816" t="s">
        <v>1548</v>
      </c>
      <c r="P1816" t="s">
        <v>1752</v>
      </c>
    </row>
    <row r="1817" spans="1:16" x14ac:dyDescent="0.25">
      <c r="A1817" t="s">
        <v>4114</v>
      </c>
      <c r="B1817" t="s">
        <v>4113</v>
      </c>
      <c r="C1817" t="s">
        <v>1750</v>
      </c>
      <c r="D1817" t="s">
        <v>1027</v>
      </c>
      <c r="E1817">
        <v>1494</v>
      </c>
      <c r="F1817" t="s">
        <v>1751</v>
      </c>
      <c r="G1817" t="b">
        <v>0</v>
      </c>
      <c r="H1817" t="b">
        <v>0</v>
      </c>
      <c r="I1817" t="s">
        <v>1050</v>
      </c>
      <c r="J1817">
        <v>42</v>
      </c>
      <c r="K1817" t="s">
        <v>1</v>
      </c>
      <c r="L1817" t="s">
        <v>1547</v>
      </c>
      <c r="M1817" t="s">
        <v>1548</v>
      </c>
      <c r="N1817" t="s">
        <v>1548</v>
      </c>
      <c r="O1817" t="s">
        <v>1548</v>
      </c>
      <c r="P1817" t="s">
        <v>1752</v>
      </c>
    </row>
    <row r="1818" spans="1:16" x14ac:dyDescent="0.25">
      <c r="A1818" t="s">
        <v>4115</v>
      </c>
      <c r="B1818" t="s">
        <v>4113</v>
      </c>
      <c r="C1818" t="s">
        <v>1750</v>
      </c>
      <c r="D1818" t="s">
        <v>1027</v>
      </c>
      <c r="E1818">
        <v>1494</v>
      </c>
      <c r="F1818" t="s">
        <v>1751</v>
      </c>
      <c r="G1818" t="b">
        <v>0</v>
      </c>
      <c r="H1818" t="b">
        <v>0</v>
      </c>
      <c r="I1818" t="s">
        <v>1050</v>
      </c>
      <c r="J1818">
        <v>42</v>
      </c>
      <c r="K1818" t="s">
        <v>1</v>
      </c>
      <c r="L1818" t="s">
        <v>1547</v>
      </c>
      <c r="M1818" t="s">
        <v>1548</v>
      </c>
      <c r="N1818" t="s">
        <v>1548</v>
      </c>
      <c r="O1818" t="s">
        <v>1548</v>
      </c>
      <c r="P1818" t="s">
        <v>1752</v>
      </c>
    </row>
    <row r="1819" spans="1:16" x14ac:dyDescent="0.25">
      <c r="A1819" t="s">
        <v>4116</v>
      </c>
      <c r="B1819" t="s">
        <v>4117</v>
      </c>
      <c r="C1819" t="s">
        <v>1750</v>
      </c>
      <c r="D1819" t="s">
        <v>1027</v>
      </c>
      <c r="E1819">
        <v>1494</v>
      </c>
      <c r="F1819" t="s">
        <v>1751</v>
      </c>
      <c r="G1819" t="b">
        <v>0</v>
      </c>
      <c r="H1819" t="b">
        <v>0</v>
      </c>
      <c r="I1819" t="s">
        <v>1050</v>
      </c>
      <c r="J1819">
        <v>42</v>
      </c>
      <c r="K1819" t="s">
        <v>1</v>
      </c>
      <c r="L1819" t="s">
        <v>1547</v>
      </c>
      <c r="M1819" t="s">
        <v>1548</v>
      </c>
      <c r="N1819" t="s">
        <v>1548</v>
      </c>
      <c r="O1819" t="s">
        <v>1548</v>
      </c>
      <c r="P1819" t="s">
        <v>1752</v>
      </c>
    </row>
    <row r="1820" spans="1:16" x14ac:dyDescent="0.25">
      <c r="A1820" t="s">
        <v>4118</v>
      </c>
      <c r="B1820" t="s">
        <v>4117</v>
      </c>
      <c r="C1820" t="s">
        <v>1750</v>
      </c>
      <c r="D1820" t="s">
        <v>1027</v>
      </c>
      <c r="E1820">
        <v>1494</v>
      </c>
      <c r="F1820" t="s">
        <v>1751</v>
      </c>
      <c r="G1820" t="b">
        <v>0</v>
      </c>
      <c r="H1820" t="b">
        <v>0</v>
      </c>
      <c r="I1820" t="s">
        <v>1050</v>
      </c>
      <c r="J1820">
        <v>42</v>
      </c>
      <c r="K1820" t="s">
        <v>1</v>
      </c>
      <c r="L1820" t="s">
        <v>1547</v>
      </c>
      <c r="M1820" t="s">
        <v>1548</v>
      </c>
      <c r="N1820" t="s">
        <v>1548</v>
      </c>
      <c r="O1820" t="s">
        <v>1548</v>
      </c>
      <c r="P1820" t="s">
        <v>1752</v>
      </c>
    </row>
    <row r="1821" spans="1:16" x14ac:dyDescent="0.25">
      <c r="A1821" t="s">
        <v>4119</v>
      </c>
      <c r="B1821" t="s">
        <v>4117</v>
      </c>
      <c r="C1821" t="s">
        <v>1750</v>
      </c>
      <c r="D1821" t="s">
        <v>1027</v>
      </c>
      <c r="E1821">
        <v>1494</v>
      </c>
      <c r="F1821" t="s">
        <v>1751</v>
      </c>
      <c r="G1821" t="b">
        <v>0</v>
      </c>
      <c r="H1821" t="b">
        <v>0</v>
      </c>
      <c r="I1821" t="s">
        <v>1050</v>
      </c>
      <c r="J1821">
        <v>42</v>
      </c>
      <c r="K1821" t="s">
        <v>1</v>
      </c>
      <c r="L1821" t="s">
        <v>1547</v>
      </c>
      <c r="M1821" t="s">
        <v>1548</v>
      </c>
      <c r="N1821" t="s">
        <v>1548</v>
      </c>
      <c r="O1821" t="s">
        <v>1548</v>
      </c>
      <c r="P1821" t="s">
        <v>1752</v>
      </c>
    </row>
    <row r="1822" spans="1:16" x14ac:dyDescent="0.25">
      <c r="A1822" t="s">
        <v>4120</v>
      </c>
      <c r="B1822" t="s">
        <v>4117</v>
      </c>
      <c r="C1822" t="s">
        <v>1750</v>
      </c>
      <c r="D1822" t="s">
        <v>1027</v>
      </c>
      <c r="E1822">
        <v>1494</v>
      </c>
      <c r="F1822" t="s">
        <v>1751</v>
      </c>
      <c r="G1822" t="b">
        <v>0</v>
      </c>
      <c r="H1822" t="b">
        <v>0</v>
      </c>
      <c r="I1822" t="s">
        <v>1050</v>
      </c>
      <c r="J1822">
        <v>42</v>
      </c>
      <c r="K1822" t="s">
        <v>1</v>
      </c>
      <c r="L1822" t="s">
        <v>1547</v>
      </c>
      <c r="M1822" t="s">
        <v>1548</v>
      </c>
      <c r="N1822" t="s">
        <v>1548</v>
      </c>
      <c r="O1822" t="s">
        <v>1548</v>
      </c>
      <c r="P1822" t="s">
        <v>1752</v>
      </c>
    </row>
    <row r="1823" spans="1:16" x14ac:dyDescent="0.25">
      <c r="A1823" t="s">
        <v>4121</v>
      </c>
      <c r="B1823" t="s">
        <v>4122</v>
      </c>
      <c r="C1823" t="s">
        <v>1571</v>
      </c>
      <c r="D1823" t="s">
        <v>1027</v>
      </c>
      <c r="E1823">
        <v>63767</v>
      </c>
      <c r="G1823" t="b">
        <v>0</v>
      </c>
      <c r="H1823" t="b">
        <v>0</v>
      </c>
      <c r="I1823" t="s">
        <v>1050</v>
      </c>
      <c r="J1823">
        <v>80</v>
      </c>
      <c r="K1823" t="s">
        <v>0</v>
      </c>
      <c r="L1823" t="s">
        <v>1167</v>
      </c>
      <c r="M1823" t="s">
        <v>1168</v>
      </c>
      <c r="N1823" t="s">
        <v>1169</v>
      </c>
      <c r="O1823" t="s">
        <v>1168</v>
      </c>
      <c r="P1823" t="s">
        <v>1283</v>
      </c>
    </row>
    <row r="1824" spans="1:16" x14ac:dyDescent="0.25">
      <c r="A1824" t="s">
        <v>4123</v>
      </c>
      <c r="B1824" t="s">
        <v>4122</v>
      </c>
      <c r="C1824" t="s">
        <v>1571</v>
      </c>
      <c r="D1824" t="s">
        <v>1027</v>
      </c>
      <c r="E1824">
        <v>63767</v>
      </c>
      <c r="G1824" t="b">
        <v>0</v>
      </c>
      <c r="H1824" t="b">
        <v>0</v>
      </c>
      <c r="I1824" t="s">
        <v>1050</v>
      </c>
      <c r="J1824">
        <v>80</v>
      </c>
      <c r="K1824" t="s">
        <v>0</v>
      </c>
      <c r="L1824" t="s">
        <v>1167</v>
      </c>
      <c r="M1824" t="s">
        <v>1168</v>
      </c>
      <c r="N1824" t="s">
        <v>1169</v>
      </c>
      <c r="O1824" t="s">
        <v>1168</v>
      </c>
      <c r="P1824" t="s">
        <v>1283</v>
      </c>
    </row>
    <row r="1825" spans="1:16" x14ac:dyDescent="0.25">
      <c r="A1825" t="s">
        <v>4124</v>
      </c>
      <c r="B1825" t="s">
        <v>4125</v>
      </c>
      <c r="C1825" t="s">
        <v>1571</v>
      </c>
      <c r="D1825" t="s">
        <v>1027</v>
      </c>
      <c r="E1825">
        <v>63767</v>
      </c>
      <c r="G1825" t="b">
        <v>0</v>
      </c>
      <c r="H1825" t="b">
        <v>0</v>
      </c>
      <c r="I1825" t="s">
        <v>1050</v>
      </c>
      <c r="J1825">
        <v>80</v>
      </c>
      <c r="K1825" t="s">
        <v>0</v>
      </c>
      <c r="L1825" t="s">
        <v>1167</v>
      </c>
      <c r="M1825" t="s">
        <v>1168</v>
      </c>
      <c r="N1825" t="s">
        <v>1169</v>
      </c>
      <c r="O1825" t="s">
        <v>1168</v>
      </c>
      <c r="P1825" t="s">
        <v>1283</v>
      </c>
    </row>
    <row r="1826" spans="1:16" x14ac:dyDescent="0.25">
      <c r="A1826" t="s">
        <v>4126</v>
      </c>
      <c r="B1826" t="s">
        <v>4127</v>
      </c>
      <c r="C1826" t="s">
        <v>1571</v>
      </c>
      <c r="D1826" t="s">
        <v>1027</v>
      </c>
      <c r="E1826">
        <v>63767</v>
      </c>
      <c r="G1826" t="b">
        <v>0</v>
      </c>
      <c r="H1826" t="b">
        <v>0</v>
      </c>
      <c r="I1826" t="s">
        <v>1050</v>
      </c>
      <c r="J1826">
        <v>80</v>
      </c>
      <c r="K1826" t="s">
        <v>0</v>
      </c>
      <c r="L1826" t="s">
        <v>1167</v>
      </c>
      <c r="M1826" t="s">
        <v>1168</v>
      </c>
      <c r="N1826" t="s">
        <v>1169</v>
      </c>
      <c r="O1826" t="s">
        <v>1168</v>
      </c>
      <c r="P1826" t="s">
        <v>1283</v>
      </c>
    </row>
    <row r="1827" spans="1:16" x14ac:dyDescent="0.25">
      <c r="A1827" t="s">
        <v>4128</v>
      </c>
      <c r="B1827" t="s">
        <v>4129</v>
      </c>
      <c r="C1827" t="s">
        <v>1571</v>
      </c>
      <c r="D1827" t="s">
        <v>1027</v>
      </c>
      <c r="E1827">
        <v>63767</v>
      </c>
      <c r="G1827" t="b">
        <v>0</v>
      </c>
      <c r="H1827" t="b">
        <v>0</v>
      </c>
      <c r="I1827" t="s">
        <v>1050</v>
      </c>
      <c r="J1827">
        <v>87</v>
      </c>
      <c r="K1827" t="s">
        <v>0</v>
      </c>
      <c r="L1827" t="s">
        <v>1167</v>
      </c>
      <c r="M1827" t="s">
        <v>1168</v>
      </c>
      <c r="N1827" t="s">
        <v>1169</v>
      </c>
      <c r="O1827" t="s">
        <v>1168</v>
      </c>
      <c r="P1827" t="s">
        <v>1283</v>
      </c>
    </row>
    <row r="1828" spans="1:16" x14ac:dyDescent="0.25">
      <c r="A1828" t="s">
        <v>4130</v>
      </c>
      <c r="B1828" t="s">
        <v>4131</v>
      </c>
      <c r="C1828" t="s">
        <v>1571</v>
      </c>
      <c r="D1828" t="s">
        <v>1027</v>
      </c>
      <c r="E1828">
        <v>63767</v>
      </c>
      <c r="G1828" t="b">
        <v>0</v>
      </c>
      <c r="H1828" t="b">
        <v>0</v>
      </c>
      <c r="I1828" t="s">
        <v>1050</v>
      </c>
      <c r="J1828">
        <v>87</v>
      </c>
      <c r="K1828" t="s">
        <v>0</v>
      </c>
      <c r="L1828" t="s">
        <v>1167</v>
      </c>
      <c r="M1828" t="s">
        <v>1168</v>
      </c>
      <c r="N1828" t="s">
        <v>1169</v>
      </c>
      <c r="O1828" t="s">
        <v>1168</v>
      </c>
      <c r="P1828" t="s">
        <v>1283</v>
      </c>
    </row>
    <row r="1829" spans="1:16" x14ac:dyDescent="0.25">
      <c r="A1829" t="s">
        <v>4132</v>
      </c>
      <c r="B1829" t="s">
        <v>4133</v>
      </c>
      <c r="C1829" t="s">
        <v>1571</v>
      </c>
      <c r="D1829" t="s">
        <v>1027</v>
      </c>
      <c r="E1829">
        <v>63767</v>
      </c>
      <c r="G1829" t="b">
        <v>0</v>
      </c>
      <c r="H1829" t="b">
        <v>0</v>
      </c>
      <c r="I1829" t="s">
        <v>1050</v>
      </c>
      <c r="J1829">
        <v>87</v>
      </c>
      <c r="K1829" t="s">
        <v>0</v>
      </c>
      <c r="L1829" t="s">
        <v>1167</v>
      </c>
      <c r="M1829" t="s">
        <v>1168</v>
      </c>
      <c r="N1829" t="s">
        <v>1169</v>
      </c>
      <c r="O1829" t="s">
        <v>1168</v>
      </c>
      <c r="P1829" t="s">
        <v>1283</v>
      </c>
    </row>
    <row r="1830" spans="1:16" x14ac:dyDescent="0.25">
      <c r="A1830" t="s">
        <v>4134</v>
      </c>
      <c r="B1830" t="s">
        <v>4135</v>
      </c>
      <c r="C1830" t="s">
        <v>1571</v>
      </c>
      <c r="D1830" t="s">
        <v>1027</v>
      </c>
      <c r="E1830">
        <v>63767</v>
      </c>
      <c r="G1830" t="b">
        <v>0</v>
      </c>
      <c r="H1830" t="b">
        <v>0</v>
      </c>
      <c r="I1830" t="s">
        <v>1050</v>
      </c>
      <c r="J1830">
        <v>87</v>
      </c>
      <c r="K1830" t="s">
        <v>0</v>
      </c>
      <c r="L1830" t="s">
        <v>1167</v>
      </c>
      <c r="M1830" t="s">
        <v>1168</v>
      </c>
      <c r="N1830" t="s">
        <v>1169</v>
      </c>
      <c r="O1830" t="s">
        <v>1168</v>
      </c>
      <c r="P1830" t="s">
        <v>1283</v>
      </c>
    </row>
    <row r="1831" spans="1:16" x14ac:dyDescent="0.25">
      <c r="A1831" t="s">
        <v>4136</v>
      </c>
      <c r="B1831" t="s">
        <v>4137</v>
      </c>
      <c r="C1831" t="s">
        <v>1571</v>
      </c>
      <c r="D1831" t="s">
        <v>1027</v>
      </c>
      <c r="E1831">
        <v>63767</v>
      </c>
      <c r="G1831" t="b">
        <v>0</v>
      </c>
      <c r="H1831" t="b">
        <v>0</v>
      </c>
      <c r="I1831" t="s">
        <v>1050</v>
      </c>
      <c r="J1831">
        <v>80</v>
      </c>
      <c r="K1831" t="s">
        <v>0</v>
      </c>
      <c r="L1831" t="s">
        <v>1167</v>
      </c>
      <c r="M1831" t="s">
        <v>1168</v>
      </c>
      <c r="N1831" t="s">
        <v>1169</v>
      </c>
      <c r="O1831" t="s">
        <v>1168</v>
      </c>
      <c r="P1831" t="s">
        <v>1283</v>
      </c>
    </row>
    <row r="1832" spans="1:16" x14ac:dyDescent="0.25">
      <c r="A1832" t="s">
        <v>4138</v>
      </c>
      <c r="B1832" t="s">
        <v>4139</v>
      </c>
      <c r="C1832" t="s">
        <v>1571</v>
      </c>
      <c r="D1832" t="s">
        <v>1027</v>
      </c>
      <c r="E1832">
        <v>63767</v>
      </c>
      <c r="G1832" t="b">
        <v>0</v>
      </c>
      <c r="H1832" t="b">
        <v>0</v>
      </c>
      <c r="I1832" t="s">
        <v>1050</v>
      </c>
      <c r="J1832">
        <v>80</v>
      </c>
      <c r="K1832" t="s">
        <v>0</v>
      </c>
      <c r="L1832" t="s">
        <v>1167</v>
      </c>
      <c r="M1832" t="s">
        <v>1168</v>
      </c>
      <c r="N1832" t="s">
        <v>1169</v>
      </c>
      <c r="O1832" t="s">
        <v>1168</v>
      </c>
      <c r="P1832" t="s">
        <v>1283</v>
      </c>
    </row>
    <row r="1833" spans="1:16" x14ac:dyDescent="0.25">
      <c r="A1833" t="s">
        <v>4140</v>
      </c>
      <c r="B1833" t="s">
        <v>4139</v>
      </c>
      <c r="C1833" t="s">
        <v>1571</v>
      </c>
      <c r="D1833" t="s">
        <v>1027</v>
      </c>
      <c r="E1833">
        <v>63767</v>
      </c>
      <c r="G1833" t="b">
        <v>0</v>
      </c>
      <c r="H1833" t="b">
        <v>0</v>
      </c>
      <c r="I1833" t="s">
        <v>1050</v>
      </c>
      <c r="J1833">
        <v>80</v>
      </c>
      <c r="K1833" t="s">
        <v>0</v>
      </c>
      <c r="L1833" t="s">
        <v>1167</v>
      </c>
      <c r="M1833" t="s">
        <v>1168</v>
      </c>
      <c r="N1833" t="s">
        <v>1169</v>
      </c>
      <c r="O1833" t="s">
        <v>1168</v>
      </c>
      <c r="P1833" t="s">
        <v>1283</v>
      </c>
    </row>
    <row r="1834" spans="1:16" x14ac:dyDescent="0.25">
      <c r="A1834" t="s">
        <v>4141</v>
      </c>
      <c r="B1834" t="s">
        <v>4142</v>
      </c>
      <c r="C1834" t="s">
        <v>1571</v>
      </c>
      <c r="D1834" t="s">
        <v>1027</v>
      </c>
      <c r="E1834">
        <v>63767</v>
      </c>
      <c r="G1834" t="b">
        <v>0</v>
      </c>
      <c r="H1834" t="b">
        <v>0</v>
      </c>
      <c r="I1834" t="s">
        <v>1050</v>
      </c>
      <c r="J1834">
        <v>80</v>
      </c>
      <c r="K1834" t="s">
        <v>0</v>
      </c>
      <c r="L1834" t="s">
        <v>1167</v>
      </c>
      <c r="M1834" t="s">
        <v>1168</v>
      </c>
      <c r="N1834" t="s">
        <v>1169</v>
      </c>
      <c r="O1834" t="s">
        <v>1168</v>
      </c>
      <c r="P1834" t="s">
        <v>1283</v>
      </c>
    </row>
    <row r="1835" spans="1:16" x14ac:dyDescent="0.25">
      <c r="A1835" t="s">
        <v>4143</v>
      </c>
      <c r="B1835" t="s">
        <v>4144</v>
      </c>
      <c r="C1835" t="s">
        <v>2026</v>
      </c>
      <c r="D1835" t="s">
        <v>1027</v>
      </c>
      <c r="E1835">
        <v>1336</v>
      </c>
      <c r="F1835" t="s">
        <v>2027</v>
      </c>
      <c r="G1835" t="b">
        <v>0</v>
      </c>
      <c r="H1835" t="b">
        <v>0</v>
      </c>
      <c r="I1835" t="s">
        <v>1050</v>
      </c>
      <c r="J1835">
        <v>80</v>
      </c>
      <c r="K1835" t="s">
        <v>0</v>
      </c>
      <c r="L1835" t="s">
        <v>1167</v>
      </c>
      <c r="M1835" t="s">
        <v>1168</v>
      </c>
      <c r="N1835" t="s">
        <v>1169</v>
      </c>
      <c r="O1835" t="s">
        <v>1168</v>
      </c>
      <c r="P1835" t="s">
        <v>2028</v>
      </c>
    </row>
    <row r="1836" spans="1:16" x14ac:dyDescent="0.25">
      <c r="A1836" t="s">
        <v>4145</v>
      </c>
      <c r="B1836" t="s">
        <v>4142</v>
      </c>
      <c r="C1836" t="s">
        <v>1571</v>
      </c>
      <c r="D1836" t="s">
        <v>1027</v>
      </c>
      <c r="E1836">
        <v>63767</v>
      </c>
      <c r="G1836" t="b">
        <v>0</v>
      </c>
      <c r="H1836" t="b">
        <v>0</v>
      </c>
      <c r="I1836" t="s">
        <v>1050</v>
      </c>
      <c r="J1836">
        <v>80</v>
      </c>
      <c r="K1836" t="s">
        <v>0</v>
      </c>
      <c r="L1836" t="s">
        <v>1167</v>
      </c>
      <c r="M1836" t="s">
        <v>1168</v>
      </c>
      <c r="N1836" t="s">
        <v>1169</v>
      </c>
      <c r="O1836" t="s">
        <v>1168</v>
      </c>
      <c r="P1836" t="s">
        <v>1283</v>
      </c>
    </row>
    <row r="1837" spans="1:16" x14ac:dyDescent="0.25">
      <c r="A1837" t="s">
        <v>4146</v>
      </c>
      <c r="B1837" t="s">
        <v>4147</v>
      </c>
      <c r="C1837" t="s">
        <v>1571</v>
      </c>
      <c r="D1837" t="s">
        <v>1027</v>
      </c>
      <c r="E1837">
        <v>63767</v>
      </c>
      <c r="G1837" t="b">
        <v>0</v>
      </c>
      <c r="H1837" t="b">
        <v>0</v>
      </c>
      <c r="I1837" t="s">
        <v>1050</v>
      </c>
      <c r="J1837">
        <v>80</v>
      </c>
      <c r="K1837" t="s">
        <v>0</v>
      </c>
      <c r="L1837" t="s">
        <v>1167</v>
      </c>
      <c r="M1837" t="s">
        <v>1168</v>
      </c>
      <c r="N1837" t="s">
        <v>1169</v>
      </c>
      <c r="O1837" t="s">
        <v>1168</v>
      </c>
      <c r="P1837" t="s">
        <v>1283</v>
      </c>
    </row>
    <row r="1838" spans="1:16" x14ac:dyDescent="0.25">
      <c r="A1838" t="s">
        <v>4148</v>
      </c>
      <c r="B1838" t="s">
        <v>4149</v>
      </c>
      <c r="C1838" t="s">
        <v>1571</v>
      </c>
      <c r="D1838" t="s">
        <v>1027</v>
      </c>
      <c r="E1838">
        <v>63767</v>
      </c>
      <c r="G1838" t="b">
        <v>0</v>
      </c>
      <c r="H1838" t="b">
        <v>0</v>
      </c>
      <c r="I1838" t="s">
        <v>1050</v>
      </c>
      <c r="J1838">
        <v>80</v>
      </c>
      <c r="K1838" t="s">
        <v>0</v>
      </c>
      <c r="L1838" t="s">
        <v>1167</v>
      </c>
      <c r="M1838" t="s">
        <v>1168</v>
      </c>
      <c r="N1838" t="s">
        <v>1169</v>
      </c>
      <c r="O1838" t="s">
        <v>1168</v>
      </c>
      <c r="P1838" t="s">
        <v>1283</v>
      </c>
    </row>
    <row r="1839" spans="1:16" x14ac:dyDescent="0.25">
      <c r="A1839" t="s">
        <v>4150</v>
      </c>
      <c r="B1839" t="s">
        <v>4151</v>
      </c>
      <c r="C1839" t="s">
        <v>1571</v>
      </c>
      <c r="D1839" t="s">
        <v>1027</v>
      </c>
      <c r="E1839">
        <v>63767</v>
      </c>
      <c r="G1839" t="b">
        <v>0</v>
      </c>
      <c r="H1839" t="b">
        <v>0</v>
      </c>
      <c r="I1839" t="s">
        <v>1050</v>
      </c>
      <c r="J1839">
        <v>80</v>
      </c>
      <c r="K1839" t="s">
        <v>0</v>
      </c>
      <c r="L1839" t="s">
        <v>1167</v>
      </c>
      <c r="M1839" t="s">
        <v>1168</v>
      </c>
      <c r="N1839" t="s">
        <v>1169</v>
      </c>
      <c r="O1839" t="s">
        <v>1168</v>
      </c>
      <c r="P1839" t="s">
        <v>1283</v>
      </c>
    </row>
    <row r="1840" spans="1:16" x14ac:dyDescent="0.25">
      <c r="A1840" t="s">
        <v>4152</v>
      </c>
      <c r="B1840" t="s">
        <v>4153</v>
      </c>
      <c r="C1840" t="s">
        <v>1571</v>
      </c>
      <c r="D1840" t="s">
        <v>1027</v>
      </c>
      <c r="E1840">
        <v>63767</v>
      </c>
      <c r="G1840" t="b">
        <v>0</v>
      </c>
      <c r="H1840" t="b">
        <v>0</v>
      </c>
      <c r="I1840" t="s">
        <v>1050</v>
      </c>
      <c r="J1840">
        <v>80</v>
      </c>
      <c r="K1840" t="s">
        <v>0</v>
      </c>
      <c r="L1840" t="s">
        <v>1167</v>
      </c>
      <c r="M1840" t="s">
        <v>1168</v>
      </c>
      <c r="N1840" t="s">
        <v>1169</v>
      </c>
      <c r="O1840" t="s">
        <v>1168</v>
      </c>
      <c r="P1840" t="s">
        <v>1283</v>
      </c>
    </row>
    <row r="1841" spans="1:16" x14ac:dyDescent="0.25">
      <c r="A1841" t="s">
        <v>4154</v>
      </c>
      <c r="B1841" t="s">
        <v>4155</v>
      </c>
      <c r="C1841" t="s">
        <v>1571</v>
      </c>
      <c r="D1841" t="s">
        <v>1027</v>
      </c>
      <c r="E1841">
        <v>63767</v>
      </c>
      <c r="G1841" t="b">
        <v>0</v>
      </c>
      <c r="H1841" t="b">
        <v>0</v>
      </c>
      <c r="I1841" t="s">
        <v>1050</v>
      </c>
      <c r="J1841">
        <v>80</v>
      </c>
      <c r="K1841" t="s">
        <v>0</v>
      </c>
      <c r="L1841" t="s">
        <v>1167</v>
      </c>
      <c r="M1841" t="s">
        <v>1168</v>
      </c>
      <c r="N1841" t="s">
        <v>1169</v>
      </c>
      <c r="O1841" t="s">
        <v>1168</v>
      </c>
      <c r="P1841" t="s">
        <v>1283</v>
      </c>
    </row>
    <row r="1842" spans="1:16" x14ac:dyDescent="0.25">
      <c r="A1842" t="s">
        <v>4156</v>
      </c>
      <c r="B1842" t="s">
        <v>4157</v>
      </c>
      <c r="C1842" t="s">
        <v>1571</v>
      </c>
      <c r="D1842" t="s">
        <v>1027</v>
      </c>
      <c r="E1842">
        <v>63767</v>
      </c>
      <c r="G1842" t="b">
        <v>0</v>
      </c>
      <c r="H1842" t="b">
        <v>0</v>
      </c>
      <c r="I1842" t="s">
        <v>1050</v>
      </c>
      <c r="J1842">
        <v>80</v>
      </c>
      <c r="K1842" t="s">
        <v>0</v>
      </c>
      <c r="L1842" t="s">
        <v>1167</v>
      </c>
      <c r="M1842" t="s">
        <v>1168</v>
      </c>
      <c r="N1842" t="s">
        <v>1169</v>
      </c>
      <c r="O1842" t="s">
        <v>1168</v>
      </c>
      <c r="P1842" t="s">
        <v>1283</v>
      </c>
    </row>
    <row r="1843" spans="1:16" x14ac:dyDescent="0.25">
      <c r="A1843" t="s">
        <v>4158</v>
      </c>
      <c r="B1843" t="s">
        <v>4159</v>
      </c>
      <c r="C1843" t="s">
        <v>1571</v>
      </c>
      <c r="D1843" t="s">
        <v>1027</v>
      </c>
      <c r="E1843">
        <v>63767</v>
      </c>
      <c r="G1843" t="b">
        <v>0</v>
      </c>
      <c r="H1843" t="b">
        <v>0</v>
      </c>
      <c r="I1843" t="s">
        <v>1050</v>
      </c>
      <c r="J1843">
        <v>80</v>
      </c>
      <c r="K1843" t="s">
        <v>0</v>
      </c>
      <c r="L1843" t="s">
        <v>1167</v>
      </c>
      <c r="M1843" t="s">
        <v>1168</v>
      </c>
      <c r="N1843" t="s">
        <v>1169</v>
      </c>
      <c r="O1843" t="s">
        <v>1168</v>
      </c>
      <c r="P1843" t="s">
        <v>1283</v>
      </c>
    </row>
    <row r="1844" spans="1:16" x14ac:dyDescent="0.25">
      <c r="A1844" t="s">
        <v>4160</v>
      </c>
      <c r="B1844" t="s">
        <v>4161</v>
      </c>
      <c r="C1844" t="s">
        <v>1571</v>
      </c>
      <c r="D1844" t="s">
        <v>1027</v>
      </c>
      <c r="E1844">
        <v>63767</v>
      </c>
      <c r="G1844" t="b">
        <v>0</v>
      </c>
      <c r="H1844" t="b">
        <v>0</v>
      </c>
      <c r="I1844" t="s">
        <v>1050</v>
      </c>
      <c r="J1844">
        <v>80</v>
      </c>
      <c r="K1844" t="s">
        <v>0</v>
      </c>
      <c r="L1844" t="s">
        <v>1167</v>
      </c>
      <c r="M1844" t="s">
        <v>1168</v>
      </c>
      <c r="N1844" t="s">
        <v>1169</v>
      </c>
      <c r="O1844" t="s">
        <v>1168</v>
      </c>
      <c r="P1844" t="s">
        <v>1283</v>
      </c>
    </row>
    <row r="1845" spans="1:16" x14ac:dyDescent="0.25">
      <c r="A1845" t="s">
        <v>4162</v>
      </c>
      <c r="B1845" t="s">
        <v>4163</v>
      </c>
      <c r="C1845" t="s">
        <v>1571</v>
      </c>
      <c r="D1845" t="s">
        <v>1027</v>
      </c>
      <c r="E1845">
        <v>63767</v>
      </c>
      <c r="G1845" t="b">
        <v>0</v>
      </c>
      <c r="H1845" t="b">
        <v>0</v>
      </c>
      <c r="I1845" t="s">
        <v>1050</v>
      </c>
      <c r="J1845">
        <v>80</v>
      </c>
      <c r="K1845" t="s">
        <v>0</v>
      </c>
      <c r="L1845" t="s">
        <v>1167</v>
      </c>
      <c r="M1845" t="s">
        <v>1168</v>
      </c>
      <c r="N1845" t="s">
        <v>1169</v>
      </c>
      <c r="O1845" t="s">
        <v>1168</v>
      </c>
      <c r="P1845" t="s">
        <v>1283</v>
      </c>
    </row>
    <row r="1846" spans="1:16" x14ac:dyDescent="0.25">
      <c r="A1846" t="s">
        <v>4164</v>
      </c>
      <c r="B1846" t="s">
        <v>4165</v>
      </c>
      <c r="C1846" t="s">
        <v>1571</v>
      </c>
      <c r="D1846" t="s">
        <v>1027</v>
      </c>
      <c r="E1846">
        <v>63767</v>
      </c>
      <c r="G1846" t="b">
        <v>0</v>
      </c>
      <c r="H1846" t="b">
        <v>0</v>
      </c>
      <c r="I1846" t="s">
        <v>1050</v>
      </c>
      <c r="J1846">
        <v>80</v>
      </c>
      <c r="K1846" t="s">
        <v>0</v>
      </c>
      <c r="L1846" t="s">
        <v>1167</v>
      </c>
      <c r="M1846" t="s">
        <v>1168</v>
      </c>
      <c r="N1846" t="s">
        <v>1169</v>
      </c>
      <c r="O1846" t="s">
        <v>1168</v>
      </c>
      <c r="P1846" t="s">
        <v>1283</v>
      </c>
    </row>
    <row r="1847" spans="1:16" x14ac:dyDescent="0.25">
      <c r="A1847" t="s">
        <v>4166</v>
      </c>
      <c r="B1847" t="s">
        <v>4167</v>
      </c>
      <c r="C1847" t="s">
        <v>1233</v>
      </c>
      <c r="D1847" t="s">
        <v>1027</v>
      </c>
      <c r="E1847">
        <v>63762</v>
      </c>
      <c r="F1847" t="s">
        <v>1234</v>
      </c>
      <c r="G1847" t="b">
        <v>0</v>
      </c>
      <c r="H1847" t="b">
        <v>0</v>
      </c>
      <c r="I1847" t="s">
        <v>1050</v>
      </c>
      <c r="J1847">
        <v>80</v>
      </c>
      <c r="K1847" t="s">
        <v>0</v>
      </c>
      <c r="L1847" t="s">
        <v>1167</v>
      </c>
      <c r="M1847" t="s">
        <v>1168</v>
      </c>
      <c r="N1847" t="s">
        <v>1169</v>
      </c>
      <c r="O1847" t="s">
        <v>1168</v>
      </c>
      <c r="P1847" t="s">
        <v>1235</v>
      </c>
    </row>
    <row r="1848" spans="1:16" x14ac:dyDescent="0.25">
      <c r="A1848" t="s">
        <v>4168</v>
      </c>
      <c r="B1848" t="s">
        <v>4169</v>
      </c>
      <c r="C1848" t="s">
        <v>1233</v>
      </c>
      <c r="D1848" t="s">
        <v>1027</v>
      </c>
      <c r="E1848">
        <v>63762</v>
      </c>
      <c r="F1848" t="s">
        <v>1234</v>
      </c>
      <c r="G1848" t="b">
        <v>0</v>
      </c>
      <c r="H1848" t="b">
        <v>0</v>
      </c>
      <c r="I1848" t="s">
        <v>1050</v>
      </c>
      <c r="J1848">
        <v>87</v>
      </c>
      <c r="K1848" t="s">
        <v>0</v>
      </c>
      <c r="L1848" t="s">
        <v>1167</v>
      </c>
      <c r="M1848" t="s">
        <v>1168</v>
      </c>
      <c r="N1848" t="s">
        <v>1169</v>
      </c>
      <c r="O1848" t="s">
        <v>1168</v>
      </c>
      <c r="P1848" t="s">
        <v>1235</v>
      </c>
    </row>
    <row r="1849" spans="1:16" x14ac:dyDescent="0.25">
      <c r="A1849" t="s">
        <v>4170</v>
      </c>
      <c r="B1849" t="s">
        <v>4144</v>
      </c>
      <c r="C1849" t="s">
        <v>2026</v>
      </c>
      <c r="D1849" t="s">
        <v>1027</v>
      </c>
      <c r="E1849">
        <v>1336</v>
      </c>
      <c r="F1849" t="s">
        <v>2027</v>
      </c>
      <c r="G1849" t="b">
        <v>0</v>
      </c>
      <c r="H1849" t="b">
        <v>0</v>
      </c>
      <c r="I1849" t="s">
        <v>1050</v>
      </c>
      <c r="J1849">
        <v>87</v>
      </c>
      <c r="K1849" t="s">
        <v>0</v>
      </c>
      <c r="L1849" t="s">
        <v>1167</v>
      </c>
      <c r="M1849" t="s">
        <v>1168</v>
      </c>
      <c r="N1849" t="s">
        <v>1169</v>
      </c>
      <c r="O1849" t="s">
        <v>1168</v>
      </c>
      <c r="P1849" t="s">
        <v>2028</v>
      </c>
    </row>
    <row r="1850" spans="1:16" x14ac:dyDescent="0.25">
      <c r="A1850" t="s">
        <v>4171</v>
      </c>
      <c r="B1850" t="s">
        <v>4172</v>
      </c>
      <c r="C1850" t="s">
        <v>2026</v>
      </c>
      <c r="D1850" t="s">
        <v>1027</v>
      </c>
      <c r="E1850">
        <v>1336</v>
      </c>
      <c r="F1850" t="s">
        <v>2027</v>
      </c>
      <c r="G1850" t="b">
        <v>0</v>
      </c>
      <c r="H1850" t="b">
        <v>0</v>
      </c>
      <c r="I1850" t="s">
        <v>1050</v>
      </c>
      <c r="J1850">
        <v>80</v>
      </c>
      <c r="K1850" t="s">
        <v>0</v>
      </c>
      <c r="L1850" t="s">
        <v>1167</v>
      </c>
      <c r="M1850" t="s">
        <v>1168</v>
      </c>
      <c r="N1850" t="s">
        <v>1169</v>
      </c>
      <c r="O1850" t="s">
        <v>1168</v>
      </c>
      <c r="P1850" t="s">
        <v>2028</v>
      </c>
    </row>
    <row r="1851" spans="1:16" x14ac:dyDescent="0.25">
      <c r="A1851" t="s">
        <v>4173</v>
      </c>
      <c r="B1851" t="s">
        <v>4174</v>
      </c>
      <c r="C1851" t="s">
        <v>1233</v>
      </c>
      <c r="D1851" t="s">
        <v>1027</v>
      </c>
      <c r="E1851">
        <v>63762</v>
      </c>
      <c r="F1851" t="s">
        <v>1234</v>
      </c>
      <c r="G1851" t="b">
        <v>0</v>
      </c>
      <c r="H1851" t="b">
        <v>0</v>
      </c>
      <c r="I1851" t="s">
        <v>1050</v>
      </c>
      <c r="J1851">
        <v>80</v>
      </c>
      <c r="K1851" t="s">
        <v>0</v>
      </c>
      <c r="L1851" t="s">
        <v>1167</v>
      </c>
      <c r="M1851" t="s">
        <v>1168</v>
      </c>
      <c r="N1851" t="s">
        <v>1169</v>
      </c>
      <c r="O1851" t="s">
        <v>1168</v>
      </c>
      <c r="P1851" t="s">
        <v>1235</v>
      </c>
    </row>
    <row r="1852" spans="1:16" x14ac:dyDescent="0.25">
      <c r="A1852" t="s">
        <v>4175</v>
      </c>
      <c r="B1852" t="s">
        <v>4176</v>
      </c>
      <c r="C1852" t="s">
        <v>1571</v>
      </c>
      <c r="D1852" t="s">
        <v>1027</v>
      </c>
      <c r="E1852">
        <v>63767</v>
      </c>
      <c r="G1852" t="b">
        <v>0</v>
      </c>
      <c r="H1852" t="b">
        <v>0</v>
      </c>
      <c r="I1852" t="s">
        <v>1050</v>
      </c>
      <c r="J1852">
        <v>80</v>
      </c>
      <c r="K1852" t="s">
        <v>0</v>
      </c>
      <c r="L1852" t="s">
        <v>1167</v>
      </c>
      <c r="M1852" t="s">
        <v>1168</v>
      </c>
      <c r="N1852" t="s">
        <v>1169</v>
      </c>
      <c r="O1852" t="s">
        <v>1168</v>
      </c>
      <c r="P1852" t="s">
        <v>1283</v>
      </c>
    </row>
    <row r="1853" spans="1:16" x14ac:dyDescent="0.25">
      <c r="A1853" t="s">
        <v>4177</v>
      </c>
      <c r="B1853" t="s">
        <v>4178</v>
      </c>
      <c r="C1853" t="s">
        <v>1571</v>
      </c>
      <c r="D1853" t="s">
        <v>1027</v>
      </c>
      <c r="E1853">
        <v>63767</v>
      </c>
      <c r="G1853" t="b">
        <v>0</v>
      </c>
      <c r="H1853" t="b">
        <v>0</v>
      </c>
      <c r="I1853" t="s">
        <v>1050</v>
      </c>
      <c r="J1853">
        <v>80</v>
      </c>
      <c r="K1853" t="s">
        <v>0</v>
      </c>
      <c r="L1853" t="s">
        <v>1167</v>
      </c>
      <c r="M1853" t="s">
        <v>1168</v>
      </c>
      <c r="N1853" t="s">
        <v>1169</v>
      </c>
      <c r="O1853" t="s">
        <v>1168</v>
      </c>
      <c r="P1853" t="s">
        <v>1283</v>
      </c>
    </row>
    <row r="1854" spans="1:16" x14ac:dyDescent="0.25">
      <c r="A1854" t="s">
        <v>4179</v>
      </c>
      <c r="B1854" t="s">
        <v>4180</v>
      </c>
      <c r="C1854" t="s">
        <v>1571</v>
      </c>
      <c r="D1854" t="s">
        <v>1027</v>
      </c>
      <c r="E1854">
        <v>63767</v>
      </c>
      <c r="G1854" t="b">
        <v>0</v>
      </c>
      <c r="H1854" t="b">
        <v>0</v>
      </c>
      <c r="I1854" t="s">
        <v>1050</v>
      </c>
      <c r="J1854">
        <v>80</v>
      </c>
      <c r="K1854" t="s">
        <v>0</v>
      </c>
      <c r="L1854" t="s">
        <v>1167</v>
      </c>
      <c r="M1854" t="s">
        <v>1168</v>
      </c>
      <c r="N1854" t="s">
        <v>1169</v>
      </c>
      <c r="O1854" t="s">
        <v>1168</v>
      </c>
      <c r="P1854" t="s">
        <v>1283</v>
      </c>
    </row>
    <row r="1855" spans="1:16" x14ac:dyDescent="0.25">
      <c r="A1855" t="s">
        <v>4181</v>
      </c>
      <c r="B1855" t="s">
        <v>4182</v>
      </c>
      <c r="C1855" t="s">
        <v>1571</v>
      </c>
      <c r="D1855" t="s">
        <v>1027</v>
      </c>
      <c r="E1855">
        <v>63767</v>
      </c>
      <c r="G1855" t="b">
        <v>0</v>
      </c>
      <c r="H1855" t="b">
        <v>0</v>
      </c>
      <c r="I1855" t="s">
        <v>1050</v>
      </c>
      <c r="J1855">
        <v>80</v>
      </c>
      <c r="K1855" t="s">
        <v>0</v>
      </c>
      <c r="L1855" t="s">
        <v>1167</v>
      </c>
      <c r="M1855" t="s">
        <v>1168</v>
      </c>
      <c r="N1855" t="s">
        <v>1169</v>
      </c>
      <c r="O1855" t="s">
        <v>1168</v>
      </c>
      <c r="P1855" t="s">
        <v>1283</v>
      </c>
    </row>
    <row r="1856" spans="1:16" x14ac:dyDescent="0.25">
      <c r="A1856" t="s">
        <v>4183</v>
      </c>
      <c r="B1856" t="s">
        <v>4184</v>
      </c>
      <c r="C1856" t="s">
        <v>1571</v>
      </c>
      <c r="D1856" t="s">
        <v>1027</v>
      </c>
      <c r="E1856">
        <v>63767</v>
      </c>
      <c r="G1856" t="b">
        <v>0</v>
      </c>
      <c r="H1856" t="b">
        <v>0</v>
      </c>
      <c r="I1856" t="s">
        <v>1050</v>
      </c>
      <c r="J1856">
        <v>80</v>
      </c>
      <c r="K1856" t="s">
        <v>0</v>
      </c>
      <c r="L1856" t="s">
        <v>1167</v>
      </c>
      <c r="M1856" t="s">
        <v>1168</v>
      </c>
      <c r="N1856" t="s">
        <v>1169</v>
      </c>
      <c r="O1856" t="s">
        <v>1168</v>
      </c>
      <c r="P1856" t="s">
        <v>1283</v>
      </c>
    </row>
    <row r="1857" spans="1:16" x14ac:dyDescent="0.25">
      <c r="A1857" t="s">
        <v>4185</v>
      </c>
      <c r="B1857" t="s">
        <v>4186</v>
      </c>
      <c r="C1857" t="s">
        <v>1571</v>
      </c>
      <c r="D1857" t="s">
        <v>1027</v>
      </c>
      <c r="E1857">
        <v>63767</v>
      </c>
      <c r="G1857" t="b">
        <v>0</v>
      </c>
      <c r="H1857" t="b">
        <v>0</v>
      </c>
      <c r="I1857" t="s">
        <v>1050</v>
      </c>
      <c r="J1857">
        <v>80</v>
      </c>
      <c r="K1857" t="s">
        <v>0</v>
      </c>
      <c r="L1857" t="s">
        <v>1167</v>
      </c>
      <c r="M1857" t="s">
        <v>1168</v>
      </c>
      <c r="N1857" t="s">
        <v>1169</v>
      </c>
      <c r="O1857" t="s">
        <v>1168</v>
      </c>
      <c r="P1857" t="s">
        <v>1283</v>
      </c>
    </row>
    <row r="1858" spans="1:16" x14ac:dyDescent="0.25">
      <c r="A1858" t="s">
        <v>4187</v>
      </c>
      <c r="B1858" t="s">
        <v>4188</v>
      </c>
      <c r="C1858" t="s">
        <v>1571</v>
      </c>
      <c r="D1858" t="s">
        <v>1027</v>
      </c>
      <c r="E1858">
        <v>63767</v>
      </c>
      <c r="G1858" t="b">
        <v>0</v>
      </c>
      <c r="H1858" t="b">
        <v>0</v>
      </c>
      <c r="I1858" t="s">
        <v>1050</v>
      </c>
      <c r="J1858">
        <v>80</v>
      </c>
      <c r="K1858" t="s">
        <v>0</v>
      </c>
      <c r="L1858" t="s">
        <v>1167</v>
      </c>
      <c r="M1858" t="s">
        <v>1168</v>
      </c>
      <c r="N1858" t="s">
        <v>1169</v>
      </c>
      <c r="O1858" t="s">
        <v>1168</v>
      </c>
      <c r="P1858" t="s">
        <v>1283</v>
      </c>
    </row>
    <row r="1859" spans="1:16" x14ac:dyDescent="0.25">
      <c r="A1859" t="s">
        <v>4189</v>
      </c>
      <c r="B1859" t="s">
        <v>4190</v>
      </c>
      <c r="C1859" t="s">
        <v>1165</v>
      </c>
      <c r="D1859" t="s">
        <v>1027</v>
      </c>
      <c r="E1859">
        <v>63774</v>
      </c>
      <c r="F1859" t="s">
        <v>1166</v>
      </c>
      <c r="G1859" t="b">
        <v>0</v>
      </c>
      <c r="H1859" t="b">
        <v>0</v>
      </c>
      <c r="I1859" t="s">
        <v>1050</v>
      </c>
      <c r="J1859">
        <v>52</v>
      </c>
      <c r="K1859" t="s">
        <v>1</v>
      </c>
      <c r="L1859" t="s">
        <v>1167</v>
      </c>
      <c r="M1859" t="s">
        <v>1168</v>
      </c>
      <c r="N1859" t="s">
        <v>1169</v>
      </c>
      <c r="O1859" t="s">
        <v>1168</v>
      </c>
      <c r="P1859" t="s">
        <v>1170</v>
      </c>
    </row>
    <row r="1860" spans="1:16" x14ac:dyDescent="0.25">
      <c r="A1860" t="s">
        <v>4191</v>
      </c>
      <c r="B1860" t="s">
        <v>4190</v>
      </c>
      <c r="C1860" t="s">
        <v>1165</v>
      </c>
      <c r="D1860" t="s">
        <v>1027</v>
      </c>
      <c r="E1860">
        <v>63774</v>
      </c>
      <c r="F1860" t="s">
        <v>1166</v>
      </c>
      <c r="G1860" t="b">
        <v>0</v>
      </c>
      <c r="H1860" t="b">
        <v>0</v>
      </c>
      <c r="I1860" t="s">
        <v>1050</v>
      </c>
      <c r="J1860">
        <v>52</v>
      </c>
      <c r="K1860" t="s">
        <v>1</v>
      </c>
      <c r="L1860" t="s">
        <v>1167</v>
      </c>
      <c r="M1860" t="s">
        <v>1168</v>
      </c>
      <c r="N1860" t="s">
        <v>1169</v>
      </c>
      <c r="O1860" t="s">
        <v>1168</v>
      </c>
      <c r="P1860" t="s">
        <v>1170</v>
      </c>
    </row>
    <row r="1861" spans="1:16" x14ac:dyDescent="0.25">
      <c r="A1861" t="s">
        <v>4192</v>
      </c>
      <c r="B1861" t="s">
        <v>4193</v>
      </c>
      <c r="C1861" t="s">
        <v>1165</v>
      </c>
      <c r="D1861" t="s">
        <v>1027</v>
      </c>
      <c r="E1861">
        <v>63774</v>
      </c>
      <c r="F1861" t="s">
        <v>1166</v>
      </c>
      <c r="G1861" t="b">
        <v>0</v>
      </c>
      <c r="H1861" t="b">
        <v>0</v>
      </c>
      <c r="I1861" t="s">
        <v>1050</v>
      </c>
      <c r="J1861">
        <v>52</v>
      </c>
      <c r="K1861" t="s">
        <v>1</v>
      </c>
      <c r="L1861" t="s">
        <v>1167</v>
      </c>
      <c r="M1861" t="s">
        <v>1168</v>
      </c>
      <c r="N1861" t="s">
        <v>1169</v>
      </c>
      <c r="O1861" t="s">
        <v>1168</v>
      </c>
      <c r="P1861" t="s">
        <v>1170</v>
      </c>
    </row>
    <row r="1862" spans="1:16" x14ac:dyDescent="0.25">
      <c r="A1862" t="s">
        <v>4194</v>
      </c>
      <c r="B1862" t="s">
        <v>4193</v>
      </c>
      <c r="C1862" t="s">
        <v>1165</v>
      </c>
      <c r="D1862" t="s">
        <v>1027</v>
      </c>
      <c r="E1862">
        <v>63774</v>
      </c>
      <c r="F1862" t="s">
        <v>1166</v>
      </c>
      <c r="G1862" t="b">
        <v>0</v>
      </c>
      <c r="H1862" t="b">
        <v>0</v>
      </c>
      <c r="I1862" t="s">
        <v>1050</v>
      </c>
      <c r="J1862">
        <v>52</v>
      </c>
      <c r="K1862" t="s">
        <v>1</v>
      </c>
      <c r="L1862" t="s">
        <v>1167</v>
      </c>
      <c r="M1862" t="s">
        <v>1168</v>
      </c>
      <c r="N1862" t="s">
        <v>1169</v>
      </c>
      <c r="O1862" t="s">
        <v>1168</v>
      </c>
      <c r="P1862" t="s">
        <v>1170</v>
      </c>
    </row>
    <row r="1863" spans="1:16" x14ac:dyDescent="0.25">
      <c r="A1863" t="s">
        <v>4195</v>
      </c>
      <c r="B1863" t="s">
        <v>4196</v>
      </c>
      <c r="C1863" t="s">
        <v>1165</v>
      </c>
      <c r="D1863" t="s">
        <v>1027</v>
      </c>
      <c r="E1863">
        <v>63774</v>
      </c>
      <c r="F1863" t="s">
        <v>1166</v>
      </c>
      <c r="G1863" t="b">
        <v>0</v>
      </c>
      <c r="H1863" t="b">
        <v>0</v>
      </c>
      <c r="I1863" t="s">
        <v>1050</v>
      </c>
      <c r="J1863">
        <v>57</v>
      </c>
      <c r="K1863" t="s">
        <v>1</v>
      </c>
      <c r="L1863" t="s">
        <v>1167</v>
      </c>
      <c r="M1863" t="s">
        <v>1168</v>
      </c>
      <c r="N1863" t="s">
        <v>1169</v>
      </c>
      <c r="O1863" t="s">
        <v>1168</v>
      </c>
      <c r="P1863" t="s">
        <v>1170</v>
      </c>
    </row>
    <row r="1864" spans="1:16" x14ac:dyDescent="0.25">
      <c r="A1864" t="s">
        <v>4197</v>
      </c>
      <c r="B1864" t="s">
        <v>4198</v>
      </c>
      <c r="C1864" t="s">
        <v>1165</v>
      </c>
      <c r="D1864" t="s">
        <v>1027</v>
      </c>
      <c r="E1864">
        <v>63774</v>
      </c>
      <c r="F1864" t="s">
        <v>1166</v>
      </c>
      <c r="G1864" t="b">
        <v>0</v>
      </c>
      <c r="H1864" t="b">
        <v>0</v>
      </c>
      <c r="I1864" t="s">
        <v>1050</v>
      </c>
      <c r="J1864">
        <v>57</v>
      </c>
      <c r="K1864" t="s">
        <v>1</v>
      </c>
      <c r="L1864" t="s">
        <v>1167</v>
      </c>
      <c r="M1864" t="s">
        <v>1168</v>
      </c>
      <c r="N1864" t="s">
        <v>1169</v>
      </c>
      <c r="O1864" t="s">
        <v>1168</v>
      </c>
      <c r="P1864" t="s">
        <v>1170</v>
      </c>
    </row>
    <row r="1865" spans="1:16" x14ac:dyDescent="0.25">
      <c r="A1865" t="s">
        <v>4199</v>
      </c>
      <c r="B1865" t="s">
        <v>4200</v>
      </c>
      <c r="C1865" t="s">
        <v>1233</v>
      </c>
      <c r="D1865" t="s">
        <v>1027</v>
      </c>
      <c r="E1865">
        <v>63762</v>
      </c>
      <c r="F1865" t="s">
        <v>1234</v>
      </c>
      <c r="G1865" t="b">
        <v>0</v>
      </c>
      <c r="H1865" t="b">
        <v>0</v>
      </c>
      <c r="I1865" t="s">
        <v>1050</v>
      </c>
      <c r="J1865">
        <v>88</v>
      </c>
      <c r="K1865" t="s">
        <v>0</v>
      </c>
      <c r="L1865" t="s">
        <v>1167</v>
      </c>
      <c r="M1865" t="s">
        <v>1168</v>
      </c>
      <c r="N1865" t="s">
        <v>1169</v>
      </c>
      <c r="O1865" t="s">
        <v>1168</v>
      </c>
      <c r="P1865" t="s">
        <v>1235</v>
      </c>
    </row>
    <row r="1866" spans="1:16" x14ac:dyDescent="0.25">
      <c r="A1866" t="s">
        <v>4201</v>
      </c>
      <c r="B1866" t="s">
        <v>4202</v>
      </c>
      <c r="C1866" t="s">
        <v>1233</v>
      </c>
      <c r="D1866" t="s">
        <v>1027</v>
      </c>
      <c r="E1866">
        <v>63762</v>
      </c>
      <c r="F1866" t="s">
        <v>1234</v>
      </c>
      <c r="G1866" t="b">
        <v>0</v>
      </c>
      <c r="H1866" t="b">
        <v>0</v>
      </c>
      <c r="I1866" t="s">
        <v>1050</v>
      </c>
      <c r="J1866">
        <v>88</v>
      </c>
      <c r="K1866" t="s">
        <v>0</v>
      </c>
      <c r="L1866" t="s">
        <v>1167</v>
      </c>
      <c r="M1866" t="s">
        <v>1168</v>
      </c>
      <c r="N1866" t="s">
        <v>1169</v>
      </c>
      <c r="O1866" t="s">
        <v>1168</v>
      </c>
      <c r="P1866" t="s">
        <v>1235</v>
      </c>
    </row>
    <row r="1867" spans="1:16" x14ac:dyDescent="0.25">
      <c r="A1867" t="s">
        <v>4203</v>
      </c>
      <c r="B1867" t="s">
        <v>4204</v>
      </c>
      <c r="C1867" t="s">
        <v>1233</v>
      </c>
      <c r="D1867" t="s">
        <v>1027</v>
      </c>
      <c r="E1867">
        <v>63762</v>
      </c>
      <c r="F1867" t="s">
        <v>1234</v>
      </c>
      <c r="G1867" t="b">
        <v>0</v>
      </c>
      <c r="H1867" t="b">
        <v>0</v>
      </c>
      <c r="I1867" t="s">
        <v>1050</v>
      </c>
      <c r="J1867">
        <v>88</v>
      </c>
      <c r="K1867" t="s">
        <v>0</v>
      </c>
      <c r="L1867" t="s">
        <v>1167</v>
      </c>
      <c r="M1867" t="s">
        <v>1168</v>
      </c>
      <c r="N1867" t="s">
        <v>1169</v>
      </c>
      <c r="O1867" t="s">
        <v>1168</v>
      </c>
      <c r="P1867" t="s">
        <v>1235</v>
      </c>
    </row>
    <row r="1868" spans="1:16" x14ac:dyDescent="0.25">
      <c r="A1868" t="s">
        <v>4205</v>
      </c>
      <c r="B1868" t="s">
        <v>4206</v>
      </c>
      <c r="C1868" t="s">
        <v>1233</v>
      </c>
      <c r="D1868" t="s">
        <v>1027</v>
      </c>
      <c r="E1868">
        <v>63762</v>
      </c>
      <c r="F1868" t="s">
        <v>1234</v>
      </c>
      <c r="G1868" t="b">
        <v>0</v>
      </c>
      <c r="H1868" t="b">
        <v>0</v>
      </c>
      <c r="I1868" t="s">
        <v>1050</v>
      </c>
      <c r="J1868">
        <v>88</v>
      </c>
      <c r="K1868" t="s">
        <v>0</v>
      </c>
      <c r="L1868" t="s">
        <v>1167</v>
      </c>
      <c r="M1868" t="s">
        <v>1168</v>
      </c>
      <c r="N1868" t="s">
        <v>1169</v>
      </c>
      <c r="O1868" t="s">
        <v>1168</v>
      </c>
      <c r="P1868" t="s">
        <v>1235</v>
      </c>
    </row>
    <row r="1869" spans="1:16" x14ac:dyDescent="0.25">
      <c r="A1869" t="s">
        <v>4207</v>
      </c>
      <c r="B1869" t="s">
        <v>4208</v>
      </c>
      <c r="C1869" t="s">
        <v>1233</v>
      </c>
      <c r="D1869" t="s">
        <v>1027</v>
      </c>
      <c r="E1869">
        <v>63762</v>
      </c>
      <c r="F1869" t="s">
        <v>1234</v>
      </c>
      <c r="G1869" t="b">
        <v>0</v>
      </c>
      <c r="H1869" t="b">
        <v>0</v>
      </c>
      <c r="I1869" t="s">
        <v>1050</v>
      </c>
      <c r="J1869">
        <v>88</v>
      </c>
      <c r="K1869" t="s">
        <v>0</v>
      </c>
      <c r="L1869" t="s">
        <v>1167</v>
      </c>
      <c r="M1869" t="s">
        <v>1168</v>
      </c>
      <c r="N1869" t="s">
        <v>1169</v>
      </c>
      <c r="O1869" t="s">
        <v>1168</v>
      </c>
      <c r="P1869" t="s">
        <v>1235</v>
      </c>
    </row>
    <row r="1870" spans="1:16" x14ac:dyDescent="0.25">
      <c r="A1870" t="s">
        <v>4209</v>
      </c>
      <c r="B1870" t="s">
        <v>4210</v>
      </c>
      <c r="C1870" t="s">
        <v>1233</v>
      </c>
      <c r="D1870" t="s">
        <v>1027</v>
      </c>
      <c r="E1870">
        <v>63762</v>
      </c>
      <c r="F1870" t="s">
        <v>1234</v>
      </c>
      <c r="G1870" t="b">
        <v>0</v>
      </c>
      <c r="H1870" t="b">
        <v>0</v>
      </c>
      <c r="I1870" t="s">
        <v>1050</v>
      </c>
      <c r="J1870">
        <v>88</v>
      </c>
      <c r="K1870" t="s">
        <v>0</v>
      </c>
      <c r="L1870" t="s">
        <v>1167</v>
      </c>
      <c r="M1870" t="s">
        <v>1168</v>
      </c>
      <c r="N1870" t="s">
        <v>1169</v>
      </c>
      <c r="O1870" t="s">
        <v>1168</v>
      </c>
      <c r="P1870" t="s">
        <v>1235</v>
      </c>
    </row>
    <row r="1871" spans="1:16" x14ac:dyDescent="0.25">
      <c r="A1871" t="s">
        <v>4211</v>
      </c>
      <c r="B1871" t="s">
        <v>4212</v>
      </c>
      <c r="C1871" t="s">
        <v>1233</v>
      </c>
      <c r="D1871" t="s">
        <v>1027</v>
      </c>
      <c r="E1871">
        <v>63762</v>
      </c>
      <c r="F1871" t="s">
        <v>1234</v>
      </c>
      <c r="G1871" t="b">
        <v>0</v>
      </c>
      <c r="H1871" t="b">
        <v>0</v>
      </c>
      <c r="I1871" t="s">
        <v>1050</v>
      </c>
      <c r="J1871">
        <v>88</v>
      </c>
      <c r="K1871" t="s">
        <v>0</v>
      </c>
      <c r="L1871" t="s">
        <v>1167</v>
      </c>
      <c r="M1871" t="s">
        <v>1168</v>
      </c>
      <c r="N1871" t="s">
        <v>1169</v>
      </c>
      <c r="O1871" t="s">
        <v>1168</v>
      </c>
      <c r="P1871" t="s">
        <v>1235</v>
      </c>
    </row>
    <row r="1872" spans="1:16" x14ac:dyDescent="0.25">
      <c r="A1872" t="s">
        <v>4213</v>
      </c>
      <c r="B1872" t="s">
        <v>4214</v>
      </c>
      <c r="C1872" t="s">
        <v>1233</v>
      </c>
      <c r="D1872" t="s">
        <v>1027</v>
      </c>
      <c r="E1872">
        <v>63762</v>
      </c>
      <c r="F1872" t="s">
        <v>1234</v>
      </c>
      <c r="G1872" t="b">
        <v>0</v>
      </c>
      <c r="H1872" t="b">
        <v>0</v>
      </c>
      <c r="I1872" t="s">
        <v>1050</v>
      </c>
      <c r="J1872">
        <v>88</v>
      </c>
      <c r="K1872" t="s">
        <v>0</v>
      </c>
      <c r="L1872" t="s">
        <v>1167</v>
      </c>
      <c r="M1872" t="s">
        <v>1168</v>
      </c>
      <c r="N1872" t="s">
        <v>1169</v>
      </c>
      <c r="O1872" t="s">
        <v>1168</v>
      </c>
      <c r="P1872" t="s">
        <v>1235</v>
      </c>
    </row>
    <row r="1873" spans="1:16" x14ac:dyDescent="0.25">
      <c r="A1873" t="s">
        <v>4215</v>
      </c>
      <c r="B1873" t="s">
        <v>4216</v>
      </c>
      <c r="C1873" t="s">
        <v>1233</v>
      </c>
      <c r="D1873" t="s">
        <v>1027</v>
      </c>
      <c r="E1873">
        <v>63762</v>
      </c>
      <c r="F1873" t="s">
        <v>1234</v>
      </c>
      <c r="G1873" t="b">
        <v>0</v>
      </c>
      <c r="H1873" t="b">
        <v>0</v>
      </c>
      <c r="I1873" t="s">
        <v>1050</v>
      </c>
      <c r="J1873">
        <v>88</v>
      </c>
      <c r="K1873" t="s">
        <v>0</v>
      </c>
      <c r="L1873" t="s">
        <v>1167</v>
      </c>
      <c r="M1873" t="s">
        <v>1168</v>
      </c>
      <c r="N1873" t="s">
        <v>1169</v>
      </c>
      <c r="O1873" t="s">
        <v>1168</v>
      </c>
      <c r="P1873" t="s">
        <v>1235</v>
      </c>
    </row>
    <row r="1874" spans="1:16" x14ac:dyDescent="0.25">
      <c r="A1874" t="s">
        <v>4217</v>
      </c>
      <c r="B1874" t="s">
        <v>4218</v>
      </c>
      <c r="C1874" t="s">
        <v>1233</v>
      </c>
      <c r="D1874" t="s">
        <v>1027</v>
      </c>
      <c r="E1874">
        <v>63762</v>
      </c>
      <c r="F1874" t="s">
        <v>1234</v>
      </c>
      <c r="G1874" t="b">
        <v>0</v>
      </c>
      <c r="H1874" t="b">
        <v>0</v>
      </c>
      <c r="I1874" t="s">
        <v>1050</v>
      </c>
      <c r="J1874">
        <v>88</v>
      </c>
      <c r="K1874" t="s">
        <v>0</v>
      </c>
      <c r="L1874" t="s">
        <v>1167</v>
      </c>
      <c r="M1874" t="s">
        <v>1168</v>
      </c>
      <c r="N1874" t="s">
        <v>1169</v>
      </c>
      <c r="O1874" t="s">
        <v>1168</v>
      </c>
      <c r="P1874" t="s">
        <v>1235</v>
      </c>
    </row>
    <row r="1875" spans="1:16" x14ac:dyDescent="0.25">
      <c r="A1875" t="s">
        <v>4219</v>
      </c>
      <c r="B1875" t="s">
        <v>4220</v>
      </c>
      <c r="C1875" t="s">
        <v>1233</v>
      </c>
      <c r="D1875" t="s">
        <v>1027</v>
      </c>
      <c r="E1875">
        <v>63762</v>
      </c>
      <c r="F1875" t="s">
        <v>1234</v>
      </c>
      <c r="G1875" t="b">
        <v>0</v>
      </c>
      <c r="H1875" t="b">
        <v>0</v>
      </c>
      <c r="I1875" t="s">
        <v>1050</v>
      </c>
      <c r="J1875">
        <v>88</v>
      </c>
      <c r="K1875" t="s">
        <v>0</v>
      </c>
      <c r="L1875" t="s">
        <v>1167</v>
      </c>
      <c r="M1875" t="s">
        <v>1168</v>
      </c>
      <c r="N1875" t="s">
        <v>1169</v>
      </c>
      <c r="O1875" t="s">
        <v>1168</v>
      </c>
      <c r="P1875" t="s">
        <v>1235</v>
      </c>
    </row>
    <row r="1876" spans="1:16" x14ac:dyDescent="0.25">
      <c r="A1876" t="s">
        <v>4221</v>
      </c>
      <c r="B1876" t="s">
        <v>4222</v>
      </c>
      <c r="C1876" t="s">
        <v>1233</v>
      </c>
      <c r="D1876" t="s">
        <v>1027</v>
      </c>
      <c r="E1876">
        <v>63762</v>
      </c>
      <c r="F1876" t="s">
        <v>1234</v>
      </c>
      <c r="G1876" t="b">
        <v>0</v>
      </c>
      <c r="H1876" t="b">
        <v>0</v>
      </c>
      <c r="I1876" t="s">
        <v>1050</v>
      </c>
      <c r="J1876">
        <v>88</v>
      </c>
      <c r="K1876" t="s">
        <v>0</v>
      </c>
      <c r="L1876" t="s">
        <v>1167</v>
      </c>
      <c r="M1876" t="s">
        <v>1168</v>
      </c>
      <c r="N1876" t="s">
        <v>1169</v>
      </c>
      <c r="O1876" t="s">
        <v>1168</v>
      </c>
      <c r="P1876" t="s">
        <v>1235</v>
      </c>
    </row>
    <row r="1877" spans="1:16" x14ac:dyDescent="0.25">
      <c r="A1877" t="s">
        <v>4223</v>
      </c>
      <c r="B1877" t="s">
        <v>4224</v>
      </c>
      <c r="C1877" t="s">
        <v>1233</v>
      </c>
      <c r="D1877" t="s">
        <v>1027</v>
      </c>
      <c r="E1877">
        <v>63762</v>
      </c>
      <c r="F1877" t="s">
        <v>1234</v>
      </c>
      <c r="G1877" t="b">
        <v>0</v>
      </c>
      <c r="H1877" t="b">
        <v>0</v>
      </c>
      <c r="I1877" t="s">
        <v>1050</v>
      </c>
      <c r="J1877">
        <v>88</v>
      </c>
      <c r="K1877" t="s">
        <v>0</v>
      </c>
      <c r="L1877" t="s">
        <v>1167</v>
      </c>
      <c r="M1877" t="s">
        <v>1168</v>
      </c>
      <c r="N1877" t="s">
        <v>1169</v>
      </c>
      <c r="O1877" t="s">
        <v>1168</v>
      </c>
      <c r="P1877" t="s">
        <v>1235</v>
      </c>
    </row>
    <row r="1878" spans="1:16" x14ac:dyDescent="0.25">
      <c r="A1878" t="s">
        <v>4225</v>
      </c>
      <c r="B1878" t="s">
        <v>4226</v>
      </c>
      <c r="C1878" t="s">
        <v>1233</v>
      </c>
      <c r="D1878" t="s">
        <v>1027</v>
      </c>
      <c r="E1878">
        <v>63762</v>
      </c>
      <c r="F1878" t="s">
        <v>1234</v>
      </c>
      <c r="G1878" t="b">
        <v>0</v>
      </c>
      <c r="H1878" t="b">
        <v>0</v>
      </c>
      <c r="I1878" t="s">
        <v>1050</v>
      </c>
      <c r="J1878">
        <v>88</v>
      </c>
      <c r="K1878" t="s">
        <v>0</v>
      </c>
      <c r="L1878" t="s">
        <v>1167</v>
      </c>
      <c r="M1878" t="s">
        <v>1168</v>
      </c>
      <c r="N1878" t="s">
        <v>1169</v>
      </c>
      <c r="O1878" t="s">
        <v>1168</v>
      </c>
      <c r="P1878" t="s">
        <v>1235</v>
      </c>
    </row>
    <row r="1879" spans="1:16" x14ac:dyDescent="0.25">
      <c r="A1879" t="s">
        <v>4227</v>
      </c>
      <c r="B1879" t="s">
        <v>4228</v>
      </c>
      <c r="C1879" t="s">
        <v>1233</v>
      </c>
      <c r="D1879" t="s">
        <v>1027</v>
      </c>
      <c r="E1879">
        <v>63762</v>
      </c>
      <c r="F1879" t="s">
        <v>1234</v>
      </c>
      <c r="G1879" t="b">
        <v>0</v>
      </c>
      <c r="H1879" t="b">
        <v>0</v>
      </c>
      <c r="I1879" t="s">
        <v>1050</v>
      </c>
      <c r="J1879">
        <v>88</v>
      </c>
      <c r="K1879" t="s">
        <v>0</v>
      </c>
      <c r="L1879" t="s">
        <v>1167</v>
      </c>
      <c r="M1879" t="s">
        <v>1168</v>
      </c>
      <c r="N1879" t="s">
        <v>1169</v>
      </c>
      <c r="O1879" t="s">
        <v>1168</v>
      </c>
      <c r="P1879" t="s">
        <v>1235</v>
      </c>
    </row>
    <row r="1880" spans="1:16" x14ac:dyDescent="0.25">
      <c r="A1880" t="s">
        <v>4229</v>
      </c>
      <c r="B1880" t="s">
        <v>4230</v>
      </c>
      <c r="C1880" t="s">
        <v>1233</v>
      </c>
      <c r="D1880" t="s">
        <v>1027</v>
      </c>
      <c r="E1880">
        <v>63762</v>
      </c>
      <c r="F1880" t="s">
        <v>1234</v>
      </c>
      <c r="G1880" t="b">
        <v>0</v>
      </c>
      <c r="H1880" t="b">
        <v>0</v>
      </c>
      <c r="I1880" t="s">
        <v>1050</v>
      </c>
      <c r="J1880">
        <v>88</v>
      </c>
      <c r="K1880" t="s">
        <v>0</v>
      </c>
      <c r="L1880" t="s">
        <v>1167</v>
      </c>
      <c r="M1880" t="s">
        <v>1168</v>
      </c>
      <c r="N1880" t="s">
        <v>1169</v>
      </c>
      <c r="O1880" t="s">
        <v>1168</v>
      </c>
      <c r="P1880" t="s">
        <v>1235</v>
      </c>
    </row>
    <row r="1881" spans="1:16" x14ac:dyDescent="0.25">
      <c r="A1881" t="s">
        <v>4231</v>
      </c>
      <c r="B1881" t="s">
        <v>4232</v>
      </c>
      <c r="C1881" t="s">
        <v>1233</v>
      </c>
      <c r="D1881" t="s">
        <v>1027</v>
      </c>
      <c r="E1881">
        <v>63762</v>
      </c>
      <c r="F1881" t="s">
        <v>1234</v>
      </c>
      <c r="G1881" t="b">
        <v>0</v>
      </c>
      <c r="H1881" t="b">
        <v>0</v>
      </c>
      <c r="I1881" t="s">
        <v>1050</v>
      </c>
      <c r="J1881">
        <v>88</v>
      </c>
      <c r="K1881" t="s">
        <v>0</v>
      </c>
      <c r="L1881" t="s">
        <v>1167</v>
      </c>
      <c r="M1881" t="s">
        <v>1168</v>
      </c>
      <c r="N1881" t="s">
        <v>1169</v>
      </c>
      <c r="O1881" t="s">
        <v>1168</v>
      </c>
      <c r="P1881" t="s">
        <v>1235</v>
      </c>
    </row>
    <row r="1882" spans="1:16" x14ac:dyDescent="0.25">
      <c r="A1882" t="s">
        <v>4233</v>
      </c>
      <c r="B1882" t="s">
        <v>4234</v>
      </c>
      <c r="C1882" t="s">
        <v>1233</v>
      </c>
      <c r="D1882" t="s">
        <v>1027</v>
      </c>
      <c r="E1882">
        <v>63762</v>
      </c>
      <c r="F1882" t="s">
        <v>1234</v>
      </c>
      <c r="G1882" t="b">
        <v>0</v>
      </c>
      <c r="H1882" t="b">
        <v>0</v>
      </c>
      <c r="I1882" t="s">
        <v>1050</v>
      </c>
      <c r="J1882">
        <v>88</v>
      </c>
      <c r="K1882" t="s">
        <v>0</v>
      </c>
      <c r="L1882" t="s">
        <v>1167</v>
      </c>
      <c r="M1882" t="s">
        <v>1168</v>
      </c>
      <c r="N1882" t="s">
        <v>1169</v>
      </c>
      <c r="O1882" t="s">
        <v>1168</v>
      </c>
      <c r="P1882" t="s">
        <v>1235</v>
      </c>
    </row>
    <row r="1883" spans="1:16" x14ac:dyDescent="0.25">
      <c r="A1883" t="s">
        <v>4235</v>
      </c>
      <c r="B1883" t="s">
        <v>4236</v>
      </c>
      <c r="C1883" t="s">
        <v>1233</v>
      </c>
      <c r="D1883" t="s">
        <v>1027</v>
      </c>
      <c r="E1883">
        <v>63762</v>
      </c>
      <c r="F1883" t="s">
        <v>1234</v>
      </c>
      <c r="G1883" t="b">
        <v>0</v>
      </c>
      <c r="H1883" t="b">
        <v>0</v>
      </c>
      <c r="I1883" t="s">
        <v>1050</v>
      </c>
      <c r="J1883">
        <v>88</v>
      </c>
      <c r="K1883" t="s">
        <v>0</v>
      </c>
      <c r="L1883" t="s">
        <v>1167</v>
      </c>
      <c r="M1883" t="s">
        <v>1168</v>
      </c>
      <c r="N1883" t="s">
        <v>1169</v>
      </c>
      <c r="O1883" t="s">
        <v>1168</v>
      </c>
      <c r="P1883" t="s">
        <v>1235</v>
      </c>
    </row>
    <row r="1884" spans="1:16" x14ac:dyDescent="0.25">
      <c r="A1884" t="s">
        <v>4237</v>
      </c>
      <c r="B1884" t="s">
        <v>4238</v>
      </c>
      <c r="C1884" t="s">
        <v>1233</v>
      </c>
      <c r="D1884" t="s">
        <v>1027</v>
      </c>
      <c r="E1884">
        <v>63762</v>
      </c>
      <c r="F1884" t="s">
        <v>1234</v>
      </c>
      <c r="G1884" t="b">
        <v>0</v>
      </c>
      <c r="H1884" t="b">
        <v>0</v>
      </c>
      <c r="I1884" t="s">
        <v>1050</v>
      </c>
      <c r="J1884">
        <v>88</v>
      </c>
      <c r="K1884" t="s">
        <v>0</v>
      </c>
      <c r="L1884" t="s">
        <v>1167</v>
      </c>
      <c r="M1884" t="s">
        <v>1168</v>
      </c>
      <c r="N1884" t="s">
        <v>1169</v>
      </c>
      <c r="O1884" t="s">
        <v>1168</v>
      </c>
      <c r="P1884" t="s">
        <v>1235</v>
      </c>
    </row>
    <row r="1885" spans="1:16" x14ac:dyDescent="0.25">
      <c r="A1885" t="s">
        <v>4239</v>
      </c>
      <c r="B1885" t="s">
        <v>4240</v>
      </c>
      <c r="C1885" t="s">
        <v>1233</v>
      </c>
      <c r="D1885" t="s">
        <v>1027</v>
      </c>
      <c r="E1885">
        <v>63762</v>
      </c>
      <c r="F1885" t="s">
        <v>1234</v>
      </c>
      <c r="G1885" t="b">
        <v>0</v>
      </c>
      <c r="H1885" t="b">
        <v>0</v>
      </c>
      <c r="I1885" t="s">
        <v>1050</v>
      </c>
      <c r="J1885">
        <v>88</v>
      </c>
      <c r="K1885" t="s">
        <v>0</v>
      </c>
      <c r="L1885" t="s">
        <v>1167</v>
      </c>
      <c r="M1885" t="s">
        <v>1168</v>
      </c>
      <c r="N1885" t="s">
        <v>1169</v>
      </c>
      <c r="O1885" t="s">
        <v>1168</v>
      </c>
      <c r="P1885" t="s">
        <v>1235</v>
      </c>
    </row>
    <row r="1886" spans="1:16" x14ac:dyDescent="0.25">
      <c r="A1886" t="s">
        <v>4241</v>
      </c>
      <c r="B1886" t="s">
        <v>4242</v>
      </c>
      <c r="C1886" t="s">
        <v>1233</v>
      </c>
      <c r="D1886" t="s">
        <v>1027</v>
      </c>
      <c r="E1886">
        <v>63762</v>
      </c>
      <c r="F1886" t="s">
        <v>1234</v>
      </c>
      <c r="G1886" t="b">
        <v>0</v>
      </c>
      <c r="H1886" t="b">
        <v>0</v>
      </c>
      <c r="I1886" t="s">
        <v>1050</v>
      </c>
      <c r="J1886">
        <v>88</v>
      </c>
      <c r="K1886" t="s">
        <v>0</v>
      </c>
      <c r="L1886" t="s">
        <v>1167</v>
      </c>
      <c r="M1886" t="s">
        <v>1168</v>
      </c>
      <c r="N1886" t="s">
        <v>1169</v>
      </c>
      <c r="O1886" t="s">
        <v>1168</v>
      </c>
      <c r="P1886" t="s">
        <v>1235</v>
      </c>
    </row>
    <row r="1887" spans="1:16" x14ac:dyDescent="0.25">
      <c r="A1887" t="s">
        <v>4243</v>
      </c>
      <c r="B1887" t="s">
        <v>4244</v>
      </c>
      <c r="C1887" t="s">
        <v>1571</v>
      </c>
      <c r="D1887" t="s">
        <v>1027</v>
      </c>
      <c r="E1887">
        <v>63767</v>
      </c>
      <c r="G1887" t="b">
        <v>0</v>
      </c>
      <c r="H1887" t="b">
        <v>0</v>
      </c>
      <c r="I1887" t="s">
        <v>1050</v>
      </c>
      <c r="J1887">
        <v>80</v>
      </c>
      <c r="K1887" t="s">
        <v>0</v>
      </c>
      <c r="L1887" t="s">
        <v>1167</v>
      </c>
      <c r="M1887" t="s">
        <v>1168</v>
      </c>
      <c r="N1887" t="s">
        <v>1169</v>
      </c>
      <c r="O1887" t="s">
        <v>1168</v>
      </c>
      <c r="P1887" t="s">
        <v>1283</v>
      </c>
    </row>
    <row r="1888" spans="1:16" x14ac:dyDescent="0.25">
      <c r="A1888" t="s">
        <v>4245</v>
      </c>
      <c r="B1888" t="s">
        <v>4246</v>
      </c>
      <c r="C1888" t="s">
        <v>1571</v>
      </c>
      <c r="D1888" t="s">
        <v>1027</v>
      </c>
      <c r="E1888">
        <v>63767</v>
      </c>
      <c r="G1888" t="b">
        <v>0</v>
      </c>
      <c r="H1888" t="b">
        <v>0</v>
      </c>
      <c r="I1888" t="s">
        <v>1050</v>
      </c>
      <c r="J1888">
        <v>80</v>
      </c>
      <c r="K1888" t="s">
        <v>0</v>
      </c>
      <c r="L1888" t="s">
        <v>1167</v>
      </c>
      <c r="M1888" t="s">
        <v>1168</v>
      </c>
      <c r="N1888" t="s">
        <v>1169</v>
      </c>
      <c r="O1888" t="s">
        <v>1168</v>
      </c>
      <c r="P1888" t="s">
        <v>1283</v>
      </c>
    </row>
    <row r="1889" spans="1:16" x14ac:dyDescent="0.25">
      <c r="A1889" t="s">
        <v>4247</v>
      </c>
      <c r="B1889" t="s">
        <v>4248</v>
      </c>
      <c r="C1889" t="s">
        <v>1571</v>
      </c>
      <c r="D1889" t="s">
        <v>1027</v>
      </c>
      <c r="E1889">
        <v>63767</v>
      </c>
      <c r="G1889" t="b">
        <v>0</v>
      </c>
      <c r="H1889" t="b">
        <v>0</v>
      </c>
      <c r="I1889" t="s">
        <v>1050</v>
      </c>
      <c r="J1889">
        <v>80</v>
      </c>
      <c r="K1889" t="s">
        <v>0</v>
      </c>
      <c r="L1889" t="s">
        <v>1167</v>
      </c>
      <c r="M1889" t="s">
        <v>1168</v>
      </c>
      <c r="N1889" t="s">
        <v>1169</v>
      </c>
      <c r="O1889" t="s">
        <v>1168</v>
      </c>
      <c r="P1889" t="s">
        <v>1283</v>
      </c>
    </row>
    <row r="1890" spans="1:16" x14ac:dyDescent="0.25">
      <c r="A1890" t="s">
        <v>4249</v>
      </c>
      <c r="B1890" t="s">
        <v>4250</v>
      </c>
      <c r="C1890" t="s">
        <v>1571</v>
      </c>
      <c r="D1890" t="s">
        <v>1027</v>
      </c>
      <c r="E1890">
        <v>63767</v>
      </c>
      <c r="G1890" t="b">
        <v>0</v>
      </c>
      <c r="H1890" t="b">
        <v>0</v>
      </c>
      <c r="I1890" t="s">
        <v>1050</v>
      </c>
      <c r="J1890">
        <v>80</v>
      </c>
      <c r="K1890" t="s">
        <v>0</v>
      </c>
      <c r="L1890" t="s">
        <v>1167</v>
      </c>
      <c r="M1890" t="s">
        <v>1168</v>
      </c>
      <c r="N1890" t="s">
        <v>1169</v>
      </c>
      <c r="O1890" t="s">
        <v>1168</v>
      </c>
      <c r="P1890" t="s">
        <v>1283</v>
      </c>
    </row>
    <row r="1891" spans="1:16" x14ac:dyDescent="0.25">
      <c r="A1891" t="s">
        <v>4251</v>
      </c>
      <c r="B1891" t="s">
        <v>4252</v>
      </c>
      <c r="C1891" t="s">
        <v>1571</v>
      </c>
      <c r="D1891" t="s">
        <v>1027</v>
      </c>
      <c r="E1891">
        <v>63767</v>
      </c>
      <c r="G1891" t="b">
        <v>0</v>
      </c>
      <c r="H1891" t="b">
        <v>0</v>
      </c>
      <c r="I1891" t="s">
        <v>1050</v>
      </c>
      <c r="J1891">
        <v>80</v>
      </c>
      <c r="K1891" t="s">
        <v>0</v>
      </c>
      <c r="L1891" t="s">
        <v>1167</v>
      </c>
      <c r="M1891" t="s">
        <v>1168</v>
      </c>
      <c r="N1891" t="s">
        <v>1169</v>
      </c>
      <c r="O1891" t="s">
        <v>1168</v>
      </c>
      <c r="P1891" t="s">
        <v>1283</v>
      </c>
    </row>
    <row r="1892" spans="1:16" x14ac:dyDescent="0.25">
      <c r="A1892" t="s">
        <v>4253</v>
      </c>
      <c r="B1892" t="s">
        <v>4254</v>
      </c>
      <c r="C1892" t="s">
        <v>1571</v>
      </c>
      <c r="D1892" t="s">
        <v>1027</v>
      </c>
      <c r="E1892">
        <v>63767</v>
      </c>
      <c r="G1892" t="b">
        <v>0</v>
      </c>
      <c r="H1892" t="b">
        <v>0</v>
      </c>
      <c r="I1892" t="s">
        <v>1050</v>
      </c>
      <c r="J1892">
        <v>80</v>
      </c>
      <c r="K1892" t="s">
        <v>0</v>
      </c>
      <c r="L1892" t="s">
        <v>1167</v>
      </c>
      <c r="M1892" t="s">
        <v>1168</v>
      </c>
      <c r="N1892" t="s">
        <v>1169</v>
      </c>
      <c r="O1892" t="s">
        <v>1168</v>
      </c>
      <c r="P1892" t="s">
        <v>1283</v>
      </c>
    </row>
    <row r="1893" spans="1:16" x14ac:dyDescent="0.25">
      <c r="A1893" t="s">
        <v>4255</v>
      </c>
      <c r="B1893" t="s">
        <v>4256</v>
      </c>
      <c r="C1893" t="s">
        <v>1571</v>
      </c>
      <c r="D1893" t="s">
        <v>1027</v>
      </c>
      <c r="E1893">
        <v>63767</v>
      </c>
      <c r="G1893" t="b">
        <v>0</v>
      </c>
      <c r="H1893" t="b">
        <v>0</v>
      </c>
      <c r="I1893" t="s">
        <v>1050</v>
      </c>
      <c r="J1893">
        <v>80</v>
      </c>
      <c r="K1893" t="s">
        <v>0</v>
      </c>
      <c r="L1893" t="s">
        <v>1167</v>
      </c>
      <c r="M1893" t="s">
        <v>1168</v>
      </c>
      <c r="N1893" t="s">
        <v>1169</v>
      </c>
      <c r="O1893" t="s">
        <v>1168</v>
      </c>
      <c r="P1893" t="s">
        <v>1283</v>
      </c>
    </row>
    <row r="1894" spans="1:16" x14ac:dyDescent="0.25">
      <c r="A1894" t="s">
        <v>4257</v>
      </c>
      <c r="B1894" t="s">
        <v>4258</v>
      </c>
      <c r="C1894" t="s">
        <v>1571</v>
      </c>
      <c r="D1894" t="s">
        <v>1027</v>
      </c>
      <c r="E1894">
        <v>63767</v>
      </c>
      <c r="G1894" t="b">
        <v>0</v>
      </c>
      <c r="H1894" t="b">
        <v>0</v>
      </c>
      <c r="I1894" t="s">
        <v>1050</v>
      </c>
      <c r="J1894">
        <v>80</v>
      </c>
      <c r="K1894" t="s">
        <v>0</v>
      </c>
      <c r="L1894" t="s">
        <v>1167</v>
      </c>
      <c r="M1894" t="s">
        <v>1168</v>
      </c>
      <c r="N1894" t="s">
        <v>1169</v>
      </c>
      <c r="O1894" t="s">
        <v>1168</v>
      </c>
      <c r="P1894" t="s">
        <v>1283</v>
      </c>
    </row>
    <row r="1895" spans="1:16" x14ac:dyDescent="0.25">
      <c r="A1895" t="s">
        <v>4259</v>
      </c>
      <c r="B1895" t="s">
        <v>4260</v>
      </c>
      <c r="C1895" t="s">
        <v>1571</v>
      </c>
      <c r="D1895" t="s">
        <v>1027</v>
      </c>
      <c r="E1895">
        <v>63767</v>
      </c>
      <c r="G1895" t="b">
        <v>0</v>
      </c>
      <c r="H1895" t="b">
        <v>0</v>
      </c>
      <c r="I1895" t="s">
        <v>1050</v>
      </c>
      <c r="J1895">
        <v>80</v>
      </c>
      <c r="K1895" t="s">
        <v>0</v>
      </c>
      <c r="L1895" t="s">
        <v>1167</v>
      </c>
      <c r="M1895" t="s">
        <v>1168</v>
      </c>
      <c r="N1895" t="s">
        <v>1169</v>
      </c>
      <c r="O1895" t="s">
        <v>1168</v>
      </c>
      <c r="P1895" t="s">
        <v>1283</v>
      </c>
    </row>
    <row r="1896" spans="1:16" x14ac:dyDescent="0.25">
      <c r="A1896" t="s">
        <v>4261</v>
      </c>
      <c r="B1896" t="s">
        <v>4262</v>
      </c>
      <c r="C1896" t="s">
        <v>1571</v>
      </c>
      <c r="D1896" t="s">
        <v>1027</v>
      </c>
      <c r="E1896">
        <v>63767</v>
      </c>
      <c r="G1896" t="b">
        <v>0</v>
      </c>
      <c r="H1896" t="b">
        <v>0</v>
      </c>
      <c r="I1896" t="s">
        <v>1050</v>
      </c>
      <c r="J1896">
        <v>80</v>
      </c>
      <c r="K1896" t="s">
        <v>0</v>
      </c>
      <c r="L1896" t="s">
        <v>1167</v>
      </c>
      <c r="M1896" t="s">
        <v>1168</v>
      </c>
      <c r="N1896" t="s">
        <v>1169</v>
      </c>
      <c r="O1896" t="s">
        <v>1168</v>
      </c>
      <c r="P1896" t="s">
        <v>1283</v>
      </c>
    </row>
    <row r="1897" spans="1:16" x14ac:dyDescent="0.25">
      <c r="A1897" t="s">
        <v>4263</v>
      </c>
      <c r="B1897" t="s">
        <v>4264</v>
      </c>
      <c r="C1897" t="s">
        <v>1571</v>
      </c>
      <c r="D1897" t="s">
        <v>1027</v>
      </c>
      <c r="E1897">
        <v>63767</v>
      </c>
      <c r="G1897" t="b">
        <v>0</v>
      </c>
      <c r="H1897" t="b">
        <v>0</v>
      </c>
      <c r="I1897" t="s">
        <v>1050</v>
      </c>
      <c r="J1897">
        <v>80</v>
      </c>
      <c r="K1897" t="s">
        <v>0</v>
      </c>
      <c r="L1897" t="s">
        <v>1167</v>
      </c>
      <c r="M1897" t="s">
        <v>1168</v>
      </c>
      <c r="N1897" t="s">
        <v>1169</v>
      </c>
      <c r="O1897" t="s">
        <v>1168</v>
      </c>
      <c r="P1897" t="s">
        <v>1283</v>
      </c>
    </row>
    <row r="1898" spans="1:16" x14ac:dyDescent="0.25">
      <c r="A1898" t="s">
        <v>4265</v>
      </c>
      <c r="B1898" t="s">
        <v>4266</v>
      </c>
      <c r="C1898" t="s">
        <v>1571</v>
      </c>
      <c r="D1898" t="s">
        <v>1027</v>
      </c>
      <c r="E1898">
        <v>63767</v>
      </c>
      <c r="G1898" t="b">
        <v>0</v>
      </c>
      <c r="H1898" t="b">
        <v>0</v>
      </c>
      <c r="I1898" t="s">
        <v>1050</v>
      </c>
      <c r="J1898">
        <v>80</v>
      </c>
      <c r="K1898" t="s">
        <v>0</v>
      </c>
      <c r="L1898" t="s">
        <v>1167</v>
      </c>
      <c r="M1898" t="s">
        <v>1168</v>
      </c>
      <c r="N1898" t="s">
        <v>1169</v>
      </c>
      <c r="O1898" t="s">
        <v>1168</v>
      </c>
      <c r="P1898" t="s">
        <v>1283</v>
      </c>
    </row>
    <row r="1899" spans="1:16" x14ac:dyDescent="0.25">
      <c r="A1899" t="s">
        <v>4267</v>
      </c>
      <c r="B1899" t="s">
        <v>4268</v>
      </c>
      <c r="C1899" t="s">
        <v>1571</v>
      </c>
      <c r="D1899" t="s">
        <v>1027</v>
      </c>
      <c r="E1899">
        <v>63767</v>
      </c>
      <c r="G1899" t="b">
        <v>0</v>
      </c>
      <c r="H1899" t="b">
        <v>0</v>
      </c>
      <c r="I1899" t="s">
        <v>1050</v>
      </c>
      <c r="J1899">
        <v>80</v>
      </c>
      <c r="K1899" t="s">
        <v>0</v>
      </c>
      <c r="L1899" t="s">
        <v>1167</v>
      </c>
      <c r="M1899" t="s">
        <v>1168</v>
      </c>
      <c r="N1899" t="s">
        <v>1169</v>
      </c>
      <c r="O1899" t="s">
        <v>1168</v>
      </c>
      <c r="P1899" t="s">
        <v>1283</v>
      </c>
    </row>
    <row r="1900" spans="1:16" x14ac:dyDescent="0.25">
      <c r="A1900" t="s">
        <v>4269</v>
      </c>
      <c r="B1900" t="s">
        <v>4270</v>
      </c>
      <c r="C1900" t="s">
        <v>1571</v>
      </c>
      <c r="D1900" t="s">
        <v>1027</v>
      </c>
      <c r="E1900">
        <v>63767</v>
      </c>
      <c r="G1900" t="b">
        <v>0</v>
      </c>
      <c r="H1900" t="b">
        <v>0</v>
      </c>
      <c r="I1900" t="s">
        <v>1050</v>
      </c>
      <c r="J1900">
        <v>80</v>
      </c>
      <c r="K1900" t="s">
        <v>0</v>
      </c>
      <c r="L1900" t="s">
        <v>1167</v>
      </c>
      <c r="M1900" t="s">
        <v>1168</v>
      </c>
      <c r="N1900" t="s">
        <v>1169</v>
      </c>
      <c r="O1900" t="s">
        <v>1168</v>
      </c>
      <c r="P1900" t="s">
        <v>1283</v>
      </c>
    </row>
    <row r="1901" spans="1:16" x14ac:dyDescent="0.25">
      <c r="A1901" t="s">
        <v>4271</v>
      </c>
      <c r="B1901" t="s">
        <v>4272</v>
      </c>
      <c r="C1901" t="s">
        <v>1571</v>
      </c>
      <c r="D1901" t="s">
        <v>1027</v>
      </c>
      <c r="E1901">
        <v>63767</v>
      </c>
      <c r="G1901" t="b">
        <v>0</v>
      </c>
      <c r="H1901" t="b">
        <v>0</v>
      </c>
      <c r="I1901" t="s">
        <v>1050</v>
      </c>
      <c r="J1901">
        <v>80</v>
      </c>
      <c r="K1901" t="s">
        <v>0</v>
      </c>
      <c r="L1901" t="s">
        <v>1167</v>
      </c>
      <c r="M1901" t="s">
        <v>1168</v>
      </c>
      <c r="N1901" t="s">
        <v>1169</v>
      </c>
      <c r="O1901" t="s">
        <v>1168</v>
      </c>
      <c r="P1901" t="s">
        <v>1283</v>
      </c>
    </row>
    <row r="1902" spans="1:16" x14ac:dyDescent="0.25">
      <c r="A1902" t="s">
        <v>4273</v>
      </c>
      <c r="B1902" t="s">
        <v>4274</v>
      </c>
      <c r="C1902" t="s">
        <v>1571</v>
      </c>
      <c r="D1902" t="s">
        <v>1027</v>
      </c>
      <c r="E1902">
        <v>63767</v>
      </c>
      <c r="G1902" t="b">
        <v>0</v>
      </c>
      <c r="H1902" t="b">
        <v>0</v>
      </c>
      <c r="I1902" t="s">
        <v>1050</v>
      </c>
      <c r="J1902">
        <v>80</v>
      </c>
      <c r="K1902" t="s">
        <v>0</v>
      </c>
      <c r="L1902" t="s">
        <v>1167</v>
      </c>
      <c r="M1902" t="s">
        <v>1168</v>
      </c>
      <c r="N1902" t="s">
        <v>1169</v>
      </c>
      <c r="O1902" t="s">
        <v>1168</v>
      </c>
      <c r="P1902" t="s">
        <v>1283</v>
      </c>
    </row>
    <row r="1903" spans="1:16" x14ac:dyDescent="0.25">
      <c r="A1903" t="s">
        <v>4275</v>
      </c>
      <c r="B1903" t="s">
        <v>4276</v>
      </c>
      <c r="C1903" t="s">
        <v>1571</v>
      </c>
      <c r="D1903" t="s">
        <v>1027</v>
      </c>
      <c r="E1903">
        <v>63767</v>
      </c>
      <c r="G1903" t="b">
        <v>0</v>
      </c>
      <c r="H1903" t="b">
        <v>0</v>
      </c>
      <c r="I1903" t="s">
        <v>1050</v>
      </c>
      <c r="J1903">
        <v>80</v>
      </c>
      <c r="K1903" t="s">
        <v>0</v>
      </c>
      <c r="L1903" t="s">
        <v>1167</v>
      </c>
      <c r="M1903" t="s">
        <v>1168</v>
      </c>
      <c r="N1903" t="s">
        <v>1169</v>
      </c>
      <c r="O1903" t="s">
        <v>1168</v>
      </c>
      <c r="P1903" t="s">
        <v>1283</v>
      </c>
    </row>
    <row r="1904" spans="1:16" x14ac:dyDescent="0.25">
      <c r="A1904" t="s">
        <v>4277</v>
      </c>
      <c r="B1904" t="s">
        <v>4278</v>
      </c>
      <c r="C1904" t="s">
        <v>1571</v>
      </c>
      <c r="D1904" t="s">
        <v>1027</v>
      </c>
      <c r="E1904">
        <v>63767</v>
      </c>
      <c r="G1904" t="b">
        <v>0</v>
      </c>
      <c r="H1904" t="b">
        <v>0</v>
      </c>
      <c r="I1904" t="s">
        <v>1050</v>
      </c>
      <c r="J1904">
        <v>80</v>
      </c>
      <c r="K1904" t="s">
        <v>0</v>
      </c>
      <c r="L1904" t="s">
        <v>1167</v>
      </c>
      <c r="M1904" t="s">
        <v>1168</v>
      </c>
      <c r="N1904" t="s">
        <v>1169</v>
      </c>
      <c r="O1904" t="s">
        <v>1168</v>
      </c>
      <c r="P1904" t="s">
        <v>1283</v>
      </c>
    </row>
    <row r="1905" spans="1:16" x14ac:dyDescent="0.25">
      <c r="A1905" t="s">
        <v>4279</v>
      </c>
      <c r="B1905" t="s">
        <v>4280</v>
      </c>
      <c r="C1905" t="s">
        <v>2026</v>
      </c>
      <c r="D1905" t="s">
        <v>1027</v>
      </c>
      <c r="E1905">
        <v>1336</v>
      </c>
      <c r="F1905" t="s">
        <v>2027</v>
      </c>
      <c r="G1905" t="b">
        <v>0</v>
      </c>
      <c r="H1905" t="b">
        <v>0</v>
      </c>
      <c r="I1905" t="s">
        <v>1050</v>
      </c>
      <c r="J1905">
        <v>80</v>
      </c>
      <c r="K1905" t="s">
        <v>0</v>
      </c>
      <c r="L1905" t="s">
        <v>1167</v>
      </c>
      <c r="M1905" t="s">
        <v>1168</v>
      </c>
      <c r="N1905" t="s">
        <v>1169</v>
      </c>
      <c r="O1905" t="s">
        <v>1168</v>
      </c>
      <c r="P1905" t="s">
        <v>2028</v>
      </c>
    </row>
    <row r="1906" spans="1:16" x14ac:dyDescent="0.25">
      <c r="A1906" t="s">
        <v>4281</v>
      </c>
      <c r="B1906" t="s">
        <v>4282</v>
      </c>
      <c r="C1906" t="s">
        <v>1571</v>
      </c>
      <c r="D1906" t="s">
        <v>1027</v>
      </c>
      <c r="E1906">
        <v>63767</v>
      </c>
      <c r="G1906" t="b">
        <v>0</v>
      </c>
      <c r="H1906" t="b">
        <v>0</v>
      </c>
      <c r="I1906" t="s">
        <v>1050</v>
      </c>
      <c r="J1906">
        <v>87</v>
      </c>
      <c r="K1906" t="s">
        <v>0</v>
      </c>
      <c r="L1906" t="s">
        <v>1167</v>
      </c>
      <c r="M1906" t="s">
        <v>1168</v>
      </c>
      <c r="N1906" t="s">
        <v>1169</v>
      </c>
      <c r="O1906" t="s">
        <v>1168</v>
      </c>
      <c r="P1906" t="s">
        <v>1283</v>
      </c>
    </row>
    <row r="1907" spans="1:16" x14ac:dyDescent="0.25">
      <c r="A1907" t="s">
        <v>4283</v>
      </c>
      <c r="B1907" t="s">
        <v>4284</v>
      </c>
      <c r="C1907" t="s">
        <v>1571</v>
      </c>
      <c r="D1907" t="s">
        <v>1027</v>
      </c>
      <c r="E1907">
        <v>63767</v>
      </c>
      <c r="G1907" t="b">
        <v>0</v>
      </c>
      <c r="H1907" t="b">
        <v>0</v>
      </c>
      <c r="I1907" t="s">
        <v>1050</v>
      </c>
      <c r="J1907">
        <v>87</v>
      </c>
      <c r="K1907" t="s">
        <v>0</v>
      </c>
      <c r="L1907" t="s">
        <v>1167</v>
      </c>
      <c r="M1907" t="s">
        <v>1168</v>
      </c>
      <c r="N1907" t="s">
        <v>1169</v>
      </c>
      <c r="O1907" t="s">
        <v>1168</v>
      </c>
      <c r="P1907" t="s">
        <v>1283</v>
      </c>
    </row>
    <row r="1908" spans="1:16" x14ac:dyDescent="0.25">
      <c r="A1908" t="s">
        <v>4285</v>
      </c>
      <c r="B1908" t="s">
        <v>4286</v>
      </c>
      <c r="C1908" t="s">
        <v>1571</v>
      </c>
      <c r="D1908" t="s">
        <v>1027</v>
      </c>
      <c r="E1908">
        <v>63767</v>
      </c>
      <c r="G1908" t="b">
        <v>0</v>
      </c>
      <c r="H1908" t="b">
        <v>0</v>
      </c>
      <c r="I1908" t="s">
        <v>1050</v>
      </c>
      <c r="J1908">
        <v>87</v>
      </c>
      <c r="K1908" t="s">
        <v>0</v>
      </c>
      <c r="L1908" t="s">
        <v>1167</v>
      </c>
      <c r="M1908" t="s">
        <v>1168</v>
      </c>
      <c r="N1908" t="s">
        <v>1169</v>
      </c>
      <c r="O1908" t="s">
        <v>1168</v>
      </c>
      <c r="P1908" t="s">
        <v>1283</v>
      </c>
    </row>
    <row r="1909" spans="1:16" x14ac:dyDescent="0.25">
      <c r="A1909" t="s">
        <v>4287</v>
      </c>
      <c r="B1909" t="s">
        <v>4288</v>
      </c>
      <c r="C1909" t="s">
        <v>1571</v>
      </c>
      <c r="D1909" t="s">
        <v>1027</v>
      </c>
      <c r="E1909">
        <v>63767</v>
      </c>
      <c r="G1909" t="b">
        <v>0</v>
      </c>
      <c r="H1909" t="b">
        <v>0</v>
      </c>
      <c r="I1909" t="s">
        <v>1050</v>
      </c>
      <c r="J1909">
        <v>87</v>
      </c>
      <c r="K1909" t="s">
        <v>0</v>
      </c>
      <c r="L1909" t="s">
        <v>1167</v>
      </c>
      <c r="M1909" t="s">
        <v>1168</v>
      </c>
      <c r="N1909" t="s">
        <v>1169</v>
      </c>
      <c r="O1909" t="s">
        <v>1168</v>
      </c>
      <c r="P1909" t="s">
        <v>1283</v>
      </c>
    </row>
    <row r="1910" spans="1:16" x14ac:dyDescent="0.25">
      <c r="A1910" t="s">
        <v>4289</v>
      </c>
      <c r="B1910" t="s">
        <v>4290</v>
      </c>
      <c r="C1910" t="s">
        <v>1571</v>
      </c>
      <c r="D1910" t="s">
        <v>1027</v>
      </c>
      <c r="E1910">
        <v>63767</v>
      </c>
      <c r="G1910" t="b">
        <v>0</v>
      </c>
      <c r="H1910" t="b">
        <v>0</v>
      </c>
      <c r="I1910" t="s">
        <v>1050</v>
      </c>
      <c r="J1910">
        <v>87</v>
      </c>
      <c r="K1910" t="s">
        <v>0</v>
      </c>
      <c r="L1910" t="s">
        <v>1167</v>
      </c>
      <c r="M1910" t="s">
        <v>1168</v>
      </c>
      <c r="N1910" t="s">
        <v>1169</v>
      </c>
      <c r="O1910" t="s">
        <v>1168</v>
      </c>
      <c r="P1910" t="s">
        <v>1283</v>
      </c>
    </row>
    <row r="1911" spans="1:16" x14ac:dyDescent="0.25">
      <c r="A1911" t="s">
        <v>4291</v>
      </c>
      <c r="B1911" t="s">
        <v>4292</v>
      </c>
      <c r="C1911" t="s">
        <v>1571</v>
      </c>
      <c r="D1911" t="s">
        <v>1027</v>
      </c>
      <c r="E1911">
        <v>63767</v>
      </c>
      <c r="G1911" t="b">
        <v>0</v>
      </c>
      <c r="H1911" t="b">
        <v>0</v>
      </c>
      <c r="I1911" t="s">
        <v>1050</v>
      </c>
      <c r="J1911">
        <v>87</v>
      </c>
      <c r="K1911" t="s">
        <v>0</v>
      </c>
      <c r="L1911" t="s">
        <v>1167</v>
      </c>
      <c r="M1911" t="s">
        <v>1168</v>
      </c>
      <c r="N1911" t="s">
        <v>1169</v>
      </c>
      <c r="O1911" t="s">
        <v>1168</v>
      </c>
      <c r="P1911" t="s">
        <v>1283</v>
      </c>
    </row>
    <row r="1912" spans="1:16" x14ac:dyDescent="0.25">
      <c r="A1912" t="s">
        <v>4293</v>
      </c>
      <c r="B1912" t="s">
        <v>4294</v>
      </c>
      <c r="C1912" t="s">
        <v>1571</v>
      </c>
      <c r="D1912" t="s">
        <v>1027</v>
      </c>
      <c r="E1912">
        <v>63767</v>
      </c>
      <c r="G1912" t="b">
        <v>0</v>
      </c>
      <c r="H1912" t="b">
        <v>0</v>
      </c>
      <c r="I1912" t="s">
        <v>1050</v>
      </c>
      <c r="J1912">
        <v>87</v>
      </c>
      <c r="K1912" t="s">
        <v>0</v>
      </c>
      <c r="L1912" t="s">
        <v>1167</v>
      </c>
      <c r="M1912" t="s">
        <v>1168</v>
      </c>
      <c r="N1912" t="s">
        <v>1169</v>
      </c>
      <c r="O1912" t="s">
        <v>1168</v>
      </c>
      <c r="P1912" t="s">
        <v>1283</v>
      </c>
    </row>
    <row r="1913" spans="1:16" x14ac:dyDescent="0.25">
      <c r="A1913" t="s">
        <v>4295</v>
      </c>
      <c r="B1913" t="s">
        <v>4296</v>
      </c>
      <c r="C1913" t="s">
        <v>1571</v>
      </c>
      <c r="D1913" t="s">
        <v>1027</v>
      </c>
      <c r="E1913">
        <v>63767</v>
      </c>
      <c r="G1913" t="b">
        <v>0</v>
      </c>
      <c r="H1913" t="b">
        <v>0</v>
      </c>
      <c r="I1913" t="s">
        <v>1050</v>
      </c>
      <c r="J1913">
        <v>87</v>
      </c>
      <c r="K1913" t="s">
        <v>0</v>
      </c>
      <c r="L1913" t="s">
        <v>1167</v>
      </c>
      <c r="M1913" t="s">
        <v>1168</v>
      </c>
      <c r="N1913" t="s">
        <v>1169</v>
      </c>
      <c r="O1913" t="s">
        <v>1168</v>
      </c>
      <c r="P1913" t="s">
        <v>1283</v>
      </c>
    </row>
    <row r="1914" spans="1:16" x14ac:dyDescent="0.25">
      <c r="A1914" t="s">
        <v>4297</v>
      </c>
      <c r="B1914" t="s">
        <v>4298</v>
      </c>
      <c r="C1914" t="s">
        <v>1233</v>
      </c>
      <c r="D1914" t="s">
        <v>1027</v>
      </c>
      <c r="E1914">
        <v>63762</v>
      </c>
      <c r="F1914" t="s">
        <v>1234</v>
      </c>
      <c r="G1914" t="b">
        <v>0</v>
      </c>
      <c r="H1914" t="b">
        <v>0</v>
      </c>
      <c r="I1914" t="s">
        <v>1050</v>
      </c>
      <c r="J1914">
        <v>80</v>
      </c>
      <c r="K1914" t="s">
        <v>0</v>
      </c>
      <c r="L1914" t="s">
        <v>1167</v>
      </c>
      <c r="M1914" t="s">
        <v>1168</v>
      </c>
      <c r="N1914" t="s">
        <v>1169</v>
      </c>
      <c r="O1914" t="s">
        <v>1168</v>
      </c>
      <c r="P1914" t="s">
        <v>1235</v>
      </c>
    </row>
    <row r="1915" spans="1:16" x14ac:dyDescent="0.25">
      <c r="A1915" t="s">
        <v>4299</v>
      </c>
      <c r="B1915" t="s">
        <v>4300</v>
      </c>
      <c r="C1915" t="s">
        <v>1571</v>
      </c>
      <c r="D1915" t="s">
        <v>1027</v>
      </c>
      <c r="E1915">
        <v>63767</v>
      </c>
      <c r="G1915" t="b">
        <v>0</v>
      </c>
      <c r="H1915" t="b">
        <v>0</v>
      </c>
      <c r="I1915" t="s">
        <v>1050</v>
      </c>
      <c r="J1915">
        <v>80</v>
      </c>
      <c r="K1915" t="s">
        <v>0</v>
      </c>
      <c r="L1915" t="s">
        <v>1167</v>
      </c>
      <c r="M1915" t="s">
        <v>1168</v>
      </c>
      <c r="N1915" t="s">
        <v>1169</v>
      </c>
      <c r="O1915" t="s">
        <v>1168</v>
      </c>
      <c r="P1915" t="s">
        <v>1283</v>
      </c>
    </row>
    <row r="1916" spans="1:16" x14ac:dyDescent="0.25">
      <c r="A1916" t="s">
        <v>4301</v>
      </c>
      <c r="B1916" t="s">
        <v>4302</v>
      </c>
      <c r="C1916" t="s">
        <v>1571</v>
      </c>
      <c r="D1916" t="s">
        <v>1027</v>
      </c>
      <c r="E1916">
        <v>63767</v>
      </c>
      <c r="G1916" t="b">
        <v>0</v>
      </c>
      <c r="H1916" t="b">
        <v>0</v>
      </c>
      <c r="I1916" t="s">
        <v>1050</v>
      </c>
      <c r="J1916">
        <v>80</v>
      </c>
      <c r="K1916" t="s">
        <v>0</v>
      </c>
      <c r="L1916" t="s">
        <v>1167</v>
      </c>
      <c r="M1916" t="s">
        <v>1168</v>
      </c>
      <c r="N1916" t="s">
        <v>1169</v>
      </c>
      <c r="O1916" t="s">
        <v>1168</v>
      </c>
      <c r="P1916" t="s">
        <v>1283</v>
      </c>
    </row>
    <row r="1917" spans="1:16" x14ac:dyDescent="0.25">
      <c r="A1917" t="s">
        <v>4303</v>
      </c>
      <c r="B1917" t="s">
        <v>4304</v>
      </c>
      <c r="C1917" t="s">
        <v>1571</v>
      </c>
      <c r="D1917" t="s">
        <v>1027</v>
      </c>
      <c r="E1917">
        <v>63767</v>
      </c>
      <c r="G1917" t="b">
        <v>0</v>
      </c>
      <c r="H1917" t="b">
        <v>0</v>
      </c>
      <c r="I1917" t="s">
        <v>1050</v>
      </c>
      <c r="J1917">
        <v>80</v>
      </c>
      <c r="K1917" t="s">
        <v>0</v>
      </c>
      <c r="L1917" t="s">
        <v>1167</v>
      </c>
      <c r="M1917" t="s">
        <v>1168</v>
      </c>
      <c r="N1917" t="s">
        <v>1169</v>
      </c>
      <c r="O1917" t="s">
        <v>1168</v>
      </c>
      <c r="P1917" t="s">
        <v>1283</v>
      </c>
    </row>
    <row r="1918" spans="1:16" x14ac:dyDescent="0.25">
      <c r="A1918" t="s">
        <v>4305</v>
      </c>
      <c r="B1918" t="s">
        <v>4306</v>
      </c>
      <c r="C1918" t="s">
        <v>1571</v>
      </c>
      <c r="D1918" t="s">
        <v>1027</v>
      </c>
      <c r="E1918">
        <v>63767</v>
      </c>
      <c r="G1918" t="b">
        <v>0</v>
      </c>
      <c r="H1918" t="b">
        <v>0</v>
      </c>
      <c r="I1918" t="s">
        <v>1050</v>
      </c>
      <c r="J1918">
        <v>80</v>
      </c>
      <c r="K1918" t="s">
        <v>0</v>
      </c>
      <c r="L1918" t="s">
        <v>1167</v>
      </c>
      <c r="M1918" t="s">
        <v>1168</v>
      </c>
      <c r="N1918" t="s">
        <v>1169</v>
      </c>
      <c r="O1918" t="s">
        <v>1168</v>
      </c>
      <c r="P1918" t="s">
        <v>1283</v>
      </c>
    </row>
    <row r="1919" spans="1:16" x14ac:dyDescent="0.25">
      <c r="A1919" t="s">
        <v>4307</v>
      </c>
      <c r="B1919" t="s">
        <v>4308</v>
      </c>
      <c r="C1919" t="s">
        <v>1571</v>
      </c>
      <c r="D1919" t="s">
        <v>1027</v>
      </c>
      <c r="E1919">
        <v>63767</v>
      </c>
      <c r="G1919" t="b">
        <v>0</v>
      </c>
      <c r="H1919" t="b">
        <v>0</v>
      </c>
      <c r="I1919" t="s">
        <v>1050</v>
      </c>
      <c r="J1919">
        <v>80</v>
      </c>
      <c r="K1919" t="s">
        <v>0</v>
      </c>
      <c r="L1919" t="s">
        <v>1167</v>
      </c>
      <c r="M1919" t="s">
        <v>1168</v>
      </c>
      <c r="N1919" t="s">
        <v>1169</v>
      </c>
      <c r="O1919" t="s">
        <v>1168</v>
      </c>
      <c r="P1919" t="s">
        <v>1283</v>
      </c>
    </row>
    <row r="1920" spans="1:16" x14ac:dyDescent="0.25">
      <c r="A1920" t="s">
        <v>4309</v>
      </c>
      <c r="B1920" t="s">
        <v>4310</v>
      </c>
      <c r="C1920" t="s">
        <v>1571</v>
      </c>
      <c r="D1920" t="s">
        <v>1027</v>
      </c>
      <c r="E1920">
        <v>63767</v>
      </c>
      <c r="G1920" t="b">
        <v>0</v>
      </c>
      <c r="H1920" t="b">
        <v>0</v>
      </c>
      <c r="I1920" t="s">
        <v>1050</v>
      </c>
      <c r="J1920">
        <v>80</v>
      </c>
      <c r="K1920" t="s">
        <v>0</v>
      </c>
      <c r="L1920" t="s">
        <v>1167</v>
      </c>
      <c r="M1920" t="s">
        <v>1168</v>
      </c>
      <c r="N1920" t="s">
        <v>1169</v>
      </c>
      <c r="O1920" t="s">
        <v>1168</v>
      </c>
      <c r="P1920" t="s">
        <v>1283</v>
      </c>
    </row>
    <row r="1921" spans="1:16" x14ac:dyDescent="0.25">
      <c r="A1921" t="s">
        <v>4311</v>
      </c>
      <c r="B1921" t="s">
        <v>4312</v>
      </c>
      <c r="C1921" t="s">
        <v>1571</v>
      </c>
      <c r="D1921" t="s">
        <v>1027</v>
      </c>
      <c r="E1921">
        <v>63767</v>
      </c>
      <c r="G1921" t="b">
        <v>0</v>
      </c>
      <c r="H1921" t="b">
        <v>0</v>
      </c>
      <c r="I1921" t="s">
        <v>1050</v>
      </c>
      <c r="J1921">
        <v>80</v>
      </c>
      <c r="K1921" t="s">
        <v>0</v>
      </c>
      <c r="L1921" t="s">
        <v>1167</v>
      </c>
      <c r="M1921" t="s">
        <v>1168</v>
      </c>
      <c r="N1921" t="s">
        <v>1169</v>
      </c>
      <c r="O1921" t="s">
        <v>1168</v>
      </c>
      <c r="P1921" t="s">
        <v>1283</v>
      </c>
    </row>
    <row r="1922" spans="1:16" x14ac:dyDescent="0.25">
      <c r="A1922" t="s">
        <v>4313</v>
      </c>
      <c r="B1922" t="s">
        <v>4314</v>
      </c>
      <c r="C1922" t="s">
        <v>1571</v>
      </c>
      <c r="D1922" t="s">
        <v>1027</v>
      </c>
      <c r="E1922">
        <v>63767</v>
      </c>
      <c r="G1922" t="b">
        <v>0</v>
      </c>
      <c r="H1922" t="b">
        <v>0</v>
      </c>
      <c r="I1922" t="s">
        <v>1050</v>
      </c>
      <c r="J1922">
        <v>80</v>
      </c>
      <c r="K1922" t="s">
        <v>0</v>
      </c>
      <c r="L1922" t="s">
        <v>1167</v>
      </c>
      <c r="M1922" t="s">
        <v>1168</v>
      </c>
      <c r="N1922" t="s">
        <v>1169</v>
      </c>
      <c r="O1922" t="s">
        <v>1168</v>
      </c>
      <c r="P1922" t="s">
        <v>1283</v>
      </c>
    </row>
    <row r="1923" spans="1:16" x14ac:dyDescent="0.25">
      <c r="A1923" t="s">
        <v>4315</v>
      </c>
      <c r="B1923" t="s">
        <v>4310</v>
      </c>
      <c r="C1923" t="s">
        <v>1571</v>
      </c>
      <c r="D1923" t="s">
        <v>1027</v>
      </c>
      <c r="E1923">
        <v>63767</v>
      </c>
      <c r="G1923" t="b">
        <v>0</v>
      </c>
      <c r="H1923" t="b">
        <v>0</v>
      </c>
      <c r="I1923" t="s">
        <v>1050</v>
      </c>
      <c r="J1923">
        <v>80</v>
      </c>
      <c r="K1923" t="s">
        <v>0</v>
      </c>
      <c r="L1923" t="s">
        <v>1167</v>
      </c>
      <c r="M1923" t="s">
        <v>1168</v>
      </c>
      <c r="N1923" t="s">
        <v>1169</v>
      </c>
      <c r="O1923" t="s">
        <v>1168</v>
      </c>
      <c r="P1923" t="s">
        <v>1283</v>
      </c>
    </row>
    <row r="1924" spans="1:16" x14ac:dyDescent="0.25">
      <c r="A1924" t="s">
        <v>4316</v>
      </c>
      <c r="B1924" t="s">
        <v>4317</v>
      </c>
      <c r="C1924" t="s">
        <v>1571</v>
      </c>
      <c r="D1924" t="s">
        <v>1027</v>
      </c>
      <c r="E1924">
        <v>63767</v>
      </c>
      <c r="G1924" t="b">
        <v>0</v>
      </c>
      <c r="H1924" t="b">
        <v>0</v>
      </c>
      <c r="I1924" t="s">
        <v>1050</v>
      </c>
      <c r="J1924">
        <v>80</v>
      </c>
      <c r="K1924" t="s">
        <v>0</v>
      </c>
      <c r="L1924" t="s">
        <v>1167</v>
      </c>
      <c r="M1924" t="s">
        <v>1168</v>
      </c>
      <c r="N1924" t="s">
        <v>1169</v>
      </c>
      <c r="O1924" t="s">
        <v>1168</v>
      </c>
      <c r="P1924" t="s">
        <v>1283</v>
      </c>
    </row>
    <row r="1925" spans="1:16" x14ac:dyDescent="0.25">
      <c r="A1925" t="s">
        <v>4318</v>
      </c>
      <c r="B1925" t="s">
        <v>4319</v>
      </c>
      <c r="C1925" t="s">
        <v>1571</v>
      </c>
      <c r="D1925" t="s">
        <v>1027</v>
      </c>
      <c r="E1925">
        <v>63767</v>
      </c>
      <c r="G1925" t="b">
        <v>0</v>
      </c>
      <c r="H1925" t="b">
        <v>0</v>
      </c>
      <c r="I1925" t="s">
        <v>1050</v>
      </c>
      <c r="J1925">
        <v>80</v>
      </c>
      <c r="K1925" t="s">
        <v>0</v>
      </c>
      <c r="L1925" t="s">
        <v>1167</v>
      </c>
      <c r="M1925" t="s">
        <v>1168</v>
      </c>
      <c r="N1925" t="s">
        <v>1169</v>
      </c>
      <c r="O1925" t="s">
        <v>1168</v>
      </c>
      <c r="P1925" t="s">
        <v>1283</v>
      </c>
    </row>
    <row r="1926" spans="1:16" x14ac:dyDescent="0.25">
      <c r="A1926" t="s">
        <v>4320</v>
      </c>
      <c r="B1926" t="s">
        <v>4321</v>
      </c>
      <c r="C1926" t="s">
        <v>1571</v>
      </c>
      <c r="D1926" t="s">
        <v>1027</v>
      </c>
      <c r="E1926">
        <v>63767</v>
      </c>
      <c r="G1926" t="b">
        <v>0</v>
      </c>
      <c r="H1926" t="b">
        <v>0</v>
      </c>
      <c r="I1926" t="s">
        <v>1050</v>
      </c>
      <c r="J1926">
        <v>80</v>
      </c>
      <c r="K1926" t="s">
        <v>0</v>
      </c>
      <c r="L1926" t="s">
        <v>1167</v>
      </c>
      <c r="M1926" t="s">
        <v>1168</v>
      </c>
      <c r="N1926" t="s">
        <v>1169</v>
      </c>
      <c r="O1926" t="s">
        <v>1168</v>
      </c>
      <c r="P1926" t="s">
        <v>1283</v>
      </c>
    </row>
    <row r="1927" spans="1:16" x14ac:dyDescent="0.25">
      <c r="A1927" t="s">
        <v>4322</v>
      </c>
      <c r="B1927" t="s">
        <v>4310</v>
      </c>
      <c r="C1927" t="s">
        <v>1571</v>
      </c>
      <c r="D1927" t="s">
        <v>1027</v>
      </c>
      <c r="E1927">
        <v>63767</v>
      </c>
      <c r="G1927" t="b">
        <v>0</v>
      </c>
      <c r="H1927" t="b">
        <v>0</v>
      </c>
      <c r="I1927" t="s">
        <v>1050</v>
      </c>
      <c r="J1927">
        <v>80</v>
      </c>
      <c r="K1927" t="s">
        <v>0</v>
      </c>
      <c r="L1927" t="s">
        <v>1167</v>
      </c>
      <c r="M1927" t="s">
        <v>1168</v>
      </c>
      <c r="N1927" t="s">
        <v>1169</v>
      </c>
      <c r="O1927" t="s">
        <v>1168</v>
      </c>
      <c r="P1927" t="s">
        <v>1283</v>
      </c>
    </row>
    <row r="1928" spans="1:16" x14ac:dyDescent="0.25">
      <c r="A1928" t="s">
        <v>4323</v>
      </c>
      <c r="B1928" t="s">
        <v>4310</v>
      </c>
      <c r="C1928" t="s">
        <v>1571</v>
      </c>
      <c r="D1928" t="s">
        <v>1027</v>
      </c>
      <c r="E1928">
        <v>63767</v>
      </c>
      <c r="G1928" t="b">
        <v>0</v>
      </c>
      <c r="H1928" t="b">
        <v>0</v>
      </c>
      <c r="I1928" t="s">
        <v>1050</v>
      </c>
      <c r="J1928">
        <v>80</v>
      </c>
      <c r="K1928" t="s">
        <v>0</v>
      </c>
      <c r="L1928" t="s">
        <v>1167</v>
      </c>
      <c r="M1928" t="s">
        <v>1168</v>
      </c>
      <c r="N1928" t="s">
        <v>1169</v>
      </c>
      <c r="O1928" t="s">
        <v>1168</v>
      </c>
      <c r="P1928" t="s">
        <v>1283</v>
      </c>
    </row>
    <row r="1929" spans="1:16" x14ac:dyDescent="0.25">
      <c r="A1929" t="s">
        <v>4324</v>
      </c>
      <c r="B1929" t="s">
        <v>4310</v>
      </c>
      <c r="C1929" t="s">
        <v>1571</v>
      </c>
      <c r="D1929" t="s">
        <v>1027</v>
      </c>
      <c r="E1929">
        <v>63767</v>
      </c>
      <c r="G1929" t="b">
        <v>0</v>
      </c>
      <c r="H1929" t="b">
        <v>0</v>
      </c>
      <c r="I1929" t="s">
        <v>1050</v>
      </c>
      <c r="J1929">
        <v>80</v>
      </c>
      <c r="K1929" t="s">
        <v>0</v>
      </c>
      <c r="L1929" t="s">
        <v>1167</v>
      </c>
      <c r="M1929" t="s">
        <v>1168</v>
      </c>
      <c r="N1929" t="s">
        <v>1169</v>
      </c>
      <c r="O1929" t="s">
        <v>1168</v>
      </c>
      <c r="P1929" t="s">
        <v>1283</v>
      </c>
    </row>
    <row r="1930" spans="1:16" x14ac:dyDescent="0.25">
      <c r="A1930" t="s">
        <v>4325</v>
      </c>
      <c r="B1930" t="s">
        <v>4326</v>
      </c>
      <c r="C1930" t="s">
        <v>1571</v>
      </c>
      <c r="D1930" t="s">
        <v>1027</v>
      </c>
      <c r="E1930">
        <v>63767</v>
      </c>
      <c r="G1930" t="b">
        <v>0</v>
      </c>
      <c r="H1930" t="b">
        <v>0</v>
      </c>
      <c r="I1930" t="s">
        <v>1050</v>
      </c>
      <c r="J1930">
        <v>80</v>
      </c>
      <c r="K1930" t="s">
        <v>0</v>
      </c>
      <c r="L1930" t="s">
        <v>1167</v>
      </c>
      <c r="M1930" t="s">
        <v>1168</v>
      </c>
      <c r="N1930" t="s">
        <v>1169</v>
      </c>
      <c r="O1930" t="s">
        <v>1168</v>
      </c>
      <c r="P1930" t="s">
        <v>1283</v>
      </c>
    </row>
    <row r="1931" spans="1:16" x14ac:dyDescent="0.25">
      <c r="A1931" t="s">
        <v>4327</v>
      </c>
      <c r="B1931" t="s">
        <v>4328</v>
      </c>
      <c r="C1931" t="s">
        <v>1571</v>
      </c>
      <c r="D1931" t="s">
        <v>1027</v>
      </c>
      <c r="E1931">
        <v>63767</v>
      </c>
      <c r="G1931" t="b">
        <v>0</v>
      </c>
      <c r="H1931" t="b">
        <v>0</v>
      </c>
      <c r="I1931" t="s">
        <v>1050</v>
      </c>
      <c r="J1931">
        <v>80</v>
      </c>
      <c r="K1931" t="s">
        <v>0</v>
      </c>
      <c r="L1931" t="s">
        <v>1167</v>
      </c>
      <c r="M1931" t="s">
        <v>1168</v>
      </c>
      <c r="N1931" t="s">
        <v>1169</v>
      </c>
      <c r="O1931" t="s">
        <v>1168</v>
      </c>
      <c r="P1931" t="s">
        <v>1283</v>
      </c>
    </row>
    <row r="1932" spans="1:16" x14ac:dyDescent="0.25">
      <c r="A1932" t="s">
        <v>4329</v>
      </c>
      <c r="B1932" t="s">
        <v>4312</v>
      </c>
      <c r="C1932" t="s">
        <v>1571</v>
      </c>
      <c r="D1932" t="s">
        <v>1027</v>
      </c>
      <c r="E1932">
        <v>63767</v>
      </c>
      <c r="G1932" t="b">
        <v>0</v>
      </c>
      <c r="H1932" t="b">
        <v>0</v>
      </c>
      <c r="I1932" t="s">
        <v>1050</v>
      </c>
      <c r="J1932">
        <v>80</v>
      </c>
      <c r="K1932" t="s">
        <v>0</v>
      </c>
      <c r="L1932" t="s">
        <v>1167</v>
      </c>
      <c r="M1932" t="s">
        <v>1168</v>
      </c>
      <c r="N1932" t="s">
        <v>1169</v>
      </c>
      <c r="O1932" t="s">
        <v>1168</v>
      </c>
      <c r="P1932" t="s">
        <v>1283</v>
      </c>
    </row>
    <row r="1933" spans="1:16" x14ac:dyDescent="0.25">
      <c r="A1933" t="s">
        <v>4330</v>
      </c>
      <c r="B1933" t="s">
        <v>4308</v>
      </c>
      <c r="C1933" t="s">
        <v>1571</v>
      </c>
      <c r="D1933" t="s">
        <v>1027</v>
      </c>
      <c r="E1933">
        <v>63767</v>
      </c>
      <c r="G1933" t="b">
        <v>0</v>
      </c>
      <c r="H1933" t="b">
        <v>0</v>
      </c>
      <c r="I1933" t="s">
        <v>1050</v>
      </c>
      <c r="J1933">
        <v>80</v>
      </c>
      <c r="K1933" t="s">
        <v>0</v>
      </c>
      <c r="L1933" t="s">
        <v>1167</v>
      </c>
      <c r="M1933" t="s">
        <v>1168</v>
      </c>
      <c r="N1933" t="s">
        <v>1169</v>
      </c>
      <c r="O1933" t="s">
        <v>1168</v>
      </c>
      <c r="P1933" t="s">
        <v>1283</v>
      </c>
    </row>
    <row r="1934" spans="1:16" x14ac:dyDescent="0.25">
      <c r="A1934" t="s">
        <v>4331</v>
      </c>
      <c r="B1934" t="s">
        <v>4310</v>
      </c>
      <c r="C1934" t="s">
        <v>1571</v>
      </c>
      <c r="D1934" t="s">
        <v>1027</v>
      </c>
      <c r="E1934">
        <v>63767</v>
      </c>
      <c r="G1934" t="b">
        <v>0</v>
      </c>
      <c r="H1934" t="b">
        <v>0</v>
      </c>
      <c r="I1934" t="s">
        <v>1050</v>
      </c>
      <c r="J1934">
        <v>80</v>
      </c>
      <c r="K1934" t="s">
        <v>0</v>
      </c>
      <c r="L1934" t="s">
        <v>1167</v>
      </c>
      <c r="M1934" t="s">
        <v>1168</v>
      </c>
      <c r="N1934" t="s">
        <v>1169</v>
      </c>
      <c r="O1934" t="s">
        <v>1168</v>
      </c>
      <c r="P1934" t="s">
        <v>1283</v>
      </c>
    </row>
    <row r="1935" spans="1:16" x14ac:dyDescent="0.25">
      <c r="A1935" t="s">
        <v>4332</v>
      </c>
      <c r="B1935" t="s">
        <v>4308</v>
      </c>
      <c r="C1935" t="s">
        <v>1571</v>
      </c>
      <c r="D1935" t="s">
        <v>1027</v>
      </c>
      <c r="E1935">
        <v>63767</v>
      </c>
      <c r="G1935" t="b">
        <v>0</v>
      </c>
      <c r="H1935" t="b">
        <v>0</v>
      </c>
      <c r="I1935" t="s">
        <v>1050</v>
      </c>
      <c r="J1935">
        <v>80</v>
      </c>
      <c r="K1935" t="s">
        <v>0</v>
      </c>
      <c r="L1935" t="s">
        <v>1167</v>
      </c>
      <c r="M1935" t="s">
        <v>1168</v>
      </c>
      <c r="N1935" t="s">
        <v>1169</v>
      </c>
      <c r="O1935" t="s">
        <v>1168</v>
      </c>
      <c r="P1935" t="s">
        <v>1283</v>
      </c>
    </row>
    <row r="1936" spans="1:16" x14ac:dyDescent="0.25">
      <c r="A1936" t="s">
        <v>4333</v>
      </c>
      <c r="B1936" t="s">
        <v>4308</v>
      </c>
      <c r="C1936" t="s">
        <v>1571</v>
      </c>
      <c r="D1936" t="s">
        <v>1027</v>
      </c>
      <c r="E1936">
        <v>63767</v>
      </c>
      <c r="G1936" t="b">
        <v>0</v>
      </c>
      <c r="H1936" t="b">
        <v>0</v>
      </c>
      <c r="I1936" t="s">
        <v>1050</v>
      </c>
      <c r="J1936">
        <v>80</v>
      </c>
      <c r="K1936" t="s">
        <v>0</v>
      </c>
      <c r="L1936" t="s">
        <v>1167</v>
      </c>
      <c r="M1936" t="s">
        <v>1168</v>
      </c>
      <c r="N1936" t="s">
        <v>1169</v>
      </c>
      <c r="O1936" t="s">
        <v>1168</v>
      </c>
      <c r="P1936" t="s">
        <v>1283</v>
      </c>
    </row>
    <row r="1937" spans="1:16" x14ac:dyDescent="0.25">
      <c r="A1937" t="s">
        <v>4334</v>
      </c>
      <c r="B1937" t="s">
        <v>4335</v>
      </c>
      <c r="C1937" t="s">
        <v>1571</v>
      </c>
      <c r="D1937" t="s">
        <v>1027</v>
      </c>
      <c r="E1937">
        <v>63767</v>
      </c>
      <c r="G1937" t="b">
        <v>0</v>
      </c>
      <c r="H1937" t="b">
        <v>0</v>
      </c>
      <c r="I1937" t="s">
        <v>1050</v>
      </c>
      <c r="J1937">
        <v>80</v>
      </c>
      <c r="K1937" t="s">
        <v>0</v>
      </c>
      <c r="L1937" t="s">
        <v>1167</v>
      </c>
      <c r="M1937" t="s">
        <v>1168</v>
      </c>
      <c r="N1937" t="s">
        <v>1169</v>
      </c>
      <c r="O1937" t="s">
        <v>1168</v>
      </c>
      <c r="P1937" t="s">
        <v>1283</v>
      </c>
    </row>
    <row r="1938" spans="1:16" x14ac:dyDescent="0.25">
      <c r="A1938" t="s">
        <v>4336</v>
      </c>
      <c r="B1938" t="s">
        <v>4337</v>
      </c>
      <c r="C1938" t="s">
        <v>1571</v>
      </c>
      <c r="D1938" t="s">
        <v>1027</v>
      </c>
      <c r="E1938">
        <v>63767</v>
      </c>
      <c r="G1938" t="b">
        <v>0</v>
      </c>
      <c r="H1938" t="b">
        <v>0</v>
      </c>
      <c r="I1938" t="s">
        <v>1050</v>
      </c>
      <c r="J1938">
        <v>80</v>
      </c>
      <c r="K1938" t="s">
        <v>0</v>
      </c>
      <c r="L1938" t="s">
        <v>1167</v>
      </c>
      <c r="M1938" t="s">
        <v>1168</v>
      </c>
      <c r="N1938" t="s">
        <v>1169</v>
      </c>
      <c r="O1938" t="s">
        <v>1168</v>
      </c>
      <c r="P1938" t="s">
        <v>1283</v>
      </c>
    </row>
    <row r="1939" spans="1:16" x14ac:dyDescent="0.25">
      <c r="A1939" t="s">
        <v>4338</v>
      </c>
      <c r="B1939" t="s">
        <v>4339</v>
      </c>
      <c r="C1939" t="s">
        <v>1571</v>
      </c>
      <c r="D1939" t="s">
        <v>1027</v>
      </c>
      <c r="E1939">
        <v>63767</v>
      </c>
      <c r="G1939" t="b">
        <v>0</v>
      </c>
      <c r="H1939" t="b">
        <v>0</v>
      </c>
      <c r="I1939" t="s">
        <v>1050</v>
      </c>
      <c r="J1939">
        <v>80</v>
      </c>
      <c r="K1939" t="s">
        <v>0</v>
      </c>
      <c r="L1939" t="s">
        <v>1167</v>
      </c>
      <c r="M1939" t="s">
        <v>1168</v>
      </c>
      <c r="N1939" t="s">
        <v>1169</v>
      </c>
      <c r="O1939" t="s">
        <v>1168</v>
      </c>
      <c r="P1939" t="s">
        <v>1283</v>
      </c>
    </row>
    <row r="1940" spans="1:16" x14ac:dyDescent="0.25">
      <c r="A1940" t="s">
        <v>4340</v>
      </c>
      <c r="B1940" t="s">
        <v>4308</v>
      </c>
      <c r="C1940" t="s">
        <v>1571</v>
      </c>
      <c r="D1940" t="s">
        <v>1027</v>
      </c>
      <c r="E1940">
        <v>63767</v>
      </c>
      <c r="G1940" t="b">
        <v>0</v>
      </c>
      <c r="H1940" t="b">
        <v>0</v>
      </c>
      <c r="I1940" t="s">
        <v>1050</v>
      </c>
      <c r="J1940">
        <v>80</v>
      </c>
      <c r="K1940" t="s">
        <v>0</v>
      </c>
      <c r="L1940" t="s">
        <v>1167</v>
      </c>
      <c r="M1940" t="s">
        <v>1168</v>
      </c>
      <c r="N1940" t="s">
        <v>1169</v>
      </c>
      <c r="O1940" t="s">
        <v>1168</v>
      </c>
      <c r="P1940" t="s">
        <v>1283</v>
      </c>
    </row>
    <row r="1941" spans="1:16" x14ac:dyDescent="0.25">
      <c r="A1941" t="s">
        <v>4341</v>
      </c>
      <c r="B1941" t="s">
        <v>4342</v>
      </c>
      <c r="C1941" t="s">
        <v>1571</v>
      </c>
      <c r="D1941" t="s">
        <v>1027</v>
      </c>
      <c r="E1941">
        <v>63767</v>
      </c>
      <c r="G1941" t="b">
        <v>0</v>
      </c>
      <c r="H1941" t="b">
        <v>0</v>
      </c>
      <c r="I1941" t="s">
        <v>1050</v>
      </c>
      <c r="J1941">
        <v>80</v>
      </c>
      <c r="K1941" t="s">
        <v>0</v>
      </c>
      <c r="L1941" t="s">
        <v>1167</v>
      </c>
      <c r="M1941" t="s">
        <v>1168</v>
      </c>
      <c r="N1941" t="s">
        <v>1169</v>
      </c>
      <c r="O1941" t="s">
        <v>1168</v>
      </c>
      <c r="P1941" t="s">
        <v>1283</v>
      </c>
    </row>
    <row r="1942" spans="1:16" x14ac:dyDescent="0.25">
      <c r="A1942" t="s">
        <v>4343</v>
      </c>
      <c r="B1942" t="s">
        <v>4342</v>
      </c>
      <c r="C1942" t="s">
        <v>1571</v>
      </c>
      <c r="D1942" t="s">
        <v>1027</v>
      </c>
      <c r="E1942">
        <v>63767</v>
      </c>
      <c r="G1942" t="b">
        <v>0</v>
      </c>
      <c r="H1942" t="b">
        <v>0</v>
      </c>
      <c r="I1942" t="s">
        <v>1050</v>
      </c>
      <c r="J1942">
        <v>80</v>
      </c>
      <c r="K1942" t="s">
        <v>0</v>
      </c>
      <c r="L1942" t="s">
        <v>1167</v>
      </c>
      <c r="M1942" t="s">
        <v>1168</v>
      </c>
      <c r="N1942" t="s">
        <v>1169</v>
      </c>
      <c r="O1942" t="s">
        <v>1168</v>
      </c>
      <c r="P1942" t="s">
        <v>1283</v>
      </c>
    </row>
    <row r="1943" spans="1:16" x14ac:dyDescent="0.25">
      <c r="A1943" t="s">
        <v>4344</v>
      </c>
      <c r="B1943" t="s">
        <v>4345</v>
      </c>
      <c r="C1943" t="s">
        <v>1571</v>
      </c>
      <c r="D1943" t="s">
        <v>1027</v>
      </c>
      <c r="E1943">
        <v>63767</v>
      </c>
      <c r="G1943" t="b">
        <v>0</v>
      </c>
      <c r="H1943" t="b">
        <v>0</v>
      </c>
      <c r="I1943" t="s">
        <v>1050</v>
      </c>
      <c r="J1943">
        <v>80</v>
      </c>
      <c r="K1943" t="s">
        <v>0</v>
      </c>
      <c r="L1943" t="s">
        <v>1167</v>
      </c>
      <c r="M1943" t="s">
        <v>1168</v>
      </c>
      <c r="N1943" t="s">
        <v>1169</v>
      </c>
      <c r="O1943" t="s">
        <v>1168</v>
      </c>
      <c r="P1943" t="s">
        <v>1283</v>
      </c>
    </row>
    <row r="1944" spans="1:16" x14ac:dyDescent="0.25">
      <c r="A1944" t="s">
        <v>4346</v>
      </c>
      <c r="B1944" t="s">
        <v>4347</v>
      </c>
      <c r="C1944" t="s">
        <v>1571</v>
      </c>
      <c r="D1944" t="s">
        <v>1027</v>
      </c>
      <c r="E1944">
        <v>63767</v>
      </c>
      <c r="G1944" t="b">
        <v>0</v>
      </c>
      <c r="H1944" t="b">
        <v>0</v>
      </c>
      <c r="I1944" t="s">
        <v>1050</v>
      </c>
      <c r="J1944">
        <v>80</v>
      </c>
      <c r="K1944" t="s">
        <v>0</v>
      </c>
      <c r="L1944" t="s">
        <v>1167</v>
      </c>
      <c r="M1944" t="s">
        <v>1168</v>
      </c>
      <c r="N1944" t="s">
        <v>1169</v>
      </c>
      <c r="O1944" t="s">
        <v>1168</v>
      </c>
      <c r="P1944" t="s">
        <v>1283</v>
      </c>
    </row>
    <row r="1945" spans="1:16" x14ac:dyDescent="0.25">
      <c r="A1945" t="s">
        <v>4348</v>
      </c>
      <c r="B1945" t="s">
        <v>4349</v>
      </c>
      <c r="C1945" t="s">
        <v>1571</v>
      </c>
      <c r="D1945" t="s">
        <v>1027</v>
      </c>
      <c r="E1945">
        <v>63767</v>
      </c>
      <c r="G1945" t="b">
        <v>0</v>
      </c>
      <c r="H1945" t="b">
        <v>0</v>
      </c>
      <c r="I1945" t="s">
        <v>1050</v>
      </c>
      <c r="J1945">
        <v>80</v>
      </c>
      <c r="K1945" t="s">
        <v>0</v>
      </c>
      <c r="L1945" t="s">
        <v>1167</v>
      </c>
      <c r="M1945" t="s">
        <v>1168</v>
      </c>
      <c r="N1945" t="s">
        <v>1169</v>
      </c>
      <c r="O1945" t="s">
        <v>1168</v>
      </c>
      <c r="P1945" t="s">
        <v>1283</v>
      </c>
    </row>
    <row r="1946" spans="1:16" x14ac:dyDescent="0.25">
      <c r="A1946" t="s">
        <v>4350</v>
      </c>
      <c r="B1946" t="s">
        <v>4349</v>
      </c>
      <c r="C1946" t="s">
        <v>1571</v>
      </c>
      <c r="D1946" t="s">
        <v>1027</v>
      </c>
      <c r="E1946">
        <v>63767</v>
      </c>
      <c r="G1946" t="b">
        <v>0</v>
      </c>
      <c r="H1946" t="b">
        <v>0</v>
      </c>
      <c r="I1946" t="s">
        <v>1050</v>
      </c>
      <c r="J1946">
        <v>80</v>
      </c>
      <c r="K1946" t="s">
        <v>0</v>
      </c>
      <c r="L1946" t="s">
        <v>1167</v>
      </c>
      <c r="M1946" t="s">
        <v>1168</v>
      </c>
      <c r="N1946" t="s">
        <v>1169</v>
      </c>
      <c r="O1946" t="s">
        <v>1168</v>
      </c>
      <c r="P1946" t="s">
        <v>1283</v>
      </c>
    </row>
    <row r="1947" spans="1:16" x14ac:dyDescent="0.25">
      <c r="A1947" t="s">
        <v>4351</v>
      </c>
      <c r="B1947" t="s">
        <v>4352</v>
      </c>
      <c r="C1947" t="s">
        <v>1233</v>
      </c>
      <c r="D1947" t="s">
        <v>1027</v>
      </c>
      <c r="E1947">
        <v>63762</v>
      </c>
      <c r="F1947" t="s">
        <v>1234</v>
      </c>
      <c r="G1947" t="b">
        <v>0</v>
      </c>
      <c r="H1947" t="b">
        <v>0</v>
      </c>
      <c r="I1947" t="s">
        <v>1050</v>
      </c>
      <c r="J1947">
        <v>80</v>
      </c>
      <c r="K1947" t="s">
        <v>0</v>
      </c>
      <c r="L1947" t="s">
        <v>1167</v>
      </c>
      <c r="M1947" t="s">
        <v>1168</v>
      </c>
      <c r="N1947" t="s">
        <v>1169</v>
      </c>
      <c r="O1947" t="s">
        <v>1168</v>
      </c>
      <c r="P1947" t="s">
        <v>1235</v>
      </c>
    </row>
    <row r="1948" spans="1:16" x14ac:dyDescent="0.25">
      <c r="A1948" t="s">
        <v>4353</v>
      </c>
      <c r="B1948" t="s">
        <v>4354</v>
      </c>
      <c r="C1948" t="s">
        <v>1233</v>
      </c>
      <c r="D1948" t="s">
        <v>1027</v>
      </c>
      <c r="E1948">
        <v>63762</v>
      </c>
      <c r="F1948" t="s">
        <v>1234</v>
      </c>
      <c r="G1948" t="b">
        <v>0</v>
      </c>
      <c r="H1948" t="b">
        <v>0</v>
      </c>
      <c r="I1948" t="s">
        <v>1050</v>
      </c>
      <c r="J1948">
        <v>80</v>
      </c>
      <c r="K1948" t="s">
        <v>0</v>
      </c>
      <c r="L1948" t="s">
        <v>1167</v>
      </c>
      <c r="M1948" t="s">
        <v>1168</v>
      </c>
      <c r="N1948" t="s">
        <v>1169</v>
      </c>
      <c r="O1948" t="s">
        <v>1168</v>
      </c>
      <c r="P1948" t="s">
        <v>1235</v>
      </c>
    </row>
    <row r="1949" spans="1:16" x14ac:dyDescent="0.25">
      <c r="A1949" t="s">
        <v>4355</v>
      </c>
      <c r="B1949" t="s">
        <v>4354</v>
      </c>
      <c r="C1949" t="s">
        <v>1233</v>
      </c>
      <c r="D1949" t="s">
        <v>1027</v>
      </c>
      <c r="E1949">
        <v>63762</v>
      </c>
      <c r="F1949" t="s">
        <v>1234</v>
      </c>
      <c r="G1949" t="b">
        <v>0</v>
      </c>
      <c r="H1949" t="b">
        <v>0</v>
      </c>
      <c r="I1949" t="s">
        <v>1050</v>
      </c>
      <c r="J1949">
        <v>80</v>
      </c>
      <c r="K1949" t="s">
        <v>0</v>
      </c>
      <c r="L1949" t="s">
        <v>1167</v>
      </c>
      <c r="M1949" t="s">
        <v>1168</v>
      </c>
      <c r="N1949" t="s">
        <v>1169</v>
      </c>
      <c r="O1949" t="s">
        <v>1168</v>
      </c>
      <c r="P1949" t="s">
        <v>1235</v>
      </c>
    </row>
    <row r="1950" spans="1:16" x14ac:dyDescent="0.25">
      <c r="A1950" t="s">
        <v>4356</v>
      </c>
      <c r="B1950" t="s">
        <v>4357</v>
      </c>
      <c r="C1950" t="s">
        <v>1233</v>
      </c>
      <c r="D1950" t="s">
        <v>1027</v>
      </c>
      <c r="E1950">
        <v>63762</v>
      </c>
      <c r="F1950" t="s">
        <v>1234</v>
      </c>
      <c r="G1950" t="b">
        <v>0</v>
      </c>
      <c r="H1950" t="b">
        <v>0</v>
      </c>
      <c r="I1950" t="s">
        <v>1050</v>
      </c>
      <c r="J1950">
        <v>80</v>
      </c>
      <c r="K1950" t="s">
        <v>0</v>
      </c>
      <c r="L1950" t="s">
        <v>1167</v>
      </c>
      <c r="M1950" t="s">
        <v>1168</v>
      </c>
      <c r="N1950" t="s">
        <v>1169</v>
      </c>
      <c r="O1950" t="s">
        <v>1168</v>
      </c>
      <c r="P1950" t="s">
        <v>1235</v>
      </c>
    </row>
    <row r="1951" spans="1:16" x14ac:dyDescent="0.25">
      <c r="A1951" t="s">
        <v>4358</v>
      </c>
      <c r="B1951" t="s">
        <v>4359</v>
      </c>
      <c r="C1951" t="s">
        <v>1233</v>
      </c>
      <c r="D1951" t="s">
        <v>1027</v>
      </c>
      <c r="E1951">
        <v>63762</v>
      </c>
      <c r="F1951" t="s">
        <v>1234</v>
      </c>
      <c r="G1951" t="b">
        <v>0</v>
      </c>
      <c r="H1951" t="b">
        <v>0</v>
      </c>
      <c r="I1951" t="s">
        <v>1050</v>
      </c>
      <c r="J1951">
        <v>80</v>
      </c>
      <c r="K1951" t="s">
        <v>0</v>
      </c>
      <c r="L1951" t="s">
        <v>1167</v>
      </c>
      <c r="M1951" t="s">
        <v>1168</v>
      </c>
      <c r="N1951" t="s">
        <v>1169</v>
      </c>
      <c r="O1951" t="s">
        <v>1168</v>
      </c>
      <c r="P1951" t="s">
        <v>1235</v>
      </c>
    </row>
    <row r="1952" spans="1:16" x14ac:dyDescent="0.25">
      <c r="A1952" t="s">
        <v>4360</v>
      </c>
      <c r="B1952" t="s">
        <v>4361</v>
      </c>
      <c r="C1952" t="s">
        <v>1571</v>
      </c>
      <c r="D1952" t="s">
        <v>1027</v>
      </c>
      <c r="E1952">
        <v>63767</v>
      </c>
      <c r="G1952" t="b">
        <v>0</v>
      </c>
      <c r="H1952" t="b">
        <v>0</v>
      </c>
      <c r="I1952" t="s">
        <v>1050</v>
      </c>
      <c r="J1952">
        <v>80</v>
      </c>
      <c r="K1952" t="s">
        <v>0</v>
      </c>
      <c r="L1952" t="s">
        <v>1167</v>
      </c>
      <c r="M1952" t="s">
        <v>1168</v>
      </c>
      <c r="N1952" t="s">
        <v>1169</v>
      </c>
      <c r="O1952" t="s">
        <v>1168</v>
      </c>
      <c r="P1952" t="s">
        <v>1283</v>
      </c>
    </row>
    <row r="1953" spans="1:16" x14ac:dyDescent="0.25">
      <c r="A1953" t="s">
        <v>4362</v>
      </c>
      <c r="B1953" t="s">
        <v>4363</v>
      </c>
      <c r="C1953" t="s">
        <v>1571</v>
      </c>
      <c r="D1953" t="s">
        <v>1027</v>
      </c>
      <c r="E1953">
        <v>63767</v>
      </c>
      <c r="G1953" t="b">
        <v>0</v>
      </c>
      <c r="H1953" t="b">
        <v>0</v>
      </c>
      <c r="I1953" t="s">
        <v>1050</v>
      </c>
      <c r="J1953">
        <v>80</v>
      </c>
      <c r="K1953" t="s">
        <v>0</v>
      </c>
      <c r="L1953" t="s">
        <v>1167</v>
      </c>
      <c r="M1953" t="s">
        <v>1168</v>
      </c>
      <c r="N1953" t="s">
        <v>1169</v>
      </c>
      <c r="O1953" t="s">
        <v>1168</v>
      </c>
      <c r="P1953" t="s">
        <v>1283</v>
      </c>
    </row>
    <row r="1954" spans="1:16" x14ac:dyDescent="0.25">
      <c r="A1954" t="s">
        <v>4364</v>
      </c>
      <c r="B1954" t="s">
        <v>4365</v>
      </c>
      <c r="C1954" t="s">
        <v>1165</v>
      </c>
      <c r="D1954" t="s">
        <v>1027</v>
      </c>
      <c r="E1954">
        <v>63774</v>
      </c>
      <c r="F1954" t="s">
        <v>1166</v>
      </c>
      <c r="G1954" t="b">
        <v>0</v>
      </c>
      <c r="H1954" t="b">
        <v>0</v>
      </c>
      <c r="I1954" t="s">
        <v>1050</v>
      </c>
      <c r="J1954">
        <v>25</v>
      </c>
      <c r="K1954" t="s">
        <v>1</v>
      </c>
      <c r="L1954" t="s">
        <v>1167</v>
      </c>
      <c r="M1954" t="s">
        <v>1168</v>
      </c>
      <c r="N1954" t="s">
        <v>1169</v>
      </c>
      <c r="O1954" t="s">
        <v>1168</v>
      </c>
      <c r="P1954" t="s">
        <v>1170</v>
      </c>
    </row>
    <row r="1955" spans="1:16" x14ac:dyDescent="0.25">
      <c r="A1955" t="s">
        <v>4366</v>
      </c>
      <c r="B1955" t="s">
        <v>4367</v>
      </c>
      <c r="C1955" t="s">
        <v>1165</v>
      </c>
      <c r="D1955" t="s">
        <v>1027</v>
      </c>
      <c r="E1955">
        <v>63774</v>
      </c>
      <c r="F1955" t="s">
        <v>1166</v>
      </c>
      <c r="G1955" t="b">
        <v>0</v>
      </c>
      <c r="H1955" t="b">
        <v>0</v>
      </c>
      <c r="I1955" t="s">
        <v>1050</v>
      </c>
      <c r="J1955">
        <v>25</v>
      </c>
      <c r="K1955" t="s">
        <v>1</v>
      </c>
      <c r="L1955" t="s">
        <v>1167</v>
      </c>
      <c r="M1955" t="s">
        <v>1168</v>
      </c>
      <c r="N1955" t="s">
        <v>1169</v>
      </c>
      <c r="O1955" t="s">
        <v>1168</v>
      </c>
      <c r="P1955" t="s">
        <v>1170</v>
      </c>
    </row>
    <row r="1956" spans="1:16" x14ac:dyDescent="0.25">
      <c r="A1956" t="s">
        <v>4368</v>
      </c>
      <c r="B1956" t="s">
        <v>4369</v>
      </c>
      <c r="C1956" t="s">
        <v>1165</v>
      </c>
      <c r="D1956" t="s">
        <v>1027</v>
      </c>
      <c r="E1956">
        <v>63774</v>
      </c>
      <c r="F1956" t="s">
        <v>1166</v>
      </c>
      <c r="G1956" t="b">
        <v>0</v>
      </c>
      <c r="H1956" t="b">
        <v>0</v>
      </c>
      <c r="I1956" t="s">
        <v>1050</v>
      </c>
      <c r="J1956">
        <v>25</v>
      </c>
      <c r="K1956" t="s">
        <v>1</v>
      </c>
      <c r="L1956" t="s">
        <v>1167</v>
      </c>
      <c r="M1956" t="s">
        <v>1168</v>
      </c>
      <c r="N1956" t="s">
        <v>1169</v>
      </c>
      <c r="O1956" t="s">
        <v>1168</v>
      </c>
      <c r="P1956" t="s">
        <v>1170</v>
      </c>
    </row>
    <row r="1957" spans="1:16" x14ac:dyDescent="0.25">
      <c r="A1957" t="s">
        <v>4370</v>
      </c>
      <c r="B1957" t="s">
        <v>4371</v>
      </c>
      <c r="C1957" t="s">
        <v>1165</v>
      </c>
      <c r="D1957" t="s">
        <v>1027</v>
      </c>
      <c r="E1957">
        <v>63774</v>
      </c>
      <c r="F1957" t="s">
        <v>1166</v>
      </c>
      <c r="G1957" t="b">
        <v>0</v>
      </c>
      <c r="H1957" t="b">
        <v>0</v>
      </c>
      <c r="I1957" t="s">
        <v>1050</v>
      </c>
      <c r="J1957">
        <v>25</v>
      </c>
      <c r="K1957" t="s">
        <v>1</v>
      </c>
      <c r="L1957" t="s">
        <v>1167</v>
      </c>
      <c r="M1957" t="s">
        <v>1168</v>
      </c>
      <c r="N1957" t="s">
        <v>1169</v>
      </c>
      <c r="O1957" t="s">
        <v>1168</v>
      </c>
      <c r="P1957" t="s">
        <v>1170</v>
      </c>
    </row>
    <row r="1958" spans="1:16" x14ac:dyDescent="0.25">
      <c r="A1958" t="s">
        <v>4372</v>
      </c>
      <c r="B1958" t="s">
        <v>4373</v>
      </c>
      <c r="C1958" t="s">
        <v>1165</v>
      </c>
      <c r="D1958" t="s">
        <v>1027</v>
      </c>
      <c r="E1958">
        <v>63774</v>
      </c>
      <c r="F1958" t="s">
        <v>1166</v>
      </c>
      <c r="G1958" t="b">
        <v>0</v>
      </c>
      <c r="H1958" t="b">
        <v>0</v>
      </c>
      <c r="I1958" t="s">
        <v>1050</v>
      </c>
      <c r="J1958">
        <v>25</v>
      </c>
      <c r="K1958" t="s">
        <v>1</v>
      </c>
      <c r="L1958" t="s">
        <v>1167</v>
      </c>
      <c r="M1958" t="s">
        <v>1168</v>
      </c>
      <c r="N1958" t="s">
        <v>1169</v>
      </c>
      <c r="O1958" t="s">
        <v>1168</v>
      </c>
      <c r="P1958" t="s">
        <v>1170</v>
      </c>
    </row>
    <row r="1959" spans="1:16" x14ac:dyDescent="0.25">
      <c r="A1959" t="s">
        <v>4374</v>
      </c>
      <c r="B1959" t="s">
        <v>4375</v>
      </c>
      <c r="C1959" t="s">
        <v>1165</v>
      </c>
      <c r="D1959" t="s">
        <v>1027</v>
      </c>
      <c r="E1959">
        <v>63774</v>
      </c>
      <c r="F1959" t="s">
        <v>1166</v>
      </c>
      <c r="G1959" t="b">
        <v>0</v>
      </c>
      <c r="H1959" t="b">
        <v>0</v>
      </c>
      <c r="I1959" t="s">
        <v>1050</v>
      </c>
      <c r="J1959">
        <v>25</v>
      </c>
      <c r="K1959" t="s">
        <v>1</v>
      </c>
      <c r="L1959" t="s">
        <v>1167</v>
      </c>
      <c r="M1959" t="s">
        <v>1168</v>
      </c>
      <c r="N1959" t="s">
        <v>1169</v>
      </c>
      <c r="O1959" t="s">
        <v>1168</v>
      </c>
      <c r="P1959" t="s">
        <v>1170</v>
      </c>
    </row>
    <row r="1960" spans="1:16" x14ac:dyDescent="0.25">
      <c r="A1960" t="s">
        <v>4376</v>
      </c>
      <c r="B1960" t="s">
        <v>4377</v>
      </c>
      <c r="C1960" t="s">
        <v>1165</v>
      </c>
      <c r="D1960" t="s">
        <v>1027</v>
      </c>
      <c r="E1960">
        <v>63774</v>
      </c>
      <c r="F1960" t="s">
        <v>1166</v>
      </c>
      <c r="G1960" t="b">
        <v>0</v>
      </c>
      <c r="H1960" t="b">
        <v>0</v>
      </c>
      <c r="I1960" t="s">
        <v>1050</v>
      </c>
      <c r="J1960">
        <v>25</v>
      </c>
      <c r="K1960" t="s">
        <v>1</v>
      </c>
      <c r="L1960" t="s">
        <v>1167</v>
      </c>
      <c r="M1960" t="s">
        <v>1168</v>
      </c>
      <c r="N1960" t="s">
        <v>1169</v>
      </c>
      <c r="O1960" t="s">
        <v>1168</v>
      </c>
      <c r="P1960" t="s">
        <v>1170</v>
      </c>
    </row>
    <row r="1961" spans="1:16" x14ac:dyDescent="0.25">
      <c r="A1961" t="s">
        <v>4378</v>
      </c>
      <c r="B1961" t="s">
        <v>4379</v>
      </c>
      <c r="C1961" t="s">
        <v>1165</v>
      </c>
      <c r="D1961" t="s">
        <v>1027</v>
      </c>
      <c r="E1961">
        <v>63774</v>
      </c>
      <c r="F1961" t="s">
        <v>1166</v>
      </c>
      <c r="G1961" t="b">
        <v>0</v>
      </c>
      <c r="H1961" t="b">
        <v>0</v>
      </c>
      <c r="I1961" t="s">
        <v>1050</v>
      </c>
      <c r="J1961">
        <v>25</v>
      </c>
      <c r="K1961" t="s">
        <v>1</v>
      </c>
      <c r="L1961" t="s">
        <v>1167</v>
      </c>
      <c r="M1961" t="s">
        <v>1168</v>
      </c>
      <c r="N1961" t="s">
        <v>1169</v>
      </c>
      <c r="O1961" t="s">
        <v>1168</v>
      </c>
      <c r="P1961" t="s">
        <v>1170</v>
      </c>
    </row>
    <row r="1962" spans="1:16" x14ac:dyDescent="0.25">
      <c r="A1962" t="s">
        <v>4380</v>
      </c>
      <c r="B1962" t="s">
        <v>4381</v>
      </c>
      <c r="C1962" t="s">
        <v>1165</v>
      </c>
      <c r="D1962" t="s">
        <v>1027</v>
      </c>
      <c r="E1962">
        <v>63774</v>
      </c>
      <c r="F1962" t="s">
        <v>1166</v>
      </c>
      <c r="G1962" t="b">
        <v>0</v>
      </c>
      <c r="H1962" t="b">
        <v>0</v>
      </c>
      <c r="I1962" t="s">
        <v>1050</v>
      </c>
      <c r="J1962">
        <v>25</v>
      </c>
      <c r="K1962" t="s">
        <v>1</v>
      </c>
      <c r="L1962" t="s">
        <v>1167</v>
      </c>
      <c r="M1962" t="s">
        <v>1168</v>
      </c>
      <c r="N1962" t="s">
        <v>1169</v>
      </c>
      <c r="O1962" t="s">
        <v>1168</v>
      </c>
      <c r="P1962" t="s">
        <v>1170</v>
      </c>
    </row>
    <row r="1963" spans="1:16" x14ac:dyDescent="0.25">
      <c r="A1963" t="s">
        <v>4382</v>
      </c>
      <c r="B1963" t="s">
        <v>4383</v>
      </c>
      <c r="C1963" t="s">
        <v>1165</v>
      </c>
      <c r="D1963" t="s">
        <v>1027</v>
      </c>
      <c r="E1963">
        <v>63774</v>
      </c>
      <c r="F1963" t="s">
        <v>1166</v>
      </c>
      <c r="G1963" t="b">
        <v>0</v>
      </c>
      <c r="H1963" t="b">
        <v>0</v>
      </c>
      <c r="I1963" t="s">
        <v>1050</v>
      </c>
      <c r="J1963">
        <v>25</v>
      </c>
      <c r="K1963" t="s">
        <v>1</v>
      </c>
      <c r="L1963" t="s">
        <v>1167</v>
      </c>
      <c r="M1963" t="s">
        <v>1168</v>
      </c>
      <c r="N1963" t="s">
        <v>1169</v>
      </c>
      <c r="O1963" t="s">
        <v>1168</v>
      </c>
      <c r="P1963" t="s">
        <v>1170</v>
      </c>
    </row>
    <row r="1964" spans="1:16" x14ac:dyDescent="0.25">
      <c r="A1964" t="s">
        <v>4384</v>
      </c>
      <c r="B1964" t="s">
        <v>4385</v>
      </c>
      <c r="C1964" t="s">
        <v>1165</v>
      </c>
      <c r="D1964" t="s">
        <v>1027</v>
      </c>
      <c r="E1964">
        <v>63774</v>
      </c>
      <c r="F1964" t="s">
        <v>1166</v>
      </c>
      <c r="G1964" t="b">
        <v>0</v>
      </c>
      <c r="H1964" t="b">
        <v>0</v>
      </c>
      <c r="I1964" t="s">
        <v>1050</v>
      </c>
      <c r="J1964">
        <v>25</v>
      </c>
      <c r="K1964" t="s">
        <v>1</v>
      </c>
      <c r="L1964" t="s">
        <v>1167</v>
      </c>
      <c r="M1964" t="s">
        <v>1168</v>
      </c>
      <c r="N1964" t="s">
        <v>1169</v>
      </c>
      <c r="O1964" t="s">
        <v>1168</v>
      </c>
      <c r="P1964" t="s">
        <v>1170</v>
      </c>
    </row>
    <row r="1965" spans="1:16" x14ac:dyDescent="0.25">
      <c r="A1965" t="s">
        <v>4386</v>
      </c>
      <c r="B1965" t="s">
        <v>4387</v>
      </c>
      <c r="C1965" t="s">
        <v>1165</v>
      </c>
      <c r="D1965" t="s">
        <v>1027</v>
      </c>
      <c r="E1965">
        <v>63774</v>
      </c>
      <c r="F1965" t="s">
        <v>1166</v>
      </c>
      <c r="G1965" t="b">
        <v>0</v>
      </c>
      <c r="H1965" t="b">
        <v>0</v>
      </c>
      <c r="I1965" t="s">
        <v>1050</v>
      </c>
      <c r="J1965">
        <v>25</v>
      </c>
      <c r="K1965" t="s">
        <v>1</v>
      </c>
      <c r="L1965" t="s">
        <v>1167</v>
      </c>
      <c r="M1965" t="s">
        <v>1168</v>
      </c>
      <c r="N1965" t="s">
        <v>1169</v>
      </c>
      <c r="O1965" t="s">
        <v>1168</v>
      </c>
      <c r="P1965" t="s">
        <v>1170</v>
      </c>
    </row>
    <row r="1966" spans="1:16" x14ac:dyDescent="0.25">
      <c r="A1966" t="s">
        <v>4388</v>
      </c>
      <c r="B1966" t="s">
        <v>4389</v>
      </c>
      <c r="C1966" t="s">
        <v>1571</v>
      </c>
      <c r="D1966" t="s">
        <v>1027</v>
      </c>
      <c r="E1966">
        <v>63767</v>
      </c>
      <c r="G1966" t="b">
        <v>0</v>
      </c>
      <c r="H1966" t="b">
        <v>0</v>
      </c>
      <c r="I1966" t="s">
        <v>1050</v>
      </c>
      <c r="J1966">
        <v>80</v>
      </c>
      <c r="K1966" t="s">
        <v>0</v>
      </c>
      <c r="L1966" t="s">
        <v>1167</v>
      </c>
      <c r="M1966" t="s">
        <v>1168</v>
      </c>
      <c r="N1966" t="s">
        <v>1169</v>
      </c>
      <c r="O1966" t="s">
        <v>1168</v>
      </c>
      <c r="P1966" t="s">
        <v>1283</v>
      </c>
    </row>
    <row r="1967" spans="1:16" x14ac:dyDescent="0.25">
      <c r="A1967" t="s">
        <v>4390</v>
      </c>
      <c r="B1967" t="s">
        <v>4391</v>
      </c>
      <c r="C1967" t="s">
        <v>1571</v>
      </c>
      <c r="D1967" t="s">
        <v>1027</v>
      </c>
      <c r="E1967">
        <v>63767</v>
      </c>
      <c r="G1967" t="b">
        <v>0</v>
      </c>
      <c r="H1967" t="b">
        <v>0</v>
      </c>
      <c r="I1967" t="s">
        <v>1050</v>
      </c>
      <c r="J1967">
        <v>80</v>
      </c>
      <c r="K1967" t="s">
        <v>0</v>
      </c>
      <c r="L1967" t="s">
        <v>1167</v>
      </c>
      <c r="M1967" t="s">
        <v>1168</v>
      </c>
      <c r="N1967" t="s">
        <v>1169</v>
      </c>
      <c r="O1967" t="s">
        <v>1168</v>
      </c>
      <c r="P1967" t="s">
        <v>1283</v>
      </c>
    </row>
    <row r="1968" spans="1:16" x14ac:dyDescent="0.25">
      <c r="A1968" t="s">
        <v>4392</v>
      </c>
      <c r="B1968" t="s">
        <v>4393</v>
      </c>
      <c r="C1968" t="s">
        <v>1165</v>
      </c>
      <c r="D1968" t="s">
        <v>1027</v>
      </c>
      <c r="E1968">
        <v>63774</v>
      </c>
      <c r="F1968" t="s">
        <v>1166</v>
      </c>
      <c r="G1968" t="b">
        <v>0</v>
      </c>
      <c r="H1968" t="b">
        <v>0</v>
      </c>
      <c r="I1968" t="s">
        <v>1050</v>
      </c>
      <c r="J1968">
        <v>30</v>
      </c>
      <c r="K1968" t="s">
        <v>1</v>
      </c>
      <c r="L1968" t="s">
        <v>1167</v>
      </c>
      <c r="M1968" t="s">
        <v>1168</v>
      </c>
      <c r="N1968" t="s">
        <v>1169</v>
      </c>
      <c r="O1968" t="s">
        <v>1168</v>
      </c>
      <c r="P1968" t="s">
        <v>1170</v>
      </c>
    </row>
    <row r="1969" spans="1:16" x14ac:dyDescent="0.25">
      <c r="A1969" t="s">
        <v>4394</v>
      </c>
      <c r="B1969" t="s">
        <v>4395</v>
      </c>
      <c r="C1969" t="s">
        <v>1165</v>
      </c>
      <c r="D1969" t="s">
        <v>1027</v>
      </c>
      <c r="E1969">
        <v>63774</v>
      </c>
      <c r="F1969" t="s">
        <v>1166</v>
      </c>
      <c r="G1969" t="b">
        <v>0</v>
      </c>
      <c r="H1969" t="b">
        <v>0</v>
      </c>
      <c r="I1969" t="s">
        <v>1050</v>
      </c>
      <c r="J1969">
        <v>30</v>
      </c>
      <c r="K1969" t="s">
        <v>1</v>
      </c>
      <c r="L1969" t="s">
        <v>1167</v>
      </c>
      <c r="M1969" t="s">
        <v>1168</v>
      </c>
      <c r="N1969" t="s">
        <v>1169</v>
      </c>
      <c r="O1969" t="s">
        <v>1168</v>
      </c>
      <c r="P1969" t="s">
        <v>1170</v>
      </c>
    </row>
    <row r="1970" spans="1:16" x14ac:dyDescent="0.25">
      <c r="A1970" t="s">
        <v>4396</v>
      </c>
      <c r="B1970" t="s">
        <v>4397</v>
      </c>
      <c r="C1970" t="s">
        <v>1165</v>
      </c>
      <c r="D1970" t="s">
        <v>1027</v>
      </c>
      <c r="E1970">
        <v>63774</v>
      </c>
      <c r="F1970" t="s">
        <v>1166</v>
      </c>
      <c r="G1970" t="b">
        <v>0</v>
      </c>
      <c r="H1970" t="b">
        <v>0</v>
      </c>
      <c r="I1970" t="s">
        <v>1050</v>
      </c>
      <c r="J1970">
        <v>30</v>
      </c>
      <c r="K1970" t="s">
        <v>1</v>
      </c>
      <c r="L1970" t="s">
        <v>1167</v>
      </c>
      <c r="M1970" t="s">
        <v>1168</v>
      </c>
      <c r="N1970" t="s">
        <v>1169</v>
      </c>
      <c r="O1970" t="s">
        <v>1168</v>
      </c>
      <c r="P1970" t="s">
        <v>1170</v>
      </c>
    </row>
    <row r="1971" spans="1:16" x14ac:dyDescent="0.25">
      <c r="A1971" t="s">
        <v>4398</v>
      </c>
      <c r="B1971" t="s">
        <v>4399</v>
      </c>
      <c r="C1971" t="s">
        <v>1165</v>
      </c>
      <c r="D1971" t="s">
        <v>1027</v>
      </c>
      <c r="E1971">
        <v>63774</v>
      </c>
      <c r="F1971" t="s">
        <v>1166</v>
      </c>
      <c r="G1971" t="b">
        <v>0</v>
      </c>
      <c r="H1971" t="b">
        <v>0</v>
      </c>
      <c r="I1971" t="s">
        <v>1050</v>
      </c>
      <c r="J1971">
        <v>30</v>
      </c>
      <c r="K1971" t="s">
        <v>1</v>
      </c>
      <c r="L1971" t="s">
        <v>1167</v>
      </c>
      <c r="M1971" t="s">
        <v>1168</v>
      </c>
      <c r="N1971" t="s">
        <v>1169</v>
      </c>
      <c r="O1971" t="s">
        <v>1168</v>
      </c>
      <c r="P1971" t="s">
        <v>1170</v>
      </c>
    </row>
    <row r="1972" spans="1:16" x14ac:dyDescent="0.25">
      <c r="A1972" t="s">
        <v>4400</v>
      </c>
      <c r="B1972" t="s">
        <v>4401</v>
      </c>
      <c r="C1972" t="s">
        <v>1165</v>
      </c>
      <c r="D1972" t="s">
        <v>1027</v>
      </c>
      <c r="E1972">
        <v>63774</v>
      </c>
      <c r="F1972" t="s">
        <v>1166</v>
      </c>
      <c r="G1972" t="b">
        <v>0</v>
      </c>
      <c r="H1972" t="b">
        <v>0</v>
      </c>
      <c r="I1972" t="s">
        <v>1050</v>
      </c>
      <c r="J1972">
        <v>30</v>
      </c>
      <c r="K1972" t="s">
        <v>1</v>
      </c>
      <c r="L1972" t="s">
        <v>1167</v>
      </c>
      <c r="M1972" t="s">
        <v>1168</v>
      </c>
      <c r="N1972" t="s">
        <v>1169</v>
      </c>
      <c r="O1972" t="s">
        <v>1168</v>
      </c>
      <c r="P1972" t="s">
        <v>1170</v>
      </c>
    </row>
    <row r="1973" spans="1:16" x14ac:dyDescent="0.25">
      <c r="A1973" t="s">
        <v>4402</v>
      </c>
      <c r="B1973" t="s">
        <v>4403</v>
      </c>
      <c r="C1973" t="s">
        <v>1165</v>
      </c>
      <c r="D1973" t="s">
        <v>1027</v>
      </c>
      <c r="E1973">
        <v>63774</v>
      </c>
      <c r="F1973" t="s">
        <v>1166</v>
      </c>
      <c r="G1973" t="b">
        <v>0</v>
      </c>
      <c r="H1973" t="b">
        <v>0</v>
      </c>
      <c r="I1973" t="s">
        <v>1050</v>
      </c>
      <c r="J1973">
        <v>30</v>
      </c>
      <c r="K1973" t="s">
        <v>1</v>
      </c>
      <c r="L1973" t="s">
        <v>1167</v>
      </c>
      <c r="M1973" t="s">
        <v>1168</v>
      </c>
      <c r="N1973" t="s">
        <v>1169</v>
      </c>
      <c r="O1973" t="s">
        <v>1168</v>
      </c>
      <c r="P1973" t="s">
        <v>1170</v>
      </c>
    </row>
    <row r="1974" spans="1:16" x14ac:dyDescent="0.25">
      <c r="A1974" t="s">
        <v>4404</v>
      </c>
      <c r="B1974" t="s">
        <v>4405</v>
      </c>
      <c r="C1974" t="s">
        <v>1165</v>
      </c>
      <c r="D1974" t="s">
        <v>1027</v>
      </c>
      <c r="E1974">
        <v>63774</v>
      </c>
      <c r="F1974" t="s">
        <v>1166</v>
      </c>
      <c r="G1974" t="b">
        <v>0</v>
      </c>
      <c r="H1974" t="b">
        <v>0</v>
      </c>
      <c r="I1974" t="s">
        <v>1050</v>
      </c>
      <c r="J1974">
        <v>30</v>
      </c>
      <c r="K1974" t="s">
        <v>1</v>
      </c>
      <c r="L1974" t="s">
        <v>1167</v>
      </c>
      <c r="M1974" t="s">
        <v>1168</v>
      </c>
      <c r="N1974" t="s">
        <v>1169</v>
      </c>
      <c r="O1974" t="s">
        <v>1168</v>
      </c>
      <c r="P1974" t="s">
        <v>1170</v>
      </c>
    </row>
    <row r="1975" spans="1:16" x14ac:dyDescent="0.25">
      <c r="A1975" t="s">
        <v>4406</v>
      </c>
      <c r="B1975" t="s">
        <v>4407</v>
      </c>
      <c r="C1975" t="s">
        <v>1165</v>
      </c>
      <c r="D1975" t="s">
        <v>1027</v>
      </c>
      <c r="E1975">
        <v>63774</v>
      </c>
      <c r="F1975" t="s">
        <v>1166</v>
      </c>
      <c r="G1975" t="b">
        <v>0</v>
      </c>
      <c r="H1975" t="b">
        <v>0</v>
      </c>
      <c r="I1975" t="s">
        <v>1050</v>
      </c>
      <c r="J1975">
        <v>30</v>
      </c>
      <c r="K1975" t="s">
        <v>1</v>
      </c>
      <c r="L1975" t="s">
        <v>1167</v>
      </c>
      <c r="M1975" t="s">
        <v>1168</v>
      </c>
      <c r="N1975" t="s">
        <v>1169</v>
      </c>
      <c r="O1975" t="s">
        <v>1168</v>
      </c>
      <c r="P1975" t="s">
        <v>1170</v>
      </c>
    </row>
    <row r="1976" spans="1:16" x14ac:dyDescent="0.25">
      <c r="A1976" t="s">
        <v>4408</v>
      </c>
      <c r="B1976" t="s">
        <v>4409</v>
      </c>
      <c r="C1976" t="s">
        <v>1165</v>
      </c>
      <c r="D1976" t="s">
        <v>1027</v>
      </c>
      <c r="E1976">
        <v>63774</v>
      </c>
      <c r="F1976" t="s">
        <v>1166</v>
      </c>
      <c r="G1976" t="b">
        <v>0</v>
      </c>
      <c r="H1976" t="b">
        <v>0</v>
      </c>
      <c r="I1976" t="s">
        <v>1050</v>
      </c>
      <c r="J1976">
        <v>57</v>
      </c>
      <c r="K1976" t="s">
        <v>1</v>
      </c>
      <c r="L1976" t="s">
        <v>1167</v>
      </c>
      <c r="M1976" t="s">
        <v>1168</v>
      </c>
      <c r="N1976" t="s">
        <v>1169</v>
      </c>
      <c r="O1976" t="s">
        <v>1168</v>
      </c>
      <c r="P1976" t="s">
        <v>1170</v>
      </c>
    </row>
    <row r="1977" spans="1:16" x14ac:dyDescent="0.25">
      <c r="A1977" t="s">
        <v>4410</v>
      </c>
      <c r="B1977" t="s">
        <v>4411</v>
      </c>
      <c r="C1977" t="s">
        <v>1165</v>
      </c>
      <c r="D1977" t="s">
        <v>1027</v>
      </c>
      <c r="E1977">
        <v>63774</v>
      </c>
      <c r="F1977" t="s">
        <v>1166</v>
      </c>
      <c r="G1977" t="b">
        <v>0</v>
      </c>
      <c r="H1977" t="b">
        <v>0</v>
      </c>
      <c r="I1977" t="s">
        <v>1050</v>
      </c>
      <c r="J1977">
        <v>57</v>
      </c>
      <c r="K1977" t="s">
        <v>1</v>
      </c>
      <c r="L1977" t="s">
        <v>1167</v>
      </c>
      <c r="M1977" t="s">
        <v>1168</v>
      </c>
      <c r="N1977" t="s">
        <v>1169</v>
      </c>
      <c r="O1977" t="s">
        <v>1168</v>
      </c>
      <c r="P1977" t="s">
        <v>1170</v>
      </c>
    </row>
    <row r="1978" spans="1:16" x14ac:dyDescent="0.25">
      <c r="A1978" t="s">
        <v>4412</v>
      </c>
      <c r="B1978" t="s">
        <v>4413</v>
      </c>
      <c r="C1978" t="s">
        <v>1165</v>
      </c>
      <c r="D1978" t="s">
        <v>1027</v>
      </c>
      <c r="E1978">
        <v>63774</v>
      </c>
      <c r="F1978" t="s">
        <v>1166</v>
      </c>
      <c r="G1978" t="b">
        <v>0</v>
      </c>
      <c r="H1978" t="b">
        <v>0</v>
      </c>
      <c r="I1978" t="s">
        <v>1050</v>
      </c>
      <c r="J1978">
        <v>60</v>
      </c>
      <c r="K1978" t="s">
        <v>1</v>
      </c>
      <c r="L1978" t="s">
        <v>1167</v>
      </c>
      <c r="M1978" t="s">
        <v>1168</v>
      </c>
      <c r="N1978" t="s">
        <v>1169</v>
      </c>
      <c r="O1978" t="s">
        <v>1168</v>
      </c>
      <c r="P1978" t="s">
        <v>1170</v>
      </c>
    </row>
    <row r="1979" spans="1:16" x14ac:dyDescent="0.25">
      <c r="A1979" t="s">
        <v>4414</v>
      </c>
      <c r="B1979" t="s">
        <v>4415</v>
      </c>
      <c r="C1979" t="s">
        <v>1606</v>
      </c>
      <c r="D1979" t="s">
        <v>1027</v>
      </c>
      <c r="E1979">
        <v>1324</v>
      </c>
      <c r="F1979" t="s">
        <v>1607</v>
      </c>
      <c r="G1979" t="b">
        <v>0</v>
      </c>
      <c r="H1979" t="b">
        <v>0</v>
      </c>
      <c r="I1979" t="s">
        <v>1050</v>
      </c>
      <c r="J1979">
        <v>90</v>
      </c>
      <c r="K1979" t="s">
        <v>2</v>
      </c>
      <c r="L1979" t="s">
        <v>1608</v>
      </c>
      <c r="M1979" t="s">
        <v>1609</v>
      </c>
      <c r="N1979" t="s">
        <v>1608</v>
      </c>
      <c r="O1979" t="s">
        <v>1610</v>
      </c>
      <c r="P1979" t="s">
        <v>1611</v>
      </c>
    </row>
    <row r="1980" spans="1:16" x14ac:dyDescent="0.25">
      <c r="A1980" t="s">
        <v>4416</v>
      </c>
      <c r="B1980" t="s">
        <v>4415</v>
      </c>
      <c r="C1980" t="s">
        <v>1606</v>
      </c>
      <c r="D1980" t="s">
        <v>1027</v>
      </c>
      <c r="E1980">
        <v>1324</v>
      </c>
      <c r="F1980" t="s">
        <v>1607</v>
      </c>
      <c r="G1980" t="b">
        <v>0</v>
      </c>
      <c r="H1980" t="b">
        <v>0</v>
      </c>
      <c r="I1980" t="s">
        <v>1050</v>
      </c>
      <c r="J1980">
        <v>90</v>
      </c>
      <c r="K1980" t="s">
        <v>2</v>
      </c>
      <c r="L1980" t="s">
        <v>1608</v>
      </c>
      <c r="M1980" t="s">
        <v>1609</v>
      </c>
      <c r="N1980" t="s">
        <v>1608</v>
      </c>
      <c r="O1980" t="s">
        <v>1610</v>
      </c>
      <c r="P1980" t="s">
        <v>1611</v>
      </c>
    </row>
    <row r="1981" spans="1:16" x14ac:dyDescent="0.25">
      <c r="A1981" t="s">
        <v>4417</v>
      </c>
      <c r="B1981" t="s">
        <v>4415</v>
      </c>
      <c r="C1981" t="s">
        <v>1606</v>
      </c>
      <c r="D1981" t="s">
        <v>1027</v>
      </c>
      <c r="E1981">
        <v>1324</v>
      </c>
      <c r="F1981" t="s">
        <v>1607</v>
      </c>
      <c r="G1981" t="b">
        <v>0</v>
      </c>
      <c r="H1981" t="b">
        <v>0</v>
      </c>
      <c r="I1981" t="s">
        <v>1050</v>
      </c>
      <c r="J1981">
        <v>90</v>
      </c>
      <c r="K1981" t="s">
        <v>2</v>
      </c>
      <c r="L1981" t="s">
        <v>1608</v>
      </c>
      <c r="M1981" t="s">
        <v>1609</v>
      </c>
      <c r="N1981" t="s">
        <v>1608</v>
      </c>
      <c r="O1981" t="s">
        <v>1610</v>
      </c>
      <c r="P1981" t="s">
        <v>1611</v>
      </c>
    </row>
    <row r="1982" spans="1:16" x14ac:dyDescent="0.25">
      <c r="A1982" t="s">
        <v>4418</v>
      </c>
      <c r="B1982" t="s">
        <v>4415</v>
      </c>
      <c r="C1982" t="s">
        <v>1606</v>
      </c>
      <c r="D1982" t="s">
        <v>1027</v>
      </c>
      <c r="E1982">
        <v>1324</v>
      </c>
      <c r="F1982" t="s">
        <v>1607</v>
      </c>
      <c r="G1982" t="b">
        <v>0</v>
      </c>
      <c r="H1982" t="b">
        <v>0</v>
      </c>
      <c r="I1982" t="s">
        <v>1050</v>
      </c>
      <c r="J1982">
        <v>90</v>
      </c>
      <c r="K1982" t="s">
        <v>2</v>
      </c>
      <c r="L1982" t="s">
        <v>1608</v>
      </c>
      <c r="M1982" t="s">
        <v>1609</v>
      </c>
      <c r="N1982" t="s">
        <v>1608</v>
      </c>
      <c r="O1982" t="s">
        <v>1610</v>
      </c>
      <c r="P1982" t="s">
        <v>1611</v>
      </c>
    </row>
    <row r="1983" spans="1:16" x14ac:dyDescent="0.25">
      <c r="A1983" t="s">
        <v>4419</v>
      </c>
      <c r="B1983" t="s">
        <v>4420</v>
      </c>
      <c r="C1983" t="s">
        <v>1571</v>
      </c>
      <c r="D1983" t="s">
        <v>1027</v>
      </c>
      <c r="E1983">
        <v>63767</v>
      </c>
      <c r="G1983" t="b">
        <v>0</v>
      </c>
      <c r="H1983" t="b">
        <v>0</v>
      </c>
      <c r="I1983" t="s">
        <v>1050</v>
      </c>
      <c r="J1983">
        <v>80</v>
      </c>
      <c r="K1983" t="s">
        <v>0</v>
      </c>
      <c r="L1983" t="s">
        <v>1167</v>
      </c>
      <c r="M1983" t="s">
        <v>1168</v>
      </c>
      <c r="N1983" t="s">
        <v>1169</v>
      </c>
      <c r="O1983" t="s">
        <v>1168</v>
      </c>
      <c r="P1983" t="s">
        <v>1283</v>
      </c>
    </row>
    <row r="1984" spans="1:16" x14ac:dyDescent="0.25">
      <c r="A1984" t="s">
        <v>4421</v>
      </c>
      <c r="B1984" t="s">
        <v>4422</v>
      </c>
      <c r="C1984" t="s">
        <v>1571</v>
      </c>
      <c r="D1984" t="s">
        <v>1027</v>
      </c>
      <c r="E1984">
        <v>63767</v>
      </c>
      <c r="G1984" t="b">
        <v>0</v>
      </c>
      <c r="H1984" t="b">
        <v>0</v>
      </c>
      <c r="I1984" t="s">
        <v>1050</v>
      </c>
      <c r="J1984">
        <v>80</v>
      </c>
      <c r="K1984" t="s">
        <v>0</v>
      </c>
      <c r="L1984" t="s">
        <v>1167</v>
      </c>
      <c r="M1984" t="s">
        <v>1168</v>
      </c>
      <c r="N1984" t="s">
        <v>1169</v>
      </c>
      <c r="O1984" t="s">
        <v>1168</v>
      </c>
      <c r="P1984" t="s">
        <v>1283</v>
      </c>
    </row>
    <row r="1985" spans="1:16" x14ac:dyDescent="0.25">
      <c r="A1985" t="s">
        <v>4423</v>
      </c>
      <c r="B1985" t="s">
        <v>4424</v>
      </c>
      <c r="C1985" t="s">
        <v>1571</v>
      </c>
      <c r="D1985" t="s">
        <v>1027</v>
      </c>
      <c r="E1985">
        <v>63767</v>
      </c>
      <c r="G1985" t="b">
        <v>0</v>
      </c>
      <c r="H1985" t="b">
        <v>0</v>
      </c>
      <c r="I1985" t="s">
        <v>1050</v>
      </c>
      <c r="J1985">
        <v>80</v>
      </c>
      <c r="K1985" t="s">
        <v>0</v>
      </c>
      <c r="L1985" t="s">
        <v>1167</v>
      </c>
      <c r="M1985" t="s">
        <v>1168</v>
      </c>
      <c r="N1985" t="s">
        <v>1169</v>
      </c>
      <c r="O1985" t="s">
        <v>1168</v>
      </c>
      <c r="P1985" t="s">
        <v>1283</v>
      </c>
    </row>
    <row r="1986" spans="1:16" x14ac:dyDescent="0.25">
      <c r="A1986" t="s">
        <v>4425</v>
      </c>
      <c r="B1986" t="s">
        <v>4426</v>
      </c>
      <c r="C1986" t="s">
        <v>1571</v>
      </c>
      <c r="D1986" t="s">
        <v>1027</v>
      </c>
      <c r="E1986">
        <v>63767</v>
      </c>
      <c r="G1986" t="b">
        <v>0</v>
      </c>
      <c r="H1986" t="b">
        <v>0</v>
      </c>
      <c r="I1986" t="s">
        <v>1050</v>
      </c>
      <c r="J1986">
        <v>80</v>
      </c>
      <c r="K1986" t="s">
        <v>0</v>
      </c>
      <c r="L1986" t="s">
        <v>1167</v>
      </c>
      <c r="M1986" t="s">
        <v>1168</v>
      </c>
      <c r="N1986" t="s">
        <v>1169</v>
      </c>
      <c r="O1986" t="s">
        <v>1168</v>
      </c>
      <c r="P1986" t="s">
        <v>1283</v>
      </c>
    </row>
    <row r="1987" spans="1:16" x14ac:dyDescent="0.25">
      <c r="A1987" t="s">
        <v>4427</v>
      </c>
      <c r="B1987" t="s">
        <v>4428</v>
      </c>
      <c r="C1987" t="s">
        <v>1571</v>
      </c>
      <c r="D1987" t="s">
        <v>1027</v>
      </c>
      <c r="E1987">
        <v>63767</v>
      </c>
      <c r="G1987" t="b">
        <v>0</v>
      </c>
      <c r="H1987" t="b">
        <v>0</v>
      </c>
      <c r="I1987" t="s">
        <v>1050</v>
      </c>
      <c r="J1987">
        <v>80</v>
      </c>
      <c r="K1987" t="s">
        <v>0</v>
      </c>
      <c r="L1987" t="s">
        <v>1167</v>
      </c>
      <c r="M1987" t="s">
        <v>1168</v>
      </c>
      <c r="N1987" t="s">
        <v>1169</v>
      </c>
      <c r="O1987" t="s">
        <v>1168</v>
      </c>
      <c r="P1987" t="s">
        <v>1283</v>
      </c>
    </row>
    <row r="1988" spans="1:16" x14ac:dyDescent="0.25">
      <c r="A1988" t="s">
        <v>4429</v>
      </c>
      <c r="B1988" t="s">
        <v>4430</v>
      </c>
      <c r="C1988" t="s">
        <v>1571</v>
      </c>
      <c r="D1988" t="s">
        <v>1027</v>
      </c>
      <c r="E1988">
        <v>63767</v>
      </c>
      <c r="G1988" t="b">
        <v>0</v>
      </c>
      <c r="H1988" t="b">
        <v>0</v>
      </c>
      <c r="I1988" t="s">
        <v>1050</v>
      </c>
      <c r="J1988">
        <v>80</v>
      </c>
      <c r="K1988" t="s">
        <v>0</v>
      </c>
      <c r="L1988" t="s">
        <v>1167</v>
      </c>
      <c r="M1988" t="s">
        <v>1168</v>
      </c>
      <c r="N1988" t="s">
        <v>1169</v>
      </c>
      <c r="O1988" t="s">
        <v>1168</v>
      </c>
      <c r="P1988" t="s">
        <v>1283</v>
      </c>
    </row>
    <row r="1989" spans="1:16" x14ac:dyDescent="0.25">
      <c r="A1989" t="s">
        <v>4431</v>
      </c>
      <c r="B1989" t="s">
        <v>4432</v>
      </c>
      <c r="C1989" t="s">
        <v>1571</v>
      </c>
      <c r="D1989" t="s">
        <v>1027</v>
      </c>
      <c r="E1989">
        <v>63767</v>
      </c>
      <c r="G1989" t="b">
        <v>0</v>
      </c>
      <c r="H1989" t="b">
        <v>0</v>
      </c>
      <c r="I1989" t="s">
        <v>1050</v>
      </c>
      <c r="J1989">
        <v>80</v>
      </c>
      <c r="K1989" t="s">
        <v>0</v>
      </c>
      <c r="L1989" t="s">
        <v>1167</v>
      </c>
      <c r="M1989" t="s">
        <v>1168</v>
      </c>
      <c r="N1989" t="s">
        <v>1169</v>
      </c>
      <c r="O1989" t="s">
        <v>1168</v>
      </c>
      <c r="P1989" t="s">
        <v>1283</v>
      </c>
    </row>
    <row r="1990" spans="1:16" x14ac:dyDescent="0.25">
      <c r="A1990" t="s">
        <v>4433</v>
      </c>
      <c r="B1990" t="s">
        <v>4434</v>
      </c>
      <c r="C1990" t="s">
        <v>1678</v>
      </c>
      <c r="D1990" t="s">
        <v>1027</v>
      </c>
      <c r="E1990">
        <v>63786</v>
      </c>
      <c r="F1990" t="s">
        <v>1679</v>
      </c>
      <c r="G1990" t="b">
        <v>0</v>
      </c>
      <c r="H1990" t="b">
        <v>0</v>
      </c>
      <c r="I1990" t="s">
        <v>1050</v>
      </c>
      <c r="J1990">
        <v>46</v>
      </c>
      <c r="K1990" t="s">
        <v>2</v>
      </c>
      <c r="L1990" t="s">
        <v>1680</v>
      </c>
      <c r="M1990" t="s">
        <v>1680</v>
      </c>
      <c r="N1990" t="s">
        <v>1681</v>
      </c>
      <c r="O1990" t="s">
        <v>1680</v>
      </c>
      <c r="P1990" t="s">
        <v>1682</v>
      </c>
    </row>
    <row r="1991" spans="1:16" x14ac:dyDescent="0.25">
      <c r="A1991" t="s">
        <v>4435</v>
      </c>
      <c r="B1991" t="s">
        <v>4436</v>
      </c>
      <c r="C1991" t="s">
        <v>1571</v>
      </c>
      <c r="D1991" t="s">
        <v>1027</v>
      </c>
      <c r="E1991">
        <v>63767</v>
      </c>
      <c r="G1991" t="b">
        <v>0</v>
      </c>
      <c r="H1991" t="b">
        <v>0</v>
      </c>
      <c r="I1991" t="s">
        <v>1050</v>
      </c>
      <c r="J1991">
        <v>80</v>
      </c>
      <c r="K1991" t="s">
        <v>0</v>
      </c>
      <c r="L1991" t="s">
        <v>1167</v>
      </c>
      <c r="M1991" t="s">
        <v>1168</v>
      </c>
      <c r="N1991" t="s">
        <v>1169</v>
      </c>
      <c r="O1991" t="s">
        <v>1168</v>
      </c>
      <c r="P1991" t="s">
        <v>1283</v>
      </c>
    </row>
    <row r="1992" spans="1:16" x14ac:dyDescent="0.25">
      <c r="A1992" t="s">
        <v>4437</v>
      </c>
      <c r="B1992" t="s">
        <v>4438</v>
      </c>
      <c r="C1992" t="s">
        <v>1571</v>
      </c>
      <c r="D1992" t="s">
        <v>1027</v>
      </c>
      <c r="E1992">
        <v>63767</v>
      </c>
      <c r="G1992" t="b">
        <v>0</v>
      </c>
      <c r="H1992" t="b">
        <v>0</v>
      </c>
      <c r="I1992" t="s">
        <v>1050</v>
      </c>
      <c r="J1992">
        <v>80</v>
      </c>
      <c r="K1992" t="s">
        <v>0</v>
      </c>
      <c r="L1992" t="s">
        <v>1167</v>
      </c>
      <c r="M1992" t="s">
        <v>1168</v>
      </c>
      <c r="N1992" t="s">
        <v>1169</v>
      </c>
      <c r="O1992" t="s">
        <v>1168</v>
      </c>
      <c r="P1992" t="s">
        <v>1283</v>
      </c>
    </row>
    <row r="1993" spans="1:16" x14ac:dyDescent="0.25">
      <c r="A1993" t="s">
        <v>4439</v>
      </c>
      <c r="B1993" t="s">
        <v>4440</v>
      </c>
      <c r="C1993" t="s">
        <v>1571</v>
      </c>
      <c r="D1993" t="s">
        <v>1027</v>
      </c>
      <c r="E1993">
        <v>63767</v>
      </c>
      <c r="G1993" t="b">
        <v>0</v>
      </c>
      <c r="H1993" t="b">
        <v>0</v>
      </c>
      <c r="I1993" t="s">
        <v>1050</v>
      </c>
      <c r="J1993">
        <v>80</v>
      </c>
      <c r="K1993" t="s">
        <v>0</v>
      </c>
      <c r="L1993" t="s">
        <v>1167</v>
      </c>
      <c r="M1993" t="s">
        <v>1168</v>
      </c>
      <c r="N1993" t="s">
        <v>1169</v>
      </c>
      <c r="O1993" t="s">
        <v>1168</v>
      </c>
      <c r="P1993" t="s">
        <v>1283</v>
      </c>
    </row>
    <row r="1994" spans="1:16" x14ac:dyDescent="0.25">
      <c r="A1994" t="s">
        <v>4441</v>
      </c>
      <c r="B1994" t="s">
        <v>4442</v>
      </c>
      <c r="C1994" t="s">
        <v>1165</v>
      </c>
      <c r="D1994" t="s">
        <v>1027</v>
      </c>
      <c r="E1994">
        <v>63774</v>
      </c>
      <c r="F1994" t="s">
        <v>1166</v>
      </c>
      <c r="G1994" t="b">
        <v>0</v>
      </c>
      <c r="H1994" t="b">
        <v>0</v>
      </c>
      <c r="I1994" t="s">
        <v>1050</v>
      </c>
      <c r="J1994">
        <v>47</v>
      </c>
      <c r="K1994" t="s">
        <v>1</v>
      </c>
      <c r="L1994" t="s">
        <v>1167</v>
      </c>
      <c r="M1994" t="s">
        <v>1168</v>
      </c>
      <c r="N1994" t="s">
        <v>1169</v>
      </c>
      <c r="O1994" t="s">
        <v>1168</v>
      </c>
      <c r="P1994" t="s">
        <v>1170</v>
      </c>
    </row>
    <row r="1995" spans="1:16" x14ac:dyDescent="0.25">
      <c r="A1995" t="s">
        <v>4443</v>
      </c>
      <c r="B1995" t="s">
        <v>4442</v>
      </c>
      <c r="C1995" t="s">
        <v>1165</v>
      </c>
      <c r="D1995" t="s">
        <v>1027</v>
      </c>
      <c r="E1995">
        <v>63774</v>
      </c>
      <c r="F1995" t="s">
        <v>1166</v>
      </c>
      <c r="G1995" t="b">
        <v>0</v>
      </c>
      <c r="H1995" t="b">
        <v>0</v>
      </c>
      <c r="I1995" t="s">
        <v>1050</v>
      </c>
      <c r="J1995">
        <v>47</v>
      </c>
      <c r="K1995" t="s">
        <v>1</v>
      </c>
      <c r="L1995" t="s">
        <v>1167</v>
      </c>
      <c r="M1995" t="s">
        <v>1168</v>
      </c>
      <c r="N1995" t="s">
        <v>1169</v>
      </c>
      <c r="O1995" t="s">
        <v>1168</v>
      </c>
      <c r="P1995" t="s">
        <v>1170</v>
      </c>
    </row>
    <row r="1996" spans="1:16" x14ac:dyDescent="0.25">
      <c r="A1996" t="s">
        <v>4444</v>
      </c>
      <c r="B1996" t="s">
        <v>4445</v>
      </c>
      <c r="C1996" t="s">
        <v>1228</v>
      </c>
      <c r="D1996" t="s">
        <v>1027</v>
      </c>
      <c r="E1996">
        <v>1660</v>
      </c>
      <c r="F1996" t="s">
        <v>1229</v>
      </c>
      <c r="G1996" t="b">
        <v>0</v>
      </c>
      <c r="H1996" t="b">
        <v>0</v>
      </c>
      <c r="I1996" t="s">
        <v>1050</v>
      </c>
      <c r="J1996">
        <v>80</v>
      </c>
      <c r="K1996" t="s">
        <v>2</v>
      </c>
      <c r="L1996" t="s">
        <v>1167</v>
      </c>
      <c r="M1996" t="s">
        <v>1168</v>
      </c>
      <c r="N1996" t="s">
        <v>1169</v>
      </c>
      <c r="O1996" t="s">
        <v>1168</v>
      </c>
      <c r="P1996" t="s">
        <v>1230</v>
      </c>
    </row>
    <row r="1997" spans="1:16" x14ac:dyDescent="0.25">
      <c r="A1997" t="s">
        <v>4446</v>
      </c>
      <c r="B1997" t="s">
        <v>4447</v>
      </c>
      <c r="C1997" t="s">
        <v>1228</v>
      </c>
      <c r="D1997" t="s">
        <v>1027</v>
      </c>
      <c r="E1997">
        <v>1660</v>
      </c>
      <c r="F1997" t="s">
        <v>1229</v>
      </c>
      <c r="G1997" t="b">
        <v>0</v>
      </c>
      <c r="H1997" t="b">
        <v>0</v>
      </c>
      <c r="I1997" t="s">
        <v>1050</v>
      </c>
      <c r="J1997">
        <v>87</v>
      </c>
      <c r="K1997" t="s">
        <v>2</v>
      </c>
      <c r="L1997" t="s">
        <v>1167</v>
      </c>
      <c r="M1997" t="s">
        <v>1168</v>
      </c>
      <c r="N1997" t="s">
        <v>1169</v>
      </c>
      <c r="O1997" t="s">
        <v>1168</v>
      </c>
      <c r="P1997" t="s">
        <v>1230</v>
      </c>
    </row>
    <row r="1998" spans="1:16" x14ac:dyDescent="0.25">
      <c r="A1998" t="s">
        <v>4448</v>
      </c>
      <c r="B1998" t="s">
        <v>4449</v>
      </c>
      <c r="C1998" t="s">
        <v>1228</v>
      </c>
      <c r="D1998" t="s">
        <v>1027</v>
      </c>
      <c r="E1998">
        <v>1660</v>
      </c>
      <c r="F1998" t="s">
        <v>1229</v>
      </c>
      <c r="G1998" t="b">
        <v>0</v>
      </c>
      <c r="H1998" t="b">
        <v>0</v>
      </c>
      <c r="I1998" t="s">
        <v>1050</v>
      </c>
      <c r="J1998">
        <v>87</v>
      </c>
      <c r="K1998" t="s">
        <v>2</v>
      </c>
      <c r="L1998" t="s">
        <v>1167</v>
      </c>
      <c r="M1998" t="s">
        <v>1168</v>
      </c>
      <c r="N1998" t="s">
        <v>1169</v>
      </c>
      <c r="O1998" t="s">
        <v>1168</v>
      </c>
      <c r="P1998" t="s">
        <v>1230</v>
      </c>
    </row>
    <row r="1999" spans="1:16" x14ac:dyDescent="0.25">
      <c r="A1999" t="s">
        <v>4450</v>
      </c>
      <c r="B1999" t="s">
        <v>4451</v>
      </c>
      <c r="C1999" t="s">
        <v>1228</v>
      </c>
      <c r="D1999" t="s">
        <v>1027</v>
      </c>
      <c r="E1999">
        <v>1660</v>
      </c>
      <c r="F1999" t="s">
        <v>1229</v>
      </c>
      <c r="G1999" t="b">
        <v>0</v>
      </c>
      <c r="H1999" t="b">
        <v>0</v>
      </c>
      <c r="I1999" t="s">
        <v>1050</v>
      </c>
      <c r="J1999">
        <v>87</v>
      </c>
      <c r="K1999" t="s">
        <v>2</v>
      </c>
      <c r="L1999" t="s">
        <v>1167</v>
      </c>
      <c r="M1999" t="s">
        <v>1168</v>
      </c>
      <c r="N1999" t="s">
        <v>1169</v>
      </c>
      <c r="O1999" t="s">
        <v>1168</v>
      </c>
      <c r="P1999" t="s">
        <v>1230</v>
      </c>
    </row>
    <row r="2000" spans="1:16" x14ac:dyDescent="0.25">
      <c r="A2000" t="s">
        <v>4452</v>
      </c>
      <c r="B2000" t="s">
        <v>4453</v>
      </c>
      <c r="C2000" t="s">
        <v>1228</v>
      </c>
      <c r="D2000" t="s">
        <v>1027</v>
      </c>
      <c r="E2000">
        <v>1660</v>
      </c>
      <c r="F2000" t="s">
        <v>1229</v>
      </c>
      <c r="G2000" t="b">
        <v>0</v>
      </c>
      <c r="H2000" t="b">
        <v>0</v>
      </c>
      <c r="I2000" t="s">
        <v>1050</v>
      </c>
      <c r="J2000">
        <v>87</v>
      </c>
      <c r="K2000" t="s">
        <v>2</v>
      </c>
      <c r="L2000" t="s">
        <v>1167</v>
      </c>
      <c r="M2000" t="s">
        <v>1168</v>
      </c>
      <c r="N2000" t="s">
        <v>1169</v>
      </c>
      <c r="O2000" t="s">
        <v>1168</v>
      </c>
      <c r="P2000" t="s">
        <v>1230</v>
      </c>
    </row>
    <row r="2001" spans="1:16" x14ac:dyDescent="0.25">
      <c r="A2001" t="s">
        <v>4454</v>
      </c>
      <c r="B2001" t="s">
        <v>4455</v>
      </c>
      <c r="C2001" t="s">
        <v>1228</v>
      </c>
      <c r="D2001" t="s">
        <v>1027</v>
      </c>
      <c r="E2001">
        <v>1660</v>
      </c>
      <c r="F2001" t="s">
        <v>1229</v>
      </c>
      <c r="G2001" t="b">
        <v>0</v>
      </c>
      <c r="H2001" t="b">
        <v>0</v>
      </c>
      <c r="I2001" t="s">
        <v>1050</v>
      </c>
      <c r="J2001">
        <v>88</v>
      </c>
      <c r="K2001" t="s">
        <v>2</v>
      </c>
      <c r="L2001" t="s">
        <v>1167</v>
      </c>
      <c r="M2001" t="s">
        <v>1168</v>
      </c>
      <c r="N2001" t="s">
        <v>1169</v>
      </c>
      <c r="O2001" t="s">
        <v>1168</v>
      </c>
      <c r="P2001" t="s">
        <v>1230</v>
      </c>
    </row>
    <row r="2002" spans="1:16" x14ac:dyDescent="0.25">
      <c r="A2002" t="s">
        <v>4456</v>
      </c>
      <c r="B2002" t="s">
        <v>4455</v>
      </c>
      <c r="C2002" t="s">
        <v>1228</v>
      </c>
      <c r="D2002" t="s">
        <v>1027</v>
      </c>
      <c r="E2002">
        <v>1660</v>
      </c>
      <c r="F2002" t="s">
        <v>1229</v>
      </c>
      <c r="G2002" t="b">
        <v>0</v>
      </c>
      <c r="H2002" t="b">
        <v>0</v>
      </c>
      <c r="I2002" t="s">
        <v>1050</v>
      </c>
      <c r="J2002">
        <v>88</v>
      </c>
      <c r="K2002" t="s">
        <v>2</v>
      </c>
      <c r="L2002" t="s">
        <v>1167</v>
      </c>
      <c r="M2002" t="s">
        <v>1168</v>
      </c>
      <c r="N2002" t="s">
        <v>1169</v>
      </c>
      <c r="O2002" t="s">
        <v>1168</v>
      </c>
      <c r="P2002" t="s">
        <v>1230</v>
      </c>
    </row>
    <row r="2003" spans="1:16" x14ac:dyDescent="0.25">
      <c r="A2003" t="s">
        <v>4457</v>
      </c>
      <c r="B2003" t="s">
        <v>4455</v>
      </c>
      <c r="C2003" t="s">
        <v>1228</v>
      </c>
      <c r="D2003" t="s">
        <v>1027</v>
      </c>
      <c r="E2003">
        <v>1660</v>
      </c>
      <c r="F2003" t="s">
        <v>1229</v>
      </c>
      <c r="G2003" t="b">
        <v>0</v>
      </c>
      <c r="H2003" t="b">
        <v>0</v>
      </c>
      <c r="I2003" t="s">
        <v>1050</v>
      </c>
      <c r="J2003">
        <v>88</v>
      </c>
      <c r="K2003" t="s">
        <v>2</v>
      </c>
      <c r="L2003" t="s">
        <v>1167</v>
      </c>
      <c r="M2003" t="s">
        <v>1168</v>
      </c>
      <c r="N2003" t="s">
        <v>1169</v>
      </c>
      <c r="O2003" t="s">
        <v>1168</v>
      </c>
      <c r="P2003" t="s">
        <v>1230</v>
      </c>
    </row>
    <row r="2004" spans="1:16" x14ac:dyDescent="0.25">
      <c r="A2004" t="s">
        <v>4458</v>
      </c>
      <c r="B2004" t="s">
        <v>4455</v>
      </c>
      <c r="C2004" t="s">
        <v>1228</v>
      </c>
      <c r="D2004" t="s">
        <v>1027</v>
      </c>
      <c r="E2004">
        <v>1660</v>
      </c>
      <c r="F2004" t="s">
        <v>1229</v>
      </c>
      <c r="G2004" t="b">
        <v>0</v>
      </c>
      <c r="H2004" t="b">
        <v>0</v>
      </c>
      <c r="I2004" t="s">
        <v>1050</v>
      </c>
      <c r="J2004">
        <v>88</v>
      </c>
      <c r="K2004" t="s">
        <v>2</v>
      </c>
      <c r="L2004" t="s">
        <v>1167</v>
      </c>
      <c r="M2004" t="s">
        <v>1168</v>
      </c>
      <c r="N2004" t="s">
        <v>1169</v>
      </c>
      <c r="O2004" t="s">
        <v>1168</v>
      </c>
      <c r="P2004" t="s">
        <v>1230</v>
      </c>
    </row>
    <row r="2005" spans="1:16" x14ac:dyDescent="0.25">
      <c r="A2005" t="s">
        <v>4459</v>
      </c>
      <c r="B2005" t="s">
        <v>4460</v>
      </c>
      <c r="C2005" t="s">
        <v>1233</v>
      </c>
      <c r="D2005" t="s">
        <v>1027</v>
      </c>
      <c r="E2005">
        <v>63762</v>
      </c>
      <c r="F2005" t="s">
        <v>1234</v>
      </c>
      <c r="G2005" t="b">
        <v>0</v>
      </c>
      <c r="H2005" t="b">
        <v>0</v>
      </c>
      <c r="I2005" t="s">
        <v>1050</v>
      </c>
      <c r="J2005">
        <v>88</v>
      </c>
      <c r="K2005" t="s">
        <v>0</v>
      </c>
      <c r="L2005" t="s">
        <v>1167</v>
      </c>
      <c r="M2005" t="s">
        <v>1168</v>
      </c>
      <c r="N2005" t="s">
        <v>1169</v>
      </c>
      <c r="O2005" t="s">
        <v>1168</v>
      </c>
      <c r="P2005" t="s">
        <v>1235</v>
      </c>
    </row>
    <row r="2006" spans="1:16" x14ac:dyDescent="0.25">
      <c r="A2006" t="s">
        <v>4461</v>
      </c>
      <c r="B2006" t="s">
        <v>4462</v>
      </c>
      <c r="C2006" t="s">
        <v>1233</v>
      </c>
      <c r="D2006" t="s">
        <v>1027</v>
      </c>
      <c r="E2006">
        <v>63762</v>
      </c>
      <c r="F2006" t="s">
        <v>1234</v>
      </c>
      <c r="G2006" t="b">
        <v>0</v>
      </c>
      <c r="H2006" t="b">
        <v>0</v>
      </c>
      <c r="I2006" t="s">
        <v>1050</v>
      </c>
      <c r="J2006">
        <v>88</v>
      </c>
      <c r="K2006" t="s">
        <v>0</v>
      </c>
      <c r="L2006" t="s">
        <v>1167</v>
      </c>
      <c r="M2006" t="s">
        <v>1168</v>
      </c>
      <c r="N2006" t="s">
        <v>1169</v>
      </c>
      <c r="O2006" t="s">
        <v>1168</v>
      </c>
      <c r="P2006" t="s">
        <v>1235</v>
      </c>
    </row>
    <row r="2007" spans="1:16" x14ac:dyDescent="0.25">
      <c r="A2007" t="s">
        <v>4463</v>
      </c>
      <c r="B2007" t="s">
        <v>4464</v>
      </c>
      <c r="C2007" t="s">
        <v>1233</v>
      </c>
      <c r="D2007" t="s">
        <v>1027</v>
      </c>
      <c r="E2007">
        <v>63762</v>
      </c>
      <c r="F2007" t="s">
        <v>1234</v>
      </c>
      <c r="G2007" t="b">
        <v>0</v>
      </c>
      <c r="H2007" t="b">
        <v>0</v>
      </c>
      <c r="I2007" t="s">
        <v>1050</v>
      </c>
      <c r="J2007">
        <v>88</v>
      </c>
      <c r="K2007" t="s">
        <v>0</v>
      </c>
      <c r="L2007" t="s">
        <v>1167</v>
      </c>
      <c r="M2007" t="s">
        <v>1168</v>
      </c>
      <c r="N2007" t="s">
        <v>1169</v>
      </c>
      <c r="O2007" t="s">
        <v>1168</v>
      </c>
      <c r="P2007" t="s">
        <v>1235</v>
      </c>
    </row>
    <row r="2008" spans="1:16" x14ac:dyDescent="0.25">
      <c r="A2008" t="s">
        <v>4465</v>
      </c>
      <c r="B2008" t="s">
        <v>4466</v>
      </c>
      <c r="C2008" t="s">
        <v>1233</v>
      </c>
      <c r="D2008" t="s">
        <v>1027</v>
      </c>
      <c r="E2008">
        <v>63762</v>
      </c>
      <c r="F2008" t="s">
        <v>1234</v>
      </c>
      <c r="G2008" t="b">
        <v>0</v>
      </c>
      <c r="H2008" t="b">
        <v>0</v>
      </c>
      <c r="I2008" t="s">
        <v>1050</v>
      </c>
      <c r="J2008">
        <v>88</v>
      </c>
      <c r="K2008" t="s">
        <v>0</v>
      </c>
      <c r="L2008" t="s">
        <v>1167</v>
      </c>
      <c r="M2008" t="s">
        <v>1168</v>
      </c>
      <c r="N2008" t="s">
        <v>1169</v>
      </c>
      <c r="O2008" t="s">
        <v>1168</v>
      </c>
      <c r="P2008" t="s">
        <v>1235</v>
      </c>
    </row>
    <row r="2009" spans="1:16" x14ac:dyDescent="0.25">
      <c r="A2009" t="s">
        <v>4467</v>
      </c>
      <c r="B2009" t="s">
        <v>4468</v>
      </c>
      <c r="C2009" t="s">
        <v>1233</v>
      </c>
      <c r="D2009" t="s">
        <v>1027</v>
      </c>
      <c r="E2009">
        <v>63762</v>
      </c>
      <c r="F2009" t="s">
        <v>1234</v>
      </c>
      <c r="G2009" t="b">
        <v>0</v>
      </c>
      <c r="H2009" t="b">
        <v>0</v>
      </c>
      <c r="I2009" t="s">
        <v>1050</v>
      </c>
      <c r="J2009">
        <v>88</v>
      </c>
      <c r="K2009" t="s">
        <v>0</v>
      </c>
      <c r="L2009" t="s">
        <v>1167</v>
      </c>
      <c r="M2009" t="s">
        <v>1168</v>
      </c>
      <c r="N2009" t="s">
        <v>1169</v>
      </c>
      <c r="O2009" t="s">
        <v>1168</v>
      </c>
      <c r="P2009" t="s">
        <v>1235</v>
      </c>
    </row>
    <row r="2010" spans="1:16" x14ac:dyDescent="0.25">
      <c r="A2010" t="s">
        <v>4469</v>
      </c>
      <c r="B2010" t="s">
        <v>4470</v>
      </c>
      <c r="C2010" t="s">
        <v>1233</v>
      </c>
      <c r="D2010" t="s">
        <v>1027</v>
      </c>
      <c r="E2010">
        <v>63762</v>
      </c>
      <c r="F2010" t="s">
        <v>1234</v>
      </c>
      <c r="G2010" t="b">
        <v>0</v>
      </c>
      <c r="H2010" t="b">
        <v>0</v>
      </c>
      <c r="I2010" t="s">
        <v>1050</v>
      </c>
      <c r="J2010">
        <v>88</v>
      </c>
      <c r="K2010" t="s">
        <v>0</v>
      </c>
      <c r="L2010" t="s">
        <v>1167</v>
      </c>
      <c r="M2010" t="s">
        <v>1168</v>
      </c>
      <c r="N2010" t="s">
        <v>1169</v>
      </c>
      <c r="O2010" t="s">
        <v>1168</v>
      </c>
      <c r="P2010" t="s">
        <v>1235</v>
      </c>
    </row>
    <row r="2011" spans="1:16" x14ac:dyDescent="0.25">
      <c r="A2011" t="s">
        <v>4471</v>
      </c>
      <c r="B2011" t="s">
        <v>4472</v>
      </c>
      <c r="C2011" t="s">
        <v>1233</v>
      </c>
      <c r="D2011" t="s">
        <v>1027</v>
      </c>
      <c r="E2011">
        <v>63762</v>
      </c>
      <c r="F2011" t="s">
        <v>1234</v>
      </c>
      <c r="G2011" t="b">
        <v>0</v>
      </c>
      <c r="H2011" t="b">
        <v>0</v>
      </c>
      <c r="I2011" t="s">
        <v>1050</v>
      </c>
      <c r="J2011">
        <v>88</v>
      </c>
      <c r="K2011" t="s">
        <v>0</v>
      </c>
      <c r="L2011" t="s">
        <v>1167</v>
      </c>
      <c r="M2011" t="s">
        <v>1168</v>
      </c>
      <c r="N2011" t="s">
        <v>1169</v>
      </c>
      <c r="O2011" t="s">
        <v>1168</v>
      </c>
      <c r="P2011" t="s">
        <v>1235</v>
      </c>
    </row>
    <row r="2012" spans="1:16" x14ac:dyDescent="0.25">
      <c r="A2012" t="s">
        <v>4473</v>
      </c>
      <c r="B2012" t="s">
        <v>4474</v>
      </c>
      <c r="C2012" t="s">
        <v>1233</v>
      </c>
      <c r="D2012" t="s">
        <v>1027</v>
      </c>
      <c r="E2012">
        <v>63762</v>
      </c>
      <c r="F2012" t="s">
        <v>1234</v>
      </c>
      <c r="G2012" t="b">
        <v>0</v>
      </c>
      <c r="H2012" t="b">
        <v>0</v>
      </c>
      <c r="I2012" t="s">
        <v>1050</v>
      </c>
      <c r="J2012">
        <v>88</v>
      </c>
      <c r="K2012" t="s">
        <v>0</v>
      </c>
      <c r="L2012" t="s">
        <v>1167</v>
      </c>
      <c r="M2012" t="s">
        <v>1168</v>
      </c>
      <c r="N2012" t="s">
        <v>1169</v>
      </c>
      <c r="O2012" t="s">
        <v>1168</v>
      </c>
      <c r="P2012" t="s">
        <v>1235</v>
      </c>
    </row>
    <row r="2013" spans="1:16" x14ac:dyDescent="0.25">
      <c r="A2013" t="s">
        <v>4475</v>
      </c>
      <c r="B2013" t="s">
        <v>4476</v>
      </c>
      <c r="C2013" t="s">
        <v>1233</v>
      </c>
      <c r="D2013" t="s">
        <v>1027</v>
      </c>
      <c r="E2013">
        <v>63762</v>
      </c>
      <c r="F2013" t="s">
        <v>1234</v>
      </c>
      <c r="G2013" t="b">
        <v>0</v>
      </c>
      <c r="H2013" t="b">
        <v>0</v>
      </c>
      <c r="I2013" t="s">
        <v>1050</v>
      </c>
      <c r="J2013">
        <v>88</v>
      </c>
      <c r="K2013" t="s">
        <v>0</v>
      </c>
      <c r="L2013" t="s">
        <v>1167</v>
      </c>
      <c r="M2013" t="s">
        <v>1168</v>
      </c>
      <c r="N2013" t="s">
        <v>1169</v>
      </c>
      <c r="O2013" t="s">
        <v>1168</v>
      </c>
      <c r="P2013" t="s">
        <v>1235</v>
      </c>
    </row>
    <row r="2014" spans="1:16" x14ac:dyDescent="0.25">
      <c r="A2014" t="s">
        <v>4477</v>
      </c>
      <c r="B2014" t="s">
        <v>4478</v>
      </c>
      <c r="C2014" t="s">
        <v>1233</v>
      </c>
      <c r="D2014" t="s">
        <v>1027</v>
      </c>
      <c r="E2014">
        <v>63762</v>
      </c>
      <c r="F2014" t="s">
        <v>1234</v>
      </c>
      <c r="G2014" t="b">
        <v>0</v>
      </c>
      <c r="H2014" t="b">
        <v>0</v>
      </c>
      <c r="I2014" t="s">
        <v>1050</v>
      </c>
      <c r="J2014">
        <v>88</v>
      </c>
      <c r="K2014" t="s">
        <v>0</v>
      </c>
      <c r="L2014" t="s">
        <v>1167</v>
      </c>
      <c r="M2014" t="s">
        <v>1168</v>
      </c>
      <c r="N2014" t="s">
        <v>1169</v>
      </c>
      <c r="O2014" t="s">
        <v>1168</v>
      </c>
      <c r="P2014" t="s">
        <v>1235</v>
      </c>
    </row>
    <row r="2015" spans="1:16" x14ac:dyDescent="0.25">
      <c r="A2015" t="s">
        <v>4479</v>
      </c>
      <c r="B2015" t="s">
        <v>4480</v>
      </c>
      <c r="C2015" t="s">
        <v>1233</v>
      </c>
      <c r="D2015" t="s">
        <v>1027</v>
      </c>
      <c r="E2015">
        <v>63762</v>
      </c>
      <c r="F2015" t="s">
        <v>1234</v>
      </c>
      <c r="G2015" t="b">
        <v>0</v>
      </c>
      <c r="H2015" t="b">
        <v>0</v>
      </c>
      <c r="I2015" t="s">
        <v>1050</v>
      </c>
      <c r="J2015">
        <v>88</v>
      </c>
      <c r="K2015" t="s">
        <v>0</v>
      </c>
      <c r="L2015" t="s">
        <v>1167</v>
      </c>
      <c r="M2015" t="s">
        <v>1168</v>
      </c>
      <c r="N2015" t="s">
        <v>1169</v>
      </c>
      <c r="O2015" t="s">
        <v>1168</v>
      </c>
      <c r="P2015" t="s">
        <v>1235</v>
      </c>
    </row>
    <row r="2016" spans="1:16" x14ac:dyDescent="0.25">
      <c r="A2016" t="s">
        <v>4481</v>
      </c>
      <c r="B2016" t="s">
        <v>4482</v>
      </c>
      <c r="C2016" t="s">
        <v>1571</v>
      </c>
      <c r="D2016" t="s">
        <v>1027</v>
      </c>
      <c r="E2016">
        <v>63767</v>
      </c>
      <c r="G2016" t="b">
        <v>0</v>
      </c>
      <c r="H2016" t="b">
        <v>0</v>
      </c>
      <c r="I2016" t="s">
        <v>1050</v>
      </c>
      <c r="J2016">
        <v>80</v>
      </c>
      <c r="K2016" t="s">
        <v>0</v>
      </c>
      <c r="L2016" t="s">
        <v>1167</v>
      </c>
      <c r="M2016" t="s">
        <v>1168</v>
      </c>
      <c r="N2016" t="s">
        <v>1169</v>
      </c>
      <c r="O2016" t="s">
        <v>1168</v>
      </c>
      <c r="P2016" t="s">
        <v>1283</v>
      </c>
    </row>
    <row r="2017" spans="1:16" x14ac:dyDescent="0.25">
      <c r="A2017" t="s">
        <v>4483</v>
      </c>
      <c r="B2017" t="s">
        <v>4482</v>
      </c>
      <c r="C2017" t="s">
        <v>1571</v>
      </c>
      <c r="D2017" t="s">
        <v>1027</v>
      </c>
      <c r="E2017">
        <v>63767</v>
      </c>
      <c r="G2017" t="b">
        <v>0</v>
      </c>
      <c r="H2017" t="b">
        <v>0</v>
      </c>
      <c r="I2017" t="s">
        <v>1050</v>
      </c>
      <c r="J2017">
        <v>80</v>
      </c>
      <c r="K2017" t="s">
        <v>0</v>
      </c>
      <c r="L2017" t="s">
        <v>1167</v>
      </c>
      <c r="M2017" t="s">
        <v>1168</v>
      </c>
      <c r="N2017" t="s">
        <v>1169</v>
      </c>
      <c r="O2017" t="s">
        <v>1168</v>
      </c>
      <c r="P2017" t="s">
        <v>1283</v>
      </c>
    </row>
    <row r="2018" spans="1:16" x14ac:dyDescent="0.25">
      <c r="A2018" t="s">
        <v>4484</v>
      </c>
      <c r="B2018" t="s">
        <v>4485</v>
      </c>
      <c r="C2018" t="s">
        <v>1571</v>
      </c>
      <c r="D2018" t="s">
        <v>1027</v>
      </c>
      <c r="E2018">
        <v>63767</v>
      </c>
      <c r="G2018" t="b">
        <v>0</v>
      </c>
      <c r="H2018" t="b">
        <v>0</v>
      </c>
      <c r="I2018" t="s">
        <v>1050</v>
      </c>
      <c r="J2018">
        <v>80</v>
      </c>
      <c r="K2018" t="s">
        <v>0</v>
      </c>
      <c r="L2018" t="s">
        <v>1167</v>
      </c>
      <c r="M2018" t="s">
        <v>1168</v>
      </c>
      <c r="N2018" t="s">
        <v>1169</v>
      </c>
      <c r="O2018" t="s">
        <v>1168</v>
      </c>
      <c r="P2018" t="s">
        <v>1283</v>
      </c>
    </row>
    <row r="2019" spans="1:16" x14ac:dyDescent="0.25">
      <c r="A2019" t="s">
        <v>4486</v>
      </c>
      <c r="B2019" t="s">
        <v>4487</v>
      </c>
      <c r="C2019" t="s">
        <v>1571</v>
      </c>
      <c r="D2019" t="s">
        <v>1027</v>
      </c>
      <c r="E2019">
        <v>63767</v>
      </c>
      <c r="G2019" t="b">
        <v>0</v>
      </c>
      <c r="H2019" t="b">
        <v>0</v>
      </c>
      <c r="I2019" t="s">
        <v>1050</v>
      </c>
      <c r="J2019">
        <v>80</v>
      </c>
      <c r="K2019" t="s">
        <v>0</v>
      </c>
      <c r="L2019" t="s">
        <v>1167</v>
      </c>
      <c r="M2019" t="s">
        <v>1168</v>
      </c>
      <c r="N2019" t="s">
        <v>1169</v>
      </c>
      <c r="O2019" t="s">
        <v>1168</v>
      </c>
      <c r="P2019" t="s">
        <v>1283</v>
      </c>
    </row>
    <row r="2020" spans="1:16" x14ac:dyDescent="0.25">
      <c r="A2020" t="s">
        <v>4488</v>
      </c>
      <c r="B2020" t="s">
        <v>4489</v>
      </c>
      <c r="C2020" t="s">
        <v>1571</v>
      </c>
      <c r="D2020" t="s">
        <v>1027</v>
      </c>
      <c r="E2020">
        <v>63767</v>
      </c>
      <c r="G2020" t="b">
        <v>0</v>
      </c>
      <c r="H2020" t="b">
        <v>0</v>
      </c>
      <c r="I2020" t="s">
        <v>1050</v>
      </c>
      <c r="J2020">
        <v>80</v>
      </c>
      <c r="K2020" t="s">
        <v>0</v>
      </c>
      <c r="L2020" t="s">
        <v>1167</v>
      </c>
      <c r="M2020" t="s">
        <v>1168</v>
      </c>
      <c r="N2020" t="s">
        <v>1169</v>
      </c>
      <c r="O2020" t="s">
        <v>1168</v>
      </c>
      <c r="P2020" t="s">
        <v>1283</v>
      </c>
    </row>
    <row r="2021" spans="1:16" x14ac:dyDescent="0.25">
      <c r="A2021" t="s">
        <v>4490</v>
      </c>
      <c r="B2021" t="s">
        <v>4491</v>
      </c>
      <c r="C2021" t="s">
        <v>1571</v>
      </c>
      <c r="D2021" t="s">
        <v>1027</v>
      </c>
      <c r="E2021">
        <v>63767</v>
      </c>
      <c r="G2021" t="b">
        <v>0</v>
      </c>
      <c r="H2021" t="b">
        <v>0</v>
      </c>
      <c r="I2021" t="s">
        <v>1050</v>
      </c>
      <c r="J2021">
        <v>80</v>
      </c>
      <c r="K2021" t="s">
        <v>0</v>
      </c>
      <c r="L2021" t="s">
        <v>1167</v>
      </c>
      <c r="M2021" t="s">
        <v>1168</v>
      </c>
      <c r="N2021" t="s">
        <v>1169</v>
      </c>
      <c r="O2021" t="s">
        <v>1168</v>
      </c>
      <c r="P2021" t="s">
        <v>1283</v>
      </c>
    </row>
    <row r="2022" spans="1:16" x14ac:dyDescent="0.25">
      <c r="A2022" t="s">
        <v>4492</v>
      </c>
      <c r="B2022" t="s">
        <v>4493</v>
      </c>
      <c r="C2022" t="s">
        <v>1571</v>
      </c>
      <c r="D2022" t="s">
        <v>1027</v>
      </c>
      <c r="E2022">
        <v>63767</v>
      </c>
      <c r="G2022" t="b">
        <v>0</v>
      </c>
      <c r="H2022" t="b">
        <v>0</v>
      </c>
      <c r="I2022" t="s">
        <v>1050</v>
      </c>
      <c r="J2022">
        <v>80</v>
      </c>
      <c r="K2022" t="s">
        <v>0</v>
      </c>
      <c r="L2022" t="s">
        <v>1167</v>
      </c>
      <c r="M2022" t="s">
        <v>1168</v>
      </c>
      <c r="N2022" t="s">
        <v>1169</v>
      </c>
      <c r="O2022" t="s">
        <v>1168</v>
      </c>
      <c r="P2022" t="s">
        <v>1283</v>
      </c>
    </row>
    <row r="2023" spans="1:16" x14ac:dyDescent="0.25">
      <c r="A2023" t="s">
        <v>4494</v>
      </c>
      <c r="B2023" t="s">
        <v>4495</v>
      </c>
      <c r="C2023" t="s">
        <v>1571</v>
      </c>
      <c r="D2023" t="s">
        <v>1027</v>
      </c>
      <c r="E2023">
        <v>63767</v>
      </c>
      <c r="G2023" t="b">
        <v>0</v>
      </c>
      <c r="H2023" t="b">
        <v>0</v>
      </c>
      <c r="I2023" t="s">
        <v>1050</v>
      </c>
      <c r="J2023">
        <v>80</v>
      </c>
      <c r="K2023" t="s">
        <v>0</v>
      </c>
      <c r="L2023" t="s">
        <v>1167</v>
      </c>
      <c r="M2023" t="s">
        <v>1168</v>
      </c>
      <c r="N2023" t="s">
        <v>1169</v>
      </c>
      <c r="O2023" t="s">
        <v>1168</v>
      </c>
      <c r="P2023" t="s">
        <v>1283</v>
      </c>
    </row>
    <row r="2024" spans="1:16" x14ac:dyDescent="0.25">
      <c r="A2024" t="s">
        <v>4496</v>
      </c>
      <c r="B2024" t="s">
        <v>4497</v>
      </c>
      <c r="C2024" t="s">
        <v>1571</v>
      </c>
      <c r="D2024" t="s">
        <v>1027</v>
      </c>
      <c r="E2024">
        <v>63767</v>
      </c>
      <c r="G2024" t="b">
        <v>0</v>
      </c>
      <c r="H2024" t="b">
        <v>0</v>
      </c>
      <c r="I2024" t="s">
        <v>1050</v>
      </c>
      <c r="J2024">
        <v>80</v>
      </c>
      <c r="K2024" t="s">
        <v>0</v>
      </c>
      <c r="L2024" t="s">
        <v>1167</v>
      </c>
      <c r="M2024" t="s">
        <v>1168</v>
      </c>
      <c r="N2024" t="s">
        <v>1169</v>
      </c>
      <c r="O2024" t="s">
        <v>1168</v>
      </c>
      <c r="P2024" t="s">
        <v>1283</v>
      </c>
    </row>
    <row r="2025" spans="1:16" x14ac:dyDescent="0.25">
      <c r="A2025" t="s">
        <v>4498</v>
      </c>
      <c r="B2025" t="s">
        <v>4499</v>
      </c>
      <c r="C2025" t="s">
        <v>1571</v>
      </c>
      <c r="D2025" t="s">
        <v>1027</v>
      </c>
      <c r="E2025">
        <v>63767</v>
      </c>
      <c r="G2025" t="b">
        <v>0</v>
      </c>
      <c r="H2025" t="b">
        <v>0</v>
      </c>
      <c r="I2025" t="s">
        <v>1050</v>
      </c>
      <c r="J2025">
        <v>80</v>
      </c>
      <c r="K2025" t="s">
        <v>0</v>
      </c>
      <c r="L2025" t="s">
        <v>1167</v>
      </c>
      <c r="M2025" t="s">
        <v>1168</v>
      </c>
      <c r="N2025" t="s">
        <v>1169</v>
      </c>
      <c r="O2025" t="s">
        <v>1168</v>
      </c>
      <c r="P2025" t="s">
        <v>1283</v>
      </c>
    </row>
    <row r="2026" spans="1:16" x14ac:dyDescent="0.25">
      <c r="A2026" t="s">
        <v>4500</v>
      </c>
      <c r="B2026" t="s">
        <v>4501</v>
      </c>
      <c r="C2026" t="s">
        <v>1571</v>
      </c>
      <c r="D2026" t="s">
        <v>1027</v>
      </c>
      <c r="E2026">
        <v>63767</v>
      </c>
      <c r="G2026" t="b">
        <v>0</v>
      </c>
      <c r="H2026" t="b">
        <v>0</v>
      </c>
      <c r="I2026" t="s">
        <v>1050</v>
      </c>
      <c r="J2026">
        <v>87</v>
      </c>
      <c r="K2026" t="s">
        <v>0</v>
      </c>
      <c r="L2026" t="s">
        <v>1167</v>
      </c>
      <c r="M2026" t="s">
        <v>1168</v>
      </c>
      <c r="N2026" t="s">
        <v>1169</v>
      </c>
      <c r="O2026" t="s">
        <v>1168</v>
      </c>
      <c r="P2026" t="s">
        <v>1283</v>
      </c>
    </row>
    <row r="2027" spans="1:16" x14ac:dyDescent="0.25">
      <c r="A2027" t="s">
        <v>4502</v>
      </c>
      <c r="B2027" t="s">
        <v>4503</v>
      </c>
      <c r="C2027" t="s">
        <v>1571</v>
      </c>
      <c r="D2027" t="s">
        <v>1027</v>
      </c>
      <c r="E2027">
        <v>63767</v>
      </c>
      <c r="G2027" t="b">
        <v>0</v>
      </c>
      <c r="H2027" t="b">
        <v>0</v>
      </c>
      <c r="I2027" t="s">
        <v>1050</v>
      </c>
      <c r="J2027">
        <v>87</v>
      </c>
      <c r="K2027" t="s">
        <v>0</v>
      </c>
      <c r="L2027" t="s">
        <v>1167</v>
      </c>
      <c r="M2027" t="s">
        <v>1168</v>
      </c>
      <c r="N2027" t="s">
        <v>1169</v>
      </c>
      <c r="O2027" t="s">
        <v>1168</v>
      </c>
      <c r="P2027" t="s">
        <v>1283</v>
      </c>
    </row>
    <row r="2028" spans="1:16" x14ac:dyDescent="0.25">
      <c r="A2028" t="s">
        <v>4504</v>
      </c>
      <c r="B2028" t="s">
        <v>4505</v>
      </c>
      <c r="C2028" t="s">
        <v>1571</v>
      </c>
      <c r="D2028" t="s">
        <v>1027</v>
      </c>
      <c r="E2028">
        <v>63767</v>
      </c>
      <c r="G2028" t="b">
        <v>0</v>
      </c>
      <c r="H2028" t="b">
        <v>0</v>
      </c>
      <c r="I2028" t="s">
        <v>1050</v>
      </c>
      <c r="J2028">
        <v>87</v>
      </c>
      <c r="K2028" t="s">
        <v>0</v>
      </c>
      <c r="L2028" t="s">
        <v>1167</v>
      </c>
      <c r="M2028" t="s">
        <v>1168</v>
      </c>
      <c r="N2028" t="s">
        <v>1169</v>
      </c>
      <c r="O2028" t="s">
        <v>1168</v>
      </c>
      <c r="P2028" t="s">
        <v>1283</v>
      </c>
    </row>
    <row r="2029" spans="1:16" x14ac:dyDescent="0.25">
      <c r="A2029" t="s">
        <v>4506</v>
      </c>
      <c r="B2029" t="s">
        <v>4507</v>
      </c>
      <c r="C2029" t="s">
        <v>1571</v>
      </c>
      <c r="D2029" t="s">
        <v>1027</v>
      </c>
      <c r="E2029">
        <v>63767</v>
      </c>
      <c r="G2029" t="b">
        <v>0</v>
      </c>
      <c r="H2029" t="b">
        <v>0</v>
      </c>
      <c r="I2029" t="s">
        <v>1050</v>
      </c>
      <c r="J2029">
        <v>80</v>
      </c>
      <c r="K2029" t="s">
        <v>0</v>
      </c>
      <c r="L2029" t="s">
        <v>1167</v>
      </c>
      <c r="M2029" t="s">
        <v>1168</v>
      </c>
      <c r="N2029" t="s">
        <v>1169</v>
      </c>
      <c r="O2029" t="s">
        <v>1168</v>
      </c>
      <c r="P2029" t="s">
        <v>1283</v>
      </c>
    </row>
    <row r="2030" spans="1:16" x14ac:dyDescent="0.25">
      <c r="A2030" t="s">
        <v>4508</v>
      </c>
      <c r="B2030" t="s">
        <v>4509</v>
      </c>
      <c r="C2030" t="s">
        <v>1571</v>
      </c>
      <c r="D2030" t="s">
        <v>1027</v>
      </c>
      <c r="E2030">
        <v>63767</v>
      </c>
      <c r="G2030" t="b">
        <v>0</v>
      </c>
      <c r="H2030" t="b">
        <v>0</v>
      </c>
      <c r="I2030" t="s">
        <v>1050</v>
      </c>
      <c r="J2030">
        <v>80</v>
      </c>
      <c r="K2030" t="s">
        <v>0</v>
      </c>
      <c r="L2030" t="s">
        <v>1167</v>
      </c>
      <c r="M2030" t="s">
        <v>1168</v>
      </c>
      <c r="N2030" t="s">
        <v>1169</v>
      </c>
      <c r="O2030" t="s">
        <v>1168</v>
      </c>
      <c r="P2030" t="s">
        <v>1283</v>
      </c>
    </row>
    <row r="2031" spans="1:16" x14ac:dyDescent="0.25">
      <c r="A2031" t="s">
        <v>4510</v>
      </c>
      <c r="B2031" t="s">
        <v>4511</v>
      </c>
      <c r="C2031" t="s">
        <v>1571</v>
      </c>
      <c r="D2031" t="s">
        <v>1027</v>
      </c>
      <c r="E2031">
        <v>63767</v>
      </c>
      <c r="G2031" t="b">
        <v>0</v>
      </c>
      <c r="H2031" t="b">
        <v>0</v>
      </c>
      <c r="I2031" t="s">
        <v>1050</v>
      </c>
      <c r="J2031">
        <v>80</v>
      </c>
      <c r="K2031" t="s">
        <v>0</v>
      </c>
      <c r="L2031" t="s">
        <v>1167</v>
      </c>
      <c r="M2031" t="s">
        <v>1168</v>
      </c>
      <c r="N2031" t="s">
        <v>1169</v>
      </c>
      <c r="O2031" t="s">
        <v>1168</v>
      </c>
      <c r="P2031" t="s">
        <v>1283</v>
      </c>
    </row>
    <row r="2032" spans="1:16" x14ac:dyDescent="0.25">
      <c r="A2032" t="s">
        <v>4512</v>
      </c>
      <c r="B2032" t="s">
        <v>4513</v>
      </c>
      <c r="C2032" t="s">
        <v>1571</v>
      </c>
      <c r="D2032" t="s">
        <v>1027</v>
      </c>
      <c r="E2032">
        <v>63767</v>
      </c>
      <c r="G2032" t="b">
        <v>0</v>
      </c>
      <c r="H2032" t="b">
        <v>0</v>
      </c>
      <c r="I2032" t="s">
        <v>1050</v>
      </c>
      <c r="J2032">
        <v>80</v>
      </c>
      <c r="K2032" t="s">
        <v>0</v>
      </c>
      <c r="L2032" t="s">
        <v>1167</v>
      </c>
      <c r="M2032" t="s">
        <v>1168</v>
      </c>
      <c r="N2032" t="s">
        <v>1169</v>
      </c>
      <c r="O2032" t="s">
        <v>1168</v>
      </c>
      <c r="P2032" t="s">
        <v>1283</v>
      </c>
    </row>
    <row r="2033" spans="1:16" x14ac:dyDescent="0.25">
      <c r="A2033" t="s">
        <v>4514</v>
      </c>
      <c r="B2033" t="s">
        <v>4515</v>
      </c>
      <c r="C2033" t="s">
        <v>1233</v>
      </c>
      <c r="D2033" t="s">
        <v>1027</v>
      </c>
      <c r="E2033">
        <v>63762</v>
      </c>
      <c r="F2033" t="s">
        <v>1234</v>
      </c>
      <c r="G2033" t="b">
        <v>0</v>
      </c>
      <c r="H2033" t="b">
        <v>0</v>
      </c>
      <c r="I2033" t="s">
        <v>1050</v>
      </c>
      <c r="J2033">
        <v>87</v>
      </c>
      <c r="K2033" t="s">
        <v>0</v>
      </c>
      <c r="L2033" t="s">
        <v>1167</v>
      </c>
      <c r="M2033" t="s">
        <v>1168</v>
      </c>
      <c r="N2033" t="s">
        <v>1169</v>
      </c>
      <c r="O2033" t="s">
        <v>1168</v>
      </c>
      <c r="P2033" t="s">
        <v>1235</v>
      </c>
    </row>
    <row r="2034" spans="1:16" x14ac:dyDescent="0.25">
      <c r="A2034" t="s">
        <v>4516</v>
      </c>
      <c r="B2034" t="s">
        <v>4517</v>
      </c>
      <c r="C2034" t="s">
        <v>1233</v>
      </c>
      <c r="D2034" t="s">
        <v>1027</v>
      </c>
      <c r="E2034">
        <v>63762</v>
      </c>
      <c r="F2034" t="s">
        <v>1234</v>
      </c>
      <c r="G2034" t="b">
        <v>0</v>
      </c>
      <c r="H2034" t="b">
        <v>0</v>
      </c>
      <c r="I2034" t="s">
        <v>1050</v>
      </c>
      <c r="J2034">
        <v>87</v>
      </c>
      <c r="K2034" t="s">
        <v>0</v>
      </c>
      <c r="L2034" t="s">
        <v>1167</v>
      </c>
      <c r="M2034" t="s">
        <v>1168</v>
      </c>
      <c r="N2034" t="s">
        <v>1169</v>
      </c>
      <c r="O2034" t="s">
        <v>1168</v>
      </c>
      <c r="P2034" t="s">
        <v>1235</v>
      </c>
    </row>
    <row r="2035" spans="1:16" x14ac:dyDescent="0.25">
      <c r="A2035" t="s">
        <v>4518</v>
      </c>
      <c r="B2035" t="s">
        <v>4519</v>
      </c>
      <c r="C2035" t="s">
        <v>1571</v>
      </c>
      <c r="D2035" t="s">
        <v>1027</v>
      </c>
      <c r="E2035">
        <v>63767</v>
      </c>
      <c r="G2035" t="b">
        <v>0</v>
      </c>
      <c r="H2035" t="b">
        <v>0</v>
      </c>
      <c r="I2035" t="s">
        <v>1050</v>
      </c>
      <c r="J2035">
        <v>80</v>
      </c>
      <c r="K2035" t="s">
        <v>0</v>
      </c>
      <c r="L2035" t="s">
        <v>1167</v>
      </c>
      <c r="M2035" t="s">
        <v>1168</v>
      </c>
      <c r="N2035" t="s">
        <v>1169</v>
      </c>
      <c r="O2035" t="s">
        <v>1168</v>
      </c>
      <c r="P2035" t="s">
        <v>1283</v>
      </c>
    </row>
    <row r="2036" spans="1:16" x14ac:dyDescent="0.25">
      <c r="A2036" t="s">
        <v>4520</v>
      </c>
      <c r="B2036" t="s">
        <v>4521</v>
      </c>
      <c r="C2036" t="s">
        <v>1571</v>
      </c>
      <c r="D2036" t="s">
        <v>1027</v>
      </c>
      <c r="E2036">
        <v>63767</v>
      </c>
      <c r="G2036" t="b">
        <v>0</v>
      </c>
      <c r="H2036" t="b">
        <v>0</v>
      </c>
      <c r="I2036" t="s">
        <v>1050</v>
      </c>
      <c r="J2036">
        <v>80</v>
      </c>
      <c r="K2036" t="s">
        <v>0</v>
      </c>
      <c r="L2036" t="s">
        <v>1167</v>
      </c>
      <c r="M2036" t="s">
        <v>1168</v>
      </c>
      <c r="N2036" t="s">
        <v>1169</v>
      </c>
      <c r="O2036" t="s">
        <v>1168</v>
      </c>
      <c r="P2036" t="s">
        <v>1283</v>
      </c>
    </row>
    <row r="2037" spans="1:16" x14ac:dyDescent="0.25">
      <c r="A2037" t="s">
        <v>4522</v>
      </c>
      <c r="B2037" t="s">
        <v>4523</v>
      </c>
      <c r="C2037" t="s">
        <v>1233</v>
      </c>
      <c r="D2037" t="s">
        <v>1027</v>
      </c>
      <c r="E2037">
        <v>63762</v>
      </c>
      <c r="F2037" t="s">
        <v>1234</v>
      </c>
      <c r="G2037" t="b">
        <v>0</v>
      </c>
      <c r="H2037" t="b">
        <v>0</v>
      </c>
      <c r="I2037" t="s">
        <v>1050</v>
      </c>
      <c r="J2037">
        <v>87</v>
      </c>
      <c r="K2037" t="s">
        <v>0</v>
      </c>
      <c r="L2037" t="s">
        <v>1167</v>
      </c>
      <c r="M2037" t="s">
        <v>1168</v>
      </c>
      <c r="N2037" t="s">
        <v>1169</v>
      </c>
      <c r="O2037" t="s">
        <v>1168</v>
      </c>
      <c r="P2037" t="s">
        <v>1235</v>
      </c>
    </row>
    <row r="2038" spans="1:16" x14ac:dyDescent="0.25">
      <c r="A2038" t="s">
        <v>4524</v>
      </c>
      <c r="B2038" t="s">
        <v>4525</v>
      </c>
      <c r="C2038" t="s">
        <v>1571</v>
      </c>
      <c r="D2038" t="s">
        <v>1027</v>
      </c>
      <c r="E2038">
        <v>63767</v>
      </c>
      <c r="G2038" t="b">
        <v>0</v>
      </c>
      <c r="H2038" t="b">
        <v>0</v>
      </c>
      <c r="I2038" t="s">
        <v>1050</v>
      </c>
      <c r="J2038">
        <v>80</v>
      </c>
      <c r="K2038" t="s">
        <v>0</v>
      </c>
      <c r="L2038" t="s">
        <v>1167</v>
      </c>
      <c r="M2038" t="s">
        <v>1168</v>
      </c>
      <c r="N2038" t="s">
        <v>1169</v>
      </c>
      <c r="O2038" t="s">
        <v>1168</v>
      </c>
      <c r="P2038" t="s">
        <v>1283</v>
      </c>
    </row>
    <row r="2039" spans="1:16" x14ac:dyDescent="0.25">
      <c r="A2039" t="s">
        <v>4526</v>
      </c>
      <c r="B2039" t="s">
        <v>4525</v>
      </c>
      <c r="C2039" t="s">
        <v>1571</v>
      </c>
      <c r="D2039" t="s">
        <v>1027</v>
      </c>
      <c r="E2039">
        <v>63767</v>
      </c>
      <c r="G2039" t="b">
        <v>0</v>
      </c>
      <c r="H2039" t="b">
        <v>0</v>
      </c>
      <c r="I2039" t="s">
        <v>1050</v>
      </c>
      <c r="J2039">
        <v>80</v>
      </c>
      <c r="K2039" t="s">
        <v>0</v>
      </c>
      <c r="L2039" t="s">
        <v>1167</v>
      </c>
      <c r="M2039" t="s">
        <v>1168</v>
      </c>
      <c r="N2039" t="s">
        <v>1169</v>
      </c>
      <c r="O2039" t="s">
        <v>1168</v>
      </c>
      <c r="P2039" t="s">
        <v>1283</v>
      </c>
    </row>
    <row r="2040" spans="1:16" x14ac:dyDescent="0.25">
      <c r="A2040" t="s">
        <v>4527</v>
      </c>
      <c r="B2040" t="s">
        <v>4525</v>
      </c>
      <c r="C2040" t="s">
        <v>1571</v>
      </c>
      <c r="D2040" t="s">
        <v>1027</v>
      </c>
      <c r="E2040">
        <v>63767</v>
      </c>
      <c r="G2040" t="b">
        <v>0</v>
      </c>
      <c r="H2040" t="b">
        <v>0</v>
      </c>
      <c r="I2040" t="s">
        <v>1050</v>
      </c>
      <c r="J2040">
        <v>80</v>
      </c>
      <c r="K2040" t="s">
        <v>0</v>
      </c>
      <c r="L2040" t="s">
        <v>1167</v>
      </c>
      <c r="M2040" t="s">
        <v>1168</v>
      </c>
      <c r="N2040" t="s">
        <v>1169</v>
      </c>
      <c r="O2040" t="s">
        <v>1168</v>
      </c>
      <c r="P2040" t="s">
        <v>1283</v>
      </c>
    </row>
    <row r="2041" spans="1:16" x14ac:dyDescent="0.25">
      <c r="A2041" t="s">
        <v>4528</v>
      </c>
      <c r="B2041" t="s">
        <v>4529</v>
      </c>
      <c r="C2041" t="s">
        <v>1571</v>
      </c>
      <c r="D2041" t="s">
        <v>1027</v>
      </c>
      <c r="E2041">
        <v>63767</v>
      </c>
      <c r="G2041" t="b">
        <v>0</v>
      </c>
      <c r="H2041" t="b">
        <v>0</v>
      </c>
      <c r="I2041" t="s">
        <v>1050</v>
      </c>
      <c r="J2041">
        <v>80</v>
      </c>
      <c r="K2041" t="s">
        <v>0</v>
      </c>
      <c r="L2041" t="s">
        <v>1167</v>
      </c>
      <c r="M2041" t="s">
        <v>1168</v>
      </c>
      <c r="N2041" t="s">
        <v>1169</v>
      </c>
      <c r="O2041" t="s">
        <v>1168</v>
      </c>
      <c r="P2041" t="s">
        <v>1283</v>
      </c>
    </row>
    <row r="2042" spans="1:16" x14ac:dyDescent="0.25">
      <c r="A2042" t="s">
        <v>4530</v>
      </c>
      <c r="B2042" t="s">
        <v>4531</v>
      </c>
      <c r="C2042" t="s">
        <v>1571</v>
      </c>
      <c r="D2042" t="s">
        <v>1027</v>
      </c>
      <c r="E2042">
        <v>63767</v>
      </c>
      <c r="G2042" t="b">
        <v>0</v>
      </c>
      <c r="H2042" t="b">
        <v>0</v>
      </c>
      <c r="I2042" t="s">
        <v>1050</v>
      </c>
      <c r="J2042">
        <v>80</v>
      </c>
      <c r="K2042" t="s">
        <v>0</v>
      </c>
      <c r="L2042" t="s">
        <v>1167</v>
      </c>
      <c r="M2042" t="s">
        <v>1168</v>
      </c>
      <c r="N2042" t="s">
        <v>1169</v>
      </c>
      <c r="O2042" t="s">
        <v>1168</v>
      </c>
      <c r="P2042" t="s">
        <v>1283</v>
      </c>
    </row>
    <row r="2043" spans="1:16" x14ac:dyDescent="0.25">
      <c r="A2043" t="s">
        <v>4532</v>
      </c>
      <c r="B2043" t="s">
        <v>4533</v>
      </c>
      <c r="C2043" t="s">
        <v>1571</v>
      </c>
      <c r="D2043" t="s">
        <v>1027</v>
      </c>
      <c r="E2043">
        <v>63767</v>
      </c>
      <c r="G2043" t="b">
        <v>0</v>
      </c>
      <c r="H2043" t="b">
        <v>0</v>
      </c>
      <c r="I2043" t="s">
        <v>1050</v>
      </c>
      <c r="J2043">
        <v>80</v>
      </c>
      <c r="K2043" t="s">
        <v>0</v>
      </c>
      <c r="L2043" t="s">
        <v>1167</v>
      </c>
      <c r="M2043" t="s">
        <v>1168</v>
      </c>
      <c r="N2043" t="s">
        <v>1169</v>
      </c>
      <c r="O2043" t="s">
        <v>1168</v>
      </c>
      <c r="P2043" t="s">
        <v>1283</v>
      </c>
    </row>
    <row r="2044" spans="1:16" x14ac:dyDescent="0.25">
      <c r="A2044" t="s">
        <v>4534</v>
      </c>
      <c r="B2044" t="s">
        <v>4535</v>
      </c>
      <c r="C2044" t="s">
        <v>1571</v>
      </c>
      <c r="D2044" t="s">
        <v>1027</v>
      </c>
      <c r="E2044">
        <v>63767</v>
      </c>
      <c r="G2044" t="b">
        <v>0</v>
      </c>
      <c r="H2044" t="b">
        <v>0</v>
      </c>
      <c r="I2044" t="s">
        <v>1050</v>
      </c>
      <c r="J2044">
        <v>80</v>
      </c>
      <c r="K2044" t="s">
        <v>0</v>
      </c>
      <c r="L2044" t="s">
        <v>1167</v>
      </c>
      <c r="M2044" t="s">
        <v>1168</v>
      </c>
      <c r="N2044" t="s">
        <v>1169</v>
      </c>
      <c r="O2044" t="s">
        <v>1168</v>
      </c>
      <c r="P2044" t="s">
        <v>1283</v>
      </c>
    </row>
    <row r="2045" spans="1:16" x14ac:dyDescent="0.25">
      <c r="A2045" t="s">
        <v>4536</v>
      </c>
      <c r="B2045" t="s">
        <v>4537</v>
      </c>
      <c r="C2045" t="s">
        <v>1571</v>
      </c>
      <c r="D2045" t="s">
        <v>1027</v>
      </c>
      <c r="E2045">
        <v>63767</v>
      </c>
      <c r="G2045" t="b">
        <v>0</v>
      </c>
      <c r="H2045" t="b">
        <v>0</v>
      </c>
      <c r="I2045" t="s">
        <v>1050</v>
      </c>
      <c r="J2045">
        <v>80</v>
      </c>
      <c r="K2045" t="s">
        <v>0</v>
      </c>
      <c r="L2045" t="s">
        <v>1167</v>
      </c>
      <c r="M2045" t="s">
        <v>1168</v>
      </c>
      <c r="N2045" t="s">
        <v>1169</v>
      </c>
      <c r="O2045" t="s">
        <v>1168</v>
      </c>
      <c r="P2045" t="s">
        <v>1283</v>
      </c>
    </row>
    <row r="2046" spans="1:16" x14ac:dyDescent="0.25">
      <c r="A2046" t="s">
        <v>4538</v>
      </c>
      <c r="B2046" t="s">
        <v>4539</v>
      </c>
      <c r="C2046" t="s">
        <v>1571</v>
      </c>
      <c r="D2046" t="s">
        <v>1027</v>
      </c>
      <c r="E2046">
        <v>63767</v>
      </c>
      <c r="G2046" t="b">
        <v>0</v>
      </c>
      <c r="H2046" t="b">
        <v>0</v>
      </c>
      <c r="I2046" t="s">
        <v>1050</v>
      </c>
      <c r="J2046">
        <v>80</v>
      </c>
      <c r="K2046" t="s">
        <v>0</v>
      </c>
      <c r="L2046" t="s">
        <v>1167</v>
      </c>
      <c r="M2046" t="s">
        <v>1168</v>
      </c>
      <c r="N2046" t="s">
        <v>1169</v>
      </c>
      <c r="O2046" t="s">
        <v>1168</v>
      </c>
      <c r="P2046" t="s">
        <v>1283</v>
      </c>
    </row>
    <row r="2047" spans="1:16" x14ac:dyDescent="0.25">
      <c r="A2047" t="s">
        <v>4540</v>
      </c>
      <c r="B2047" t="s">
        <v>4541</v>
      </c>
      <c r="C2047" t="s">
        <v>1571</v>
      </c>
      <c r="D2047" t="s">
        <v>1027</v>
      </c>
      <c r="E2047">
        <v>63767</v>
      </c>
      <c r="G2047" t="b">
        <v>0</v>
      </c>
      <c r="H2047" t="b">
        <v>0</v>
      </c>
      <c r="I2047" t="s">
        <v>1050</v>
      </c>
      <c r="J2047">
        <v>80</v>
      </c>
      <c r="K2047" t="s">
        <v>0</v>
      </c>
      <c r="L2047" t="s">
        <v>1167</v>
      </c>
      <c r="M2047" t="s">
        <v>1168</v>
      </c>
      <c r="N2047" t="s">
        <v>1169</v>
      </c>
      <c r="O2047" t="s">
        <v>1168</v>
      </c>
      <c r="P2047" t="s">
        <v>1283</v>
      </c>
    </row>
    <row r="2048" spans="1:16" x14ac:dyDescent="0.25">
      <c r="A2048" t="s">
        <v>4542</v>
      </c>
      <c r="B2048" t="s">
        <v>4543</v>
      </c>
      <c r="C2048" t="s">
        <v>1165</v>
      </c>
      <c r="D2048" t="s">
        <v>1027</v>
      </c>
      <c r="E2048">
        <v>63774</v>
      </c>
      <c r="F2048" t="s">
        <v>1166</v>
      </c>
      <c r="G2048" t="b">
        <v>0</v>
      </c>
      <c r="H2048" t="b">
        <v>0</v>
      </c>
      <c r="I2048" t="s">
        <v>1050</v>
      </c>
      <c r="J2048">
        <v>51</v>
      </c>
      <c r="K2048" t="s">
        <v>1</v>
      </c>
      <c r="L2048" t="s">
        <v>1167</v>
      </c>
      <c r="M2048" t="s">
        <v>1168</v>
      </c>
      <c r="N2048" t="s">
        <v>1169</v>
      </c>
      <c r="O2048" t="s">
        <v>1168</v>
      </c>
      <c r="P2048" t="s">
        <v>1170</v>
      </c>
    </row>
    <row r="2049" spans="1:16" x14ac:dyDescent="0.25">
      <c r="A2049" t="s">
        <v>4544</v>
      </c>
      <c r="B2049" t="s">
        <v>4543</v>
      </c>
      <c r="C2049" t="s">
        <v>1165</v>
      </c>
      <c r="D2049" t="s">
        <v>1027</v>
      </c>
      <c r="E2049">
        <v>63774</v>
      </c>
      <c r="F2049" t="s">
        <v>1166</v>
      </c>
      <c r="G2049" t="b">
        <v>0</v>
      </c>
      <c r="H2049" t="b">
        <v>0</v>
      </c>
      <c r="I2049" t="s">
        <v>1050</v>
      </c>
      <c r="J2049">
        <v>51</v>
      </c>
      <c r="K2049" t="s">
        <v>1</v>
      </c>
      <c r="L2049" t="s">
        <v>1167</v>
      </c>
      <c r="M2049" t="s">
        <v>1168</v>
      </c>
      <c r="N2049" t="s">
        <v>1169</v>
      </c>
      <c r="O2049" t="s">
        <v>1168</v>
      </c>
      <c r="P2049" t="s">
        <v>1170</v>
      </c>
    </row>
    <row r="2050" spans="1:16" x14ac:dyDescent="0.25">
      <c r="A2050" t="s">
        <v>4545</v>
      </c>
      <c r="B2050" t="s">
        <v>4546</v>
      </c>
      <c r="C2050" t="s">
        <v>1228</v>
      </c>
      <c r="D2050" t="s">
        <v>1027</v>
      </c>
      <c r="E2050">
        <v>1660</v>
      </c>
      <c r="F2050" t="s">
        <v>1229</v>
      </c>
      <c r="G2050" t="b">
        <v>0</v>
      </c>
      <c r="H2050" t="b">
        <v>0</v>
      </c>
      <c r="I2050" t="s">
        <v>1050</v>
      </c>
      <c r="J2050">
        <v>88</v>
      </c>
      <c r="K2050" t="s">
        <v>2</v>
      </c>
      <c r="L2050" t="s">
        <v>1167</v>
      </c>
      <c r="M2050" t="s">
        <v>1168</v>
      </c>
      <c r="N2050" t="s">
        <v>1169</v>
      </c>
      <c r="O2050" t="s">
        <v>1168</v>
      </c>
      <c r="P2050" t="s">
        <v>1230</v>
      </c>
    </row>
    <row r="2051" spans="1:16" x14ac:dyDescent="0.25">
      <c r="A2051" t="s">
        <v>4547</v>
      </c>
      <c r="B2051" t="s">
        <v>4546</v>
      </c>
      <c r="C2051" t="s">
        <v>1228</v>
      </c>
      <c r="D2051" t="s">
        <v>1027</v>
      </c>
      <c r="E2051">
        <v>1660</v>
      </c>
      <c r="F2051" t="s">
        <v>1229</v>
      </c>
      <c r="G2051" t="b">
        <v>0</v>
      </c>
      <c r="H2051" t="b">
        <v>0</v>
      </c>
      <c r="I2051" t="s">
        <v>1050</v>
      </c>
      <c r="J2051">
        <v>88</v>
      </c>
      <c r="K2051" t="s">
        <v>2</v>
      </c>
      <c r="L2051" t="s">
        <v>1167</v>
      </c>
      <c r="M2051" t="s">
        <v>1168</v>
      </c>
      <c r="N2051" t="s">
        <v>1169</v>
      </c>
      <c r="O2051" t="s">
        <v>1168</v>
      </c>
      <c r="P2051" t="s">
        <v>1230</v>
      </c>
    </row>
    <row r="2052" spans="1:16" x14ac:dyDescent="0.25">
      <c r="A2052" t="s">
        <v>4548</v>
      </c>
      <c r="B2052" t="s">
        <v>4549</v>
      </c>
      <c r="C2052" t="s">
        <v>1233</v>
      </c>
      <c r="D2052" t="s">
        <v>1027</v>
      </c>
      <c r="E2052">
        <v>63762</v>
      </c>
      <c r="F2052" t="s">
        <v>1234</v>
      </c>
      <c r="G2052" t="b">
        <v>0</v>
      </c>
      <c r="H2052" t="b">
        <v>0</v>
      </c>
      <c r="I2052" t="s">
        <v>1050</v>
      </c>
      <c r="J2052">
        <v>88</v>
      </c>
      <c r="K2052" t="s">
        <v>0</v>
      </c>
      <c r="L2052" t="s">
        <v>1167</v>
      </c>
      <c r="M2052" t="s">
        <v>1168</v>
      </c>
      <c r="N2052" t="s">
        <v>1169</v>
      </c>
      <c r="O2052" t="s">
        <v>1168</v>
      </c>
      <c r="P2052" t="s">
        <v>1235</v>
      </c>
    </row>
    <row r="2053" spans="1:16" x14ac:dyDescent="0.25">
      <c r="A2053" t="s">
        <v>4550</v>
      </c>
      <c r="B2053" t="s">
        <v>4551</v>
      </c>
      <c r="C2053" t="s">
        <v>1233</v>
      </c>
      <c r="D2053" t="s">
        <v>1027</v>
      </c>
      <c r="E2053">
        <v>63762</v>
      </c>
      <c r="F2053" t="s">
        <v>1234</v>
      </c>
      <c r="G2053" t="b">
        <v>0</v>
      </c>
      <c r="H2053" t="b">
        <v>0</v>
      </c>
      <c r="I2053" t="s">
        <v>1050</v>
      </c>
      <c r="J2053">
        <v>88</v>
      </c>
      <c r="K2053" t="s">
        <v>0</v>
      </c>
      <c r="L2053" t="s">
        <v>1167</v>
      </c>
      <c r="M2053" t="s">
        <v>1168</v>
      </c>
      <c r="N2053" t="s">
        <v>1169</v>
      </c>
      <c r="O2053" t="s">
        <v>1168</v>
      </c>
      <c r="P2053" t="s">
        <v>1235</v>
      </c>
    </row>
    <row r="2054" spans="1:16" x14ac:dyDescent="0.25">
      <c r="A2054" t="s">
        <v>4552</v>
      </c>
      <c r="B2054" t="s">
        <v>4553</v>
      </c>
      <c r="C2054" t="s">
        <v>1233</v>
      </c>
      <c r="D2054" t="s">
        <v>1027</v>
      </c>
      <c r="E2054">
        <v>63762</v>
      </c>
      <c r="F2054" t="s">
        <v>1234</v>
      </c>
      <c r="G2054" t="b">
        <v>0</v>
      </c>
      <c r="H2054" t="b">
        <v>0</v>
      </c>
      <c r="I2054" t="s">
        <v>1050</v>
      </c>
      <c r="J2054">
        <v>88</v>
      </c>
      <c r="K2054" t="s">
        <v>0</v>
      </c>
      <c r="L2054" t="s">
        <v>1167</v>
      </c>
      <c r="M2054" t="s">
        <v>1168</v>
      </c>
      <c r="N2054" t="s">
        <v>1169</v>
      </c>
      <c r="O2054" t="s">
        <v>1168</v>
      </c>
      <c r="P2054" t="s">
        <v>1235</v>
      </c>
    </row>
    <row r="2055" spans="1:16" x14ac:dyDescent="0.25">
      <c r="A2055" t="s">
        <v>4554</v>
      </c>
      <c r="B2055" t="s">
        <v>4555</v>
      </c>
      <c r="C2055" t="s">
        <v>1233</v>
      </c>
      <c r="D2055" t="s">
        <v>1027</v>
      </c>
      <c r="E2055">
        <v>63762</v>
      </c>
      <c r="F2055" t="s">
        <v>1234</v>
      </c>
      <c r="G2055" t="b">
        <v>0</v>
      </c>
      <c r="H2055" t="b">
        <v>0</v>
      </c>
      <c r="I2055" t="s">
        <v>1050</v>
      </c>
      <c r="J2055">
        <v>88</v>
      </c>
      <c r="K2055" t="s">
        <v>0</v>
      </c>
      <c r="L2055" t="s">
        <v>1167</v>
      </c>
      <c r="M2055" t="s">
        <v>1168</v>
      </c>
      <c r="N2055" t="s">
        <v>1169</v>
      </c>
      <c r="O2055" t="s">
        <v>1168</v>
      </c>
      <c r="P2055" t="s">
        <v>1235</v>
      </c>
    </row>
    <row r="2056" spans="1:16" x14ac:dyDescent="0.25">
      <c r="A2056" t="s">
        <v>4556</v>
      </c>
      <c r="B2056" t="s">
        <v>4557</v>
      </c>
      <c r="C2056" t="s">
        <v>1571</v>
      </c>
      <c r="D2056" t="s">
        <v>1027</v>
      </c>
      <c r="E2056">
        <v>63767</v>
      </c>
      <c r="G2056" t="b">
        <v>0</v>
      </c>
      <c r="H2056" t="b">
        <v>0</v>
      </c>
      <c r="I2056" t="s">
        <v>1050</v>
      </c>
      <c r="J2056">
        <v>80</v>
      </c>
      <c r="K2056" t="s">
        <v>0</v>
      </c>
      <c r="L2056" t="s">
        <v>1167</v>
      </c>
      <c r="M2056" t="s">
        <v>1168</v>
      </c>
      <c r="N2056" t="s">
        <v>1169</v>
      </c>
      <c r="O2056" t="s">
        <v>1168</v>
      </c>
      <c r="P2056" t="s">
        <v>1283</v>
      </c>
    </row>
    <row r="2057" spans="1:16" x14ac:dyDescent="0.25">
      <c r="A2057" t="s">
        <v>4558</v>
      </c>
      <c r="B2057" t="s">
        <v>4559</v>
      </c>
      <c r="C2057" t="s">
        <v>1571</v>
      </c>
      <c r="D2057" t="s">
        <v>1027</v>
      </c>
      <c r="E2057">
        <v>63767</v>
      </c>
      <c r="G2057" t="b">
        <v>0</v>
      </c>
      <c r="H2057" t="b">
        <v>0</v>
      </c>
      <c r="I2057" t="s">
        <v>1050</v>
      </c>
      <c r="J2057">
        <v>80</v>
      </c>
      <c r="K2057" t="s">
        <v>0</v>
      </c>
      <c r="L2057" t="s">
        <v>1167</v>
      </c>
      <c r="M2057" t="s">
        <v>1168</v>
      </c>
      <c r="N2057" t="s">
        <v>1169</v>
      </c>
      <c r="O2057" t="s">
        <v>1168</v>
      </c>
      <c r="P2057" t="s">
        <v>1283</v>
      </c>
    </row>
    <row r="2058" spans="1:16" x14ac:dyDescent="0.25">
      <c r="A2058" t="s">
        <v>4560</v>
      </c>
      <c r="B2058" t="s">
        <v>4561</v>
      </c>
      <c r="C2058" t="s">
        <v>1571</v>
      </c>
      <c r="D2058" t="s">
        <v>1027</v>
      </c>
      <c r="E2058">
        <v>63767</v>
      </c>
      <c r="G2058" t="b">
        <v>0</v>
      </c>
      <c r="H2058" t="b">
        <v>0</v>
      </c>
      <c r="I2058" t="s">
        <v>1050</v>
      </c>
      <c r="J2058">
        <v>80</v>
      </c>
      <c r="K2058" t="s">
        <v>0</v>
      </c>
      <c r="L2058" t="s">
        <v>1167</v>
      </c>
      <c r="M2058" t="s">
        <v>1168</v>
      </c>
      <c r="N2058" t="s">
        <v>1169</v>
      </c>
      <c r="O2058" t="s">
        <v>1168</v>
      </c>
      <c r="P2058" t="s">
        <v>1283</v>
      </c>
    </row>
    <row r="2059" spans="1:16" x14ac:dyDescent="0.25">
      <c r="A2059" t="s">
        <v>4562</v>
      </c>
      <c r="B2059" t="s">
        <v>4563</v>
      </c>
      <c r="C2059" t="s">
        <v>1571</v>
      </c>
      <c r="D2059" t="s">
        <v>1027</v>
      </c>
      <c r="E2059">
        <v>63767</v>
      </c>
      <c r="G2059" t="b">
        <v>0</v>
      </c>
      <c r="H2059" t="b">
        <v>0</v>
      </c>
      <c r="I2059" t="s">
        <v>1050</v>
      </c>
      <c r="J2059">
        <v>80</v>
      </c>
      <c r="K2059" t="s">
        <v>0</v>
      </c>
      <c r="L2059" t="s">
        <v>1167</v>
      </c>
      <c r="M2059" t="s">
        <v>1168</v>
      </c>
      <c r="N2059" t="s">
        <v>1169</v>
      </c>
      <c r="O2059" t="s">
        <v>1168</v>
      </c>
      <c r="P2059" t="s">
        <v>1283</v>
      </c>
    </row>
    <row r="2060" spans="1:16" x14ac:dyDescent="0.25">
      <c r="A2060" t="s">
        <v>4564</v>
      </c>
      <c r="B2060" t="s">
        <v>4565</v>
      </c>
      <c r="C2060" t="s">
        <v>1571</v>
      </c>
      <c r="D2060" t="s">
        <v>1027</v>
      </c>
      <c r="E2060">
        <v>63767</v>
      </c>
      <c r="G2060" t="b">
        <v>0</v>
      </c>
      <c r="H2060" t="b">
        <v>0</v>
      </c>
      <c r="I2060" t="s">
        <v>1050</v>
      </c>
      <c r="J2060">
        <v>80</v>
      </c>
      <c r="K2060" t="s">
        <v>0</v>
      </c>
      <c r="L2060" t="s">
        <v>1167</v>
      </c>
      <c r="M2060" t="s">
        <v>1168</v>
      </c>
      <c r="N2060" t="s">
        <v>1169</v>
      </c>
      <c r="O2060" t="s">
        <v>1168</v>
      </c>
      <c r="P2060" t="s">
        <v>1283</v>
      </c>
    </row>
    <row r="2061" spans="1:16" x14ac:dyDescent="0.25">
      <c r="A2061" t="s">
        <v>4566</v>
      </c>
      <c r="B2061" t="s">
        <v>4567</v>
      </c>
      <c r="C2061" t="s">
        <v>1571</v>
      </c>
      <c r="D2061" t="s">
        <v>1027</v>
      </c>
      <c r="E2061">
        <v>63767</v>
      </c>
      <c r="G2061" t="b">
        <v>0</v>
      </c>
      <c r="H2061" t="b">
        <v>0</v>
      </c>
      <c r="I2061" t="s">
        <v>1050</v>
      </c>
      <c r="J2061">
        <v>80</v>
      </c>
      <c r="K2061" t="s">
        <v>0</v>
      </c>
      <c r="L2061" t="s">
        <v>1167</v>
      </c>
      <c r="M2061" t="s">
        <v>1168</v>
      </c>
      <c r="N2061" t="s">
        <v>1169</v>
      </c>
      <c r="O2061" t="s">
        <v>1168</v>
      </c>
      <c r="P2061" t="s">
        <v>1283</v>
      </c>
    </row>
    <row r="2062" spans="1:16" x14ac:dyDescent="0.25">
      <c r="A2062" t="s">
        <v>4568</v>
      </c>
      <c r="B2062" t="s">
        <v>4569</v>
      </c>
      <c r="C2062" t="s">
        <v>1571</v>
      </c>
      <c r="D2062" t="s">
        <v>1027</v>
      </c>
      <c r="E2062">
        <v>63767</v>
      </c>
      <c r="G2062" t="b">
        <v>0</v>
      </c>
      <c r="H2062" t="b">
        <v>0</v>
      </c>
      <c r="I2062" t="s">
        <v>1050</v>
      </c>
      <c r="J2062">
        <v>80</v>
      </c>
      <c r="K2062" t="s">
        <v>0</v>
      </c>
      <c r="L2062" t="s">
        <v>1167</v>
      </c>
      <c r="M2062" t="s">
        <v>1168</v>
      </c>
      <c r="N2062" t="s">
        <v>1169</v>
      </c>
      <c r="O2062" t="s">
        <v>1168</v>
      </c>
      <c r="P2062" t="s">
        <v>1283</v>
      </c>
    </row>
    <row r="2063" spans="1:16" x14ac:dyDescent="0.25">
      <c r="A2063" t="s">
        <v>4570</v>
      </c>
      <c r="B2063" t="s">
        <v>4571</v>
      </c>
      <c r="C2063" t="s">
        <v>1571</v>
      </c>
      <c r="D2063" t="s">
        <v>1027</v>
      </c>
      <c r="E2063">
        <v>63767</v>
      </c>
      <c r="G2063" t="b">
        <v>0</v>
      </c>
      <c r="H2063" t="b">
        <v>0</v>
      </c>
      <c r="I2063" t="s">
        <v>1050</v>
      </c>
      <c r="J2063">
        <v>80</v>
      </c>
      <c r="K2063" t="s">
        <v>0</v>
      </c>
      <c r="L2063" t="s">
        <v>1167</v>
      </c>
      <c r="M2063" t="s">
        <v>1168</v>
      </c>
      <c r="N2063" t="s">
        <v>1169</v>
      </c>
      <c r="O2063" t="s">
        <v>1168</v>
      </c>
      <c r="P2063" t="s">
        <v>1283</v>
      </c>
    </row>
    <row r="2064" spans="1:16" x14ac:dyDescent="0.25">
      <c r="A2064" t="s">
        <v>4572</v>
      </c>
      <c r="B2064" t="s">
        <v>4573</v>
      </c>
      <c r="C2064" t="s">
        <v>1571</v>
      </c>
      <c r="D2064" t="s">
        <v>1027</v>
      </c>
      <c r="E2064">
        <v>63767</v>
      </c>
      <c r="G2064" t="b">
        <v>0</v>
      </c>
      <c r="H2064" t="b">
        <v>0</v>
      </c>
      <c r="I2064" t="s">
        <v>1050</v>
      </c>
      <c r="J2064">
        <v>80</v>
      </c>
      <c r="K2064" t="s">
        <v>0</v>
      </c>
      <c r="L2064" t="s">
        <v>1167</v>
      </c>
      <c r="M2064" t="s">
        <v>1168</v>
      </c>
      <c r="N2064" t="s">
        <v>1169</v>
      </c>
      <c r="O2064" t="s">
        <v>1168</v>
      </c>
      <c r="P2064" t="s">
        <v>1283</v>
      </c>
    </row>
    <row r="2065" spans="1:16" x14ac:dyDescent="0.25">
      <c r="A2065" t="s">
        <v>4574</v>
      </c>
      <c r="B2065" t="s">
        <v>4575</v>
      </c>
      <c r="C2065" t="s">
        <v>1571</v>
      </c>
      <c r="D2065" t="s">
        <v>1027</v>
      </c>
      <c r="E2065">
        <v>63767</v>
      </c>
      <c r="G2065" t="b">
        <v>0</v>
      </c>
      <c r="H2065" t="b">
        <v>0</v>
      </c>
      <c r="I2065" t="s">
        <v>1050</v>
      </c>
      <c r="J2065">
        <v>80</v>
      </c>
      <c r="K2065" t="s">
        <v>0</v>
      </c>
      <c r="L2065" t="s">
        <v>1167</v>
      </c>
      <c r="M2065" t="s">
        <v>1168</v>
      </c>
      <c r="N2065" t="s">
        <v>1169</v>
      </c>
      <c r="O2065" t="s">
        <v>1168</v>
      </c>
      <c r="P2065" t="s">
        <v>1283</v>
      </c>
    </row>
    <row r="2066" spans="1:16" x14ac:dyDescent="0.25">
      <c r="A2066" t="s">
        <v>4576</v>
      </c>
      <c r="B2066" t="s">
        <v>4577</v>
      </c>
      <c r="C2066" t="s">
        <v>1571</v>
      </c>
      <c r="D2066" t="s">
        <v>1027</v>
      </c>
      <c r="E2066">
        <v>63767</v>
      </c>
      <c r="G2066" t="b">
        <v>0</v>
      </c>
      <c r="H2066" t="b">
        <v>0</v>
      </c>
      <c r="I2066" t="s">
        <v>1050</v>
      </c>
      <c r="J2066">
        <v>80</v>
      </c>
      <c r="K2066" t="s">
        <v>0</v>
      </c>
      <c r="L2066" t="s">
        <v>1167</v>
      </c>
      <c r="M2066" t="s">
        <v>1168</v>
      </c>
      <c r="N2066" t="s">
        <v>1169</v>
      </c>
      <c r="O2066" t="s">
        <v>1168</v>
      </c>
      <c r="P2066" t="s">
        <v>1283</v>
      </c>
    </row>
    <row r="2067" spans="1:16" x14ac:dyDescent="0.25">
      <c r="A2067" t="s">
        <v>4578</v>
      </c>
      <c r="B2067" t="s">
        <v>4579</v>
      </c>
      <c r="C2067" t="s">
        <v>2026</v>
      </c>
      <c r="D2067" t="s">
        <v>1027</v>
      </c>
      <c r="E2067">
        <v>1336</v>
      </c>
      <c r="F2067" t="s">
        <v>2027</v>
      </c>
      <c r="G2067" t="b">
        <v>0</v>
      </c>
      <c r="H2067" t="b">
        <v>0</v>
      </c>
      <c r="I2067" t="s">
        <v>1050</v>
      </c>
      <c r="J2067">
        <v>80</v>
      </c>
      <c r="K2067" t="s">
        <v>0</v>
      </c>
      <c r="L2067" t="s">
        <v>1167</v>
      </c>
      <c r="M2067" t="s">
        <v>1168</v>
      </c>
      <c r="N2067" t="s">
        <v>1169</v>
      </c>
      <c r="O2067" t="s">
        <v>1168</v>
      </c>
      <c r="P2067" t="s">
        <v>2028</v>
      </c>
    </row>
    <row r="2068" spans="1:16" x14ac:dyDescent="0.25">
      <c r="A2068" t="s">
        <v>4580</v>
      </c>
      <c r="B2068" t="s">
        <v>4581</v>
      </c>
      <c r="C2068" t="s">
        <v>2026</v>
      </c>
      <c r="D2068" t="s">
        <v>1027</v>
      </c>
      <c r="E2068">
        <v>1336</v>
      </c>
      <c r="F2068" t="s">
        <v>2027</v>
      </c>
      <c r="G2068" t="b">
        <v>0</v>
      </c>
      <c r="H2068" t="b">
        <v>0</v>
      </c>
      <c r="I2068" t="s">
        <v>1050</v>
      </c>
      <c r="J2068">
        <v>80</v>
      </c>
      <c r="K2068" t="s">
        <v>0</v>
      </c>
      <c r="L2068" t="s">
        <v>1167</v>
      </c>
      <c r="M2068" t="s">
        <v>1168</v>
      </c>
      <c r="N2068" t="s">
        <v>1169</v>
      </c>
      <c r="O2068" t="s">
        <v>1168</v>
      </c>
      <c r="P2068" t="s">
        <v>2028</v>
      </c>
    </row>
    <row r="2069" spans="1:16" x14ac:dyDescent="0.25">
      <c r="A2069" t="s">
        <v>4582</v>
      </c>
      <c r="B2069" t="s">
        <v>4583</v>
      </c>
      <c r="C2069" t="s">
        <v>1233</v>
      </c>
      <c r="D2069" t="s">
        <v>1027</v>
      </c>
      <c r="E2069">
        <v>63762</v>
      </c>
      <c r="F2069" t="s">
        <v>1234</v>
      </c>
      <c r="G2069" t="b">
        <v>0</v>
      </c>
      <c r="H2069" t="b">
        <v>0</v>
      </c>
      <c r="I2069" t="s">
        <v>1050</v>
      </c>
      <c r="J2069">
        <v>87</v>
      </c>
      <c r="K2069" t="s">
        <v>0</v>
      </c>
      <c r="L2069" t="s">
        <v>1167</v>
      </c>
      <c r="M2069" t="s">
        <v>1168</v>
      </c>
      <c r="N2069" t="s">
        <v>1169</v>
      </c>
      <c r="O2069" t="s">
        <v>1168</v>
      </c>
      <c r="P2069" t="s">
        <v>1235</v>
      </c>
    </row>
    <row r="2070" spans="1:16" x14ac:dyDescent="0.25">
      <c r="A2070" t="s">
        <v>4584</v>
      </c>
      <c r="B2070" t="s">
        <v>4585</v>
      </c>
      <c r="C2070" t="s">
        <v>1571</v>
      </c>
      <c r="D2070" t="s">
        <v>1027</v>
      </c>
      <c r="E2070">
        <v>63767</v>
      </c>
      <c r="G2070" t="b">
        <v>0</v>
      </c>
      <c r="H2070" t="b">
        <v>0</v>
      </c>
      <c r="I2070" t="s">
        <v>1050</v>
      </c>
      <c r="J2070">
        <v>80</v>
      </c>
      <c r="K2070" t="s">
        <v>0</v>
      </c>
      <c r="L2070" t="s">
        <v>1167</v>
      </c>
      <c r="M2070" t="s">
        <v>1168</v>
      </c>
      <c r="N2070" t="s">
        <v>1169</v>
      </c>
      <c r="O2070" t="s">
        <v>1168</v>
      </c>
      <c r="P2070" t="s">
        <v>1283</v>
      </c>
    </row>
    <row r="2071" spans="1:16" x14ac:dyDescent="0.25">
      <c r="A2071" t="s">
        <v>4586</v>
      </c>
      <c r="B2071" t="s">
        <v>4587</v>
      </c>
      <c r="C2071" t="s">
        <v>1571</v>
      </c>
      <c r="D2071" t="s">
        <v>1027</v>
      </c>
      <c r="E2071">
        <v>63767</v>
      </c>
      <c r="G2071" t="b">
        <v>0</v>
      </c>
      <c r="H2071" t="b">
        <v>0</v>
      </c>
      <c r="I2071" t="s">
        <v>1050</v>
      </c>
      <c r="J2071">
        <v>80</v>
      </c>
      <c r="K2071" t="s">
        <v>0</v>
      </c>
      <c r="L2071" t="s">
        <v>1167</v>
      </c>
      <c r="M2071" t="s">
        <v>1168</v>
      </c>
      <c r="N2071" t="s">
        <v>1169</v>
      </c>
      <c r="O2071" t="s">
        <v>1168</v>
      </c>
      <c r="P2071" t="s">
        <v>1283</v>
      </c>
    </row>
    <row r="2072" spans="1:16" x14ac:dyDescent="0.25">
      <c r="A2072" t="s">
        <v>4588</v>
      </c>
      <c r="B2072" t="s">
        <v>4589</v>
      </c>
      <c r="C2072" t="s">
        <v>1571</v>
      </c>
      <c r="D2072" t="s">
        <v>1027</v>
      </c>
      <c r="E2072">
        <v>63767</v>
      </c>
      <c r="G2072" t="b">
        <v>0</v>
      </c>
      <c r="H2072" t="b">
        <v>0</v>
      </c>
      <c r="I2072" t="s">
        <v>1050</v>
      </c>
      <c r="J2072">
        <v>80</v>
      </c>
      <c r="K2072" t="s">
        <v>0</v>
      </c>
      <c r="L2072" t="s">
        <v>1167</v>
      </c>
      <c r="M2072" t="s">
        <v>1168</v>
      </c>
      <c r="N2072" t="s">
        <v>1169</v>
      </c>
      <c r="O2072" t="s">
        <v>1168</v>
      </c>
      <c r="P2072" t="s">
        <v>1283</v>
      </c>
    </row>
    <row r="2073" spans="1:16" x14ac:dyDescent="0.25">
      <c r="A2073" t="s">
        <v>4590</v>
      </c>
      <c r="B2073" t="s">
        <v>4591</v>
      </c>
      <c r="C2073" t="s">
        <v>1571</v>
      </c>
      <c r="D2073" t="s">
        <v>1027</v>
      </c>
      <c r="E2073">
        <v>63767</v>
      </c>
      <c r="G2073" t="b">
        <v>0</v>
      </c>
      <c r="H2073" t="b">
        <v>0</v>
      </c>
      <c r="I2073" t="s">
        <v>1050</v>
      </c>
      <c r="J2073">
        <v>80</v>
      </c>
      <c r="K2073" t="s">
        <v>0</v>
      </c>
      <c r="L2073" t="s">
        <v>1167</v>
      </c>
      <c r="M2073" t="s">
        <v>1168</v>
      </c>
      <c r="N2073" t="s">
        <v>1169</v>
      </c>
      <c r="O2073" t="s">
        <v>1168</v>
      </c>
      <c r="P2073" t="s">
        <v>1283</v>
      </c>
    </row>
    <row r="2074" spans="1:16" x14ac:dyDescent="0.25">
      <c r="A2074" t="s">
        <v>4592</v>
      </c>
      <c r="B2074" t="s">
        <v>4593</v>
      </c>
      <c r="C2074" t="s">
        <v>1571</v>
      </c>
      <c r="D2074" t="s">
        <v>1027</v>
      </c>
      <c r="E2074">
        <v>63767</v>
      </c>
      <c r="G2074" t="b">
        <v>0</v>
      </c>
      <c r="H2074" t="b">
        <v>0</v>
      </c>
      <c r="I2074" t="s">
        <v>1050</v>
      </c>
      <c r="J2074">
        <v>80</v>
      </c>
      <c r="K2074" t="s">
        <v>0</v>
      </c>
      <c r="L2074" t="s">
        <v>1167</v>
      </c>
      <c r="M2074" t="s">
        <v>1168</v>
      </c>
      <c r="N2074" t="s">
        <v>1169</v>
      </c>
      <c r="O2074" t="s">
        <v>1168</v>
      </c>
      <c r="P2074" t="s">
        <v>1283</v>
      </c>
    </row>
    <row r="2075" spans="1:16" x14ac:dyDescent="0.25">
      <c r="A2075" t="s">
        <v>4594</v>
      </c>
      <c r="B2075" t="s">
        <v>4595</v>
      </c>
      <c r="C2075" t="s">
        <v>1571</v>
      </c>
      <c r="D2075" t="s">
        <v>1027</v>
      </c>
      <c r="E2075">
        <v>63767</v>
      </c>
      <c r="G2075" t="b">
        <v>0</v>
      </c>
      <c r="H2075" t="b">
        <v>0</v>
      </c>
      <c r="I2075" t="s">
        <v>1050</v>
      </c>
      <c r="J2075">
        <v>80</v>
      </c>
      <c r="K2075" t="s">
        <v>0</v>
      </c>
      <c r="L2075" t="s">
        <v>1167</v>
      </c>
      <c r="M2075" t="s">
        <v>1168</v>
      </c>
      <c r="N2075" t="s">
        <v>1169</v>
      </c>
      <c r="O2075" t="s">
        <v>1168</v>
      </c>
      <c r="P2075" t="s">
        <v>1283</v>
      </c>
    </row>
    <row r="2076" spans="1:16" x14ac:dyDescent="0.25">
      <c r="A2076" t="s">
        <v>4596</v>
      </c>
      <c r="B2076" t="s">
        <v>4589</v>
      </c>
      <c r="C2076" t="s">
        <v>1571</v>
      </c>
      <c r="D2076" t="s">
        <v>1027</v>
      </c>
      <c r="E2076">
        <v>63767</v>
      </c>
      <c r="G2076" t="b">
        <v>0</v>
      </c>
      <c r="H2076" t="b">
        <v>0</v>
      </c>
      <c r="I2076" t="s">
        <v>1050</v>
      </c>
      <c r="J2076">
        <v>80</v>
      </c>
      <c r="K2076" t="s">
        <v>0</v>
      </c>
      <c r="L2076" t="s">
        <v>1167</v>
      </c>
      <c r="M2076" t="s">
        <v>1168</v>
      </c>
      <c r="N2076" t="s">
        <v>1169</v>
      </c>
      <c r="O2076" t="s">
        <v>1168</v>
      </c>
      <c r="P2076" t="s">
        <v>1283</v>
      </c>
    </row>
    <row r="2077" spans="1:16" x14ac:dyDescent="0.25">
      <c r="A2077" t="s">
        <v>4597</v>
      </c>
      <c r="B2077" t="s">
        <v>4589</v>
      </c>
      <c r="C2077" t="s">
        <v>1571</v>
      </c>
      <c r="D2077" t="s">
        <v>1027</v>
      </c>
      <c r="E2077">
        <v>63767</v>
      </c>
      <c r="G2077" t="b">
        <v>0</v>
      </c>
      <c r="H2077" t="b">
        <v>0</v>
      </c>
      <c r="I2077" t="s">
        <v>1050</v>
      </c>
      <c r="J2077">
        <v>80</v>
      </c>
      <c r="K2077" t="s">
        <v>0</v>
      </c>
      <c r="L2077" t="s">
        <v>1167</v>
      </c>
      <c r="M2077" t="s">
        <v>1168</v>
      </c>
      <c r="N2077" t="s">
        <v>1169</v>
      </c>
      <c r="O2077" t="s">
        <v>1168</v>
      </c>
      <c r="P2077" t="s">
        <v>1283</v>
      </c>
    </row>
    <row r="2078" spans="1:16" x14ac:dyDescent="0.25">
      <c r="A2078" t="s">
        <v>4598</v>
      </c>
      <c r="B2078" t="s">
        <v>4589</v>
      </c>
      <c r="C2078" t="s">
        <v>1571</v>
      </c>
      <c r="D2078" t="s">
        <v>1027</v>
      </c>
      <c r="E2078">
        <v>63767</v>
      </c>
      <c r="G2078" t="b">
        <v>0</v>
      </c>
      <c r="H2078" t="b">
        <v>0</v>
      </c>
      <c r="I2078" t="s">
        <v>1050</v>
      </c>
      <c r="J2078">
        <v>80</v>
      </c>
      <c r="K2078" t="s">
        <v>0</v>
      </c>
      <c r="L2078" t="s">
        <v>1167</v>
      </c>
      <c r="M2078" t="s">
        <v>1168</v>
      </c>
      <c r="N2078" t="s">
        <v>1169</v>
      </c>
      <c r="O2078" t="s">
        <v>1168</v>
      </c>
      <c r="P2078" t="s">
        <v>1283</v>
      </c>
    </row>
    <row r="2079" spans="1:16" x14ac:dyDescent="0.25">
      <c r="A2079" t="s">
        <v>4599</v>
      </c>
      <c r="B2079" t="s">
        <v>4589</v>
      </c>
      <c r="C2079" t="s">
        <v>1571</v>
      </c>
      <c r="D2079" t="s">
        <v>1027</v>
      </c>
      <c r="E2079">
        <v>63767</v>
      </c>
      <c r="G2079" t="b">
        <v>0</v>
      </c>
      <c r="H2079" t="b">
        <v>0</v>
      </c>
      <c r="I2079" t="s">
        <v>1050</v>
      </c>
      <c r="J2079">
        <v>80</v>
      </c>
      <c r="K2079" t="s">
        <v>0</v>
      </c>
      <c r="L2079" t="s">
        <v>1167</v>
      </c>
      <c r="M2079" t="s">
        <v>1168</v>
      </c>
      <c r="N2079" t="s">
        <v>1169</v>
      </c>
      <c r="O2079" t="s">
        <v>1168</v>
      </c>
      <c r="P2079" t="s">
        <v>1283</v>
      </c>
    </row>
    <row r="2080" spans="1:16" x14ac:dyDescent="0.25">
      <c r="A2080" t="s">
        <v>4600</v>
      </c>
      <c r="B2080" t="s">
        <v>4601</v>
      </c>
      <c r="C2080" t="s">
        <v>1571</v>
      </c>
      <c r="D2080" t="s">
        <v>1027</v>
      </c>
      <c r="E2080">
        <v>63767</v>
      </c>
      <c r="G2080" t="b">
        <v>0</v>
      </c>
      <c r="H2080" t="b">
        <v>0</v>
      </c>
      <c r="I2080" t="s">
        <v>1050</v>
      </c>
      <c r="J2080">
        <v>80</v>
      </c>
      <c r="K2080" t="s">
        <v>0</v>
      </c>
      <c r="L2080" t="s">
        <v>1167</v>
      </c>
      <c r="M2080" t="s">
        <v>1168</v>
      </c>
      <c r="N2080" t="s">
        <v>1169</v>
      </c>
      <c r="O2080" t="s">
        <v>1168</v>
      </c>
      <c r="P2080" t="s">
        <v>1283</v>
      </c>
    </row>
    <row r="2081" spans="1:16" x14ac:dyDescent="0.25">
      <c r="A2081" t="s">
        <v>4602</v>
      </c>
      <c r="B2081" t="s">
        <v>4603</v>
      </c>
      <c r="C2081" t="s">
        <v>1571</v>
      </c>
      <c r="D2081" t="s">
        <v>1027</v>
      </c>
      <c r="E2081">
        <v>63767</v>
      </c>
      <c r="G2081" t="b">
        <v>0</v>
      </c>
      <c r="H2081" t="b">
        <v>0</v>
      </c>
      <c r="I2081" t="s">
        <v>1050</v>
      </c>
      <c r="J2081">
        <v>80</v>
      </c>
      <c r="K2081" t="s">
        <v>0</v>
      </c>
      <c r="L2081" t="s">
        <v>1167</v>
      </c>
      <c r="M2081" t="s">
        <v>1168</v>
      </c>
      <c r="N2081" t="s">
        <v>1169</v>
      </c>
      <c r="O2081" t="s">
        <v>1168</v>
      </c>
      <c r="P2081" t="s">
        <v>1283</v>
      </c>
    </row>
    <row r="2082" spans="1:16" x14ac:dyDescent="0.25">
      <c r="A2082" t="s">
        <v>4604</v>
      </c>
      <c r="B2082" t="s">
        <v>4605</v>
      </c>
      <c r="C2082" t="s">
        <v>1571</v>
      </c>
      <c r="D2082" t="s">
        <v>1027</v>
      </c>
      <c r="E2082">
        <v>63767</v>
      </c>
      <c r="G2082" t="b">
        <v>0</v>
      </c>
      <c r="H2082" t="b">
        <v>0</v>
      </c>
      <c r="I2082" t="s">
        <v>1050</v>
      </c>
      <c r="J2082">
        <v>80</v>
      </c>
      <c r="K2082" t="s">
        <v>0</v>
      </c>
      <c r="L2082" t="s">
        <v>1167</v>
      </c>
      <c r="M2082" t="s">
        <v>1168</v>
      </c>
      <c r="N2082" t="s">
        <v>1169</v>
      </c>
      <c r="O2082" t="s">
        <v>1168</v>
      </c>
      <c r="P2082" t="s">
        <v>1283</v>
      </c>
    </row>
    <row r="2083" spans="1:16" x14ac:dyDescent="0.25">
      <c r="A2083" t="s">
        <v>4606</v>
      </c>
      <c r="B2083" t="s">
        <v>4607</v>
      </c>
      <c r="C2083" t="s">
        <v>1571</v>
      </c>
      <c r="D2083" t="s">
        <v>1027</v>
      </c>
      <c r="E2083">
        <v>63767</v>
      </c>
      <c r="G2083" t="b">
        <v>0</v>
      </c>
      <c r="H2083" t="b">
        <v>0</v>
      </c>
      <c r="I2083" t="s">
        <v>1050</v>
      </c>
      <c r="J2083">
        <v>80</v>
      </c>
      <c r="K2083" t="s">
        <v>0</v>
      </c>
      <c r="L2083" t="s">
        <v>1167</v>
      </c>
      <c r="M2083" t="s">
        <v>1168</v>
      </c>
      <c r="N2083" t="s">
        <v>1169</v>
      </c>
      <c r="O2083" t="s">
        <v>1168</v>
      </c>
      <c r="P2083" t="s">
        <v>1283</v>
      </c>
    </row>
    <row r="2084" spans="1:16" x14ac:dyDescent="0.25">
      <c r="A2084" t="s">
        <v>4608</v>
      </c>
      <c r="B2084" t="s">
        <v>4607</v>
      </c>
      <c r="C2084" t="s">
        <v>1571</v>
      </c>
      <c r="D2084" t="s">
        <v>1027</v>
      </c>
      <c r="E2084">
        <v>63767</v>
      </c>
      <c r="G2084" t="b">
        <v>0</v>
      </c>
      <c r="H2084" t="b">
        <v>0</v>
      </c>
      <c r="I2084" t="s">
        <v>1050</v>
      </c>
      <c r="J2084">
        <v>80</v>
      </c>
      <c r="K2084" t="s">
        <v>0</v>
      </c>
      <c r="L2084" t="s">
        <v>1167</v>
      </c>
      <c r="M2084" t="s">
        <v>1168</v>
      </c>
      <c r="N2084" t="s">
        <v>1169</v>
      </c>
      <c r="O2084" t="s">
        <v>1168</v>
      </c>
      <c r="P2084" t="s">
        <v>1283</v>
      </c>
    </row>
    <row r="2085" spans="1:16" x14ac:dyDescent="0.25">
      <c r="A2085" t="s">
        <v>4609</v>
      </c>
      <c r="B2085" t="s">
        <v>4591</v>
      </c>
      <c r="C2085" t="s">
        <v>1571</v>
      </c>
      <c r="D2085" t="s">
        <v>1027</v>
      </c>
      <c r="E2085">
        <v>63767</v>
      </c>
      <c r="G2085" t="b">
        <v>0</v>
      </c>
      <c r="H2085" t="b">
        <v>0</v>
      </c>
      <c r="I2085" t="s">
        <v>1050</v>
      </c>
      <c r="J2085">
        <v>80</v>
      </c>
      <c r="K2085" t="s">
        <v>0</v>
      </c>
      <c r="L2085" t="s">
        <v>1167</v>
      </c>
      <c r="M2085" t="s">
        <v>1168</v>
      </c>
      <c r="N2085" t="s">
        <v>1169</v>
      </c>
      <c r="O2085" t="s">
        <v>1168</v>
      </c>
      <c r="P2085" t="s">
        <v>1283</v>
      </c>
    </row>
    <row r="2086" spans="1:16" x14ac:dyDescent="0.25">
      <c r="A2086" t="s">
        <v>4610</v>
      </c>
      <c r="B2086" t="s">
        <v>4593</v>
      </c>
      <c r="C2086" t="s">
        <v>1571</v>
      </c>
      <c r="D2086" t="s">
        <v>1027</v>
      </c>
      <c r="E2086">
        <v>63767</v>
      </c>
      <c r="G2086" t="b">
        <v>0</v>
      </c>
      <c r="H2086" t="b">
        <v>0</v>
      </c>
      <c r="I2086" t="s">
        <v>1050</v>
      </c>
      <c r="J2086">
        <v>80</v>
      </c>
      <c r="K2086" t="s">
        <v>0</v>
      </c>
      <c r="L2086" t="s">
        <v>1167</v>
      </c>
      <c r="M2086" t="s">
        <v>1168</v>
      </c>
      <c r="N2086" t="s">
        <v>1169</v>
      </c>
      <c r="O2086" t="s">
        <v>1168</v>
      </c>
      <c r="P2086" t="s">
        <v>1283</v>
      </c>
    </row>
    <row r="2087" spans="1:16" x14ac:dyDescent="0.25">
      <c r="A2087" t="s">
        <v>4611</v>
      </c>
      <c r="B2087" t="s">
        <v>4593</v>
      </c>
      <c r="C2087" t="s">
        <v>1571</v>
      </c>
      <c r="D2087" t="s">
        <v>1027</v>
      </c>
      <c r="E2087">
        <v>63767</v>
      </c>
      <c r="G2087" t="b">
        <v>0</v>
      </c>
      <c r="H2087" t="b">
        <v>0</v>
      </c>
      <c r="I2087" t="s">
        <v>1050</v>
      </c>
      <c r="J2087">
        <v>80</v>
      </c>
      <c r="K2087" t="s">
        <v>0</v>
      </c>
      <c r="L2087" t="s">
        <v>1167</v>
      </c>
      <c r="M2087" t="s">
        <v>1168</v>
      </c>
      <c r="N2087" t="s">
        <v>1169</v>
      </c>
      <c r="O2087" t="s">
        <v>1168</v>
      </c>
      <c r="P2087" t="s">
        <v>1283</v>
      </c>
    </row>
    <row r="2088" spans="1:16" x14ac:dyDescent="0.25">
      <c r="A2088" t="s">
        <v>4612</v>
      </c>
      <c r="B2088" t="s">
        <v>4593</v>
      </c>
      <c r="C2088" t="s">
        <v>1571</v>
      </c>
      <c r="D2088" t="s">
        <v>1027</v>
      </c>
      <c r="E2088">
        <v>63767</v>
      </c>
      <c r="G2088" t="b">
        <v>0</v>
      </c>
      <c r="H2088" t="b">
        <v>0</v>
      </c>
      <c r="I2088" t="s">
        <v>1050</v>
      </c>
      <c r="J2088">
        <v>80</v>
      </c>
      <c r="K2088" t="s">
        <v>0</v>
      </c>
      <c r="L2088" t="s">
        <v>1167</v>
      </c>
      <c r="M2088" t="s">
        <v>1168</v>
      </c>
      <c r="N2088" t="s">
        <v>1169</v>
      </c>
      <c r="O2088" t="s">
        <v>1168</v>
      </c>
      <c r="P2088" t="s">
        <v>1283</v>
      </c>
    </row>
    <row r="2089" spans="1:16" x14ac:dyDescent="0.25">
      <c r="A2089" t="s">
        <v>4613</v>
      </c>
      <c r="B2089" t="s">
        <v>4614</v>
      </c>
      <c r="C2089" t="s">
        <v>1165</v>
      </c>
      <c r="D2089" t="s">
        <v>1027</v>
      </c>
      <c r="E2089">
        <v>63774</v>
      </c>
      <c r="F2089" t="s">
        <v>1166</v>
      </c>
      <c r="G2089" t="b">
        <v>0</v>
      </c>
      <c r="H2089" t="b">
        <v>0</v>
      </c>
      <c r="I2089" t="s">
        <v>1050</v>
      </c>
      <c r="J2089">
        <v>28</v>
      </c>
      <c r="K2089" t="s">
        <v>1</v>
      </c>
      <c r="L2089" t="s">
        <v>1167</v>
      </c>
      <c r="M2089" t="s">
        <v>1168</v>
      </c>
      <c r="N2089" t="s">
        <v>1169</v>
      </c>
      <c r="O2089" t="s">
        <v>1168</v>
      </c>
      <c r="P2089" t="s">
        <v>1170</v>
      </c>
    </row>
    <row r="2090" spans="1:16" x14ac:dyDescent="0.25">
      <c r="A2090" t="s">
        <v>4615</v>
      </c>
      <c r="B2090" t="s">
        <v>4616</v>
      </c>
      <c r="C2090" t="s">
        <v>1571</v>
      </c>
      <c r="D2090" t="s">
        <v>1027</v>
      </c>
      <c r="E2090">
        <v>63767</v>
      </c>
      <c r="G2090" t="b">
        <v>0</v>
      </c>
      <c r="H2090" t="b">
        <v>0</v>
      </c>
      <c r="I2090" t="s">
        <v>1050</v>
      </c>
      <c r="J2090">
        <v>80</v>
      </c>
      <c r="K2090" t="s">
        <v>0</v>
      </c>
      <c r="L2090" t="s">
        <v>1167</v>
      </c>
      <c r="M2090" t="s">
        <v>1168</v>
      </c>
      <c r="N2090" t="s">
        <v>1169</v>
      </c>
      <c r="O2090" t="s">
        <v>1168</v>
      </c>
      <c r="P2090" t="s">
        <v>1283</v>
      </c>
    </row>
    <row r="2091" spans="1:16" x14ac:dyDescent="0.25">
      <c r="A2091" t="s">
        <v>4617</v>
      </c>
      <c r="B2091" t="s">
        <v>4618</v>
      </c>
      <c r="C2091" t="s">
        <v>1571</v>
      </c>
      <c r="D2091" t="s">
        <v>1027</v>
      </c>
      <c r="E2091">
        <v>63767</v>
      </c>
      <c r="G2091" t="b">
        <v>0</v>
      </c>
      <c r="H2091" t="b">
        <v>0</v>
      </c>
      <c r="I2091" t="s">
        <v>1050</v>
      </c>
      <c r="J2091">
        <v>80</v>
      </c>
      <c r="K2091" t="s">
        <v>0</v>
      </c>
      <c r="L2091" t="s">
        <v>1167</v>
      </c>
      <c r="M2091" t="s">
        <v>1168</v>
      </c>
      <c r="N2091" t="s">
        <v>1169</v>
      </c>
      <c r="O2091" t="s">
        <v>1168</v>
      </c>
      <c r="P2091" t="s">
        <v>1283</v>
      </c>
    </row>
    <row r="2092" spans="1:16" x14ac:dyDescent="0.25">
      <c r="A2092" t="s">
        <v>4619</v>
      </c>
      <c r="B2092" t="s">
        <v>4620</v>
      </c>
      <c r="C2092" t="s">
        <v>1571</v>
      </c>
      <c r="D2092" t="s">
        <v>1027</v>
      </c>
      <c r="E2092">
        <v>63767</v>
      </c>
      <c r="G2092" t="b">
        <v>0</v>
      </c>
      <c r="H2092" t="b">
        <v>0</v>
      </c>
      <c r="I2092" t="s">
        <v>1050</v>
      </c>
      <c r="J2092">
        <v>80</v>
      </c>
      <c r="K2092" t="s">
        <v>0</v>
      </c>
      <c r="L2092" t="s">
        <v>1167</v>
      </c>
      <c r="M2092" t="s">
        <v>1168</v>
      </c>
      <c r="N2092" t="s">
        <v>1169</v>
      </c>
      <c r="O2092" t="s">
        <v>1168</v>
      </c>
      <c r="P2092" t="s">
        <v>1283</v>
      </c>
    </row>
    <row r="2093" spans="1:16" x14ac:dyDescent="0.25">
      <c r="A2093" t="s">
        <v>4621</v>
      </c>
      <c r="B2093" t="s">
        <v>4622</v>
      </c>
      <c r="C2093" t="s">
        <v>1571</v>
      </c>
      <c r="D2093" t="s">
        <v>1027</v>
      </c>
      <c r="E2093">
        <v>63767</v>
      </c>
      <c r="G2093" t="b">
        <v>0</v>
      </c>
      <c r="H2093" t="b">
        <v>0</v>
      </c>
      <c r="I2093" t="s">
        <v>1050</v>
      </c>
      <c r="J2093">
        <v>80</v>
      </c>
      <c r="K2093" t="s">
        <v>0</v>
      </c>
      <c r="L2093" t="s">
        <v>1167</v>
      </c>
      <c r="M2093" t="s">
        <v>1168</v>
      </c>
      <c r="N2093" t="s">
        <v>1169</v>
      </c>
      <c r="O2093" t="s">
        <v>1168</v>
      </c>
      <c r="P2093" t="s">
        <v>1283</v>
      </c>
    </row>
    <row r="2094" spans="1:16" x14ac:dyDescent="0.25">
      <c r="A2094" t="s">
        <v>4623</v>
      </c>
      <c r="B2094" t="s">
        <v>4624</v>
      </c>
      <c r="C2094" t="s">
        <v>1571</v>
      </c>
      <c r="D2094" t="s">
        <v>1027</v>
      </c>
      <c r="E2094">
        <v>63767</v>
      </c>
      <c r="G2094" t="b">
        <v>0</v>
      </c>
      <c r="H2094" t="b">
        <v>0</v>
      </c>
      <c r="I2094" t="s">
        <v>1050</v>
      </c>
      <c r="J2094">
        <v>87</v>
      </c>
      <c r="K2094" t="s">
        <v>0</v>
      </c>
      <c r="L2094" t="s">
        <v>1167</v>
      </c>
      <c r="M2094" t="s">
        <v>1168</v>
      </c>
      <c r="N2094" t="s">
        <v>1169</v>
      </c>
      <c r="O2094" t="s">
        <v>1168</v>
      </c>
      <c r="P2094" t="s">
        <v>1283</v>
      </c>
    </row>
    <row r="2095" spans="1:16" x14ac:dyDescent="0.25">
      <c r="A2095" t="s">
        <v>4625</v>
      </c>
      <c r="B2095" t="s">
        <v>4626</v>
      </c>
      <c r="C2095" t="s">
        <v>1165</v>
      </c>
      <c r="D2095" t="s">
        <v>1027</v>
      </c>
      <c r="E2095">
        <v>63774</v>
      </c>
      <c r="F2095" t="s">
        <v>1166</v>
      </c>
      <c r="G2095" t="b">
        <v>0</v>
      </c>
      <c r="H2095" t="b">
        <v>0</v>
      </c>
      <c r="I2095" t="s">
        <v>1050</v>
      </c>
      <c r="J2095">
        <v>30</v>
      </c>
      <c r="K2095" t="s">
        <v>1</v>
      </c>
      <c r="L2095" t="s">
        <v>1167</v>
      </c>
      <c r="M2095" t="s">
        <v>1168</v>
      </c>
      <c r="N2095" t="s">
        <v>1169</v>
      </c>
      <c r="O2095" t="s">
        <v>1168</v>
      </c>
      <c r="P2095" t="s">
        <v>1170</v>
      </c>
    </row>
    <row r="2096" spans="1:16" x14ac:dyDescent="0.25">
      <c r="A2096" t="s">
        <v>4627</v>
      </c>
      <c r="B2096" t="s">
        <v>4628</v>
      </c>
      <c r="C2096" t="s">
        <v>1165</v>
      </c>
      <c r="D2096" t="s">
        <v>1027</v>
      </c>
      <c r="E2096">
        <v>63774</v>
      </c>
      <c r="F2096" t="s">
        <v>1166</v>
      </c>
      <c r="G2096" t="b">
        <v>0</v>
      </c>
      <c r="H2096" t="b">
        <v>0</v>
      </c>
      <c r="I2096" t="s">
        <v>1050</v>
      </c>
      <c r="J2096">
        <v>30</v>
      </c>
      <c r="K2096" t="s">
        <v>1</v>
      </c>
      <c r="L2096" t="s">
        <v>1167</v>
      </c>
      <c r="M2096" t="s">
        <v>1168</v>
      </c>
      <c r="N2096" t="s">
        <v>1169</v>
      </c>
      <c r="O2096" t="s">
        <v>1168</v>
      </c>
      <c r="P2096" t="s">
        <v>1170</v>
      </c>
    </row>
    <row r="2097" spans="1:16" x14ac:dyDescent="0.25">
      <c r="A2097" t="s">
        <v>4629</v>
      </c>
      <c r="B2097" t="s">
        <v>4628</v>
      </c>
      <c r="C2097" t="s">
        <v>1165</v>
      </c>
      <c r="D2097" t="s">
        <v>1027</v>
      </c>
      <c r="E2097">
        <v>63774</v>
      </c>
      <c r="F2097" t="s">
        <v>1166</v>
      </c>
      <c r="G2097" t="b">
        <v>0</v>
      </c>
      <c r="H2097" t="b">
        <v>0</v>
      </c>
      <c r="I2097" t="s">
        <v>1050</v>
      </c>
      <c r="J2097">
        <v>30</v>
      </c>
      <c r="K2097" t="s">
        <v>1</v>
      </c>
      <c r="L2097" t="s">
        <v>1167</v>
      </c>
      <c r="M2097" t="s">
        <v>1168</v>
      </c>
      <c r="N2097" t="s">
        <v>1169</v>
      </c>
      <c r="O2097" t="s">
        <v>1168</v>
      </c>
      <c r="P2097" t="s">
        <v>1170</v>
      </c>
    </row>
    <row r="2098" spans="1:16" x14ac:dyDescent="0.25">
      <c r="A2098" t="s">
        <v>4630</v>
      </c>
      <c r="B2098" t="s">
        <v>4631</v>
      </c>
      <c r="C2098" t="s">
        <v>1165</v>
      </c>
      <c r="D2098" t="s">
        <v>1027</v>
      </c>
      <c r="E2098">
        <v>63774</v>
      </c>
      <c r="F2098" t="s">
        <v>1166</v>
      </c>
      <c r="G2098" t="b">
        <v>0</v>
      </c>
      <c r="H2098" t="b">
        <v>0</v>
      </c>
      <c r="I2098" t="s">
        <v>1050</v>
      </c>
      <c r="J2098">
        <v>47</v>
      </c>
      <c r="K2098" t="s">
        <v>1</v>
      </c>
      <c r="L2098" t="s">
        <v>1167</v>
      </c>
      <c r="M2098" t="s">
        <v>1168</v>
      </c>
      <c r="N2098" t="s">
        <v>1169</v>
      </c>
      <c r="O2098" t="s">
        <v>1168</v>
      </c>
      <c r="P2098" t="s">
        <v>1170</v>
      </c>
    </row>
    <row r="2099" spans="1:16" x14ac:dyDescent="0.25">
      <c r="A2099" t="s">
        <v>4632</v>
      </c>
      <c r="B2099" t="s">
        <v>4631</v>
      </c>
      <c r="C2099" t="s">
        <v>1165</v>
      </c>
      <c r="D2099" t="s">
        <v>1027</v>
      </c>
      <c r="E2099">
        <v>63774</v>
      </c>
      <c r="F2099" t="s">
        <v>1166</v>
      </c>
      <c r="G2099" t="b">
        <v>0</v>
      </c>
      <c r="H2099" t="b">
        <v>0</v>
      </c>
      <c r="I2099" t="s">
        <v>1050</v>
      </c>
      <c r="J2099">
        <v>47</v>
      </c>
      <c r="K2099" t="s">
        <v>1</v>
      </c>
      <c r="L2099" t="s">
        <v>1167</v>
      </c>
      <c r="M2099" t="s">
        <v>1168</v>
      </c>
      <c r="N2099" t="s">
        <v>1169</v>
      </c>
      <c r="O2099" t="s">
        <v>1168</v>
      </c>
      <c r="P2099" t="s">
        <v>1170</v>
      </c>
    </row>
    <row r="2100" spans="1:16" x14ac:dyDescent="0.25">
      <c r="A2100" t="s">
        <v>4633</v>
      </c>
      <c r="B2100" t="s">
        <v>4634</v>
      </c>
      <c r="C2100" t="s">
        <v>1228</v>
      </c>
      <c r="D2100" t="s">
        <v>1027</v>
      </c>
      <c r="E2100">
        <v>1660</v>
      </c>
      <c r="F2100" t="s">
        <v>1229</v>
      </c>
      <c r="G2100" t="b">
        <v>0</v>
      </c>
      <c r="H2100" t="b">
        <v>0</v>
      </c>
      <c r="I2100" t="s">
        <v>1050</v>
      </c>
      <c r="J2100">
        <v>88</v>
      </c>
      <c r="K2100" t="s">
        <v>2</v>
      </c>
      <c r="L2100" t="s">
        <v>1167</v>
      </c>
      <c r="M2100" t="s">
        <v>1168</v>
      </c>
      <c r="N2100" t="s">
        <v>1169</v>
      </c>
      <c r="O2100" t="s">
        <v>1168</v>
      </c>
      <c r="P2100" t="s">
        <v>1230</v>
      </c>
    </row>
    <row r="2101" spans="1:16" x14ac:dyDescent="0.25">
      <c r="A2101" t="s">
        <v>4635</v>
      </c>
      <c r="B2101" t="s">
        <v>4634</v>
      </c>
      <c r="C2101" t="s">
        <v>1228</v>
      </c>
      <c r="D2101" t="s">
        <v>1027</v>
      </c>
      <c r="E2101">
        <v>1660</v>
      </c>
      <c r="F2101" t="s">
        <v>1229</v>
      </c>
      <c r="G2101" t="b">
        <v>0</v>
      </c>
      <c r="H2101" t="b">
        <v>0</v>
      </c>
      <c r="I2101" t="s">
        <v>1050</v>
      </c>
      <c r="J2101">
        <v>88</v>
      </c>
      <c r="K2101" t="s">
        <v>2</v>
      </c>
      <c r="L2101" t="s">
        <v>1167</v>
      </c>
      <c r="M2101" t="s">
        <v>1168</v>
      </c>
      <c r="N2101" t="s">
        <v>1169</v>
      </c>
      <c r="O2101" t="s">
        <v>1168</v>
      </c>
      <c r="P2101" t="s">
        <v>1230</v>
      </c>
    </row>
    <row r="2102" spans="1:16" x14ac:dyDescent="0.25">
      <c r="A2102" t="s">
        <v>4636</v>
      </c>
      <c r="B2102" t="s">
        <v>4637</v>
      </c>
      <c r="C2102" t="s">
        <v>1233</v>
      </c>
      <c r="D2102" t="s">
        <v>1027</v>
      </c>
      <c r="E2102">
        <v>63762</v>
      </c>
      <c r="F2102" t="s">
        <v>1234</v>
      </c>
      <c r="G2102" t="b">
        <v>0</v>
      </c>
      <c r="H2102" t="b">
        <v>0</v>
      </c>
      <c r="I2102" t="s">
        <v>1050</v>
      </c>
      <c r="J2102">
        <v>91</v>
      </c>
      <c r="K2102" t="s">
        <v>0</v>
      </c>
      <c r="L2102" t="s">
        <v>1167</v>
      </c>
      <c r="M2102" t="s">
        <v>1168</v>
      </c>
      <c r="N2102" t="s">
        <v>1169</v>
      </c>
      <c r="O2102" t="s">
        <v>1168</v>
      </c>
      <c r="P2102" t="s">
        <v>1235</v>
      </c>
    </row>
    <row r="2103" spans="1:16" x14ac:dyDescent="0.25">
      <c r="A2103" t="s">
        <v>4638</v>
      </c>
      <c r="B2103" t="s">
        <v>4639</v>
      </c>
      <c r="C2103" t="s">
        <v>1233</v>
      </c>
      <c r="D2103" t="s">
        <v>1027</v>
      </c>
      <c r="E2103">
        <v>63762</v>
      </c>
      <c r="F2103" t="s">
        <v>1234</v>
      </c>
      <c r="G2103" t="b">
        <v>0</v>
      </c>
      <c r="H2103" t="b">
        <v>0</v>
      </c>
      <c r="I2103" t="s">
        <v>1050</v>
      </c>
      <c r="J2103">
        <v>91</v>
      </c>
      <c r="K2103" t="s">
        <v>0</v>
      </c>
      <c r="L2103" t="s">
        <v>1167</v>
      </c>
      <c r="M2103" t="s">
        <v>1168</v>
      </c>
      <c r="N2103" t="s">
        <v>1169</v>
      </c>
      <c r="O2103" t="s">
        <v>1168</v>
      </c>
      <c r="P2103" t="s">
        <v>1235</v>
      </c>
    </row>
    <row r="2104" spans="1:16" x14ac:dyDescent="0.25">
      <c r="A2104" t="s">
        <v>4640</v>
      </c>
      <c r="B2104" t="s">
        <v>4641</v>
      </c>
      <c r="C2104" t="s">
        <v>1233</v>
      </c>
      <c r="D2104" t="s">
        <v>1027</v>
      </c>
      <c r="E2104">
        <v>63762</v>
      </c>
      <c r="F2104" t="s">
        <v>1234</v>
      </c>
      <c r="G2104" t="b">
        <v>0</v>
      </c>
      <c r="H2104" t="b">
        <v>0</v>
      </c>
      <c r="I2104" t="s">
        <v>1050</v>
      </c>
      <c r="J2104">
        <v>91</v>
      </c>
      <c r="K2104" t="s">
        <v>0</v>
      </c>
      <c r="L2104" t="s">
        <v>1167</v>
      </c>
      <c r="M2104" t="s">
        <v>1168</v>
      </c>
      <c r="N2104" t="s">
        <v>1169</v>
      </c>
      <c r="O2104" t="s">
        <v>1168</v>
      </c>
      <c r="P2104" t="s">
        <v>1235</v>
      </c>
    </row>
    <row r="2105" spans="1:16" x14ac:dyDescent="0.25">
      <c r="A2105" t="s">
        <v>4642</v>
      </c>
      <c r="B2105" t="s">
        <v>4643</v>
      </c>
      <c r="C2105" t="s">
        <v>1233</v>
      </c>
      <c r="D2105" t="s">
        <v>1027</v>
      </c>
      <c r="E2105">
        <v>63762</v>
      </c>
      <c r="F2105" t="s">
        <v>1234</v>
      </c>
      <c r="G2105" t="b">
        <v>0</v>
      </c>
      <c r="H2105" t="b">
        <v>0</v>
      </c>
      <c r="I2105" t="s">
        <v>1050</v>
      </c>
      <c r="J2105">
        <v>88</v>
      </c>
      <c r="K2105" t="s">
        <v>0</v>
      </c>
      <c r="L2105" t="s">
        <v>1167</v>
      </c>
      <c r="M2105" t="s">
        <v>1168</v>
      </c>
      <c r="N2105" t="s">
        <v>1169</v>
      </c>
      <c r="O2105" t="s">
        <v>1168</v>
      </c>
      <c r="P2105" t="s">
        <v>1235</v>
      </c>
    </row>
    <row r="2106" spans="1:16" x14ac:dyDescent="0.25">
      <c r="A2106" t="s">
        <v>4644</v>
      </c>
      <c r="B2106" t="s">
        <v>4645</v>
      </c>
      <c r="C2106" t="s">
        <v>1571</v>
      </c>
      <c r="D2106" t="s">
        <v>1027</v>
      </c>
      <c r="E2106">
        <v>63767</v>
      </c>
      <c r="G2106" t="b">
        <v>0</v>
      </c>
      <c r="H2106" t="b">
        <v>0</v>
      </c>
      <c r="I2106" t="s">
        <v>1050</v>
      </c>
      <c r="J2106">
        <v>80</v>
      </c>
      <c r="K2106" t="s">
        <v>0</v>
      </c>
      <c r="L2106" t="s">
        <v>1167</v>
      </c>
      <c r="M2106" t="s">
        <v>1168</v>
      </c>
      <c r="N2106" t="s">
        <v>1169</v>
      </c>
      <c r="O2106" t="s">
        <v>1168</v>
      </c>
      <c r="P2106" t="s">
        <v>1283</v>
      </c>
    </row>
    <row r="2107" spans="1:16" x14ac:dyDescent="0.25">
      <c r="A2107" t="s">
        <v>4646</v>
      </c>
      <c r="B2107" t="s">
        <v>4647</v>
      </c>
      <c r="C2107" t="s">
        <v>1571</v>
      </c>
      <c r="D2107" t="s">
        <v>1027</v>
      </c>
      <c r="E2107">
        <v>63767</v>
      </c>
      <c r="G2107" t="b">
        <v>0</v>
      </c>
      <c r="H2107" t="b">
        <v>0</v>
      </c>
      <c r="I2107" t="s">
        <v>1050</v>
      </c>
      <c r="J2107">
        <v>80</v>
      </c>
      <c r="K2107" t="s">
        <v>0</v>
      </c>
      <c r="L2107" t="s">
        <v>1167</v>
      </c>
      <c r="M2107" t="s">
        <v>1168</v>
      </c>
      <c r="N2107" t="s">
        <v>1169</v>
      </c>
      <c r="O2107" t="s">
        <v>1168</v>
      </c>
      <c r="P2107" t="s">
        <v>1283</v>
      </c>
    </row>
    <row r="2108" spans="1:16" x14ac:dyDescent="0.25">
      <c r="A2108" t="s">
        <v>4648</v>
      </c>
      <c r="B2108" t="s">
        <v>4593</v>
      </c>
      <c r="C2108" t="s">
        <v>1571</v>
      </c>
      <c r="D2108" t="s">
        <v>1027</v>
      </c>
      <c r="E2108">
        <v>63767</v>
      </c>
      <c r="G2108" t="b">
        <v>0</v>
      </c>
      <c r="H2108" t="b">
        <v>0</v>
      </c>
      <c r="I2108" t="s">
        <v>1050</v>
      </c>
      <c r="J2108">
        <v>80</v>
      </c>
      <c r="K2108" t="s">
        <v>0</v>
      </c>
      <c r="L2108" t="s">
        <v>1167</v>
      </c>
      <c r="M2108" t="s">
        <v>1168</v>
      </c>
      <c r="N2108" t="s">
        <v>1169</v>
      </c>
      <c r="O2108" t="s">
        <v>1168</v>
      </c>
      <c r="P2108" t="s">
        <v>1283</v>
      </c>
    </row>
    <row r="2109" spans="1:16" x14ac:dyDescent="0.25">
      <c r="A2109" t="s">
        <v>4649</v>
      </c>
      <c r="B2109" t="s">
        <v>4593</v>
      </c>
      <c r="C2109" t="s">
        <v>1571</v>
      </c>
      <c r="D2109" t="s">
        <v>1027</v>
      </c>
      <c r="E2109">
        <v>63767</v>
      </c>
      <c r="G2109" t="b">
        <v>0</v>
      </c>
      <c r="H2109" t="b">
        <v>0</v>
      </c>
      <c r="I2109" t="s">
        <v>1050</v>
      </c>
      <c r="J2109">
        <v>80</v>
      </c>
      <c r="K2109" t="s">
        <v>0</v>
      </c>
      <c r="L2109" t="s">
        <v>1167</v>
      </c>
      <c r="M2109" t="s">
        <v>1168</v>
      </c>
      <c r="N2109" t="s">
        <v>1169</v>
      </c>
      <c r="O2109" t="s">
        <v>1168</v>
      </c>
      <c r="P2109" t="s">
        <v>1283</v>
      </c>
    </row>
    <row r="2110" spans="1:16" x14ac:dyDescent="0.25">
      <c r="A2110" t="s">
        <v>4650</v>
      </c>
      <c r="B2110" t="s">
        <v>4651</v>
      </c>
      <c r="C2110" t="s">
        <v>1571</v>
      </c>
      <c r="D2110" t="s">
        <v>1027</v>
      </c>
      <c r="E2110">
        <v>63767</v>
      </c>
      <c r="G2110" t="b">
        <v>0</v>
      </c>
      <c r="H2110" t="b">
        <v>0</v>
      </c>
      <c r="I2110" t="s">
        <v>1050</v>
      </c>
      <c r="J2110">
        <v>80</v>
      </c>
      <c r="K2110" t="s">
        <v>0</v>
      </c>
      <c r="L2110" t="s">
        <v>1167</v>
      </c>
      <c r="M2110" t="s">
        <v>1168</v>
      </c>
      <c r="N2110" t="s">
        <v>1169</v>
      </c>
      <c r="O2110" t="s">
        <v>1168</v>
      </c>
      <c r="P2110" t="s">
        <v>1283</v>
      </c>
    </row>
    <row r="2111" spans="1:16" x14ac:dyDescent="0.25">
      <c r="A2111" t="s">
        <v>4652</v>
      </c>
      <c r="B2111" t="s">
        <v>4653</v>
      </c>
      <c r="C2111" t="s">
        <v>1571</v>
      </c>
      <c r="D2111" t="s">
        <v>1027</v>
      </c>
      <c r="E2111">
        <v>63767</v>
      </c>
      <c r="G2111" t="b">
        <v>0</v>
      </c>
      <c r="H2111" t="b">
        <v>0</v>
      </c>
      <c r="I2111" t="s">
        <v>1050</v>
      </c>
      <c r="J2111">
        <v>80</v>
      </c>
      <c r="K2111" t="s">
        <v>0</v>
      </c>
      <c r="L2111" t="s">
        <v>1167</v>
      </c>
      <c r="M2111" t="s">
        <v>1168</v>
      </c>
      <c r="N2111" t="s">
        <v>1169</v>
      </c>
      <c r="O2111" t="s">
        <v>1168</v>
      </c>
      <c r="P2111" t="s">
        <v>1283</v>
      </c>
    </row>
    <row r="2112" spans="1:16" x14ac:dyDescent="0.25">
      <c r="A2112" t="s">
        <v>4654</v>
      </c>
      <c r="B2112" t="s">
        <v>4593</v>
      </c>
      <c r="C2112" t="s">
        <v>1571</v>
      </c>
      <c r="D2112" t="s">
        <v>1027</v>
      </c>
      <c r="E2112">
        <v>63767</v>
      </c>
      <c r="G2112" t="b">
        <v>0</v>
      </c>
      <c r="H2112" t="b">
        <v>0</v>
      </c>
      <c r="I2112" t="s">
        <v>1050</v>
      </c>
      <c r="J2112">
        <v>80</v>
      </c>
      <c r="K2112" t="s">
        <v>0</v>
      </c>
      <c r="L2112" t="s">
        <v>1167</v>
      </c>
      <c r="M2112" t="s">
        <v>1168</v>
      </c>
      <c r="N2112" t="s">
        <v>1169</v>
      </c>
      <c r="O2112" t="s">
        <v>1168</v>
      </c>
      <c r="P2112" t="s">
        <v>1283</v>
      </c>
    </row>
    <row r="2113" spans="1:16" x14ac:dyDescent="0.25">
      <c r="A2113" t="s">
        <v>4655</v>
      </c>
      <c r="B2113" t="s">
        <v>4593</v>
      </c>
      <c r="C2113" t="s">
        <v>1571</v>
      </c>
      <c r="D2113" t="s">
        <v>1027</v>
      </c>
      <c r="E2113">
        <v>63767</v>
      </c>
      <c r="G2113" t="b">
        <v>0</v>
      </c>
      <c r="H2113" t="b">
        <v>0</v>
      </c>
      <c r="I2113" t="s">
        <v>1050</v>
      </c>
      <c r="J2113">
        <v>80</v>
      </c>
      <c r="K2113" t="s">
        <v>0</v>
      </c>
      <c r="L2113" t="s">
        <v>1167</v>
      </c>
      <c r="M2113" t="s">
        <v>1168</v>
      </c>
      <c r="N2113" t="s">
        <v>1169</v>
      </c>
      <c r="O2113" t="s">
        <v>1168</v>
      </c>
      <c r="P2113" t="s">
        <v>1283</v>
      </c>
    </row>
    <row r="2114" spans="1:16" x14ac:dyDescent="0.25">
      <c r="A2114" t="s">
        <v>4656</v>
      </c>
      <c r="B2114" t="s">
        <v>4593</v>
      </c>
      <c r="C2114" t="s">
        <v>1571</v>
      </c>
      <c r="D2114" t="s">
        <v>1027</v>
      </c>
      <c r="E2114">
        <v>63767</v>
      </c>
      <c r="G2114" t="b">
        <v>0</v>
      </c>
      <c r="H2114" t="b">
        <v>0</v>
      </c>
      <c r="I2114" t="s">
        <v>1050</v>
      </c>
      <c r="J2114">
        <v>80</v>
      </c>
      <c r="K2114" t="s">
        <v>0</v>
      </c>
      <c r="L2114" t="s">
        <v>1167</v>
      </c>
      <c r="M2114" t="s">
        <v>1168</v>
      </c>
      <c r="N2114" t="s">
        <v>1169</v>
      </c>
      <c r="O2114" t="s">
        <v>1168</v>
      </c>
      <c r="P2114" t="s">
        <v>1283</v>
      </c>
    </row>
    <row r="2115" spans="1:16" x14ac:dyDescent="0.25">
      <c r="A2115" t="s">
        <v>4657</v>
      </c>
      <c r="B2115" t="s">
        <v>4593</v>
      </c>
      <c r="C2115" t="s">
        <v>1571</v>
      </c>
      <c r="D2115" t="s">
        <v>1027</v>
      </c>
      <c r="E2115">
        <v>63767</v>
      </c>
      <c r="G2115" t="b">
        <v>0</v>
      </c>
      <c r="H2115" t="b">
        <v>0</v>
      </c>
      <c r="I2115" t="s">
        <v>1050</v>
      </c>
      <c r="J2115">
        <v>80</v>
      </c>
      <c r="K2115" t="s">
        <v>0</v>
      </c>
      <c r="L2115" t="s">
        <v>1167</v>
      </c>
      <c r="M2115" t="s">
        <v>1168</v>
      </c>
      <c r="N2115" t="s">
        <v>1169</v>
      </c>
      <c r="O2115" t="s">
        <v>1168</v>
      </c>
      <c r="P2115" t="s">
        <v>1283</v>
      </c>
    </row>
    <row r="2116" spans="1:16" x14ac:dyDescent="0.25">
      <c r="A2116" t="s">
        <v>4658</v>
      </c>
      <c r="B2116" t="s">
        <v>4593</v>
      </c>
      <c r="C2116" t="s">
        <v>1571</v>
      </c>
      <c r="D2116" t="s">
        <v>1027</v>
      </c>
      <c r="E2116">
        <v>63767</v>
      </c>
      <c r="G2116" t="b">
        <v>0</v>
      </c>
      <c r="H2116" t="b">
        <v>0</v>
      </c>
      <c r="I2116" t="s">
        <v>1050</v>
      </c>
      <c r="J2116">
        <v>80</v>
      </c>
      <c r="K2116" t="s">
        <v>0</v>
      </c>
      <c r="L2116" t="s">
        <v>1167</v>
      </c>
      <c r="M2116" t="s">
        <v>1168</v>
      </c>
      <c r="N2116" t="s">
        <v>1169</v>
      </c>
      <c r="O2116" t="s">
        <v>1168</v>
      </c>
      <c r="P2116" t="s">
        <v>1283</v>
      </c>
    </row>
    <row r="2117" spans="1:16" x14ac:dyDescent="0.25">
      <c r="A2117" t="s">
        <v>4659</v>
      </c>
      <c r="B2117" t="s">
        <v>4593</v>
      </c>
      <c r="C2117" t="s">
        <v>1571</v>
      </c>
      <c r="D2117" t="s">
        <v>1027</v>
      </c>
      <c r="E2117">
        <v>63767</v>
      </c>
      <c r="G2117" t="b">
        <v>0</v>
      </c>
      <c r="H2117" t="b">
        <v>0</v>
      </c>
      <c r="I2117" t="s">
        <v>1050</v>
      </c>
      <c r="J2117">
        <v>80</v>
      </c>
      <c r="K2117" t="s">
        <v>0</v>
      </c>
      <c r="L2117" t="s">
        <v>1167</v>
      </c>
      <c r="M2117" t="s">
        <v>1168</v>
      </c>
      <c r="N2117" t="s">
        <v>1169</v>
      </c>
      <c r="O2117" t="s">
        <v>1168</v>
      </c>
      <c r="P2117" t="s">
        <v>1283</v>
      </c>
    </row>
    <row r="2118" spans="1:16" x14ac:dyDescent="0.25">
      <c r="A2118" t="s">
        <v>4660</v>
      </c>
      <c r="B2118" t="s">
        <v>4593</v>
      </c>
      <c r="C2118" t="s">
        <v>1571</v>
      </c>
      <c r="D2118" t="s">
        <v>1027</v>
      </c>
      <c r="E2118">
        <v>63767</v>
      </c>
      <c r="G2118" t="b">
        <v>0</v>
      </c>
      <c r="H2118" t="b">
        <v>0</v>
      </c>
      <c r="I2118" t="s">
        <v>1050</v>
      </c>
      <c r="J2118">
        <v>80</v>
      </c>
      <c r="K2118" t="s">
        <v>0</v>
      </c>
      <c r="L2118" t="s">
        <v>1167</v>
      </c>
      <c r="M2118" t="s">
        <v>1168</v>
      </c>
      <c r="N2118" t="s">
        <v>1169</v>
      </c>
      <c r="O2118" t="s">
        <v>1168</v>
      </c>
      <c r="P2118" t="s">
        <v>1283</v>
      </c>
    </row>
    <row r="2119" spans="1:16" x14ac:dyDescent="0.25">
      <c r="A2119" t="s">
        <v>4661</v>
      </c>
      <c r="B2119" t="s">
        <v>4593</v>
      </c>
      <c r="C2119" t="s">
        <v>1571</v>
      </c>
      <c r="D2119" t="s">
        <v>1027</v>
      </c>
      <c r="E2119">
        <v>63767</v>
      </c>
      <c r="G2119" t="b">
        <v>0</v>
      </c>
      <c r="H2119" t="b">
        <v>0</v>
      </c>
      <c r="I2119" t="s">
        <v>1050</v>
      </c>
      <c r="J2119">
        <v>80</v>
      </c>
      <c r="K2119" t="s">
        <v>0</v>
      </c>
      <c r="L2119" t="s">
        <v>1167</v>
      </c>
      <c r="M2119" t="s">
        <v>1168</v>
      </c>
      <c r="N2119" t="s">
        <v>1169</v>
      </c>
      <c r="O2119" t="s">
        <v>1168</v>
      </c>
      <c r="P2119" t="s">
        <v>1283</v>
      </c>
    </row>
    <row r="2120" spans="1:16" x14ac:dyDescent="0.25">
      <c r="A2120" t="s">
        <v>4662</v>
      </c>
      <c r="B2120" t="s">
        <v>4593</v>
      </c>
      <c r="C2120" t="s">
        <v>1571</v>
      </c>
      <c r="D2120" t="s">
        <v>1027</v>
      </c>
      <c r="E2120">
        <v>63767</v>
      </c>
      <c r="G2120" t="b">
        <v>0</v>
      </c>
      <c r="H2120" t="b">
        <v>0</v>
      </c>
      <c r="I2120" t="s">
        <v>1050</v>
      </c>
      <c r="J2120">
        <v>80</v>
      </c>
      <c r="K2120" t="s">
        <v>0</v>
      </c>
      <c r="L2120" t="s">
        <v>1167</v>
      </c>
      <c r="M2120" t="s">
        <v>1168</v>
      </c>
      <c r="N2120" t="s">
        <v>1169</v>
      </c>
      <c r="O2120" t="s">
        <v>1168</v>
      </c>
      <c r="P2120" t="s">
        <v>1283</v>
      </c>
    </row>
    <row r="2121" spans="1:16" x14ac:dyDescent="0.25">
      <c r="A2121" t="s">
        <v>4663</v>
      </c>
      <c r="B2121" t="s">
        <v>4593</v>
      </c>
      <c r="C2121" t="s">
        <v>1571</v>
      </c>
      <c r="D2121" t="s">
        <v>1027</v>
      </c>
      <c r="E2121">
        <v>63767</v>
      </c>
      <c r="G2121" t="b">
        <v>0</v>
      </c>
      <c r="H2121" t="b">
        <v>0</v>
      </c>
      <c r="I2121" t="s">
        <v>1050</v>
      </c>
      <c r="J2121">
        <v>80</v>
      </c>
      <c r="K2121" t="s">
        <v>0</v>
      </c>
      <c r="L2121" t="s">
        <v>1167</v>
      </c>
      <c r="M2121" t="s">
        <v>1168</v>
      </c>
      <c r="N2121" t="s">
        <v>1169</v>
      </c>
      <c r="O2121" t="s">
        <v>1168</v>
      </c>
      <c r="P2121" t="s">
        <v>1283</v>
      </c>
    </row>
    <row r="2122" spans="1:16" x14ac:dyDescent="0.25">
      <c r="A2122" t="s">
        <v>4664</v>
      </c>
      <c r="B2122" t="s">
        <v>4593</v>
      </c>
      <c r="C2122" t="s">
        <v>1571</v>
      </c>
      <c r="D2122" t="s">
        <v>1027</v>
      </c>
      <c r="E2122">
        <v>63767</v>
      </c>
      <c r="G2122" t="b">
        <v>0</v>
      </c>
      <c r="H2122" t="b">
        <v>0</v>
      </c>
      <c r="I2122" t="s">
        <v>1050</v>
      </c>
      <c r="J2122">
        <v>80</v>
      </c>
      <c r="K2122" t="s">
        <v>0</v>
      </c>
      <c r="L2122" t="s">
        <v>1167</v>
      </c>
      <c r="M2122" t="s">
        <v>1168</v>
      </c>
      <c r="N2122" t="s">
        <v>1169</v>
      </c>
      <c r="O2122" t="s">
        <v>1168</v>
      </c>
      <c r="P2122" t="s">
        <v>1283</v>
      </c>
    </row>
    <row r="2123" spans="1:16" x14ac:dyDescent="0.25">
      <c r="A2123" t="s">
        <v>4665</v>
      </c>
      <c r="B2123" t="s">
        <v>4593</v>
      </c>
      <c r="C2123" t="s">
        <v>1571</v>
      </c>
      <c r="D2123" t="s">
        <v>1027</v>
      </c>
      <c r="E2123">
        <v>63767</v>
      </c>
      <c r="G2123" t="b">
        <v>0</v>
      </c>
      <c r="H2123" t="b">
        <v>0</v>
      </c>
      <c r="I2123" t="s">
        <v>1050</v>
      </c>
      <c r="J2123">
        <v>80</v>
      </c>
      <c r="K2123" t="s">
        <v>0</v>
      </c>
      <c r="L2123" t="s">
        <v>1167</v>
      </c>
      <c r="M2123" t="s">
        <v>1168</v>
      </c>
      <c r="N2123" t="s">
        <v>1169</v>
      </c>
      <c r="O2123" t="s">
        <v>1168</v>
      </c>
      <c r="P2123" t="s">
        <v>1283</v>
      </c>
    </row>
    <row r="2124" spans="1:16" x14ac:dyDescent="0.25">
      <c r="A2124" t="s">
        <v>4666</v>
      </c>
      <c r="B2124" t="s">
        <v>4593</v>
      </c>
      <c r="C2124" t="s">
        <v>1571</v>
      </c>
      <c r="D2124" t="s">
        <v>1027</v>
      </c>
      <c r="E2124">
        <v>63767</v>
      </c>
      <c r="G2124" t="b">
        <v>0</v>
      </c>
      <c r="H2124" t="b">
        <v>0</v>
      </c>
      <c r="I2124" t="s">
        <v>1050</v>
      </c>
      <c r="J2124">
        <v>80</v>
      </c>
      <c r="K2124" t="s">
        <v>0</v>
      </c>
      <c r="L2124" t="s">
        <v>1167</v>
      </c>
      <c r="M2124" t="s">
        <v>1168</v>
      </c>
      <c r="N2124" t="s">
        <v>1169</v>
      </c>
      <c r="O2124" t="s">
        <v>1168</v>
      </c>
      <c r="P2124" t="s">
        <v>1283</v>
      </c>
    </row>
    <row r="2125" spans="1:16" x14ac:dyDescent="0.25">
      <c r="A2125" t="s">
        <v>4667</v>
      </c>
      <c r="B2125" t="s">
        <v>4593</v>
      </c>
      <c r="C2125" t="s">
        <v>1571</v>
      </c>
      <c r="D2125" t="s">
        <v>1027</v>
      </c>
      <c r="E2125">
        <v>63767</v>
      </c>
      <c r="G2125" t="b">
        <v>0</v>
      </c>
      <c r="H2125" t="b">
        <v>0</v>
      </c>
      <c r="I2125" t="s">
        <v>1050</v>
      </c>
      <c r="J2125">
        <v>80</v>
      </c>
      <c r="K2125" t="s">
        <v>0</v>
      </c>
      <c r="L2125" t="s">
        <v>1167</v>
      </c>
      <c r="M2125" t="s">
        <v>1168</v>
      </c>
      <c r="N2125" t="s">
        <v>1169</v>
      </c>
      <c r="O2125" t="s">
        <v>1168</v>
      </c>
      <c r="P2125" t="s">
        <v>1283</v>
      </c>
    </row>
    <row r="2126" spans="1:16" x14ac:dyDescent="0.25">
      <c r="A2126" t="s">
        <v>4668</v>
      </c>
      <c r="B2126" t="s">
        <v>4591</v>
      </c>
      <c r="C2126" t="s">
        <v>1571</v>
      </c>
      <c r="D2126" t="s">
        <v>1027</v>
      </c>
      <c r="E2126">
        <v>63767</v>
      </c>
      <c r="G2126" t="b">
        <v>0</v>
      </c>
      <c r="H2126" t="b">
        <v>0</v>
      </c>
      <c r="I2126" t="s">
        <v>1050</v>
      </c>
      <c r="J2126">
        <v>80</v>
      </c>
      <c r="K2126" t="s">
        <v>0</v>
      </c>
      <c r="L2126" t="s">
        <v>1167</v>
      </c>
      <c r="M2126" t="s">
        <v>1168</v>
      </c>
      <c r="N2126" t="s">
        <v>1169</v>
      </c>
      <c r="O2126" t="s">
        <v>1168</v>
      </c>
      <c r="P2126" t="s">
        <v>1283</v>
      </c>
    </row>
    <row r="2127" spans="1:16" x14ac:dyDescent="0.25">
      <c r="A2127" t="s">
        <v>4669</v>
      </c>
      <c r="B2127" t="s">
        <v>4593</v>
      </c>
      <c r="C2127" t="s">
        <v>1571</v>
      </c>
      <c r="D2127" t="s">
        <v>1027</v>
      </c>
      <c r="E2127">
        <v>63767</v>
      </c>
      <c r="G2127" t="b">
        <v>0</v>
      </c>
      <c r="H2127" t="b">
        <v>0</v>
      </c>
      <c r="I2127" t="s">
        <v>1050</v>
      </c>
      <c r="J2127">
        <v>80</v>
      </c>
      <c r="K2127" t="s">
        <v>0</v>
      </c>
      <c r="L2127" t="s">
        <v>1167</v>
      </c>
      <c r="M2127" t="s">
        <v>1168</v>
      </c>
      <c r="N2127" t="s">
        <v>1169</v>
      </c>
      <c r="O2127" t="s">
        <v>1168</v>
      </c>
      <c r="P2127" t="s">
        <v>1283</v>
      </c>
    </row>
    <row r="2128" spans="1:16" x14ac:dyDescent="0.25">
      <c r="A2128" t="s">
        <v>4670</v>
      </c>
      <c r="B2128" t="s">
        <v>4593</v>
      </c>
      <c r="C2128" t="s">
        <v>1571</v>
      </c>
      <c r="D2128" t="s">
        <v>1027</v>
      </c>
      <c r="E2128">
        <v>63767</v>
      </c>
      <c r="G2128" t="b">
        <v>0</v>
      </c>
      <c r="H2128" t="b">
        <v>0</v>
      </c>
      <c r="I2128" t="s">
        <v>1050</v>
      </c>
      <c r="J2128">
        <v>80</v>
      </c>
      <c r="K2128" t="s">
        <v>0</v>
      </c>
      <c r="L2128" t="s">
        <v>1167</v>
      </c>
      <c r="M2128" t="s">
        <v>1168</v>
      </c>
      <c r="N2128" t="s">
        <v>1169</v>
      </c>
      <c r="O2128" t="s">
        <v>1168</v>
      </c>
      <c r="P2128" t="s">
        <v>1283</v>
      </c>
    </row>
    <row r="2129" spans="1:16" x14ac:dyDescent="0.25">
      <c r="A2129" t="s">
        <v>4671</v>
      </c>
      <c r="B2129" t="s">
        <v>4672</v>
      </c>
      <c r="C2129" t="s">
        <v>1571</v>
      </c>
      <c r="D2129" t="s">
        <v>1027</v>
      </c>
      <c r="E2129">
        <v>63767</v>
      </c>
      <c r="G2129" t="b">
        <v>0</v>
      </c>
      <c r="H2129" t="b">
        <v>0</v>
      </c>
      <c r="I2129" t="s">
        <v>1050</v>
      </c>
      <c r="J2129">
        <v>80</v>
      </c>
      <c r="K2129" t="s">
        <v>0</v>
      </c>
      <c r="L2129" t="s">
        <v>1167</v>
      </c>
      <c r="M2129" t="s">
        <v>1168</v>
      </c>
      <c r="N2129" t="s">
        <v>1169</v>
      </c>
      <c r="O2129" t="s">
        <v>1168</v>
      </c>
      <c r="P2129" t="s">
        <v>1283</v>
      </c>
    </row>
    <row r="2130" spans="1:16" x14ac:dyDescent="0.25">
      <c r="A2130" t="s">
        <v>4673</v>
      </c>
      <c r="B2130" t="s">
        <v>4674</v>
      </c>
      <c r="C2130" t="s">
        <v>1571</v>
      </c>
      <c r="D2130" t="s">
        <v>1027</v>
      </c>
      <c r="E2130">
        <v>63767</v>
      </c>
      <c r="G2130" t="b">
        <v>0</v>
      </c>
      <c r="H2130" t="b">
        <v>0</v>
      </c>
      <c r="I2130" t="s">
        <v>1050</v>
      </c>
      <c r="J2130">
        <v>80</v>
      </c>
      <c r="K2130" t="s">
        <v>0</v>
      </c>
      <c r="L2130" t="s">
        <v>1167</v>
      </c>
      <c r="M2130" t="s">
        <v>1168</v>
      </c>
      <c r="N2130" t="s">
        <v>1169</v>
      </c>
      <c r="O2130" t="s">
        <v>1168</v>
      </c>
      <c r="P2130" t="s">
        <v>1283</v>
      </c>
    </row>
    <row r="2131" spans="1:16" x14ac:dyDescent="0.25">
      <c r="A2131" t="s">
        <v>4675</v>
      </c>
      <c r="B2131" t="s">
        <v>4589</v>
      </c>
      <c r="C2131" t="s">
        <v>1571</v>
      </c>
      <c r="D2131" t="s">
        <v>1027</v>
      </c>
      <c r="E2131">
        <v>63767</v>
      </c>
      <c r="G2131" t="b">
        <v>0</v>
      </c>
      <c r="H2131" t="b">
        <v>0</v>
      </c>
      <c r="I2131" t="s">
        <v>1050</v>
      </c>
      <c r="J2131">
        <v>80</v>
      </c>
      <c r="K2131" t="s">
        <v>0</v>
      </c>
      <c r="L2131" t="s">
        <v>1167</v>
      </c>
      <c r="M2131" t="s">
        <v>1168</v>
      </c>
      <c r="N2131" t="s">
        <v>1169</v>
      </c>
      <c r="O2131" t="s">
        <v>1168</v>
      </c>
      <c r="P2131" t="s">
        <v>1283</v>
      </c>
    </row>
    <row r="2132" spans="1:16" x14ac:dyDescent="0.25">
      <c r="A2132" t="s">
        <v>4676</v>
      </c>
      <c r="B2132" t="s">
        <v>4591</v>
      </c>
      <c r="C2132" t="s">
        <v>1571</v>
      </c>
      <c r="D2132" t="s">
        <v>1027</v>
      </c>
      <c r="E2132">
        <v>63767</v>
      </c>
      <c r="G2132" t="b">
        <v>0</v>
      </c>
      <c r="H2132" t="b">
        <v>0</v>
      </c>
      <c r="I2132" t="s">
        <v>1050</v>
      </c>
      <c r="J2132">
        <v>80</v>
      </c>
      <c r="K2132" t="s">
        <v>0</v>
      </c>
      <c r="L2132" t="s">
        <v>1167</v>
      </c>
      <c r="M2132" t="s">
        <v>1168</v>
      </c>
      <c r="N2132" t="s">
        <v>1169</v>
      </c>
      <c r="O2132" t="s">
        <v>1168</v>
      </c>
      <c r="P2132" t="s">
        <v>1283</v>
      </c>
    </row>
    <row r="2133" spans="1:16" x14ac:dyDescent="0.25">
      <c r="A2133" t="s">
        <v>4677</v>
      </c>
      <c r="B2133" t="s">
        <v>4593</v>
      </c>
      <c r="C2133" t="s">
        <v>1571</v>
      </c>
      <c r="D2133" t="s">
        <v>1027</v>
      </c>
      <c r="E2133">
        <v>63767</v>
      </c>
      <c r="G2133" t="b">
        <v>0</v>
      </c>
      <c r="H2133" t="b">
        <v>0</v>
      </c>
      <c r="I2133" t="s">
        <v>1050</v>
      </c>
      <c r="J2133">
        <v>80</v>
      </c>
      <c r="K2133" t="s">
        <v>0</v>
      </c>
      <c r="L2133" t="s">
        <v>1167</v>
      </c>
      <c r="M2133" t="s">
        <v>1168</v>
      </c>
      <c r="N2133" t="s">
        <v>1169</v>
      </c>
      <c r="O2133" t="s">
        <v>1168</v>
      </c>
      <c r="P2133" t="s">
        <v>1283</v>
      </c>
    </row>
    <row r="2134" spans="1:16" x14ac:dyDescent="0.25">
      <c r="A2134" t="s">
        <v>4678</v>
      </c>
      <c r="B2134" t="s">
        <v>4593</v>
      </c>
      <c r="C2134" t="s">
        <v>1571</v>
      </c>
      <c r="D2134" t="s">
        <v>1027</v>
      </c>
      <c r="E2134">
        <v>63767</v>
      </c>
      <c r="G2134" t="b">
        <v>0</v>
      </c>
      <c r="H2134" t="b">
        <v>0</v>
      </c>
      <c r="I2134" t="s">
        <v>1050</v>
      </c>
      <c r="J2134">
        <v>80</v>
      </c>
      <c r="K2134" t="s">
        <v>0</v>
      </c>
      <c r="L2134" t="s">
        <v>1167</v>
      </c>
      <c r="M2134" t="s">
        <v>1168</v>
      </c>
      <c r="N2134" t="s">
        <v>1169</v>
      </c>
      <c r="O2134" t="s">
        <v>1168</v>
      </c>
      <c r="P2134" t="s">
        <v>1283</v>
      </c>
    </row>
    <row r="2135" spans="1:16" x14ac:dyDescent="0.25">
      <c r="A2135" t="s">
        <v>4679</v>
      </c>
      <c r="B2135" t="s">
        <v>4593</v>
      </c>
      <c r="C2135" t="s">
        <v>1571</v>
      </c>
      <c r="D2135" t="s">
        <v>1027</v>
      </c>
      <c r="E2135">
        <v>63767</v>
      </c>
      <c r="G2135" t="b">
        <v>0</v>
      </c>
      <c r="H2135" t="b">
        <v>0</v>
      </c>
      <c r="I2135" t="s">
        <v>1050</v>
      </c>
      <c r="J2135">
        <v>80</v>
      </c>
      <c r="K2135" t="s">
        <v>0</v>
      </c>
      <c r="L2135" t="s">
        <v>1167</v>
      </c>
      <c r="M2135" t="s">
        <v>1168</v>
      </c>
      <c r="N2135" t="s">
        <v>1169</v>
      </c>
      <c r="O2135" t="s">
        <v>1168</v>
      </c>
      <c r="P2135" t="s">
        <v>1283</v>
      </c>
    </row>
    <row r="2136" spans="1:16" x14ac:dyDescent="0.25">
      <c r="A2136" t="s">
        <v>4680</v>
      </c>
      <c r="B2136" t="s">
        <v>4593</v>
      </c>
      <c r="C2136" t="s">
        <v>1571</v>
      </c>
      <c r="D2136" t="s">
        <v>1027</v>
      </c>
      <c r="E2136">
        <v>63767</v>
      </c>
      <c r="G2136" t="b">
        <v>0</v>
      </c>
      <c r="H2136" t="b">
        <v>0</v>
      </c>
      <c r="I2136" t="s">
        <v>1050</v>
      </c>
      <c r="J2136">
        <v>80</v>
      </c>
      <c r="K2136" t="s">
        <v>0</v>
      </c>
      <c r="L2136" t="s">
        <v>1167</v>
      </c>
      <c r="M2136" t="s">
        <v>1168</v>
      </c>
      <c r="N2136" t="s">
        <v>1169</v>
      </c>
      <c r="O2136" t="s">
        <v>1168</v>
      </c>
      <c r="P2136" t="s">
        <v>1283</v>
      </c>
    </row>
    <row r="2137" spans="1:16" x14ac:dyDescent="0.25">
      <c r="A2137" t="s">
        <v>4681</v>
      </c>
      <c r="B2137" t="s">
        <v>4593</v>
      </c>
      <c r="C2137" t="s">
        <v>1571</v>
      </c>
      <c r="D2137" t="s">
        <v>1027</v>
      </c>
      <c r="E2137">
        <v>63767</v>
      </c>
      <c r="G2137" t="b">
        <v>0</v>
      </c>
      <c r="H2137" t="b">
        <v>0</v>
      </c>
      <c r="I2137" t="s">
        <v>1050</v>
      </c>
      <c r="J2137">
        <v>80</v>
      </c>
      <c r="K2137" t="s">
        <v>0</v>
      </c>
      <c r="L2137" t="s">
        <v>1167</v>
      </c>
      <c r="M2137" t="s">
        <v>1168</v>
      </c>
      <c r="N2137" t="s">
        <v>1169</v>
      </c>
      <c r="O2137" t="s">
        <v>1168</v>
      </c>
      <c r="P2137" t="s">
        <v>1283</v>
      </c>
    </row>
    <row r="2138" spans="1:16" x14ac:dyDescent="0.25">
      <c r="A2138" t="s">
        <v>4682</v>
      </c>
      <c r="B2138" t="s">
        <v>4593</v>
      </c>
      <c r="C2138" t="s">
        <v>1571</v>
      </c>
      <c r="D2138" t="s">
        <v>1027</v>
      </c>
      <c r="E2138">
        <v>63767</v>
      </c>
      <c r="G2138" t="b">
        <v>0</v>
      </c>
      <c r="H2138" t="b">
        <v>0</v>
      </c>
      <c r="I2138" t="s">
        <v>1050</v>
      </c>
      <c r="J2138">
        <v>80</v>
      </c>
      <c r="K2138" t="s">
        <v>0</v>
      </c>
      <c r="L2138" t="s">
        <v>1167</v>
      </c>
      <c r="M2138" t="s">
        <v>1168</v>
      </c>
      <c r="N2138" t="s">
        <v>1169</v>
      </c>
      <c r="O2138" t="s">
        <v>1168</v>
      </c>
      <c r="P2138" t="s">
        <v>1283</v>
      </c>
    </row>
    <row r="2139" spans="1:16" x14ac:dyDescent="0.25">
      <c r="A2139" t="s">
        <v>4683</v>
      </c>
      <c r="B2139" t="s">
        <v>4593</v>
      </c>
      <c r="C2139" t="s">
        <v>1571</v>
      </c>
      <c r="D2139" t="s">
        <v>1027</v>
      </c>
      <c r="E2139">
        <v>63767</v>
      </c>
      <c r="G2139" t="b">
        <v>0</v>
      </c>
      <c r="H2139" t="b">
        <v>0</v>
      </c>
      <c r="I2139" t="s">
        <v>1050</v>
      </c>
      <c r="J2139">
        <v>80</v>
      </c>
      <c r="K2139" t="s">
        <v>0</v>
      </c>
      <c r="L2139" t="s">
        <v>1167</v>
      </c>
      <c r="M2139" t="s">
        <v>1168</v>
      </c>
      <c r="N2139" t="s">
        <v>1169</v>
      </c>
      <c r="O2139" t="s">
        <v>1168</v>
      </c>
      <c r="P2139" t="s">
        <v>1283</v>
      </c>
    </row>
    <row r="2140" spans="1:16" x14ac:dyDescent="0.25">
      <c r="A2140" t="s">
        <v>4684</v>
      </c>
      <c r="B2140" t="s">
        <v>4593</v>
      </c>
      <c r="C2140" t="s">
        <v>1571</v>
      </c>
      <c r="D2140" t="s">
        <v>1027</v>
      </c>
      <c r="E2140">
        <v>63767</v>
      </c>
      <c r="G2140" t="b">
        <v>0</v>
      </c>
      <c r="H2140" t="b">
        <v>0</v>
      </c>
      <c r="I2140" t="s">
        <v>1050</v>
      </c>
      <c r="J2140">
        <v>80</v>
      </c>
      <c r="K2140" t="s">
        <v>0</v>
      </c>
      <c r="L2140" t="s">
        <v>1167</v>
      </c>
      <c r="M2140" t="s">
        <v>1168</v>
      </c>
      <c r="N2140" t="s">
        <v>1169</v>
      </c>
      <c r="O2140" t="s">
        <v>1168</v>
      </c>
      <c r="P2140" t="s">
        <v>1283</v>
      </c>
    </row>
    <row r="2141" spans="1:16" x14ac:dyDescent="0.25">
      <c r="A2141" t="s">
        <v>4685</v>
      </c>
      <c r="B2141" t="s">
        <v>4593</v>
      </c>
      <c r="C2141" t="s">
        <v>1571</v>
      </c>
      <c r="D2141" t="s">
        <v>1027</v>
      </c>
      <c r="E2141">
        <v>63767</v>
      </c>
      <c r="G2141" t="b">
        <v>0</v>
      </c>
      <c r="H2141" t="b">
        <v>0</v>
      </c>
      <c r="I2141" t="s">
        <v>1050</v>
      </c>
      <c r="J2141">
        <v>80</v>
      </c>
      <c r="K2141" t="s">
        <v>0</v>
      </c>
      <c r="L2141" t="s">
        <v>1167</v>
      </c>
      <c r="M2141" t="s">
        <v>1168</v>
      </c>
      <c r="N2141" t="s">
        <v>1169</v>
      </c>
      <c r="O2141" t="s">
        <v>1168</v>
      </c>
      <c r="P2141" t="s">
        <v>1283</v>
      </c>
    </row>
    <row r="2142" spans="1:16" x14ac:dyDescent="0.25">
      <c r="A2142" t="s">
        <v>4686</v>
      </c>
      <c r="B2142" t="s">
        <v>4593</v>
      </c>
      <c r="C2142" t="s">
        <v>1571</v>
      </c>
      <c r="D2142" t="s">
        <v>1027</v>
      </c>
      <c r="E2142">
        <v>63767</v>
      </c>
      <c r="G2142" t="b">
        <v>0</v>
      </c>
      <c r="H2142" t="b">
        <v>0</v>
      </c>
      <c r="I2142" t="s">
        <v>1050</v>
      </c>
      <c r="J2142">
        <v>80</v>
      </c>
      <c r="K2142" t="s">
        <v>0</v>
      </c>
      <c r="L2142" t="s">
        <v>1167</v>
      </c>
      <c r="M2142" t="s">
        <v>1168</v>
      </c>
      <c r="N2142" t="s">
        <v>1169</v>
      </c>
      <c r="O2142" t="s">
        <v>1168</v>
      </c>
      <c r="P2142" t="s">
        <v>1283</v>
      </c>
    </row>
    <row r="2143" spans="1:16" x14ac:dyDescent="0.25">
      <c r="A2143" t="s">
        <v>4687</v>
      </c>
      <c r="B2143" t="s">
        <v>4589</v>
      </c>
      <c r="C2143" t="s">
        <v>1571</v>
      </c>
      <c r="D2143" t="s">
        <v>1027</v>
      </c>
      <c r="E2143">
        <v>63767</v>
      </c>
      <c r="G2143" t="b">
        <v>0</v>
      </c>
      <c r="H2143" t="b">
        <v>0</v>
      </c>
      <c r="I2143" t="s">
        <v>1050</v>
      </c>
      <c r="J2143">
        <v>80</v>
      </c>
      <c r="K2143" t="s">
        <v>0</v>
      </c>
      <c r="L2143" t="s">
        <v>1167</v>
      </c>
      <c r="M2143" t="s">
        <v>1168</v>
      </c>
      <c r="N2143" t="s">
        <v>1169</v>
      </c>
      <c r="O2143" t="s">
        <v>1168</v>
      </c>
      <c r="P2143" t="s">
        <v>1283</v>
      </c>
    </row>
    <row r="2144" spans="1:16" x14ac:dyDescent="0.25">
      <c r="A2144" t="s">
        <v>4688</v>
      </c>
      <c r="B2144" t="s">
        <v>4593</v>
      </c>
      <c r="C2144" t="s">
        <v>1571</v>
      </c>
      <c r="D2144" t="s">
        <v>1027</v>
      </c>
      <c r="E2144">
        <v>63767</v>
      </c>
      <c r="G2144" t="b">
        <v>0</v>
      </c>
      <c r="H2144" t="b">
        <v>0</v>
      </c>
      <c r="I2144" t="s">
        <v>1050</v>
      </c>
      <c r="J2144">
        <v>80</v>
      </c>
      <c r="K2144" t="s">
        <v>0</v>
      </c>
      <c r="L2144" t="s">
        <v>1167</v>
      </c>
      <c r="M2144" t="s">
        <v>1168</v>
      </c>
      <c r="N2144" t="s">
        <v>1169</v>
      </c>
      <c r="O2144" t="s">
        <v>1168</v>
      </c>
      <c r="P2144" t="s">
        <v>1283</v>
      </c>
    </row>
    <row r="2145" spans="1:16" x14ac:dyDescent="0.25">
      <c r="A2145" t="s">
        <v>4689</v>
      </c>
      <c r="B2145" t="s">
        <v>4593</v>
      </c>
      <c r="C2145" t="s">
        <v>1571</v>
      </c>
      <c r="D2145" t="s">
        <v>1027</v>
      </c>
      <c r="E2145">
        <v>63767</v>
      </c>
      <c r="G2145" t="b">
        <v>0</v>
      </c>
      <c r="H2145" t="b">
        <v>0</v>
      </c>
      <c r="I2145" t="s">
        <v>1050</v>
      </c>
      <c r="J2145">
        <v>80</v>
      </c>
      <c r="K2145" t="s">
        <v>0</v>
      </c>
      <c r="L2145" t="s">
        <v>1167</v>
      </c>
      <c r="M2145" t="s">
        <v>1168</v>
      </c>
      <c r="N2145" t="s">
        <v>1169</v>
      </c>
      <c r="O2145" t="s">
        <v>1168</v>
      </c>
      <c r="P2145" t="s">
        <v>1283</v>
      </c>
    </row>
    <row r="2146" spans="1:16" x14ac:dyDescent="0.25">
      <c r="A2146" t="s">
        <v>4690</v>
      </c>
      <c r="B2146" t="s">
        <v>4589</v>
      </c>
      <c r="C2146" t="s">
        <v>1571</v>
      </c>
      <c r="D2146" t="s">
        <v>1027</v>
      </c>
      <c r="E2146">
        <v>63767</v>
      </c>
      <c r="G2146" t="b">
        <v>0</v>
      </c>
      <c r="H2146" t="b">
        <v>0</v>
      </c>
      <c r="I2146" t="s">
        <v>1050</v>
      </c>
      <c r="J2146">
        <v>80</v>
      </c>
      <c r="K2146" t="s">
        <v>0</v>
      </c>
      <c r="L2146" t="s">
        <v>1167</v>
      </c>
      <c r="M2146" t="s">
        <v>1168</v>
      </c>
      <c r="N2146" t="s">
        <v>1169</v>
      </c>
      <c r="O2146" t="s">
        <v>1168</v>
      </c>
      <c r="P2146" t="s">
        <v>1283</v>
      </c>
    </row>
    <row r="2147" spans="1:16" x14ac:dyDescent="0.25">
      <c r="A2147" t="s">
        <v>4691</v>
      </c>
      <c r="B2147" t="s">
        <v>4589</v>
      </c>
      <c r="C2147" t="s">
        <v>1571</v>
      </c>
      <c r="D2147" t="s">
        <v>1027</v>
      </c>
      <c r="E2147">
        <v>63767</v>
      </c>
      <c r="G2147" t="b">
        <v>0</v>
      </c>
      <c r="H2147" t="b">
        <v>0</v>
      </c>
      <c r="I2147" t="s">
        <v>1050</v>
      </c>
      <c r="J2147">
        <v>80</v>
      </c>
      <c r="K2147" t="s">
        <v>0</v>
      </c>
      <c r="L2147" t="s">
        <v>1167</v>
      </c>
      <c r="M2147" t="s">
        <v>1168</v>
      </c>
      <c r="N2147" t="s">
        <v>1169</v>
      </c>
      <c r="O2147" t="s">
        <v>1168</v>
      </c>
      <c r="P2147" t="s">
        <v>1283</v>
      </c>
    </row>
    <row r="2148" spans="1:16" x14ac:dyDescent="0.25">
      <c r="A2148" t="s">
        <v>4692</v>
      </c>
      <c r="B2148" t="s">
        <v>4601</v>
      </c>
      <c r="C2148" t="s">
        <v>1571</v>
      </c>
      <c r="D2148" t="s">
        <v>1027</v>
      </c>
      <c r="E2148">
        <v>63767</v>
      </c>
      <c r="G2148" t="b">
        <v>0</v>
      </c>
      <c r="H2148" t="b">
        <v>0</v>
      </c>
      <c r="I2148" t="s">
        <v>1050</v>
      </c>
      <c r="J2148">
        <v>80</v>
      </c>
      <c r="K2148" t="s">
        <v>0</v>
      </c>
      <c r="L2148" t="s">
        <v>1167</v>
      </c>
      <c r="M2148" t="s">
        <v>1168</v>
      </c>
      <c r="N2148" t="s">
        <v>1169</v>
      </c>
      <c r="O2148" t="s">
        <v>1168</v>
      </c>
      <c r="P2148" t="s">
        <v>1283</v>
      </c>
    </row>
    <row r="2149" spans="1:16" x14ac:dyDescent="0.25">
      <c r="A2149" t="s">
        <v>4693</v>
      </c>
      <c r="B2149" t="s">
        <v>4603</v>
      </c>
      <c r="C2149" t="s">
        <v>1571</v>
      </c>
      <c r="D2149" t="s">
        <v>1027</v>
      </c>
      <c r="E2149">
        <v>63767</v>
      </c>
      <c r="G2149" t="b">
        <v>0</v>
      </c>
      <c r="H2149" t="b">
        <v>0</v>
      </c>
      <c r="I2149" t="s">
        <v>1050</v>
      </c>
      <c r="J2149">
        <v>80</v>
      </c>
      <c r="K2149" t="s">
        <v>0</v>
      </c>
      <c r="L2149" t="s">
        <v>1167</v>
      </c>
      <c r="M2149" t="s">
        <v>1168</v>
      </c>
      <c r="N2149" t="s">
        <v>1169</v>
      </c>
      <c r="O2149" t="s">
        <v>1168</v>
      </c>
      <c r="P2149" t="s">
        <v>1283</v>
      </c>
    </row>
    <row r="2150" spans="1:16" x14ac:dyDescent="0.25">
      <c r="A2150" t="s">
        <v>4694</v>
      </c>
      <c r="B2150" t="s">
        <v>4589</v>
      </c>
      <c r="C2150" t="s">
        <v>1571</v>
      </c>
      <c r="D2150" t="s">
        <v>1027</v>
      </c>
      <c r="E2150">
        <v>63767</v>
      </c>
      <c r="G2150" t="b">
        <v>0</v>
      </c>
      <c r="H2150" t="b">
        <v>0</v>
      </c>
      <c r="I2150" t="s">
        <v>1050</v>
      </c>
      <c r="J2150">
        <v>80</v>
      </c>
      <c r="K2150" t="s">
        <v>0</v>
      </c>
      <c r="L2150" t="s">
        <v>1167</v>
      </c>
      <c r="M2150" t="s">
        <v>1168</v>
      </c>
      <c r="N2150" t="s">
        <v>1169</v>
      </c>
      <c r="O2150" t="s">
        <v>1168</v>
      </c>
      <c r="P2150" t="s">
        <v>1283</v>
      </c>
    </row>
    <row r="2151" spans="1:16" x14ac:dyDescent="0.25">
      <c r="A2151" t="s">
        <v>4695</v>
      </c>
      <c r="B2151" t="s">
        <v>4601</v>
      </c>
      <c r="C2151" t="s">
        <v>1571</v>
      </c>
      <c r="D2151" t="s">
        <v>1027</v>
      </c>
      <c r="E2151">
        <v>63767</v>
      </c>
      <c r="G2151" t="b">
        <v>0</v>
      </c>
      <c r="H2151" t="b">
        <v>0</v>
      </c>
      <c r="I2151" t="s">
        <v>1050</v>
      </c>
      <c r="J2151">
        <v>80</v>
      </c>
      <c r="K2151" t="s">
        <v>0</v>
      </c>
      <c r="L2151" t="s">
        <v>1167</v>
      </c>
      <c r="M2151" t="s">
        <v>1168</v>
      </c>
      <c r="N2151" t="s">
        <v>1169</v>
      </c>
      <c r="O2151" t="s">
        <v>1168</v>
      </c>
      <c r="P2151" t="s">
        <v>1283</v>
      </c>
    </row>
    <row r="2152" spans="1:16" x14ac:dyDescent="0.25">
      <c r="A2152" t="s">
        <v>4696</v>
      </c>
      <c r="B2152" t="s">
        <v>4601</v>
      </c>
      <c r="C2152" t="s">
        <v>1571</v>
      </c>
      <c r="D2152" t="s">
        <v>1027</v>
      </c>
      <c r="E2152">
        <v>63767</v>
      </c>
      <c r="G2152" t="b">
        <v>0</v>
      </c>
      <c r="H2152" t="b">
        <v>0</v>
      </c>
      <c r="I2152" t="s">
        <v>1050</v>
      </c>
      <c r="J2152">
        <v>80</v>
      </c>
      <c r="K2152" t="s">
        <v>0</v>
      </c>
      <c r="L2152" t="s">
        <v>1167</v>
      </c>
      <c r="M2152" t="s">
        <v>1168</v>
      </c>
      <c r="N2152" t="s">
        <v>1169</v>
      </c>
      <c r="O2152" t="s">
        <v>1168</v>
      </c>
      <c r="P2152" t="s">
        <v>1283</v>
      </c>
    </row>
    <row r="2153" spans="1:16" x14ac:dyDescent="0.25">
      <c r="A2153" t="s">
        <v>4697</v>
      </c>
      <c r="B2153" t="s">
        <v>4607</v>
      </c>
      <c r="C2153" t="s">
        <v>1571</v>
      </c>
      <c r="D2153" t="s">
        <v>1027</v>
      </c>
      <c r="E2153">
        <v>63767</v>
      </c>
      <c r="G2153" t="b">
        <v>0</v>
      </c>
      <c r="H2153" t="b">
        <v>0</v>
      </c>
      <c r="I2153" t="s">
        <v>1050</v>
      </c>
      <c r="J2153">
        <v>80</v>
      </c>
      <c r="K2153" t="s">
        <v>0</v>
      </c>
      <c r="L2153" t="s">
        <v>1167</v>
      </c>
      <c r="M2153" t="s">
        <v>1168</v>
      </c>
      <c r="N2153" t="s">
        <v>1169</v>
      </c>
      <c r="O2153" t="s">
        <v>1168</v>
      </c>
      <c r="P2153" t="s">
        <v>1283</v>
      </c>
    </row>
    <row r="2154" spans="1:16" x14ac:dyDescent="0.25">
      <c r="A2154" t="s">
        <v>4698</v>
      </c>
      <c r="B2154" t="s">
        <v>4591</v>
      </c>
      <c r="C2154" t="s">
        <v>1571</v>
      </c>
      <c r="D2154" t="s">
        <v>1027</v>
      </c>
      <c r="E2154">
        <v>63767</v>
      </c>
      <c r="G2154" t="b">
        <v>0</v>
      </c>
      <c r="H2154" t="b">
        <v>0</v>
      </c>
      <c r="I2154" t="s">
        <v>1050</v>
      </c>
      <c r="J2154">
        <v>80</v>
      </c>
      <c r="K2154" t="s">
        <v>0</v>
      </c>
      <c r="L2154" t="s">
        <v>1167</v>
      </c>
      <c r="M2154" t="s">
        <v>1168</v>
      </c>
      <c r="N2154" t="s">
        <v>1169</v>
      </c>
      <c r="O2154" t="s">
        <v>1168</v>
      </c>
      <c r="P2154" t="s">
        <v>1283</v>
      </c>
    </row>
    <row r="2155" spans="1:16" x14ac:dyDescent="0.25">
      <c r="A2155" t="s">
        <v>4699</v>
      </c>
      <c r="B2155" t="s">
        <v>4593</v>
      </c>
      <c r="C2155" t="s">
        <v>1571</v>
      </c>
      <c r="D2155" t="s">
        <v>1027</v>
      </c>
      <c r="E2155">
        <v>63767</v>
      </c>
      <c r="G2155" t="b">
        <v>0</v>
      </c>
      <c r="H2155" t="b">
        <v>0</v>
      </c>
      <c r="I2155" t="s">
        <v>1050</v>
      </c>
      <c r="J2155">
        <v>80</v>
      </c>
      <c r="K2155" t="s">
        <v>0</v>
      </c>
      <c r="L2155" t="s">
        <v>1167</v>
      </c>
      <c r="M2155" t="s">
        <v>1168</v>
      </c>
      <c r="N2155" t="s">
        <v>1169</v>
      </c>
      <c r="O2155" t="s">
        <v>1168</v>
      </c>
      <c r="P2155" t="s">
        <v>1283</v>
      </c>
    </row>
    <row r="2156" spans="1:16" x14ac:dyDescent="0.25">
      <c r="A2156" t="s">
        <v>4700</v>
      </c>
      <c r="B2156" t="s">
        <v>4593</v>
      </c>
      <c r="C2156" t="s">
        <v>1571</v>
      </c>
      <c r="D2156" t="s">
        <v>1027</v>
      </c>
      <c r="E2156">
        <v>63767</v>
      </c>
      <c r="G2156" t="b">
        <v>0</v>
      </c>
      <c r="H2156" t="b">
        <v>0</v>
      </c>
      <c r="I2156" t="s">
        <v>1050</v>
      </c>
      <c r="J2156">
        <v>80</v>
      </c>
      <c r="K2156" t="s">
        <v>0</v>
      </c>
      <c r="L2156" t="s">
        <v>1167</v>
      </c>
      <c r="M2156" t="s">
        <v>1168</v>
      </c>
      <c r="N2156" t="s">
        <v>1169</v>
      </c>
      <c r="O2156" t="s">
        <v>1168</v>
      </c>
      <c r="P2156" t="s">
        <v>1283</v>
      </c>
    </row>
    <row r="2157" spans="1:16" x14ac:dyDescent="0.25">
      <c r="A2157" t="s">
        <v>4701</v>
      </c>
      <c r="B2157" t="s">
        <v>4593</v>
      </c>
      <c r="C2157" t="s">
        <v>1571</v>
      </c>
      <c r="D2157" t="s">
        <v>1027</v>
      </c>
      <c r="E2157">
        <v>63767</v>
      </c>
      <c r="G2157" t="b">
        <v>0</v>
      </c>
      <c r="H2157" t="b">
        <v>0</v>
      </c>
      <c r="I2157" t="s">
        <v>1050</v>
      </c>
      <c r="J2157">
        <v>80</v>
      </c>
      <c r="K2157" t="s">
        <v>0</v>
      </c>
      <c r="L2157" t="s">
        <v>1167</v>
      </c>
      <c r="M2157" t="s">
        <v>1168</v>
      </c>
      <c r="N2157" t="s">
        <v>1169</v>
      </c>
      <c r="O2157" t="s">
        <v>1168</v>
      </c>
      <c r="P2157" t="s">
        <v>1283</v>
      </c>
    </row>
    <row r="2158" spans="1:16" x14ac:dyDescent="0.25">
      <c r="A2158" t="s">
        <v>4702</v>
      </c>
      <c r="B2158" t="s">
        <v>4593</v>
      </c>
      <c r="C2158" t="s">
        <v>1571</v>
      </c>
      <c r="D2158" t="s">
        <v>1027</v>
      </c>
      <c r="E2158">
        <v>63767</v>
      </c>
      <c r="G2158" t="b">
        <v>0</v>
      </c>
      <c r="H2158" t="b">
        <v>0</v>
      </c>
      <c r="I2158" t="s">
        <v>1050</v>
      </c>
      <c r="J2158">
        <v>80</v>
      </c>
      <c r="K2158" t="s">
        <v>0</v>
      </c>
      <c r="L2158" t="s">
        <v>1167</v>
      </c>
      <c r="M2158" t="s">
        <v>1168</v>
      </c>
      <c r="N2158" t="s">
        <v>1169</v>
      </c>
      <c r="O2158" t="s">
        <v>1168</v>
      </c>
      <c r="P2158" t="s">
        <v>1283</v>
      </c>
    </row>
    <row r="2159" spans="1:16" x14ac:dyDescent="0.25">
      <c r="A2159" t="s">
        <v>4703</v>
      </c>
      <c r="B2159" t="s">
        <v>4593</v>
      </c>
      <c r="C2159" t="s">
        <v>1571</v>
      </c>
      <c r="D2159" t="s">
        <v>1027</v>
      </c>
      <c r="E2159">
        <v>63767</v>
      </c>
      <c r="G2159" t="b">
        <v>0</v>
      </c>
      <c r="H2159" t="b">
        <v>0</v>
      </c>
      <c r="I2159" t="s">
        <v>1050</v>
      </c>
      <c r="J2159">
        <v>80</v>
      </c>
      <c r="K2159" t="s">
        <v>0</v>
      </c>
      <c r="L2159" t="s">
        <v>1167</v>
      </c>
      <c r="M2159" t="s">
        <v>1168</v>
      </c>
      <c r="N2159" t="s">
        <v>1169</v>
      </c>
      <c r="O2159" t="s">
        <v>1168</v>
      </c>
      <c r="P2159" t="s">
        <v>1283</v>
      </c>
    </row>
    <row r="2160" spans="1:16" x14ac:dyDescent="0.25">
      <c r="A2160" t="s">
        <v>4704</v>
      </c>
      <c r="B2160" t="s">
        <v>4593</v>
      </c>
      <c r="C2160" t="s">
        <v>1571</v>
      </c>
      <c r="D2160" t="s">
        <v>1027</v>
      </c>
      <c r="E2160">
        <v>63767</v>
      </c>
      <c r="G2160" t="b">
        <v>0</v>
      </c>
      <c r="H2160" t="b">
        <v>0</v>
      </c>
      <c r="I2160" t="s">
        <v>1050</v>
      </c>
      <c r="J2160">
        <v>80</v>
      </c>
      <c r="K2160" t="s">
        <v>0</v>
      </c>
      <c r="L2160" t="s">
        <v>1167</v>
      </c>
      <c r="M2160" t="s">
        <v>1168</v>
      </c>
      <c r="N2160" t="s">
        <v>1169</v>
      </c>
      <c r="O2160" t="s">
        <v>1168</v>
      </c>
      <c r="P2160" t="s">
        <v>1283</v>
      </c>
    </row>
    <row r="2161" spans="1:16" x14ac:dyDescent="0.25">
      <c r="A2161" t="s">
        <v>4705</v>
      </c>
      <c r="B2161" t="s">
        <v>4593</v>
      </c>
      <c r="C2161" t="s">
        <v>1571</v>
      </c>
      <c r="D2161" t="s">
        <v>1027</v>
      </c>
      <c r="E2161">
        <v>63767</v>
      </c>
      <c r="G2161" t="b">
        <v>0</v>
      </c>
      <c r="H2161" t="b">
        <v>0</v>
      </c>
      <c r="I2161" t="s">
        <v>1050</v>
      </c>
      <c r="J2161">
        <v>80</v>
      </c>
      <c r="K2161" t="s">
        <v>0</v>
      </c>
      <c r="L2161" t="s">
        <v>1167</v>
      </c>
      <c r="M2161" t="s">
        <v>1168</v>
      </c>
      <c r="N2161" t="s">
        <v>1169</v>
      </c>
      <c r="O2161" t="s">
        <v>1168</v>
      </c>
      <c r="P2161" t="s">
        <v>1283</v>
      </c>
    </row>
    <row r="2162" spans="1:16" x14ac:dyDescent="0.25">
      <c r="A2162" t="s">
        <v>4706</v>
      </c>
      <c r="B2162" t="s">
        <v>4593</v>
      </c>
      <c r="C2162" t="s">
        <v>1571</v>
      </c>
      <c r="D2162" t="s">
        <v>1027</v>
      </c>
      <c r="E2162">
        <v>63767</v>
      </c>
      <c r="G2162" t="b">
        <v>0</v>
      </c>
      <c r="H2162" t="b">
        <v>0</v>
      </c>
      <c r="I2162" t="s">
        <v>1050</v>
      </c>
      <c r="J2162">
        <v>80</v>
      </c>
      <c r="K2162" t="s">
        <v>0</v>
      </c>
      <c r="L2162" t="s">
        <v>1167</v>
      </c>
      <c r="M2162" t="s">
        <v>1168</v>
      </c>
      <c r="N2162" t="s">
        <v>1169</v>
      </c>
      <c r="O2162" t="s">
        <v>1168</v>
      </c>
      <c r="P2162" t="s">
        <v>1283</v>
      </c>
    </row>
    <row r="2163" spans="1:16" x14ac:dyDescent="0.25">
      <c r="A2163" t="s">
        <v>4707</v>
      </c>
      <c r="B2163" t="s">
        <v>4593</v>
      </c>
      <c r="C2163" t="s">
        <v>1571</v>
      </c>
      <c r="D2163" t="s">
        <v>1027</v>
      </c>
      <c r="E2163">
        <v>63767</v>
      </c>
      <c r="G2163" t="b">
        <v>0</v>
      </c>
      <c r="H2163" t="b">
        <v>0</v>
      </c>
      <c r="I2163" t="s">
        <v>1050</v>
      </c>
      <c r="J2163">
        <v>80</v>
      </c>
      <c r="K2163" t="s">
        <v>0</v>
      </c>
      <c r="L2163" t="s">
        <v>1167</v>
      </c>
      <c r="M2163" t="s">
        <v>1168</v>
      </c>
      <c r="N2163" t="s">
        <v>1169</v>
      </c>
      <c r="O2163" t="s">
        <v>1168</v>
      </c>
      <c r="P2163" t="s">
        <v>1283</v>
      </c>
    </row>
    <row r="2164" spans="1:16" x14ac:dyDescent="0.25">
      <c r="A2164" t="s">
        <v>4708</v>
      </c>
      <c r="B2164" t="s">
        <v>4589</v>
      </c>
      <c r="C2164" t="s">
        <v>1571</v>
      </c>
      <c r="D2164" t="s">
        <v>1027</v>
      </c>
      <c r="E2164">
        <v>63767</v>
      </c>
      <c r="G2164" t="b">
        <v>0</v>
      </c>
      <c r="H2164" t="b">
        <v>0</v>
      </c>
      <c r="I2164" t="s">
        <v>1050</v>
      </c>
      <c r="J2164">
        <v>80</v>
      </c>
      <c r="K2164" t="s">
        <v>0</v>
      </c>
      <c r="L2164" t="s">
        <v>1167</v>
      </c>
      <c r="M2164" t="s">
        <v>1168</v>
      </c>
      <c r="N2164" t="s">
        <v>1169</v>
      </c>
      <c r="O2164" t="s">
        <v>1168</v>
      </c>
      <c r="P2164" t="s">
        <v>1283</v>
      </c>
    </row>
    <row r="2165" spans="1:16" x14ac:dyDescent="0.25">
      <c r="A2165" t="s">
        <v>4709</v>
      </c>
      <c r="B2165" t="s">
        <v>4589</v>
      </c>
      <c r="C2165" t="s">
        <v>1571</v>
      </c>
      <c r="D2165" t="s">
        <v>1027</v>
      </c>
      <c r="E2165">
        <v>63767</v>
      </c>
      <c r="G2165" t="b">
        <v>0</v>
      </c>
      <c r="H2165" t="b">
        <v>0</v>
      </c>
      <c r="I2165" t="s">
        <v>1050</v>
      </c>
      <c r="J2165">
        <v>80</v>
      </c>
      <c r="K2165" t="s">
        <v>0</v>
      </c>
      <c r="L2165" t="s">
        <v>1167</v>
      </c>
      <c r="M2165" t="s">
        <v>1168</v>
      </c>
      <c r="N2165" t="s">
        <v>1169</v>
      </c>
      <c r="O2165" t="s">
        <v>1168</v>
      </c>
      <c r="P2165" t="s">
        <v>1283</v>
      </c>
    </row>
    <row r="2166" spans="1:16" x14ac:dyDescent="0.25">
      <c r="A2166" t="s">
        <v>4710</v>
      </c>
      <c r="B2166" t="s">
        <v>4601</v>
      </c>
      <c r="C2166" t="s">
        <v>1571</v>
      </c>
      <c r="D2166" t="s">
        <v>1027</v>
      </c>
      <c r="E2166">
        <v>63767</v>
      </c>
      <c r="G2166" t="b">
        <v>0</v>
      </c>
      <c r="H2166" t="b">
        <v>0</v>
      </c>
      <c r="I2166" t="s">
        <v>1050</v>
      </c>
      <c r="J2166">
        <v>80</v>
      </c>
      <c r="K2166" t="s">
        <v>0</v>
      </c>
      <c r="L2166" t="s">
        <v>1167</v>
      </c>
      <c r="M2166" t="s">
        <v>1168</v>
      </c>
      <c r="N2166" t="s">
        <v>1169</v>
      </c>
      <c r="O2166" t="s">
        <v>1168</v>
      </c>
      <c r="P2166" t="s">
        <v>1283</v>
      </c>
    </row>
    <row r="2167" spans="1:16" x14ac:dyDescent="0.25">
      <c r="A2167" t="s">
        <v>4711</v>
      </c>
      <c r="B2167" t="s">
        <v>4601</v>
      </c>
      <c r="C2167" t="s">
        <v>1571</v>
      </c>
      <c r="D2167" t="s">
        <v>1027</v>
      </c>
      <c r="E2167">
        <v>63767</v>
      </c>
      <c r="G2167" t="b">
        <v>0</v>
      </c>
      <c r="H2167" t="b">
        <v>0</v>
      </c>
      <c r="I2167" t="s">
        <v>1050</v>
      </c>
      <c r="J2167">
        <v>80</v>
      </c>
      <c r="K2167" t="s">
        <v>0</v>
      </c>
      <c r="L2167" t="s">
        <v>1167</v>
      </c>
      <c r="M2167" t="s">
        <v>1168</v>
      </c>
      <c r="N2167" t="s">
        <v>1169</v>
      </c>
      <c r="O2167" t="s">
        <v>1168</v>
      </c>
      <c r="P2167" t="s">
        <v>1283</v>
      </c>
    </row>
    <row r="2168" spans="1:16" x14ac:dyDescent="0.25">
      <c r="A2168" t="s">
        <v>4712</v>
      </c>
      <c r="B2168" t="s">
        <v>4595</v>
      </c>
      <c r="C2168" t="s">
        <v>1571</v>
      </c>
      <c r="D2168" t="s">
        <v>1027</v>
      </c>
      <c r="E2168">
        <v>63767</v>
      </c>
      <c r="G2168" t="b">
        <v>0</v>
      </c>
      <c r="H2168" t="b">
        <v>0</v>
      </c>
      <c r="I2168" t="s">
        <v>1050</v>
      </c>
      <c r="J2168">
        <v>80</v>
      </c>
      <c r="K2168" t="s">
        <v>0</v>
      </c>
      <c r="L2168" t="s">
        <v>1167</v>
      </c>
      <c r="M2168" t="s">
        <v>1168</v>
      </c>
      <c r="N2168" t="s">
        <v>1169</v>
      </c>
      <c r="O2168" t="s">
        <v>1168</v>
      </c>
      <c r="P2168" t="s">
        <v>1283</v>
      </c>
    </row>
    <row r="2169" spans="1:16" x14ac:dyDescent="0.25">
      <c r="A2169" t="s">
        <v>4713</v>
      </c>
      <c r="B2169" t="s">
        <v>4593</v>
      </c>
      <c r="C2169" t="s">
        <v>1571</v>
      </c>
      <c r="D2169" t="s">
        <v>1027</v>
      </c>
      <c r="E2169">
        <v>63767</v>
      </c>
      <c r="G2169" t="b">
        <v>0</v>
      </c>
      <c r="H2169" t="b">
        <v>0</v>
      </c>
      <c r="I2169" t="s">
        <v>1050</v>
      </c>
      <c r="J2169">
        <v>80</v>
      </c>
      <c r="K2169" t="s">
        <v>0</v>
      </c>
      <c r="L2169" t="s">
        <v>1167</v>
      </c>
      <c r="M2169" t="s">
        <v>1168</v>
      </c>
      <c r="N2169" t="s">
        <v>1169</v>
      </c>
      <c r="O2169" t="s">
        <v>1168</v>
      </c>
      <c r="P2169" t="s">
        <v>1283</v>
      </c>
    </row>
    <row r="2170" spans="1:16" x14ac:dyDescent="0.25">
      <c r="A2170" t="s">
        <v>4714</v>
      </c>
      <c r="B2170" t="s">
        <v>4593</v>
      </c>
      <c r="C2170" t="s">
        <v>1571</v>
      </c>
      <c r="D2170" t="s">
        <v>1027</v>
      </c>
      <c r="E2170">
        <v>63767</v>
      </c>
      <c r="G2170" t="b">
        <v>0</v>
      </c>
      <c r="H2170" t="b">
        <v>0</v>
      </c>
      <c r="I2170" t="s">
        <v>1050</v>
      </c>
      <c r="J2170">
        <v>80</v>
      </c>
      <c r="K2170" t="s">
        <v>0</v>
      </c>
      <c r="L2170" t="s">
        <v>1167</v>
      </c>
      <c r="M2170" t="s">
        <v>1168</v>
      </c>
      <c r="N2170" t="s">
        <v>1169</v>
      </c>
      <c r="O2170" t="s">
        <v>1168</v>
      </c>
      <c r="P2170" t="s">
        <v>1283</v>
      </c>
    </row>
    <row r="2171" spans="1:16" x14ac:dyDescent="0.25">
      <c r="A2171" t="s">
        <v>4715</v>
      </c>
      <c r="B2171" t="s">
        <v>4607</v>
      </c>
      <c r="C2171" t="s">
        <v>1571</v>
      </c>
      <c r="D2171" t="s">
        <v>1027</v>
      </c>
      <c r="E2171">
        <v>63767</v>
      </c>
      <c r="G2171" t="b">
        <v>0</v>
      </c>
      <c r="H2171" t="b">
        <v>0</v>
      </c>
      <c r="I2171" t="s">
        <v>1050</v>
      </c>
      <c r="J2171">
        <v>80</v>
      </c>
      <c r="K2171" t="s">
        <v>0</v>
      </c>
      <c r="L2171" t="s">
        <v>1167</v>
      </c>
      <c r="M2171" t="s">
        <v>1168</v>
      </c>
      <c r="N2171" t="s">
        <v>1169</v>
      </c>
      <c r="O2171" t="s">
        <v>1168</v>
      </c>
      <c r="P2171" t="s">
        <v>1283</v>
      </c>
    </row>
    <row r="2172" spans="1:16" x14ac:dyDescent="0.25">
      <c r="A2172" t="s">
        <v>4716</v>
      </c>
      <c r="B2172" t="s">
        <v>4591</v>
      </c>
      <c r="C2172" t="s">
        <v>1571</v>
      </c>
      <c r="D2172" t="s">
        <v>1027</v>
      </c>
      <c r="E2172">
        <v>63767</v>
      </c>
      <c r="G2172" t="b">
        <v>0</v>
      </c>
      <c r="H2172" t="b">
        <v>0</v>
      </c>
      <c r="I2172" t="s">
        <v>1050</v>
      </c>
      <c r="J2172">
        <v>80</v>
      </c>
      <c r="K2172" t="s">
        <v>0</v>
      </c>
      <c r="L2172" t="s">
        <v>1167</v>
      </c>
      <c r="M2172" t="s">
        <v>1168</v>
      </c>
      <c r="N2172" t="s">
        <v>1169</v>
      </c>
      <c r="O2172" t="s">
        <v>1168</v>
      </c>
      <c r="P2172" t="s">
        <v>1283</v>
      </c>
    </row>
    <row r="2173" spans="1:16" x14ac:dyDescent="0.25">
      <c r="A2173" t="s">
        <v>4717</v>
      </c>
      <c r="B2173" t="s">
        <v>4593</v>
      </c>
      <c r="C2173" t="s">
        <v>1571</v>
      </c>
      <c r="D2173" t="s">
        <v>1027</v>
      </c>
      <c r="E2173">
        <v>63767</v>
      </c>
      <c r="G2173" t="b">
        <v>0</v>
      </c>
      <c r="H2173" t="b">
        <v>0</v>
      </c>
      <c r="I2173" t="s">
        <v>1050</v>
      </c>
      <c r="J2173">
        <v>80</v>
      </c>
      <c r="K2173" t="s">
        <v>0</v>
      </c>
      <c r="L2173" t="s">
        <v>1167</v>
      </c>
      <c r="M2173" t="s">
        <v>1168</v>
      </c>
      <c r="N2173" t="s">
        <v>1169</v>
      </c>
      <c r="O2173" t="s">
        <v>1168</v>
      </c>
      <c r="P2173" t="s">
        <v>1283</v>
      </c>
    </row>
    <row r="2174" spans="1:16" x14ac:dyDescent="0.25">
      <c r="A2174" t="s">
        <v>4718</v>
      </c>
      <c r="B2174" t="s">
        <v>4607</v>
      </c>
      <c r="C2174" t="s">
        <v>1571</v>
      </c>
      <c r="D2174" t="s">
        <v>1027</v>
      </c>
      <c r="E2174">
        <v>63767</v>
      </c>
      <c r="G2174" t="b">
        <v>0</v>
      </c>
      <c r="H2174" t="b">
        <v>0</v>
      </c>
      <c r="I2174" t="s">
        <v>1050</v>
      </c>
      <c r="J2174">
        <v>80</v>
      </c>
      <c r="K2174" t="s">
        <v>0</v>
      </c>
      <c r="L2174" t="s">
        <v>1167</v>
      </c>
      <c r="M2174" t="s">
        <v>1168</v>
      </c>
      <c r="N2174" t="s">
        <v>1169</v>
      </c>
      <c r="O2174" t="s">
        <v>1168</v>
      </c>
      <c r="P2174" t="s">
        <v>1283</v>
      </c>
    </row>
    <row r="2175" spans="1:16" x14ac:dyDescent="0.25">
      <c r="A2175" t="s">
        <v>4719</v>
      </c>
      <c r="B2175" t="s">
        <v>4591</v>
      </c>
      <c r="C2175" t="s">
        <v>1571</v>
      </c>
      <c r="D2175" t="s">
        <v>1027</v>
      </c>
      <c r="E2175">
        <v>63767</v>
      </c>
      <c r="G2175" t="b">
        <v>0</v>
      </c>
      <c r="H2175" t="b">
        <v>0</v>
      </c>
      <c r="I2175" t="s">
        <v>1050</v>
      </c>
      <c r="J2175">
        <v>80</v>
      </c>
      <c r="K2175" t="s">
        <v>0</v>
      </c>
      <c r="L2175" t="s">
        <v>1167</v>
      </c>
      <c r="M2175" t="s">
        <v>1168</v>
      </c>
      <c r="N2175" t="s">
        <v>1169</v>
      </c>
      <c r="O2175" t="s">
        <v>1168</v>
      </c>
      <c r="P2175" t="s">
        <v>1283</v>
      </c>
    </row>
    <row r="2176" spans="1:16" x14ac:dyDescent="0.25">
      <c r="A2176" t="s">
        <v>4720</v>
      </c>
      <c r="B2176" t="s">
        <v>4593</v>
      </c>
      <c r="C2176" t="s">
        <v>1571</v>
      </c>
      <c r="D2176" t="s">
        <v>1027</v>
      </c>
      <c r="E2176">
        <v>63767</v>
      </c>
      <c r="G2176" t="b">
        <v>0</v>
      </c>
      <c r="H2176" t="b">
        <v>0</v>
      </c>
      <c r="I2176" t="s">
        <v>1050</v>
      </c>
      <c r="J2176">
        <v>80</v>
      </c>
      <c r="K2176" t="s">
        <v>0</v>
      </c>
      <c r="L2176" t="s">
        <v>1167</v>
      </c>
      <c r="M2176" t="s">
        <v>1168</v>
      </c>
      <c r="N2176" t="s">
        <v>1169</v>
      </c>
      <c r="O2176" t="s">
        <v>1168</v>
      </c>
      <c r="P2176" t="s">
        <v>1283</v>
      </c>
    </row>
    <row r="2177" spans="1:16" x14ac:dyDescent="0.25">
      <c r="A2177" t="s">
        <v>4721</v>
      </c>
      <c r="B2177" t="s">
        <v>4601</v>
      </c>
      <c r="C2177" t="s">
        <v>1571</v>
      </c>
      <c r="D2177" t="s">
        <v>1027</v>
      </c>
      <c r="E2177">
        <v>63767</v>
      </c>
      <c r="G2177" t="b">
        <v>0</v>
      </c>
      <c r="H2177" t="b">
        <v>0</v>
      </c>
      <c r="I2177" t="s">
        <v>1050</v>
      </c>
      <c r="J2177">
        <v>80</v>
      </c>
      <c r="K2177" t="s">
        <v>0</v>
      </c>
      <c r="L2177" t="s">
        <v>1167</v>
      </c>
      <c r="M2177" t="s">
        <v>1168</v>
      </c>
      <c r="N2177" t="s">
        <v>1169</v>
      </c>
      <c r="O2177" t="s">
        <v>1168</v>
      </c>
      <c r="P2177" t="s">
        <v>1283</v>
      </c>
    </row>
    <row r="2178" spans="1:16" x14ac:dyDescent="0.25">
      <c r="A2178" t="s">
        <v>4722</v>
      </c>
      <c r="B2178" t="s">
        <v>4593</v>
      </c>
      <c r="C2178" t="s">
        <v>1571</v>
      </c>
      <c r="D2178" t="s">
        <v>1027</v>
      </c>
      <c r="E2178">
        <v>63767</v>
      </c>
      <c r="G2178" t="b">
        <v>0</v>
      </c>
      <c r="H2178" t="b">
        <v>0</v>
      </c>
      <c r="I2178" t="s">
        <v>1050</v>
      </c>
      <c r="J2178">
        <v>80</v>
      </c>
      <c r="K2178" t="s">
        <v>0</v>
      </c>
      <c r="L2178" t="s">
        <v>1167</v>
      </c>
      <c r="M2178" t="s">
        <v>1168</v>
      </c>
      <c r="N2178" t="s">
        <v>1169</v>
      </c>
      <c r="O2178" t="s">
        <v>1168</v>
      </c>
      <c r="P2178" t="s">
        <v>1283</v>
      </c>
    </row>
    <row r="2179" spans="1:16" x14ac:dyDescent="0.25">
      <c r="A2179" t="s">
        <v>4723</v>
      </c>
      <c r="B2179" t="s">
        <v>4593</v>
      </c>
      <c r="C2179" t="s">
        <v>1571</v>
      </c>
      <c r="D2179" t="s">
        <v>1027</v>
      </c>
      <c r="E2179">
        <v>63767</v>
      </c>
      <c r="G2179" t="b">
        <v>0</v>
      </c>
      <c r="H2179" t="b">
        <v>0</v>
      </c>
      <c r="I2179" t="s">
        <v>1050</v>
      </c>
      <c r="J2179">
        <v>80</v>
      </c>
      <c r="K2179" t="s">
        <v>0</v>
      </c>
      <c r="L2179" t="s">
        <v>1167</v>
      </c>
      <c r="M2179" t="s">
        <v>1168</v>
      </c>
      <c r="N2179" t="s">
        <v>1169</v>
      </c>
      <c r="O2179" t="s">
        <v>1168</v>
      </c>
      <c r="P2179" t="s">
        <v>1283</v>
      </c>
    </row>
    <row r="2180" spans="1:16" x14ac:dyDescent="0.25">
      <c r="A2180" t="s">
        <v>4724</v>
      </c>
      <c r="B2180" t="s">
        <v>4725</v>
      </c>
      <c r="C2180" t="s">
        <v>1571</v>
      </c>
      <c r="D2180" t="s">
        <v>1027</v>
      </c>
      <c r="E2180">
        <v>63767</v>
      </c>
      <c r="G2180" t="b">
        <v>0</v>
      </c>
      <c r="H2180" t="b">
        <v>0</v>
      </c>
      <c r="I2180" t="s">
        <v>1050</v>
      </c>
      <c r="J2180">
        <v>80</v>
      </c>
      <c r="K2180" t="s">
        <v>0</v>
      </c>
      <c r="L2180" t="s">
        <v>1167</v>
      </c>
      <c r="M2180" t="s">
        <v>1168</v>
      </c>
      <c r="N2180" t="s">
        <v>1169</v>
      </c>
      <c r="O2180" t="s">
        <v>1168</v>
      </c>
      <c r="P2180" t="s">
        <v>1283</v>
      </c>
    </row>
    <row r="2181" spans="1:16" x14ac:dyDescent="0.25">
      <c r="A2181" t="s">
        <v>4726</v>
      </c>
      <c r="B2181" t="s">
        <v>4727</v>
      </c>
      <c r="C2181" t="s">
        <v>1571</v>
      </c>
      <c r="D2181" t="s">
        <v>1027</v>
      </c>
      <c r="E2181">
        <v>63767</v>
      </c>
      <c r="G2181" t="b">
        <v>0</v>
      </c>
      <c r="H2181" t="b">
        <v>0</v>
      </c>
      <c r="I2181" t="s">
        <v>1050</v>
      </c>
      <c r="J2181">
        <v>87</v>
      </c>
      <c r="K2181" t="s">
        <v>0</v>
      </c>
      <c r="L2181" t="s">
        <v>1167</v>
      </c>
      <c r="M2181" t="s">
        <v>1168</v>
      </c>
      <c r="N2181" t="s">
        <v>1169</v>
      </c>
      <c r="O2181" t="s">
        <v>1168</v>
      </c>
      <c r="P2181" t="s">
        <v>1283</v>
      </c>
    </row>
    <row r="2182" spans="1:16" x14ac:dyDescent="0.25">
      <c r="A2182" t="s">
        <v>4728</v>
      </c>
      <c r="B2182" t="s">
        <v>4729</v>
      </c>
      <c r="C2182" t="s">
        <v>1571</v>
      </c>
      <c r="D2182" t="s">
        <v>1027</v>
      </c>
      <c r="E2182">
        <v>63767</v>
      </c>
      <c r="G2182" t="b">
        <v>0</v>
      </c>
      <c r="H2182" t="b">
        <v>0</v>
      </c>
      <c r="I2182" t="s">
        <v>1050</v>
      </c>
      <c r="J2182">
        <v>87</v>
      </c>
      <c r="K2182" t="s">
        <v>0</v>
      </c>
      <c r="L2182" t="s">
        <v>1167</v>
      </c>
      <c r="M2182" t="s">
        <v>1168</v>
      </c>
      <c r="N2182" t="s">
        <v>1169</v>
      </c>
      <c r="O2182" t="s">
        <v>1168</v>
      </c>
      <c r="P2182" t="s">
        <v>1283</v>
      </c>
    </row>
    <row r="2183" spans="1:16" x14ac:dyDescent="0.25">
      <c r="A2183" t="s">
        <v>4730</v>
      </c>
      <c r="B2183" t="s">
        <v>4731</v>
      </c>
      <c r="C2183" t="s">
        <v>1571</v>
      </c>
      <c r="D2183" t="s">
        <v>1027</v>
      </c>
      <c r="E2183">
        <v>63767</v>
      </c>
      <c r="G2183" t="b">
        <v>0</v>
      </c>
      <c r="H2183" t="b">
        <v>0</v>
      </c>
      <c r="I2183" t="s">
        <v>1050</v>
      </c>
      <c r="J2183">
        <v>87</v>
      </c>
      <c r="K2183" t="s">
        <v>0</v>
      </c>
      <c r="L2183" t="s">
        <v>1167</v>
      </c>
      <c r="M2183" t="s">
        <v>1168</v>
      </c>
      <c r="N2183" t="s">
        <v>1169</v>
      </c>
      <c r="O2183" t="s">
        <v>1168</v>
      </c>
      <c r="P2183" t="s">
        <v>1283</v>
      </c>
    </row>
    <row r="2184" spans="1:16" x14ac:dyDescent="0.25">
      <c r="A2184" t="s">
        <v>4732</v>
      </c>
      <c r="B2184" t="s">
        <v>4731</v>
      </c>
      <c r="C2184" t="s">
        <v>1571</v>
      </c>
      <c r="D2184" t="s">
        <v>1027</v>
      </c>
      <c r="E2184">
        <v>63767</v>
      </c>
      <c r="G2184" t="b">
        <v>0</v>
      </c>
      <c r="H2184" t="b">
        <v>0</v>
      </c>
      <c r="I2184" t="s">
        <v>1050</v>
      </c>
      <c r="J2184">
        <v>87</v>
      </c>
      <c r="K2184" t="s">
        <v>0</v>
      </c>
      <c r="L2184" t="s">
        <v>1167</v>
      </c>
      <c r="M2184" t="s">
        <v>1168</v>
      </c>
      <c r="N2184" t="s">
        <v>1169</v>
      </c>
      <c r="O2184" t="s">
        <v>1168</v>
      </c>
      <c r="P2184" t="s">
        <v>1283</v>
      </c>
    </row>
    <row r="2185" spans="1:16" x14ac:dyDescent="0.25">
      <c r="A2185" t="s">
        <v>4733</v>
      </c>
      <c r="B2185" t="s">
        <v>4731</v>
      </c>
      <c r="C2185" t="s">
        <v>1571</v>
      </c>
      <c r="D2185" t="s">
        <v>1027</v>
      </c>
      <c r="E2185">
        <v>63767</v>
      </c>
      <c r="G2185" t="b">
        <v>0</v>
      </c>
      <c r="H2185" t="b">
        <v>0</v>
      </c>
      <c r="I2185" t="s">
        <v>1050</v>
      </c>
      <c r="J2185">
        <v>87</v>
      </c>
      <c r="K2185" t="s">
        <v>0</v>
      </c>
      <c r="L2185" t="s">
        <v>1167</v>
      </c>
      <c r="M2185" t="s">
        <v>1168</v>
      </c>
      <c r="N2185" t="s">
        <v>1169</v>
      </c>
      <c r="O2185" t="s">
        <v>1168</v>
      </c>
      <c r="P2185" t="s">
        <v>1283</v>
      </c>
    </row>
    <row r="2186" spans="1:16" x14ac:dyDescent="0.25">
      <c r="A2186" t="s">
        <v>4734</v>
      </c>
      <c r="B2186" t="s">
        <v>4731</v>
      </c>
      <c r="C2186" t="s">
        <v>1571</v>
      </c>
      <c r="D2186" t="s">
        <v>1027</v>
      </c>
      <c r="E2186">
        <v>63767</v>
      </c>
      <c r="G2186" t="b">
        <v>0</v>
      </c>
      <c r="H2186" t="b">
        <v>0</v>
      </c>
      <c r="I2186" t="s">
        <v>1050</v>
      </c>
      <c r="J2186">
        <v>87</v>
      </c>
      <c r="K2186" t="s">
        <v>0</v>
      </c>
      <c r="L2186" t="s">
        <v>1167</v>
      </c>
      <c r="M2186" t="s">
        <v>1168</v>
      </c>
      <c r="N2186" t="s">
        <v>1169</v>
      </c>
      <c r="O2186" t="s">
        <v>1168</v>
      </c>
      <c r="P2186" t="s">
        <v>1283</v>
      </c>
    </row>
    <row r="2187" spans="1:16" x14ac:dyDescent="0.25">
      <c r="A2187" t="s">
        <v>4735</v>
      </c>
      <c r="B2187" t="s">
        <v>4736</v>
      </c>
      <c r="C2187" t="s">
        <v>1571</v>
      </c>
      <c r="D2187" t="s">
        <v>1027</v>
      </c>
      <c r="E2187">
        <v>63767</v>
      </c>
      <c r="G2187" t="b">
        <v>0</v>
      </c>
      <c r="H2187" t="b">
        <v>0</v>
      </c>
      <c r="I2187" t="s">
        <v>1050</v>
      </c>
      <c r="J2187">
        <v>87</v>
      </c>
      <c r="K2187" t="s">
        <v>0</v>
      </c>
      <c r="L2187" t="s">
        <v>1167</v>
      </c>
      <c r="M2187" t="s">
        <v>1168</v>
      </c>
      <c r="N2187" t="s">
        <v>1169</v>
      </c>
      <c r="O2187" t="s">
        <v>1168</v>
      </c>
      <c r="P2187" t="s">
        <v>1283</v>
      </c>
    </row>
    <row r="2188" spans="1:16" x14ac:dyDescent="0.25">
      <c r="A2188" t="s">
        <v>4737</v>
      </c>
      <c r="B2188" t="s">
        <v>4731</v>
      </c>
      <c r="C2188" t="s">
        <v>1571</v>
      </c>
      <c r="D2188" t="s">
        <v>1027</v>
      </c>
      <c r="E2188">
        <v>63767</v>
      </c>
      <c r="G2188" t="b">
        <v>0</v>
      </c>
      <c r="H2188" t="b">
        <v>0</v>
      </c>
      <c r="I2188" t="s">
        <v>1050</v>
      </c>
      <c r="J2188">
        <v>87</v>
      </c>
      <c r="K2188" t="s">
        <v>0</v>
      </c>
      <c r="L2188" t="s">
        <v>1167</v>
      </c>
      <c r="M2188" t="s">
        <v>1168</v>
      </c>
      <c r="N2188" t="s">
        <v>1169</v>
      </c>
      <c r="O2188" t="s">
        <v>1168</v>
      </c>
      <c r="P2188" t="s">
        <v>1283</v>
      </c>
    </row>
    <row r="2189" spans="1:16" x14ac:dyDescent="0.25">
      <c r="A2189" t="s">
        <v>4738</v>
      </c>
      <c r="B2189" t="s">
        <v>4731</v>
      </c>
      <c r="C2189" t="s">
        <v>1571</v>
      </c>
      <c r="D2189" t="s">
        <v>1027</v>
      </c>
      <c r="E2189">
        <v>63767</v>
      </c>
      <c r="G2189" t="b">
        <v>0</v>
      </c>
      <c r="H2189" t="b">
        <v>0</v>
      </c>
      <c r="I2189" t="s">
        <v>1050</v>
      </c>
      <c r="J2189">
        <v>87</v>
      </c>
      <c r="K2189" t="s">
        <v>0</v>
      </c>
      <c r="L2189" t="s">
        <v>1167</v>
      </c>
      <c r="M2189" t="s">
        <v>1168</v>
      </c>
      <c r="N2189" t="s">
        <v>1169</v>
      </c>
      <c r="O2189" t="s">
        <v>1168</v>
      </c>
      <c r="P2189" t="s">
        <v>1283</v>
      </c>
    </row>
    <row r="2190" spans="1:16" x14ac:dyDescent="0.25">
      <c r="A2190" t="s">
        <v>4739</v>
      </c>
      <c r="B2190" t="s">
        <v>4731</v>
      </c>
      <c r="C2190" t="s">
        <v>1571</v>
      </c>
      <c r="D2190" t="s">
        <v>1027</v>
      </c>
      <c r="E2190">
        <v>63767</v>
      </c>
      <c r="G2190" t="b">
        <v>0</v>
      </c>
      <c r="H2190" t="b">
        <v>0</v>
      </c>
      <c r="I2190" t="s">
        <v>1050</v>
      </c>
      <c r="J2190">
        <v>87</v>
      </c>
      <c r="K2190" t="s">
        <v>0</v>
      </c>
      <c r="L2190" t="s">
        <v>1167</v>
      </c>
      <c r="M2190" t="s">
        <v>1168</v>
      </c>
      <c r="N2190" t="s">
        <v>1169</v>
      </c>
      <c r="O2190" t="s">
        <v>1168</v>
      </c>
      <c r="P2190" t="s">
        <v>1283</v>
      </c>
    </row>
    <row r="2191" spans="1:16" x14ac:dyDescent="0.25">
      <c r="A2191" t="s">
        <v>4740</v>
      </c>
      <c r="B2191" t="s">
        <v>4741</v>
      </c>
      <c r="C2191" t="s">
        <v>1571</v>
      </c>
      <c r="D2191" t="s">
        <v>1027</v>
      </c>
      <c r="E2191">
        <v>63767</v>
      </c>
      <c r="G2191" t="b">
        <v>0</v>
      </c>
      <c r="H2191" t="b">
        <v>0</v>
      </c>
      <c r="I2191" t="s">
        <v>1050</v>
      </c>
      <c r="J2191">
        <v>87</v>
      </c>
      <c r="K2191" t="s">
        <v>0</v>
      </c>
      <c r="L2191" t="s">
        <v>1167</v>
      </c>
      <c r="M2191" t="s">
        <v>1168</v>
      </c>
      <c r="N2191" t="s">
        <v>1169</v>
      </c>
      <c r="O2191" t="s">
        <v>1168</v>
      </c>
      <c r="P2191" t="s">
        <v>1283</v>
      </c>
    </row>
    <row r="2192" spans="1:16" x14ac:dyDescent="0.25">
      <c r="A2192" t="s">
        <v>4742</v>
      </c>
      <c r="B2192" t="s">
        <v>4729</v>
      </c>
      <c r="C2192" t="s">
        <v>1571</v>
      </c>
      <c r="D2192" t="s">
        <v>1027</v>
      </c>
      <c r="E2192">
        <v>63767</v>
      </c>
      <c r="G2192" t="b">
        <v>0</v>
      </c>
      <c r="H2192" t="b">
        <v>0</v>
      </c>
      <c r="I2192" t="s">
        <v>1050</v>
      </c>
      <c r="J2192">
        <v>87</v>
      </c>
      <c r="K2192" t="s">
        <v>0</v>
      </c>
      <c r="L2192" t="s">
        <v>1167</v>
      </c>
      <c r="M2192" t="s">
        <v>1168</v>
      </c>
      <c r="N2192" t="s">
        <v>1169</v>
      </c>
      <c r="O2192" t="s">
        <v>1168</v>
      </c>
      <c r="P2192" t="s">
        <v>1283</v>
      </c>
    </row>
    <row r="2193" spans="1:16" x14ac:dyDescent="0.25">
      <c r="A2193" t="s">
        <v>4743</v>
      </c>
      <c r="B2193" t="s">
        <v>4731</v>
      </c>
      <c r="C2193" t="s">
        <v>1571</v>
      </c>
      <c r="D2193" t="s">
        <v>1027</v>
      </c>
      <c r="E2193">
        <v>63767</v>
      </c>
      <c r="G2193" t="b">
        <v>0</v>
      </c>
      <c r="H2193" t="b">
        <v>0</v>
      </c>
      <c r="I2193" t="s">
        <v>1050</v>
      </c>
      <c r="J2193">
        <v>87</v>
      </c>
      <c r="K2193" t="s">
        <v>0</v>
      </c>
      <c r="L2193" t="s">
        <v>1167</v>
      </c>
      <c r="M2193" t="s">
        <v>1168</v>
      </c>
      <c r="N2193" t="s">
        <v>1169</v>
      </c>
      <c r="O2193" t="s">
        <v>1168</v>
      </c>
      <c r="P2193" t="s">
        <v>1283</v>
      </c>
    </row>
    <row r="2194" spans="1:16" x14ac:dyDescent="0.25">
      <c r="A2194" t="s">
        <v>4744</v>
      </c>
      <c r="B2194" t="s">
        <v>4745</v>
      </c>
      <c r="C2194" t="s">
        <v>1571</v>
      </c>
      <c r="D2194" t="s">
        <v>1027</v>
      </c>
      <c r="E2194">
        <v>63767</v>
      </c>
      <c r="G2194" t="b">
        <v>0</v>
      </c>
      <c r="H2194" t="b">
        <v>0</v>
      </c>
      <c r="I2194" t="s">
        <v>1050</v>
      </c>
      <c r="J2194">
        <v>87</v>
      </c>
      <c r="K2194" t="s">
        <v>0</v>
      </c>
      <c r="L2194" t="s">
        <v>1167</v>
      </c>
      <c r="M2194" t="s">
        <v>1168</v>
      </c>
      <c r="N2194" t="s">
        <v>1169</v>
      </c>
      <c r="O2194" t="s">
        <v>1168</v>
      </c>
      <c r="P2194" t="s">
        <v>1283</v>
      </c>
    </row>
    <row r="2195" spans="1:16" x14ac:dyDescent="0.25">
      <c r="A2195" t="s">
        <v>4746</v>
      </c>
      <c r="B2195" t="s">
        <v>4747</v>
      </c>
      <c r="C2195" t="s">
        <v>1571</v>
      </c>
      <c r="D2195" t="s">
        <v>1027</v>
      </c>
      <c r="E2195">
        <v>63767</v>
      </c>
      <c r="G2195" t="b">
        <v>0</v>
      </c>
      <c r="H2195" t="b">
        <v>0</v>
      </c>
      <c r="I2195" t="s">
        <v>1050</v>
      </c>
      <c r="J2195">
        <v>87</v>
      </c>
      <c r="K2195" t="s">
        <v>0</v>
      </c>
      <c r="L2195" t="s">
        <v>1167</v>
      </c>
      <c r="M2195" t="s">
        <v>1168</v>
      </c>
      <c r="N2195" t="s">
        <v>1169</v>
      </c>
      <c r="O2195" t="s">
        <v>1168</v>
      </c>
      <c r="P2195" t="s">
        <v>1283</v>
      </c>
    </row>
    <row r="2196" spans="1:16" x14ac:dyDescent="0.25">
      <c r="A2196" t="s">
        <v>4748</v>
      </c>
      <c r="B2196" t="s">
        <v>4749</v>
      </c>
      <c r="C2196" t="s">
        <v>1571</v>
      </c>
      <c r="D2196" t="s">
        <v>1027</v>
      </c>
      <c r="E2196">
        <v>63767</v>
      </c>
      <c r="G2196" t="b">
        <v>0</v>
      </c>
      <c r="H2196" t="b">
        <v>0</v>
      </c>
      <c r="I2196" t="s">
        <v>1050</v>
      </c>
      <c r="J2196">
        <v>87</v>
      </c>
      <c r="K2196" t="s">
        <v>0</v>
      </c>
      <c r="L2196" t="s">
        <v>1167</v>
      </c>
      <c r="M2196" t="s">
        <v>1168</v>
      </c>
      <c r="N2196" t="s">
        <v>1169</v>
      </c>
      <c r="O2196" t="s">
        <v>1168</v>
      </c>
      <c r="P2196" t="s">
        <v>1283</v>
      </c>
    </row>
    <row r="2197" spans="1:16" x14ac:dyDescent="0.25">
      <c r="A2197" t="s">
        <v>4750</v>
      </c>
      <c r="B2197" t="s">
        <v>4731</v>
      </c>
      <c r="C2197" t="s">
        <v>1571</v>
      </c>
      <c r="D2197" t="s">
        <v>1027</v>
      </c>
      <c r="E2197">
        <v>63767</v>
      </c>
      <c r="G2197" t="b">
        <v>0</v>
      </c>
      <c r="H2197" t="b">
        <v>0</v>
      </c>
      <c r="I2197" t="s">
        <v>1050</v>
      </c>
      <c r="J2197">
        <v>87</v>
      </c>
      <c r="K2197" t="s">
        <v>0</v>
      </c>
      <c r="L2197" t="s">
        <v>1167</v>
      </c>
      <c r="M2197" t="s">
        <v>1168</v>
      </c>
      <c r="N2197" t="s">
        <v>1169</v>
      </c>
      <c r="O2197" t="s">
        <v>1168</v>
      </c>
      <c r="P2197" t="s">
        <v>1283</v>
      </c>
    </row>
    <row r="2198" spans="1:16" x14ac:dyDescent="0.25">
      <c r="A2198" t="s">
        <v>4751</v>
      </c>
      <c r="B2198" t="s">
        <v>4731</v>
      </c>
      <c r="C2198" t="s">
        <v>1571</v>
      </c>
      <c r="D2198" t="s">
        <v>1027</v>
      </c>
      <c r="E2198">
        <v>63767</v>
      </c>
      <c r="G2198" t="b">
        <v>0</v>
      </c>
      <c r="H2198" t="b">
        <v>0</v>
      </c>
      <c r="I2198" t="s">
        <v>1050</v>
      </c>
      <c r="J2198">
        <v>87</v>
      </c>
      <c r="K2198" t="s">
        <v>0</v>
      </c>
      <c r="L2198" t="s">
        <v>1167</v>
      </c>
      <c r="M2198" t="s">
        <v>1168</v>
      </c>
      <c r="N2198" t="s">
        <v>1169</v>
      </c>
      <c r="O2198" t="s">
        <v>1168</v>
      </c>
      <c r="P2198" t="s">
        <v>1283</v>
      </c>
    </row>
    <row r="2199" spans="1:16" x14ac:dyDescent="0.25">
      <c r="A2199" t="s">
        <v>4752</v>
      </c>
      <c r="B2199" t="s">
        <v>4731</v>
      </c>
      <c r="C2199" t="s">
        <v>1571</v>
      </c>
      <c r="D2199" t="s">
        <v>1027</v>
      </c>
      <c r="E2199">
        <v>63767</v>
      </c>
      <c r="G2199" t="b">
        <v>0</v>
      </c>
      <c r="H2199" t="b">
        <v>0</v>
      </c>
      <c r="I2199" t="s">
        <v>1050</v>
      </c>
      <c r="J2199">
        <v>87</v>
      </c>
      <c r="K2199" t="s">
        <v>0</v>
      </c>
      <c r="L2199" t="s">
        <v>1167</v>
      </c>
      <c r="M2199" t="s">
        <v>1168</v>
      </c>
      <c r="N2199" t="s">
        <v>1169</v>
      </c>
      <c r="O2199" t="s">
        <v>1168</v>
      </c>
      <c r="P2199" t="s">
        <v>1283</v>
      </c>
    </row>
    <row r="2200" spans="1:16" x14ac:dyDescent="0.25">
      <c r="A2200" t="s">
        <v>4753</v>
      </c>
      <c r="B2200" t="s">
        <v>4729</v>
      </c>
      <c r="C2200" t="s">
        <v>1571</v>
      </c>
      <c r="D2200" t="s">
        <v>1027</v>
      </c>
      <c r="E2200">
        <v>63767</v>
      </c>
      <c r="G2200" t="b">
        <v>0</v>
      </c>
      <c r="H2200" t="b">
        <v>0</v>
      </c>
      <c r="I2200" t="s">
        <v>1050</v>
      </c>
      <c r="J2200">
        <v>87</v>
      </c>
      <c r="K2200" t="s">
        <v>0</v>
      </c>
      <c r="L2200" t="s">
        <v>1167</v>
      </c>
      <c r="M2200" t="s">
        <v>1168</v>
      </c>
      <c r="N2200" t="s">
        <v>1169</v>
      </c>
      <c r="O2200" t="s">
        <v>1168</v>
      </c>
      <c r="P2200" t="s">
        <v>1283</v>
      </c>
    </row>
    <row r="2201" spans="1:16" x14ac:dyDescent="0.25">
      <c r="A2201" t="s">
        <v>4754</v>
      </c>
      <c r="B2201" t="s">
        <v>4731</v>
      </c>
      <c r="C2201" t="s">
        <v>1571</v>
      </c>
      <c r="D2201" t="s">
        <v>1027</v>
      </c>
      <c r="E2201">
        <v>63767</v>
      </c>
      <c r="G2201" t="b">
        <v>0</v>
      </c>
      <c r="H2201" t="b">
        <v>0</v>
      </c>
      <c r="I2201" t="s">
        <v>1050</v>
      </c>
      <c r="J2201">
        <v>87</v>
      </c>
      <c r="K2201" t="s">
        <v>0</v>
      </c>
      <c r="L2201" t="s">
        <v>1167</v>
      </c>
      <c r="M2201" t="s">
        <v>1168</v>
      </c>
      <c r="N2201" t="s">
        <v>1169</v>
      </c>
      <c r="O2201" t="s">
        <v>1168</v>
      </c>
      <c r="P2201" t="s">
        <v>1283</v>
      </c>
    </row>
    <row r="2202" spans="1:16" x14ac:dyDescent="0.25">
      <c r="A2202" t="s">
        <v>4755</v>
      </c>
      <c r="B2202" t="s">
        <v>4731</v>
      </c>
      <c r="C2202" t="s">
        <v>1571</v>
      </c>
      <c r="D2202" t="s">
        <v>1027</v>
      </c>
      <c r="E2202">
        <v>63767</v>
      </c>
      <c r="G2202" t="b">
        <v>0</v>
      </c>
      <c r="H2202" t="b">
        <v>0</v>
      </c>
      <c r="I2202" t="s">
        <v>1050</v>
      </c>
      <c r="J2202">
        <v>87</v>
      </c>
      <c r="K2202" t="s">
        <v>0</v>
      </c>
      <c r="L2202" t="s">
        <v>1167</v>
      </c>
      <c r="M2202" t="s">
        <v>1168</v>
      </c>
      <c r="N2202" t="s">
        <v>1169</v>
      </c>
      <c r="O2202" t="s">
        <v>1168</v>
      </c>
      <c r="P2202" t="s">
        <v>1283</v>
      </c>
    </row>
    <row r="2203" spans="1:16" x14ac:dyDescent="0.25">
      <c r="A2203" t="s">
        <v>4756</v>
      </c>
      <c r="B2203" t="s">
        <v>4731</v>
      </c>
      <c r="C2203" t="s">
        <v>1571</v>
      </c>
      <c r="D2203" t="s">
        <v>1027</v>
      </c>
      <c r="E2203">
        <v>63767</v>
      </c>
      <c r="G2203" t="b">
        <v>0</v>
      </c>
      <c r="H2203" t="b">
        <v>0</v>
      </c>
      <c r="I2203" t="s">
        <v>1050</v>
      </c>
      <c r="J2203">
        <v>87</v>
      </c>
      <c r="K2203" t="s">
        <v>0</v>
      </c>
      <c r="L2203" t="s">
        <v>1167</v>
      </c>
      <c r="M2203" t="s">
        <v>1168</v>
      </c>
      <c r="N2203" t="s">
        <v>1169</v>
      </c>
      <c r="O2203" t="s">
        <v>1168</v>
      </c>
      <c r="P2203" t="s">
        <v>1283</v>
      </c>
    </row>
    <row r="2204" spans="1:16" x14ac:dyDescent="0.25">
      <c r="A2204" t="s">
        <v>4757</v>
      </c>
      <c r="B2204" t="s">
        <v>4731</v>
      </c>
      <c r="C2204" t="s">
        <v>1571</v>
      </c>
      <c r="D2204" t="s">
        <v>1027</v>
      </c>
      <c r="E2204">
        <v>63767</v>
      </c>
      <c r="G2204" t="b">
        <v>0</v>
      </c>
      <c r="H2204" t="b">
        <v>0</v>
      </c>
      <c r="I2204" t="s">
        <v>1050</v>
      </c>
      <c r="J2204">
        <v>87</v>
      </c>
      <c r="K2204" t="s">
        <v>0</v>
      </c>
      <c r="L2204" t="s">
        <v>1167</v>
      </c>
      <c r="M2204" t="s">
        <v>1168</v>
      </c>
      <c r="N2204" t="s">
        <v>1169</v>
      </c>
      <c r="O2204" t="s">
        <v>1168</v>
      </c>
      <c r="P2204" t="s">
        <v>1283</v>
      </c>
    </row>
    <row r="2205" spans="1:16" x14ac:dyDescent="0.25">
      <c r="A2205" t="s">
        <v>4758</v>
      </c>
      <c r="B2205" t="s">
        <v>4731</v>
      </c>
      <c r="C2205" t="s">
        <v>1571</v>
      </c>
      <c r="D2205" t="s">
        <v>1027</v>
      </c>
      <c r="E2205">
        <v>63767</v>
      </c>
      <c r="G2205" t="b">
        <v>0</v>
      </c>
      <c r="H2205" t="b">
        <v>0</v>
      </c>
      <c r="I2205" t="s">
        <v>1050</v>
      </c>
      <c r="J2205">
        <v>87</v>
      </c>
      <c r="K2205" t="s">
        <v>0</v>
      </c>
      <c r="L2205" t="s">
        <v>1167</v>
      </c>
      <c r="M2205" t="s">
        <v>1168</v>
      </c>
      <c r="N2205" t="s">
        <v>1169</v>
      </c>
      <c r="O2205" t="s">
        <v>1168</v>
      </c>
      <c r="P2205" t="s">
        <v>1283</v>
      </c>
    </row>
    <row r="2206" spans="1:16" x14ac:dyDescent="0.25">
      <c r="A2206" t="s">
        <v>4759</v>
      </c>
      <c r="B2206" t="s">
        <v>4731</v>
      </c>
      <c r="C2206" t="s">
        <v>1571</v>
      </c>
      <c r="D2206" t="s">
        <v>1027</v>
      </c>
      <c r="E2206">
        <v>63767</v>
      </c>
      <c r="G2206" t="b">
        <v>0</v>
      </c>
      <c r="H2206" t="b">
        <v>0</v>
      </c>
      <c r="I2206" t="s">
        <v>1050</v>
      </c>
      <c r="J2206">
        <v>87</v>
      </c>
      <c r="K2206" t="s">
        <v>0</v>
      </c>
      <c r="L2206" t="s">
        <v>1167</v>
      </c>
      <c r="M2206" t="s">
        <v>1168</v>
      </c>
      <c r="N2206" t="s">
        <v>1169</v>
      </c>
      <c r="O2206" t="s">
        <v>1168</v>
      </c>
      <c r="P2206" t="s">
        <v>1283</v>
      </c>
    </row>
    <row r="2207" spans="1:16" x14ac:dyDescent="0.25">
      <c r="A2207" t="s">
        <v>4760</v>
      </c>
      <c r="B2207" t="s">
        <v>4731</v>
      </c>
      <c r="C2207" t="s">
        <v>1571</v>
      </c>
      <c r="D2207" t="s">
        <v>1027</v>
      </c>
      <c r="E2207">
        <v>63767</v>
      </c>
      <c r="G2207" t="b">
        <v>0</v>
      </c>
      <c r="H2207" t="b">
        <v>0</v>
      </c>
      <c r="I2207" t="s">
        <v>1050</v>
      </c>
      <c r="J2207">
        <v>87</v>
      </c>
      <c r="K2207" t="s">
        <v>0</v>
      </c>
      <c r="L2207" t="s">
        <v>1167</v>
      </c>
      <c r="M2207" t="s">
        <v>1168</v>
      </c>
      <c r="N2207" t="s">
        <v>1169</v>
      </c>
      <c r="O2207" t="s">
        <v>1168</v>
      </c>
      <c r="P2207" t="s">
        <v>1283</v>
      </c>
    </row>
    <row r="2208" spans="1:16" x14ac:dyDescent="0.25">
      <c r="A2208" t="s">
        <v>4761</v>
      </c>
      <c r="B2208" t="s">
        <v>4731</v>
      </c>
      <c r="C2208" t="s">
        <v>1571</v>
      </c>
      <c r="D2208" t="s">
        <v>1027</v>
      </c>
      <c r="E2208">
        <v>63767</v>
      </c>
      <c r="G2208" t="b">
        <v>0</v>
      </c>
      <c r="H2208" t="b">
        <v>0</v>
      </c>
      <c r="I2208" t="s">
        <v>1050</v>
      </c>
      <c r="J2208">
        <v>87</v>
      </c>
      <c r="K2208" t="s">
        <v>0</v>
      </c>
      <c r="L2208" t="s">
        <v>1167</v>
      </c>
      <c r="M2208" t="s">
        <v>1168</v>
      </c>
      <c r="N2208" t="s">
        <v>1169</v>
      </c>
      <c r="O2208" t="s">
        <v>1168</v>
      </c>
      <c r="P2208" t="s">
        <v>1283</v>
      </c>
    </row>
    <row r="2209" spans="1:16" x14ac:dyDescent="0.25">
      <c r="A2209" t="s">
        <v>4762</v>
      </c>
      <c r="B2209" t="s">
        <v>4731</v>
      </c>
      <c r="C2209" t="s">
        <v>1571</v>
      </c>
      <c r="D2209" t="s">
        <v>1027</v>
      </c>
      <c r="E2209">
        <v>63767</v>
      </c>
      <c r="G2209" t="b">
        <v>0</v>
      </c>
      <c r="H2209" t="b">
        <v>0</v>
      </c>
      <c r="I2209" t="s">
        <v>1050</v>
      </c>
      <c r="J2209">
        <v>87</v>
      </c>
      <c r="K2209" t="s">
        <v>0</v>
      </c>
      <c r="L2209" t="s">
        <v>1167</v>
      </c>
      <c r="M2209" t="s">
        <v>1168</v>
      </c>
      <c r="N2209" t="s">
        <v>1169</v>
      </c>
      <c r="O2209" t="s">
        <v>1168</v>
      </c>
      <c r="P2209" t="s">
        <v>1283</v>
      </c>
    </row>
    <row r="2210" spans="1:16" x14ac:dyDescent="0.25">
      <c r="A2210" t="s">
        <v>4763</v>
      </c>
      <c r="B2210" t="s">
        <v>4729</v>
      </c>
      <c r="C2210" t="s">
        <v>1571</v>
      </c>
      <c r="D2210" t="s">
        <v>1027</v>
      </c>
      <c r="E2210">
        <v>63767</v>
      </c>
      <c r="G2210" t="b">
        <v>0</v>
      </c>
      <c r="H2210" t="b">
        <v>0</v>
      </c>
      <c r="I2210" t="s">
        <v>1050</v>
      </c>
      <c r="J2210">
        <v>87</v>
      </c>
      <c r="K2210" t="s">
        <v>0</v>
      </c>
      <c r="L2210" t="s">
        <v>1167</v>
      </c>
      <c r="M2210" t="s">
        <v>1168</v>
      </c>
      <c r="N2210" t="s">
        <v>1169</v>
      </c>
      <c r="O2210" t="s">
        <v>1168</v>
      </c>
      <c r="P2210" t="s">
        <v>1283</v>
      </c>
    </row>
    <row r="2211" spans="1:16" x14ac:dyDescent="0.25">
      <c r="A2211" t="s">
        <v>4764</v>
      </c>
      <c r="B2211" t="s">
        <v>4729</v>
      </c>
      <c r="C2211" t="s">
        <v>1571</v>
      </c>
      <c r="D2211" t="s">
        <v>1027</v>
      </c>
      <c r="E2211">
        <v>63767</v>
      </c>
      <c r="G2211" t="b">
        <v>0</v>
      </c>
      <c r="H2211" t="b">
        <v>0</v>
      </c>
      <c r="I2211" t="s">
        <v>1050</v>
      </c>
      <c r="J2211">
        <v>87</v>
      </c>
      <c r="K2211" t="s">
        <v>0</v>
      </c>
      <c r="L2211" t="s">
        <v>1167</v>
      </c>
      <c r="M2211" t="s">
        <v>1168</v>
      </c>
      <c r="N2211" t="s">
        <v>1169</v>
      </c>
      <c r="O2211" t="s">
        <v>1168</v>
      </c>
      <c r="P2211" t="s">
        <v>1283</v>
      </c>
    </row>
    <row r="2212" spans="1:16" x14ac:dyDescent="0.25">
      <c r="A2212" t="s">
        <v>4765</v>
      </c>
      <c r="B2212" t="s">
        <v>4729</v>
      </c>
      <c r="C2212" t="s">
        <v>1571</v>
      </c>
      <c r="D2212" t="s">
        <v>1027</v>
      </c>
      <c r="E2212">
        <v>63767</v>
      </c>
      <c r="G2212" t="b">
        <v>0</v>
      </c>
      <c r="H2212" t="b">
        <v>0</v>
      </c>
      <c r="I2212" t="s">
        <v>1050</v>
      </c>
      <c r="J2212">
        <v>87</v>
      </c>
      <c r="K2212" t="s">
        <v>0</v>
      </c>
      <c r="L2212" t="s">
        <v>1167</v>
      </c>
      <c r="M2212" t="s">
        <v>1168</v>
      </c>
      <c r="N2212" t="s">
        <v>1169</v>
      </c>
      <c r="O2212" t="s">
        <v>1168</v>
      </c>
      <c r="P2212" t="s">
        <v>1283</v>
      </c>
    </row>
    <row r="2213" spans="1:16" x14ac:dyDescent="0.25">
      <c r="A2213" t="s">
        <v>4766</v>
      </c>
      <c r="B2213" t="s">
        <v>4747</v>
      </c>
      <c r="C2213" t="s">
        <v>1571</v>
      </c>
      <c r="D2213" t="s">
        <v>1027</v>
      </c>
      <c r="E2213">
        <v>63767</v>
      </c>
      <c r="G2213" t="b">
        <v>0</v>
      </c>
      <c r="H2213" t="b">
        <v>0</v>
      </c>
      <c r="I2213" t="s">
        <v>1050</v>
      </c>
      <c r="J2213">
        <v>87</v>
      </c>
      <c r="K2213" t="s">
        <v>0</v>
      </c>
      <c r="L2213" t="s">
        <v>1167</v>
      </c>
      <c r="M2213" t="s">
        <v>1168</v>
      </c>
      <c r="N2213" t="s">
        <v>1169</v>
      </c>
      <c r="O2213" t="s">
        <v>1168</v>
      </c>
      <c r="P2213" t="s">
        <v>1283</v>
      </c>
    </row>
    <row r="2214" spans="1:16" x14ac:dyDescent="0.25">
      <c r="A2214" t="s">
        <v>4767</v>
      </c>
      <c r="B2214" t="s">
        <v>4731</v>
      </c>
      <c r="C2214" t="s">
        <v>1571</v>
      </c>
      <c r="D2214" t="s">
        <v>1027</v>
      </c>
      <c r="E2214">
        <v>63767</v>
      </c>
      <c r="G2214" t="b">
        <v>0</v>
      </c>
      <c r="H2214" t="b">
        <v>0</v>
      </c>
      <c r="I2214" t="s">
        <v>1050</v>
      </c>
      <c r="J2214">
        <v>87</v>
      </c>
      <c r="K2214" t="s">
        <v>0</v>
      </c>
      <c r="L2214" t="s">
        <v>1167</v>
      </c>
      <c r="M2214" t="s">
        <v>1168</v>
      </c>
      <c r="N2214" t="s">
        <v>1169</v>
      </c>
      <c r="O2214" t="s">
        <v>1168</v>
      </c>
      <c r="P2214" t="s">
        <v>1283</v>
      </c>
    </row>
    <row r="2215" spans="1:16" x14ac:dyDescent="0.25">
      <c r="A2215" t="s">
        <v>4768</v>
      </c>
      <c r="B2215" t="s">
        <v>4731</v>
      </c>
      <c r="C2215" t="s">
        <v>1571</v>
      </c>
      <c r="D2215" t="s">
        <v>1027</v>
      </c>
      <c r="E2215">
        <v>63767</v>
      </c>
      <c r="G2215" t="b">
        <v>0</v>
      </c>
      <c r="H2215" t="b">
        <v>0</v>
      </c>
      <c r="I2215" t="s">
        <v>1050</v>
      </c>
      <c r="J2215">
        <v>87</v>
      </c>
      <c r="K2215" t="s">
        <v>0</v>
      </c>
      <c r="L2215" t="s">
        <v>1167</v>
      </c>
      <c r="M2215" t="s">
        <v>1168</v>
      </c>
      <c r="N2215" t="s">
        <v>1169</v>
      </c>
      <c r="O2215" t="s">
        <v>1168</v>
      </c>
      <c r="P2215" t="s">
        <v>1283</v>
      </c>
    </row>
    <row r="2216" spans="1:16" x14ac:dyDescent="0.25">
      <c r="A2216" t="s">
        <v>4769</v>
      </c>
      <c r="B2216" t="s">
        <v>4731</v>
      </c>
      <c r="C2216" t="s">
        <v>1571</v>
      </c>
      <c r="D2216" t="s">
        <v>1027</v>
      </c>
      <c r="E2216">
        <v>63767</v>
      </c>
      <c r="G2216" t="b">
        <v>0</v>
      </c>
      <c r="H2216" t="b">
        <v>0</v>
      </c>
      <c r="I2216" t="s">
        <v>1050</v>
      </c>
      <c r="J2216">
        <v>87</v>
      </c>
      <c r="K2216" t="s">
        <v>0</v>
      </c>
      <c r="L2216" t="s">
        <v>1167</v>
      </c>
      <c r="M2216" t="s">
        <v>1168</v>
      </c>
      <c r="N2216" t="s">
        <v>1169</v>
      </c>
      <c r="O2216" t="s">
        <v>1168</v>
      </c>
      <c r="P2216" t="s">
        <v>1283</v>
      </c>
    </row>
    <row r="2217" spans="1:16" x14ac:dyDescent="0.25">
      <c r="A2217" t="s">
        <v>4770</v>
      </c>
      <c r="B2217" t="s">
        <v>4731</v>
      </c>
      <c r="C2217" t="s">
        <v>1571</v>
      </c>
      <c r="D2217" t="s">
        <v>1027</v>
      </c>
      <c r="E2217">
        <v>63767</v>
      </c>
      <c r="G2217" t="b">
        <v>0</v>
      </c>
      <c r="H2217" t="b">
        <v>0</v>
      </c>
      <c r="I2217" t="s">
        <v>1050</v>
      </c>
      <c r="J2217">
        <v>87</v>
      </c>
      <c r="K2217" t="s">
        <v>0</v>
      </c>
      <c r="L2217" t="s">
        <v>1167</v>
      </c>
      <c r="M2217" t="s">
        <v>1168</v>
      </c>
      <c r="N2217" t="s">
        <v>1169</v>
      </c>
      <c r="O2217" t="s">
        <v>1168</v>
      </c>
      <c r="P2217" t="s">
        <v>1283</v>
      </c>
    </row>
    <row r="2218" spans="1:16" x14ac:dyDescent="0.25">
      <c r="A2218" t="s">
        <v>4771</v>
      </c>
      <c r="B2218" t="s">
        <v>4731</v>
      </c>
      <c r="C2218" t="s">
        <v>1571</v>
      </c>
      <c r="D2218" t="s">
        <v>1027</v>
      </c>
      <c r="E2218">
        <v>63767</v>
      </c>
      <c r="G2218" t="b">
        <v>0</v>
      </c>
      <c r="H2218" t="b">
        <v>0</v>
      </c>
      <c r="I2218" t="s">
        <v>1050</v>
      </c>
      <c r="J2218">
        <v>87</v>
      </c>
      <c r="K2218" t="s">
        <v>0</v>
      </c>
      <c r="L2218" t="s">
        <v>1167</v>
      </c>
      <c r="M2218" t="s">
        <v>1168</v>
      </c>
      <c r="N2218" t="s">
        <v>1169</v>
      </c>
      <c r="O2218" t="s">
        <v>1168</v>
      </c>
      <c r="P2218" t="s">
        <v>1283</v>
      </c>
    </row>
    <row r="2219" spans="1:16" x14ac:dyDescent="0.25">
      <c r="A2219" t="s">
        <v>4772</v>
      </c>
      <c r="B2219" t="s">
        <v>4749</v>
      </c>
      <c r="C2219" t="s">
        <v>1571</v>
      </c>
      <c r="D2219" t="s">
        <v>1027</v>
      </c>
      <c r="E2219">
        <v>63767</v>
      </c>
      <c r="G2219" t="b">
        <v>0</v>
      </c>
      <c r="H2219" t="b">
        <v>0</v>
      </c>
      <c r="I2219" t="s">
        <v>1050</v>
      </c>
      <c r="J2219">
        <v>87</v>
      </c>
      <c r="K2219" t="s">
        <v>0</v>
      </c>
      <c r="L2219" t="s">
        <v>1167</v>
      </c>
      <c r="M2219" t="s">
        <v>1168</v>
      </c>
      <c r="N2219" t="s">
        <v>1169</v>
      </c>
      <c r="O2219" t="s">
        <v>1168</v>
      </c>
      <c r="P2219" t="s">
        <v>1283</v>
      </c>
    </row>
    <row r="2220" spans="1:16" x14ac:dyDescent="0.25">
      <c r="A2220" t="s">
        <v>4773</v>
      </c>
      <c r="B2220" t="s">
        <v>4731</v>
      </c>
      <c r="C2220" t="s">
        <v>1571</v>
      </c>
      <c r="D2220" t="s">
        <v>1027</v>
      </c>
      <c r="E2220">
        <v>63767</v>
      </c>
      <c r="G2220" t="b">
        <v>0</v>
      </c>
      <c r="H2220" t="b">
        <v>0</v>
      </c>
      <c r="I2220" t="s">
        <v>1050</v>
      </c>
      <c r="J2220">
        <v>87</v>
      </c>
      <c r="K2220" t="s">
        <v>0</v>
      </c>
      <c r="L2220" t="s">
        <v>1167</v>
      </c>
      <c r="M2220" t="s">
        <v>1168</v>
      </c>
      <c r="N2220" t="s">
        <v>1169</v>
      </c>
      <c r="O2220" t="s">
        <v>1168</v>
      </c>
      <c r="P2220" t="s">
        <v>1283</v>
      </c>
    </row>
    <row r="2221" spans="1:16" x14ac:dyDescent="0.25">
      <c r="A2221" t="s">
        <v>4774</v>
      </c>
      <c r="B2221" t="s">
        <v>4731</v>
      </c>
      <c r="C2221" t="s">
        <v>1571</v>
      </c>
      <c r="D2221" t="s">
        <v>1027</v>
      </c>
      <c r="E2221">
        <v>63767</v>
      </c>
      <c r="G2221" t="b">
        <v>0</v>
      </c>
      <c r="H2221" t="b">
        <v>0</v>
      </c>
      <c r="I2221" t="s">
        <v>1050</v>
      </c>
      <c r="J2221">
        <v>87</v>
      </c>
      <c r="K2221" t="s">
        <v>0</v>
      </c>
      <c r="L2221" t="s">
        <v>1167</v>
      </c>
      <c r="M2221" t="s">
        <v>1168</v>
      </c>
      <c r="N2221" t="s">
        <v>1169</v>
      </c>
      <c r="O2221" t="s">
        <v>1168</v>
      </c>
      <c r="P2221" t="s">
        <v>1283</v>
      </c>
    </row>
    <row r="2222" spans="1:16" x14ac:dyDescent="0.25">
      <c r="A2222" t="s">
        <v>4775</v>
      </c>
      <c r="B2222" t="s">
        <v>4727</v>
      </c>
      <c r="C2222" t="s">
        <v>1571</v>
      </c>
      <c r="D2222" t="s">
        <v>1027</v>
      </c>
      <c r="E2222">
        <v>63767</v>
      </c>
      <c r="G2222" t="b">
        <v>0</v>
      </c>
      <c r="H2222" t="b">
        <v>0</v>
      </c>
      <c r="I2222" t="s">
        <v>1050</v>
      </c>
      <c r="J2222">
        <v>87</v>
      </c>
      <c r="K2222" t="s">
        <v>0</v>
      </c>
      <c r="L2222" t="s">
        <v>1167</v>
      </c>
      <c r="M2222" t="s">
        <v>1168</v>
      </c>
      <c r="N2222" t="s">
        <v>1169</v>
      </c>
      <c r="O2222" t="s">
        <v>1168</v>
      </c>
      <c r="P2222" t="s">
        <v>1283</v>
      </c>
    </row>
    <row r="2223" spans="1:16" x14ac:dyDescent="0.25">
      <c r="A2223" t="s">
        <v>4776</v>
      </c>
      <c r="B2223" t="s">
        <v>4729</v>
      </c>
      <c r="C2223" t="s">
        <v>1571</v>
      </c>
      <c r="D2223" t="s">
        <v>1027</v>
      </c>
      <c r="E2223">
        <v>63767</v>
      </c>
      <c r="G2223" t="b">
        <v>0</v>
      </c>
      <c r="H2223" t="b">
        <v>0</v>
      </c>
      <c r="I2223" t="s">
        <v>1050</v>
      </c>
      <c r="J2223">
        <v>87</v>
      </c>
      <c r="K2223" t="s">
        <v>0</v>
      </c>
      <c r="L2223" t="s">
        <v>1167</v>
      </c>
      <c r="M2223" t="s">
        <v>1168</v>
      </c>
      <c r="N2223" t="s">
        <v>1169</v>
      </c>
      <c r="O2223" t="s">
        <v>1168</v>
      </c>
      <c r="P2223" t="s">
        <v>1283</v>
      </c>
    </row>
    <row r="2224" spans="1:16" x14ac:dyDescent="0.25">
      <c r="A2224" t="s">
        <v>4777</v>
      </c>
      <c r="B2224" t="s">
        <v>4778</v>
      </c>
      <c r="C2224" t="s">
        <v>1571</v>
      </c>
      <c r="D2224" t="s">
        <v>1027</v>
      </c>
      <c r="E2224">
        <v>63767</v>
      </c>
      <c r="G2224" t="b">
        <v>0</v>
      </c>
      <c r="H2224" t="b">
        <v>0</v>
      </c>
      <c r="I2224" t="s">
        <v>1050</v>
      </c>
      <c r="J2224">
        <v>80</v>
      </c>
      <c r="K2224" t="s">
        <v>0</v>
      </c>
      <c r="L2224" t="s">
        <v>1167</v>
      </c>
      <c r="M2224" t="s">
        <v>1168</v>
      </c>
      <c r="N2224" t="s">
        <v>1169</v>
      </c>
      <c r="O2224" t="s">
        <v>1168</v>
      </c>
      <c r="P2224" t="s">
        <v>1283</v>
      </c>
    </row>
    <row r="2225" spans="1:16" x14ac:dyDescent="0.25">
      <c r="A2225" t="s">
        <v>4779</v>
      </c>
      <c r="B2225" t="s">
        <v>4780</v>
      </c>
      <c r="C2225" t="s">
        <v>1571</v>
      </c>
      <c r="D2225" t="s">
        <v>1027</v>
      </c>
      <c r="E2225">
        <v>63767</v>
      </c>
      <c r="G2225" t="b">
        <v>0</v>
      </c>
      <c r="H2225" t="b">
        <v>0</v>
      </c>
      <c r="I2225" t="s">
        <v>1050</v>
      </c>
      <c r="J2225">
        <v>80</v>
      </c>
      <c r="K2225" t="s">
        <v>0</v>
      </c>
      <c r="L2225" t="s">
        <v>1167</v>
      </c>
      <c r="M2225" t="s">
        <v>1168</v>
      </c>
      <c r="N2225" t="s">
        <v>1169</v>
      </c>
      <c r="O2225" t="s">
        <v>1168</v>
      </c>
      <c r="P2225" t="s">
        <v>1283</v>
      </c>
    </row>
    <row r="2226" spans="1:16" x14ac:dyDescent="0.25">
      <c r="A2226" t="s">
        <v>4781</v>
      </c>
      <c r="B2226" t="s">
        <v>4782</v>
      </c>
      <c r="C2226" t="s">
        <v>1571</v>
      </c>
      <c r="D2226" t="s">
        <v>1027</v>
      </c>
      <c r="E2226">
        <v>63767</v>
      </c>
      <c r="G2226" t="b">
        <v>0</v>
      </c>
      <c r="H2226" t="b">
        <v>0</v>
      </c>
      <c r="I2226" t="s">
        <v>1050</v>
      </c>
      <c r="J2226">
        <v>80</v>
      </c>
      <c r="K2226" t="s">
        <v>0</v>
      </c>
      <c r="L2226" t="s">
        <v>1167</v>
      </c>
      <c r="M2226" t="s">
        <v>1168</v>
      </c>
      <c r="N2226" t="s">
        <v>1169</v>
      </c>
      <c r="O2226" t="s">
        <v>1168</v>
      </c>
      <c r="P2226" t="s">
        <v>1283</v>
      </c>
    </row>
    <row r="2227" spans="1:16" x14ac:dyDescent="0.25">
      <c r="A2227" t="s">
        <v>4783</v>
      </c>
      <c r="B2227" t="s">
        <v>4780</v>
      </c>
      <c r="C2227" t="s">
        <v>1571</v>
      </c>
      <c r="D2227" t="s">
        <v>1027</v>
      </c>
      <c r="E2227">
        <v>63767</v>
      </c>
      <c r="G2227" t="b">
        <v>0</v>
      </c>
      <c r="H2227" t="b">
        <v>0</v>
      </c>
      <c r="I2227" t="s">
        <v>1050</v>
      </c>
      <c r="J2227">
        <v>80</v>
      </c>
      <c r="K2227" t="s">
        <v>0</v>
      </c>
      <c r="L2227" t="s">
        <v>1167</v>
      </c>
      <c r="M2227" t="s">
        <v>1168</v>
      </c>
      <c r="N2227" t="s">
        <v>1169</v>
      </c>
      <c r="O2227" t="s">
        <v>1168</v>
      </c>
      <c r="P2227" t="s">
        <v>1283</v>
      </c>
    </row>
    <row r="2228" spans="1:16" x14ac:dyDescent="0.25">
      <c r="A2228" t="s">
        <v>4784</v>
      </c>
      <c r="B2228" t="s">
        <v>4785</v>
      </c>
      <c r="C2228" t="s">
        <v>1571</v>
      </c>
      <c r="D2228" t="s">
        <v>1027</v>
      </c>
      <c r="E2228">
        <v>63767</v>
      </c>
      <c r="G2228" t="b">
        <v>0</v>
      </c>
      <c r="H2228" t="b">
        <v>0</v>
      </c>
      <c r="I2228" t="s">
        <v>1050</v>
      </c>
      <c r="J2228">
        <v>80</v>
      </c>
      <c r="K2228" t="s">
        <v>0</v>
      </c>
      <c r="L2228" t="s">
        <v>1167</v>
      </c>
      <c r="M2228" t="s">
        <v>1168</v>
      </c>
      <c r="N2228" t="s">
        <v>1169</v>
      </c>
      <c r="O2228" t="s">
        <v>1168</v>
      </c>
      <c r="P2228" t="s">
        <v>1283</v>
      </c>
    </row>
    <row r="2229" spans="1:16" x14ac:dyDescent="0.25">
      <c r="A2229" t="s">
        <v>4786</v>
      </c>
      <c r="B2229" t="s">
        <v>4787</v>
      </c>
      <c r="C2229" t="s">
        <v>1571</v>
      </c>
      <c r="D2229" t="s">
        <v>1027</v>
      </c>
      <c r="E2229">
        <v>63767</v>
      </c>
      <c r="G2229" t="b">
        <v>0</v>
      </c>
      <c r="H2229" t="b">
        <v>0</v>
      </c>
      <c r="I2229" t="s">
        <v>1050</v>
      </c>
      <c r="J2229">
        <v>80</v>
      </c>
      <c r="K2229" t="s">
        <v>0</v>
      </c>
      <c r="L2229" t="s">
        <v>1167</v>
      </c>
      <c r="M2229" t="s">
        <v>1168</v>
      </c>
      <c r="N2229" t="s">
        <v>1169</v>
      </c>
      <c r="O2229" t="s">
        <v>1168</v>
      </c>
      <c r="P2229" t="s">
        <v>1283</v>
      </c>
    </row>
    <row r="2230" spans="1:16" x14ac:dyDescent="0.25">
      <c r="A2230" t="s">
        <v>4788</v>
      </c>
      <c r="B2230" t="s">
        <v>4787</v>
      </c>
      <c r="C2230" t="s">
        <v>1571</v>
      </c>
      <c r="D2230" t="s">
        <v>1027</v>
      </c>
      <c r="E2230">
        <v>63767</v>
      </c>
      <c r="G2230" t="b">
        <v>0</v>
      </c>
      <c r="H2230" t="b">
        <v>0</v>
      </c>
      <c r="I2230" t="s">
        <v>1050</v>
      </c>
      <c r="J2230">
        <v>80</v>
      </c>
      <c r="K2230" t="s">
        <v>0</v>
      </c>
      <c r="L2230" t="s">
        <v>1167</v>
      </c>
      <c r="M2230" t="s">
        <v>1168</v>
      </c>
      <c r="N2230" t="s">
        <v>1169</v>
      </c>
      <c r="O2230" t="s">
        <v>1168</v>
      </c>
      <c r="P2230" t="s">
        <v>1283</v>
      </c>
    </row>
    <row r="2231" spans="1:16" x14ac:dyDescent="0.25">
      <c r="A2231" t="s">
        <v>4789</v>
      </c>
      <c r="B2231" t="s">
        <v>4787</v>
      </c>
      <c r="C2231" t="s">
        <v>1571</v>
      </c>
      <c r="D2231" t="s">
        <v>1027</v>
      </c>
      <c r="E2231">
        <v>63767</v>
      </c>
      <c r="G2231" t="b">
        <v>0</v>
      </c>
      <c r="H2231" t="b">
        <v>0</v>
      </c>
      <c r="I2231" t="s">
        <v>1050</v>
      </c>
      <c r="J2231">
        <v>80</v>
      </c>
      <c r="K2231" t="s">
        <v>0</v>
      </c>
      <c r="L2231" t="s">
        <v>1167</v>
      </c>
      <c r="M2231" t="s">
        <v>1168</v>
      </c>
      <c r="N2231" t="s">
        <v>1169</v>
      </c>
      <c r="O2231" t="s">
        <v>1168</v>
      </c>
      <c r="P2231" t="s">
        <v>1283</v>
      </c>
    </row>
    <row r="2232" spans="1:16" x14ac:dyDescent="0.25">
      <c r="A2232" t="s">
        <v>4790</v>
      </c>
      <c r="B2232" t="s">
        <v>4791</v>
      </c>
      <c r="C2232" t="s">
        <v>1571</v>
      </c>
      <c r="D2232" t="s">
        <v>1027</v>
      </c>
      <c r="E2232">
        <v>63767</v>
      </c>
      <c r="G2232" t="b">
        <v>0</v>
      </c>
      <c r="H2232" t="b">
        <v>0</v>
      </c>
      <c r="I2232" t="s">
        <v>1050</v>
      </c>
      <c r="J2232">
        <v>80</v>
      </c>
      <c r="K2232" t="s">
        <v>0</v>
      </c>
      <c r="L2232" t="s">
        <v>1167</v>
      </c>
      <c r="M2232" t="s">
        <v>1168</v>
      </c>
      <c r="N2232" t="s">
        <v>1169</v>
      </c>
      <c r="O2232" t="s">
        <v>1168</v>
      </c>
      <c r="P2232" t="s">
        <v>1283</v>
      </c>
    </row>
    <row r="2233" spans="1:16" x14ac:dyDescent="0.25">
      <c r="A2233" t="s">
        <v>4792</v>
      </c>
      <c r="B2233" t="s">
        <v>4793</v>
      </c>
      <c r="C2233" t="s">
        <v>1233</v>
      </c>
      <c r="D2233" t="s">
        <v>1027</v>
      </c>
      <c r="E2233">
        <v>63762</v>
      </c>
      <c r="F2233" t="s">
        <v>1234</v>
      </c>
      <c r="G2233" t="b">
        <v>0</v>
      </c>
      <c r="H2233" t="b">
        <v>0</v>
      </c>
      <c r="I2233" t="s">
        <v>1050</v>
      </c>
      <c r="J2233">
        <v>80</v>
      </c>
      <c r="K2233" t="s">
        <v>0</v>
      </c>
      <c r="L2233" t="s">
        <v>1167</v>
      </c>
      <c r="M2233" t="s">
        <v>1168</v>
      </c>
      <c r="N2233" t="s">
        <v>1169</v>
      </c>
      <c r="O2233" t="s">
        <v>1168</v>
      </c>
      <c r="P2233" t="s">
        <v>1235</v>
      </c>
    </row>
    <row r="2234" spans="1:16" x14ac:dyDescent="0.25">
      <c r="A2234" t="s">
        <v>4794</v>
      </c>
      <c r="B2234" t="s">
        <v>4795</v>
      </c>
      <c r="C2234" t="s">
        <v>2026</v>
      </c>
      <c r="D2234" t="s">
        <v>1027</v>
      </c>
      <c r="E2234">
        <v>1336</v>
      </c>
      <c r="F2234" t="s">
        <v>2027</v>
      </c>
      <c r="G2234" t="b">
        <v>0</v>
      </c>
      <c r="H2234" t="b">
        <v>0</v>
      </c>
      <c r="I2234" t="s">
        <v>1050</v>
      </c>
      <c r="J2234">
        <v>80</v>
      </c>
      <c r="K2234" t="s">
        <v>0</v>
      </c>
      <c r="L2234" t="s">
        <v>1167</v>
      </c>
      <c r="M2234" t="s">
        <v>1168</v>
      </c>
      <c r="N2234" t="s">
        <v>1169</v>
      </c>
      <c r="O2234" t="s">
        <v>1168</v>
      </c>
      <c r="P2234" t="s">
        <v>2028</v>
      </c>
    </row>
    <row r="2235" spans="1:16" x14ac:dyDescent="0.25">
      <c r="A2235" t="s">
        <v>4796</v>
      </c>
      <c r="B2235" t="s">
        <v>4797</v>
      </c>
      <c r="C2235" t="s">
        <v>2026</v>
      </c>
      <c r="D2235" t="s">
        <v>1027</v>
      </c>
      <c r="E2235">
        <v>1336</v>
      </c>
      <c r="F2235" t="s">
        <v>2027</v>
      </c>
      <c r="G2235" t="b">
        <v>0</v>
      </c>
      <c r="H2235" t="b">
        <v>0</v>
      </c>
      <c r="I2235" t="s">
        <v>1050</v>
      </c>
      <c r="J2235">
        <v>80</v>
      </c>
      <c r="K2235" t="s">
        <v>0</v>
      </c>
      <c r="L2235" t="s">
        <v>1167</v>
      </c>
      <c r="M2235" t="s">
        <v>1168</v>
      </c>
      <c r="N2235" t="s">
        <v>1169</v>
      </c>
      <c r="O2235" t="s">
        <v>1168</v>
      </c>
      <c r="P2235" t="s">
        <v>2028</v>
      </c>
    </row>
    <row r="2236" spans="1:16" x14ac:dyDescent="0.25">
      <c r="A2236" t="s">
        <v>4798</v>
      </c>
      <c r="B2236" t="s">
        <v>4799</v>
      </c>
      <c r="C2236" t="s">
        <v>1233</v>
      </c>
      <c r="D2236" t="s">
        <v>1027</v>
      </c>
      <c r="E2236">
        <v>63762</v>
      </c>
      <c r="F2236" t="s">
        <v>1234</v>
      </c>
      <c r="G2236" t="b">
        <v>0</v>
      </c>
      <c r="H2236" t="b">
        <v>0</v>
      </c>
      <c r="I2236" t="s">
        <v>1050</v>
      </c>
      <c r="J2236">
        <v>80</v>
      </c>
      <c r="K2236" t="s">
        <v>0</v>
      </c>
      <c r="L2236" t="s">
        <v>1167</v>
      </c>
      <c r="M2236" t="s">
        <v>1168</v>
      </c>
      <c r="N2236" t="s">
        <v>1169</v>
      </c>
      <c r="O2236" t="s">
        <v>1168</v>
      </c>
      <c r="P2236" t="s">
        <v>1235</v>
      </c>
    </row>
    <row r="2237" spans="1:16" x14ac:dyDescent="0.25">
      <c r="A2237" t="s">
        <v>4800</v>
      </c>
      <c r="B2237" t="s">
        <v>4801</v>
      </c>
      <c r="C2237" t="s">
        <v>2026</v>
      </c>
      <c r="D2237" t="s">
        <v>1027</v>
      </c>
      <c r="E2237">
        <v>1336</v>
      </c>
      <c r="F2237" t="s">
        <v>2027</v>
      </c>
      <c r="G2237" t="b">
        <v>0</v>
      </c>
      <c r="H2237" t="b">
        <v>0</v>
      </c>
      <c r="I2237" t="s">
        <v>1050</v>
      </c>
      <c r="J2237">
        <v>80</v>
      </c>
      <c r="K2237" t="s">
        <v>0</v>
      </c>
      <c r="L2237" t="s">
        <v>1167</v>
      </c>
      <c r="M2237" t="s">
        <v>1168</v>
      </c>
      <c r="N2237" t="s">
        <v>1169</v>
      </c>
      <c r="O2237" t="s">
        <v>1168</v>
      </c>
      <c r="P2237" t="s">
        <v>2028</v>
      </c>
    </row>
    <row r="2238" spans="1:16" x14ac:dyDescent="0.25">
      <c r="A2238" t="s">
        <v>4802</v>
      </c>
      <c r="B2238" t="s">
        <v>4803</v>
      </c>
      <c r="C2238" t="s">
        <v>2026</v>
      </c>
      <c r="D2238" t="s">
        <v>1027</v>
      </c>
      <c r="E2238">
        <v>1336</v>
      </c>
      <c r="F2238" t="s">
        <v>2027</v>
      </c>
      <c r="G2238" t="b">
        <v>0</v>
      </c>
      <c r="H2238" t="b">
        <v>0</v>
      </c>
      <c r="I2238" t="s">
        <v>1050</v>
      </c>
      <c r="J2238">
        <v>80</v>
      </c>
      <c r="K2238" t="s">
        <v>0</v>
      </c>
      <c r="L2238" t="s">
        <v>1167</v>
      </c>
      <c r="M2238" t="s">
        <v>1168</v>
      </c>
      <c r="N2238" t="s">
        <v>1169</v>
      </c>
      <c r="O2238" t="s">
        <v>1168</v>
      </c>
      <c r="P2238" t="s">
        <v>2028</v>
      </c>
    </row>
    <row r="2239" spans="1:16" x14ac:dyDescent="0.25">
      <c r="A2239" t="s">
        <v>4804</v>
      </c>
      <c r="B2239" t="s">
        <v>4805</v>
      </c>
      <c r="C2239" t="s">
        <v>1571</v>
      </c>
      <c r="D2239" t="s">
        <v>1027</v>
      </c>
      <c r="E2239">
        <v>63767</v>
      </c>
      <c r="G2239" t="b">
        <v>0</v>
      </c>
      <c r="H2239" t="b">
        <v>0</v>
      </c>
      <c r="I2239" t="s">
        <v>1050</v>
      </c>
      <c r="J2239">
        <v>80</v>
      </c>
      <c r="K2239" t="s">
        <v>0</v>
      </c>
      <c r="L2239" t="s">
        <v>1167</v>
      </c>
      <c r="M2239" t="s">
        <v>1168</v>
      </c>
      <c r="N2239" t="s">
        <v>1169</v>
      </c>
      <c r="O2239" t="s">
        <v>1168</v>
      </c>
      <c r="P2239" t="s">
        <v>1283</v>
      </c>
    </row>
    <row r="2240" spans="1:16" x14ac:dyDescent="0.25">
      <c r="A2240" t="s">
        <v>4806</v>
      </c>
      <c r="B2240" t="s">
        <v>4807</v>
      </c>
      <c r="C2240" t="s">
        <v>1165</v>
      </c>
      <c r="D2240" t="s">
        <v>1027</v>
      </c>
      <c r="E2240">
        <v>63774</v>
      </c>
      <c r="F2240" t="s">
        <v>1166</v>
      </c>
      <c r="G2240" t="b">
        <v>0</v>
      </c>
      <c r="H2240" t="b">
        <v>0</v>
      </c>
      <c r="I2240" t="s">
        <v>1050</v>
      </c>
      <c r="J2240">
        <v>28</v>
      </c>
      <c r="K2240" t="s">
        <v>1</v>
      </c>
      <c r="L2240" t="s">
        <v>1167</v>
      </c>
      <c r="M2240" t="s">
        <v>1168</v>
      </c>
      <c r="N2240" t="s">
        <v>1169</v>
      </c>
      <c r="O2240" t="s">
        <v>1168</v>
      </c>
      <c r="P2240" t="s">
        <v>1170</v>
      </c>
    </row>
    <row r="2241" spans="1:16" x14ac:dyDescent="0.25">
      <c r="A2241" t="s">
        <v>4808</v>
      </c>
      <c r="B2241" t="s">
        <v>4809</v>
      </c>
      <c r="C2241" t="s">
        <v>1165</v>
      </c>
      <c r="D2241" t="s">
        <v>1027</v>
      </c>
      <c r="E2241">
        <v>63774</v>
      </c>
      <c r="F2241" t="s">
        <v>1166</v>
      </c>
      <c r="G2241" t="b">
        <v>0</v>
      </c>
      <c r="H2241" t="b">
        <v>0</v>
      </c>
      <c r="I2241" t="s">
        <v>1050</v>
      </c>
      <c r="J2241">
        <v>28</v>
      </c>
      <c r="K2241" t="s">
        <v>1</v>
      </c>
      <c r="L2241" t="s">
        <v>1167</v>
      </c>
      <c r="M2241" t="s">
        <v>1168</v>
      </c>
      <c r="N2241" t="s">
        <v>1169</v>
      </c>
      <c r="O2241" t="s">
        <v>1168</v>
      </c>
      <c r="P2241" t="s">
        <v>1170</v>
      </c>
    </row>
    <row r="2242" spans="1:16" x14ac:dyDescent="0.25">
      <c r="A2242" t="s">
        <v>4810</v>
      </c>
      <c r="B2242" t="s">
        <v>4807</v>
      </c>
      <c r="C2242" t="s">
        <v>1165</v>
      </c>
      <c r="D2242" t="s">
        <v>1027</v>
      </c>
      <c r="E2242">
        <v>63774</v>
      </c>
      <c r="F2242" t="s">
        <v>1166</v>
      </c>
      <c r="G2242" t="b">
        <v>0</v>
      </c>
      <c r="H2242" t="b">
        <v>0</v>
      </c>
      <c r="I2242" t="s">
        <v>1050</v>
      </c>
      <c r="J2242">
        <v>28</v>
      </c>
      <c r="K2242" t="s">
        <v>1</v>
      </c>
      <c r="L2242" t="s">
        <v>1167</v>
      </c>
      <c r="M2242" t="s">
        <v>1168</v>
      </c>
      <c r="N2242" t="s">
        <v>1169</v>
      </c>
      <c r="O2242" t="s">
        <v>1168</v>
      </c>
      <c r="P2242" t="s">
        <v>1170</v>
      </c>
    </row>
    <row r="2243" spans="1:16" x14ac:dyDescent="0.25">
      <c r="A2243" t="s">
        <v>4811</v>
      </c>
      <c r="B2243" t="s">
        <v>4812</v>
      </c>
      <c r="C2243" t="s">
        <v>1571</v>
      </c>
      <c r="D2243" t="s">
        <v>1027</v>
      </c>
      <c r="E2243">
        <v>63767</v>
      </c>
      <c r="G2243" t="b">
        <v>0</v>
      </c>
      <c r="H2243" t="b">
        <v>0</v>
      </c>
      <c r="I2243" t="s">
        <v>1050</v>
      </c>
      <c r="J2243">
        <v>80</v>
      </c>
      <c r="K2243" t="s">
        <v>0</v>
      </c>
      <c r="L2243" t="s">
        <v>1167</v>
      </c>
      <c r="M2243" t="s">
        <v>1168</v>
      </c>
      <c r="N2243" t="s">
        <v>1169</v>
      </c>
      <c r="O2243" t="s">
        <v>1168</v>
      </c>
      <c r="P2243" t="s">
        <v>1283</v>
      </c>
    </row>
    <row r="2244" spans="1:16" x14ac:dyDescent="0.25">
      <c r="A2244" t="s">
        <v>4813</v>
      </c>
      <c r="B2244" t="s">
        <v>4814</v>
      </c>
      <c r="C2244" t="s">
        <v>1571</v>
      </c>
      <c r="D2244" t="s">
        <v>1027</v>
      </c>
      <c r="E2244">
        <v>63767</v>
      </c>
      <c r="G2244" t="b">
        <v>0</v>
      </c>
      <c r="H2244" t="b">
        <v>0</v>
      </c>
      <c r="I2244" t="s">
        <v>1050</v>
      </c>
      <c r="J2244">
        <v>80</v>
      </c>
      <c r="K2244" t="s">
        <v>0</v>
      </c>
      <c r="L2244" t="s">
        <v>1167</v>
      </c>
      <c r="M2244" t="s">
        <v>1168</v>
      </c>
      <c r="N2244" t="s">
        <v>1169</v>
      </c>
      <c r="O2244" t="s">
        <v>1168</v>
      </c>
      <c r="P2244" t="s">
        <v>1283</v>
      </c>
    </row>
    <row r="2245" spans="1:16" x14ac:dyDescent="0.25">
      <c r="A2245" t="s">
        <v>4815</v>
      </c>
      <c r="B2245" t="s">
        <v>4816</v>
      </c>
      <c r="C2245" t="s">
        <v>1571</v>
      </c>
      <c r="D2245" t="s">
        <v>1027</v>
      </c>
      <c r="E2245">
        <v>63767</v>
      </c>
      <c r="G2245" t="b">
        <v>0</v>
      </c>
      <c r="H2245" t="b">
        <v>0</v>
      </c>
      <c r="I2245" t="s">
        <v>1050</v>
      </c>
      <c r="J2245">
        <v>80</v>
      </c>
      <c r="K2245" t="s">
        <v>0</v>
      </c>
      <c r="L2245" t="s">
        <v>1167</v>
      </c>
      <c r="M2245" t="s">
        <v>1168</v>
      </c>
      <c r="N2245" t="s">
        <v>1169</v>
      </c>
      <c r="O2245" t="s">
        <v>1168</v>
      </c>
      <c r="P2245" t="s">
        <v>1283</v>
      </c>
    </row>
    <row r="2246" spans="1:16" x14ac:dyDescent="0.25">
      <c r="A2246" t="s">
        <v>4817</v>
      </c>
      <c r="B2246" t="s">
        <v>4818</v>
      </c>
      <c r="C2246" t="s">
        <v>1571</v>
      </c>
      <c r="D2246" t="s">
        <v>1027</v>
      </c>
      <c r="E2246">
        <v>63767</v>
      </c>
      <c r="G2246" t="b">
        <v>0</v>
      </c>
      <c r="H2246" t="b">
        <v>0</v>
      </c>
      <c r="I2246" t="s">
        <v>1050</v>
      </c>
      <c r="J2246">
        <v>80</v>
      </c>
      <c r="K2246" t="s">
        <v>0</v>
      </c>
      <c r="L2246" t="s">
        <v>1167</v>
      </c>
      <c r="M2246" t="s">
        <v>1168</v>
      </c>
      <c r="N2246" t="s">
        <v>1169</v>
      </c>
      <c r="O2246" t="s">
        <v>1168</v>
      </c>
      <c r="P2246" t="s">
        <v>1283</v>
      </c>
    </row>
    <row r="2247" spans="1:16" x14ac:dyDescent="0.25">
      <c r="A2247" t="s">
        <v>4819</v>
      </c>
      <c r="B2247" t="s">
        <v>4820</v>
      </c>
      <c r="C2247" t="s">
        <v>1571</v>
      </c>
      <c r="D2247" t="s">
        <v>1027</v>
      </c>
      <c r="E2247">
        <v>63767</v>
      </c>
      <c r="G2247" t="b">
        <v>0</v>
      </c>
      <c r="H2247" t="b">
        <v>0</v>
      </c>
      <c r="I2247" t="s">
        <v>1050</v>
      </c>
      <c r="J2247">
        <v>80</v>
      </c>
      <c r="K2247" t="s">
        <v>0</v>
      </c>
      <c r="L2247" t="s">
        <v>1167</v>
      </c>
      <c r="M2247" t="s">
        <v>1168</v>
      </c>
      <c r="N2247" t="s">
        <v>1169</v>
      </c>
      <c r="O2247" t="s">
        <v>1168</v>
      </c>
      <c r="P2247" t="s">
        <v>1283</v>
      </c>
    </row>
    <row r="2248" spans="1:16" x14ac:dyDescent="0.25">
      <c r="A2248" t="s">
        <v>4821</v>
      </c>
      <c r="B2248" t="s">
        <v>4822</v>
      </c>
      <c r="C2248" t="s">
        <v>1217</v>
      </c>
      <c r="D2248" t="s">
        <v>1027</v>
      </c>
      <c r="E2248">
        <v>1450</v>
      </c>
      <c r="F2248" t="s">
        <v>1218</v>
      </c>
      <c r="G2248" t="b">
        <v>0</v>
      </c>
      <c r="H2248" t="b">
        <v>0</v>
      </c>
      <c r="I2248" t="s">
        <v>1050</v>
      </c>
      <c r="J2248">
        <v>81</v>
      </c>
      <c r="K2248" t="s">
        <v>0</v>
      </c>
      <c r="L2248" t="s">
        <v>1167</v>
      </c>
      <c r="M2248" t="s">
        <v>1168</v>
      </c>
      <c r="N2248" t="s">
        <v>1169</v>
      </c>
      <c r="O2248" t="s">
        <v>1168</v>
      </c>
      <c r="P2248" t="s">
        <v>1219</v>
      </c>
    </row>
    <row r="2249" spans="1:16" x14ac:dyDescent="0.25">
      <c r="A2249" t="s">
        <v>4823</v>
      </c>
      <c r="B2249" t="s">
        <v>4824</v>
      </c>
      <c r="C2249" t="s">
        <v>1217</v>
      </c>
      <c r="D2249" t="s">
        <v>1027</v>
      </c>
      <c r="E2249">
        <v>1450</v>
      </c>
      <c r="F2249" t="s">
        <v>1218</v>
      </c>
      <c r="G2249" t="b">
        <v>0</v>
      </c>
      <c r="H2249" t="b">
        <v>0</v>
      </c>
      <c r="I2249" t="s">
        <v>1050</v>
      </c>
      <c r="J2249">
        <v>81</v>
      </c>
      <c r="K2249" t="s">
        <v>0</v>
      </c>
      <c r="L2249" t="s">
        <v>1167</v>
      </c>
      <c r="M2249" t="s">
        <v>1168</v>
      </c>
      <c r="N2249" t="s">
        <v>1169</v>
      </c>
      <c r="O2249" t="s">
        <v>1168</v>
      </c>
      <c r="P2249" t="s">
        <v>1219</v>
      </c>
    </row>
    <row r="2250" spans="1:16" x14ac:dyDescent="0.25">
      <c r="A2250" t="s">
        <v>4825</v>
      </c>
      <c r="B2250" t="s">
        <v>4826</v>
      </c>
      <c r="C2250" t="s">
        <v>1217</v>
      </c>
      <c r="D2250" t="s">
        <v>1027</v>
      </c>
      <c r="E2250">
        <v>1450</v>
      </c>
      <c r="F2250" t="s">
        <v>1218</v>
      </c>
      <c r="G2250" t="b">
        <v>0</v>
      </c>
      <c r="H2250" t="b">
        <v>0</v>
      </c>
      <c r="I2250" t="s">
        <v>1050</v>
      </c>
      <c r="J2250">
        <v>81</v>
      </c>
      <c r="K2250" t="s">
        <v>0</v>
      </c>
      <c r="L2250" t="s">
        <v>1167</v>
      </c>
      <c r="M2250" t="s">
        <v>1168</v>
      </c>
      <c r="N2250" t="s">
        <v>1169</v>
      </c>
      <c r="O2250" t="s">
        <v>1168</v>
      </c>
      <c r="P2250" t="s">
        <v>1219</v>
      </c>
    </row>
    <row r="2251" spans="1:16" x14ac:dyDescent="0.25">
      <c r="A2251" t="s">
        <v>4827</v>
      </c>
      <c r="B2251" t="s">
        <v>4828</v>
      </c>
      <c r="C2251" t="s">
        <v>1165</v>
      </c>
      <c r="D2251" t="s">
        <v>1027</v>
      </c>
      <c r="E2251">
        <v>63774</v>
      </c>
      <c r="F2251" t="s">
        <v>1166</v>
      </c>
      <c r="G2251" t="b">
        <v>0</v>
      </c>
      <c r="H2251" t="b">
        <v>0</v>
      </c>
      <c r="I2251" t="s">
        <v>1050</v>
      </c>
      <c r="J2251">
        <v>30</v>
      </c>
      <c r="K2251" t="s">
        <v>1</v>
      </c>
      <c r="L2251" t="s">
        <v>1167</v>
      </c>
      <c r="M2251" t="s">
        <v>1168</v>
      </c>
      <c r="N2251" t="s">
        <v>1169</v>
      </c>
      <c r="O2251" t="s">
        <v>1168</v>
      </c>
      <c r="P2251" t="s">
        <v>1170</v>
      </c>
    </row>
    <row r="2252" spans="1:16" x14ac:dyDescent="0.25">
      <c r="A2252" t="s">
        <v>4829</v>
      </c>
      <c r="B2252" t="s">
        <v>4828</v>
      </c>
      <c r="C2252" t="s">
        <v>1165</v>
      </c>
      <c r="D2252" t="s">
        <v>1027</v>
      </c>
      <c r="E2252">
        <v>63774</v>
      </c>
      <c r="F2252" t="s">
        <v>1166</v>
      </c>
      <c r="G2252" t="b">
        <v>0</v>
      </c>
      <c r="H2252" t="b">
        <v>0</v>
      </c>
      <c r="I2252" t="s">
        <v>1050</v>
      </c>
      <c r="J2252">
        <v>30</v>
      </c>
      <c r="K2252" t="s">
        <v>1</v>
      </c>
      <c r="L2252" t="s">
        <v>1167</v>
      </c>
      <c r="M2252" t="s">
        <v>1168</v>
      </c>
      <c r="N2252" t="s">
        <v>1169</v>
      </c>
      <c r="O2252" t="s">
        <v>1168</v>
      </c>
      <c r="P2252" t="s">
        <v>1170</v>
      </c>
    </row>
    <row r="2253" spans="1:16" x14ac:dyDescent="0.25">
      <c r="A2253" t="s">
        <v>4830</v>
      </c>
      <c r="B2253" t="s">
        <v>4831</v>
      </c>
      <c r="C2253" t="s">
        <v>1165</v>
      </c>
      <c r="D2253" t="s">
        <v>1027</v>
      </c>
      <c r="E2253">
        <v>63774</v>
      </c>
      <c r="F2253" t="s">
        <v>1166</v>
      </c>
      <c r="G2253" t="b">
        <v>0</v>
      </c>
      <c r="H2253" t="b">
        <v>0</v>
      </c>
      <c r="I2253" t="s">
        <v>1050</v>
      </c>
      <c r="J2253">
        <v>30</v>
      </c>
      <c r="K2253" t="s">
        <v>1</v>
      </c>
      <c r="L2253" t="s">
        <v>1167</v>
      </c>
      <c r="M2253" t="s">
        <v>1168</v>
      </c>
      <c r="N2253" t="s">
        <v>1169</v>
      </c>
      <c r="O2253" t="s">
        <v>1168</v>
      </c>
      <c r="P2253" t="s">
        <v>1170</v>
      </c>
    </row>
    <row r="2254" spans="1:16" x14ac:dyDescent="0.25">
      <c r="A2254" t="s">
        <v>4832</v>
      </c>
      <c r="B2254" t="s">
        <v>4831</v>
      </c>
      <c r="C2254" t="s">
        <v>1165</v>
      </c>
      <c r="D2254" t="s">
        <v>1027</v>
      </c>
      <c r="E2254">
        <v>63774</v>
      </c>
      <c r="F2254" t="s">
        <v>1166</v>
      </c>
      <c r="G2254" t="b">
        <v>0</v>
      </c>
      <c r="H2254" t="b">
        <v>0</v>
      </c>
      <c r="I2254" t="s">
        <v>1050</v>
      </c>
      <c r="J2254">
        <v>30</v>
      </c>
      <c r="K2254" t="s">
        <v>1</v>
      </c>
      <c r="L2254" t="s">
        <v>1167</v>
      </c>
      <c r="M2254" t="s">
        <v>1168</v>
      </c>
      <c r="N2254" t="s">
        <v>1169</v>
      </c>
      <c r="O2254" t="s">
        <v>1168</v>
      </c>
      <c r="P2254" t="s">
        <v>1170</v>
      </c>
    </row>
    <row r="2255" spans="1:16" x14ac:dyDescent="0.25">
      <c r="A2255" t="s">
        <v>4833</v>
      </c>
      <c r="B2255" t="s">
        <v>4834</v>
      </c>
      <c r="C2255" t="s">
        <v>1228</v>
      </c>
      <c r="D2255" t="s">
        <v>1027</v>
      </c>
      <c r="E2255">
        <v>1660</v>
      </c>
      <c r="F2255" t="s">
        <v>1229</v>
      </c>
      <c r="G2255" t="b">
        <v>0</v>
      </c>
      <c r="H2255" t="b">
        <v>0</v>
      </c>
      <c r="I2255" t="s">
        <v>1050</v>
      </c>
      <c r="J2255">
        <v>80</v>
      </c>
      <c r="K2255" t="s">
        <v>2</v>
      </c>
      <c r="L2255" t="s">
        <v>1167</v>
      </c>
      <c r="M2255" t="s">
        <v>1168</v>
      </c>
      <c r="N2255" t="s">
        <v>1169</v>
      </c>
      <c r="O2255" t="s">
        <v>1168</v>
      </c>
      <c r="P2255" t="s">
        <v>1230</v>
      </c>
    </row>
    <row r="2256" spans="1:16" x14ac:dyDescent="0.25">
      <c r="A2256" t="s">
        <v>4835</v>
      </c>
      <c r="B2256" t="s">
        <v>4836</v>
      </c>
      <c r="C2256" t="s">
        <v>1217</v>
      </c>
      <c r="D2256" t="s">
        <v>1027</v>
      </c>
      <c r="E2256">
        <v>1450</v>
      </c>
      <c r="F2256" t="s">
        <v>1218</v>
      </c>
      <c r="G2256" t="b">
        <v>0</v>
      </c>
      <c r="H2256" t="b">
        <v>0</v>
      </c>
      <c r="I2256" t="s">
        <v>1050</v>
      </c>
      <c r="J2256">
        <v>87</v>
      </c>
      <c r="K2256" t="s">
        <v>0</v>
      </c>
      <c r="L2256" t="s">
        <v>1167</v>
      </c>
      <c r="M2256" t="s">
        <v>1168</v>
      </c>
      <c r="N2256" t="s">
        <v>1169</v>
      </c>
      <c r="O2256" t="s">
        <v>1168</v>
      </c>
      <c r="P2256" t="s">
        <v>1219</v>
      </c>
    </row>
    <row r="2257" spans="1:16" x14ac:dyDescent="0.25">
      <c r="A2257" t="s">
        <v>4837</v>
      </c>
      <c r="B2257" t="s">
        <v>4838</v>
      </c>
      <c r="C2257" t="s">
        <v>4839</v>
      </c>
      <c r="D2257" t="s">
        <v>1027</v>
      </c>
      <c r="E2257">
        <v>1654</v>
      </c>
      <c r="F2257" t="s">
        <v>4840</v>
      </c>
      <c r="G2257" t="b">
        <v>0</v>
      </c>
      <c r="H2257" t="b">
        <v>0</v>
      </c>
      <c r="I2257" t="s">
        <v>1050</v>
      </c>
      <c r="J2257">
        <v>92</v>
      </c>
      <c r="K2257" t="s">
        <v>0</v>
      </c>
      <c r="L2257" t="s">
        <v>1175</v>
      </c>
      <c r="M2257" t="s">
        <v>1175</v>
      </c>
      <c r="N2257" t="s">
        <v>1176</v>
      </c>
      <c r="O2257" t="s">
        <v>1176</v>
      </c>
      <c r="P2257" t="s">
        <v>1283</v>
      </c>
    </row>
    <row r="2258" spans="1:16" x14ac:dyDescent="0.25">
      <c r="A2258" t="s">
        <v>4841</v>
      </c>
      <c r="B2258" t="s">
        <v>4838</v>
      </c>
      <c r="C2258" t="s">
        <v>4839</v>
      </c>
      <c r="D2258" t="s">
        <v>1027</v>
      </c>
      <c r="E2258">
        <v>1654</v>
      </c>
      <c r="F2258" t="s">
        <v>4840</v>
      </c>
      <c r="G2258" t="b">
        <v>0</v>
      </c>
      <c r="H2258" t="b">
        <v>0</v>
      </c>
      <c r="I2258" t="s">
        <v>1050</v>
      </c>
      <c r="J2258">
        <v>92</v>
      </c>
      <c r="K2258" t="s">
        <v>0</v>
      </c>
      <c r="L2258" t="s">
        <v>1175</v>
      </c>
      <c r="M2258" t="s">
        <v>1175</v>
      </c>
      <c r="N2258" t="s">
        <v>1176</v>
      </c>
      <c r="O2258" t="s">
        <v>1176</v>
      </c>
      <c r="P2258" t="s">
        <v>1283</v>
      </c>
    </row>
    <row r="2259" spans="1:16" x14ac:dyDescent="0.25">
      <c r="A2259" t="s">
        <v>4842</v>
      </c>
      <c r="B2259" t="s">
        <v>4843</v>
      </c>
      <c r="C2259" t="s">
        <v>1233</v>
      </c>
      <c r="D2259" t="s">
        <v>1027</v>
      </c>
      <c r="E2259">
        <v>63762</v>
      </c>
      <c r="F2259" t="s">
        <v>1234</v>
      </c>
      <c r="G2259" t="b">
        <v>0</v>
      </c>
      <c r="H2259" t="b">
        <v>0</v>
      </c>
      <c r="I2259" t="s">
        <v>1050</v>
      </c>
      <c r="J2259">
        <v>91</v>
      </c>
      <c r="K2259" t="s">
        <v>0</v>
      </c>
      <c r="L2259" t="s">
        <v>1167</v>
      </c>
      <c r="M2259" t="s">
        <v>1168</v>
      </c>
      <c r="N2259" t="s">
        <v>1169</v>
      </c>
      <c r="O2259" t="s">
        <v>1168</v>
      </c>
      <c r="P2259" t="s">
        <v>1235</v>
      </c>
    </row>
    <row r="2260" spans="1:16" x14ac:dyDescent="0.25">
      <c r="A2260" t="s">
        <v>4844</v>
      </c>
      <c r="B2260" t="s">
        <v>4845</v>
      </c>
      <c r="C2260" t="s">
        <v>1233</v>
      </c>
      <c r="D2260" t="s">
        <v>1027</v>
      </c>
      <c r="E2260">
        <v>63762</v>
      </c>
      <c r="F2260" t="s">
        <v>1234</v>
      </c>
      <c r="G2260" t="b">
        <v>0</v>
      </c>
      <c r="H2260" t="b">
        <v>0</v>
      </c>
      <c r="I2260" t="s">
        <v>1050</v>
      </c>
      <c r="J2260">
        <v>88</v>
      </c>
      <c r="K2260" t="s">
        <v>0</v>
      </c>
      <c r="L2260" t="s">
        <v>1167</v>
      </c>
      <c r="M2260" t="s">
        <v>1168</v>
      </c>
      <c r="N2260" t="s">
        <v>1169</v>
      </c>
      <c r="O2260" t="s">
        <v>1168</v>
      </c>
      <c r="P2260" t="s">
        <v>1235</v>
      </c>
    </row>
    <row r="2261" spans="1:16" x14ac:dyDescent="0.25">
      <c r="A2261" t="s">
        <v>4846</v>
      </c>
      <c r="B2261" t="s">
        <v>4847</v>
      </c>
      <c r="C2261" t="s">
        <v>1233</v>
      </c>
      <c r="D2261" t="s">
        <v>1027</v>
      </c>
      <c r="E2261">
        <v>63762</v>
      </c>
      <c r="F2261" t="s">
        <v>1234</v>
      </c>
      <c r="G2261" t="b">
        <v>0</v>
      </c>
      <c r="H2261" t="b">
        <v>0</v>
      </c>
      <c r="I2261" t="s">
        <v>1050</v>
      </c>
      <c r="J2261">
        <v>88</v>
      </c>
      <c r="K2261" t="s">
        <v>0</v>
      </c>
      <c r="L2261" t="s">
        <v>1167</v>
      </c>
      <c r="M2261" t="s">
        <v>1168</v>
      </c>
      <c r="N2261" t="s">
        <v>1169</v>
      </c>
      <c r="O2261" t="s">
        <v>1168</v>
      </c>
      <c r="P2261" t="s">
        <v>1235</v>
      </c>
    </row>
    <row r="2262" spans="1:16" x14ac:dyDescent="0.25">
      <c r="A2262" t="s">
        <v>4848</v>
      </c>
      <c r="B2262" t="s">
        <v>4849</v>
      </c>
      <c r="C2262" t="s">
        <v>1571</v>
      </c>
      <c r="D2262" t="s">
        <v>1027</v>
      </c>
      <c r="E2262">
        <v>63767</v>
      </c>
      <c r="G2262" t="b">
        <v>0</v>
      </c>
      <c r="H2262" t="b">
        <v>0</v>
      </c>
      <c r="I2262" t="s">
        <v>1050</v>
      </c>
      <c r="J2262">
        <v>80</v>
      </c>
      <c r="K2262" t="s">
        <v>0</v>
      </c>
      <c r="L2262" t="s">
        <v>1167</v>
      </c>
      <c r="M2262" t="s">
        <v>1168</v>
      </c>
      <c r="N2262" t="s">
        <v>1169</v>
      </c>
      <c r="O2262" t="s">
        <v>1168</v>
      </c>
      <c r="P2262" t="s">
        <v>1283</v>
      </c>
    </row>
    <row r="2263" spans="1:16" x14ac:dyDescent="0.25">
      <c r="A2263" t="s">
        <v>4850</v>
      </c>
      <c r="B2263" t="s">
        <v>4851</v>
      </c>
      <c r="C2263" t="s">
        <v>1571</v>
      </c>
      <c r="D2263" t="s">
        <v>1027</v>
      </c>
      <c r="E2263">
        <v>63767</v>
      </c>
      <c r="G2263" t="b">
        <v>0</v>
      </c>
      <c r="H2263" t="b">
        <v>0</v>
      </c>
      <c r="I2263" t="s">
        <v>1050</v>
      </c>
      <c r="J2263">
        <v>80</v>
      </c>
      <c r="K2263" t="s">
        <v>0</v>
      </c>
      <c r="L2263" t="s">
        <v>1167</v>
      </c>
      <c r="M2263" t="s">
        <v>1168</v>
      </c>
      <c r="N2263" t="s">
        <v>1169</v>
      </c>
      <c r="O2263" t="s">
        <v>1168</v>
      </c>
      <c r="P2263" t="s">
        <v>1283</v>
      </c>
    </row>
    <row r="2264" spans="1:16" x14ac:dyDescent="0.25">
      <c r="A2264" t="s">
        <v>4852</v>
      </c>
      <c r="B2264" t="s">
        <v>4853</v>
      </c>
      <c r="C2264" t="s">
        <v>1571</v>
      </c>
      <c r="D2264" t="s">
        <v>1027</v>
      </c>
      <c r="E2264">
        <v>63767</v>
      </c>
      <c r="G2264" t="b">
        <v>0</v>
      </c>
      <c r="H2264" t="b">
        <v>0</v>
      </c>
      <c r="I2264" t="s">
        <v>1050</v>
      </c>
      <c r="J2264">
        <v>80</v>
      </c>
      <c r="K2264" t="s">
        <v>0</v>
      </c>
      <c r="L2264" t="s">
        <v>1167</v>
      </c>
      <c r="M2264" t="s">
        <v>1168</v>
      </c>
      <c r="N2264" t="s">
        <v>1169</v>
      </c>
      <c r="O2264" t="s">
        <v>1168</v>
      </c>
      <c r="P2264" t="s">
        <v>1283</v>
      </c>
    </row>
    <row r="2265" spans="1:16" x14ac:dyDescent="0.25">
      <c r="A2265" t="s">
        <v>4854</v>
      </c>
      <c r="B2265" t="s">
        <v>4855</v>
      </c>
      <c r="C2265" t="s">
        <v>1571</v>
      </c>
      <c r="D2265" t="s">
        <v>1027</v>
      </c>
      <c r="E2265">
        <v>63767</v>
      </c>
      <c r="G2265" t="b">
        <v>0</v>
      </c>
      <c r="H2265" t="b">
        <v>0</v>
      </c>
      <c r="I2265" t="s">
        <v>1050</v>
      </c>
      <c r="J2265">
        <v>80</v>
      </c>
      <c r="K2265" t="s">
        <v>0</v>
      </c>
      <c r="L2265" t="s">
        <v>1167</v>
      </c>
      <c r="M2265" t="s">
        <v>1168</v>
      </c>
      <c r="N2265" t="s">
        <v>1169</v>
      </c>
      <c r="O2265" t="s">
        <v>1168</v>
      </c>
      <c r="P2265" t="s">
        <v>1283</v>
      </c>
    </row>
    <row r="2266" spans="1:16" x14ac:dyDescent="0.25">
      <c r="A2266" t="s">
        <v>4856</v>
      </c>
      <c r="B2266" t="s">
        <v>4857</v>
      </c>
      <c r="C2266" t="s">
        <v>1571</v>
      </c>
      <c r="D2266" t="s">
        <v>1027</v>
      </c>
      <c r="E2266">
        <v>63767</v>
      </c>
      <c r="G2266" t="b">
        <v>0</v>
      </c>
      <c r="H2266" t="b">
        <v>0</v>
      </c>
      <c r="I2266" t="s">
        <v>1050</v>
      </c>
      <c r="J2266">
        <v>80</v>
      </c>
      <c r="K2266" t="s">
        <v>0</v>
      </c>
      <c r="L2266" t="s">
        <v>1167</v>
      </c>
      <c r="M2266" t="s">
        <v>1168</v>
      </c>
      <c r="N2266" t="s">
        <v>1169</v>
      </c>
      <c r="O2266" t="s">
        <v>1168</v>
      </c>
      <c r="P2266" t="s">
        <v>1283</v>
      </c>
    </row>
    <row r="2267" spans="1:16" x14ac:dyDescent="0.25">
      <c r="A2267" t="s">
        <v>4858</v>
      </c>
      <c r="B2267" t="s">
        <v>4859</v>
      </c>
      <c r="C2267" t="s">
        <v>1571</v>
      </c>
      <c r="D2267" t="s">
        <v>1027</v>
      </c>
      <c r="E2267">
        <v>63767</v>
      </c>
      <c r="G2267" t="b">
        <v>0</v>
      </c>
      <c r="H2267" t="b">
        <v>0</v>
      </c>
      <c r="I2267" t="s">
        <v>1050</v>
      </c>
      <c r="J2267">
        <v>80</v>
      </c>
      <c r="K2267" t="s">
        <v>0</v>
      </c>
      <c r="L2267" t="s">
        <v>1167</v>
      </c>
      <c r="M2267" t="s">
        <v>1168</v>
      </c>
      <c r="N2267" t="s">
        <v>1169</v>
      </c>
      <c r="O2267" t="s">
        <v>1168</v>
      </c>
      <c r="P2267" t="s">
        <v>1283</v>
      </c>
    </row>
    <row r="2268" spans="1:16" x14ac:dyDescent="0.25">
      <c r="A2268" t="s">
        <v>4860</v>
      </c>
      <c r="B2268" t="s">
        <v>4861</v>
      </c>
      <c r="C2268" t="s">
        <v>1571</v>
      </c>
      <c r="D2268" t="s">
        <v>1027</v>
      </c>
      <c r="E2268">
        <v>63767</v>
      </c>
      <c r="G2268" t="b">
        <v>0</v>
      </c>
      <c r="H2268" t="b">
        <v>0</v>
      </c>
      <c r="I2268" t="s">
        <v>1050</v>
      </c>
      <c r="J2268">
        <v>80</v>
      </c>
      <c r="K2268" t="s">
        <v>0</v>
      </c>
      <c r="L2268" t="s">
        <v>1167</v>
      </c>
      <c r="M2268" t="s">
        <v>1168</v>
      </c>
      <c r="N2268" t="s">
        <v>1169</v>
      </c>
      <c r="O2268" t="s">
        <v>1168</v>
      </c>
      <c r="P2268" t="s">
        <v>1283</v>
      </c>
    </row>
    <row r="2269" spans="1:16" x14ac:dyDescent="0.25">
      <c r="A2269" t="s">
        <v>4862</v>
      </c>
      <c r="B2269" t="s">
        <v>4863</v>
      </c>
      <c r="C2269" t="s">
        <v>1571</v>
      </c>
      <c r="D2269" t="s">
        <v>1027</v>
      </c>
      <c r="E2269">
        <v>63767</v>
      </c>
      <c r="G2269" t="b">
        <v>0</v>
      </c>
      <c r="H2269" t="b">
        <v>0</v>
      </c>
      <c r="I2269" t="s">
        <v>1050</v>
      </c>
      <c r="J2269">
        <v>80</v>
      </c>
      <c r="K2269" t="s">
        <v>0</v>
      </c>
      <c r="L2269" t="s">
        <v>1167</v>
      </c>
      <c r="M2269" t="s">
        <v>1168</v>
      </c>
      <c r="N2269" t="s">
        <v>1169</v>
      </c>
      <c r="O2269" t="s">
        <v>1168</v>
      </c>
      <c r="P2269" t="s">
        <v>1283</v>
      </c>
    </row>
    <row r="2270" spans="1:16" x14ac:dyDescent="0.25">
      <c r="A2270" t="s">
        <v>4864</v>
      </c>
      <c r="B2270" t="s">
        <v>4865</v>
      </c>
      <c r="C2270" t="s">
        <v>1571</v>
      </c>
      <c r="D2270" t="s">
        <v>1027</v>
      </c>
      <c r="E2270">
        <v>63767</v>
      </c>
      <c r="G2270" t="b">
        <v>0</v>
      </c>
      <c r="H2270" t="b">
        <v>0</v>
      </c>
      <c r="I2270" t="s">
        <v>1050</v>
      </c>
      <c r="J2270">
        <v>80</v>
      </c>
      <c r="K2270" t="s">
        <v>0</v>
      </c>
      <c r="L2270" t="s">
        <v>1167</v>
      </c>
      <c r="M2270" t="s">
        <v>1168</v>
      </c>
      <c r="N2270" t="s">
        <v>1169</v>
      </c>
      <c r="O2270" t="s">
        <v>1168</v>
      </c>
      <c r="P2270" t="s">
        <v>1283</v>
      </c>
    </row>
    <row r="2271" spans="1:16" x14ac:dyDescent="0.25">
      <c r="A2271" t="s">
        <v>4866</v>
      </c>
      <c r="B2271" t="s">
        <v>4867</v>
      </c>
      <c r="C2271" t="s">
        <v>1571</v>
      </c>
      <c r="D2271" t="s">
        <v>1027</v>
      </c>
      <c r="E2271">
        <v>63767</v>
      </c>
      <c r="G2271" t="b">
        <v>0</v>
      </c>
      <c r="H2271" t="b">
        <v>0</v>
      </c>
      <c r="I2271" t="s">
        <v>1050</v>
      </c>
      <c r="J2271">
        <v>80</v>
      </c>
      <c r="K2271" t="s">
        <v>0</v>
      </c>
      <c r="L2271" t="s">
        <v>1167</v>
      </c>
      <c r="M2271" t="s">
        <v>1168</v>
      </c>
      <c r="N2271" t="s">
        <v>1169</v>
      </c>
      <c r="O2271" t="s">
        <v>1168</v>
      </c>
      <c r="P2271" t="s">
        <v>1283</v>
      </c>
    </row>
    <row r="2272" spans="1:16" x14ac:dyDescent="0.25">
      <c r="A2272" t="s">
        <v>4868</v>
      </c>
      <c r="B2272" t="s">
        <v>4869</v>
      </c>
      <c r="C2272" t="s">
        <v>1571</v>
      </c>
      <c r="D2272" t="s">
        <v>1027</v>
      </c>
      <c r="E2272">
        <v>63767</v>
      </c>
      <c r="G2272" t="b">
        <v>0</v>
      </c>
      <c r="H2272" t="b">
        <v>0</v>
      </c>
      <c r="I2272" t="s">
        <v>1050</v>
      </c>
      <c r="J2272">
        <v>80</v>
      </c>
      <c r="K2272" t="s">
        <v>0</v>
      </c>
      <c r="L2272" t="s">
        <v>1167</v>
      </c>
      <c r="M2272" t="s">
        <v>1168</v>
      </c>
      <c r="N2272" t="s">
        <v>1169</v>
      </c>
      <c r="O2272" t="s">
        <v>1168</v>
      </c>
      <c r="P2272" t="s">
        <v>1283</v>
      </c>
    </row>
    <row r="2273" spans="1:16" x14ac:dyDescent="0.25">
      <c r="A2273" t="s">
        <v>4870</v>
      </c>
      <c r="B2273" t="s">
        <v>4871</v>
      </c>
      <c r="C2273" t="s">
        <v>1571</v>
      </c>
      <c r="D2273" t="s">
        <v>1027</v>
      </c>
      <c r="E2273">
        <v>63767</v>
      </c>
      <c r="G2273" t="b">
        <v>0</v>
      </c>
      <c r="H2273" t="b">
        <v>0</v>
      </c>
      <c r="I2273" t="s">
        <v>1050</v>
      </c>
      <c r="J2273">
        <v>80</v>
      </c>
      <c r="K2273" t="s">
        <v>0</v>
      </c>
      <c r="L2273" t="s">
        <v>1167</v>
      </c>
      <c r="M2273" t="s">
        <v>1168</v>
      </c>
      <c r="N2273" t="s">
        <v>1169</v>
      </c>
      <c r="O2273" t="s">
        <v>1168</v>
      </c>
      <c r="P2273" t="s">
        <v>1283</v>
      </c>
    </row>
    <row r="2274" spans="1:16" x14ac:dyDescent="0.25">
      <c r="A2274" t="s">
        <v>4872</v>
      </c>
      <c r="B2274" t="s">
        <v>4873</v>
      </c>
      <c r="C2274" t="s">
        <v>1233</v>
      </c>
      <c r="D2274" t="s">
        <v>1027</v>
      </c>
      <c r="E2274">
        <v>63762</v>
      </c>
      <c r="F2274" t="s">
        <v>1234</v>
      </c>
      <c r="G2274" t="b">
        <v>0</v>
      </c>
      <c r="H2274" t="b">
        <v>0</v>
      </c>
      <c r="I2274" t="s">
        <v>1050</v>
      </c>
      <c r="J2274">
        <v>80</v>
      </c>
      <c r="K2274" t="s">
        <v>0</v>
      </c>
      <c r="L2274" t="s">
        <v>1167</v>
      </c>
      <c r="M2274" t="s">
        <v>1168</v>
      </c>
      <c r="N2274" t="s">
        <v>1169</v>
      </c>
      <c r="O2274" t="s">
        <v>1168</v>
      </c>
      <c r="P2274" t="s">
        <v>1235</v>
      </c>
    </row>
    <row r="2275" spans="1:16" x14ac:dyDescent="0.25">
      <c r="A2275" t="s">
        <v>4874</v>
      </c>
      <c r="B2275" t="s">
        <v>4875</v>
      </c>
      <c r="C2275" t="s">
        <v>2026</v>
      </c>
      <c r="D2275" t="s">
        <v>1027</v>
      </c>
      <c r="E2275">
        <v>1336</v>
      </c>
      <c r="F2275" t="s">
        <v>2027</v>
      </c>
      <c r="G2275" t="b">
        <v>0</v>
      </c>
      <c r="H2275" t="b">
        <v>0</v>
      </c>
      <c r="I2275" t="s">
        <v>1050</v>
      </c>
      <c r="J2275">
        <v>80</v>
      </c>
      <c r="K2275" t="s">
        <v>0</v>
      </c>
      <c r="L2275" t="s">
        <v>1167</v>
      </c>
      <c r="M2275" t="s">
        <v>1168</v>
      </c>
      <c r="N2275" t="s">
        <v>1169</v>
      </c>
      <c r="O2275" t="s">
        <v>1168</v>
      </c>
      <c r="P2275" t="s">
        <v>2028</v>
      </c>
    </row>
    <row r="2276" spans="1:16" x14ac:dyDescent="0.25">
      <c r="A2276" t="s">
        <v>4876</v>
      </c>
      <c r="B2276" t="s">
        <v>4877</v>
      </c>
      <c r="C2276" t="s">
        <v>2026</v>
      </c>
      <c r="D2276" t="s">
        <v>1027</v>
      </c>
      <c r="E2276">
        <v>1336</v>
      </c>
      <c r="F2276" t="s">
        <v>2027</v>
      </c>
      <c r="G2276" t="b">
        <v>0</v>
      </c>
      <c r="H2276" t="b">
        <v>0</v>
      </c>
      <c r="I2276" t="s">
        <v>1050</v>
      </c>
      <c r="J2276">
        <v>80</v>
      </c>
      <c r="K2276" t="s">
        <v>0</v>
      </c>
      <c r="L2276" t="s">
        <v>1167</v>
      </c>
      <c r="M2276" t="s">
        <v>1168</v>
      </c>
      <c r="N2276" t="s">
        <v>1169</v>
      </c>
      <c r="O2276" t="s">
        <v>1168</v>
      </c>
      <c r="P2276" t="s">
        <v>2028</v>
      </c>
    </row>
    <row r="2277" spans="1:16" x14ac:dyDescent="0.25">
      <c r="A2277" t="s">
        <v>4878</v>
      </c>
      <c r="B2277" t="s">
        <v>4879</v>
      </c>
      <c r="C2277" t="s">
        <v>2026</v>
      </c>
      <c r="D2277" t="s">
        <v>1027</v>
      </c>
      <c r="E2277">
        <v>1336</v>
      </c>
      <c r="F2277" t="s">
        <v>2027</v>
      </c>
      <c r="G2277" t="b">
        <v>0</v>
      </c>
      <c r="H2277" t="b">
        <v>0</v>
      </c>
      <c r="I2277" t="s">
        <v>1050</v>
      </c>
      <c r="J2277">
        <v>80</v>
      </c>
      <c r="K2277" t="s">
        <v>0</v>
      </c>
      <c r="L2277" t="s">
        <v>1167</v>
      </c>
      <c r="M2277" t="s">
        <v>1168</v>
      </c>
      <c r="N2277" t="s">
        <v>1169</v>
      </c>
      <c r="O2277" t="s">
        <v>1168</v>
      </c>
      <c r="P2277" t="s">
        <v>2028</v>
      </c>
    </row>
    <row r="2278" spans="1:16" x14ac:dyDescent="0.25">
      <c r="A2278" t="s">
        <v>4880</v>
      </c>
      <c r="B2278" t="s">
        <v>4881</v>
      </c>
      <c r="C2278" t="s">
        <v>3950</v>
      </c>
      <c r="D2278" t="s">
        <v>1027</v>
      </c>
      <c r="E2278">
        <v>1456</v>
      </c>
      <c r="F2278" t="s">
        <v>3951</v>
      </c>
      <c r="G2278" t="b">
        <v>0</v>
      </c>
      <c r="H2278" t="b">
        <v>0</v>
      </c>
      <c r="I2278" t="s">
        <v>1050</v>
      </c>
      <c r="J2278">
        <v>81</v>
      </c>
      <c r="K2278" t="s">
        <v>0</v>
      </c>
      <c r="L2278" t="s">
        <v>1213</v>
      </c>
      <c r="M2278" t="s">
        <v>1168</v>
      </c>
      <c r="N2278" t="s">
        <v>1168</v>
      </c>
      <c r="O2278" t="s">
        <v>1168</v>
      </c>
      <c r="P2278" t="s">
        <v>3952</v>
      </c>
    </row>
    <row r="2279" spans="1:16" x14ac:dyDescent="0.25">
      <c r="A2279" t="s">
        <v>4882</v>
      </c>
      <c r="B2279" t="s">
        <v>4883</v>
      </c>
      <c r="C2279" t="s">
        <v>1571</v>
      </c>
      <c r="D2279" t="s">
        <v>1027</v>
      </c>
      <c r="E2279">
        <v>63767</v>
      </c>
      <c r="G2279" t="b">
        <v>0</v>
      </c>
      <c r="H2279" t="b">
        <v>0</v>
      </c>
      <c r="I2279" t="s">
        <v>1050</v>
      </c>
      <c r="J2279">
        <v>80</v>
      </c>
      <c r="K2279" t="s">
        <v>0</v>
      </c>
      <c r="L2279" t="s">
        <v>1167</v>
      </c>
      <c r="M2279" t="s">
        <v>1168</v>
      </c>
      <c r="N2279" t="s">
        <v>1169</v>
      </c>
      <c r="O2279" t="s">
        <v>1168</v>
      </c>
      <c r="P2279" t="s">
        <v>1283</v>
      </c>
    </row>
    <row r="2280" spans="1:16" x14ac:dyDescent="0.25">
      <c r="A2280" t="s">
        <v>4884</v>
      </c>
      <c r="B2280" t="s">
        <v>4885</v>
      </c>
      <c r="C2280" t="s">
        <v>1571</v>
      </c>
      <c r="D2280" t="s">
        <v>1027</v>
      </c>
      <c r="E2280">
        <v>63767</v>
      </c>
      <c r="G2280" t="b">
        <v>0</v>
      </c>
      <c r="H2280" t="b">
        <v>0</v>
      </c>
      <c r="I2280" t="s">
        <v>1050</v>
      </c>
      <c r="J2280">
        <v>80</v>
      </c>
      <c r="K2280" t="s">
        <v>0</v>
      </c>
      <c r="L2280" t="s">
        <v>1167</v>
      </c>
      <c r="M2280" t="s">
        <v>1168</v>
      </c>
      <c r="N2280" t="s">
        <v>1169</v>
      </c>
      <c r="O2280" t="s">
        <v>1168</v>
      </c>
      <c r="P2280" t="s">
        <v>1283</v>
      </c>
    </row>
    <row r="2281" spans="1:16" x14ac:dyDescent="0.25">
      <c r="A2281" t="s">
        <v>4886</v>
      </c>
      <c r="B2281" t="s">
        <v>4887</v>
      </c>
      <c r="C2281" t="s">
        <v>3950</v>
      </c>
      <c r="D2281" t="s">
        <v>1027</v>
      </c>
      <c r="E2281">
        <v>1456</v>
      </c>
      <c r="F2281" t="s">
        <v>3951</v>
      </c>
      <c r="G2281" t="b">
        <v>0</v>
      </c>
      <c r="H2281" t="b">
        <v>0</v>
      </c>
      <c r="I2281" t="s">
        <v>1050</v>
      </c>
      <c r="J2281">
        <v>81</v>
      </c>
      <c r="K2281" t="s">
        <v>0</v>
      </c>
      <c r="L2281" t="s">
        <v>1213</v>
      </c>
      <c r="M2281" t="s">
        <v>1168</v>
      </c>
      <c r="N2281" t="s">
        <v>1168</v>
      </c>
      <c r="O2281" t="s">
        <v>1168</v>
      </c>
      <c r="P2281" t="s">
        <v>3952</v>
      </c>
    </row>
    <row r="2282" spans="1:16" x14ac:dyDescent="0.25">
      <c r="A2282" t="s">
        <v>4888</v>
      </c>
      <c r="B2282" t="s">
        <v>4889</v>
      </c>
      <c r="C2282" t="s">
        <v>3950</v>
      </c>
      <c r="D2282" t="s">
        <v>1027</v>
      </c>
      <c r="E2282">
        <v>1456</v>
      </c>
      <c r="F2282" t="s">
        <v>3951</v>
      </c>
      <c r="G2282" t="b">
        <v>0</v>
      </c>
      <c r="H2282" t="b">
        <v>0</v>
      </c>
      <c r="I2282" t="s">
        <v>1050</v>
      </c>
      <c r="J2282">
        <v>81</v>
      </c>
      <c r="K2282" t="s">
        <v>0</v>
      </c>
      <c r="L2282" t="s">
        <v>1213</v>
      </c>
      <c r="M2282" t="s">
        <v>1168</v>
      </c>
      <c r="N2282" t="s">
        <v>1168</v>
      </c>
      <c r="O2282" t="s">
        <v>1168</v>
      </c>
      <c r="P2282" t="s">
        <v>3952</v>
      </c>
    </row>
    <row r="2283" spans="1:16" x14ac:dyDescent="0.25">
      <c r="A2283" t="s">
        <v>4890</v>
      </c>
      <c r="B2283" t="s">
        <v>4891</v>
      </c>
      <c r="C2283" t="s">
        <v>1165</v>
      </c>
      <c r="D2283" t="s">
        <v>1027</v>
      </c>
      <c r="E2283">
        <v>63774</v>
      </c>
      <c r="F2283" t="s">
        <v>1166</v>
      </c>
      <c r="G2283" t="b">
        <v>0</v>
      </c>
      <c r="H2283" t="b">
        <v>0</v>
      </c>
      <c r="I2283" t="s">
        <v>1050</v>
      </c>
      <c r="J2283">
        <v>21</v>
      </c>
      <c r="K2283" t="s">
        <v>1</v>
      </c>
      <c r="L2283" t="s">
        <v>1167</v>
      </c>
      <c r="M2283" t="s">
        <v>1168</v>
      </c>
      <c r="N2283" t="s">
        <v>1169</v>
      </c>
      <c r="O2283" t="s">
        <v>1168</v>
      </c>
      <c r="P2283" t="s">
        <v>1170</v>
      </c>
    </row>
    <row r="2284" spans="1:16" x14ac:dyDescent="0.25">
      <c r="A2284" t="s">
        <v>4892</v>
      </c>
      <c r="B2284" t="s">
        <v>4891</v>
      </c>
      <c r="C2284" t="s">
        <v>1165</v>
      </c>
      <c r="D2284" t="s">
        <v>1027</v>
      </c>
      <c r="E2284">
        <v>63774</v>
      </c>
      <c r="F2284" t="s">
        <v>1166</v>
      </c>
      <c r="G2284" t="b">
        <v>0</v>
      </c>
      <c r="H2284" t="b">
        <v>0</v>
      </c>
      <c r="I2284" t="s">
        <v>1050</v>
      </c>
      <c r="J2284">
        <v>21</v>
      </c>
      <c r="K2284" t="s">
        <v>1</v>
      </c>
      <c r="L2284" t="s">
        <v>1167</v>
      </c>
      <c r="M2284" t="s">
        <v>1168</v>
      </c>
      <c r="N2284" t="s">
        <v>1169</v>
      </c>
      <c r="O2284" t="s">
        <v>1168</v>
      </c>
      <c r="P2284" t="s">
        <v>1170</v>
      </c>
    </row>
    <row r="2285" spans="1:16" x14ac:dyDescent="0.25">
      <c r="A2285" t="s">
        <v>4893</v>
      </c>
      <c r="B2285" t="s">
        <v>4894</v>
      </c>
      <c r="C2285" t="s">
        <v>1571</v>
      </c>
      <c r="D2285" t="s">
        <v>1027</v>
      </c>
      <c r="E2285">
        <v>63767</v>
      </c>
      <c r="G2285" t="b">
        <v>0</v>
      </c>
      <c r="H2285" t="b">
        <v>0</v>
      </c>
      <c r="I2285" t="s">
        <v>1050</v>
      </c>
      <c r="J2285">
        <v>80</v>
      </c>
      <c r="K2285" t="s">
        <v>0</v>
      </c>
      <c r="L2285" t="s">
        <v>1167</v>
      </c>
      <c r="M2285" t="s">
        <v>1168</v>
      </c>
      <c r="N2285" t="s">
        <v>1169</v>
      </c>
      <c r="O2285" t="s">
        <v>1168</v>
      </c>
      <c r="P2285" t="s">
        <v>1283</v>
      </c>
    </row>
    <row r="2286" spans="1:16" x14ac:dyDescent="0.25">
      <c r="A2286" t="s">
        <v>4895</v>
      </c>
      <c r="B2286" t="s">
        <v>4896</v>
      </c>
      <c r="C2286" t="s">
        <v>1571</v>
      </c>
      <c r="D2286" t="s">
        <v>1027</v>
      </c>
      <c r="E2286">
        <v>63767</v>
      </c>
      <c r="G2286" t="b">
        <v>0</v>
      </c>
      <c r="H2286" t="b">
        <v>0</v>
      </c>
      <c r="I2286" t="s">
        <v>1050</v>
      </c>
      <c r="J2286">
        <v>80</v>
      </c>
      <c r="K2286" t="s">
        <v>0</v>
      </c>
      <c r="L2286" t="s">
        <v>1167</v>
      </c>
      <c r="M2286" t="s">
        <v>1168</v>
      </c>
      <c r="N2286" t="s">
        <v>1169</v>
      </c>
      <c r="O2286" t="s">
        <v>1168</v>
      </c>
      <c r="P2286" t="s">
        <v>1283</v>
      </c>
    </row>
    <row r="2287" spans="1:16" x14ac:dyDescent="0.25">
      <c r="A2287" t="s">
        <v>4897</v>
      </c>
      <c r="B2287" t="s">
        <v>4898</v>
      </c>
      <c r="C2287" t="s">
        <v>1571</v>
      </c>
      <c r="D2287" t="s">
        <v>1027</v>
      </c>
      <c r="E2287">
        <v>63767</v>
      </c>
      <c r="G2287" t="b">
        <v>0</v>
      </c>
      <c r="H2287" t="b">
        <v>0</v>
      </c>
      <c r="I2287" t="s">
        <v>1050</v>
      </c>
      <c r="J2287">
        <v>80</v>
      </c>
      <c r="K2287" t="s">
        <v>0</v>
      </c>
      <c r="L2287" t="s">
        <v>1167</v>
      </c>
      <c r="M2287" t="s">
        <v>1168</v>
      </c>
      <c r="N2287" t="s">
        <v>1169</v>
      </c>
      <c r="O2287" t="s">
        <v>1168</v>
      </c>
      <c r="P2287" t="s">
        <v>1283</v>
      </c>
    </row>
    <row r="2288" spans="1:16" x14ac:dyDescent="0.25">
      <c r="A2288" t="s">
        <v>4899</v>
      </c>
      <c r="B2288" t="s">
        <v>4900</v>
      </c>
      <c r="C2288" t="s">
        <v>1571</v>
      </c>
      <c r="D2288" t="s">
        <v>1027</v>
      </c>
      <c r="E2288">
        <v>63767</v>
      </c>
      <c r="G2288" t="b">
        <v>0</v>
      </c>
      <c r="H2288" t="b">
        <v>0</v>
      </c>
      <c r="I2288" t="s">
        <v>1050</v>
      </c>
      <c r="J2288">
        <v>80</v>
      </c>
      <c r="K2288" t="s">
        <v>0</v>
      </c>
      <c r="L2288" t="s">
        <v>1167</v>
      </c>
      <c r="M2288" t="s">
        <v>1168</v>
      </c>
      <c r="N2288" t="s">
        <v>1169</v>
      </c>
      <c r="O2288" t="s">
        <v>1168</v>
      </c>
      <c r="P2288" t="s">
        <v>1283</v>
      </c>
    </row>
    <row r="2289" spans="1:16" x14ac:dyDescent="0.25">
      <c r="A2289" t="s">
        <v>4901</v>
      </c>
      <c r="B2289" t="s">
        <v>4902</v>
      </c>
      <c r="C2289" t="s">
        <v>1571</v>
      </c>
      <c r="D2289" t="s">
        <v>1027</v>
      </c>
      <c r="E2289">
        <v>63767</v>
      </c>
      <c r="G2289" t="b">
        <v>0</v>
      </c>
      <c r="H2289" t="b">
        <v>0</v>
      </c>
      <c r="I2289" t="s">
        <v>1050</v>
      </c>
      <c r="J2289">
        <v>80</v>
      </c>
      <c r="K2289" t="s">
        <v>0</v>
      </c>
      <c r="L2289" t="s">
        <v>1167</v>
      </c>
      <c r="M2289" t="s">
        <v>1168</v>
      </c>
      <c r="N2289" t="s">
        <v>1169</v>
      </c>
      <c r="O2289" t="s">
        <v>1168</v>
      </c>
      <c r="P2289" t="s">
        <v>1283</v>
      </c>
    </row>
    <row r="2290" spans="1:16" x14ac:dyDescent="0.25">
      <c r="A2290" t="s">
        <v>4903</v>
      </c>
      <c r="B2290" t="s">
        <v>4904</v>
      </c>
      <c r="C2290" t="s">
        <v>1165</v>
      </c>
      <c r="D2290" t="s">
        <v>1027</v>
      </c>
      <c r="E2290">
        <v>63774</v>
      </c>
      <c r="F2290" t="s">
        <v>1166</v>
      </c>
      <c r="G2290" t="b">
        <v>0</v>
      </c>
      <c r="H2290" t="b">
        <v>0</v>
      </c>
      <c r="I2290" t="s">
        <v>1050</v>
      </c>
      <c r="J2290">
        <v>30</v>
      </c>
      <c r="K2290" t="s">
        <v>1</v>
      </c>
      <c r="L2290" t="s">
        <v>1167</v>
      </c>
      <c r="M2290" t="s">
        <v>1168</v>
      </c>
      <c r="N2290" t="s">
        <v>1169</v>
      </c>
      <c r="O2290" t="s">
        <v>1168</v>
      </c>
      <c r="P2290" t="s">
        <v>1170</v>
      </c>
    </row>
    <row r="2291" spans="1:16" x14ac:dyDescent="0.25">
      <c r="A2291" t="s">
        <v>4905</v>
      </c>
      <c r="B2291" t="s">
        <v>4904</v>
      </c>
      <c r="C2291" t="s">
        <v>1165</v>
      </c>
      <c r="D2291" t="s">
        <v>1027</v>
      </c>
      <c r="E2291">
        <v>63774</v>
      </c>
      <c r="F2291" t="s">
        <v>1166</v>
      </c>
      <c r="G2291" t="b">
        <v>0</v>
      </c>
      <c r="H2291" t="b">
        <v>0</v>
      </c>
      <c r="I2291" t="s">
        <v>1050</v>
      </c>
      <c r="J2291">
        <v>30</v>
      </c>
      <c r="K2291" t="s">
        <v>1</v>
      </c>
      <c r="L2291" t="s">
        <v>1167</v>
      </c>
      <c r="M2291" t="s">
        <v>1168</v>
      </c>
      <c r="N2291" t="s">
        <v>1169</v>
      </c>
      <c r="O2291" t="s">
        <v>1168</v>
      </c>
      <c r="P2291" t="s">
        <v>1170</v>
      </c>
    </row>
    <row r="2292" spans="1:16" x14ac:dyDescent="0.25">
      <c r="A2292" t="s">
        <v>4906</v>
      </c>
      <c r="B2292" t="s">
        <v>4907</v>
      </c>
      <c r="C2292" t="s">
        <v>3184</v>
      </c>
      <c r="D2292" t="s">
        <v>1027</v>
      </c>
      <c r="E2292">
        <v>1392</v>
      </c>
      <c r="F2292" t="s">
        <v>3185</v>
      </c>
      <c r="G2292" t="b">
        <v>0</v>
      </c>
      <c r="H2292" t="b">
        <v>0</v>
      </c>
      <c r="I2292" t="s">
        <v>1050</v>
      </c>
      <c r="J2292">
        <v>81</v>
      </c>
      <c r="K2292" t="s">
        <v>0</v>
      </c>
      <c r="L2292" t="s">
        <v>1167</v>
      </c>
      <c r="M2292" t="s">
        <v>1168</v>
      </c>
      <c r="N2292" t="s">
        <v>1169</v>
      </c>
      <c r="O2292" t="s">
        <v>1168</v>
      </c>
      <c r="P2292" t="s">
        <v>3186</v>
      </c>
    </row>
    <row r="2293" spans="1:16" x14ac:dyDescent="0.25">
      <c r="A2293" t="s">
        <v>4908</v>
      </c>
      <c r="B2293" t="s">
        <v>4909</v>
      </c>
      <c r="C2293" t="s">
        <v>3184</v>
      </c>
      <c r="D2293" t="s">
        <v>1027</v>
      </c>
      <c r="E2293">
        <v>1392</v>
      </c>
      <c r="F2293" t="s">
        <v>3185</v>
      </c>
      <c r="G2293" t="b">
        <v>0</v>
      </c>
      <c r="H2293" t="b">
        <v>0</v>
      </c>
      <c r="I2293" t="s">
        <v>1050</v>
      </c>
      <c r="J2293">
        <v>81</v>
      </c>
      <c r="K2293" t="s">
        <v>0</v>
      </c>
      <c r="L2293" t="s">
        <v>1167</v>
      </c>
      <c r="M2293" t="s">
        <v>1168</v>
      </c>
      <c r="N2293" t="s">
        <v>1169</v>
      </c>
      <c r="O2293" t="s">
        <v>1168</v>
      </c>
      <c r="P2293" t="s">
        <v>3186</v>
      </c>
    </row>
    <row r="2294" spans="1:16" x14ac:dyDescent="0.25">
      <c r="A2294" t="s">
        <v>4910</v>
      </c>
      <c r="B2294" t="s">
        <v>4911</v>
      </c>
      <c r="C2294" t="s">
        <v>3184</v>
      </c>
      <c r="D2294" t="s">
        <v>1027</v>
      </c>
      <c r="E2294">
        <v>1392</v>
      </c>
      <c r="F2294" t="s">
        <v>3185</v>
      </c>
      <c r="G2294" t="b">
        <v>0</v>
      </c>
      <c r="H2294" t="b">
        <v>0</v>
      </c>
      <c r="I2294" t="s">
        <v>1050</v>
      </c>
      <c r="J2294">
        <v>81</v>
      </c>
      <c r="K2294" t="s">
        <v>0</v>
      </c>
      <c r="L2294" t="s">
        <v>1167</v>
      </c>
      <c r="M2294" t="s">
        <v>1168</v>
      </c>
      <c r="N2294" t="s">
        <v>1169</v>
      </c>
      <c r="O2294" t="s">
        <v>1168</v>
      </c>
      <c r="P2294" t="s">
        <v>3186</v>
      </c>
    </row>
    <row r="2295" spans="1:16" x14ac:dyDescent="0.25">
      <c r="A2295" t="s">
        <v>4912</v>
      </c>
      <c r="B2295" t="s">
        <v>4913</v>
      </c>
      <c r="C2295" t="s">
        <v>1165</v>
      </c>
      <c r="D2295" t="s">
        <v>1027</v>
      </c>
      <c r="E2295">
        <v>63774</v>
      </c>
      <c r="F2295" t="s">
        <v>1166</v>
      </c>
      <c r="G2295" t="b">
        <v>0</v>
      </c>
      <c r="H2295" t="b">
        <v>0</v>
      </c>
      <c r="I2295" t="s">
        <v>1050</v>
      </c>
      <c r="J2295">
        <v>47</v>
      </c>
      <c r="K2295" t="s">
        <v>1</v>
      </c>
      <c r="L2295" t="s">
        <v>1167</v>
      </c>
      <c r="M2295" t="s">
        <v>1168</v>
      </c>
      <c r="N2295" t="s">
        <v>1169</v>
      </c>
      <c r="O2295" t="s">
        <v>1168</v>
      </c>
      <c r="P2295" t="s">
        <v>1170</v>
      </c>
    </row>
    <row r="2296" spans="1:16" x14ac:dyDescent="0.25">
      <c r="A2296" t="s">
        <v>4914</v>
      </c>
      <c r="B2296" t="s">
        <v>4913</v>
      </c>
      <c r="C2296" t="s">
        <v>1165</v>
      </c>
      <c r="D2296" t="s">
        <v>1027</v>
      </c>
      <c r="E2296">
        <v>63774</v>
      </c>
      <c r="F2296" t="s">
        <v>1166</v>
      </c>
      <c r="G2296" t="b">
        <v>0</v>
      </c>
      <c r="H2296" t="b">
        <v>0</v>
      </c>
      <c r="I2296" t="s">
        <v>1050</v>
      </c>
      <c r="J2296">
        <v>47</v>
      </c>
      <c r="K2296" t="s">
        <v>1</v>
      </c>
      <c r="L2296" t="s">
        <v>1167</v>
      </c>
      <c r="M2296" t="s">
        <v>1168</v>
      </c>
      <c r="N2296" t="s">
        <v>1169</v>
      </c>
      <c r="O2296" t="s">
        <v>1168</v>
      </c>
      <c r="P2296" t="s">
        <v>1170</v>
      </c>
    </row>
    <row r="2297" spans="1:16" x14ac:dyDescent="0.25">
      <c r="A2297" t="s">
        <v>4915</v>
      </c>
      <c r="B2297" t="s">
        <v>4916</v>
      </c>
      <c r="C2297" t="s">
        <v>1165</v>
      </c>
      <c r="D2297" t="s">
        <v>1027</v>
      </c>
      <c r="E2297">
        <v>63774</v>
      </c>
      <c r="F2297" t="s">
        <v>1166</v>
      </c>
      <c r="G2297" t="b">
        <v>0</v>
      </c>
      <c r="H2297" t="b">
        <v>0</v>
      </c>
      <c r="I2297" t="s">
        <v>1050</v>
      </c>
      <c r="J2297">
        <v>47</v>
      </c>
      <c r="K2297" t="s">
        <v>1</v>
      </c>
      <c r="L2297" t="s">
        <v>1167</v>
      </c>
      <c r="M2297" t="s">
        <v>1168</v>
      </c>
      <c r="N2297" t="s">
        <v>1169</v>
      </c>
      <c r="O2297" t="s">
        <v>1168</v>
      </c>
      <c r="P2297" t="s">
        <v>1170</v>
      </c>
    </row>
    <row r="2298" spans="1:16" x14ac:dyDescent="0.25">
      <c r="A2298" t="s">
        <v>4917</v>
      </c>
      <c r="B2298" t="s">
        <v>4916</v>
      </c>
      <c r="C2298" t="s">
        <v>1165</v>
      </c>
      <c r="D2298" t="s">
        <v>1027</v>
      </c>
      <c r="E2298">
        <v>63774</v>
      </c>
      <c r="F2298" t="s">
        <v>1166</v>
      </c>
      <c r="G2298" t="b">
        <v>0</v>
      </c>
      <c r="H2298" t="b">
        <v>0</v>
      </c>
      <c r="I2298" t="s">
        <v>1050</v>
      </c>
      <c r="J2298">
        <v>47</v>
      </c>
      <c r="K2298" t="s">
        <v>1</v>
      </c>
      <c r="L2298" t="s">
        <v>1167</v>
      </c>
      <c r="M2298" t="s">
        <v>1168</v>
      </c>
      <c r="N2298" t="s">
        <v>1169</v>
      </c>
      <c r="O2298" t="s">
        <v>1168</v>
      </c>
      <c r="P2298" t="s">
        <v>1170</v>
      </c>
    </row>
    <row r="2299" spans="1:16" x14ac:dyDescent="0.25">
      <c r="A2299" t="s">
        <v>4918</v>
      </c>
      <c r="B2299" t="s">
        <v>4919</v>
      </c>
      <c r="C2299" t="s">
        <v>1165</v>
      </c>
      <c r="D2299" t="s">
        <v>1027</v>
      </c>
      <c r="E2299">
        <v>63774</v>
      </c>
      <c r="F2299" t="s">
        <v>1166</v>
      </c>
      <c r="G2299" t="b">
        <v>0</v>
      </c>
      <c r="H2299" t="b">
        <v>0</v>
      </c>
      <c r="I2299" t="s">
        <v>1050</v>
      </c>
      <c r="J2299">
        <v>52</v>
      </c>
      <c r="K2299" t="s">
        <v>1</v>
      </c>
      <c r="L2299" t="s">
        <v>1167</v>
      </c>
      <c r="M2299" t="s">
        <v>1168</v>
      </c>
      <c r="N2299" t="s">
        <v>1169</v>
      </c>
      <c r="O2299" t="s">
        <v>1168</v>
      </c>
      <c r="P2299" t="s">
        <v>1170</v>
      </c>
    </row>
    <row r="2300" spans="1:16" x14ac:dyDescent="0.25">
      <c r="A2300" t="s">
        <v>4920</v>
      </c>
      <c r="B2300" t="s">
        <v>4921</v>
      </c>
      <c r="C2300" t="s">
        <v>1217</v>
      </c>
      <c r="D2300" t="s">
        <v>1027</v>
      </c>
      <c r="E2300">
        <v>1450</v>
      </c>
      <c r="F2300" t="s">
        <v>1218</v>
      </c>
      <c r="G2300" t="b">
        <v>0</v>
      </c>
      <c r="H2300" t="b">
        <v>0</v>
      </c>
      <c r="I2300" t="s">
        <v>1050</v>
      </c>
      <c r="J2300">
        <v>52</v>
      </c>
      <c r="K2300" t="s">
        <v>0</v>
      </c>
      <c r="L2300" t="s">
        <v>1167</v>
      </c>
      <c r="M2300" t="s">
        <v>1168</v>
      </c>
      <c r="N2300" t="s">
        <v>1169</v>
      </c>
      <c r="O2300" t="s">
        <v>1168</v>
      </c>
      <c r="P2300" t="s">
        <v>1219</v>
      </c>
    </row>
    <row r="2301" spans="1:16" x14ac:dyDescent="0.25">
      <c r="A2301" t="s">
        <v>4922</v>
      </c>
      <c r="B2301" t="s">
        <v>4921</v>
      </c>
      <c r="C2301" t="s">
        <v>1217</v>
      </c>
      <c r="D2301" t="s">
        <v>1027</v>
      </c>
      <c r="E2301">
        <v>1450</v>
      </c>
      <c r="F2301" t="s">
        <v>1218</v>
      </c>
      <c r="G2301" t="b">
        <v>0</v>
      </c>
      <c r="H2301" t="b">
        <v>0</v>
      </c>
      <c r="I2301" t="s">
        <v>1050</v>
      </c>
      <c r="J2301">
        <v>52</v>
      </c>
      <c r="K2301" t="s">
        <v>0</v>
      </c>
      <c r="L2301" t="s">
        <v>1167</v>
      </c>
      <c r="M2301" t="s">
        <v>1168</v>
      </c>
      <c r="N2301" t="s">
        <v>1169</v>
      </c>
      <c r="O2301" t="s">
        <v>1168</v>
      </c>
      <c r="P2301" t="s">
        <v>1219</v>
      </c>
    </row>
    <row r="2302" spans="1:16" x14ac:dyDescent="0.25">
      <c r="A2302" t="s">
        <v>4923</v>
      </c>
      <c r="B2302" t="s">
        <v>4924</v>
      </c>
      <c r="C2302" t="s">
        <v>1217</v>
      </c>
      <c r="D2302" t="s">
        <v>1027</v>
      </c>
      <c r="E2302">
        <v>1450</v>
      </c>
      <c r="F2302" t="s">
        <v>1218</v>
      </c>
      <c r="G2302" t="b">
        <v>0</v>
      </c>
      <c r="H2302" t="b">
        <v>0</v>
      </c>
      <c r="I2302" t="s">
        <v>1050</v>
      </c>
      <c r="J2302">
        <v>52</v>
      </c>
      <c r="K2302" t="s">
        <v>0</v>
      </c>
      <c r="L2302" t="s">
        <v>1167</v>
      </c>
      <c r="M2302" t="s">
        <v>1168</v>
      </c>
      <c r="N2302" t="s">
        <v>1169</v>
      </c>
      <c r="O2302" t="s">
        <v>1168</v>
      </c>
      <c r="P2302" t="s">
        <v>1219</v>
      </c>
    </row>
    <row r="2303" spans="1:16" x14ac:dyDescent="0.25">
      <c r="A2303" t="s">
        <v>4925</v>
      </c>
      <c r="B2303" t="s">
        <v>4924</v>
      </c>
      <c r="C2303" t="s">
        <v>1217</v>
      </c>
      <c r="D2303" t="s">
        <v>1027</v>
      </c>
      <c r="E2303">
        <v>1450</v>
      </c>
      <c r="F2303" t="s">
        <v>1218</v>
      </c>
      <c r="G2303" t="b">
        <v>0</v>
      </c>
      <c r="H2303" t="b">
        <v>0</v>
      </c>
      <c r="I2303" t="s">
        <v>1050</v>
      </c>
      <c r="J2303">
        <v>52</v>
      </c>
      <c r="K2303" t="s">
        <v>0</v>
      </c>
      <c r="L2303" t="s">
        <v>1167</v>
      </c>
      <c r="M2303" t="s">
        <v>1168</v>
      </c>
      <c r="N2303" t="s">
        <v>1169</v>
      </c>
      <c r="O2303" t="s">
        <v>1168</v>
      </c>
      <c r="P2303" t="s">
        <v>1219</v>
      </c>
    </row>
    <row r="2304" spans="1:16" x14ac:dyDescent="0.25">
      <c r="A2304" t="s">
        <v>4926</v>
      </c>
      <c r="B2304" t="s">
        <v>4921</v>
      </c>
      <c r="C2304" t="s">
        <v>1217</v>
      </c>
      <c r="D2304" t="s">
        <v>1027</v>
      </c>
      <c r="E2304">
        <v>1450</v>
      </c>
      <c r="F2304" t="s">
        <v>1218</v>
      </c>
      <c r="G2304" t="b">
        <v>0</v>
      </c>
      <c r="H2304" t="b">
        <v>0</v>
      </c>
      <c r="I2304" t="s">
        <v>1050</v>
      </c>
      <c r="J2304">
        <v>52</v>
      </c>
      <c r="K2304" t="s">
        <v>0</v>
      </c>
      <c r="L2304" t="s">
        <v>1167</v>
      </c>
      <c r="M2304" t="s">
        <v>1168</v>
      </c>
      <c r="N2304" t="s">
        <v>1169</v>
      </c>
      <c r="O2304" t="s">
        <v>1168</v>
      </c>
      <c r="P2304" t="s">
        <v>1219</v>
      </c>
    </row>
    <row r="2305" spans="1:16" x14ac:dyDescent="0.25">
      <c r="A2305" t="s">
        <v>4927</v>
      </c>
      <c r="B2305" t="s">
        <v>4924</v>
      </c>
      <c r="C2305" t="s">
        <v>1217</v>
      </c>
      <c r="D2305" t="s">
        <v>1027</v>
      </c>
      <c r="E2305">
        <v>1450</v>
      </c>
      <c r="F2305" t="s">
        <v>1218</v>
      </c>
      <c r="G2305" t="b">
        <v>0</v>
      </c>
      <c r="H2305" t="b">
        <v>0</v>
      </c>
      <c r="I2305" t="s">
        <v>1050</v>
      </c>
      <c r="J2305">
        <v>52</v>
      </c>
      <c r="K2305" t="s">
        <v>0</v>
      </c>
      <c r="L2305" t="s">
        <v>1167</v>
      </c>
      <c r="M2305" t="s">
        <v>1168</v>
      </c>
      <c r="N2305" t="s">
        <v>1169</v>
      </c>
      <c r="O2305" t="s">
        <v>1168</v>
      </c>
      <c r="P2305" t="s">
        <v>1219</v>
      </c>
    </row>
    <row r="2306" spans="1:16" x14ac:dyDescent="0.25">
      <c r="A2306" t="s">
        <v>4928</v>
      </c>
      <c r="B2306" t="s">
        <v>4929</v>
      </c>
      <c r="C2306" t="s">
        <v>1233</v>
      </c>
      <c r="D2306" t="s">
        <v>1027</v>
      </c>
      <c r="E2306">
        <v>63762</v>
      </c>
      <c r="F2306" t="s">
        <v>1234</v>
      </c>
      <c r="G2306" t="b">
        <v>0</v>
      </c>
      <c r="H2306" t="b">
        <v>0</v>
      </c>
      <c r="I2306" t="s">
        <v>1050</v>
      </c>
      <c r="J2306">
        <v>88</v>
      </c>
      <c r="K2306" t="s">
        <v>0</v>
      </c>
      <c r="L2306" t="s">
        <v>1167</v>
      </c>
      <c r="M2306" t="s">
        <v>1168</v>
      </c>
      <c r="N2306" t="s">
        <v>1169</v>
      </c>
      <c r="O2306" t="s">
        <v>1168</v>
      </c>
      <c r="P2306" t="s">
        <v>1235</v>
      </c>
    </row>
    <row r="2307" spans="1:16" x14ac:dyDescent="0.25">
      <c r="A2307" t="s">
        <v>4930</v>
      </c>
      <c r="B2307" t="s">
        <v>4931</v>
      </c>
      <c r="C2307" t="s">
        <v>1233</v>
      </c>
      <c r="D2307" t="s">
        <v>1027</v>
      </c>
      <c r="E2307">
        <v>63762</v>
      </c>
      <c r="F2307" t="s">
        <v>1234</v>
      </c>
      <c r="G2307" t="b">
        <v>0</v>
      </c>
      <c r="H2307" t="b">
        <v>0</v>
      </c>
      <c r="I2307" t="s">
        <v>1050</v>
      </c>
      <c r="J2307">
        <v>88</v>
      </c>
      <c r="K2307" t="s">
        <v>0</v>
      </c>
      <c r="L2307" t="s">
        <v>1167</v>
      </c>
      <c r="M2307" t="s">
        <v>1168</v>
      </c>
      <c r="N2307" t="s">
        <v>1169</v>
      </c>
      <c r="O2307" t="s">
        <v>1168</v>
      </c>
      <c r="P2307" t="s">
        <v>1235</v>
      </c>
    </row>
    <row r="2308" spans="1:16" x14ac:dyDescent="0.25">
      <c r="A2308" t="s">
        <v>4932</v>
      </c>
      <c r="B2308" t="s">
        <v>4933</v>
      </c>
      <c r="C2308" t="s">
        <v>1233</v>
      </c>
      <c r="D2308" t="s">
        <v>1027</v>
      </c>
      <c r="E2308">
        <v>63762</v>
      </c>
      <c r="F2308" t="s">
        <v>1234</v>
      </c>
      <c r="G2308" t="b">
        <v>0</v>
      </c>
      <c r="H2308" t="b">
        <v>0</v>
      </c>
      <c r="I2308" t="s">
        <v>1050</v>
      </c>
      <c r="J2308">
        <v>88</v>
      </c>
      <c r="K2308" t="s">
        <v>0</v>
      </c>
      <c r="L2308" t="s">
        <v>1167</v>
      </c>
      <c r="M2308" t="s">
        <v>1168</v>
      </c>
      <c r="N2308" t="s">
        <v>1169</v>
      </c>
      <c r="O2308" t="s">
        <v>1168</v>
      </c>
      <c r="P2308" t="s">
        <v>1235</v>
      </c>
    </row>
    <row r="2309" spans="1:16" x14ac:dyDescent="0.25">
      <c r="A2309" t="s">
        <v>4934</v>
      </c>
      <c r="B2309" t="s">
        <v>4935</v>
      </c>
      <c r="C2309" t="s">
        <v>1233</v>
      </c>
      <c r="D2309" t="s">
        <v>1027</v>
      </c>
      <c r="E2309">
        <v>63762</v>
      </c>
      <c r="F2309" t="s">
        <v>1234</v>
      </c>
      <c r="G2309" t="b">
        <v>0</v>
      </c>
      <c r="H2309" t="b">
        <v>0</v>
      </c>
      <c r="I2309" t="s">
        <v>1050</v>
      </c>
      <c r="J2309">
        <v>88</v>
      </c>
      <c r="K2309" t="s">
        <v>0</v>
      </c>
      <c r="L2309" t="s">
        <v>1167</v>
      </c>
      <c r="M2309" t="s">
        <v>1168</v>
      </c>
      <c r="N2309" t="s">
        <v>1169</v>
      </c>
      <c r="O2309" t="s">
        <v>1168</v>
      </c>
      <c r="P2309" t="s">
        <v>1235</v>
      </c>
    </row>
    <row r="2310" spans="1:16" x14ac:dyDescent="0.25">
      <c r="A2310" t="s">
        <v>4936</v>
      </c>
      <c r="B2310" t="s">
        <v>4937</v>
      </c>
      <c r="C2310" t="s">
        <v>1233</v>
      </c>
      <c r="D2310" t="s">
        <v>1027</v>
      </c>
      <c r="E2310">
        <v>63762</v>
      </c>
      <c r="F2310" t="s">
        <v>1234</v>
      </c>
      <c r="G2310" t="b">
        <v>0</v>
      </c>
      <c r="H2310" t="b">
        <v>0</v>
      </c>
      <c r="I2310" t="s">
        <v>1050</v>
      </c>
      <c r="J2310">
        <v>88</v>
      </c>
      <c r="K2310" t="s">
        <v>0</v>
      </c>
      <c r="L2310" t="s">
        <v>1167</v>
      </c>
      <c r="M2310" t="s">
        <v>1168</v>
      </c>
      <c r="N2310" t="s">
        <v>1169</v>
      </c>
      <c r="O2310" t="s">
        <v>1168</v>
      </c>
      <c r="P2310" t="s">
        <v>1235</v>
      </c>
    </row>
    <row r="2311" spans="1:16" x14ac:dyDescent="0.25">
      <c r="A2311" t="s">
        <v>4938</v>
      </c>
      <c r="B2311" t="s">
        <v>4939</v>
      </c>
      <c r="C2311" t="s">
        <v>1233</v>
      </c>
      <c r="D2311" t="s">
        <v>1027</v>
      </c>
      <c r="E2311">
        <v>63762</v>
      </c>
      <c r="F2311" t="s">
        <v>1234</v>
      </c>
      <c r="G2311" t="b">
        <v>0</v>
      </c>
      <c r="H2311" t="b">
        <v>0</v>
      </c>
      <c r="I2311" t="s">
        <v>1050</v>
      </c>
      <c r="J2311">
        <v>88</v>
      </c>
      <c r="K2311" t="s">
        <v>0</v>
      </c>
      <c r="L2311" t="s">
        <v>1167</v>
      </c>
      <c r="M2311" t="s">
        <v>1168</v>
      </c>
      <c r="N2311" t="s">
        <v>1169</v>
      </c>
      <c r="O2311" t="s">
        <v>1168</v>
      </c>
      <c r="P2311" t="s">
        <v>1235</v>
      </c>
    </row>
    <row r="2312" spans="1:16" x14ac:dyDescent="0.25">
      <c r="A2312" t="s">
        <v>4940</v>
      </c>
      <c r="B2312" t="s">
        <v>4931</v>
      </c>
      <c r="C2312" t="s">
        <v>1233</v>
      </c>
      <c r="D2312" t="s">
        <v>1027</v>
      </c>
      <c r="E2312">
        <v>63762</v>
      </c>
      <c r="F2312" t="s">
        <v>1234</v>
      </c>
      <c r="G2312" t="b">
        <v>0</v>
      </c>
      <c r="H2312" t="b">
        <v>0</v>
      </c>
      <c r="I2312" t="s">
        <v>1050</v>
      </c>
      <c r="J2312">
        <v>88</v>
      </c>
      <c r="K2312" t="s">
        <v>0</v>
      </c>
      <c r="L2312" t="s">
        <v>1167</v>
      </c>
      <c r="M2312" t="s">
        <v>1168</v>
      </c>
      <c r="N2312" t="s">
        <v>1169</v>
      </c>
      <c r="O2312" t="s">
        <v>1168</v>
      </c>
      <c r="P2312" t="s">
        <v>1235</v>
      </c>
    </row>
    <row r="2313" spans="1:16" x14ac:dyDescent="0.25">
      <c r="A2313" t="s">
        <v>4941</v>
      </c>
      <c r="B2313" t="s">
        <v>4933</v>
      </c>
      <c r="C2313" t="s">
        <v>1233</v>
      </c>
      <c r="D2313" t="s">
        <v>1027</v>
      </c>
      <c r="E2313">
        <v>63762</v>
      </c>
      <c r="F2313" t="s">
        <v>1234</v>
      </c>
      <c r="G2313" t="b">
        <v>0</v>
      </c>
      <c r="H2313" t="b">
        <v>0</v>
      </c>
      <c r="I2313" t="s">
        <v>1050</v>
      </c>
      <c r="J2313">
        <v>88</v>
      </c>
      <c r="K2313" t="s">
        <v>0</v>
      </c>
      <c r="L2313" t="s">
        <v>1167</v>
      </c>
      <c r="M2313" t="s">
        <v>1168</v>
      </c>
      <c r="N2313" t="s">
        <v>1169</v>
      </c>
      <c r="O2313" t="s">
        <v>1168</v>
      </c>
      <c r="P2313" t="s">
        <v>1235</v>
      </c>
    </row>
    <row r="2314" spans="1:16" x14ac:dyDescent="0.25">
      <c r="A2314" t="s">
        <v>4942</v>
      </c>
      <c r="B2314" t="s">
        <v>4935</v>
      </c>
      <c r="C2314" t="s">
        <v>1233</v>
      </c>
      <c r="D2314" t="s">
        <v>1027</v>
      </c>
      <c r="E2314">
        <v>63762</v>
      </c>
      <c r="F2314" t="s">
        <v>1234</v>
      </c>
      <c r="G2314" t="b">
        <v>0</v>
      </c>
      <c r="H2314" t="b">
        <v>0</v>
      </c>
      <c r="I2314" t="s">
        <v>1050</v>
      </c>
      <c r="J2314">
        <v>88</v>
      </c>
      <c r="K2314" t="s">
        <v>0</v>
      </c>
      <c r="L2314" t="s">
        <v>1167</v>
      </c>
      <c r="M2314" t="s">
        <v>1168</v>
      </c>
      <c r="N2314" t="s">
        <v>1169</v>
      </c>
      <c r="O2314" t="s">
        <v>1168</v>
      </c>
      <c r="P2314" t="s">
        <v>1235</v>
      </c>
    </row>
    <row r="2315" spans="1:16" x14ac:dyDescent="0.25">
      <c r="A2315" t="s">
        <v>4943</v>
      </c>
      <c r="B2315" t="s">
        <v>4937</v>
      </c>
      <c r="C2315" t="s">
        <v>1233</v>
      </c>
      <c r="D2315" t="s">
        <v>1027</v>
      </c>
      <c r="E2315">
        <v>63762</v>
      </c>
      <c r="F2315" t="s">
        <v>1234</v>
      </c>
      <c r="G2315" t="b">
        <v>0</v>
      </c>
      <c r="H2315" t="b">
        <v>0</v>
      </c>
      <c r="I2315" t="s">
        <v>1050</v>
      </c>
      <c r="J2315">
        <v>88</v>
      </c>
      <c r="K2315" t="s">
        <v>0</v>
      </c>
      <c r="L2315" t="s">
        <v>1167</v>
      </c>
      <c r="M2315" t="s">
        <v>1168</v>
      </c>
      <c r="N2315" t="s">
        <v>1169</v>
      </c>
      <c r="O2315" t="s">
        <v>1168</v>
      </c>
      <c r="P2315" t="s">
        <v>1235</v>
      </c>
    </row>
    <row r="2316" spans="1:16" x14ac:dyDescent="0.25">
      <c r="A2316" t="s">
        <v>4944</v>
      </c>
      <c r="B2316" t="s">
        <v>4945</v>
      </c>
      <c r="C2316" t="s">
        <v>1233</v>
      </c>
      <c r="D2316" t="s">
        <v>1027</v>
      </c>
      <c r="E2316">
        <v>63762</v>
      </c>
      <c r="F2316" t="s">
        <v>1234</v>
      </c>
      <c r="G2316" t="b">
        <v>0</v>
      </c>
      <c r="H2316" t="b">
        <v>0</v>
      </c>
      <c r="I2316" t="s">
        <v>1050</v>
      </c>
      <c r="J2316">
        <v>88</v>
      </c>
      <c r="K2316" t="s">
        <v>0</v>
      </c>
      <c r="L2316" t="s">
        <v>1167</v>
      </c>
      <c r="M2316" t="s">
        <v>1168</v>
      </c>
      <c r="N2316" t="s">
        <v>1169</v>
      </c>
      <c r="O2316" t="s">
        <v>1168</v>
      </c>
      <c r="P2316" t="s">
        <v>1235</v>
      </c>
    </row>
    <row r="2317" spans="1:16" x14ac:dyDescent="0.25">
      <c r="A2317" t="s">
        <v>4946</v>
      </c>
      <c r="B2317" t="s">
        <v>4945</v>
      </c>
      <c r="C2317" t="s">
        <v>1233</v>
      </c>
      <c r="D2317" t="s">
        <v>1027</v>
      </c>
      <c r="E2317">
        <v>63762</v>
      </c>
      <c r="F2317" t="s">
        <v>1234</v>
      </c>
      <c r="G2317" t="b">
        <v>0</v>
      </c>
      <c r="H2317" t="b">
        <v>0</v>
      </c>
      <c r="I2317" t="s">
        <v>1050</v>
      </c>
      <c r="J2317">
        <v>88</v>
      </c>
      <c r="K2317" t="s">
        <v>0</v>
      </c>
      <c r="L2317" t="s">
        <v>1167</v>
      </c>
      <c r="M2317" t="s">
        <v>1168</v>
      </c>
      <c r="N2317" t="s">
        <v>1169</v>
      </c>
      <c r="O2317" t="s">
        <v>1168</v>
      </c>
      <c r="P2317" t="s">
        <v>1235</v>
      </c>
    </row>
    <row r="2318" spans="1:16" x14ac:dyDescent="0.25">
      <c r="A2318" t="s">
        <v>4947</v>
      </c>
      <c r="B2318" t="s">
        <v>4948</v>
      </c>
      <c r="C2318" t="s">
        <v>1233</v>
      </c>
      <c r="D2318" t="s">
        <v>1027</v>
      </c>
      <c r="E2318">
        <v>63762</v>
      </c>
      <c r="F2318" t="s">
        <v>1234</v>
      </c>
      <c r="G2318" t="b">
        <v>0</v>
      </c>
      <c r="H2318" t="b">
        <v>0</v>
      </c>
      <c r="I2318" t="s">
        <v>1050</v>
      </c>
      <c r="J2318">
        <v>88</v>
      </c>
      <c r="K2318" t="s">
        <v>0</v>
      </c>
      <c r="L2318" t="s">
        <v>1167</v>
      </c>
      <c r="M2318" t="s">
        <v>1168</v>
      </c>
      <c r="N2318" t="s">
        <v>1169</v>
      </c>
      <c r="O2318" t="s">
        <v>1168</v>
      </c>
      <c r="P2318" t="s">
        <v>1235</v>
      </c>
    </row>
    <row r="2319" spans="1:16" x14ac:dyDescent="0.25">
      <c r="A2319" t="s">
        <v>4949</v>
      </c>
      <c r="B2319" t="s">
        <v>4950</v>
      </c>
      <c r="C2319" t="s">
        <v>1233</v>
      </c>
      <c r="D2319" t="s">
        <v>1027</v>
      </c>
      <c r="E2319">
        <v>63762</v>
      </c>
      <c r="F2319" t="s">
        <v>1234</v>
      </c>
      <c r="G2319" t="b">
        <v>0</v>
      </c>
      <c r="H2319" t="b">
        <v>0</v>
      </c>
      <c r="I2319" t="s">
        <v>1050</v>
      </c>
      <c r="J2319">
        <v>91</v>
      </c>
      <c r="K2319" t="s">
        <v>0</v>
      </c>
      <c r="L2319" t="s">
        <v>1167</v>
      </c>
      <c r="M2319" t="s">
        <v>1168</v>
      </c>
      <c r="N2319" t="s">
        <v>1169</v>
      </c>
      <c r="O2319" t="s">
        <v>1168</v>
      </c>
      <c r="P2319" t="s">
        <v>1235</v>
      </c>
    </row>
    <row r="2320" spans="1:16" x14ac:dyDescent="0.25">
      <c r="A2320" t="s">
        <v>4951</v>
      </c>
      <c r="B2320" t="s">
        <v>4952</v>
      </c>
      <c r="C2320" t="s">
        <v>1233</v>
      </c>
      <c r="D2320" t="s">
        <v>1027</v>
      </c>
      <c r="E2320">
        <v>63762</v>
      </c>
      <c r="F2320" t="s">
        <v>1234</v>
      </c>
      <c r="G2320" t="b">
        <v>0</v>
      </c>
      <c r="H2320" t="b">
        <v>0</v>
      </c>
      <c r="I2320" t="s">
        <v>1050</v>
      </c>
      <c r="J2320">
        <v>91</v>
      </c>
      <c r="K2320" t="s">
        <v>0</v>
      </c>
      <c r="L2320" t="s">
        <v>1167</v>
      </c>
      <c r="M2320" t="s">
        <v>1168</v>
      </c>
      <c r="N2320" t="s">
        <v>1169</v>
      </c>
      <c r="O2320" t="s">
        <v>1168</v>
      </c>
      <c r="P2320" t="s">
        <v>1235</v>
      </c>
    </row>
    <row r="2321" spans="1:16" x14ac:dyDescent="0.25">
      <c r="A2321" t="s">
        <v>4953</v>
      </c>
      <c r="B2321" t="s">
        <v>4954</v>
      </c>
      <c r="C2321" t="s">
        <v>1233</v>
      </c>
      <c r="D2321" t="s">
        <v>1027</v>
      </c>
      <c r="E2321">
        <v>63762</v>
      </c>
      <c r="F2321" t="s">
        <v>1234</v>
      </c>
      <c r="G2321" t="b">
        <v>0</v>
      </c>
      <c r="H2321" t="b">
        <v>0</v>
      </c>
      <c r="I2321" t="s">
        <v>1050</v>
      </c>
      <c r="J2321">
        <v>91</v>
      </c>
      <c r="K2321" t="s">
        <v>0</v>
      </c>
      <c r="L2321" t="s">
        <v>1167</v>
      </c>
      <c r="M2321" t="s">
        <v>1168</v>
      </c>
      <c r="N2321" t="s">
        <v>1169</v>
      </c>
      <c r="O2321" t="s">
        <v>1168</v>
      </c>
      <c r="P2321" t="s">
        <v>1235</v>
      </c>
    </row>
    <row r="2322" spans="1:16" x14ac:dyDescent="0.25">
      <c r="A2322" t="s">
        <v>4955</v>
      </c>
      <c r="B2322" t="s">
        <v>4956</v>
      </c>
      <c r="C2322" t="s">
        <v>1233</v>
      </c>
      <c r="D2322" t="s">
        <v>1027</v>
      </c>
      <c r="E2322">
        <v>63762</v>
      </c>
      <c r="F2322" t="s">
        <v>1234</v>
      </c>
      <c r="G2322" t="b">
        <v>0</v>
      </c>
      <c r="H2322" t="b">
        <v>0</v>
      </c>
      <c r="I2322" t="s">
        <v>1050</v>
      </c>
      <c r="J2322">
        <v>91</v>
      </c>
      <c r="K2322" t="s">
        <v>0</v>
      </c>
      <c r="L2322" t="s">
        <v>1167</v>
      </c>
      <c r="M2322" t="s">
        <v>1168</v>
      </c>
      <c r="N2322" t="s">
        <v>1169</v>
      </c>
      <c r="O2322" t="s">
        <v>1168</v>
      </c>
      <c r="P2322" t="s">
        <v>1235</v>
      </c>
    </row>
    <row r="2323" spans="1:16" x14ac:dyDescent="0.25">
      <c r="A2323" t="s">
        <v>4957</v>
      </c>
      <c r="B2323" t="s">
        <v>4958</v>
      </c>
      <c r="C2323" t="s">
        <v>1233</v>
      </c>
      <c r="D2323" t="s">
        <v>1027</v>
      </c>
      <c r="E2323">
        <v>63762</v>
      </c>
      <c r="F2323" t="s">
        <v>1234</v>
      </c>
      <c r="G2323" t="b">
        <v>0</v>
      </c>
      <c r="H2323" t="b">
        <v>0</v>
      </c>
      <c r="I2323" t="s">
        <v>1050</v>
      </c>
      <c r="J2323">
        <v>91</v>
      </c>
      <c r="K2323" t="s">
        <v>0</v>
      </c>
      <c r="L2323" t="s">
        <v>1167</v>
      </c>
      <c r="M2323" t="s">
        <v>1168</v>
      </c>
      <c r="N2323" t="s">
        <v>1169</v>
      </c>
      <c r="O2323" t="s">
        <v>1168</v>
      </c>
      <c r="P2323" t="s">
        <v>1235</v>
      </c>
    </row>
    <row r="2324" spans="1:16" x14ac:dyDescent="0.25">
      <c r="A2324" t="s">
        <v>4959</v>
      </c>
      <c r="B2324" t="s">
        <v>4960</v>
      </c>
      <c r="C2324" t="s">
        <v>1233</v>
      </c>
      <c r="D2324" t="s">
        <v>1027</v>
      </c>
      <c r="E2324">
        <v>63762</v>
      </c>
      <c r="F2324" t="s">
        <v>1234</v>
      </c>
      <c r="G2324" t="b">
        <v>0</v>
      </c>
      <c r="H2324" t="b">
        <v>0</v>
      </c>
      <c r="I2324" t="s">
        <v>1050</v>
      </c>
      <c r="J2324">
        <v>91</v>
      </c>
      <c r="K2324" t="s">
        <v>0</v>
      </c>
      <c r="L2324" t="s">
        <v>1167</v>
      </c>
      <c r="M2324" t="s">
        <v>1168</v>
      </c>
      <c r="N2324" t="s">
        <v>1169</v>
      </c>
      <c r="O2324" t="s">
        <v>1168</v>
      </c>
      <c r="P2324" t="s">
        <v>1235</v>
      </c>
    </row>
    <row r="2325" spans="1:16" x14ac:dyDescent="0.25">
      <c r="A2325" t="s">
        <v>4961</v>
      </c>
      <c r="B2325" t="s">
        <v>4962</v>
      </c>
      <c r="C2325" t="s">
        <v>1233</v>
      </c>
      <c r="D2325" t="s">
        <v>1027</v>
      </c>
      <c r="E2325">
        <v>63762</v>
      </c>
      <c r="F2325" t="s">
        <v>1234</v>
      </c>
      <c r="G2325" t="b">
        <v>0</v>
      </c>
      <c r="H2325" t="b">
        <v>0</v>
      </c>
      <c r="I2325" t="s">
        <v>1050</v>
      </c>
      <c r="J2325">
        <v>91</v>
      </c>
      <c r="K2325" t="s">
        <v>0</v>
      </c>
      <c r="L2325" t="s">
        <v>1167</v>
      </c>
      <c r="M2325" t="s">
        <v>1168</v>
      </c>
      <c r="N2325" t="s">
        <v>1169</v>
      </c>
      <c r="O2325" t="s">
        <v>1168</v>
      </c>
      <c r="P2325" t="s">
        <v>1235</v>
      </c>
    </row>
    <row r="2326" spans="1:16" x14ac:dyDescent="0.25">
      <c r="A2326" t="s">
        <v>4963</v>
      </c>
      <c r="B2326" t="s">
        <v>4964</v>
      </c>
      <c r="C2326" t="s">
        <v>1233</v>
      </c>
      <c r="D2326" t="s">
        <v>1027</v>
      </c>
      <c r="E2326">
        <v>63762</v>
      </c>
      <c r="F2326" t="s">
        <v>1234</v>
      </c>
      <c r="G2326" t="b">
        <v>0</v>
      </c>
      <c r="H2326" t="b">
        <v>0</v>
      </c>
      <c r="I2326" t="s">
        <v>1050</v>
      </c>
      <c r="J2326">
        <v>91</v>
      </c>
      <c r="K2326" t="s">
        <v>0</v>
      </c>
      <c r="L2326" t="s">
        <v>1167</v>
      </c>
      <c r="M2326" t="s">
        <v>1168</v>
      </c>
      <c r="N2326" t="s">
        <v>1169</v>
      </c>
      <c r="O2326" t="s">
        <v>1168</v>
      </c>
      <c r="P2326" t="s">
        <v>1235</v>
      </c>
    </row>
    <row r="2327" spans="1:16" x14ac:dyDescent="0.25">
      <c r="A2327" t="s">
        <v>4965</v>
      </c>
      <c r="B2327" t="s">
        <v>4966</v>
      </c>
      <c r="C2327" t="s">
        <v>1233</v>
      </c>
      <c r="D2327" t="s">
        <v>1027</v>
      </c>
      <c r="E2327">
        <v>63762</v>
      </c>
      <c r="F2327" t="s">
        <v>1234</v>
      </c>
      <c r="G2327" t="b">
        <v>0</v>
      </c>
      <c r="H2327" t="b">
        <v>0</v>
      </c>
      <c r="I2327" t="s">
        <v>1050</v>
      </c>
      <c r="J2327">
        <v>88</v>
      </c>
      <c r="K2327" t="s">
        <v>0</v>
      </c>
      <c r="L2327" t="s">
        <v>1167</v>
      </c>
      <c r="M2327" t="s">
        <v>1168</v>
      </c>
      <c r="N2327" t="s">
        <v>1169</v>
      </c>
      <c r="O2327" t="s">
        <v>1168</v>
      </c>
      <c r="P2327" t="s">
        <v>1235</v>
      </c>
    </row>
    <row r="2328" spans="1:16" x14ac:dyDescent="0.25">
      <c r="A2328" t="s">
        <v>4967</v>
      </c>
      <c r="B2328" t="s">
        <v>4968</v>
      </c>
      <c r="C2328" t="s">
        <v>1233</v>
      </c>
      <c r="D2328" t="s">
        <v>1027</v>
      </c>
      <c r="E2328">
        <v>63762</v>
      </c>
      <c r="F2328" t="s">
        <v>1234</v>
      </c>
      <c r="G2328" t="b">
        <v>0</v>
      </c>
      <c r="H2328" t="b">
        <v>0</v>
      </c>
      <c r="I2328" t="s">
        <v>1050</v>
      </c>
      <c r="J2328">
        <v>88</v>
      </c>
      <c r="K2328" t="s">
        <v>0</v>
      </c>
      <c r="L2328" t="s">
        <v>1167</v>
      </c>
      <c r="M2328" t="s">
        <v>1168</v>
      </c>
      <c r="N2328" t="s">
        <v>1169</v>
      </c>
      <c r="O2328" t="s">
        <v>1168</v>
      </c>
      <c r="P2328" t="s">
        <v>1235</v>
      </c>
    </row>
    <row r="2329" spans="1:16" x14ac:dyDescent="0.25">
      <c r="A2329" t="s">
        <v>4969</v>
      </c>
      <c r="B2329" t="s">
        <v>4970</v>
      </c>
      <c r="C2329" t="s">
        <v>1233</v>
      </c>
      <c r="D2329" t="s">
        <v>1027</v>
      </c>
      <c r="E2329">
        <v>63762</v>
      </c>
      <c r="F2329" t="s">
        <v>1234</v>
      </c>
      <c r="G2329" t="b">
        <v>0</v>
      </c>
      <c r="H2329" t="b">
        <v>0</v>
      </c>
      <c r="I2329" t="s">
        <v>1050</v>
      </c>
      <c r="J2329">
        <v>88</v>
      </c>
      <c r="K2329" t="s">
        <v>0</v>
      </c>
      <c r="L2329" t="s">
        <v>1167</v>
      </c>
      <c r="M2329" t="s">
        <v>1168</v>
      </c>
      <c r="N2329" t="s">
        <v>1169</v>
      </c>
      <c r="O2329" t="s">
        <v>1168</v>
      </c>
      <c r="P2329" t="s">
        <v>1235</v>
      </c>
    </row>
    <row r="2330" spans="1:16" x14ac:dyDescent="0.25">
      <c r="A2330" t="s">
        <v>4971</v>
      </c>
      <c r="B2330" t="s">
        <v>4972</v>
      </c>
      <c r="C2330" t="s">
        <v>1233</v>
      </c>
      <c r="D2330" t="s">
        <v>1027</v>
      </c>
      <c r="E2330">
        <v>63762</v>
      </c>
      <c r="F2330" t="s">
        <v>1234</v>
      </c>
      <c r="G2330" t="b">
        <v>0</v>
      </c>
      <c r="H2330" t="b">
        <v>0</v>
      </c>
      <c r="I2330" t="s">
        <v>1050</v>
      </c>
      <c r="J2330">
        <v>88</v>
      </c>
      <c r="K2330" t="s">
        <v>0</v>
      </c>
      <c r="L2330" t="s">
        <v>1167</v>
      </c>
      <c r="M2330" t="s">
        <v>1168</v>
      </c>
      <c r="N2330" t="s">
        <v>1169</v>
      </c>
      <c r="O2330" t="s">
        <v>1168</v>
      </c>
      <c r="P2330" t="s">
        <v>1235</v>
      </c>
    </row>
    <row r="2331" spans="1:16" x14ac:dyDescent="0.25">
      <c r="A2331" t="s">
        <v>4973</v>
      </c>
      <c r="B2331" t="s">
        <v>4974</v>
      </c>
      <c r="C2331" t="s">
        <v>1233</v>
      </c>
      <c r="D2331" t="s">
        <v>1027</v>
      </c>
      <c r="E2331">
        <v>63762</v>
      </c>
      <c r="F2331" t="s">
        <v>1234</v>
      </c>
      <c r="G2331" t="b">
        <v>0</v>
      </c>
      <c r="H2331" t="b">
        <v>0</v>
      </c>
      <c r="I2331" t="s">
        <v>1050</v>
      </c>
      <c r="J2331">
        <v>88</v>
      </c>
      <c r="K2331" t="s">
        <v>0</v>
      </c>
      <c r="L2331" t="s">
        <v>1167</v>
      </c>
      <c r="M2331" t="s">
        <v>1168</v>
      </c>
      <c r="N2331" t="s">
        <v>1169</v>
      </c>
      <c r="O2331" t="s">
        <v>1168</v>
      </c>
      <c r="P2331" t="s">
        <v>1235</v>
      </c>
    </row>
    <row r="2332" spans="1:16" x14ac:dyDescent="0.25">
      <c r="A2332" t="s">
        <v>4975</v>
      </c>
      <c r="B2332" t="s">
        <v>4976</v>
      </c>
      <c r="C2332" t="s">
        <v>1233</v>
      </c>
      <c r="D2332" t="s">
        <v>1027</v>
      </c>
      <c r="E2332">
        <v>63762</v>
      </c>
      <c r="F2332" t="s">
        <v>1234</v>
      </c>
      <c r="G2332" t="b">
        <v>0</v>
      </c>
      <c r="H2332" t="b">
        <v>0</v>
      </c>
      <c r="I2332" t="s">
        <v>1050</v>
      </c>
      <c r="J2332">
        <v>88</v>
      </c>
      <c r="K2332" t="s">
        <v>0</v>
      </c>
      <c r="L2332" t="s">
        <v>1167</v>
      </c>
      <c r="M2332" t="s">
        <v>1168</v>
      </c>
      <c r="N2332" t="s">
        <v>1169</v>
      </c>
      <c r="O2332" t="s">
        <v>1168</v>
      </c>
      <c r="P2332" t="s">
        <v>1235</v>
      </c>
    </row>
    <row r="2333" spans="1:16" x14ac:dyDescent="0.25">
      <c r="A2333" t="s">
        <v>4977</v>
      </c>
      <c r="B2333" t="s">
        <v>4978</v>
      </c>
      <c r="C2333" t="s">
        <v>1233</v>
      </c>
      <c r="D2333" t="s">
        <v>1027</v>
      </c>
      <c r="E2333">
        <v>63762</v>
      </c>
      <c r="F2333" t="s">
        <v>1234</v>
      </c>
      <c r="G2333" t="b">
        <v>0</v>
      </c>
      <c r="H2333" t="b">
        <v>0</v>
      </c>
      <c r="I2333" t="s">
        <v>1050</v>
      </c>
      <c r="J2333">
        <v>88</v>
      </c>
      <c r="K2333" t="s">
        <v>0</v>
      </c>
      <c r="L2333" t="s">
        <v>1167</v>
      </c>
      <c r="M2333" t="s">
        <v>1168</v>
      </c>
      <c r="N2333" t="s">
        <v>1169</v>
      </c>
      <c r="O2333" t="s">
        <v>1168</v>
      </c>
      <c r="P2333" t="s">
        <v>1235</v>
      </c>
    </row>
    <row r="2334" spans="1:16" x14ac:dyDescent="0.25">
      <c r="A2334" t="s">
        <v>4979</v>
      </c>
      <c r="B2334" t="s">
        <v>4980</v>
      </c>
      <c r="C2334" t="s">
        <v>1228</v>
      </c>
      <c r="D2334" t="s">
        <v>1027</v>
      </c>
      <c r="E2334">
        <v>1660</v>
      </c>
      <c r="F2334" t="s">
        <v>1229</v>
      </c>
      <c r="G2334" t="b">
        <v>0</v>
      </c>
      <c r="H2334" t="b">
        <v>0</v>
      </c>
      <c r="I2334" t="s">
        <v>1050</v>
      </c>
      <c r="J2334">
        <v>86</v>
      </c>
      <c r="K2334" t="s">
        <v>2</v>
      </c>
      <c r="L2334" t="s">
        <v>1167</v>
      </c>
      <c r="M2334" t="s">
        <v>1168</v>
      </c>
      <c r="N2334" t="s">
        <v>1169</v>
      </c>
      <c r="O2334" t="s">
        <v>1168</v>
      </c>
      <c r="P2334" t="s">
        <v>1230</v>
      </c>
    </row>
    <row r="2335" spans="1:16" x14ac:dyDescent="0.25">
      <c r="A2335" t="s">
        <v>4981</v>
      </c>
      <c r="B2335" t="s">
        <v>4982</v>
      </c>
      <c r="C2335" t="s">
        <v>1571</v>
      </c>
      <c r="D2335" t="s">
        <v>1027</v>
      </c>
      <c r="E2335">
        <v>63767</v>
      </c>
      <c r="G2335" t="b">
        <v>0</v>
      </c>
      <c r="H2335" t="b">
        <v>0</v>
      </c>
      <c r="I2335" t="s">
        <v>1050</v>
      </c>
      <c r="J2335">
        <v>80</v>
      </c>
      <c r="K2335" t="s">
        <v>0</v>
      </c>
      <c r="L2335" t="s">
        <v>1167</v>
      </c>
      <c r="M2335" t="s">
        <v>1168</v>
      </c>
      <c r="N2335" t="s">
        <v>1169</v>
      </c>
      <c r="O2335" t="s">
        <v>1168</v>
      </c>
      <c r="P2335" t="s">
        <v>1283</v>
      </c>
    </row>
    <row r="2336" spans="1:16" x14ac:dyDescent="0.25">
      <c r="A2336" t="s">
        <v>4983</v>
      </c>
      <c r="B2336" t="s">
        <v>4984</v>
      </c>
      <c r="C2336" t="s">
        <v>1571</v>
      </c>
      <c r="D2336" t="s">
        <v>1027</v>
      </c>
      <c r="E2336">
        <v>63767</v>
      </c>
      <c r="G2336" t="b">
        <v>0</v>
      </c>
      <c r="H2336" t="b">
        <v>0</v>
      </c>
      <c r="I2336" t="s">
        <v>1050</v>
      </c>
      <c r="J2336">
        <v>80</v>
      </c>
      <c r="K2336" t="s">
        <v>0</v>
      </c>
      <c r="L2336" t="s">
        <v>1167</v>
      </c>
      <c r="M2336" t="s">
        <v>1168</v>
      </c>
      <c r="N2336" t="s">
        <v>1169</v>
      </c>
      <c r="O2336" t="s">
        <v>1168</v>
      </c>
      <c r="P2336" t="s">
        <v>1283</v>
      </c>
    </row>
    <row r="2337" spans="1:16" x14ac:dyDescent="0.25">
      <c r="A2337" t="s">
        <v>4985</v>
      </c>
      <c r="B2337" t="s">
        <v>4986</v>
      </c>
      <c r="C2337" t="s">
        <v>1571</v>
      </c>
      <c r="D2337" t="s">
        <v>1027</v>
      </c>
      <c r="E2337">
        <v>63767</v>
      </c>
      <c r="G2337" t="b">
        <v>0</v>
      </c>
      <c r="H2337" t="b">
        <v>0</v>
      </c>
      <c r="I2337" t="s">
        <v>1050</v>
      </c>
      <c r="J2337">
        <v>80</v>
      </c>
      <c r="K2337" t="s">
        <v>0</v>
      </c>
      <c r="L2337" t="s">
        <v>1167</v>
      </c>
      <c r="M2337" t="s">
        <v>1168</v>
      </c>
      <c r="N2337" t="s">
        <v>1169</v>
      </c>
      <c r="O2337" t="s">
        <v>1168</v>
      </c>
      <c r="P2337" t="s">
        <v>1283</v>
      </c>
    </row>
    <row r="2338" spans="1:16" x14ac:dyDescent="0.25">
      <c r="A2338" t="s">
        <v>4987</v>
      </c>
      <c r="B2338" t="s">
        <v>4988</v>
      </c>
      <c r="C2338" t="s">
        <v>1571</v>
      </c>
      <c r="D2338" t="s">
        <v>1027</v>
      </c>
      <c r="E2338">
        <v>63767</v>
      </c>
      <c r="G2338" t="b">
        <v>0</v>
      </c>
      <c r="H2338" t="b">
        <v>0</v>
      </c>
      <c r="I2338" t="s">
        <v>1050</v>
      </c>
      <c r="J2338">
        <v>80</v>
      </c>
      <c r="K2338" t="s">
        <v>0</v>
      </c>
      <c r="L2338" t="s">
        <v>1167</v>
      </c>
      <c r="M2338" t="s">
        <v>1168</v>
      </c>
      <c r="N2338" t="s">
        <v>1169</v>
      </c>
      <c r="O2338" t="s">
        <v>1168</v>
      </c>
      <c r="P2338" t="s">
        <v>1283</v>
      </c>
    </row>
    <row r="2339" spans="1:16" x14ac:dyDescent="0.25">
      <c r="A2339" t="s">
        <v>4989</v>
      </c>
      <c r="B2339" t="s">
        <v>4990</v>
      </c>
      <c r="C2339" t="s">
        <v>1571</v>
      </c>
      <c r="D2339" t="s">
        <v>1027</v>
      </c>
      <c r="E2339">
        <v>63767</v>
      </c>
      <c r="G2339" t="b">
        <v>0</v>
      </c>
      <c r="H2339" t="b">
        <v>0</v>
      </c>
      <c r="I2339" t="s">
        <v>1050</v>
      </c>
      <c r="J2339">
        <v>80</v>
      </c>
      <c r="K2339" t="s">
        <v>0</v>
      </c>
      <c r="L2339" t="s">
        <v>1167</v>
      </c>
      <c r="M2339" t="s">
        <v>1168</v>
      </c>
      <c r="N2339" t="s">
        <v>1169</v>
      </c>
      <c r="O2339" t="s">
        <v>1168</v>
      </c>
      <c r="P2339" t="s">
        <v>1283</v>
      </c>
    </row>
    <row r="2340" spans="1:16" x14ac:dyDescent="0.25">
      <c r="A2340" t="s">
        <v>4991</v>
      </c>
      <c r="B2340" t="s">
        <v>4992</v>
      </c>
      <c r="C2340" t="s">
        <v>1571</v>
      </c>
      <c r="D2340" t="s">
        <v>1027</v>
      </c>
      <c r="E2340">
        <v>63767</v>
      </c>
      <c r="G2340" t="b">
        <v>0</v>
      </c>
      <c r="H2340" t="b">
        <v>0</v>
      </c>
      <c r="I2340" t="s">
        <v>1050</v>
      </c>
      <c r="J2340">
        <v>80</v>
      </c>
      <c r="K2340" t="s">
        <v>0</v>
      </c>
      <c r="L2340" t="s">
        <v>1167</v>
      </c>
      <c r="M2340" t="s">
        <v>1168</v>
      </c>
      <c r="N2340" t="s">
        <v>1169</v>
      </c>
      <c r="O2340" t="s">
        <v>1168</v>
      </c>
      <c r="P2340" t="s">
        <v>1283</v>
      </c>
    </row>
    <row r="2341" spans="1:16" x14ac:dyDescent="0.25">
      <c r="A2341" t="s">
        <v>4993</v>
      </c>
      <c r="B2341" t="s">
        <v>4994</v>
      </c>
      <c r="C2341" t="s">
        <v>1571</v>
      </c>
      <c r="D2341" t="s">
        <v>1027</v>
      </c>
      <c r="E2341">
        <v>63767</v>
      </c>
      <c r="G2341" t="b">
        <v>0</v>
      </c>
      <c r="H2341" t="b">
        <v>0</v>
      </c>
      <c r="I2341" t="s">
        <v>1050</v>
      </c>
      <c r="J2341">
        <v>80</v>
      </c>
      <c r="K2341" t="s">
        <v>0</v>
      </c>
      <c r="L2341" t="s">
        <v>1167</v>
      </c>
      <c r="M2341" t="s">
        <v>1168</v>
      </c>
      <c r="N2341" t="s">
        <v>1169</v>
      </c>
      <c r="O2341" t="s">
        <v>1168</v>
      </c>
      <c r="P2341" t="s">
        <v>1283</v>
      </c>
    </row>
    <row r="2342" spans="1:16" x14ac:dyDescent="0.25">
      <c r="A2342" t="s">
        <v>4995</v>
      </c>
      <c r="B2342" t="s">
        <v>4996</v>
      </c>
      <c r="C2342" t="s">
        <v>1571</v>
      </c>
      <c r="D2342" t="s">
        <v>1027</v>
      </c>
      <c r="E2342">
        <v>63767</v>
      </c>
      <c r="G2342" t="b">
        <v>0</v>
      </c>
      <c r="H2342" t="b">
        <v>0</v>
      </c>
      <c r="I2342" t="s">
        <v>1050</v>
      </c>
      <c r="J2342">
        <v>80</v>
      </c>
      <c r="K2342" t="s">
        <v>0</v>
      </c>
      <c r="L2342" t="s">
        <v>1167</v>
      </c>
      <c r="M2342" t="s">
        <v>1168</v>
      </c>
      <c r="N2342" t="s">
        <v>1169</v>
      </c>
      <c r="O2342" t="s">
        <v>1168</v>
      </c>
      <c r="P2342" t="s">
        <v>1283</v>
      </c>
    </row>
    <row r="2343" spans="1:16" x14ac:dyDescent="0.25">
      <c r="A2343" t="s">
        <v>4997</v>
      </c>
      <c r="B2343" t="s">
        <v>4998</v>
      </c>
      <c r="C2343" t="s">
        <v>1571</v>
      </c>
      <c r="D2343" t="s">
        <v>1027</v>
      </c>
      <c r="E2343">
        <v>63767</v>
      </c>
      <c r="G2343" t="b">
        <v>0</v>
      </c>
      <c r="H2343" t="b">
        <v>0</v>
      </c>
      <c r="I2343" t="s">
        <v>1050</v>
      </c>
      <c r="J2343">
        <v>80</v>
      </c>
      <c r="K2343" t="s">
        <v>0</v>
      </c>
      <c r="L2343" t="s">
        <v>1167</v>
      </c>
      <c r="M2343" t="s">
        <v>1168</v>
      </c>
      <c r="N2343" t="s">
        <v>1169</v>
      </c>
      <c r="O2343" t="s">
        <v>1168</v>
      </c>
      <c r="P2343" t="s">
        <v>1283</v>
      </c>
    </row>
    <row r="2344" spans="1:16" x14ac:dyDescent="0.25">
      <c r="A2344" t="s">
        <v>4999</v>
      </c>
      <c r="B2344" t="s">
        <v>5000</v>
      </c>
      <c r="C2344" t="s">
        <v>1571</v>
      </c>
      <c r="D2344" t="s">
        <v>1027</v>
      </c>
      <c r="E2344">
        <v>63767</v>
      </c>
      <c r="G2344" t="b">
        <v>0</v>
      </c>
      <c r="H2344" t="b">
        <v>0</v>
      </c>
      <c r="I2344" t="s">
        <v>1050</v>
      </c>
      <c r="J2344">
        <v>80</v>
      </c>
      <c r="K2344" t="s">
        <v>0</v>
      </c>
      <c r="L2344" t="s">
        <v>1167</v>
      </c>
      <c r="M2344" t="s">
        <v>1168</v>
      </c>
      <c r="N2344" t="s">
        <v>1169</v>
      </c>
      <c r="O2344" t="s">
        <v>1168</v>
      </c>
      <c r="P2344" t="s">
        <v>1283</v>
      </c>
    </row>
    <row r="2345" spans="1:16" x14ac:dyDescent="0.25">
      <c r="A2345" t="s">
        <v>5001</v>
      </c>
      <c r="B2345" t="s">
        <v>5002</v>
      </c>
      <c r="C2345" t="s">
        <v>1571</v>
      </c>
      <c r="D2345" t="s">
        <v>1027</v>
      </c>
      <c r="E2345">
        <v>63767</v>
      </c>
      <c r="G2345" t="b">
        <v>0</v>
      </c>
      <c r="H2345" t="b">
        <v>0</v>
      </c>
      <c r="I2345" t="s">
        <v>1050</v>
      </c>
      <c r="J2345">
        <v>80</v>
      </c>
      <c r="K2345" t="s">
        <v>0</v>
      </c>
      <c r="L2345" t="s">
        <v>1167</v>
      </c>
      <c r="M2345" t="s">
        <v>1168</v>
      </c>
      <c r="N2345" t="s">
        <v>1169</v>
      </c>
      <c r="O2345" t="s">
        <v>1168</v>
      </c>
      <c r="P2345" t="s">
        <v>1283</v>
      </c>
    </row>
    <row r="2346" spans="1:16" x14ac:dyDescent="0.25">
      <c r="A2346" t="s">
        <v>5003</v>
      </c>
      <c r="B2346" t="s">
        <v>5004</v>
      </c>
      <c r="C2346" t="s">
        <v>2026</v>
      </c>
      <c r="D2346" t="s">
        <v>1027</v>
      </c>
      <c r="E2346">
        <v>1336</v>
      </c>
      <c r="F2346" t="s">
        <v>2027</v>
      </c>
      <c r="G2346" t="b">
        <v>0</v>
      </c>
      <c r="H2346" t="b">
        <v>0</v>
      </c>
      <c r="I2346" t="s">
        <v>1050</v>
      </c>
      <c r="J2346">
        <v>80</v>
      </c>
      <c r="K2346" t="s">
        <v>0</v>
      </c>
      <c r="L2346" t="s">
        <v>1167</v>
      </c>
      <c r="M2346" t="s">
        <v>1168</v>
      </c>
      <c r="N2346" t="s">
        <v>1169</v>
      </c>
      <c r="O2346" t="s">
        <v>1168</v>
      </c>
      <c r="P2346" t="s">
        <v>2028</v>
      </c>
    </row>
    <row r="2347" spans="1:16" x14ac:dyDescent="0.25">
      <c r="A2347" t="s">
        <v>5005</v>
      </c>
      <c r="B2347" t="s">
        <v>5006</v>
      </c>
      <c r="C2347" t="s">
        <v>1233</v>
      </c>
      <c r="D2347" t="s">
        <v>1027</v>
      </c>
      <c r="E2347">
        <v>63762</v>
      </c>
      <c r="F2347" t="s">
        <v>1234</v>
      </c>
      <c r="G2347" t="b">
        <v>0</v>
      </c>
      <c r="H2347" t="b">
        <v>0</v>
      </c>
      <c r="I2347" t="s">
        <v>1050</v>
      </c>
      <c r="J2347">
        <v>80</v>
      </c>
      <c r="K2347" t="s">
        <v>0</v>
      </c>
      <c r="L2347" t="s">
        <v>1167</v>
      </c>
      <c r="M2347" t="s">
        <v>1168</v>
      </c>
      <c r="N2347" t="s">
        <v>1169</v>
      </c>
      <c r="O2347" t="s">
        <v>1168</v>
      </c>
      <c r="P2347" t="s">
        <v>1235</v>
      </c>
    </row>
    <row r="2348" spans="1:16" x14ac:dyDescent="0.25">
      <c r="A2348" t="s">
        <v>5007</v>
      </c>
      <c r="B2348" t="s">
        <v>5008</v>
      </c>
      <c r="C2348" t="s">
        <v>1233</v>
      </c>
      <c r="D2348" t="s">
        <v>1027</v>
      </c>
      <c r="E2348">
        <v>63762</v>
      </c>
      <c r="F2348" t="s">
        <v>1234</v>
      </c>
      <c r="G2348" t="b">
        <v>0</v>
      </c>
      <c r="H2348" t="b">
        <v>0</v>
      </c>
      <c r="I2348" t="s">
        <v>1050</v>
      </c>
      <c r="J2348">
        <v>80</v>
      </c>
      <c r="K2348" t="s">
        <v>0</v>
      </c>
      <c r="L2348" t="s">
        <v>1167</v>
      </c>
      <c r="M2348" t="s">
        <v>1168</v>
      </c>
      <c r="N2348" t="s">
        <v>1169</v>
      </c>
      <c r="O2348" t="s">
        <v>1168</v>
      </c>
      <c r="P2348" t="s">
        <v>1235</v>
      </c>
    </row>
    <row r="2349" spans="1:16" x14ac:dyDescent="0.25">
      <c r="A2349" t="s">
        <v>5009</v>
      </c>
      <c r="B2349" t="s">
        <v>5010</v>
      </c>
      <c r="C2349" t="s">
        <v>1233</v>
      </c>
      <c r="D2349" t="s">
        <v>1027</v>
      </c>
      <c r="E2349">
        <v>63762</v>
      </c>
      <c r="F2349" t="s">
        <v>1234</v>
      </c>
      <c r="G2349" t="b">
        <v>0</v>
      </c>
      <c r="H2349" t="b">
        <v>0</v>
      </c>
      <c r="I2349" t="s">
        <v>1050</v>
      </c>
      <c r="J2349">
        <v>80</v>
      </c>
      <c r="K2349" t="s">
        <v>0</v>
      </c>
      <c r="L2349" t="s">
        <v>1167</v>
      </c>
      <c r="M2349" t="s">
        <v>1168</v>
      </c>
      <c r="N2349" t="s">
        <v>1169</v>
      </c>
      <c r="O2349" t="s">
        <v>1168</v>
      </c>
      <c r="P2349" t="s">
        <v>1235</v>
      </c>
    </row>
    <row r="2350" spans="1:16" x14ac:dyDescent="0.25">
      <c r="A2350" t="s">
        <v>5011</v>
      </c>
      <c r="B2350" t="s">
        <v>5012</v>
      </c>
      <c r="C2350" t="s">
        <v>1545</v>
      </c>
      <c r="D2350" t="s">
        <v>1027</v>
      </c>
      <c r="E2350">
        <v>1322</v>
      </c>
      <c r="F2350" t="s">
        <v>1546</v>
      </c>
      <c r="G2350" t="b">
        <v>0</v>
      </c>
      <c r="H2350" t="b">
        <v>0</v>
      </c>
      <c r="I2350" t="s">
        <v>1050</v>
      </c>
      <c r="J2350">
        <v>81</v>
      </c>
      <c r="K2350" t="s">
        <v>2</v>
      </c>
      <c r="L2350" t="s">
        <v>1547</v>
      </c>
      <c r="M2350" t="s">
        <v>1548</v>
      </c>
      <c r="N2350" t="s">
        <v>1549</v>
      </c>
      <c r="O2350" t="s">
        <v>1549</v>
      </c>
      <c r="P2350" t="s">
        <v>1550</v>
      </c>
    </row>
    <row r="2351" spans="1:16" x14ac:dyDescent="0.25">
      <c r="A2351" t="s">
        <v>5013</v>
      </c>
      <c r="B2351" t="s">
        <v>5014</v>
      </c>
      <c r="C2351" t="s">
        <v>1545</v>
      </c>
      <c r="D2351" t="s">
        <v>1027</v>
      </c>
      <c r="E2351">
        <v>1322</v>
      </c>
      <c r="F2351" t="s">
        <v>1546</v>
      </c>
      <c r="G2351" t="b">
        <v>0</v>
      </c>
      <c r="H2351" t="b">
        <v>0</v>
      </c>
      <c r="I2351" t="s">
        <v>1050</v>
      </c>
      <c r="J2351">
        <v>81</v>
      </c>
      <c r="K2351" t="s">
        <v>2</v>
      </c>
      <c r="L2351" t="s">
        <v>1547</v>
      </c>
      <c r="M2351" t="s">
        <v>1548</v>
      </c>
      <c r="N2351" t="s">
        <v>1549</v>
      </c>
      <c r="O2351" t="s">
        <v>1549</v>
      </c>
      <c r="P2351" t="s">
        <v>1550</v>
      </c>
    </row>
    <row r="2352" spans="1:16" x14ac:dyDescent="0.25">
      <c r="A2352" t="s">
        <v>5015</v>
      </c>
      <c r="B2352" t="s">
        <v>5016</v>
      </c>
      <c r="C2352" t="s">
        <v>1545</v>
      </c>
      <c r="D2352" t="s">
        <v>1027</v>
      </c>
      <c r="E2352">
        <v>1322</v>
      </c>
      <c r="F2352" t="s">
        <v>1546</v>
      </c>
      <c r="G2352" t="b">
        <v>0</v>
      </c>
      <c r="H2352" t="b">
        <v>0</v>
      </c>
      <c r="I2352" t="s">
        <v>1050</v>
      </c>
      <c r="J2352">
        <v>81</v>
      </c>
      <c r="K2352" t="s">
        <v>2</v>
      </c>
      <c r="L2352" t="s">
        <v>1547</v>
      </c>
      <c r="M2352" t="s">
        <v>1548</v>
      </c>
      <c r="N2352" t="s">
        <v>1549</v>
      </c>
      <c r="O2352" t="s">
        <v>1549</v>
      </c>
      <c r="P2352" t="s">
        <v>1550</v>
      </c>
    </row>
    <row r="2353" spans="1:16" x14ac:dyDescent="0.25">
      <c r="A2353" t="s">
        <v>5017</v>
      </c>
      <c r="B2353" t="s">
        <v>5018</v>
      </c>
      <c r="C2353" t="s">
        <v>1545</v>
      </c>
      <c r="D2353" t="s">
        <v>1027</v>
      </c>
      <c r="E2353">
        <v>1322</v>
      </c>
      <c r="F2353" t="s">
        <v>1546</v>
      </c>
      <c r="G2353" t="b">
        <v>0</v>
      </c>
      <c r="H2353" t="b">
        <v>0</v>
      </c>
      <c r="I2353" t="s">
        <v>1050</v>
      </c>
      <c r="J2353">
        <v>81</v>
      </c>
      <c r="K2353" t="s">
        <v>2</v>
      </c>
      <c r="L2353" t="s">
        <v>1547</v>
      </c>
      <c r="M2353" t="s">
        <v>1548</v>
      </c>
      <c r="N2353" t="s">
        <v>1549</v>
      </c>
      <c r="O2353" t="s">
        <v>1549</v>
      </c>
      <c r="P2353" t="s">
        <v>1550</v>
      </c>
    </row>
    <row r="2354" spans="1:16" x14ac:dyDescent="0.25">
      <c r="A2354" t="s">
        <v>5019</v>
      </c>
      <c r="B2354" t="s">
        <v>5020</v>
      </c>
      <c r="C2354" t="s">
        <v>1545</v>
      </c>
      <c r="D2354" t="s">
        <v>1027</v>
      </c>
      <c r="E2354">
        <v>1322</v>
      </c>
      <c r="F2354" t="s">
        <v>1546</v>
      </c>
      <c r="G2354" t="b">
        <v>0</v>
      </c>
      <c r="H2354" t="b">
        <v>0</v>
      </c>
      <c r="I2354" t="s">
        <v>1050</v>
      </c>
      <c r="J2354">
        <v>81</v>
      </c>
      <c r="K2354" t="s">
        <v>2</v>
      </c>
      <c r="L2354" t="s">
        <v>1547</v>
      </c>
      <c r="M2354" t="s">
        <v>1548</v>
      </c>
      <c r="N2354" t="s">
        <v>1549</v>
      </c>
      <c r="O2354" t="s">
        <v>1549</v>
      </c>
      <c r="P2354" t="s">
        <v>1550</v>
      </c>
    </row>
    <row r="2355" spans="1:16" x14ac:dyDescent="0.25">
      <c r="A2355" t="s">
        <v>5021</v>
      </c>
      <c r="B2355" t="s">
        <v>5022</v>
      </c>
      <c r="C2355" t="s">
        <v>1545</v>
      </c>
      <c r="D2355" t="s">
        <v>1027</v>
      </c>
      <c r="E2355">
        <v>1322</v>
      </c>
      <c r="F2355" t="s">
        <v>1546</v>
      </c>
      <c r="G2355" t="b">
        <v>0</v>
      </c>
      <c r="H2355" t="b">
        <v>0</v>
      </c>
      <c r="I2355" t="s">
        <v>1050</v>
      </c>
      <c r="J2355">
        <v>81</v>
      </c>
      <c r="K2355" t="s">
        <v>2</v>
      </c>
      <c r="L2355" t="s">
        <v>1547</v>
      </c>
      <c r="M2355" t="s">
        <v>1548</v>
      </c>
      <c r="N2355" t="s">
        <v>1549</v>
      </c>
      <c r="O2355" t="s">
        <v>1549</v>
      </c>
      <c r="P2355" t="s">
        <v>1550</v>
      </c>
    </row>
    <row r="2356" spans="1:16" x14ac:dyDescent="0.25">
      <c r="A2356" t="s">
        <v>5023</v>
      </c>
      <c r="B2356" t="s">
        <v>5024</v>
      </c>
      <c r="C2356" t="s">
        <v>1165</v>
      </c>
      <c r="D2356" t="s">
        <v>1027</v>
      </c>
      <c r="E2356">
        <v>63774</v>
      </c>
      <c r="F2356" t="s">
        <v>1166</v>
      </c>
      <c r="G2356" t="b">
        <v>0</v>
      </c>
      <c r="H2356" t="b">
        <v>0</v>
      </c>
      <c r="I2356" t="s">
        <v>1050</v>
      </c>
      <c r="J2356">
        <v>29</v>
      </c>
      <c r="K2356" t="s">
        <v>1</v>
      </c>
      <c r="L2356" t="s">
        <v>1167</v>
      </c>
      <c r="M2356" t="s">
        <v>1168</v>
      </c>
      <c r="N2356" t="s">
        <v>1169</v>
      </c>
      <c r="O2356" t="s">
        <v>1168</v>
      </c>
      <c r="P2356" t="s">
        <v>1170</v>
      </c>
    </row>
    <row r="2357" spans="1:16" x14ac:dyDescent="0.25">
      <c r="A2357" t="s">
        <v>5025</v>
      </c>
      <c r="B2357" t="s">
        <v>5026</v>
      </c>
      <c r="C2357" t="s">
        <v>1165</v>
      </c>
      <c r="D2357" t="s">
        <v>1027</v>
      </c>
      <c r="E2357">
        <v>63774</v>
      </c>
      <c r="F2357" t="s">
        <v>1166</v>
      </c>
      <c r="G2357" t="b">
        <v>0</v>
      </c>
      <c r="H2357" t="b">
        <v>0</v>
      </c>
      <c r="I2357" t="s">
        <v>1050</v>
      </c>
      <c r="J2357">
        <v>29</v>
      </c>
      <c r="K2357" t="s">
        <v>1</v>
      </c>
      <c r="L2357" t="s">
        <v>1167</v>
      </c>
      <c r="M2357" t="s">
        <v>1168</v>
      </c>
      <c r="N2357" t="s">
        <v>1169</v>
      </c>
      <c r="O2357" t="s">
        <v>1168</v>
      </c>
      <c r="P2357" t="s">
        <v>1170</v>
      </c>
    </row>
    <row r="2358" spans="1:16" x14ac:dyDescent="0.25">
      <c r="A2358" t="s">
        <v>5027</v>
      </c>
      <c r="B2358" t="s">
        <v>5028</v>
      </c>
      <c r="C2358" t="s">
        <v>1571</v>
      </c>
      <c r="D2358" t="s">
        <v>1027</v>
      </c>
      <c r="E2358">
        <v>63767</v>
      </c>
      <c r="G2358" t="b">
        <v>0</v>
      </c>
      <c r="H2358" t="b">
        <v>0</v>
      </c>
      <c r="I2358" t="s">
        <v>1050</v>
      </c>
      <c r="J2358">
        <v>80</v>
      </c>
      <c r="K2358" t="s">
        <v>0</v>
      </c>
      <c r="L2358" t="s">
        <v>1167</v>
      </c>
      <c r="M2358" t="s">
        <v>1168</v>
      </c>
      <c r="N2358" t="s">
        <v>1169</v>
      </c>
      <c r="O2358" t="s">
        <v>1168</v>
      </c>
      <c r="P2358" t="s">
        <v>1283</v>
      </c>
    </row>
    <row r="2359" spans="1:16" x14ac:dyDescent="0.25">
      <c r="A2359" t="s">
        <v>5029</v>
      </c>
      <c r="B2359" t="s">
        <v>5030</v>
      </c>
      <c r="C2359" t="s">
        <v>1571</v>
      </c>
      <c r="D2359" t="s">
        <v>1027</v>
      </c>
      <c r="E2359">
        <v>63767</v>
      </c>
      <c r="G2359" t="b">
        <v>0</v>
      </c>
      <c r="H2359" t="b">
        <v>0</v>
      </c>
      <c r="I2359" t="s">
        <v>1050</v>
      </c>
      <c r="J2359">
        <v>80</v>
      </c>
      <c r="K2359" t="s">
        <v>0</v>
      </c>
      <c r="L2359" t="s">
        <v>1167</v>
      </c>
      <c r="M2359" t="s">
        <v>1168</v>
      </c>
      <c r="N2359" t="s">
        <v>1169</v>
      </c>
      <c r="O2359" t="s">
        <v>1168</v>
      </c>
      <c r="P2359" t="s">
        <v>1283</v>
      </c>
    </row>
    <row r="2360" spans="1:16" x14ac:dyDescent="0.25">
      <c r="A2360" t="s">
        <v>5031</v>
      </c>
      <c r="B2360" t="s">
        <v>5032</v>
      </c>
      <c r="C2360" t="s">
        <v>1571</v>
      </c>
      <c r="D2360" t="s">
        <v>1027</v>
      </c>
      <c r="E2360">
        <v>63767</v>
      </c>
      <c r="G2360" t="b">
        <v>0</v>
      </c>
      <c r="H2360" t="b">
        <v>0</v>
      </c>
      <c r="I2360" t="s">
        <v>1050</v>
      </c>
      <c r="J2360">
        <v>80</v>
      </c>
      <c r="K2360" t="s">
        <v>0</v>
      </c>
      <c r="L2360" t="s">
        <v>1167</v>
      </c>
      <c r="M2360" t="s">
        <v>1168</v>
      </c>
      <c r="N2360" t="s">
        <v>1169</v>
      </c>
      <c r="O2360" t="s">
        <v>1168</v>
      </c>
      <c r="P2360" t="s">
        <v>1283</v>
      </c>
    </row>
    <row r="2361" spans="1:16" x14ac:dyDescent="0.25">
      <c r="A2361" t="s">
        <v>5033</v>
      </c>
      <c r="B2361" t="s">
        <v>5034</v>
      </c>
      <c r="C2361" t="s">
        <v>1571</v>
      </c>
      <c r="D2361" t="s">
        <v>1027</v>
      </c>
      <c r="E2361">
        <v>63767</v>
      </c>
      <c r="G2361" t="b">
        <v>0</v>
      </c>
      <c r="H2361" t="b">
        <v>0</v>
      </c>
      <c r="I2361" t="s">
        <v>1050</v>
      </c>
      <c r="J2361">
        <v>80</v>
      </c>
      <c r="K2361" t="s">
        <v>0</v>
      </c>
      <c r="L2361" t="s">
        <v>1167</v>
      </c>
      <c r="M2361" t="s">
        <v>1168</v>
      </c>
      <c r="N2361" t="s">
        <v>1169</v>
      </c>
      <c r="O2361" t="s">
        <v>1168</v>
      </c>
      <c r="P2361" t="s">
        <v>1283</v>
      </c>
    </row>
    <row r="2362" spans="1:16" x14ac:dyDescent="0.25">
      <c r="A2362" t="s">
        <v>5035</v>
      </c>
      <c r="B2362" t="s">
        <v>5036</v>
      </c>
      <c r="C2362" t="s">
        <v>1678</v>
      </c>
      <c r="D2362" t="s">
        <v>1027</v>
      </c>
      <c r="E2362">
        <v>63786</v>
      </c>
      <c r="F2362" t="s">
        <v>1679</v>
      </c>
      <c r="G2362" t="b">
        <v>0</v>
      </c>
      <c r="H2362" t="b">
        <v>0</v>
      </c>
      <c r="I2362" t="s">
        <v>1050</v>
      </c>
      <c r="J2362">
        <v>80</v>
      </c>
      <c r="K2362" t="s">
        <v>2</v>
      </c>
      <c r="L2362" t="s">
        <v>1680</v>
      </c>
      <c r="M2362" t="s">
        <v>1680</v>
      </c>
      <c r="N2362" t="s">
        <v>1681</v>
      </c>
      <c r="O2362" t="s">
        <v>1680</v>
      </c>
      <c r="P2362" t="s">
        <v>1682</v>
      </c>
    </row>
    <row r="2363" spans="1:16" x14ac:dyDescent="0.25">
      <c r="A2363" t="s">
        <v>5037</v>
      </c>
      <c r="B2363" t="s">
        <v>5038</v>
      </c>
      <c r="C2363" t="s">
        <v>1165</v>
      </c>
      <c r="D2363" t="s">
        <v>1027</v>
      </c>
      <c r="E2363">
        <v>63774</v>
      </c>
      <c r="F2363" t="s">
        <v>1166</v>
      </c>
      <c r="G2363" t="b">
        <v>0</v>
      </c>
      <c r="H2363" t="b">
        <v>0</v>
      </c>
      <c r="I2363" t="s">
        <v>1050</v>
      </c>
      <c r="J2363">
        <v>52</v>
      </c>
      <c r="K2363" t="s">
        <v>1</v>
      </c>
      <c r="L2363" t="s">
        <v>1167</v>
      </c>
      <c r="M2363" t="s">
        <v>1168</v>
      </c>
      <c r="N2363" t="s">
        <v>1169</v>
      </c>
      <c r="O2363" t="s">
        <v>1168</v>
      </c>
      <c r="P2363" t="s">
        <v>1170</v>
      </c>
    </row>
    <row r="2364" spans="1:16" x14ac:dyDescent="0.25">
      <c r="A2364" t="s">
        <v>5039</v>
      </c>
      <c r="B2364" t="s">
        <v>5040</v>
      </c>
      <c r="C2364" t="s">
        <v>1165</v>
      </c>
      <c r="D2364" t="s">
        <v>1027</v>
      </c>
      <c r="E2364">
        <v>63774</v>
      </c>
      <c r="F2364" t="s">
        <v>1166</v>
      </c>
      <c r="G2364" t="b">
        <v>0</v>
      </c>
      <c r="H2364" t="b">
        <v>0</v>
      </c>
      <c r="I2364" t="s">
        <v>1050</v>
      </c>
      <c r="J2364">
        <v>52</v>
      </c>
      <c r="K2364" t="s">
        <v>1</v>
      </c>
      <c r="L2364" t="s">
        <v>1167</v>
      </c>
      <c r="M2364" t="s">
        <v>1168</v>
      </c>
      <c r="N2364" t="s">
        <v>1169</v>
      </c>
      <c r="O2364" t="s">
        <v>1168</v>
      </c>
      <c r="P2364" t="s">
        <v>1170</v>
      </c>
    </row>
    <row r="2365" spans="1:16" x14ac:dyDescent="0.25">
      <c r="A2365" t="s">
        <v>5041</v>
      </c>
      <c r="B2365" t="s">
        <v>5042</v>
      </c>
      <c r="C2365" t="s">
        <v>1606</v>
      </c>
      <c r="D2365" t="s">
        <v>1027</v>
      </c>
      <c r="E2365">
        <v>1324</v>
      </c>
      <c r="F2365" t="s">
        <v>1607</v>
      </c>
      <c r="G2365" t="b">
        <v>0</v>
      </c>
      <c r="H2365" t="b">
        <v>0</v>
      </c>
      <c r="I2365" t="s">
        <v>1050</v>
      </c>
      <c r="J2365">
        <v>80</v>
      </c>
      <c r="K2365" t="s">
        <v>2</v>
      </c>
      <c r="L2365" t="s">
        <v>1608</v>
      </c>
      <c r="M2365" t="s">
        <v>1609</v>
      </c>
      <c r="N2365" t="s">
        <v>1608</v>
      </c>
      <c r="O2365" t="s">
        <v>1610</v>
      </c>
      <c r="P2365" t="s">
        <v>1611</v>
      </c>
    </row>
    <row r="2366" spans="1:16" x14ac:dyDescent="0.25">
      <c r="A2366" t="s">
        <v>5043</v>
      </c>
      <c r="B2366" t="s">
        <v>5044</v>
      </c>
      <c r="C2366" t="s">
        <v>1606</v>
      </c>
      <c r="D2366" t="s">
        <v>1027</v>
      </c>
      <c r="E2366">
        <v>1324</v>
      </c>
      <c r="F2366" t="s">
        <v>1607</v>
      </c>
      <c r="G2366" t="b">
        <v>0</v>
      </c>
      <c r="H2366" t="b">
        <v>0</v>
      </c>
      <c r="I2366" t="s">
        <v>1050</v>
      </c>
      <c r="J2366">
        <v>80</v>
      </c>
      <c r="K2366" t="s">
        <v>2</v>
      </c>
      <c r="L2366" t="s">
        <v>1608</v>
      </c>
      <c r="M2366" t="s">
        <v>1609</v>
      </c>
      <c r="N2366" t="s">
        <v>1608</v>
      </c>
      <c r="O2366" t="s">
        <v>1610</v>
      </c>
      <c r="P2366" t="s">
        <v>1611</v>
      </c>
    </row>
    <row r="2367" spans="1:16" x14ac:dyDescent="0.25">
      <c r="A2367" t="s">
        <v>5045</v>
      </c>
      <c r="B2367" t="s">
        <v>5046</v>
      </c>
      <c r="C2367" t="s">
        <v>1228</v>
      </c>
      <c r="D2367" t="s">
        <v>1027</v>
      </c>
      <c r="E2367">
        <v>1660</v>
      </c>
      <c r="F2367" t="s">
        <v>1229</v>
      </c>
      <c r="G2367" t="b">
        <v>0</v>
      </c>
      <c r="H2367" t="b">
        <v>0</v>
      </c>
      <c r="I2367" t="s">
        <v>1050</v>
      </c>
      <c r="J2367">
        <v>80</v>
      </c>
      <c r="K2367" t="s">
        <v>2</v>
      </c>
      <c r="L2367" t="s">
        <v>1167</v>
      </c>
      <c r="M2367" t="s">
        <v>1168</v>
      </c>
      <c r="N2367" t="s">
        <v>1169</v>
      </c>
      <c r="O2367" t="s">
        <v>1168</v>
      </c>
      <c r="P2367" t="s">
        <v>1230</v>
      </c>
    </row>
    <row r="2368" spans="1:16" x14ac:dyDescent="0.25">
      <c r="A2368" t="s">
        <v>5047</v>
      </c>
      <c r="B2368" t="s">
        <v>5048</v>
      </c>
      <c r="C2368" t="s">
        <v>1165</v>
      </c>
      <c r="D2368" t="s">
        <v>1027</v>
      </c>
      <c r="E2368">
        <v>63774</v>
      </c>
      <c r="F2368" t="s">
        <v>1166</v>
      </c>
      <c r="G2368" t="b">
        <v>0</v>
      </c>
      <c r="H2368" t="b">
        <v>0</v>
      </c>
      <c r="I2368" t="s">
        <v>1050</v>
      </c>
      <c r="J2368">
        <v>81</v>
      </c>
      <c r="K2368" t="s">
        <v>1</v>
      </c>
      <c r="L2368" t="s">
        <v>1167</v>
      </c>
      <c r="M2368" t="s">
        <v>1168</v>
      </c>
      <c r="N2368" t="s">
        <v>1169</v>
      </c>
      <c r="O2368" t="s">
        <v>1168</v>
      </c>
      <c r="P2368" t="s">
        <v>1170</v>
      </c>
    </row>
    <row r="2369" spans="1:16" x14ac:dyDescent="0.25">
      <c r="A2369" t="s">
        <v>5049</v>
      </c>
      <c r="B2369" t="s">
        <v>5050</v>
      </c>
      <c r="C2369" t="s">
        <v>1165</v>
      </c>
      <c r="D2369" t="s">
        <v>1027</v>
      </c>
      <c r="E2369">
        <v>63774</v>
      </c>
      <c r="F2369" t="s">
        <v>1166</v>
      </c>
      <c r="G2369" t="b">
        <v>0</v>
      </c>
      <c r="H2369" t="b">
        <v>0</v>
      </c>
      <c r="I2369" t="s">
        <v>1050</v>
      </c>
      <c r="J2369">
        <v>81</v>
      </c>
      <c r="K2369" t="s">
        <v>1</v>
      </c>
      <c r="L2369" t="s">
        <v>1167</v>
      </c>
      <c r="M2369" t="s">
        <v>1168</v>
      </c>
      <c r="N2369" t="s">
        <v>1169</v>
      </c>
      <c r="O2369" t="s">
        <v>1168</v>
      </c>
      <c r="P2369" t="s">
        <v>1170</v>
      </c>
    </row>
    <row r="2370" spans="1:16" x14ac:dyDescent="0.25">
      <c r="A2370" t="s">
        <v>5051</v>
      </c>
      <c r="B2370" t="s">
        <v>5052</v>
      </c>
      <c r="C2370" t="s">
        <v>1228</v>
      </c>
      <c r="D2370" t="s">
        <v>1027</v>
      </c>
      <c r="E2370">
        <v>1660</v>
      </c>
      <c r="F2370" t="s">
        <v>1229</v>
      </c>
      <c r="G2370" t="b">
        <v>0</v>
      </c>
      <c r="H2370" t="b">
        <v>0</v>
      </c>
      <c r="I2370" t="s">
        <v>1050</v>
      </c>
      <c r="J2370">
        <v>88</v>
      </c>
      <c r="K2370" t="s">
        <v>2</v>
      </c>
      <c r="L2370" t="s">
        <v>1167</v>
      </c>
      <c r="M2370" t="s">
        <v>1168</v>
      </c>
      <c r="N2370" t="s">
        <v>1169</v>
      </c>
      <c r="O2370" t="s">
        <v>1168</v>
      </c>
      <c r="P2370" t="s">
        <v>1230</v>
      </c>
    </row>
    <row r="2371" spans="1:16" x14ac:dyDescent="0.25">
      <c r="A2371" t="s">
        <v>5053</v>
      </c>
      <c r="B2371" t="s">
        <v>5052</v>
      </c>
      <c r="C2371" t="s">
        <v>1228</v>
      </c>
      <c r="D2371" t="s">
        <v>1027</v>
      </c>
      <c r="E2371">
        <v>1660</v>
      </c>
      <c r="F2371" t="s">
        <v>1229</v>
      </c>
      <c r="G2371" t="b">
        <v>0</v>
      </c>
      <c r="H2371" t="b">
        <v>0</v>
      </c>
      <c r="I2371" t="s">
        <v>1050</v>
      </c>
      <c r="J2371">
        <v>88</v>
      </c>
      <c r="K2371" t="s">
        <v>2</v>
      </c>
      <c r="L2371" t="s">
        <v>1167</v>
      </c>
      <c r="M2371" t="s">
        <v>1168</v>
      </c>
      <c r="N2371" t="s">
        <v>1169</v>
      </c>
      <c r="O2371" t="s">
        <v>1168</v>
      </c>
      <c r="P2371" t="s">
        <v>1230</v>
      </c>
    </row>
    <row r="2372" spans="1:16" x14ac:dyDescent="0.25">
      <c r="A2372" t="s">
        <v>5054</v>
      </c>
      <c r="B2372" t="s">
        <v>5055</v>
      </c>
      <c r="C2372" t="s">
        <v>1233</v>
      </c>
      <c r="D2372" t="s">
        <v>1027</v>
      </c>
      <c r="E2372">
        <v>63762</v>
      </c>
      <c r="F2372" t="s">
        <v>1234</v>
      </c>
      <c r="G2372" t="b">
        <v>0</v>
      </c>
      <c r="H2372" t="b">
        <v>0</v>
      </c>
      <c r="I2372" t="s">
        <v>1050</v>
      </c>
      <c r="J2372">
        <v>88</v>
      </c>
      <c r="K2372" t="s">
        <v>0</v>
      </c>
      <c r="L2372" t="s">
        <v>1167</v>
      </c>
      <c r="M2372" t="s">
        <v>1168</v>
      </c>
      <c r="N2372" t="s">
        <v>1169</v>
      </c>
      <c r="O2372" t="s">
        <v>1168</v>
      </c>
      <c r="P2372" t="s">
        <v>1235</v>
      </c>
    </row>
    <row r="2373" spans="1:16" x14ac:dyDescent="0.25">
      <c r="A2373" t="s">
        <v>5056</v>
      </c>
      <c r="B2373" t="s">
        <v>5057</v>
      </c>
      <c r="C2373" t="s">
        <v>1233</v>
      </c>
      <c r="D2373" t="s">
        <v>1027</v>
      </c>
      <c r="E2373">
        <v>63762</v>
      </c>
      <c r="F2373" t="s">
        <v>1234</v>
      </c>
      <c r="G2373" t="b">
        <v>0</v>
      </c>
      <c r="H2373" t="b">
        <v>0</v>
      </c>
      <c r="I2373" t="s">
        <v>1050</v>
      </c>
      <c r="J2373">
        <v>88</v>
      </c>
      <c r="K2373" t="s">
        <v>0</v>
      </c>
      <c r="L2373" t="s">
        <v>1167</v>
      </c>
      <c r="M2373" t="s">
        <v>1168</v>
      </c>
      <c r="N2373" t="s">
        <v>1169</v>
      </c>
      <c r="O2373" t="s">
        <v>1168</v>
      </c>
      <c r="P2373" t="s">
        <v>1235</v>
      </c>
    </row>
    <row r="2374" spans="1:16" x14ac:dyDescent="0.25">
      <c r="A2374" t="s">
        <v>5058</v>
      </c>
      <c r="B2374" t="s">
        <v>5059</v>
      </c>
      <c r="C2374" t="s">
        <v>1571</v>
      </c>
      <c r="D2374" t="s">
        <v>1027</v>
      </c>
      <c r="E2374">
        <v>63767</v>
      </c>
      <c r="G2374" t="b">
        <v>0</v>
      </c>
      <c r="H2374" t="b">
        <v>0</v>
      </c>
      <c r="I2374" t="s">
        <v>1050</v>
      </c>
      <c r="J2374">
        <v>80</v>
      </c>
      <c r="K2374" t="s">
        <v>0</v>
      </c>
      <c r="L2374" t="s">
        <v>1167</v>
      </c>
      <c r="M2374" t="s">
        <v>1168</v>
      </c>
      <c r="N2374" t="s">
        <v>1169</v>
      </c>
      <c r="O2374" t="s">
        <v>1168</v>
      </c>
      <c r="P2374" t="s">
        <v>1283</v>
      </c>
    </row>
    <row r="2375" spans="1:16" x14ac:dyDescent="0.25">
      <c r="A2375" t="s">
        <v>5060</v>
      </c>
      <c r="B2375" t="s">
        <v>5061</v>
      </c>
      <c r="C2375" t="s">
        <v>1571</v>
      </c>
      <c r="D2375" t="s">
        <v>1027</v>
      </c>
      <c r="E2375">
        <v>63767</v>
      </c>
      <c r="G2375" t="b">
        <v>0</v>
      </c>
      <c r="H2375" t="b">
        <v>0</v>
      </c>
      <c r="I2375" t="s">
        <v>1050</v>
      </c>
      <c r="J2375">
        <v>87</v>
      </c>
      <c r="K2375" t="s">
        <v>0</v>
      </c>
      <c r="L2375" t="s">
        <v>1167</v>
      </c>
      <c r="M2375" t="s">
        <v>1168</v>
      </c>
      <c r="N2375" t="s">
        <v>1169</v>
      </c>
      <c r="O2375" t="s">
        <v>1168</v>
      </c>
      <c r="P2375" t="s">
        <v>1283</v>
      </c>
    </row>
    <row r="2376" spans="1:16" x14ac:dyDescent="0.25">
      <c r="A2376" t="s">
        <v>5062</v>
      </c>
      <c r="B2376" t="s">
        <v>5063</v>
      </c>
      <c r="C2376" t="s">
        <v>1571</v>
      </c>
      <c r="D2376" t="s">
        <v>1027</v>
      </c>
      <c r="E2376">
        <v>63767</v>
      </c>
      <c r="G2376" t="b">
        <v>0</v>
      </c>
      <c r="H2376" t="b">
        <v>0</v>
      </c>
      <c r="I2376" t="s">
        <v>1050</v>
      </c>
      <c r="J2376">
        <v>87</v>
      </c>
      <c r="K2376" t="s">
        <v>0</v>
      </c>
      <c r="L2376" t="s">
        <v>1167</v>
      </c>
      <c r="M2376" t="s">
        <v>1168</v>
      </c>
      <c r="N2376" t="s">
        <v>1169</v>
      </c>
      <c r="O2376" t="s">
        <v>1168</v>
      </c>
      <c r="P2376" t="s">
        <v>1283</v>
      </c>
    </row>
    <row r="2377" spans="1:16" x14ac:dyDescent="0.25">
      <c r="A2377" t="s">
        <v>5064</v>
      </c>
      <c r="B2377" t="s">
        <v>5065</v>
      </c>
      <c r="C2377" t="s">
        <v>1571</v>
      </c>
      <c r="D2377" t="s">
        <v>1027</v>
      </c>
      <c r="E2377">
        <v>63767</v>
      </c>
      <c r="G2377" t="b">
        <v>0</v>
      </c>
      <c r="H2377" t="b">
        <v>0</v>
      </c>
      <c r="I2377" t="s">
        <v>1050</v>
      </c>
      <c r="J2377">
        <v>87</v>
      </c>
      <c r="K2377" t="s">
        <v>0</v>
      </c>
      <c r="L2377" t="s">
        <v>1167</v>
      </c>
      <c r="M2377" t="s">
        <v>1168</v>
      </c>
      <c r="N2377" t="s">
        <v>1169</v>
      </c>
      <c r="O2377" t="s">
        <v>1168</v>
      </c>
      <c r="P2377" t="s">
        <v>1283</v>
      </c>
    </row>
    <row r="2378" spans="1:16" x14ac:dyDescent="0.25">
      <c r="A2378" t="s">
        <v>5066</v>
      </c>
      <c r="B2378" t="s">
        <v>5061</v>
      </c>
      <c r="C2378" t="s">
        <v>1571</v>
      </c>
      <c r="D2378" t="s">
        <v>1027</v>
      </c>
      <c r="E2378">
        <v>63767</v>
      </c>
      <c r="G2378" t="b">
        <v>0</v>
      </c>
      <c r="H2378" t="b">
        <v>0</v>
      </c>
      <c r="I2378" t="s">
        <v>1050</v>
      </c>
      <c r="J2378">
        <v>87</v>
      </c>
      <c r="K2378" t="s">
        <v>0</v>
      </c>
      <c r="L2378" t="s">
        <v>1167</v>
      </c>
      <c r="M2378" t="s">
        <v>1168</v>
      </c>
      <c r="N2378" t="s">
        <v>1169</v>
      </c>
      <c r="O2378" t="s">
        <v>1168</v>
      </c>
      <c r="P2378" t="s">
        <v>1283</v>
      </c>
    </row>
    <row r="2379" spans="1:16" x14ac:dyDescent="0.25">
      <c r="A2379" t="s">
        <v>5067</v>
      </c>
      <c r="B2379" t="s">
        <v>5068</v>
      </c>
      <c r="C2379" t="s">
        <v>1571</v>
      </c>
      <c r="D2379" t="s">
        <v>1027</v>
      </c>
      <c r="E2379">
        <v>63767</v>
      </c>
      <c r="G2379" t="b">
        <v>0</v>
      </c>
      <c r="H2379" t="b">
        <v>0</v>
      </c>
      <c r="I2379" t="s">
        <v>1050</v>
      </c>
      <c r="J2379">
        <v>80</v>
      </c>
      <c r="K2379" t="s">
        <v>0</v>
      </c>
      <c r="L2379" t="s">
        <v>1167</v>
      </c>
      <c r="M2379" t="s">
        <v>1168</v>
      </c>
      <c r="N2379" t="s">
        <v>1169</v>
      </c>
      <c r="O2379" t="s">
        <v>1168</v>
      </c>
      <c r="P2379" t="s">
        <v>1283</v>
      </c>
    </row>
    <row r="2380" spans="1:16" x14ac:dyDescent="0.25">
      <c r="A2380" t="s">
        <v>5069</v>
      </c>
      <c r="B2380" t="s">
        <v>5068</v>
      </c>
      <c r="C2380" t="s">
        <v>1571</v>
      </c>
      <c r="D2380" t="s">
        <v>1027</v>
      </c>
      <c r="E2380">
        <v>63767</v>
      </c>
      <c r="G2380" t="b">
        <v>0</v>
      </c>
      <c r="H2380" t="b">
        <v>0</v>
      </c>
      <c r="I2380" t="s">
        <v>1050</v>
      </c>
      <c r="J2380">
        <v>80</v>
      </c>
      <c r="K2380" t="s">
        <v>0</v>
      </c>
      <c r="L2380" t="s">
        <v>1167</v>
      </c>
      <c r="M2380" t="s">
        <v>1168</v>
      </c>
      <c r="N2380" t="s">
        <v>1169</v>
      </c>
      <c r="O2380" t="s">
        <v>1168</v>
      </c>
      <c r="P2380" t="s">
        <v>1283</v>
      </c>
    </row>
    <row r="2381" spans="1:16" x14ac:dyDescent="0.25">
      <c r="A2381" t="s">
        <v>5070</v>
      </c>
      <c r="B2381" t="s">
        <v>5068</v>
      </c>
      <c r="C2381" t="s">
        <v>1571</v>
      </c>
      <c r="D2381" t="s">
        <v>1027</v>
      </c>
      <c r="E2381">
        <v>63767</v>
      </c>
      <c r="G2381" t="b">
        <v>0</v>
      </c>
      <c r="H2381" t="b">
        <v>0</v>
      </c>
      <c r="I2381" t="s">
        <v>1050</v>
      </c>
      <c r="J2381">
        <v>80</v>
      </c>
      <c r="K2381" t="s">
        <v>0</v>
      </c>
      <c r="L2381" t="s">
        <v>1167</v>
      </c>
      <c r="M2381" t="s">
        <v>1168</v>
      </c>
      <c r="N2381" t="s">
        <v>1169</v>
      </c>
      <c r="O2381" t="s">
        <v>1168</v>
      </c>
      <c r="P2381" t="s">
        <v>1283</v>
      </c>
    </row>
    <row r="2382" spans="1:16" x14ac:dyDescent="0.25">
      <c r="A2382" t="s">
        <v>5071</v>
      </c>
      <c r="B2382" t="s">
        <v>5072</v>
      </c>
      <c r="C2382" t="s">
        <v>1571</v>
      </c>
      <c r="D2382" t="s">
        <v>1027</v>
      </c>
      <c r="E2382">
        <v>63767</v>
      </c>
      <c r="G2382" t="b">
        <v>0</v>
      </c>
      <c r="H2382" t="b">
        <v>0</v>
      </c>
      <c r="I2382" t="s">
        <v>1050</v>
      </c>
      <c r="J2382">
        <v>80</v>
      </c>
      <c r="K2382" t="s">
        <v>0</v>
      </c>
      <c r="L2382" t="s">
        <v>1167</v>
      </c>
      <c r="M2382" t="s">
        <v>1168</v>
      </c>
      <c r="N2382" t="s">
        <v>1169</v>
      </c>
      <c r="O2382" t="s">
        <v>1168</v>
      </c>
      <c r="P2382" t="s">
        <v>1283</v>
      </c>
    </row>
    <row r="2383" spans="1:16" x14ac:dyDescent="0.25">
      <c r="A2383" t="s">
        <v>5073</v>
      </c>
      <c r="B2383" t="s">
        <v>5074</v>
      </c>
      <c r="C2383" t="s">
        <v>1571</v>
      </c>
      <c r="D2383" t="s">
        <v>1027</v>
      </c>
      <c r="E2383">
        <v>63767</v>
      </c>
      <c r="G2383" t="b">
        <v>0</v>
      </c>
      <c r="H2383" t="b">
        <v>0</v>
      </c>
      <c r="I2383" t="s">
        <v>1050</v>
      </c>
      <c r="J2383">
        <v>80</v>
      </c>
      <c r="K2383" t="s">
        <v>0</v>
      </c>
      <c r="L2383" t="s">
        <v>1167</v>
      </c>
      <c r="M2383" t="s">
        <v>1168</v>
      </c>
      <c r="N2383" t="s">
        <v>1169</v>
      </c>
      <c r="O2383" t="s">
        <v>1168</v>
      </c>
      <c r="P2383" t="s">
        <v>1283</v>
      </c>
    </row>
    <row r="2384" spans="1:16" x14ac:dyDescent="0.25">
      <c r="A2384" t="s">
        <v>5075</v>
      </c>
      <c r="B2384" t="s">
        <v>5076</v>
      </c>
      <c r="C2384" t="s">
        <v>1233</v>
      </c>
      <c r="D2384" t="s">
        <v>1027</v>
      </c>
      <c r="E2384">
        <v>63762</v>
      </c>
      <c r="F2384" t="s">
        <v>1234</v>
      </c>
      <c r="G2384" t="b">
        <v>0</v>
      </c>
      <c r="H2384" t="b">
        <v>0</v>
      </c>
      <c r="I2384" t="s">
        <v>1050</v>
      </c>
      <c r="J2384">
        <v>80</v>
      </c>
      <c r="K2384" t="s">
        <v>0</v>
      </c>
      <c r="L2384" t="s">
        <v>1167</v>
      </c>
      <c r="M2384" t="s">
        <v>1168</v>
      </c>
      <c r="N2384" t="s">
        <v>1169</v>
      </c>
      <c r="O2384" t="s">
        <v>1168</v>
      </c>
      <c r="P2384" t="s">
        <v>1235</v>
      </c>
    </row>
    <row r="2385" spans="1:16" x14ac:dyDescent="0.25">
      <c r="A2385" t="s">
        <v>5077</v>
      </c>
      <c r="B2385" t="s">
        <v>5078</v>
      </c>
      <c r="C2385" t="s">
        <v>1571</v>
      </c>
      <c r="D2385" t="s">
        <v>1027</v>
      </c>
      <c r="E2385">
        <v>63767</v>
      </c>
      <c r="G2385" t="b">
        <v>0</v>
      </c>
      <c r="H2385" t="b">
        <v>0</v>
      </c>
      <c r="I2385" t="s">
        <v>1050</v>
      </c>
      <c r="J2385">
        <v>80</v>
      </c>
      <c r="K2385" t="s">
        <v>0</v>
      </c>
      <c r="L2385" t="s">
        <v>1167</v>
      </c>
      <c r="M2385" t="s">
        <v>1168</v>
      </c>
      <c r="N2385" t="s">
        <v>1169</v>
      </c>
      <c r="O2385" t="s">
        <v>1168</v>
      </c>
      <c r="P2385" t="s">
        <v>1283</v>
      </c>
    </row>
    <row r="2386" spans="1:16" x14ac:dyDescent="0.25">
      <c r="A2386" t="s">
        <v>5079</v>
      </c>
      <c r="B2386" t="s">
        <v>5080</v>
      </c>
      <c r="C2386" t="s">
        <v>1165</v>
      </c>
      <c r="D2386" t="s">
        <v>1027</v>
      </c>
      <c r="E2386">
        <v>63774</v>
      </c>
      <c r="F2386" t="s">
        <v>1166</v>
      </c>
      <c r="G2386" t="b">
        <v>0</v>
      </c>
      <c r="H2386" t="b">
        <v>0</v>
      </c>
      <c r="I2386" t="s">
        <v>1050</v>
      </c>
      <c r="J2386">
        <v>21</v>
      </c>
      <c r="K2386" t="s">
        <v>1</v>
      </c>
      <c r="L2386" t="s">
        <v>1167</v>
      </c>
      <c r="M2386" t="s">
        <v>1168</v>
      </c>
      <c r="N2386" t="s">
        <v>1169</v>
      </c>
      <c r="O2386" t="s">
        <v>1168</v>
      </c>
      <c r="P2386" t="s">
        <v>1170</v>
      </c>
    </row>
    <row r="2387" spans="1:16" x14ac:dyDescent="0.25">
      <c r="A2387" t="s">
        <v>5081</v>
      </c>
      <c r="B2387" t="s">
        <v>5082</v>
      </c>
      <c r="C2387" t="s">
        <v>1165</v>
      </c>
      <c r="D2387" t="s">
        <v>1027</v>
      </c>
      <c r="E2387">
        <v>63774</v>
      </c>
      <c r="F2387" t="s">
        <v>1166</v>
      </c>
      <c r="G2387" t="b">
        <v>0</v>
      </c>
      <c r="H2387" t="b">
        <v>0</v>
      </c>
      <c r="I2387" t="s">
        <v>1050</v>
      </c>
      <c r="J2387">
        <v>21</v>
      </c>
      <c r="K2387" t="s">
        <v>1</v>
      </c>
      <c r="L2387" t="s">
        <v>1167</v>
      </c>
      <c r="M2387" t="s">
        <v>1168</v>
      </c>
      <c r="N2387" t="s">
        <v>1169</v>
      </c>
      <c r="O2387" t="s">
        <v>1168</v>
      </c>
      <c r="P2387" t="s">
        <v>1170</v>
      </c>
    </row>
    <row r="2388" spans="1:16" x14ac:dyDescent="0.25">
      <c r="A2388" t="s">
        <v>5083</v>
      </c>
      <c r="B2388" t="s">
        <v>5084</v>
      </c>
      <c r="C2388" t="s">
        <v>1165</v>
      </c>
      <c r="D2388" t="s">
        <v>1027</v>
      </c>
      <c r="E2388">
        <v>63774</v>
      </c>
      <c r="F2388" t="s">
        <v>1166</v>
      </c>
      <c r="G2388" t="b">
        <v>0</v>
      </c>
      <c r="H2388" t="b">
        <v>0</v>
      </c>
      <c r="I2388" t="s">
        <v>1050</v>
      </c>
      <c r="J2388">
        <v>21</v>
      </c>
      <c r="K2388" t="s">
        <v>1</v>
      </c>
      <c r="L2388" t="s">
        <v>1167</v>
      </c>
      <c r="M2388" t="s">
        <v>1168</v>
      </c>
      <c r="N2388" t="s">
        <v>1169</v>
      </c>
      <c r="O2388" t="s">
        <v>1168</v>
      </c>
      <c r="P2388" t="s">
        <v>1170</v>
      </c>
    </row>
    <row r="2389" spans="1:16" x14ac:dyDescent="0.25">
      <c r="A2389" t="s">
        <v>5085</v>
      </c>
      <c r="B2389" t="s">
        <v>5086</v>
      </c>
      <c r="C2389" t="s">
        <v>1165</v>
      </c>
      <c r="D2389" t="s">
        <v>1027</v>
      </c>
      <c r="E2389">
        <v>63774</v>
      </c>
      <c r="F2389" t="s">
        <v>1166</v>
      </c>
      <c r="G2389" t="b">
        <v>0</v>
      </c>
      <c r="H2389" t="b">
        <v>0</v>
      </c>
      <c r="I2389" t="s">
        <v>1050</v>
      </c>
      <c r="J2389">
        <v>21</v>
      </c>
      <c r="K2389" t="s">
        <v>1</v>
      </c>
      <c r="L2389" t="s">
        <v>1167</v>
      </c>
      <c r="M2389" t="s">
        <v>1168</v>
      </c>
      <c r="N2389" t="s">
        <v>1169</v>
      </c>
      <c r="O2389" t="s">
        <v>1168</v>
      </c>
      <c r="P2389" t="s">
        <v>1170</v>
      </c>
    </row>
    <row r="2390" spans="1:16" x14ac:dyDescent="0.25">
      <c r="A2390" t="s">
        <v>5087</v>
      </c>
      <c r="B2390" t="s">
        <v>5088</v>
      </c>
      <c r="C2390" t="s">
        <v>1165</v>
      </c>
      <c r="D2390" t="s">
        <v>1027</v>
      </c>
      <c r="E2390">
        <v>63774</v>
      </c>
      <c r="F2390" t="s">
        <v>1166</v>
      </c>
      <c r="G2390" t="b">
        <v>0</v>
      </c>
      <c r="H2390" t="b">
        <v>0</v>
      </c>
      <c r="I2390" t="s">
        <v>1050</v>
      </c>
      <c r="J2390">
        <v>21</v>
      </c>
      <c r="K2390" t="s">
        <v>1</v>
      </c>
      <c r="L2390" t="s">
        <v>1167</v>
      </c>
      <c r="M2390" t="s">
        <v>1168</v>
      </c>
      <c r="N2390" t="s">
        <v>1169</v>
      </c>
      <c r="O2390" t="s">
        <v>1168</v>
      </c>
      <c r="P2390" t="s">
        <v>1170</v>
      </c>
    </row>
    <row r="2391" spans="1:16" x14ac:dyDescent="0.25">
      <c r="A2391" t="s">
        <v>5089</v>
      </c>
      <c r="B2391" t="s">
        <v>5090</v>
      </c>
      <c r="C2391" t="s">
        <v>1165</v>
      </c>
      <c r="D2391" t="s">
        <v>1027</v>
      </c>
      <c r="E2391">
        <v>63774</v>
      </c>
      <c r="F2391" t="s">
        <v>1166</v>
      </c>
      <c r="G2391" t="b">
        <v>0</v>
      </c>
      <c r="H2391" t="b">
        <v>0</v>
      </c>
      <c r="I2391" t="s">
        <v>1050</v>
      </c>
      <c r="J2391">
        <v>21</v>
      </c>
      <c r="K2391" t="s">
        <v>1</v>
      </c>
      <c r="L2391" t="s">
        <v>1167</v>
      </c>
      <c r="M2391" t="s">
        <v>1168</v>
      </c>
      <c r="N2391" t="s">
        <v>1169</v>
      </c>
      <c r="O2391" t="s">
        <v>1168</v>
      </c>
      <c r="P2391" t="s">
        <v>1170</v>
      </c>
    </row>
    <row r="2392" spans="1:16" x14ac:dyDescent="0.25">
      <c r="A2392" t="s">
        <v>5091</v>
      </c>
      <c r="B2392" t="s">
        <v>5092</v>
      </c>
      <c r="C2392" t="s">
        <v>1217</v>
      </c>
      <c r="D2392" t="s">
        <v>1027</v>
      </c>
      <c r="E2392">
        <v>1450</v>
      </c>
      <c r="F2392" t="s">
        <v>1218</v>
      </c>
      <c r="G2392" t="b">
        <v>0</v>
      </c>
      <c r="H2392" t="b">
        <v>0</v>
      </c>
      <c r="I2392" t="s">
        <v>1050</v>
      </c>
      <c r="J2392">
        <v>52</v>
      </c>
      <c r="K2392" t="s">
        <v>0</v>
      </c>
      <c r="L2392" t="s">
        <v>1167</v>
      </c>
      <c r="M2392" t="s">
        <v>1168</v>
      </c>
      <c r="N2392" t="s">
        <v>1169</v>
      </c>
      <c r="O2392" t="s">
        <v>1168</v>
      </c>
      <c r="P2392" t="s">
        <v>1219</v>
      </c>
    </row>
    <row r="2393" spans="1:16" x14ac:dyDescent="0.25">
      <c r="A2393" t="s">
        <v>5093</v>
      </c>
      <c r="B2393" t="s">
        <v>5094</v>
      </c>
      <c r="C2393" t="s">
        <v>1217</v>
      </c>
      <c r="D2393" t="s">
        <v>1027</v>
      </c>
      <c r="E2393">
        <v>1450</v>
      </c>
      <c r="F2393" t="s">
        <v>1218</v>
      </c>
      <c r="G2393" t="b">
        <v>0</v>
      </c>
      <c r="H2393" t="b">
        <v>0</v>
      </c>
      <c r="I2393" t="s">
        <v>1050</v>
      </c>
      <c r="J2393">
        <v>52</v>
      </c>
      <c r="K2393" t="s">
        <v>0</v>
      </c>
      <c r="L2393" t="s">
        <v>1167</v>
      </c>
      <c r="M2393" t="s">
        <v>1168</v>
      </c>
      <c r="N2393" t="s">
        <v>1169</v>
      </c>
      <c r="O2393" t="s">
        <v>1168</v>
      </c>
      <c r="P2393" t="s">
        <v>1219</v>
      </c>
    </row>
    <row r="2394" spans="1:16" x14ac:dyDescent="0.25">
      <c r="A2394" t="s">
        <v>5095</v>
      </c>
      <c r="B2394" t="s">
        <v>5096</v>
      </c>
      <c r="C2394" t="s">
        <v>1571</v>
      </c>
      <c r="D2394" t="s">
        <v>1027</v>
      </c>
      <c r="E2394">
        <v>63767</v>
      </c>
      <c r="G2394" t="b">
        <v>0</v>
      </c>
      <c r="H2394" t="b">
        <v>0</v>
      </c>
      <c r="I2394" t="s">
        <v>1050</v>
      </c>
      <c r="J2394">
        <v>80</v>
      </c>
      <c r="K2394" t="s">
        <v>0</v>
      </c>
      <c r="L2394" t="s">
        <v>1167</v>
      </c>
      <c r="M2394" t="s">
        <v>1168</v>
      </c>
      <c r="N2394" t="s">
        <v>1169</v>
      </c>
      <c r="O2394" t="s">
        <v>1168</v>
      </c>
      <c r="P2394" t="s">
        <v>1283</v>
      </c>
    </row>
    <row r="2395" spans="1:16" x14ac:dyDescent="0.25">
      <c r="A2395" t="s">
        <v>5097</v>
      </c>
      <c r="B2395" t="s">
        <v>5098</v>
      </c>
      <c r="C2395" t="s">
        <v>1571</v>
      </c>
      <c r="D2395" t="s">
        <v>1027</v>
      </c>
      <c r="E2395">
        <v>63767</v>
      </c>
      <c r="G2395" t="b">
        <v>0</v>
      </c>
      <c r="H2395" t="b">
        <v>0</v>
      </c>
      <c r="I2395" t="s">
        <v>1050</v>
      </c>
      <c r="J2395">
        <v>80</v>
      </c>
      <c r="K2395" t="s">
        <v>0</v>
      </c>
      <c r="L2395" t="s">
        <v>1167</v>
      </c>
      <c r="M2395" t="s">
        <v>1168</v>
      </c>
      <c r="N2395" t="s">
        <v>1169</v>
      </c>
      <c r="O2395" t="s">
        <v>1168</v>
      </c>
      <c r="P2395" t="s">
        <v>1283</v>
      </c>
    </row>
    <row r="2396" spans="1:16" x14ac:dyDescent="0.25">
      <c r="A2396" t="s">
        <v>5099</v>
      </c>
      <c r="B2396" t="s">
        <v>5100</v>
      </c>
      <c r="C2396" t="s">
        <v>1571</v>
      </c>
      <c r="D2396" t="s">
        <v>1027</v>
      </c>
      <c r="E2396">
        <v>63767</v>
      </c>
      <c r="G2396" t="b">
        <v>0</v>
      </c>
      <c r="H2396" t="b">
        <v>0</v>
      </c>
      <c r="I2396" t="s">
        <v>1050</v>
      </c>
      <c r="J2396">
        <v>80</v>
      </c>
      <c r="K2396" t="s">
        <v>0</v>
      </c>
      <c r="L2396" t="s">
        <v>1167</v>
      </c>
      <c r="M2396" t="s">
        <v>1168</v>
      </c>
      <c r="N2396" t="s">
        <v>1169</v>
      </c>
      <c r="O2396" t="s">
        <v>1168</v>
      </c>
      <c r="P2396" t="s">
        <v>1283</v>
      </c>
    </row>
    <row r="2397" spans="1:16" x14ac:dyDescent="0.25">
      <c r="A2397" t="s">
        <v>5101</v>
      </c>
      <c r="B2397" t="s">
        <v>5102</v>
      </c>
      <c r="C2397" t="s">
        <v>1165</v>
      </c>
      <c r="D2397" t="s">
        <v>1027</v>
      </c>
      <c r="E2397">
        <v>63774</v>
      </c>
      <c r="F2397" t="s">
        <v>1166</v>
      </c>
      <c r="G2397" t="b">
        <v>0</v>
      </c>
      <c r="H2397" t="b">
        <v>0</v>
      </c>
      <c r="I2397" t="s">
        <v>1050</v>
      </c>
      <c r="J2397">
        <v>52</v>
      </c>
      <c r="K2397" t="s">
        <v>1</v>
      </c>
      <c r="L2397" t="s">
        <v>1167</v>
      </c>
      <c r="M2397" t="s">
        <v>1168</v>
      </c>
      <c r="N2397" t="s">
        <v>1169</v>
      </c>
      <c r="O2397" t="s">
        <v>1168</v>
      </c>
      <c r="P2397" t="s">
        <v>1170</v>
      </c>
    </row>
    <row r="2398" spans="1:16" x14ac:dyDescent="0.25">
      <c r="A2398" t="s">
        <v>5103</v>
      </c>
      <c r="B2398" t="s">
        <v>5104</v>
      </c>
      <c r="C2398" t="s">
        <v>1165</v>
      </c>
      <c r="D2398" t="s">
        <v>1027</v>
      </c>
      <c r="E2398">
        <v>63774</v>
      </c>
      <c r="F2398" t="s">
        <v>1166</v>
      </c>
      <c r="G2398" t="b">
        <v>0</v>
      </c>
      <c r="H2398" t="b">
        <v>0</v>
      </c>
      <c r="I2398" t="s">
        <v>1050</v>
      </c>
      <c r="J2398">
        <v>56</v>
      </c>
      <c r="K2398" t="s">
        <v>1</v>
      </c>
      <c r="L2398" t="s">
        <v>1167</v>
      </c>
      <c r="M2398" t="s">
        <v>1168</v>
      </c>
      <c r="N2398" t="s">
        <v>1169</v>
      </c>
      <c r="O2398" t="s">
        <v>1168</v>
      </c>
      <c r="P2398" t="s">
        <v>1170</v>
      </c>
    </row>
    <row r="2399" spans="1:16" x14ac:dyDescent="0.25">
      <c r="A2399" t="s">
        <v>5105</v>
      </c>
      <c r="B2399" t="s">
        <v>5104</v>
      </c>
      <c r="C2399" t="s">
        <v>1165</v>
      </c>
      <c r="D2399" t="s">
        <v>1027</v>
      </c>
      <c r="E2399">
        <v>63774</v>
      </c>
      <c r="F2399" t="s">
        <v>1166</v>
      </c>
      <c r="G2399" t="b">
        <v>0</v>
      </c>
      <c r="H2399" t="b">
        <v>0</v>
      </c>
      <c r="I2399" t="s">
        <v>1050</v>
      </c>
      <c r="J2399">
        <v>56</v>
      </c>
      <c r="K2399" t="s">
        <v>1</v>
      </c>
      <c r="L2399" t="s">
        <v>1167</v>
      </c>
      <c r="M2399" t="s">
        <v>1168</v>
      </c>
      <c r="N2399" t="s">
        <v>1169</v>
      </c>
      <c r="O2399" t="s">
        <v>1168</v>
      </c>
      <c r="P2399" t="s">
        <v>1170</v>
      </c>
    </row>
    <row r="2400" spans="1:16" x14ac:dyDescent="0.25">
      <c r="A2400" t="s">
        <v>5106</v>
      </c>
      <c r="B2400" t="s">
        <v>5104</v>
      </c>
      <c r="C2400" t="s">
        <v>1165</v>
      </c>
      <c r="D2400" t="s">
        <v>1027</v>
      </c>
      <c r="E2400">
        <v>63774</v>
      </c>
      <c r="F2400" t="s">
        <v>1166</v>
      </c>
      <c r="G2400" t="b">
        <v>0</v>
      </c>
      <c r="H2400" t="b">
        <v>0</v>
      </c>
      <c r="I2400" t="s">
        <v>1050</v>
      </c>
      <c r="J2400">
        <v>56</v>
      </c>
      <c r="K2400" t="s">
        <v>1</v>
      </c>
      <c r="L2400" t="s">
        <v>1167</v>
      </c>
      <c r="M2400" t="s">
        <v>1168</v>
      </c>
      <c r="N2400" t="s">
        <v>1169</v>
      </c>
      <c r="O2400" t="s">
        <v>1168</v>
      </c>
      <c r="P2400" t="s">
        <v>1170</v>
      </c>
    </row>
    <row r="2401" spans="1:16" x14ac:dyDescent="0.25">
      <c r="A2401" t="s">
        <v>5107</v>
      </c>
      <c r="B2401" t="s">
        <v>5104</v>
      </c>
      <c r="C2401" t="s">
        <v>1165</v>
      </c>
      <c r="D2401" t="s">
        <v>1027</v>
      </c>
      <c r="E2401">
        <v>63774</v>
      </c>
      <c r="F2401" t="s">
        <v>1166</v>
      </c>
      <c r="G2401" t="b">
        <v>0</v>
      </c>
      <c r="H2401" t="b">
        <v>0</v>
      </c>
      <c r="I2401" t="s">
        <v>1050</v>
      </c>
      <c r="J2401">
        <v>56</v>
      </c>
      <c r="K2401" t="s">
        <v>1</v>
      </c>
      <c r="L2401" t="s">
        <v>1167</v>
      </c>
      <c r="M2401" t="s">
        <v>1168</v>
      </c>
      <c r="N2401" t="s">
        <v>1169</v>
      </c>
      <c r="O2401" t="s">
        <v>1168</v>
      </c>
      <c r="P2401" t="s">
        <v>1170</v>
      </c>
    </row>
    <row r="2402" spans="1:16" x14ac:dyDescent="0.25">
      <c r="A2402" t="s">
        <v>5108</v>
      </c>
      <c r="B2402" t="s">
        <v>5109</v>
      </c>
      <c r="C2402" t="s">
        <v>1228</v>
      </c>
      <c r="D2402" t="s">
        <v>1027</v>
      </c>
      <c r="E2402">
        <v>1660</v>
      </c>
      <c r="F2402" t="s">
        <v>1229</v>
      </c>
      <c r="G2402" t="b">
        <v>0</v>
      </c>
      <c r="H2402" t="b">
        <v>0</v>
      </c>
      <c r="I2402" t="s">
        <v>1050</v>
      </c>
      <c r="J2402">
        <v>80</v>
      </c>
      <c r="K2402" t="s">
        <v>2</v>
      </c>
      <c r="L2402" t="s">
        <v>1167</v>
      </c>
      <c r="M2402" t="s">
        <v>1168</v>
      </c>
      <c r="N2402" t="s">
        <v>1169</v>
      </c>
      <c r="O2402" t="s">
        <v>1168</v>
      </c>
      <c r="P2402" t="s">
        <v>1230</v>
      </c>
    </row>
    <row r="2403" spans="1:16" x14ac:dyDescent="0.25">
      <c r="A2403" t="s">
        <v>5110</v>
      </c>
      <c r="B2403" t="s">
        <v>5111</v>
      </c>
      <c r="C2403" t="s">
        <v>1228</v>
      </c>
      <c r="D2403" t="s">
        <v>1027</v>
      </c>
      <c r="E2403">
        <v>1660</v>
      </c>
      <c r="F2403" t="s">
        <v>1229</v>
      </c>
      <c r="G2403" t="b">
        <v>0</v>
      </c>
      <c r="H2403" t="b">
        <v>0</v>
      </c>
      <c r="I2403" t="s">
        <v>1050</v>
      </c>
      <c r="J2403">
        <v>80</v>
      </c>
      <c r="K2403" t="s">
        <v>2</v>
      </c>
      <c r="L2403" t="s">
        <v>1167</v>
      </c>
      <c r="M2403" t="s">
        <v>1168</v>
      </c>
      <c r="N2403" t="s">
        <v>1169</v>
      </c>
      <c r="O2403" t="s">
        <v>1168</v>
      </c>
      <c r="P2403" t="s">
        <v>1230</v>
      </c>
    </row>
    <row r="2404" spans="1:16" x14ac:dyDescent="0.25">
      <c r="A2404" t="s">
        <v>5112</v>
      </c>
      <c r="B2404" t="s">
        <v>5113</v>
      </c>
      <c r="C2404" t="s">
        <v>1165</v>
      </c>
      <c r="D2404" t="s">
        <v>1027</v>
      </c>
      <c r="E2404">
        <v>63774</v>
      </c>
      <c r="F2404" t="s">
        <v>1166</v>
      </c>
      <c r="G2404" t="b">
        <v>0</v>
      </c>
      <c r="H2404" t="b">
        <v>0</v>
      </c>
      <c r="I2404" t="s">
        <v>1050</v>
      </c>
      <c r="J2404">
        <v>87</v>
      </c>
      <c r="K2404" t="s">
        <v>1</v>
      </c>
      <c r="L2404" t="s">
        <v>1167</v>
      </c>
      <c r="M2404" t="s">
        <v>1168</v>
      </c>
      <c r="N2404" t="s">
        <v>1169</v>
      </c>
      <c r="O2404" t="s">
        <v>1168</v>
      </c>
      <c r="P2404" t="s">
        <v>1170</v>
      </c>
    </row>
    <row r="2405" spans="1:16" x14ac:dyDescent="0.25">
      <c r="A2405" t="s">
        <v>5114</v>
      </c>
      <c r="B2405" t="s">
        <v>5113</v>
      </c>
      <c r="C2405" t="s">
        <v>1165</v>
      </c>
      <c r="D2405" t="s">
        <v>1027</v>
      </c>
      <c r="E2405">
        <v>63774</v>
      </c>
      <c r="F2405" t="s">
        <v>1166</v>
      </c>
      <c r="G2405" t="b">
        <v>0</v>
      </c>
      <c r="H2405" t="b">
        <v>0</v>
      </c>
      <c r="I2405" t="s">
        <v>1050</v>
      </c>
      <c r="J2405">
        <v>87</v>
      </c>
      <c r="K2405" t="s">
        <v>1</v>
      </c>
      <c r="L2405" t="s">
        <v>1167</v>
      </c>
      <c r="M2405" t="s">
        <v>1168</v>
      </c>
      <c r="N2405" t="s">
        <v>1169</v>
      </c>
      <c r="O2405" t="s">
        <v>1168</v>
      </c>
      <c r="P2405" t="s">
        <v>1170</v>
      </c>
    </row>
    <row r="2406" spans="1:16" x14ac:dyDescent="0.25">
      <c r="A2406" t="s">
        <v>5115</v>
      </c>
      <c r="B2406" t="s">
        <v>5113</v>
      </c>
      <c r="C2406" t="s">
        <v>1165</v>
      </c>
      <c r="D2406" t="s">
        <v>1027</v>
      </c>
      <c r="E2406">
        <v>63774</v>
      </c>
      <c r="F2406" t="s">
        <v>1166</v>
      </c>
      <c r="G2406" t="b">
        <v>0</v>
      </c>
      <c r="H2406" t="b">
        <v>0</v>
      </c>
      <c r="I2406" t="s">
        <v>1050</v>
      </c>
      <c r="J2406">
        <v>87</v>
      </c>
      <c r="K2406" t="s">
        <v>1</v>
      </c>
      <c r="L2406" t="s">
        <v>1167</v>
      </c>
      <c r="M2406" t="s">
        <v>1168</v>
      </c>
      <c r="N2406" t="s">
        <v>1169</v>
      </c>
      <c r="O2406" t="s">
        <v>1168</v>
      </c>
      <c r="P2406" t="s">
        <v>1170</v>
      </c>
    </row>
    <row r="2407" spans="1:16" x14ac:dyDescent="0.25">
      <c r="A2407" t="s">
        <v>5116</v>
      </c>
      <c r="B2407" t="s">
        <v>5113</v>
      </c>
      <c r="C2407" t="s">
        <v>1165</v>
      </c>
      <c r="D2407" t="s">
        <v>1027</v>
      </c>
      <c r="E2407">
        <v>63774</v>
      </c>
      <c r="F2407" t="s">
        <v>1166</v>
      </c>
      <c r="G2407" t="b">
        <v>0</v>
      </c>
      <c r="H2407" t="b">
        <v>0</v>
      </c>
      <c r="I2407" t="s">
        <v>1050</v>
      </c>
      <c r="J2407">
        <v>87</v>
      </c>
      <c r="K2407" t="s">
        <v>1</v>
      </c>
      <c r="L2407" t="s">
        <v>1167</v>
      </c>
      <c r="M2407" t="s">
        <v>1168</v>
      </c>
      <c r="N2407" t="s">
        <v>1169</v>
      </c>
      <c r="O2407" t="s">
        <v>1168</v>
      </c>
      <c r="P2407" t="s">
        <v>1170</v>
      </c>
    </row>
    <row r="2408" spans="1:16" x14ac:dyDescent="0.25">
      <c r="A2408" t="s">
        <v>5117</v>
      </c>
      <c r="B2408" t="s">
        <v>5118</v>
      </c>
      <c r="C2408" t="s">
        <v>1527</v>
      </c>
      <c r="D2408" t="s">
        <v>1027</v>
      </c>
      <c r="E2408">
        <v>1394</v>
      </c>
      <c r="F2408" t="s">
        <v>1528</v>
      </c>
      <c r="G2408" t="b">
        <v>0</v>
      </c>
      <c r="H2408" t="b">
        <v>0</v>
      </c>
      <c r="I2408" t="s">
        <v>1050</v>
      </c>
      <c r="J2408">
        <v>91</v>
      </c>
      <c r="K2408" t="s">
        <v>2</v>
      </c>
      <c r="L2408" t="s">
        <v>1167</v>
      </c>
      <c r="M2408" t="s">
        <v>1168</v>
      </c>
      <c r="N2408" t="s">
        <v>1169</v>
      </c>
      <c r="O2408" t="s">
        <v>1213</v>
      </c>
      <c r="P2408" t="s">
        <v>1529</v>
      </c>
    </row>
    <row r="2409" spans="1:16" x14ac:dyDescent="0.25">
      <c r="A2409" t="s">
        <v>5119</v>
      </c>
      <c r="B2409" t="s">
        <v>5120</v>
      </c>
      <c r="C2409" t="s">
        <v>1527</v>
      </c>
      <c r="D2409" t="s">
        <v>1027</v>
      </c>
      <c r="E2409">
        <v>1394</v>
      </c>
      <c r="F2409" t="s">
        <v>1528</v>
      </c>
      <c r="G2409" t="b">
        <v>0</v>
      </c>
      <c r="H2409" t="b">
        <v>0</v>
      </c>
      <c r="I2409" t="s">
        <v>1050</v>
      </c>
      <c r="J2409">
        <v>91</v>
      </c>
      <c r="K2409" t="s">
        <v>2</v>
      </c>
      <c r="L2409" t="s">
        <v>1167</v>
      </c>
      <c r="M2409" t="s">
        <v>1168</v>
      </c>
      <c r="N2409" t="s">
        <v>1169</v>
      </c>
      <c r="O2409" t="s">
        <v>1213</v>
      </c>
      <c r="P2409" t="s">
        <v>1529</v>
      </c>
    </row>
    <row r="2410" spans="1:16" x14ac:dyDescent="0.25">
      <c r="A2410" t="s">
        <v>5121</v>
      </c>
      <c r="B2410" t="s">
        <v>5122</v>
      </c>
      <c r="C2410" t="s">
        <v>1527</v>
      </c>
      <c r="D2410" t="s">
        <v>1027</v>
      </c>
      <c r="E2410">
        <v>1394</v>
      </c>
      <c r="F2410" t="s">
        <v>1528</v>
      </c>
      <c r="G2410" t="b">
        <v>0</v>
      </c>
      <c r="H2410" t="b">
        <v>0</v>
      </c>
      <c r="I2410" t="s">
        <v>1050</v>
      </c>
      <c r="J2410">
        <v>91</v>
      </c>
      <c r="K2410" t="s">
        <v>2</v>
      </c>
      <c r="L2410" t="s">
        <v>1167</v>
      </c>
      <c r="M2410" t="s">
        <v>1168</v>
      </c>
      <c r="N2410" t="s">
        <v>1169</v>
      </c>
      <c r="O2410" t="s">
        <v>1213</v>
      </c>
      <c r="P2410" t="s">
        <v>1529</v>
      </c>
    </row>
    <row r="2411" spans="1:16" x14ac:dyDescent="0.25">
      <c r="A2411" t="s">
        <v>5123</v>
      </c>
      <c r="B2411" t="s">
        <v>5124</v>
      </c>
      <c r="C2411" t="s">
        <v>1527</v>
      </c>
      <c r="D2411" t="s">
        <v>1027</v>
      </c>
      <c r="E2411">
        <v>1394</v>
      </c>
      <c r="F2411" t="s">
        <v>1528</v>
      </c>
      <c r="G2411" t="b">
        <v>0</v>
      </c>
      <c r="H2411" t="b">
        <v>0</v>
      </c>
      <c r="I2411" t="s">
        <v>1050</v>
      </c>
      <c r="J2411">
        <v>91</v>
      </c>
      <c r="K2411" t="s">
        <v>2</v>
      </c>
      <c r="L2411" t="s">
        <v>1167</v>
      </c>
      <c r="M2411" t="s">
        <v>1168</v>
      </c>
      <c r="N2411" t="s">
        <v>1169</v>
      </c>
      <c r="O2411" t="s">
        <v>1213</v>
      </c>
      <c r="P2411" t="s">
        <v>1529</v>
      </c>
    </row>
    <row r="2412" spans="1:16" x14ac:dyDescent="0.25">
      <c r="A2412" t="s">
        <v>5125</v>
      </c>
      <c r="B2412" t="s">
        <v>5126</v>
      </c>
      <c r="C2412" t="s">
        <v>1233</v>
      </c>
      <c r="D2412" t="s">
        <v>1027</v>
      </c>
      <c r="E2412">
        <v>63762</v>
      </c>
      <c r="F2412" t="s">
        <v>1234</v>
      </c>
      <c r="G2412" t="b">
        <v>0</v>
      </c>
      <c r="H2412" t="b">
        <v>0</v>
      </c>
      <c r="I2412" t="s">
        <v>1050</v>
      </c>
      <c r="J2412">
        <v>88</v>
      </c>
      <c r="K2412" t="s">
        <v>0</v>
      </c>
      <c r="L2412" t="s">
        <v>1167</v>
      </c>
      <c r="M2412" t="s">
        <v>1168</v>
      </c>
      <c r="N2412" t="s">
        <v>1169</v>
      </c>
      <c r="O2412" t="s">
        <v>1168</v>
      </c>
      <c r="P2412" t="s">
        <v>1235</v>
      </c>
    </row>
    <row r="2413" spans="1:16" x14ac:dyDescent="0.25">
      <c r="A2413" t="s">
        <v>5127</v>
      </c>
      <c r="B2413" t="s">
        <v>5128</v>
      </c>
      <c r="C2413" t="s">
        <v>1233</v>
      </c>
      <c r="D2413" t="s">
        <v>1027</v>
      </c>
      <c r="E2413">
        <v>63762</v>
      </c>
      <c r="F2413" t="s">
        <v>1234</v>
      </c>
      <c r="G2413" t="b">
        <v>0</v>
      </c>
      <c r="H2413" t="b">
        <v>0</v>
      </c>
      <c r="I2413" t="s">
        <v>1050</v>
      </c>
      <c r="J2413">
        <v>88</v>
      </c>
      <c r="K2413" t="s">
        <v>0</v>
      </c>
      <c r="L2413" t="s">
        <v>1167</v>
      </c>
      <c r="M2413" t="s">
        <v>1168</v>
      </c>
      <c r="N2413" t="s">
        <v>1169</v>
      </c>
      <c r="O2413" t="s">
        <v>1168</v>
      </c>
      <c r="P2413" t="s">
        <v>1235</v>
      </c>
    </row>
    <row r="2414" spans="1:16" x14ac:dyDescent="0.25">
      <c r="A2414" t="s">
        <v>5129</v>
      </c>
      <c r="B2414" t="s">
        <v>5130</v>
      </c>
      <c r="C2414" t="s">
        <v>1233</v>
      </c>
      <c r="D2414" t="s">
        <v>1027</v>
      </c>
      <c r="E2414">
        <v>63762</v>
      </c>
      <c r="F2414" t="s">
        <v>1234</v>
      </c>
      <c r="G2414" t="b">
        <v>0</v>
      </c>
      <c r="H2414" t="b">
        <v>0</v>
      </c>
      <c r="I2414" t="s">
        <v>1050</v>
      </c>
      <c r="J2414">
        <v>88</v>
      </c>
      <c r="K2414" t="s">
        <v>0</v>
      </c>
      <c r="L2414" t="s">
        <v>1167</v>
      </c>
      <c r="M2414" t="s">
        <v>1168</v>
      </c>
      <c r="N2414" t="s">
        <v>1169</v>
      </c>
      <c r="O2414" t="s">
        <v>1168</v>
      </c>
      <c r="P2414" t="s">
        <v>1235</v>
      </c>
    </row>
    <row r="2415" spans="1:16" x14ac:dyDescent="0.25">
      <c r="A2415" t="s">
        <v>5131</v>
      </c>
      <c r="B2415" t="s">
        <v>5132</v>
      </c>
      <c r="C2415" t="s">
        <v>1233</v>
      </c>
      <c r="D2415" t="s">
        <v>1027</v>
      </c>
      <c r="E2415">
        <v>63762</v>
      </c>
      <c r="F2415" t="s">
        <v>1234</v>
      </c>
      <c r="G2415" t="b">
        <v>0</v>
      </c>
      <c r="H2415" t="b">
        <v>0</v>
      </c>
      <c r="I2415" t="s">
        <v>1050</v>
      </c>
      <c r="J2415">
        <v>88</v>
      </c>
      <c r="K2415" t="s">
        <v>0</v>
      </c>
      <c r="L2415" t="s">
        <v>1167</v>
      </c>
      <c r="M2415" t="s">
        <v>1168</v>
      </c>
      <c r="N2415" t="s">
        <v>1169</v>
      </c>
      <c r="O2415" t="s">
        <v>1168</v>
      </c>
      <c r="P2415" t="s">
        <v>1235</v>
      </c>
    </row>
    <row r="2416" spans="1:16" x14ac:dyDescent="0.25">
      <c r="A2416" t="s">
        <v>5133</v>
      </c>
      <c r="B2416" t="s">
        <v>5134</v>
      </c>
      <c r="C2416" t="s">
        <v>1233</v>
      </c>
      <c r="D2416" t="s">
        <v>1027</v>
      </c>
      <c r="E2416">
        <v>63762</v>
      </c>
      <c r="F2416" t="s">
        <v>1234</v>
      </c>
      <c r="G2416" t="b">
        <v>0</v>
      </c>
      <c r="H2416" t="b">
        <v>0</v>
      </c>
      <c r="I2416" t="s">
        <v>1050</v>
      </c>
      <c r="J2416">
        <v>88</v>
      </c>
      <c r="K2416" t="s">
        <v>0</v>
      </c>
      <c r="L2416" t="s">
        <v>1167</v>
      </c>
      <c r="M2416" t="s">
        <v>1168</v>
      </c>
      <c r="N2416" t="s">
        <v>1169</v>
      </c>
      <c r="O2416" t="s">
        <v>1168</v>
      </c>
      <c r="P2416" t="s">
        <v>1235</v>
      </c>
    </row>
    <row r="2417" spans="1:16" x14ac:dyDescent="0.25">
      <c r="A2417" t="s">
        <v>5135</v>
      </c>
      <c r="B2417" t="s">
        <v>5136</v>
      </c>
      <c r="C2417" t="s">
        <v>1233</v>
      </c>
      <c r="D2417" t="s">
        <v>1027</v>
      </c>
      <c r="E2417">
        <v>63762</v>
      </c>
      <c r="F2417" t="s">
        <v>1234</v>
      </c>
      <c r="G2417" t="b">
        <v>0</v>
      </c>
      <c r="H2417" t="b">
        <v>0</v>
      </c>
      <c r="I2417" t="s">
        <v>1050</v>
      </c>
      <c r="J2417">
        <v>88</v>
      </c>
      <c r="K2417" t="s">
        <v>0</v>
      </c>
      <c r="L2417" t="s">
        <v>1167</v>
      </c>
      <c r="M2417" t="s">
        <v>1168</v>
      </c>
      <c r="N2417" t="s">
        <v>1169</v>
      </c>
      <c r="O2417" t="s">
        <v>1168</v>
      </c>
      <c r="P2417" t="s">
        <v>1235</v>
      </c>
    </row>
    <row r="2418" spans="1:16" x14ac:dyDescent="0.25">
      <c r="A2418" t="s">
        <v>5137</v>
      </c>
      <c r="B2418" t="s">
        <v>5138</v>
      </c>
      <c r="C2418" t="s">
        <v>1233</v>
      </c>
      <c r="D2418" t="s">
        <v>1027</v>
      </c>
      <c r="E2418">
        <v>63762</v>
      </c>
      <c r="F2418" t="s">
        <v>1234</v>
      </c>
      <c r="G2418" t="b">
        <v>0</v>
      </c>
      <c r="H2418" t="b">
        <v>0</v>
      </c>
      <c r="I2418" t="s">
        <v>1050</v>
      </c>
      <c r="J2418">
        <v>88</v>
      </c>
      <c r="K2418" t="s">
        <v>0</v>
      </c>
      <c r="L2418" t="s">
        <v>1167</v>
      </c>
      <c r="M2418" t="s">
        <v>1168</v>
      </c>
      <c r="N2418" t="s">
        <v>1169</v>
      </c>
      <c r="O2418" t="s">
        <v>1168</v>
      </c>
      <c r="P2418" t="s">
        <v>1235</v>
      </c>
    </row>
    <row r="2419" spans="1:16" x14ac:dyDescent="0.25">
      <c r="A2419" t="s">
        <v>5139</v>
      </c>
      <c r="B2419" t="s">
        <v>5140</v>
      </c>
      <c r="C2419" t="s">
        <v>1228</v>
      </c>
      <c r="D2419" t="s">
        <v>1027</v>
      </c>
      <c r="E2419">
        <v>1660</v>
      </c>
      <c r="F2419" t="s">
        <v>1229</v>
      </c>
      <c r="G2419" t="b">
        <v>0</v>
      </c>
      <c r="H2419" t="b">
        <v>0</v>
      </c>
      <c r="I2419" t="s">
        <v>1050</v>
      </c>
      <c r="J2419">
        <v>89</v>
      </c>
      <c r="K2419" t="s">
        <v>2</v>
      </c>
      <c r="L2419" t="s">
        <v>1167</v>
      </c>
      <c r="M2419" t="s">
        <v>1168</v>
      </c>
      <c r="N2419" t="s">
        <v>1169</v>
      </c>
      <c r="O2419" t="s">
        <v>1168</v>
      </c>
      <c r="P2419" t="s">
        <v>1230</v>
      </c>
    </row>
    <row r="2420" spans="1:16" x14ac:dyDescent="0.25">
      <c r="A2420" t="s">
        <v>5141</v>
      </c>
      <c r="B2420" t="s">
        <v>5142</v>
      </c>
      <c r="C2420" t="s">
        <v>1571</v>
      </c>
      <c r="D2420" t="s">
        <v>1027</v>
      </c>
      <c r="E2420">
        <v>63767</v>
      </c>
      <c r="G2420" t="b">
        <v>0</v>
      </c>
      <c r="H2420" t="b">
        <v>0</v>
      </c>
      <c r="I2420" t="s">
        <v>1050</v>
      </c>
      <c r="J2420">
        <v>80</v>
      </c>
      <c r="K2420" t="s">
        <v>0</v>
      </c>
      <c r="L2420" t="s">
        <v>1167</v>
      </c>
      <c r="M2420" t="s">
        <v>1168</v>
      </c>
      <c r="N2420" t="s">
        <v>1169</v>
      </c>
      <c r="O2420" t="s">
        <v>1168</v>
      </c>
      <c r="P2420" t="s">
        <v>1283</v>
      </c>
    </row>
    <row r="2421" spans="1:16" x14ac:dyDescent="0.25">
      <c r="A2421" t="s">
        <v>5143</v>
      </c>
      <c r="B2421" t="s">
        <v>5142</v>
      </c>
      <c r="C2421" t="s">
        <v>1571</v>
      </c>
      <c r="D2421" t="s">
        <v>1027</v>
      </c>
      <c r="E2421">
        <v>63767</v>
      </c>
      <c r="G2421" t="b">
        <v>0</v>
      </c>
      <c r="H2421" t="b">
        <v>0</v>
      </c>
      <c r="I2421" t="s">
        <v>1050</v>
      </c>
      <c r="J2421">
        <v>80</v>
      </c>
      <c r="K2421" t="s">
        <v>0</v>
      </c>
      <c r="L2421" t="s">
        <v>1167</v>
      </c>
      <c r="M2421" t="s">
        <v>1168</v>
      </c>
      <c r="N2421" t="s">
        <v>1169</v>
      </c>
      <c r="O2421" t="s">
        <v>1168</v>
      </c>
      <c r="P2421" t="s">
        <v>1283</v>
      </c>
    </row>
    <row r="2422" spans="1:16" x14ac:dyDescent="0.25">
      <c r="A2422" t="s">
        <v>5144</v>
      </c>
      <c r="B2422" t="s">
        <v>5142</v>
      </c>
      <c r="C2422" t="s">
        <v>1571</v>
      </c>
      <c r="D2422" t="s">
        <v>1027</v>
      </c>
      <c r="E2422">
        <v>63767</v>
      </c>
      <c r="G2422" t="b">
        <v>0</v>
      </c>
      <c r="H2422" t="b">
        <v>0</v>
      </c>
      <c r="I2422" t="s">
        <v>1050</v>
      </c>
      <c r="J2422">
        <v>80</v>
      </c>
      <c r="K2422" t="s">
        <v>0</v>
      </c>
      <c r="L2422" t="s">
        <v>1167</v>
      </c>
      <c r="M2422" t="s">
        <v>1168</v>
      </c>
      <c r="N2422" t="s">
        <v>1169</v>
      </c>
      <c r="O2422" t="s">
        <v>1168</v>
      </c>
      <c r="P2422" t="s">
        <v>1283</v>
      </c>
    </row>
    <row r="2423" spans="1:16" x14ac:dyDescent="0.25">
      <c r="A2423" t="s">
        <v>5145</v>
      </c>
      <c r="B2423" t="s">
        <v>5146</v>
      </c>
      <c r="C2423" t="s">
        <v>1571</v>
      </c>
      <c r="D2423" t="s">
        <v>1027</v>
      </c>
      <c r="E2423">
        <v>63767</v>
      </c>
      <c r="G2423" t="b">
        <v>0</v>
      </c>
      <c r="H2423" t="b">
        <v>0</v>
      </c>
      <c r="I2423" t="s">
        <v>1050</v>
      </c>
      <c r="J2423">
        <v>80</v>
      </c>
      <c r="K2423" t="s">
        <v>0</v>
      </c>
      <c r="L2423" t="s">
        <v>1167</v>
      </c>
      <c r="M2423" t="s">
        <v>1168</v>
      </c>
      <c r="N2423" t="s">
        <v>1169</v>
      </c>
      <c r="O2423" t="s">
        <v>1168</v>
      </c>
      <c r="P2423" t="s">
        <v>1283</v>
      </c>
    </row>
    <row r="2424" spans="1:16" x14ac:dyDescent="0.25">
      <c r="A2424" t="s">
        <v>5147</v>
      </c>
      <c r="B2424" t="s">
        <v>5146</v>
      </c>
      <c r="C2424" t="s">
        <v>1571</v>
      </c>
      <c r="D2424" t="s">
        <v>1027</v>
      </c>
      <c r="E2424">
        <v>63767</v>
      </c>
      <c r="G2424" t="b">
        <v>0</v>
      </c>
      <c r="H2424" t="b">
        <v>0</v>
      </c>
      <c r="I2424" t="s">
        <v>1050</v>
      </c>
      <c r="J2424">
        <v>80</v>
      </c>
      <c r="K2424" t="s">
        <v>0</v>
      </c>
      <c r="L2424" t="s">
        <v>1167</v>
      </c>
      <c r="M2424" t="s">
        <v>1168</v>
      </c>
      <c r="N2424" t="s">
        <v>1169</v>
      </c>
      <c r="O2424" t="s">
        <v>1168</v>
      </c>
      <c r="P2424" t="s">
        <v>1283</v>
      </c>
    </row>
    <row r="2425" spans="1:16" x14ac:dyDescent="0.25">
      <c r="A2425" t="s">
        <v>5148</v>
      </c>
      <c r="B2425" t="s">
        <v>5149</v>
      </c>
      <c r="C2425" t="s">
        <v>1571</v>
      </c>
      <c r="D2425" t="s">
        <v>1027</v>
      </c>
      <c r="E2425">
        <v>63767</v>
      </c>
      <c r="G2425" t="b">
        <v>0</v>
      </c>
      <c r="H2425" t="b">
        <v>0</v>
      </c>
      <c r="I2425" t="s">
        <v>1050</v>
      </c>
      <c r="J2425">
        <v>80</v>
      </c>
      <c r="K2425" t="s">
        <v>0</v>
      </c>
      <c r="L2425" t="s">
        <v>1167</v>
      </c>
      <c r="M2425" t="s">
        <v>1168</v>
      </c>
      <c r="N2425" t="s">
        <v>1169</v>
      </c>
      <c r="O2425" t="s">
        <v>1168</v>
      </c>
      <c r="P2425" t="s">
        <v>1283</v>
      </c>
    </row>
    <row r="2426" spans="1:16" x14ac:dyDescent="0.25">
      <c r="A2426" t="s">
        <v>5150</v>
      </c>
      <c r="B2426" t="s">
        <v>5151</v>
      </c>
      <c r="C2426" t="s">
        <v>1571</v>
      </c>
      <c r="D2426" t="s">
        <v>1027</v>
      </c>
      <c r="E2426">
        <v>63767</v>
      </c>
      <c r="G2426" t="b">
        <v>0</v>
      </c>
      <c r="H2426" t="b">
        <v>0</v>
      </c>
      <c r="I2426" t="s">
        <v>1050</v>
      </c>
      <c r="J2426">
        <v>80</v>
      </c>
      <c r="K2426" t="s">
        <v>0</v>
      </c>
      <c r="L2426" t="s">
        <v>1167</v>
      </c>
      <c r="M2426" t="s">
        <v>1168</v>
      </c>
      <c r="N2426" t="s">
        <v>1169</v>
      </c>
      <c r="O2426" t="s">
        <v>1168</v>
      </c>
      <c r="P2426" t="s">
        <v>1283</v>
      </c>
    </row>
    <row r="2427" spans="1:16" x14ac:dyDescent="0.25">
      <c r="A2427" t="s">
        <v>5152</v>
      </c>
      <c r="B2427" t="s">
        <v>5153</v>
      </c>
      <c r="C2427" t="s">
        <v>1571</v>
      </c>
      <c r="D2427" t="s">
        <v>1027</v>
      </c>
      <c r="E2427">
        <v>63767</v>
      </c>
      <c r="G2427" t="b">
        <v>0</v>
      </c>
      <c r="H2427" t="b">
        <v>0</v>
      </c>
      <c r="I2427" t="s">
        <v>1050</v>
      </c>
      <c r="J2427">
        <v>80</v>
      </c>
      <c r="K2427" t="s">
        <v>0</v>
      </c>
      <c r="L2427" t="s">
        <v>1167</v>
      </c>
      <c r="M2427" t="s">
        <v>1168</v>
      </c>
      <c r="N2427" t="s">
        <v>1169</v>
      </c>
      <c r="O2427" t="s">
        <v>1168</v>
      </c>
      <c r="P2427" t="s">
        <v>1283</v>
      </c>
    </row>
    <row r="2428" spans="1:16" x14ac:dyDescent="0.25">
      <c r="A2428" t="s">
        <v>5154</v>
      </c>
      <c r="B2428" t="s">
        <v>5155</v>
      </c>
      <c r="C2428" t="s">
        <v>1571</v>
      </c>
      <c r="D2428" t="s">
        <v>1027</v>
      </c>
      <c r="E2428">
        <v>63767</v>
      </c>
      <c r="G2428" t="b">
        <v>0</v>
      </c>
      <c r="H2428" t="b">
        <v>0</v>
      </c>
      <c r="I2428" t="s">
        <v>1050</v>
      </c>
      <c r="J2428">
        <v>80</v>
      </c>
      <c r="K2428" t="s">
        <v>0</v>
      </c>
      <c r="L2428" t="s">
        <v>1167</v>
      </c>
      <c r="M2428" t="s">
        <v>1168</v>
      </c>
      <c r="N2428" t="s">
        <v>1169</v>
      </c>
      <c r="O2428" t="s">
        <v>1168</v>
      </c>
      <c r="P2428" t="s">
        <v>1283</v>
      </c>
    </row>
    <row r="2429" spans="1:16" x14ac:dyDescent="0.25">
      <c r="A2429" t="s">
        <v>5156</v>
      </c>
      <c r="B2429" t="s">
        <v>5157</v>
      </c>
      <c r="C2429" t="s">
        <v>2026</v>
      </c>
      <c r="D2429" t="s">
        <v>1027</v>
      </c>
      <c r="E2429">
        <v>1336</v>
      </c>
      <c r="F2429" t="s">
        <v>2027</v>
      </c>
      <c r="G2429" t="b">
        <v>0</v>
      </c>
      <c r="H2429" t="b">
        <v>0</v>
      </c>
      <c r="I2429" t="s">
        <v>1050</v>
      </c>
      <c r="J2429">
        <v>87</v>
      </c>
      <c r="K2429" t="s">
        <v>0</v>
      </c>
      <c r="L2429" t="s">
        <v>1167</v>
      </c>
      <c r="M2429" t="s">
        <v>1168</v>
      </c>
      <c r="N2429" t="s">
        <v>1169</v>
      </c>
      <c r="O2429" t="s">
        <v>1168</v>
      </c>
      <c r="P2429" t="s">
        <v>2028</v>
      </c>
    </row>
    <row r="2430" spans="1:16" x14ac:dyDescent="0.25">
      <c r="A2430" t="s">
        <v>5158</v>
      </c>
      <c r="B2430" t="s">
        <v>5159</v>
      </c>
      <c r="C2430" t="s">
        <v>1678</v>
      </c>
      <c r="D2430" t="s">
        <v>1027</v>
      </c>
      <c r="E2430">
        <v>63786</v>
      </c>
      <c r="F2430" t="s">
        <v>1679</v>
      </c>
      <c r="G2430" t="b">
        <v>0</v>
      </c>
      <c r="H2430" t="b">
        <v>0</v>
      </c>
      <c r="I2430" t="s">
        <v>1050</v>
      </c>
      <c r="J2430">
        <v>27</v>
      </c>
      <c r="K2430" t="s">
        <v>2</v>
      </c>
      <c r="L2430" t="s">
        <v>1680</v>
      </c>
      <c r="M2430" t="s">
        <v>1680</v>
      </c>
      <c r="N2430" t="s">
        <v>1681</v>
      </c>
      <c r="O2430" t="s">
        <v>1680</v>
      </c>
      <c r="P2430" t="s">
        <v>1682</v>
      </c>
    </row>
    <row r="2431" spans="1:16" x14ac:dyDescent="0.25">
      <c r="A2431" t="s">
        <v>5160</v>
      </c>
      <c r="B2431" t="s">
        <v>5159</v>
      </c>
      <c r="C2431" t="s">
        <v>1678</v>
      </c>
      <c r="D2431" t="s">
        <v>1027</v>
      </c>
      <c r="E2431">
        <v>63786</v>
      </c>
      <c r="F2431" t="s">
        <v>1679</v>
      </c>
      <c r="G2431" t="b">
        <v>0</v>
      </c>
      <c r="H2431" t="b">
        <v>0</v>
      </c>
      <c r="I2431" t="s">
        <v>1050</v>
      </c>
      <c r="J2431">
        <v>27</v>
      </c>
      <c r="K2431" t="s">
        <v>2</v>
      </c>
      <c r="L2431" t="s">
        <v>1680</v>
      </c>
      <c r="M2431" t="s">
        <v>1680</v>
      </c>
      <c r="N2431" t="s">
        <v>1681</v>
      </c>
      <c r="O2431" t="s">
        <v>1680</v>
      </c>
      <c r="P2431" t="s">
        <v>1682</v>
      </c>
    </row>
    <row r="2432" spans="1:16" x14ac:dyDescent="0.25">
      <c r="A2432" t="s">
        <v>5161</v>
      </c>
      <c r="B2432" t="s">
        <v>5162</v>
      </c>
      <c r="C2432" t="s">
        <v>1571</v>
      </c>
      <c r="D2432" t="s">
        <v>1027</v>
      </c>
      <c r="E2432">
        <v>63767</v>
      </c>
      <c r="G2432" t="b">
        <v>0</v>
      </c>
      <c r="H2432" t="b">
        <v>0</v>
      </c>
      <c r="I2432" t="s">
        <v>1050</v>
      </c>
      <c r="J2432">
        <v>87</v>
      </c>
      <c r="K2432" t="s">
        <v>0</v>
      </c>
      <c r="L2432" t="s">
        <v>1167</v>
      </c>
      <c r="M2432" t="s">
        <v>1168</v>
      </c>
      <c r="N2432" t="s">
        <v>1169</v>
      </c>
      <c r="O2432" t="s">
        <v>1168</v>
      </c>
      <c r="P2432" t="s">
        <v>1283</v>
      </c>
    </row>
    <row r="2433" spans="1:16" x14ac:dyDescent="0.25">
      <c r="A2433" t="s">
        <v>5163</v>
      </c>
      <c r="B2433" t="s">
        <v>5164</v>
      </c>
      <c r="C2433" t="s">
        <v>1571</v>
      </c>
      <c r="D2433" t="s">
        <v>1027</v>
      </c>
      <c r="E2433">
        <v>63767</v>
      </c>
      <c r="G2433" t="b">
        <v>0</v>
      </c>
      <c r="H2433" t="b">
        <v>0</v>
      </c>
      <c r="I2433" t="s">
        <v>1050</v>
      </c>
      <c r="J2433">
        <v>80</v>
      </c>
      <c r="K2433" t="s">
        <v>0</v>
      </c>
      <c r="L2433" t="s">
        <v>1167</v>
      </c>
      <c r="M2433" t="s">
        <v>1168</v>
      </c>
      <c r="N2433" t="s">
        <v>1169</v>
      </c>
      <c r="O2433" t="s">
        <v>1168</v>
      </c>
      <c r="P2433" t="s">
        <v>1283</v>
      </c>
    </row>
    <row r="2434" spans="1:16" x14ac:dyDescent="0.25">
      <c r="A2434" t="s">
        <v>5165</v>
      </c>
      <c r="B2434" t="s">
        <v>5166</v>
      </c>
      <c r="C2434" t="s">
        <v>1571</v>
      </c>
      <c r="D2434" t="s">
        <v>1027</v>
      </c>
      <c r="E2434">
        <v>63767</v>
      </c>
      <c r="G2434" t="b">
        <v>0</v>
      </c>
      <c r="H2434" t="b">
        <v>0</v>
      </c>
      <c r="I2434" t="s">
        <v>1050</v>
      </c>
      <c r="J2434">
        <v>80</v>
      </c>
      <c r="K2434" t="s">
        <v>0</v>
      </c>
      <c r="L2434" t="s">
        <v>1167</v>
      </c>
      <c r="M2434" t="s">
        <v>1168</v>
      </c>
      <c r="N2434" t="s">
        <v>1169</v>
      </c>
      <c r="O2434" t="s">
        <v>1168</v>
      </c>
      <c r="P2434" t="s">
        <v>1283</v>
      </c>
    </row>
    <row r="2435" spans="1:16" x14ac:dyDescent="0.25">
      <c r="A2435" t="s">
        <v>5167</v>
      </c>
      <c r="B2435" t="s">
        <v>5168</v>
      </c>
      <c r="C2435" t="s">
        <v>1165</v>
      </c>
      <c r="D2435" t="s">
        <v>1027</v>
      </c>
      <c r="E2435">
        <v>63774</v>
      </c>
      <c r="F2435" t="s">
        <v>1166</v>
      </c>
      <c r="G2435" t="b">
        <v>0</v>
      </c>
      <c r="H2435" t="b">
        <v>0</v>
      </c>
      <c r="I2435" t="s">
        <v>1050</v>
      </c>
      <c r="J2435">
        <v>56</v>
      </c>
      <c r="K2435" t="s">
        <v>1</v>
      </c>
      <c r="L2435" t="s">
        <v>1167</v>
      </c>
      <c r="M2435" t="s">
        <v>1168</v>
      </c>
      <c r="N2435" t="s">
        <v>1169</v>
      </c>
      <c r="O2435" t="s">
        <v>1168</v>
      </c>
      <c r="P2435" t="s">
        <v>1170</v>
      </c>
    </row>
    <row r="2436" spans="1:16" x14ac:dyDescent="0.25">
      <c r="A2436" t="s">
        <v>5169</v>
      </c>
      <c r="B2436" t="s">
        <v>5168</v>
      </c>
      <c r="C2436" t="s">
        <v>1165</v>
      </c>
      <c r="D2436" t="s">
        <v>1027</v>
      </c>
      <c r="E2436">
        <v>63774</v>
      </c>
      <c r="F2436" t="s">
        <v>1166</v>
      </c>
      <c r="G2436" t="b">
        <v>0</v>
      </c>
      <c r="H2436" t="b">
        <v>0</v>
      </c>
      <c r="I2436" t="s">
        <v>1050</v>
      </c>
      <c r="J2436">
        <v>56</v>
      </c>
      <c r="K2436" t="s">
        <v>1</v>
      </c>
      <c r="L2436" t="s">
        <v>1167</v>
      </c>
      <c r="M2436" t="s">
        <v>1168</v>
      </c>
      <c r="N2436" t="s">
        <v>1169</v>
      </c>
      <c r="O2436" t="s">
        <v>1168</v>
      </c>
      <c r="P2436" t="s">
        <v>1170</v>
      </c>
    </row>
    <row r="2437" spans="1:16" x14ac:dyDescent="0.25">
      <c r="A2437" t="s">
        <v>5170</v>
      </c>
      <c r="B2437" t="s">
        <v>5168</v>
      </c>
      <c r="C2437" t="s">
        <v>1165</v>
      </c>
      <c r="D2437" t="s">
        <v>1027</v>
      </c>
      <c r="E2437">
        <v>63774</v>
      </c>
      <c r="F2437" t="s">
        <v>1166</v>
      </c>
      <c r="G2437" t="b">
        <v>0</v>
      </c>
      <c r="H2437" t="b">
        <v>0</v>
      </c>
      <c r="I2437" t="s">
        <v>1050</v>
      </c>
      <c r="J2437">
        <v>56</v>
      </c>
      <c r="K2437" t="s">
        <v>1</v>
      </c>
      <c r="L2437" t="s">
        <v>1167</v>
      </c>
      <c r="M2437" t="s">
        <v>1168</v>
      </c>
      <c r="N2437" t="s">
        <v>1169</v>
      </c>
      <c r="O2437" t="s">
        <v>1168</v>
      </c>
      <c r="P2437" t="s">
        <v>1170</v>
      </c>
    </row>
    <row r="2438" spans="1:16" x14ac:dyDescent="0.25">
      <c r="A2438" t="s">
        <v>5171</v>
      </c>
      <c r="B2438" t="s">
        <v>5168</v>
      </c>
      <c r="C2438" t="s">
        <v>1165</v>
      </c>
      <c r="D2438" t="s">
        <v>1027</v>
      </c>
      <c r="E2438">
        <v>63774</v>
      </c>
      <c r="F2438" t="s">
        <v>1166</v>
      </c>
      <c r="G2438" t="b">
        <v>0</v>
      </c>
      <c r="H2438" t="b">
        <v>0</v>
      </c>
      <c r="I2438" t="s">
        <v>1050</v>
      </c>
      <c r="J2438">
        <v>56</v>
      </c>
      <c r="K2438" t="s">
        <v>1</v>
      </c>
      <c r="L2438" t="s">
        <v>1167</v>
      </c>
      <c r="M2438" t="s">
        <v>1168</v>
      </c>
      <c r="N2438" t="s">
        <v>1169</v>
      </c>
      <c r="O2438" t="s">
        <v>1168</v>
      </c>
      <c r="P2438" t="s">
        <v>1170</v>
      </c>
    </row>
    <row r="2439" spans="1:16" x14ac:dyDescent="0.25">
      <c r="A2439" t="s">
        <v>5172</v>
      </c>
      <c r="B2439" t="s">
        <v>5168</v>
      </c>
      <c r="C2439" t="s">
        <v>1165</v>
      </c>
      <c r="D2439" t="s">
        <v>1027</v>
      </c>
      <c r="E2439">
        <v>63774</v>
      </c>
      <c r="F2439" t="s">
        <v>1166</v>
      </c>
      <c r="G2439" t="b">
        <v>0</v>
      </c>
      <c r="H2439" t="b">
        <v>0</v>
      </c>
      <c r="I2439" t="s">
        <v>1050</v>
      </c>
      <c r="J2439">
        <v>56</v>
      </c>
      <c r="K2439" t="s">
        <v>1</v>
      </c>
      <c r="L2439" t="s">
        <v>1167</v>
      </c>
      <c r="M2439" t="s">
        <v>1168</v>
      </c>
      <c r="N2439" t="s">
        <v>1169</v>
      </c>
      <c r="O2439" t="s">
        <v>1168</v>
      </c>
      <c r="P2439" t="s">
        <v>1170</v>
      </c>
    </row>
    <row r="2440" spans="1:16" x14ac:dyDescent="0.25">
      <c r="A2440" t="s">
        <v>5173</v>
      </c>
      <c r="B2440" t="s">
        <v>5168</v>
      </c>
      <c r="C2440" t="s">
        <v>1165</v>
      </c>
      <c r="D2440" t="s">
        <v>1027</v>
      </c>
      <c r="E2440">
        <v>63774</v>
      </c>
      <c r="F2440" t="s">
        <v>1166</v>
      </c>
      <c r="G2440" t="b">
        <v>0</v>
      </c>
      <c r="H2440" t="b">
        <v>0</v>
      </c>
      <c r="I2440" t="s">
        <v>1050</v>
      </c>
      <c r="J2440">
        <v>56</v>
      </c>
      <c r="K2440" t="s">
        <v>1</v>
      </c>
      <c r="L2440" t="s">
        <v>1167</v>
      </c>
      <c r="M2440" t="s">
        <v>1168</v>
      </c>
      <c r="N2440" t="s">
        <v>1169</v>
      </c>
      <c r="O2440" t="s">
        <v>1168</v>
      </c>
      <c r="P2440" t="s">
        <v>1170</v>
      </c>
    </row>
    <row r="2441" spans="1:16" x14ac:dyDescent="0.25">
      <c r="A2441" t="s">
        <v>5174</v>
      </c>
      <c r="B2441" t="s">
        <v>5175</v>
      </c>
      <c r="C2441" t="s">
        <v>1165</v>
      </c>
      <c r="D2441" t="s">
        <v>1027</v>
      </c>
      <c r="E2441">
        <v>63774</v>
      </c>
      <c r="F2441" t="s">
        <v>1166</v>
      </c>
      <c r="G2441" t="b">
        <v>0</v>
      </c>
      <c r="H2441" t="b">
        <v>0</v>
      </c>
      <c r="I2441" t="s">
        <v>1050</v>
      </c>
      <c r="J2441">
        <v>65</v>
      </c>
      <c r="K2441" t="s">
        <v>1</v>
      </c>
      <c r="L2441" t="s">
        <v>1167</v>
      </c>
      <c r="M2441" t="s">
        <v>1168</v>
      </c>
      <c r="N2441" t="s">
        <v>1169</v>
      </c>
      <c r="O2441" t="s">
        <v>1168</v>
      </c>
      <c r="P2441" t="s">
        <v>1170</v>
      </c>
    </row>
    <row r="2442" spans="1:16" x14ac:dyDescent="0.25">
      <c r="A2442" t="s">
        <v>5176</v>
      </c>
      <c r="B2442" t="s">
        <v>5177</v>
      </c>
      <c r="C2442" t="s">
        <v>1165</v>
      </c>
      <c r="D2442" t="s">
        <v>1027</v>
      </c>
      <c r="E2442">
        <v>63774</v>
      </c>
      <c r="F2442" t="s">
        <v>1166</v>
      </c>
      <c r="G2442" t="b">
        <v>0</v>
      </c>
      <c r="H2442" t="b">
        <v>0</v>
      </c>
      <c r="I2442" t="s">
        <v>1050</v>
      </c>
      <c r="J2442">
        <v>65</v>
      </c>
      <c r="K2442" t="s">
        <v>1</v>
      </c>
      <c r="L2442" t="s">
        <v>1167</v>
      </c>
      <c r="M2442" t="s">
        <v>1168</v>
      </c>
      <c r="N2442" t="s">
        <v>1169</v>
      </c>
      <c r="O2442" t="s">
        <v>1168</v>
      </c>
      <c r="P2442" t="s">
        <v>1170</v>
      </c>
    </row>
    <row r="2443" spans="1:16" x14ac:dyDescent="0.25">
      <c r="A2443" t="s">
        <v>5178</v>
      </c>
      <c r="B2443" t="s">
        <v>5179</v>
      </c>
      <c r="C2443" t="s">
        <v>1165</v>
      </c>
      <c r="D2443" t="s">
        <v>1027</v>
      </c>
      <c r="E2443">
        <v>63774</v>
      </c>
      <c r="F2443" t="s">
        <v>1166</v>
      </c>
      <c r="G2443" t="b">
        <v>0</v>
      </c>
      <c r="H2443" t="b">
        <v>0</v>
      </c>
      <c r="I2443" t="s">
        <v>1050</v>
      </c>
      <c r="J2443">
        <v>67</v>
      </c>
      <c r="K2443" t="s">
        <v>1</v>
      </c>
      <c r="L2443" t="s">
        <v>1167</v>
      </c>
      <c r="M2443" t="s">
        <v>1168</v>
      </c>
      <c r="N2443" t="s">
        <v>1169</v>
      </c>
      <c r="O2443" t="s">
        <v>1168</v>
      </c>
      <c r="P2443" t="s">
        <v>1170</v>
      </c>
    </row>
    <row r="2444" spans="1:16" x14ac:dyDescent="0.25">
      <c r="A2444" t="s">
        <v>5180</v>
      </c>
      <c r="B2444" t="s">
        <v>5181</v>
      </c>
      <c r="C2444" t="s">
        <v>1165</v>
      </c>
      <c r="D2444" t="s">
        <v>1027</v>
      </c>
      <c r="E2444">
        <v>63774</v>
      </c>
      <c r="F2444" t="s">
        <v>1166</v>
      </c>
      <c r="G2444" t="b">
        <v>0</v>
      </c>
      <c r="H2444" t="b">
        <v>0</v>
      </c>
      <c r="I2444" t="s">
        <v>1050</v>
      </c>
      <c r="J2444">
        <v>67</v>
      </c>
      <c r="K2444" t="s">
        <v>1</v>
      </c>
      <c r="L2444" t="s">
        <v>1167</v>
      </c>
      <c r="M2444" t="s">
        <v>1168</v>
      </c>
      <c r="N2444" t="s">
        <v>1169</v>
      </c>
      <c r="O2444" t="s">
        <v>1168</v>
      </c>
      <c r="P2444" t="s">
        <v>1170</v>
      </c>
    </row>
    <row r="2445" spans="1:16" x14ac:dyDescent="0.25">
      <c r="A2445" t="s">
        <v>5182</v>
      </c>
      <c r="B2445" t="s">
        <v>5183</v>
      </c>
      <c r="C2445" t="s">
        <v>1165</v>
      </c>
      <c r="D2445" t="s">
        <v>1027</v>
      </c>
      <c r="E2445">
        <v>63774</v>
      </c>
      <c r="F2445" t="s">
        <v>1166</v>
      </c>
      <c r="G2445" t="b">
        <v>0</v>
      </c>
      <c r="H2445" t="b">
        <v>0</v>
      </c>
      <c r="I2445" t="s">
        <v>1050</v>
      </c>
      <c r="J2445">
        <v>67</v>
      </c>
      <c r="K2445" t="s">
        <v>1</v>
      </c>
      <c r="L2445" t="s">
        <v>1167</v>
      </c>
      <c r="M2445" t="s">
        <v>1168</v>
      </c>
      <c r="N2445" t="s">
        <v>1169</v>
      </c>
      <c r="O2445" t="s">
        <v>1168</v>
      </c>
      <c r="P2445" t="s">
        <v>1170</v>
      </c>
    </row>
    <row r="2446" spans="1:16" x14ac:dyDescent="0.25">
      <c r="A2446" t="s">
        <v>5184</v>
      </c>
      <c r="B2446" t="s">
        <v>5185</v>
      </c>
      <c r="C2446" t="s">
        <v>1233</v>
      </c>
      <c r="D2446" t="s">
        <v>1027</v>
      </c>
      <c r="E2446">
        <v>63762</v>
      </c>
      <c r="F2446" t="s">
        <v>1234</v>
      </c>
      <c r="G2446" t="b">
        <v>0</v>
      </c>
      <c r="H2446" t="b">
        <v>0</v>
      </c>
      <c r="I2446" t="s">
        <v>1050</v>
      </c>
      <c r="J2446">
        <v>88</v>
      </c>
      <c r="K2446" t="s">
        <v>0</v>
      </c>
      <c r="L2446" t="s">
        <v>1167</v>
      </c>
      <c r="M2446" t="s">
        <v>1168</v>
      </c>
      <c r="N2446" t="s">
        <v>1169</v>
      </c>
      <c r="O2446" t="s">
        <v>1168</v>
      </c>
      <c r="P2446" t="s">
        <v>1235</v>
      </c>
    </row>
    <row r="2447" spans="1:16" x14ac:dyDescent="0.25">
      <c r="A2447" t="s">
        <v>5186</v>
      </c>
      <c r="B2447" t="s">
        <v>5187</v>
      </c>
      <c r="C2447" t="s">
        <v>1233</v>
      </c>
      <c r="D2447" t="s">
        <v>1027</v>
      </c>
      <c r="E2447">
        <v>63762</v>
      </c>
      <c r="F2447" t="s">
        <v>1234</v>
      </c>
      <c r="G2447" t="b">
        <v>0</v>
      </c>
      <c r="H2447" t="b">
        <v>0</v>
      </c>
      <c r="I2447" t="s">
        <v>1050</v>
      </c>
      <c r="J2447">
        <v>88</v>
      </c>
      <c r="K2447" t="s">
        <v>0</v>
      </c>
      <c r="L2447" t="s">
        <v>1167</v>
      </c>
      <c r="M2447" t="s">
        <v>1168</v>
      </c>
      <c r="N2447" t="s">
        <v>1169</v>
      </c>
      <c r="O2447" t="s">
        <v>1168</v>
      </c>
      <c r="P2447" t="s">
        <v>1235</v>
      </c>
    </row>
    <row r="2448" spans="1:16" x14ac:dyDescent="0.25">
      <c r="A2448" t="s">
        <v>5188</v>
      </c>
      <c r="B2448" t="s">
        <v>5189</v>
      </c>
      <c r="C2448" t="s">
        <v>1228</v>
      </c>
      <c r="D2448" t="s">
        <v>1027</v>
      </c>
      <c r="E2448">
        <v>1660</v>
      </c>
      <c r="F2448" t="s">
        <v>1229</v>
      </c>
      <c r="G2448" t="b">
        <v>0</v>
      </c>
      <c r="H2448" t="b">
        <v>0</v>
      </c>
      <c r="I2448" t="s">
        <v>1050</v>
      </c>
      <c r="J2448">
        <v>85</v>
      </c>
      <c r="K2448" t="s">
        <v>2</v>
      </c>
      <c r="L2448" t="s">
        <v>1167</v>
      </c>
      <c r="M2448" t="s">
        <v>1168</v>
      </c>
      <c r="N2448" t="s">
        <v>1169</v>
      </c>
      <c r="O2448" t="s">
        <v>1168</v>
      </c>
      <c r="P2448" t="s">
        <v>1230</v>
      </c>
    </row>
    <row r="2449" spans="1:16" x14ac:dyDescent="0.25">
      <c r="A2449" t="s">
        <v>5190</v>
      </c>
      <c r="B2449" t="s">
        <v>5191</v>
      </c>
      <c r="C2449" t="s">
        <v>1571</v>
      </c>
      <c r="D2449" t="s">
        <v>1027</v>
      </c>
      <c r="E2449">
        <v>63767</v>
      </c>
      <c r="G2449" t="b">
        <v>0</v>
      </c>
      <c r="H2449" t="b">
        <v>0</v>
      </c>
      <c r="I2449" t="s">
        <v>1050</v>
      </c>
      <c r="J2449">
        <v>80</v>
      </c>
      <c r="K2449" t="s">
        <v>0</v>
      </c>
      <c r="L2449" t="s">
        <v>1167</v>
      </c>
      <c r="M2449" t="s">
        <v>1168</v>
      </c>
      <c r="N2449" t="s">
        <v>1169</v>
      </c>
      <c r="O2449" t="s">
        <v>1168</v>
      </c>
      <c r="P2449" t="s">
        <v>1283</v>
      </c>
    </row>
    <row r="2450" spans="1:16" x14ac:dyDescent="0.25">
      <c r="A2450" t="s">
        <v>5192</v>
      </c>
      <c r="B2450" t="s">
        <v>5193</v>
      </c>
      <c r="C2450" t="s">
        <v>1571</v>
      </c>
      <c r="D2450" t="s">
        <v>1027</v>
      </c>
      <c r="E2450">
        <v>63767</v>
      </c>
      <c r="G2450" t="b">
        <v>0</v>
      </c>
      <c r="H2450" t="b">
        <v>0</v>
      </c>
      <c r="I2450" t="s">
        <v>1050</v>
      </c>
      <c r="J2450">
        <v>80</v>
      </c>
      <c r="K2450" t="s">
        <v>0</v>
      </c>
      <c r="L2450" t="s">
        <v>1167</v>
      </c>
      <c r="M2450" t="s">
        <v>1168</v>
      </c>
      <c r="N2450" t="s">
        <v>1169</v>
      </c>
      <c r="O2450" t="s">
        <v>1168</v>
      </c>
      <c r="P2450" t="s">
        <v>1283</v>
      </c>
    </row>
    <row r="2451" spans="1:16" x14ac:dyDescent="0.25">
      <c r="A2451" t="s">
        <v>5194</v>
      </c>
      <c r="B2451" t="s">
        <v>5195</v>
      </c>
      <c r="C2451" t="s">
        <v>1571</v>
      </c>
      <c r="D2451" t="s">
        <v>1027</v>
      </c>
      <c r="E2451">
        <v>63767</v>
      </c>
      <c r="G2451" t="b">
        <v>0</v>
      </c>
      <c r="H2451" t="b">
        <v>0</v>
      </c>
      <c r="I2451" t="s">
        <v>1050</v>
      </c>
      <c r="J2451">
        <v>80</v>
      </c>
      <c r="K2451" t="s">
        <v>0</v>
      </c>
      <c r="L2451" t="s">
        <v>1167</v>
      </c>
      <c r="M2451" t="s">
        <v>1168</v>
      </c>
      <c r="N2451" t="s">
        <v>1169</v>
      </c>
      <c r="O2451" t="s">
        <v>1168</v>
      </c>
      <c r="P2451" t="s">
        <v>1283</v>
      </c>
    </row>
    <row r="2452" spans="1:16" x14ac:dyDescent="0.25">
      <c r="A2452" t="s">
        <v>5196</v>
      </c>
      <c r="B2452" t="s">
        <v>5197</v>
      </c>
      <c r="C2452" t="s">
        <v>1571</v>
      </c>
      <c r="D2452" t="s">
        <v>1027</v>
      </c>
      <c r="E2452">
        <v>63767</v>
      </c>
      <c r="G2452" t="b">
        <v>0</v>
      </c>
      <c r="H2452" t="b">
        <v>0</v>
      </c>
      <c r="I2452" t="s">
        <v>1050</v>
      </c>
      <c r="J2452">
        <v>80</v>
      </c>
      <c r="K2452" t="s">
        <v>0</v>
      </c>
      <c r="L2452" t="s">
        <v>1167</v>
      </c>
      <c r="M2452" t="s">
        <v>1168</v>
      </c>
      <c r="N2452" t="s">
        <v>1169</v>
      </c>
      <c r="O2452" t="s">
        <v>1168</v>
      </c>
      <c r="P2452" t="s">
        <v>1283</v>
      </c>
    </row>
    <row r="2453" spans="1:16" x14ac:dyDescent="0.25">
      <c r="A2453" t="s">
        <v>5198</v>
      </c>
      <c r="B2453" t="s">
        <v>5199</v>
      </c>
      <c r="C2453" t="s">
        <v>1571</v>
      </c>
      <c r="D2453" t="s">
        <v>1027</v>
      </c>
      <c r="E2453">
        <v>63767</v>
      </c>
      <c r="G2453" t="b">
        <v>0</v>
      </c>
      <c r="H2453" t="b">
        <v>0</v>
      </c>
      <c r="I2453" t="s">
        <v>1050</v>
      </c>
      <c r="J2453">
        <v>80</v>
      </c>
      <c r="K2453" t="s">
        <v>0</v>
      </c>
      <c r="L2453" t="s">
        <v>1167</v>
      </c>
      <c r="M2453" t="s">
        <v>1168</v>
      </c>
      <c r="N2453" t="s">
        <v>1169</v>
      </c>
      <c r="O2453" t="s">
        <v>1168</v>
      </c>
      <c r="P2453" t="s">
        <v>1283</v>
      </c>
    </row>
    <row r="2454" spans="1:16" x14ac:dyDescent="0.25">
      <c r="A2454" t="s">
        <v>5200</v>
      </c>
      <c r="B2454" t="s">
        <v>5201</v>
      </c>
      <c r="C2454" t="s">
        <v>1571</v>
      </c>
      <c r="D2454" t="s">
        <v>1027</v>
      </c>
      <c r="E2454">
        <v>63767</v>
      </c>
      <c r="G2454" t="b">
        <v>0</v>
      </c>
      <c r="H2454" t="b">
        <v>0</v>
      </c>
      <c r="I2454" t="s">
        <v>1050</v>
      </c>
      <c r="J2454">
        <v>80</v>
      </c>
      <c r="K2454" t="s">
        <v>0</v>
      </c>
      <c r="L2454" t="s">
        <v>1167</v>
      </c>
      <c r="M2454" t="s">
        <v>1168</v>
      </c>
      <c r="N2454" t="s">
        <v>1169</v>
      </c>
      <c r="O2454" t="s">
        <v>1168</v>
      </c>
      <c r="P2454" t="s">
        <v>1283</v>
      </c>
    </row>
    <row r="2455" spans="1:16" x14ac:dyDescent="0.25">
      <c r="A2455" t="s">
        <v>5202</v>
      </c>
      <c r="B2455" t="s">
        <v>5203</v>
      </c>
      <c r="C2455" t="s">
        <v>1571</v>
      </c>
      <c r="D2455" t="s">
        <v>1027</v>
      </c>
      <c r="E2455">
        <v>63767</v>
      </c>
      <c r="G2455" t="b">
        <v>0</v>
      </c>
      <c r="H2455" t="b">
        <v>0</v>
      </c>
      <c r="I2455" t="s">
        <v>1050</v>
      </c>
      <c r="J2455">
        <v>80</v>
      </c>
      <c r="K2455" t="s">
        <v>0</v>
      </c>
      <c r="L2455" t="s">
        <v>1167</v>
      </c>
      <c r="M2455" t="s">
        <v>1168</v>
      </c>
      <c r="N2455" t="s">
        <v>1169</v>
      </c>
      <c r="O2455" t="s">
        <v>1168</v>
      </c>
      <c r="P2455" t="s">
        <v>1283</v>
      </c>
    </row>
    <row r="2456" spans="1:16" x14ac:dyDescent="0.25">
      <c r="A2456" t="s">
        <v>5204</v>
      </c>
      <c r="B2456" t="s">
        <v>5205</v>
      </c>
      <c r="C2456" t="s">
        <v>1571</v>
      </c>
      <c r="D2456" t="s">
        <v>1027</v>
      </c>
      <c r="E2456">
        <v>63767</v>
      </c>
      <c r="G2456" t="b">
        <v>0</v>
      </c>
      <c r="H2456" t="b">
        <v>0</v>
      </c>
      <c r="I2456" t="s">
        <v>1050</v>
      </c>
      <c r="J2456">
        <v>80</v>
      </c>
      <c r="K2456" t="s">
        <v>0</v>
      </c>
      <c r="L2456" t="s">
        <v>1167</v>
      </c>
      <c r="M2456" t="s">
        <v>1168</v>
      </c>
      <c r="N2456" t="s">
        <v>1169</v>
      </c>
      <c r="O2456" t="s">
        <v>1168</v>
      </c>
      <c r="P2456" t="s">
        <v>1283</v>
      </c>
    </row>
    <row r="2457" spans="1:16" x14ac:dyDescent="0.25">
      <c r="A2457" t="s">
        <v>5206</v>
      </c>
      <c r="B2457" t="s">
        <v>5207</v>
      </c>
      <c r="C2457" t="s">
        <v>1571</v>
      </c>
      <c r="D2457" t="s">
        <v>1027</v>
      </c>
      <c r="E2457">
        <v>63767</v>
      </c>
      <c r="G2457" t="b">
        <v>0</v>
      </c>
      <c r="H2457" t="b">
        <v>0</v>
      </c>
      <c r="I2457" t="s">
        <v>1050</v>
      </c>
      <c r="J2457">
        <v>80</v>
      </c>
      <c r="K2457" t="s">
        <v>0</v>
      </c>
      <c r="L2457" t="s">
        <v>1167</v>
      </c>
      <c r="M2457" t="s">
        <v>1168</v>
      </c>
      <c r="N2457" t="s">
        <v>1169</v>
      </c>
      <c r="O2457" t="s">
        <v>1168</v>
      </c>
      <c r="P2457" t="s">
        <v>1283</v>
      </c>
    </row>
    <row r="2458" spans="1:16" x14ac:dyDescent="0.25">
      <c r="A2458" t="s">
        <v>5208</v>
      </c>
      <c r="B2458" t="s">
        <v>5209</v>
      </c>
      <c r="C2458" t="s">
        <v>1571</v>
      </c>
      <c r="D2458" t="s">
        <v>1027</v>
      </c>
      <c r="E2458">
        <v>63767</v>
      </c>
      <c r="G2458" t="b">
        <v>0</v>
      </c>
      <c r="H2458" t="b">
        <v>0</v>
      </c>
      <c r="I2458" t="s">
        <v>1050</v>
      </c>
      <c r="J2458">
        <v>80</v>
      </c>
      <c r="K2458" t="s">
        <v>0</v>
      </c>
      <c r="L2458" t="s">
        <v>1167</v>
      </c>
      <c r="M2458" t="s">
        <v>1168</v>
      </c>
      <c r="N2458" t="s">
        <v>1169</v>
      </c>
      <c r="O2458" t="s">
        <v>1168</v>
      </c>
      <c r="P2458" t="s">
        <v>1283</v>
      </c>
    </row>
    <row r="2459" spans="1:16" x14ac:dyDescent="0.25">
      <c r="A2459" t="s">
        <v>5210</v>
      </c>
      <c r="B2459" t="s">
        <v>5211</v>
      </c>
      <c r="C2459" t="s">
        <v>1233</v>
      </c>
      <c r="D2459" t="s">
        <v>1027</v>
      </c>
      <c r="E2459">
        <v>63762</v>
      </c>
      <c r="F2459" t="s">
        <v>1234</v>
      </c>
      <c r="G2459" t="b">
        <v>0</v>
      </c>
      <c r="H2459" t="b">
        <v>0</v>
      </c>
      <c r="I2459" t="s">
        <v>1050</v>
      </c>
      <c r="J2459">
        <v>80</v>
      </c>
      <c r="K2459" t="s">
        <v>0</v>
      </c>
      <c r="L2459" t="s">
        <v>1167</v>
      </c>
      <c r="M2459" t="s">
        <v>1168</v>
      </c>
      <c r="N2459" t="s">
        <v>1169</v>
      </c>
      <c r="O2459" t="s">
        <v>1168</v>
      </c>
      <c r="P2459" t="s">
        <v>1235</v>
      </c>
    </row>
    <row r="2460" spans="1:16" x14ac:dyDescent="0.25">
      <c r="A2460" t="s">
        <v>5212</v>
      </c>
      <c r="B2460" t="s">
        <v>5211</v>
      </c>
      <c r="C2460" t="s">
        <v>1233</v>
      </c>
      <c r="D2460" t="s">
        <v>1027</v>
      </c>
      <c r="E2460">
        <v>63762</v>
      </c>
      <c r="F2460" t="s">
        <v>1234</v>
      </c>
      <c r="G2460" t="b">
        <v>0</v>
      </c>
      <c r="H2460" t="b">
        <v>0</v>
      </c>
      <c r="I2460" t="s">
        <v>1050</v>
      </c>
      <c r="J2460">
        <v>80</v>
      </c>
      <c r="K2460" t="s">
        <v>0</v>
      </c>
      <c r="L2460" t="s">
        <v>1167</v>
      </c>
      <c r="M2460" t="s">
        <v>1168</v>
      </c>
      <c r="N2460" t="s">
        <v>1169</v>
      </c>
      <c r="O2460" t="s">
        <v>1168</v>
      </c>
      <c r="P2460" t="s">
        <v>1235</v>
      </c>
    </row>
    <row r="2461" spans="1:16" x14ac:dyDescent="0.25">
      <c r="A2461" t="s">
        <v>5213</v>
      </c>
      <c r="B2461" t="s">
        <v>5214</v>
      </c>
      <c r="C2461" t="s">
        <v>2026</v>
      </c>
      <c r="D2461" t="s">
        <v>1027</v>
      </c>
      <c r="E2461">
        <v>1336</v>
      </c>
      <c r="F2461" t="s">
        <v>2027</v>
      </c>
      <c r="G2461" t="b">
        <v>0</v>
      </c>
      <c r="H2461" t="b">
        <v>0</v>
      </c>
      <c r="I2461" t="s">
        <v>1050</v>
      </c>
      <c r="J2461">
        <v>80</v>
      </c>
      <c r="K2461" t="s">
        <v>0</v>
      </c>
      <c r="L2461" t="s">
        <v>1167</v>
      </c>
      <c r="M2461" t="s">
        <v>1168</v>
      </c>
      <c r="N2461" t="s">
        <v>1169</v>
      </c>
      <c r="O2461" t="s">
        <v>1168</v>
      </c>
      <c r="P2461" t="s">
        <v>2028</v>
      </c>
    </row>
    <row r="2462" spans="1:16" x14ac:dyDescent="0.25">
      <c r="A2462" t="s">
        <v>5215</v>
      </c>
      <c r="B2462" t="s">
        <v>5216</v>
      </c>
      <c r="C2462" t="s">
        <v>2026</v>
      </c>
      <c r="D2462" t="s">
        <v>1027</v>
      </c>
      <c r="E2462">
        <v>1336</v>
      </c>
      <c r="F2462" t="s">
        <v>2027</v>
      </c>
      <c r="G2462" t="b">
        <v>0</v>
      </c>
      <c r="H2462" t="b">
        <v>0</v>
      </c>
      <c r="I2462" t="s">
        <v>1050</v>
      </c>
      <c r="J2462">
        <v>80</v>
      </c>
      <c r="K2462" t="s">
        <v>0</v>
      </c>
      <c r="L2462" t="s">
        <v>1167</v>
      </c>
      <c r="M2462" t="s">
        <v>1168</v>
      </c>
      <c r="N2462" t="s">
        <v>1169</v>
      </c>
      <c r="O2462" t="s">
        <v>1168</v>
      </c>
      <c r="P2462" t="s">
        <v>2028</v>
      </c>
    </row>
    <row r="2463" spans="1:16" x14ac:dyDescent="0.25">
      <c r="A2463" t="s">
        <v>5217</v>
      </c>
      <c r="B2463" t="s">
        <v>5218</v>
      </c>
      <c r="C2463" t="s">
        <v>1233</v>
      </c>
      <c r="D2463" t="s">
        <v>1027</v>
      </c>
      <c r="E2463">
        <v>63762</v>
      </c>
      <c r="F2463" t="s">
        <v>1234</v>
      </c>
      <c r="G2463" t="b">
        <v>0</v>
      </c>
      <c r="H2463" t="b">
        <v>0</v>
      </c>
      <c r="I2463" t="s">
        <v>1050</v>
      </c>
      <c r="J2463">
        <v>80</v>
      </c>
      <c r="K2463" t="s">
        <v>0</v>
      </c>
      <c r="L2463" t="s">
        <v>1167</v>
      </c>
      <c r="M2463" t="s">
        <v>1168</v>
      </c>
      <c r="N2463" t="s">
        <v>1169</v>
      </c>
      <c r="O2463" t="s">
        <v>1168</v>
      </c>
      <c r="P2463" t="s">
        <v>1235</v>
      </c>
    </row>
    <row r="2464" spans="1:16" x14ac:dyDescent="0.25">
      <c r="A2464" t="s">
        <v>5219</v>
      </c>
      <c r="B2464" t="s">
        <v>5218</v>
      </c>
      <c r="C2464" t="s">
        <v>1233</v>
      </c>
      <c r="D2464" t="s">
        <v>1027</v>
      </c>
      <c r="E2464">
        <v>63762</v>
      </c>
      <c r="F2464" t="s">
        <v>1234</v>
      </c>
      <c r="G2464" t="b">
        <v>0</v>
      </c>
      <c r="H2464" t="b">
        <v>0</v>
      </c>
      <c r="I2464" t="s">
        <v>1050</v>
      </c>
      <c r="J2464">
        <v>80</v>
      </c>
      <c r="K2464" t="s">
        <v>0</v>
      </c>
      <c r="L2464" t="s">
        <v>1167</v>
      </c>
      <c r="M2464" t="s">
        <v>1168</v>
      </c>
      <c r="N2464" t="s">
        <v>1169</v>
      </c>
      <c r="O2464" t="s">
        <v>1168</v>
      </c>
      <c r="P2464" t="s">
        <v>1235</v>
      </c>
    </row>
    <row r="2465" spans="1:16" x14ac:dyDescent="0.25">
      <c r="A2465" t="s">
        <v>5220</v>
      </c>
      <c r="B2465" t="s">
        <v>5221</v>
      </c>
      <c r="C2465" t="s">
        <v>1571</v>
      </c>
      <c r="D2465" t="s">
        <v>1027</v>
      </c>
      <c r="E2465">
        <v>63767</v>
      </c>
      <c r="G2465" t="b">
        <v>0</v>
      </c>
      <c r="H2465" t="b">
        <v>0</v>
      </c>
      <c r="I2465" t="s">
        <v>1050</v>
      </c>
      <c r="J2465">
        <v>80</v>
      </c>
      <c r="K2465" t="s">
        <v>0</v>
      </c>
      <c r="L2465" t="s">
        <v>1167</v>
      </c>
      <c r="M2465" t="s">
        <v>1168</v>
      </c>
      <c r="N2465" t="s">
        <v>1169</v>
      </c>
      <c r="O2465" t="s">
        <v>1168</v>
      </c>
      <c r="P2465" t="s">
        <v>1283</v>
      </c>
    </row>
    <row r="2466" spans="1:16" x14ac:dyDescent="0.25">
      <c r="A2466" t="s">
        <v>5222</v>
      </c>
      <c r="B2466" t="s">
        <v>5223</v>
      </c>
      <c r="C2466" t="s">
        <v>1571</v>
      </c>
      <c r="D2466" t="s">
        <v>1027</v>
      </c>
      <c r="E2466">
        <v>63767</v>
      </c>
      <c r="G2466" t="b">
        <v>0</v>
      </c>
      <c r="H2466" t="b">
        <v>0</v>
      </c>
      <c r="I2466" t="s">
        <v>1050</v>
      </c>
      <c r="J2466">
        <v>80</v>
      </c>
      <c r="K2466" t="s">
        <v>0</v>
      </c>
      <c r="L2466" t="s">
        <v>1167</v>
      </c>
      <c r="M2466" t="s">
        <v>1168</v>
      </c>
      <c r="N2466" t="s">
        <v>1169</v>
      </c>
      <c r="O2466" t="s">
        <v>1168</v>
      </c>
      <c r="P2466" t="s">
        <v>1283</v>
      </c>
    </row>
    <row r="2467" spans="1:16" x14ac:dyDescent="0.25">
      <c r="A2467" t="s">
        <v>5224</v>
      </c>
      <c r="B2467" t="s">
        <v>5225</v>
      </c>
      <c r="C2467" t="s">
        <v>1571</v>
      </c>
      <c r="D2467" t="s">
        <v>1027</v>
      </c>
      <c r="E2467">
        <v>63767</v>
      </c>
      <c r="G2467" t="b">
        <v>0</v>
      </c>
      <c r="H2467" t="b">
        <v>0</v>
      </c>
      <c r="I2467" t="s">
        <v>1050</v>
      </c>
      <c r="J2467">
        <v>80</v>
      </c>
      <c r="K2467" t="s">
        <v>0</v>
      </c>
      <c r="L2467" t="s">
        <v>1167</v>
      </c>
      <c r="M2467" t="s">
        <v>1168</v>
      </c>
      <c r="N2467" t="s">
        <v>1169</v>
      </c>
      <c r="O2467" t="s">
        <v>1168</v>
      </c>
      <c r="P2467" t="s">
        <v>1283</v>
      </c>
    </row>
    <row r="2468" spans="1:16" x14ac:dyDescent="0.25">
      <c r="A2468" t="s">
        <v>5226</v>
      </c>
      <c r="B2468" t="s">
        <v>5227</v>
      </c>
      <c r="C2468" t="s">
        <v>1571</v>
      </c>
      <c r="D2468" t="s">
        <v>1027</v>
      </c>
      <c r="E2468">
        <v>63767</v>
      </c>
      <c r="G2468" t="b">
        <v>0</v>
      </c>
      <c r="H2468" t="b">
        <v>0</v>
      </c>
      <c r="I2468" t="s">
        <v>1050</v>
      </c>
      <c r="J2468">
        <v>80</v>
      </c>
      <c r="K2468" t="s">
        <v>0</v>
      </c>
      <c r="L2468" t="s">
        <v>1167</v>
      </c>
      <c r="M2468" t="s">
        <v>1168</v>
      </c>
      <c r="N2468" t="s">
        <v>1169</v>
      </c>
      <c r="O2468" t="s">
        <v>1168</v>
      </c>
      <c r="P2468" t="s">
        <v>1283</v>
      </c>
    </row>
    <row r="2469" spans="1:16" x14ac:dyDescent="0.25">
      <c r="A2469" t="s">
        <v>5228</v>
      </c>
      <c r="B2469" t="s">
        <v>5229</v>
      </c>
      <c r="C2469" t="s">
        <v>1571</v>
      </c>
      <c r="D2469" t="s">
        <v>1027</v>
      </c>
      <c r="E2469">
        <v>63767</v>
      </c>
      <c r="G2469" t="b">
        <v>0</v>
      </c>
      <c r="H2469" t="b">
        <v>0</v>
      </c>
      <c r="I2469" t="s">
        <v>1050</v>
      </c>
      <c r="J2469">
        <v>80</v>
      </c>
      <c r="K2469" t="s">
        <v>0</v>
      </c>
      <c r="L2469" t="s">
        <v>1167</v>
      </c>
      <c r="M2469" t="s">
        <v>1168</v>
      </c>
      <c r="N2469" t="s">
        <v>1169</v>
      </c>
      <c r="O2469" t="s">
        <v>1168</v>
      </c>
      <c r="P2469" t="s">
        <v>1283</v>
      </c>
    </row>
    <row r="2470" spans="1:16" x14ac:dyDescent="0.25">
      <c r="A2470" t="s">
        <v>5230</v>
      </c>
      <c r="B2470" t="s">
        <v>5231</v>
      </c>
      <c r="C2470" t="s">
        <v>1571</v>
      </c>
      <c r="D2470" t="s">
        <v>1027</v>
      </c>
      <c r="E2470">
        <v>63767</v>
      </c>
      <c r="G2470" t="b">
        <v>0</v>
      </c>
      <c r="H2470" t="b">
        <v>0</v>
      </c>
      <c r="I2470" t="s">
        <v>1050</v>
      </c>
      <c r="J2470">
        <v>80</v>
      </c>
      <c r="K2470" t="s">
        <v>0</v>
      </c>
      <c r="L2470" t="s">
        <v>1167</v>
      </c>
      <c r="M2470" t="s">
        <v>1168</v>
      </c>
      <c r="N2470" t="s">
        <v>1169</v>
      </c>
      <c r="O2470" t="s">
        <v>1168</v>
      </c>
      <c r="P2470" t="s">
        <v>1283</v>
      </c>
    </row>
    <row r="2471" spans="1:16" x14ac:dyDescent="0.25">
      <c r="A2471" t="s">
        <v>5232</v>
      </c>
      <c r="B2471" t="s">
        <v>5233</v>
      </c>
      <c r="C2471" t="s">
        <v>1571</v>
      </c>
      <c r="D2471" t="s">
        <v>1027</v>
      </c>
      <c r="E2471">
        <v>63767</v>
      </c>
      <c r="G2471" t="b">
        <v>0</v>
      </c>
      <c r="H2471" t="b">
        <v>0</v>
      </c>
      <c r="I2471" t="s">
        <v>1050</v>
      </c>
      <c r="J2471">
        <v>80</v>
      </c>
      <c r="K2471" t="s">
        <v>0</v>
      </c>
      <c r="L2471" t="s">
        <v>1167</v>
      </c>
      <c r="M2471" t="s">
        <v>1168</v>
      </c>
      <c r="N2471" t="s">
        <v>1169</v>
      </c>
      <c r="O2471" t="s">
        <v>1168</v>
      </c>
      <c r="P2471" t="s">
        <v>1283</v>
      </c>
    </row>
    <row r="2472" spans="1:16" x14ac:dyDescent="0.25">
      <c r="A2472" t="s">
        <v>5234</v>
      </c>
      <c r="B2472" t="s">
        <v>5235</v>
      </c>
      <c r="C2472" t="s">
        <v>1571</v>
      </c>
      <c r="D2472" t="s">
        <v>1027</v>
      </c>
      <c r="E2472">
        <v>63767</v>
      </c>
      <c r="G2472" t="b">
        <v>0</v>
      </c>
      <c r="H2472" t="b">
        <v>0</v>
      </c>
      <c r="I2472" t="s">
        <v>1050</v>
      </c>
      <c r="J2472">
        <v>87</v>
      </c>
      <c r="K2472" t="s">
        <v>0</v>
      </c>
      <c r="L2472" t="s">
        <v>1167</v>
      </c>
      <c r="M2472" t="s">
        <v>1168</v>
      </c>
      <c r="N2472" t="s">
        <v>1169</v>
      </c>
      <c r="O2472" t="s">
        <v>1168</v>
      </c>
      <c r="P2472" t="s">
        <v>1283</v>
      </c>
    </row>
    <row r="2473" spans="1:16" x14ac:dyDescent="0.25">
      <c r="A2473" t="s">
        <v>5236</v>
      </c>
      <c r="B2473" t="s">
        <v>5237</v>
      </c>
      <c r="C2473" t="s">
        <v>1571</v>
      </c>
      <c r="D2473" t="s">
        <v>1027</v>
      </c>
      <c r="E2473">
        <v>63767</v>
      </c>
      <c r="G2473" t="b">
        <v>0</v>
      </c>
      <c r="H2473" t="b">
        <v>0</v>
      </c>
      <c r="I2473" t="s">
        <v>1050</v>
      </c>
      <c r="J2473">
        <v>87</v>
      </c>
      <c r="K2473" t="s">
        <v>0</v>
      </c>
      <c r="L2473" t="s">
        <v>1167</v>
      </c>
      <c r="M2473" t="s">
        <v>1168</v>
      </c>
      <c r="N2473" t="s">
        <v>1169</v>
      </c>
      <c r="O2473" t="s">
        <v>1168</v>
      </c>
      <c r="P2473" t="s">
        <v>1283</v>
      </c>
    </row>
    <row r="2474" spans="1:16" x14ac:dyDescent="0.25">
      <c r="A2474" t="s">
        <v>5238</v>
      </c>
      <c r="B2474" t="s">
        <v>5239</v>
      </c>
      <c r="C2474" t="s">
        <v>1571</v>
      </c>
      <c r="D2474" t="s">
        <v>1027</v>
      </c>
      <c r="E2474">
        <v>63767</v>
      </c>
      <c r="G2474" t="b">
        <v>0</v>
      </c>
      <c r="H2474" t="b">
        <v>0</v>
      </c>
      <c r="I2474" t="s">
        <v>1050</v>
      </c>
      <c r="J2474">
        <v>80</v>
      </c>
      <c r="K2474" t="s">
        <v>0</v>
      </c>
      <c r="L2474" t="s">
        <v>1167</v>
      </c>
      <c r="M2474" t="s">
        <v>1168</v>
      </c>
      <c r="N2474" t="s">
        <v>1169</v>
      </c>
      <c r="O2474" t="s">
        <v>1168</v>
      </c>
      <c r="P2474" t="s">
        <v>1283</v>
      </c>
    </row>
    <row r="2475" spans="1:16" x14ac:dyDescent="0.25">
      <c r="A2475" t="s">
        <v>5240</v>
      </c>
      <c r="B2475" t="s">
        <v>5241</v>
      </c>
      <c r="C2475" t="s">
        <v>1571</v>
      </c>
      <c r="D2475" t="s">
        <v>1027</v>
      </c>
      <c r="E2475">
        <v>63767</v>
      </c>
      <c r="G2475" t="b">
        <v>0</v>
      </c>
      <c r="H2475" t="b">
        <v>0</v>
      </c>
      <c r="I2475" t="s">
        <v>1050</v>
      </c>
      <c r="J2475">
        <v>80</v>
      </c>
      <c r="K2475" t="s">
        <v>0</v>
      </c>
      <c r="L2475" t="s">
        <v>1167</v>
      </c>
      <c r="M2475" t="s">
        <v>1168</v>
      </c>
      <c r="N2475" t="s">
        <v>1169</v>
      </c>
      <c r="O2475" t="s">
        <v>1168</v>
      </c>
      <c r="P2475" t="s">
        <v>1283</v>
      </c>
    </row>
    <row r="2476" spans="1:16" x14ac:dyDescent="0.25">
      <c r="A2476" t="s">
        <v>5242</v>
      </c>
      <c r="B2476" t="s">
        <v>5243</v>
      </c>
      <c r="C2476" t="s">
        <v>1571</v>
      </c>
      <c r="D2476" t="s">
        <v>1027</v>
      </c>
      <c r="E2476">
        <v>63767</v>
      </c>
      <c r="G2476" t="b">
        <v>0</v>
      </c>
      <c r="H2476" t="b">
        <v>0</v>
      </c>
      <c r="I2476" t="s">
        <v>1050</v>
      </c>
      <c r="J2476">
        <v>80</v>
      </c>
      <c r="K2476" t="s">
        <v>0</v>
      </c>
      <c r="L2476" t="s">
        <v>1167</v>
      </c>
      <c r="M2476" t="s">
        <v>1168</v>
      </c>
      <c r="N2476" t="s">
        <v>1169</v>
      </c>
      <c r="O2476" t="s">
        <v>1168</v>
      </c>
      <c r="P2476" t="s">
        <v>1283</v>
      </c>
    </row>
    <row r="2477" spans="1:16" x14ac:dyDescent="0.25">
      <c r="A2477" t="s">
        <v>5244</v>
      </c>
      <c r="B2477" t="s">
        <v>5245</v>
      </c>
      <c r="C2477" t="s">
        <v>1571</v>
      </c>
      <c r="D2477" t="s">
        <v>1027</v>
      </c>
      <c r="E2477">
        <v>63767</v>
      </c>
      <c r="G2477" t="b">
        <v>0</v>
      </c>
      <c r="H2477" t="b">
        <v>0</v>
      </c>
      <c r="I2477" t="s">
        <v>1050</v>
      </c>
      <c r="J2477">
        <v>80</v>
      </c>
      <c r="K2477" t="s">
        <v>0</v>
      </c>
      <c r="L2477" t="s">
        <v>1167</v>
      </c>
      <c r="M2477" t="s">
        <v>1168</v>
      </c>
      <c r="N2477" t="s">
        <v>1169</v>
      </c>
      <c r="O2477" t="s">
        <v>1168</v>
      </c>
      <c r="P2477" t="s">
        <v>1283</v>
      </c>
    </row>
    <row r="2478" spans="1:16" x14ac:dyDescent="0.25">
      <c r="A2478" t="s">
        <v>5246</v>
      </c>
      <c r="B2478" t="s">
        <v>5247</v>
      </c>
      <c r="C2478" t="s">
        <v>1165</v>
      </c>
      <c r="D2478" t="s">
        <v>1027</v>
      </c>
      <c r="E2478">
        <v>63774</v>
      </c>
      <c r="F2478" t="s">
        <v>1166</v>
      </c>
      <c r="G2478" t="b">
        <v>0</v>
      </c>
      <c r="H2478" t="b">
        <v>0</v>
      </c>
      <c r="I2478" t="s">
        <v>1050</v>
      </c>
      <c r="J2478">
        <v>52</v>
      </c>
      <c r="K2478" t="s">
        <v>1</v>
      </c>
      <c r="L2478" t="s">
        <v>1167</v>
      </c>
      <c r="M2478" t="s">
        <v>1168</v>
      </c>
      <c r="N2478" t="s">
        <v>1169</v>
      </c>
      <c r="O2478" t="s">
        <v>1168</v>
      </c>
      <c r="P2478" t="s">
        <v>1170</v>
      </c>
    </row>
    <row r="2479" spans="1:16" x14ac:dyDescent="0.25">
      <c r="A2479" t="s">
        <v>5248</v>
      </c>
      <c r="B2479" t="s">
        <v>5249</v>
      </c>
      <c r="C2479" t="s">
        <v>1165</v>
      </c>
      <c r="D2479" t="s">
        <v>1027</v>
      </c>
      <c r="E2479">
        <v>63774</v>
      </c>
      <c r="F2479" t="s">
        <v>1166</v>
      </c>
      <c r="G2479" t="b">
        <v>0</v>
      </c>
      <c r="H2479" t="b">
        <v>0</v>
      </c>
      <c r="I2479" t="s">
        <v>1050</v>
      </c>
      <c r="J2479">
        <v>87</v>
      </c>
      <c r="K2479" t="s">
        <v>1</v>
      </c>
      <c r="L2479" t="s">
        <v>1167</v>
      </c>
      <c r="M2479" t="s">
        <v>1168</v>
      </c>
      <c r="N2479" t="s">
        <v>1169</v>
      </c>
      <c r="O2479" t="s">
        <v>1168</v>
      </c>
      <c r="P2479" t="s">
        <v>1170</v>
      </c>
    </row>
    <row r="2480" spans="1:16" x14ac:dyDescent="0.25">
      <c r="A2480" t="s">
        <v>5250</v>
      </c>
      <c r="B2480" t="s">
        <v>5251</v>
      </c>
      <c r="C2480" t="s">
        <v>1165</v>
      </c>
      <c r="D2480" t="s">
        <v>1027</v>
      </c>
      <c r="E2480">
        <v>63774</v>
      </c>
      <c r="F2480" t="s">
        <v>1166</v>
      </c>
      <c r="G2480" t="b">
        <v>0</v>
      </c>
      <c r="H2480" t="b">
        <v>0</v>
      </c>
      <c r="I2480" t="s">
        <v>1050</v>
      </c>
      <c r="J2480">
        <v>60</v>
      </c>
      <c r="K2480" t="s">
        <v>1</v>
      </c>
      <c r="L2480" t="s">
        <v>1167</v>
      </c>
      <c r="M2480" t="s">
        <v>1168</v>
      </c>
      <c r="N2480" t="s">
        <v>1169</v>
      </c>
      <c r="O2480" t="s">
        <v>1168</v>
      </c>
      <c r="P2480" t="s">
        <v>1170</v>
      </c>
    </row>
    <row r="2481" spans="1:16" x14ac:dyDescent="0.25">
      <c r="A2481" t="s">
        <v>5252</v>
      </c>
      <c r="B2481" t="s">
        <v>5253</v>
      </c>
      <c r="C2481" t="s">
        <v>1217</v>
      </c>
      <c r="D2481" t="s">
        <v>1027</v>
      </c>
      <c r="E2481">
        <v>1450</v>
      </c>
      <c r="F2481" t="s">
        <v>1218</v>
      </c>
      <c r="G2481" t="b">
        <v>0</v>
      </c>
      <c r="H2481" t="b">
        <v>0</v>
      </c>
      <c r="I2481" t="s">
        <v>1050</v>
      </c>
      <c r="J2481">
        <v>52</v>
      </c>
      <c r="K2481" t="s">
        <v>0</v>
      </c>
      <c r="L2481" t="s">
        <v>1167</v>
      </c>
      <c r="M2481" t="s">
        <v>1168</v>
      </c>
      <c r="N2481" t="s">
        <v>1169</v>
      </c>
      <c r="O2481" t="s">
        <v>1168</v>
      </c>
      <c r="P2481" t="s">
        <v>1219</v>
      </c>
    </row>
    <row r="2482" spans="1:16" x14ac:dyDescent="0.25">
      <c r="A2482" t="s">
        <v>5254</v>
      </c>
      <c r="B2482" t="s">
        <v>5253</v>
      </c>
      <c r="C2482" t="s">
        <v>1217</v>
      </c>
      <c r="D2482" t="s">
        <v>1027</v>
      </c>
      <c r="E2482">
        <v>1450</v>
      </c>
      <c r="F2482" t="s">
        <v>1218</v>
      </c>
      <c r="G2482" t="b">
        <v>0</v>
      </c>
      <c r="H2482" t="b">
        <v>0</v>
      </c>
      <c r="I2482" t="s">
        <v>1050</v>
      </c>
      <c r="J2482">
        <v>52</v>
      </c>
      <c r="K2482" t="s">
        <v>0</v>
      </c>
      <c r="L2482" t="s">
        <v>1167</v>
      </c>
      <c r="M2482" t="s">
        <v>1168</v>
      </c>
      <c r="N2482" t="s">
        <v>1169</v>
      </c>
      <c r="O2482" t="s">
        <v>1168</v>
      </c>
      <c r="P2482" t="s">
        <v>1219</v>
      </c>
    </row>
    <row r="2483" spans="1:16" x14ac:dyDescent="0.25">
      <c r="A2483" t="s">
        <v>5255</v>
      </c>
      <c r="B2483" t="s">
        <v>5256</v>
      </c>
      <c r="C2483" t="s">
        <v>1165</v>
      </c>
      <c r="D2483" t="s">
        <v>1027</v>
      </c>
      <c r="E2483">
        <v>63774</v>
      </c>
      <c r="F2483" t="s">
        <v>1166</v>
      </c>
      <c r="G2483" t="b">
        <v>0</v>
      </c>
      <c r="H2483" t="b">
        <v>0</v>
      </c>
      <c r="I2483" t="s">
        <v>1050</v>
      </c>
      <c r="J2483">
        <v>65</v>
      </c>
      <c r="K2483" t="s">
        <v>1</v>
      </c>
      <c r="L2483" t="s">
        <v>1167</v>
      </c>
      <c r="M2483" t="s">
        <v>1168</v>
      </c>
      <c r="N2483" t="s">
        <v>1169</v>
      </c>
      <c r="O2483" t="s">
        <v>1168</v>
      </c>
      <c r="P2483" t="s">
        <v>1170</v>
      </c>
    </row>
    <row r="2484" spans="1:16" x14ac:dyDescent="0.25">
      <c r="A2484" t="s">
        <v>5257</v>
      </c>
      <c r="B2484" t="s">
        <v>5258</v>
      </c>
      <c r="C2484" t="s">
        <v>1165</v>
      </c>
      <c r="D2484" t="s">
        <v>1027</v>
      </c>
      <c r="E2484">
        <v>63774</v>
      </c>
      <c r="F2484" t="s">
        <v>1166</v>
      </c>
      <c r="G2484" t="b">
        <v>0</v>
      </c>
      <c r="H2484" t="b">
        <v>0</v>
      </c>
      <c r="I2484" t="s">
        <v>1050</v>
      </c>
      <c r="J2484">
        <v>65</v>
      </c>
      <c r="K2484" t="s">
        <v>1</v>
      </c>
      <c r="L2484" t="s">
        <v>1167</v>
      </c>
      <c r="M2484" t="s">
        <v>1168</v>
      </c>
      <c r="N2484" t="s">
        <v>1169</v>
      </c>
      <c r="O2484" t="s">
        <v>1168</v>
      </c>
      <c r="P2484" t="s">
        <v>1170</v>
      </c>
    </row>
    <row r="2485" spans="1:16" x14ac:dyDescent="0.25">
      <c r="A2485" t="s">
        <v>5259</v>
      </c>
      <c r="B2485" t="s">
        <v>5260</v>
      </c>
      <c r="C2485" t="s">
        <v>1165</v>
      </c>
      <c r="D2485" t="s">
        <v>1027</v>
      </c>
      <c r="E2485">
        <v>63774</v>
      </c>
      <c r="F2485" t="s">
        <v>1166</v>
      </c>
      <c r="G2485" t="b">
        <v>0</v>
      </c>
      <c r="H2485" t="b">
        <v>0</v>
      </c>
      <c r="I2485" t="s">
        <v>1050</v>
      </c>
      <c r="J2485">
        <v>65</v>
      </c>
      <c r="K2485" t="s">
        <v>1</v>
      </c>
      <c r="L2485" t="s">
        <v>1167</v>
      </c>
      <c r="M2485" t="s">
        <v>1168</v>
      </c>
      <c r="N2485" t="s">
        <v>1169</v>
      </c>
      <c r="O2485" t="s">
        <v>1168</v>
      </c>
      <c r="P2485" t="s">
        <v>1170</v>
      </c>
    </row>
    <row r="2486" spans="1:16" x14ac:dyDescent="0.25">
      <c r="A2486" t="s">
        <v>5261</v>
      </c>
      <c r="B2486" t="s">
        <v>5262</v>
      </c>
      <c r="C2486" t="s">
        <v>1678</v>
      </c>
      <c r="D2486" t="s">
        <v>1027</v>
      </c>
      <c r="E2486">
        <v>63786</v>
      </c>
      <c r="F2486" t="s">
        <v>1679</v>
      </c>
      <c r="G2486" t="b">
        <v>0</v>
      </c>
      <c r="H2486" t="b">
        <v>0</v>
      </c>
      <c r="I2486" t="s">
        <v>1050</v>
      </c>
      <c r="J2486">
        <v>25</v>
      </c>
      <c r="K2486" t="s">
        <v>2</v>
      </c>
      <c r="L2486" t="s">
        <v>1680</v>
      </c>
      <c r="M2486" t="s">
        <v>1680</v>
      </c>
      <c r="N2486" t="s">
        <v>1681</v>
      </c>
      <c r="O2486" t="s">
        <v>1680</v>
      </c>
      <c r="P2486" t="s">
        <v>1682</v>
      </c>
    </row>
    <row r="2487" spans="1:16" x14ac:dyDescent="0.25">
      <c r="A2487" t="s">
        <v>5263</v>
      </c>
      <c r="B2487" t="s">
        <v>5264</v>
      </c>
      <c r="C2487" t="s">
        <v>1233</v>
      </c>
      <c r="D2487" t="s">
        <v>1027</v>
      </c>
      <c r="E2487">
        <v>63762</v>
      </c>
      <c r="F2487" t="s">
        <v>1234</v>
      </c>
      <c r="G2487" t="b">
        <v>0</v>
      </c>
      <c r="H2487" t="b">
        <v>0</v>
      </c>
      <c r="I2487" t="s">
        <v>1050</v>
      </c>
      <c r="J2487">
        <v>88</v>
      </c>
      <c r="K2487" t="s">
        <v>0</v>
      </c>
      <c r="L2487" t="s">
        <v>1167</v>
      </c>
      <c r="M2487" t="s">
        <v>1168</v>
      </c>
      <c r="N2487" t="s">
        <v>1169</v>
      </c>
      <c r="O2487" t="s">
        <v>1168</v>
      </c>
      <c r="P2487" t="s">
        <v>1235</v>
      </c>
    </row>
    <row r="2488" spans="1:16" x14ac:dyDescent="0.25">
      <c r="A2488" t="s">
        <v>5265</v>
      </c>
      <c r="B2488" t="s">
        <v>5266</v>
      </c>
      <c r="C2488" t="s">
        <v>1233</v>
      </c>
      <c r="D2488" t="s">
        <v>1027</v>
      </c>
      <c r="E2488">
        <v>63762</v>
      </c>
      <c r="F2488" t="s">
        <v>1234</v>
      </c>
      <c r="G2488" t="b">
        <v>0</v>
      </c>
      <c r="H2488" t="b">
        <v>0</v>
      </c>
      <c r="I2488" t="s">
        <v>1050</v>
      </c>
      <c r="J2488">
        <v>88</v>
      </c>
      <c r="K2488" t="s">
        <v>0</v>
      </c>
      <c r="L2488" t="s">
        <v>1167</v>
      </c>
      <c r="M2488" t="s">
        <v>1168</v>
      </c>
      <c r="N2488" t="s">
        <v>1169</v>
      </c>
      <c r="O2488" t="s">
        <v>1168</v>
      </c>
      <c r="P2488" t="s">
        <v>1235</v>
      </c>
    </row>
    <row r="2489" spans="1:16" x14ac:dyDescent="0.25">
      <c r="A2489" t="s">
        <v>5267</v>
      </c>
      <c r="B2489" t="s">
        <v>5268</v>
      </c>
      <c r="C2489" t="s">
        <v>1233</v>
      </c>
      <c r="D2489" t="s">
        <v>1027</v>
      </c>
      <c r="E2489">
        <v>63762</v>
      </c>
      <c r="F2489" t="s">
        <v>1234</v>
      </c>
      <c r="G2489" t="b">
        <v>0</v>
      </c>
      <c r="H2489" t="b">
        <v>0</v>
      </c>
      <c r="I2489" t="s">
        <v>1050</v>
      </c>
      <c r="J2489">
        <v>88</v>
      </c>
      <c r="K2489" t="s">
        <v>0</v>
      </c>
      <c r="L2489" t="s">
        <v>1167</v>
      </c>
      <c r="M2489" t="s">
        <v>1168</v>
      </c>
      <c r="N2489" t="s">
        <v>1169</v>
      </c>
      <c r="O2489" t="s">
        <v>1168</v>
      </c>
      <c r="P2489" t="s">
        <v>1235</v>
      </c>
    </row>
    <row r="2490" spans="1:16" x14ac:dyDescent="0.25">
      <c r="A2490" t="s">
        <v>5269</v>
      </c>
      <c r="B2490" t="s">
        <v>5270</v>
      </c>
      <c r="C2490" t="s">
        <v>1233</v>
      </c>
      <c r="D2490" t="s">
        <v>1027</v>
      </c>
      <c r="E2490">
        <v>63762</v>
      </c>
      <c r="F2490" t="s">
        <v>1234</v>
      </c>
      <c r="G2490" t="b">
        <v>0</v>
      </c>
      <c r="H2490" t="b">
        <v>0</v>
      </c>
      <c r="I2490" t="s">
        <v>1050</v>
      </c>
      <c r="J2490">
        <v>88</v>
      </c>
      <c r="K2490" t="s">
        <v>0</v>
      </c>
      <c r="L2490" t="s">
        <v>1167</v>
      </c>
      <c r="M2490" t="s">
        <v>1168</v>
      </c>
      <c r="N2490" t="s">
        <v>1169</v>
      </c>
      <c r="O2490" t="s">
        <v>1168</v>
      </c>
      <c r="P2490" t="s">
        <v>1235</v>
      </c>
    </row>
    <row r="2491" spans="1:16" x14ac:dyDescent="0.25">
      <c r="A2491" t="s">
        <v>5271</v>
      </c>
      <c r="B2491" t="s">
        <v>5272</v>
      </c>
      <c r="C2491" t="s">
        <v>1431</v>
      </c>
      <c r="D2491" t="s">
        <v>1027</v>
      </c>
      <c r="E2491">
        <v>41348</v>
      </c>
      <c r="F2491" t="s">
        <v>1432</v>
      </c>
      <c r="G2491" t="b">
        <v>0</v>
      </c>
      <c r="H2491" t="b">
        <v>0</v>
      </c>
      <c r="I2491" t="s">
        <v>1050</v>
      </c>
      <c r="J2491">
        <v>80</v>
      </c>
      <c r="K2491" t="s">
        <v>2</v>
      </c>
      <c r="L2491" t="s">
        <v>1168</v>
      </c>
      <c r="M2491" t="s">
        <v>1168</v>
      </c>
      <c r="N2491" t="s">
        <v>1169</v>
      </c>
      <c r="O2491" t="s">
        <v>1168</v>
      </c>
      <c r="P2491" t="s">
        <v>1434</v>
      </c>
    </row>
    <row r="2492" spans="1:16" x14ac:dyDescent="0.25">
      <c r="A2492" t="s">
        <v>5273</v>
      </c>
      <c r="B2492" t="s">
        <v>5274</v>
      </c>
      <c r="C2492" t="s">
        <v>1431</v>
      </c>
      <c r="D2492" t="s">
        <v>1027</v>
      </c>
      <c r="E2492">
        <v>41348</v>
      </c>
      <c r="F2492" t="s">
        <v>1432</v>
      </c>
      <c r="G2492" t="b">
        <v>0</v>
      </c>
      <c r="H2492" t="b">
        <v>0</v>
      </c>
      <c r="I2492" t="s">
        <v>1050</v>
      </c>
      <c r="J2492">
        <v>80</v>
      </c>
      <c r="K2492" t="s">
        <v>2</v>
      </c>
      <c r="L2492" t="s">
        <v>1168</v>
      </c>
      <c r="M2492" t="s">
        <v>1168</v>
      </c>
      <c r="N2492" t="s">
        <v>1169</v>
      </c>
      <c r="O2492" t="s">
        <v>1168</v>
      </c>
      <c r="P2492" t="s">
        <v>1434</v>
      </c>
    </row>
    <row r="2493" spans="1:16" x14ac:dyDescent="0.25">
      <c r="A2493" t="s">
        <v>5275</v>
      </c>
      <c r="B2493" t="s">
        <v>5276</v>
      </c>
      <c r="C2493" t="s">
        <v>1431</v>
      </c>
      <c r="D2493" t="s">
        <v>1027</v>
      </c>
      <c r="E2493">
        <v>41348</v>
      </c>
      <c r="F2493" t="s">
        <v>1432</v>
      </c>
      <c r="G2493" t="b">
        <v>0</v>
      </c>
      <c r="H2493" t="b">
        <v>0</v>
      </c>
      <c r="I2493" t="s">
        <v>1050</v>
      </c>
      <c r="J2493">
        <v>80</v>
      </c>
      <c r="K2493" t="s">
        <v>2</v>
      </c>
      <c r="L2493" t="s">
        <v>1168</v>
      </c>
      <c r="M2493" t="s">
        <v>1168</v>
      </c>
      <c r="N2493" t="s">
        <v>1169</v>
      </c>
      <c r="O2493" t="s">
        <v>1168</v>
      </c>
      <c r="P2493" t="s">
        <v>1434</v>
      </c>
    </row>
    <row r="2494" spans="1:16" x14ac:dyDescent="0.25">
      <c r="A2494" t="s">
        <v>5277</v>
      </c>
      <c r="B2494" t="s">
        <v>5278</v>
      </c>
      <c r="C2494" t="s">
        <v>1571</v>
      </c>
      <c r="D2494" t="s">
        <v>1027</v>
      </c>
      <c r="E2494">
        <v>63767</v>
      </c>
      <c r="G2494" t="b">
        <v>0</v>
      </c>
      <c r="H2494" t="b">
        <v>0</v>
      </c>
      <c r="I2494" t="s">
        <v>1050</v>
      </c>
      <c r="J2494">
        <v>80</v>
      </c>
      <c r="K2494" t="s">
        <v>0</v>
      </c>
      <c r="L2494" t="s">
        <v>1167</v>
      </c>
      <c r="M2494" t="s">
        <v>1168</v>
      </c>
      <c r="N2494" t="s">
        <v>1169</v>
      </c>
      <c r="O2494" t="s">
        <v>1168</v>
      </c>
      <c r="P2494" t="s">
        <v>1283</v>
      </c>
    </row>
    <row r="2495" spans="1:16" x14ac:dyDescent="0.25">
      <c r="A2495" t="s">
        <v>5279</v>
      </c>
      <c r="B2495" t="s">
        <v>5278</v>
      </c>
      <c r="C2495" t="s">
        <v>1571</v>
      </c>
      <c r="D2495" t="s">
        <v>1027</v>
      </c>
      <c r="E2495">
        <v>63767</v>
      </c>
      <c r="G2495" t="b">
        <v>0</v>
      </c>
      <c r="H2495" t="b">
        <v>0</v>
      </c>
      <c r="I2495" t="s">
        <v>1050</v>
      </c>
      <c r="J2495">
        <v>80</v>
      </c>
      <c r="K2495" t="s">
        <v>0</v>
      </c>
      <c r="L2495" t="s">
        <v>1167</v>
      </c>
      <c r="M2495" t="s">
        <v>1168</v>
      </c>
      <c r="N2495" t="s">
        <v>1169</v>
      </c>
      <c r="O2495" t="s">
        <v>1168</v>
      </c>
      <c r="P2495" t="s">
        <v>1283</v>
      </c>
    </row>
    <row r="2496" spans="1:16" x14ac:dyDescent="0.25">
      <c r="A2496" t="s">
        <v>5280</v>
      </c>
      <c r="B2496" t="s">
        <v>5278</v>
      </c>
      <c r="C2496" t="s">
        <v>1571</v>
      </c>
      <c r="D2496" t="s">
        <v>1027</v>
      </c>
      <c r="E2496">
        <v>63767</v>
      </c>
      <c r="G2496" t="b">
        <v>0</v>
      </c>
      <c r="H2496" t="b">
        <v>0</v>
      </c>
      <c r="I2496" t="s">
        <v>1050</v>
      </c>
      <c r="J2496">
        <v>80</v>
      </c>
      <c r="K2496" t="s">
        <v>0</v>
      </c>
      <c r="L2496" t="s">
        <v>1167</v>
      </c>
      <c r="M2496" t="s">
        <v>1168</v>
      </c>
      <c r="N2496" t="s">
        <v>1169</v>
      </c>
      <c r="O2496" t="s">
        <v>1168</v>
      </c>
      <c r="P2496" t="s">
        <v>1283</v>
      </c>
    </row>
    <row r="2497" spans="1:16" x14ac:dyDescent="0.25">
      <c r="A2497" t="s">
        <v>5281</v>
      </c>
      <c r="B2497" t="s">
        <v>5282</v>
      </c>
      <c r="C2497" t="s">
        <v>1571</v>
      </c>
      <c r="D2497" t="s">
        <v>1027</v>
      </c>
      <c r="E2497">
        <v>63767</v>
      </c>
      <c r="G2497" t="b">
        <v>0</v>
      </c>
      <c r="H2497" t="b">
        <v>0</v>
      </c>
      <c r="I2497" t="s">
        <v>1050</v>
      </c>
      <c r="J2497">
        <v>80</v>
      </c>
      <c r="K2497" t="s">
        <v>0</v>
      </c>
      <c r="L2497" t="s">
        <v>1167</v>
      </c>
      <c r="M2497" t="s">
        <v>1168</v>
      </c>
      <c r="N2497" t="s">
        <v>1169</v>
      </c>
      <c r="O2497" t="s">
        <v>1168</v>
      </c>
      <c r="P2497" t="s">
        <v>1283</v>
      </c>
    </row>
    <row r="2498" spans="1:16" x14ac:dyDescent="0.25">
      <c r="A2498" t="s">
        <v>5283</v>
      </c>
      <c r="B2498" t="s">
        <v>5284</v>
      </c>
      <c r="C2498" t="s">
        <v>1571</v>
      </c>
      <c r="D2498" t="s">
        <v>1027</v>
      </c>
      <c r="E2498">
        <v>63767</v>
      </c>
      <c r="G2498" t="b">
        <v>0</v>
      </c>
      <c r="H2498" t="b">
        <v>0</v>
      </c>
      <c r="I2498" t="s">
        <v>1050</v>
      </c>
      <c r="J2498">
        <v>80</v>
      </c>
      <c r="K2498" t="s">
        <v>0</v>
      </c>
      <c r="L2498" t="s">
        <v>1167</v>
      </c>
      <c r="M2498" t="s">
        <v>1168</v>
      </c>
      <c r="N2498" t="s">
        <v>1169</v>
      </c>
      <c r="O2498" t="s">
        <v>1168</v>
      </c>
      <c r="P2498" t="s">
        <v>1283</v>
      </c>
    </row>
    <row r="2499" spans="1:16" x14ac:dyDescent="0.25">
      <c r="A2499" t="s">
        <v>5285</v>
      </c>
      <c r="B2499" t="s">
        <v>5286</v>
      </c>
      <c r="C2499" t="s">
        <v>1571</v>
      </c>
      <c r="D2499" t="s">
        <v>1027</v>
      </c>
      <c r="E2499">
        <v>63767</v>
      </c>
      <c r="G2499" t="b">
        <v>0</v>
      </c>
      <c r="H2499" t="b">
        <v>0</v>
      </c>
      <c r="I2499" t="s">
        <v>1050</v>
      </c>
      <c r="J2499">
        <v>87</v>
      </c>
      <c r="K2499" t="s">
        <v>0</v>
      </c>
      <c r="L2499" t="s">
        <v>1167</v>
      </c>
      <c r="M2499" t="s">
        <v>1168</v>
      </c>
      <c r="N2499" t="s">
        <v>1169</v>
      </c>
      <c r="O2499" t="s">
        <v>1168</v>
      </c>
      <c r="P2499" t="s">
        <v>1283</v>
      </c>
    </row>
    <row r="2500" spans="1:16" x14ac:dyDescent="0.25">
      <c r="A2500" t="s">
        <v>5287</v>
      </c>
      <c r="B2500" t="s">
        <v>5288</v>
      </c>
      <c r="C2500" t="s">
        <v>1571</v>
      </c>
      <c r="D2500" t="s">
        <v>1027</v>
      </c>
      <c r="E2500">
        <v>63767</v>
      </c>
      <c r="G2500" t="b">
        <v>0</v>
      </c>
      <c r="H2500" t="b">
        <v>0</v>
      </c>
      <c r="I2500" t="s">
        <v>1050</v>
      </c>
      <c r="J2500">
        <v>80</v>
      </c>
      <c r="K2500" t="s">
        <v>0</v>
      </c>
      <c r="L2500" t="s">
        <v>1167</v>
      </c>
      <c r="M2500" t="s">
        <v>1168</v>
      </c>
      <c r="N2500" t="s">
        <v>1169</v>
      </c>
      <c r="O2500" t="s">
        <v>1168</v>
      </c>
      <c r="P2500" t="s">
        <v>1283</v>
      </c>
    </row>
    <row r="2501" spans="1:16" x14ac:dyDescent="0.25">
      <c r="A2501" t="s">
        <v>5289</v>
      </c>
      <c r="B2501" t="s">
        <v>5290</v>
      </c>
      <c r="C2501" t="s">
        <v>1233</v>
      </c>
      <c r="D2501" t="s">
        <v>1027</v>
      </c>
      <c r="E2501">
        <v>63762</v>
      </c>
      <c r="F2501" t="s">
        <v>1234</v>
      </c>
      <c r="G2501" t="b">
        <v>0</v>
      </c>
      <c r="H2501" t="b">
        <v>0</v>
      </c>
      <c r="I2501" t="s">
        <v>1050</v>
      </c>
      <c r="J2501">
        <v>80</v>
      </c>
      <c r="K2501" t="s">
        <v>0</v>
      </c>
      <c r="L2501" t="s">
        <v>1167</v>
      </c>
      <c r="M2501" t="s">
        <v>1168</v>
      </c>
      <c r="N2501" t="s">
        <v>1169</v>
      </c>
      <c r="O2501" t="s">
        <v>1168</v>
      </c>
      <c r="P2501" t="s">
        <v>1235</v>
      </c>
    </row>
    <row r="2502" spans="1:16" x14ac:dyDescent="0.25">
      <c r="A2502" t="s">
        <v>5291</v>
      </c>
      <c r="B2502" t="s">
        <v>5292</v>
      </c>
      <c r="C2502" t="s">
        <v>1571</v>
      </c>
      <c r="D2502" t="s">
        <v>1027</v>
      </c>
      <c r="E2502">
        <v>63767</v>
      </c>
      <c r="G2502" t="b">
        <v>0</v>
      </c>
      <c r="H2502" t="b">
        <v>0</v>
      </c>
      <c r="I2502" t="s">
        <v>1050</v>
      </c>
      <c r="J2502">
        <v>80</v>
      </c>
      <c r="K2502" t="s">
        <v>0</v>
      </c>
      <c r="L2502" t="s">
        <v>1167</v>
      </c>
      <c r="M2502" t="s">
        <v>1168</v>
      </c>
      <c r="N2502" t="s">
        <v>1169</v>
      </c>
      <c r="O2502" t="s">
        <v>1168</v>
      </c>
      <c r="P2502" t="s">
        <v>1283</v>
      </c>
    </row>
    <row r="2503" spans="1:16" x14ac:dyDescent="0.25">
      <c r="A2503" t="s">
        <v>5293</v>
      </c>
      <c r="B2503" t="s">
        <v>5294</v>
      </c>
      <c r="C2503" t="s">
        <v>1571</v>
      </c>
      <c r="D2503" t="s">
        <v>1027</v>
      </c>
      <c r="E2503">
        <v>63767</v>
      </c>
      <c r="G2503" t="b">
        <v>0</v>
      </c>
      <c r="H2503" t="b">
        <v>0</v>
      </c>
      <c r="I2503" t="s">
        <v>1050</v>
      </c>
      <c r="J2503">
        <v>80</v>
      </c>
      <c r="K2503" t="s">
        <v>0</v>
      </c>
      <c r="L2503" t="s">
        <v>1167</v>
      </c>
      <c r="M2503" t="s">
        <v>1168</v>
      </c>
      <c r="N2503" t="s">
        <v>1169</v>
      </c>
      <c r="O2503" t="s">
        <v>1168</v>
      </c>
      <c r="P2503" t="s">
        <v>1283</v>
      </c>
    </row>
    <row r="2504" spans="1:16" x14ac:dyDescent="0.25">
      <c r="A2504" t="s">
        <v>5295</v>
      </c>
      <c r="B2504" t="s">
        <v>5296</v>
      </c>
      <c r="C2504" t="s">
        <v>1571</v>
      </c>
      <c r="D2504" t="s">
        <v>1027</v>
      </c>
      <c r="E2504">
        <v>63767</v>
      </c>
      <c r="G2504" t="b">
        <v>0</v>
      </c>
      <c r="H2504" t="b">
        <v>0</v>
      </c>
      <c r="I2504" t="s">
        <v>1050</v>
      </c>
      <c r="J2504">
        <v>80</v>
      </c>
      <c r="K2504" t="s">
        <v>0</v>
      </c>
      <c r="L2504" t="s">
        <v>1167</v>
      </c>
      <c r="M2504" t="s">
        <v>1168</v>
      </c>
      <c r="N2504" t="s">
        <v>1169</v>
      </c>
      <c r="O2504" t="s">
        <v>1168</v>
      </c>
      <c r="P2504" t="s">
        <v>1283</v>
      </c>
    </row>
    <row r="2505" spans="1:16" x14ac:dyDescent="0.25">
      <c r="A2505" t="s">
        <v>5297</v>
      </c>
      <c r="B2505" t="s">
        <v>5298</v>
      </c>
      <c r="C2505" t="s">
        <v>1571</v>
      </c>
      <c r="D2505" t="s">
        <v>1027</v>
      </c>
      <c r="E2505">
        <v>63767</v>
      </c>
      <c r="G2505" t="b">
        <v>0</v>
      </c>
      <c r="H2505" t="b">
        <v>0</v>
      </c>
      <c r="I2505" t="s">
        <v>1050</v>
      </c>
      <c r="J2505">
        <v>80</v>
      </c>
      <c r="K2505" t="s">
        <v>0</v>
      </c>
      <c r="L2505" t="s">
        <v>1167</v>
      </c>
      <c r="M2505" t="s">
        <v>1168</v>
      </c>
      <c r="N2505" t="s">
        <v>1169</v>
      </c>
      <c r="O2505" t="s">
        <v>1168</v>
      </c>
      <c r="P2505" t="s">
        <v>1283</v>
      </c>
    </row>
    <row r="2506" spans="1:16" x14ac:dyDescent="0.25">
      <c r="A2506" t="s">
        <v>5299</v>
      </c>
      <c r="B2506" t="s">
        <v>5300</v>
      </c>
      <c r="C2506" t="s">
        <v>1571</v>
      </c>
      <c r="D2506" t="s">
        <v>1027</v>
      </c>
      <c r="E2506">
        <v>63767</v>
      </c>
      <c r="G2506" t="b">
        <v>0</v>
      </c>
      <c r="H2506" t="b">
        <v>0</v>
      </c>
      <c r="I2506" t="s">
        <v>1050</v>
      </c>
      <c r="J2506">
        <v>80</v>
      </c>
      <c r="K2506" t="s">
        <v>0</v>
      </c>
      <c r="L2506" t="s">
        <v>1167</v>
      </c>
      <c r="M2506" t="s">
        <v>1168</v>
      </c>
      <c r="N2506" t="s">
        <v>1169</v>
      </c>
      <c r="O2506" t="s">
        <v>1168</v>
      </c>
      <c r="P2506" t="s">
        <v>1283</v>
      </c>
    </row>
    <row r="2507" spans="1:16" x14ac:dyDescent="0.25">
      <c r="A2507" t="s">
        <v>5301</v>
      </c>
      <c r="B2507" t="s">
        <v>5300</v>
      </c>
      <c r="C2507" t="s">
        <v>1571</v>
      </c>
      <c r="D2507" t="s">
        <v>1027</v>
      </c>
      <c r="E2507">
        <v>63767</v>
      </c>
      <c r="G2507" t="b">
        <v>0</v>
      </c>
      <c r="H2507" t="b">
        <v>0</v>
      </c>
      <c r="I2507" t="s">
        <v>1050</v>
      </c>
      <c r="J2507">
        <v>80</v>
      </c>
      <c r="K2507" t="s">
        <v>0</v>
      </c>
      <c r="L2507" t="s">
        <v>1167</v>
      </c>
      <c r="M2507" t="s">
        <v>1168</v>
      </c>
      <c r="N2507" t="s">
        <v>1169</v>
      </c>
      <c r="O2507" t="s">
        <v>1168</v>
      </c>
      <c r="P2507" t="s">
        <v>1283</v>
      </c>
    </row>
    <row r="2508" spans="1:16" x14ac:dyDescent="0.25">
      <c r="A2508" t="s">
        <v>5302</v>
      </c>
      <c r="B2508" t="s">
        <v>5303</v>
      </c>
      <c r="C2508" t="s">
        <v>1233</v>
      </c>
      <c r="D2508" t="s">
        <v>1027</v>
      </c>
      <c r="E2508">
        <v>63762</v>
      </c>
      <c r="F2508" t="s">
        <v>1234</v>
      </c>
      <c r="G2508" t="b">
        <v>0</v>
      </c>
      <c r="H2508" t="b">
        <v>0</v>
      </c>
      <c r="I2508" t="s">
        <v>1050</v>
      </c>
      <c r="J2508">
        <v>80</v>
      </c>
      <c r="K2508" t="s">
        <v>0</v>
      </c>
      <c r="L2508" t="s">
        <v>1167</v>
      </c>
      <c r="M2508" t="s">
        <v>1168</v>
      </c>
      <c r="N2508" t="s">
        <v>1169</v>
      </c>
      <c r="O2508" t="s">
        <v>1168</v>
      </c>
      <c r="P2508" t="s">
        <v>1235</v>
      </c>
    </row>
    <row r="2509" spans="1:16" x14ac:dyDescent="0.25">
      <c r="A2509" t="s">
        <v>5304</v>
      </c>
      <c r="B2509" t="s">
        <v>5305</v>
      </c>
      <c r="C2509" t="s">
        <v>2026</v>
      </c>
      <c r="D2509" t="s">
        <v>1027</v>
      </c>
      <c r="E2509">
        <v>1336</v>
      </c>
      <c r="F2509" t="s">
        <v>2027</v>
      </c>
      <c r="G2509" t="b">
        <v>0</v>
      </c>
      <c r="H2509" t="b">
        <v>0</v>
      </c>
      <c r="I2509" t="s">
        <v>1050</v>
      </c>
      <c r="J2509">
        <v>80</v>
      </c>
      <c r="K2509" t="s">
        <v>0</v>
      </c>
      <c r="L2509" t="s">
        <v>1167</v>
      </c>
      <c r="M2509" t="s">
        <v>1168</v>
      </c>
      <c r="N2509" t="s">
        <v>1169</v>
      </c>
      <c r="O2509" t="s">
        <v>1168</v>
      </c>
      <c r="P2509" t="s">
        <v>2028</v>
      </c>
    </row>
    <row r="2510" spans="1:16" x14ac:dyDescent="0.25">
      <c r="A2510" t="s">
        <v>5306</v>
      </c>
      <c r="B2510" t="s">
        <v>5307</v>
      </c>
      <c r="C2510" t="s">
        <v>1233</v>
      </c>
      <c r="D2510" t="s">
        <v>1027</v>
      </c>
      <c r="E2510">
        <v>63762</v>
      </c>
      <c r="F2510" t="s">
        <v>1234</v>
      </c>
      <c r="G2510" t="b">
        <v>0</v>
      </c>
      <c r="H2510" t="b">
        <v>0</v>
      </c>
      <c r="I2510" t="s">
        <v>1050</v>
      </c>
      <c r="J2510">
        <v>80</v>
      </c>
      <c r="K2510" t="s">
        <v>0</v>
      </c>
      <c r="L2510" t="s">
        <v>1167</v>
      </c>
      <c r="M2510" t="s">
        <v>1168</v>
      </c>
      <c r="N2510" t="s">
        <v>1169</v>
      </c>
      <c r="O2510" t="s">
        <v>1168</v>
      </c>
      <c r="P2510" t="s">
        <v>1235</v>
      </c>
    </row>
    <row r="2511" spans="1:16" x14ac:dyDescent="0.25">
      <c r="A2511" t="s">
        <v>5308</v>
      </c>
      <c r="B2511" t="s">
        <v>5309</v>
      </c>
      <c r="C2511" t="s">
        <v>1571</v>
      </c>
      <c r="D2511" t="s">
        <v>1027</v>
      </c>
      <c r="E2511">
        <v>63767</v>
      </c>
      <c r="G2511" t="b">
        <v>0</v>
      </c>
      <c r="H2511" t="b">
        <v>0</v>
      </c>
      <c r="I2511" t="s">
        <v>1050</v>
      </c>
      <c r="J2511">
        <v>80</v>
      </c>
      <c r="K2511" t="s">
        <v>0</v>
      </c>
      <c r="L2511" t="s">
        <v>1167</v>
      </c>
      <c r="M2511" t="s">
        <v>1168</v>
      </c>
      <c r="N2511" t="s">
        <v>1169</v>
      </c>
      <c r="O2511" t="s">
        <v>1168</v>
      </c>
      <c r="P2511" t="s">
        <v>1283</v>
      </c>
    </row>
    <row r="2512" spans="1:16" x14ac:dyDescent="0.25">
      <c r="A2512" t="s">
        <v>5310</v>
      </c>
      <c r="B2512" t="s">
        <v>5311</v>
      </c>
      <c r="C2512" t="s">
        <v>1571</v>
      </c>
      <c r="D2512" t="s">
        <v>1027</v>
      </c>
      <c r="E2512">
        <v>63767</v>
      </c>
      <c r="G2512" t="b">
        <v>0</v>
      </c>
      <c r="H2512" t="b">
        <v>0</v>
      </c>
      <c r="I2512" t="s">
        <v>1050</v>
      </c>
      <c r="J2512">
        <v>80</v>
      </c>
      <c r="K2512" t="s">
        <v>0</v>
      </c>
      <c r="L2512" t="s">
        <v>1167</v>
      </c>
      <c r="M2512" t="s">
        <v>1168</v>
      </c>
      <c r="N2512" t="s">
        <v>1169</v>
      </c>
      <c r="O2512" t="s">
        <v>1168</v>
      </c>
      <c r="P2512" t="s">
        <v>1283</v>
      </c>
    </row>
    <row r="2513" spans="1:16" x14ac:dyDescent="0.25">
      <c r="A2513" t="s">
        <v>5312</v>
      </c>
      <c r="B2513" t="s">
        <v>5313</v>
      </c>
      <c r="C2513" t="s">
        <v>1606</v>
      </c>
      <c r="D2513" t="s">
        <v>1027</v>
      </c>
      <c r="E2513">
        <v>1324</v>
      </c>
      <c r="F2513" t="s">
        <v>1607</v>
      </c>
      <c r="G2513" t="b">
        <v>0</v>
      </c>
      <c r="H2513" t="b">
        <v>0</v>
      </c>
      <c r="I2513" t="s">
        <v>1050</v>
      </c>
      <c r="J2513">
        <v>80</v>
      </c>
      <c r="K2513" t="s">
        <v>2</v>
      </c>
      <c r="L2513" t="s">
        <v>1608</v>
      </c>
      <c r="M2513" t="s">
        <v>1609</v>
      </c>
      <c r="N2513" t="s">
        <v>1608</v>
      </c>
      <c r="O2513" t="s">
        <v>1610</v>
      </c>
      <c r="P2513" t="s">
        <v>1611</v>
      </c>
    </row>
    <row r="2514" spans="1:16" x14ac:dyDescent="0.25">
      <c r="A2514" t="s">
        <v>5314</v>
      </c>
      <c r="B2514" t="s">
        <v>5315</v>
      </c>
      <c r="C2514" t="s">
        <v>1571</v>
      </c>
      <c r="D2514" t="s">
        <v>1027</v>
      </c>
      <c r="E2514">
        <v>63767</v>
      </c>
      <c r="G2514" t="b">
        <v>0</v>
      </c>
      <c r="H2514" t="b">
        <v>0</v>
      </c>
      <c r="I2514" t="s">
        <v>1050</v>
      </c>
      <c r="J2514">
        <v>87</v>
      </c>
      <c r="K2514" t="s">
        <v>0</v>
      </c>
      <c r="L2514" t="s">
        <v>1167</v>
      </c>
      <c r="M2514" t="s">
        <v>1168</v>
      </c>
      <c r="N2514" t="s">
        <v>1169</v>
      </c>
      <c r="O2514" t="s">
        <v>1168</v>
      </c>
      <c r="P2514" t="s">
        <v>1283</v>
      </c>
    </row>
    <row r="2515" spans="1:16" x14ac:dyDescent="0.25">
      <c r="A2515" t="s">
        <v>5316</v>
      </c>
      <c r="B2515" t="s">
        <v>5317</v>
      </c>
      <c r="C2515" t="s">
        <v>1571</v>
      </c>
      <c r="D2515" t="s">
        <v>1027</v>
      </c>
      <c r="E2515">
        <v>63767</v>
      </c>
      <c r="G2515" t="b">
        <v>0</v>
      </c>
      <c r="H2515" t="b">
        <v>0</v>
      </c>
      <c r="I2515" t="s">
        <v>1050</v>
      </c>
      <c r="J2515">
        <v>87</v>
      </c>
      <c r="K2515" t="s">
        <v>0</v>
      </c>
      <c r="L2515" t="s">
        <v>1167</v>
      </c>
      <c r="M2515" t="s">
        <v>1168</v>
      </c>
      <c r="N2515" t="s">
        <v>1169</v>
      </c>
      <c r="O2515" t="s">
        <v>1168</v>
      </c>
      <c r="P2515" t="s">
        <v>1283</v>
      </c>
    </row>
    <row r="2516" spans="1:16" x14ac:dyDescent="0.25">
      <c r="A2516" t="s">
        <v>5318</v>
      </c>
      <c r="B2516" t="s">
        <v>5319</v>
      </c>
      <c r="C2516" t="s">
        <v>1571</v>
      </c>
      <c r="D2516" t="s">
        <v>1027</v>
      </c>
      <c r="E2516">
        <v>63767</v>
      </c>
      <c r="G2516" t="b">
        <v>0</v>
      </c>
      <c r="H2516" t="b">
        <v>0</v>
      </c>
      <c r="I2516" t="s">
        <v>1050</v>
      </c>
      <c r="J2516">
        <v>80</v>
      </c>
      <c r="K2516" t="s">
        <v>0</v>
      </c>
      <c r="L2516" t="s">
        <v>1167</v>
      </c>
      <c r="M2516" t="s">
        <v>1168</v>
      </c>
      <c r="N2516" t="s">
        <v>1169</v>
      </c>
      <c r="O2516" t="s">
        <v>1168</v>
      </c>
      <c r="P2516" t="s">
        <v>1283</v>
      </c>
    </row>
    <row r="2517" spans="1:16" x14ac:dyDescent="0.25">
      <c r="A2517" t="s">
        <v>5320</v>
      </c>
      <c r="B2517" t="s">
        <v>5321</v>
      </c>
      <c r="C2517" t="s">
        <v>1571</v>
      </c>
      <c r="D2517" t="s">
        <v>1027</v>
      </c>
      <c r="E2517">
        <v>63767</v>
      </c>
      <c r="G2517" t="b">
        <v>0</v>
      </c>
      <c r="H2517" t="b">
        <v>0</v>
      </c>
      <c r="I2517" t="s">
        <v>1050</v>
      </c>
      <c r="J2517">
        <v>80</v>
      </c>
      <c r="K2517" t="s">
        <v>0</v>
      </c>
      <c r="L2517" t="s">
        <v>1167</v>
      </c>
      <c r="M2517" t="s">
        <v>1168</v>
      </c>
      <c r="N2517" t="s">
        <v>1169</v>
      </c>
      <c r="O2517" t="s">
        <v>1168</v>
      </c>
      <c r="P2517" t="s">
        <v>1283</v>
      </c>
    </row>
    <row r="2518" spans="1:16" x14ac:dyDescent="0.25">
      <c r="A2518" t="s">
        <v>5322</v>
      </c>
      <c r="B2518" t="s">
        <v>5323</v>
      </c>
      <c r="C2518" t="s">
        <v>1571</v>
      </c>
      <c r="D2518" t="s">
        <v>1027</v>
      </c>
      <c r="E2518">
        <v>63767</v>
      </c>
      <c r="G2518" t="b">
        <v>0</v>
      </c>
      <c r="H2518" t="b">
        <v>0</v>
      </c>
      <c r="I2518" t="s">
        <v>1050</v>
      </c>
      <c r="J2518">
        <v>80</v>
      </c>
      <c r="K2518" t="s">
        <v>0</v>
      </c>
      <c r="L2518" t="s">
        <v>1167</v>
      </c>
      <c r="M2518" t="s">
        <v>1168</v>
      </c>
      <c r="N2518" t="s">
        <v>1169</v>
      </c>
      <c r="O2518" t="s">
        <v>1168</v>
      </c>
      <c r="P2518" t="s">
        <v>1283</v>
      </c>
    </row>
    <row r="2519" spans="1:16" x14ac:dyDescent="0.25">
      <c r="A2519" t="s">
        <v>5324</v>
      </c>
      <c r="B2519" t="s">
        <v>5325</v>
      </c>
      <c r="C2519" t="s">
        <v>1571</v>
      </c>
      <c r="D2519" t="s">
        <v>1027</v>
      </c>
      <c r="E2519">
        <v>63767</v>
      </c>
      <c r="G2519" t="b">
        <v>0</v>
      </c>
      <c r="H2519" t="b">
        <v>0</v>
      </c>
      <c r="I2519" t="s">
        <v>1050</v>
      </c>
      <c r="J2519">
        <v>80</v>
      </c>
      <c r="K2519" t="s">
        <v>0</v>
      </c>
      <c r="L2519" t="s">
        <v>1167</v>
      </c>
      <c r="M2519" t="s">
        <v>1168</v>
      </c>
      <c r="N2519" t="s">
        <v>1169</v>
      </c>
      <c r="O2519" t="s">
        <v>1168</v>
      </c>
      <c r="P2519" t="s">
        <v>1283</v>
      </c>
    </row>
    <row r="2520" spans="1:16" x14ac:dyDescent="0.25">
      <c r="A2520" t="s">
        <v>5326</v>
      </c>
      <c r="B2520" t="s">
        <v>5327</v>
      </c>
      <c r="C2520" t="s">
        <v>1571</v>
      </c>
      <c r="D2520" t="s">
        <v>1027</v>
      </c>
      <c r="E2520">
        <v>63767</v>
      </c>
      <c r="G2520" t="b">
        <v>0</v>
      </c>
      <c r="H2520" t="b">
        <v>0</v>
      </c>
      <c r="I2520" t="s">
        <v>1050</v>
      </c>
      <c r="J2520">
        <v>80</v>
      </c>
      <c r="K2520" t="s">
        <v>0</v>
      </c>
      <c r="L2520" t="s">
        <v>1167</v>
      </c>
      <c r="M2520" t="s">
        <v>1168</v>
      </c>
      <c r="N2520" t="s">
        <v>1169</v>
      </c>
      <c r="O2520" t="s">
        <v>1168</v>
      </c>
      <c r="P2520" t="s">
        <v>1283</v>
      </c>
    </row>
    <row r="2521" spans="1:16" x14ac:dyDescent="0.25">
      <c r="A2521" t="s">
        <v>5328</v>
      </c>
      <c r="B2521" t="s">
        <v>5329</v>
      </c>
      <c r="C2521" t="s">
        <v>1165</v>
      </c>
      <c r="D2521" t="s">
        <v>1027</v>
      </c>
      <c r="E2521">
        <v>63774</v>
      </c>
      <c r="F2521" t="s">
        <v>1166</v>
      </c>
      <c r="G2521" t="b">
        <v>0</v>
      </c>
      <c r="H2521" t="b">
        <v>0</v>
      </c>
      <c r="I2521" t="s">
        <v>1050</v>
      </c>
      <c r="J2521">
        <v>30</v>
      </c>
      <c r="K2521" t="s">
        <v>1</v>
      </c>
      <c r="L2521" t="s">
        <v>1167</v>
      </c>
      <c r="M2521" t="s">
        <v>1168</v>
      </c>
      <c r="N2521" t="s">
        <v>1169</v>
      </c>
      <c r="O2521" t="s">
        <v>1168</v>
      </c>
      <c r="P2521" t="s">
        <v>1170</v>
      </c>
    </row>
    <row r="2522" spans="1:16" x14ac:dyDescent="0.25">
      <c r="A2522" t="s">
        <v>5330</v>
      </c>
      <c r="B2522" t="s">
        <v>5331</v>
      </c>
      <c r="C2522" t="s">
        <v>1165</v>
      </c>
      <c r="D2522" t="s">
        <v>1027</v>
      </c>
      <c r="E2522">
        <v>63774</v>
      </c>
      <c r="F2522" t="s">
        <v>1166</v>
      </c>
      <c r="G2522" t="b">
        <v>0</v>
      </c>
      <c r="H2522" t="b">
        <v>0</v>
      </c>
      <c r="I2522" t="s">
        <v>1050</v>
      </c>
      <c r="J2522">
        <v>30</v>
      </c>
      <c r="K2522" t="s">
        <v>1</v>
      </c>
      <c r="L2522" t="s">
        <v>1167</v>
      </c>
      <c r="M2522" t="s">
        <v>1168</v>
      </c>
      <c r="N2522" t="s">
        <v>1169</v>
      </c>
      <c r="O2522" t="s">
        <v>1168</v>
      </c>
      <c r="P2522" t="s">
        <v>1170</v>
      </c>
    </row>
    <row r="2523" spans="1:16" x14ac:dyDescent="0.25">
      <c r="A2523" t="s">
        <v>5332</v>
      </c>
      <c r="B2523" t="s">
        <v>5333</v>
      </c>
      <c r="C2523" t="s">
        <v>1165</v>
      </c>
      <c r="D2523" t="s">
        <v>1027</v>
      </c>
      <c r="E2523">
        <v>63774</v>
      </c>
      <c r="F2523" t="s">
        <v>1166</v>
      </c>
      <c r="G2523" t="b">
        <v>0</v>
      </c>
      <c r="H2523" t="b">
        <v>0</v>
      </c>
      <c r="I2523" t="s">
        <v>1050</v>
      </c>
      <c r="J2523">
        <v>52</v>
      </c>
      <c r="K2523" t="s">
        <v>1</v>
      </c>
      <c r="L2523" t="s">
        <v>1167</v>
      </c>
      <c r="M2523" t="s">
        <v>1168</v>
      </c>
      <c r="N2523" t="s">
        <v>1169</v>
      </c>
      <c r="O2523" t="s">
        <v>1168</v>
      </c>
      <c r="P2523" t="s">
        <v>1170</v>
      </c>
    </row>
    <row r="2524" spans="1:16" x14ac:dyDescent="0.25">
      <c r="A2524" t="s">
        <v>5334</v>
      </c>
      <c r="B2524" t="s">
        <v>5333</v>
      </c>
      <c r="C2524" t="s">
        <v>1165</v>
      </c>
      <c r="D2524" t="s">
        <v>1027</v>
      </c>
      <c r="E2524">
        <v>63774</v>
      </c>
      <c r="F2524" t="s">
        <v>1166</v>
      </c>
      <c r="G2524" t="b">
        <v>0</v>
      </c>
      <c r="H2524" t="b">
        <v>0</v>
      </c>
      <c r="I2524" t="s">
        <v>1050</v>
      </c>
      <c r="J2524">
        <v>52</v>
      </c>
      <c r="K2524" t="s">
        <v>1</v>
      </c>
      <c r="L2524" t="s">
        <v>1167</v>
      </c>
      <c r="M2524" t="s">
        <v>1168</v>
      </c>
      <c r="N2524" t="s">
        <v>1169</v>
      </c>
      <c r="O2524" t="s">
        <v>1168</v>
      </c>
      <c r="P2524" t="s">
        <v>1170</v>
      </c>
    </row>
    <row r="2525" spans="1:16" x14ac:dyDescent="0.25">
      <c r="A2525" t="s">
        <v>5335</v>
      </c>
      <c r="B2525" t="s">
        <v>5336</v>
      </c>
      <c r="C2525" t="s">
        <v>1228</v>
      </c>
      <c r="D2525" t="s">
        <v>1027</v>
      </c>
      <c r="E2525">
        <v>1660</v>
      </c>
      <c r="F2525" t="s">
        <v>1229</v>
      </c>
      <c r="G2525" t="b">
        <v>0</v>
      </c>
      <c r="H2525" t="b">
        <v>0</v>
      </c>
      <c r="I2525" t="s">
        <v>1050</v>
      </c>
      <c r="J2525">
        <v>80</v>
      </c>
      <c r="K2525" t="s">
        <v>2</v>
      </c>
      <c r="L2525" t="s">
        <v>1167</v>
      </c>
      <c r="M2525" t="s">
        <v>1168</v>
      </c>
      <c r="N2525" t="s">
        <v>1169</v>
      </c>
      <c r="O2525" t="s">
        <v>1168</v>
      </c>
      <c r="P2525" t="s">
        <v>1230</v>
      </c>
    </row>
    <row r="2526" spans="1:16" x14ac:dyDescent="0.25">
      <c r="A2526" t="s">
        <v>5337</v>
      </c>
      <c r="B2526" t="s">
        <v>5338</v>
      </c>
      <c r="C2526" t="s">
        <v>1233</v>
      </c>
      <c r="D2526" t="s">
        <v>1027</v>
      </c>
      <c r="E2526">
        <v>63762</v>
      </c>
      <c r="F2526" t="s">
        <v>1234</v>
      </c>
      <c r="G2526" t="b">
        <v>0</v>
      </c>
      <c r="H2526" t="b">
        <v>0</v>
      </c>
      <c r="I2526" t="s">
        <v>1050</v>
      </c>
      <c r="J2526">
        <v>88</v>
      </c>
      <c r="K2526" t="s">
        <v>0</v>
      </c>
      <c r="L2526" t="s">
        <v>1167</v>
      </c>
      <c r="M2526" t="s">
        <v>1168</v>
      </c>
      <c r="N2526" t="s">
        <v>1169</v>
      </c>
      <c r="O2526" t="s">
        <v>1168</v>
      </c>
      <c r="P2526" t="s">
        <v>1235</v>
      </c>
    </row>
    <row r="2527" spans="1:16" x14ac:dyDescent="0.25">
      <c r="A2527" t="s">
        <v>5339</v>
      </c>
      <c r="B2527" t="s">
        <v>5340</v>
      </c>
      <c r="C2527" t="s">
        <v>1233</v>
      </c>
      <c r="D2527" t="s">
        <v>1027</v>
      </c>
      <c r="E2527">
        <v>63762</v>
      </c>
      <c r="F2527" t="s">
        <v>1234</v>
      </c>
      <c r="G2527" t="b">
        <v>0</v>
      </c>
      <c r="H2527" t="b">
        <v>0</v>
      </c>
      <c r="I2527" t="s">
        <v>1050</v>
      </c>
      <c r="J2527">
        <v>88</v>
      </c>
      <c r="K2527" t="s">
        <v>0</v>
      </c>
      <c r="L2527" t="s">
        <v>1167</v>
      </c>
      <c r="M2527" t="s">
        <v>1168</v>
      </c>
      <c r="N2527" t="s">
        <v>1169</v>
      </c>
      <c r="O2527" t="s">
        <v>1168</v>
      </c>
      <c r="P2527" t="s">
        <v>1235</v>
      </c>
    </row>
    <row r="2528" spans="1:16" x14ac:dyDescent="0.25">
      <c r="A2528" t="s">
        <v>5341</v>
      </c>
      <c r="B2528" t="s">
        <v>5342</v>
      </c>
      <c r="C2528" t="s">
        <v>1233</v>
      </c>
      <c r="D2528" t="s">
        <v>1027</v>
      </c>
      <c r="E2528">
        <v>63762</v>
      </c>
      <c r="F2528" t="s">
        <v>1234</v>
      </c>
      <c r="G2528" t="b">
        <v>0</v>
      </c>
      <c r="H2528" t="b">
        <v>0</v>
      </c>
      <c r="I2528" t="s">
        <v>1050</v>
      </c>
      <c r="J2528">
        <v>88</v>
      </c>
      <c r="K2528" t="s">
        <v>0</v>
      </c>
      <c r="L2528" t="s">
        <v>1167</v>
      </c>
      <c r="M2528" t="s">
        <v>1168</v>
      </c>
      <c r="N2528" t="s">
        <v>1169</v>
      </c>
      <c r="O2528" t="s">
        <v>1168</v>
      </c>
      <c r="P2528" t="s">
        <v>1235</v>
      </c>
    </row>
    <row r="2529" spans="1:16" x14ac:dyDescent="0.25">
      <c r="A2529" t="s">
        <v>5343</v>
      </c>
      <c r="B2529" t="s">
        <v>5344</v>
      </c>
      <c r="C2529" t="s">
        <v>1233</v>
      </c>
      <c r="D2529" t="s">
        <v>1027</v>
      </c>
      <c r="E2529">
        <v>63762</v>
      </c>
      <c r="F2529" t="s">
        <v>1234</v>
      </c>
      <c r="G2529" t="b">
        <v>0</v>
      </c>
      <c r="H2529" t="b">
        <v>0</v>
      </c>
      <c r="I2529" t="s">
        <v>1050</v>
      </c>
      <c r="J2529">
        <v>88</v>
      </c>
      <c r="K2529" t="s">
        <v>0</v>
      </c>
      <c r="L2529" t="s">
        <v>1167</v>
      </c>
      <c r="M2529" t="s">
        <v>1168</v>
      </c>
      <c r="N2529" t="s">
        <v>1169</v>
      </c>
      <c r="O2529" t="s">
        <v>1168</v>
      </c>
      <c r="P2529" t="s">
        <v>1235</v>
      </c>
    </row>
    <row r="2530" spans="1:16" x14ac:dyDescent="0.25">
      <c r="A2530" t="s">
        <v>5345</v>
      </c>
      <c r="B2530" t="s">
        <v>5346</v>
      </c>
      <c r="C2530" t="s">
        <v>1233</v>
      </c>
      <c r="D2530" t="s">
        <v>1027</v>
      </c>
      <c r="E2530">
        <v>63762</v>
      </c>
      <c r="F2530" t="s">
        <v>1234</v>
      </c>
      <c r="G2530" t="b">
        <v>0</v>
      </c>
      <c r="H2530" t="b">
        <v>0</v>
      </c>
      <c r="I2530" t="s">
        <v>1050</v>
      </c>
      <c r="J2530">
        <v>88</v>
      </c>
      <c r="K2530" t="s">
        <v>0</v>
      </c>
      <c r="L2530" t="s">
        <v>1167</v>
      </c>
      <c r="M2530" t="s">
        <v>1168</v>
      </c>
      <c r="N2530" t="s">
        <v>1169</v>
      </c>
      <c r="O2530" t="s">
        <v>1168</v>
      </c>
      <c r="P2530" t="s">
        <v>1235</v>
      </c>
    </row>
    <row r="2531" spans="1:16" x14ac:dyDescent="0.25">
      <c r="A2531" t="s">
        <v>5347</v>
      </c>
      <c r="B2531" t="s">
        <v>5348</v>
      </c>
      <c r="C2531" t="s">
        <v>1233</v>
      </c>
      <c r="D2531" t="s">
        <v>1027</v>
      </c>
      <c r="E2531">
        <v>63762</v>
      </c>
      <c r="F2531" t="s">
        <v>1234</v>
      </c>
      <c r="G2531" t="b">
        <v>0</v>
      </c>
      <c r="H2531" t="b">
        <v>0</v>
      </c>
      <c r="I2531" t="s">
        <v>1050</v>
      </c>
      <c r="J2531">
        <v>88</v>
      </c>
      <c r="K2531" t="s">
        <v>0</v>
      </c>
      <c r="L2531" t="s">
        <v>1167</v>
      </c>
      <c r="M2531" t="s">
        <v>1168</v>
      </c>
      <c r="N2531" t="s">
        <v>1169</v>
      </c>
      <c r="O2531" t="s">
        <v>1168</v>
      </c>
      <c r="P2531" t="s">
        <v>1235</v>
      </c>
    </row>
    <row r="2532" spans="1:16" x14ac:dyDescent="0.25">
      <c r="A2532" t="s">
        <v>5349</v>
      </c>
      <c r="B2532" t="s">
        <v>5350</v>
      </c>
      <c r="C2532" t="s">
        <v>1233</v>
      </c>
      <c r="D2532" t="s">
        <v>1027</v>
      </c>
      <c r="E2532">
        <v>63762</v>
      </c>
      <c r="F2532" t="s">
        <v>1234</v>
      </c>
      <c r="G2532" t="b">
        <v>0</v>
      </c>
      <c r="H2532" t="b">
        <v>0</v>
      </c>
      <c r="I2532" t="s">
        <v>1050</v>
      </c>
      <c r="J2532">
        <v>88</v>
      </c>
      <c r="K2532" t="s">
        <v>0</v>
      </c>
      <c r="L2532" t="s">
        <v>1167</v>
      </c>
      <c r="M2532" t="s">
        <v>1168</v>
      </c>
      <c r="N2532" t="s">
        <v>1169</v>
      </c>
      <c r="O2532" t="s">
        <v>1168</v>
      </c>
      <c r="P2532" t="s">
        <v>1235</v>
      </c>
    </row>
    <row r="2533" spans="1:16" x14ac:dyDescent="0.25">
      <c r="A2533" t="s">
        <v>5351</v>
      </c>
      <c r="B2533" t="s">
        <v>5352</v>
      </c>
      <c r="C2533" t="s">
        <v>1233</v>
      </c>
      <c r="D2533" t="s">
        <v>1027</v>
      </c>
      <c r="E2533">
        <v>63762</v>
      </c>
      <c r="F2533" t="s">
        <v>1234</v>
      </c>
      <c r="G2533" t="b">
        <v>0</v>
      </c>
      <c r="H2533" t="b">
        <v>0</v>
      </c>
      <c r="I2533" t="s">
        <v>1050</v>
      </c>
      <c r="J2533">
        <v>88</v>
      </c>
      <c r="K2533" t="s">
        <v>0</v>
      </c>
      <c r="L2533" t="s">
        <v>1167</v>
      </c>
      <c r="M2533" t="s">
        <v>1168</v>
      </c>
      <c r="N2533" t="s">
        <v>1169</v>
      </c>
      <c r="O2533" t="s">
        <v>1168</v>
      </c>
      <c r="P2533" t="s">
        <v>1235</v>
      </c>
    </row>
    <row r="2534" spans="1:16" x14ac:dyDescent="0.25">
      <c r="A2534" t="s">
        <v>5353</v>
      </c>
      <c r="B2534" t="s">
        <v>5354</v>
      </c>
      <c r="C2534" t="s">
        <v>1233</v>
      </c>
      <c r="D2534" t="s">
        <v>1027</v>
      </c>
      <c r="E2534">
        <v>63762</v>
      </c>
      <c r="F2534" t="s">
        <v>1234</v>
      </c>
      <c r="G2534" t="b">
        <v>0</v>
      </c>
      <c r="H2534" t="b">
        <v>0</v>
      </c>
      <c r="I2534" t="s">
        <v>1050</v>
      </c>
      <c r="J2534">
        <v>88</v>
      </c>
      <c r="K2534" t="s">
        <v>0</v>
      </c>
      <c r="L2534" t="s">
        <v>1167</v>
      </c>
      <c r="M2534" t="s">
        <v>1168</v>
      </c>
      <c r="N2534" t="s">
        <v>1169</v>
      </c>
      <c r="O2534" t="s">
        <v>1168</v>
      </c>
      <c r="P2534" t="s">
        <v>1235</v>
      </c>
    </row>
    <row r="2535" spans="1:16" x14ac:dyDescent="0.25">
      <c r="A2535" t="s">
        <v>5355</v>
      </c>
      <c r="B2535" t="s">
        <v>5356</v>
      </c>
      <c r="C2535" t="s">
        <v>1211</v>
      </c>
      <c r="D2535" t="s">
        <v>1027</v>
      </c>
      <c r="E2535">
        <v>1383</v>
      </c>
      <c r="F2535" t="s">
        <v>1212</v>
      </c>
      <c r="G2535" t="b">
        <v>0</v>
      </c>
      <c r="H2535" t="b">
        <v>0</v>
      </c>
      <c r="I2535" t="s">
        <v>1050</v>
      </c>
      <c r="J2535" t="s">
        <v>1053</v>
      </c>
      <c r="K2535" t="s">
        <v>1043</v>
      </c>
    </row>
    <row r="2536" spans="1:16" x14ac:dyDescent="0.25">
      <c r="A2536" t="s">
        <v>5357</v>
      </c>
      <c r="B2536" t="s">
        <v>5356</v>
      </c>
      <c r="C2536" t="s">
        <v>1211</v>
      </c>
      <c r="D2536" t="s">
        <v>1027</v>
      </c>
      <c r="E2536">
        <v>1383</v>
      </c>
      <c r="F2536" t="s">
        <v>1212</v>
      </c>
      <c r="G2536" t="b">
        <v>0</v>
      </c>
      <c r="H2536" t="b">
        <v>0</v>
      </c>
      <c r="I2536" t="s">
        <v>1050</v>
      </c>
      <c r="J2536" t="s">
        <v>1053</v>
      </c>
      <c r="K2536" t="s">
        <v>1043</v>
      </c>
    </row>
    <row r="2537" spans="1:16" x14ac:dyDescent="0.25">
      <c r="A2537" t="s">
        <v>5358</v>
      </c>
      <c r="B2537" t="s">
        <v>5356</v>
      </c>
      <c r="C2537" t="s">
        <v>1211</v>
      </c>
      <c r="D2537" t="s">
        <v>1027</v>
      </c>
      <c r="E2537">
        <v>1383</v>
      </c>
      <c r="F2537" t="s">
        <v>1212</v>
      </c>
      <c r="G2537" t="b">
        <v>0</v>
      </c>
      <c r="H2537" t="b">
        <v>0</v>
      </c>
      <c r="I2537" t="s">
        <v>1050</v>
      </c>
      <c r="J2537" t="s">
        <v>1053</v>
      </c>
      <c r="K2537" t="s">
        <v>1043</v>
      </c>
    </row>
    <row r="2538" spans="1:16" x14ac:dyDescent="0.25">
      <c r="A2538" t="s">
        <v>5359</v>
      </c>
      <c r="B2538" t="s">
        <v>5356</v>
      </c>
      <c r="C2538" t="s">
        <v>1211</v>
      </c>
      <c r="D2538" t="s">
        <v>1027</v>
      </c>
      <c r="E2538">
        <v>1383</v>
      </c>
      <c r="F2538" t="s">
        <v>1212</v>
      </c>
      <c r="G2538" t="b">
        <v>0</v>
      </c>
      <c r="H2538" t="b">
        <v>0</v>
      </c>
      <c r="I2538" t="s">
        <v>1050</v>
      </c>
      <c r="J2538" t="s">
        <v>1053</v>
      </c>
      <c r="K2538" t="s">
        <v>1043</v>
      </c>
    </row>
    <row r="2539" spans="1:16" x14ac:dyDescent="0.25">
      <c r="A2539" t="s">
        <v>5360</v>
      </c>
      <c r="B2539" t="s">
        <v>5361</v>
      </c>
      <c r="C2539" t="s">
        <v>1571</v>
      </c>
      <c r="D2539" t="s">
        <v>1027</v>
      </c>
      <c r="E2539">
        <v>63767</v>
      </c>
      <c r="G2539" t="b">
        <v>0</v>
      </c>
      <c r="H2539" t="b">
        <v>0</v>
      </c>
      <c r="I2539" t="s">
        <v>1050</v>
      </c>
      <c r="J2539">
        <v>80</v>
      </c>
      <c r="K2539" t="s">
        <v>0</v>
      </c>
      <c r="L2539" t="s">
        <v>1167</v>
      </c>
      <c r="M2539" t="s">
        <v>1168</v>
      </c>
      <c r="N2539" t="s">
        <v>1169</v>
      </c>
      <c r="O2539" t="s">
        <v>1168</v>
      </c>
      <c r="P2539" t="s">
        <v>1283</v>
      </c>
    </row>
    <row r="2540" spans="1:16" x14ac:dyDescent="0.25">
      <c r="A2540" t="s">
        <v>5362</v>
      </c>
      <c r="B2540" t="s">
        <v>5363</v>
      </c>
      <c r="C2540" t="s">
        <v>1571</v>
      </c>
      <c r="D2540" t="s">
        <v>1027</v>
      </c>
      <c r="E2540">
        <v>63767</v>
      </c>
      <c r="G2540" t="b">
        <v>0</v>
      </c>
      <c r="H2540" t="b">
        <v>0</v>
      </c>
      <c r="I2540" t="s">
        <v>1050</v>
      </c>
      <c r="J2540">
        <v>80</v>
      </c>
      <c r="K2540" t="s">
        <v>0</v>
      </c>
      <c r="L2540" t="s">
        <v>1167</v>
      </c>
      <c r="M2540" t="s">
        <v>1168</v>
      </c>
      <c r="N2540" t="s">
        <v>1169</v>
      </c>
      <c r="O2540" t="s">
        <v>1168</v>
      </c>
      <c r="P2540" t="s">
        <v>1283</v>
      </c>
    </row>
    <row r="2541" spans="1:16" x14ac:dyDescent="0.25">
      <c r="A2541" t="s">
        <v>5364</v>
      </c>
      <c r="B2541" t="s">
        <v>5365</v>
      </c>
      <c r="C2541" t="s">
        <v>1571</v>
      </c>
      <c r="D2541" t="s">
        <v>1027</v>
      </c>
      <c r="E2541">
        <v>63767</v>
      </c>
      <c r="G2541" t="b">
        <v>0</v>
      </c>
      <c r="H2541" t="b">
        <v>0</v>
      </c>
      <c r="I2541" t="s">
        <v>1050</v>
      </c>
      <c r="J2541">
        <v>80</v>
      </c>
      <c r="K2541" t="s">
        <v>0</v>
      </c>
      <c r="L2541" t="s">
        <v>1167</v>
      </c>
      <c r="M2541" t="s">
        <v>1168</v>
      </c>
      <c r="N2541" t="s">
        <v>1169</v>
      </c>
      <c r="O2541" t="s">
        <v>1168</v>
      </c>
      <c r="P2541" t="s">
        <v>1283</v>
      </c>
    </row>
    <row r="2542" spans="1:16" x14ac:dyDescent="0.25">
      <c r="A2542" t="s">
        <v>5366</v>
      </c>
      <c r="B2542" t="s">
        <v>5367</v>
      </c>
      <c r="C2542" t="s">
        <v>1571</v>
      </c>
      <c r="D2542" t="s">
        <v>1027</v>
      </c>
      <c r="E2542">
        <v>63767</v>
      </c>
      <c r="G2542" t="b">
        <v>0</v>
      </c>
      <c r="H2542" t="b">
        <v>0</v>
      </c>
      <c r="I2542" t="s">
        <v>1050</v>
      </c>
      <c r="J2542">
        <v>80</v>
      </c>
      <c r="K2542" t="s">
        <v>0</v>
      </c>
      <c r="L2542" t="s">
        <v>1167</v>
      </c>
      <c r="M2542" t="s">
        <v>1168</v>
      </c>
      <c r="N2542" t="s">
        <v>1169</v>
      </c>
      <c r="O2542" t="s">
        <v>1168</v>
      </c>
      <c r="P2542" t="s">
        <v>1283</v>
      </c>
    </row>
    <row r="2543" spans="1:16" x14ac:dyDescent="0.25">
      <c r="A2543" t="s">
        <v>5368</v>
      </c>
      <c r="B2543" t="s">
        <v>5369</v>
      </c>
      <c r="C2543" t="s">
        <v>1571</v>
      </c>
      <c r="D2543" t="s">
        <v>1027</v>
      </c>
      <c r="E2543">
        <v>63767</v>
      </c>
      <c r="G2543" t="b">
        <v>0</v>
      </c>
      <c r="H2543" t="b">
        <v>0</v>
      </c>
      <c r="I2543" t="s">
        <v>1050</v>
      </c>
      <c r="J2543">
        <v>87</v>
      </c>
      <c r="K2543" t="s">
        <v>0</v>
      </c>
      <c r="L2543" t="s">
        <v>1167</v>
      </c>
      <c r="M2543" t="s">
        <v>1168</v>
      </c>
      <c r="N2543" t="s">
        <v>1169</v>
      </c>
      <c r="O2543" t="s">
        <v>1168</v>
      </c>
      <c r="P2543" t="s">
        <v>1283</v>
      </c>
    </row>
    <row r="2544" spans="1:16" x14ac:dyDescent="0.25">
      <c r="A2544" t="s">
        <v>5370</v>
      </c>
      <c r="B2544" t="s">
        <v>5371</v>
      </c>
      <c r="C2544" t="s">
        <v>3920</v>
      </c>
      <c r="D2544" t="s">
        <v>1027</v>
      </c>
      <c r="E2544">
        <v>1351</v>
      </c>
      <c r="F2544" t="s">
        <v>3921</v>
      </c>
      <c r="G2544" t="b">
        <v>0</v>
      </c>
      <c r="H2544" t="b">
        <v>0</v>
      </c>
      <c r="I2544" t="s">
        <v>1050</v>
      </c>
      <c r="J2544">
        <v>93</v>
      </c>
      <c r="K2544" t="s">
        <v>2</v>
      </c>
      <c r="L2544" t="s">
        <v>3922</v>
      </c>
      <c r="M2544" t="s">
        <v>1548</v>
      </c>
      <c r="N2544" t="s">
        <v>1548</v>
      </c>
      <c r="O2544" t="s">
        <v>1548</v>
      </c>
      <c r="P2544" t="s">
        <v>1434</v>
      </c>
    </row>
    <row r="2545" spans="1:16" x14ac:dyDescent="0.25">
      <c r="A2545" t="s">
        <v>5372</v>
      </c>
      <c r="B2545" t="s">
        <v>5373</v>
      </c>
      <c r="C2545" t="s">
        <v>1606</v>
      </c>
      <c r="D2545" t="s">
        <v>1027</v>
      </c>
      <c r="E2545">
        <v>1324</v>
      </c>
      <c r="F2545" t="s">
        <v>1607</v>
      </c>
      <c r="G2545" t="b">
        <v>0</v>
      </c>
      <c r="H2545" t="b">
        <v>0</v>
      </c>
      <c r="I2545" t="s">
        <v>1050</v>
      </c>
      <c r="J2545">
        <v>80</v>
      </c>
      <c r="K2545" t="s">
        <v>2</v>
      </c>
      <c r="L2545" t="s">
        <v>1608</v>
      </c>
      <c r="M2545" t="s">
        <v>1609</v>
      </c>
      <c r="N2545" t="s">
        <v>1608</v>
      </c>
      <c r="O2545" t="s">
        <v>1610</v>
      </c>
      <c r="P2545" t="s">
        <v>1611</v>
      </c>
    </row>
    <row r="2546" spans="1:16" x14ac:dyDescent="0.25">
      <c r="A2546" t="s">
        <v>5374</v>
      </c>
      <c r="B2546" t="s">
        <v>5375</v>
      </c>
      <c r="C2546" t="s">
        <v>1165</v>
      </c>
      <c r="D2546" t="s">
        <v>1027</v>
      </c>
      <c r="E2546">
        <v>63774</v>
      </c>
      <c r="F2546" t="s">
        <v>1166</v>
      </c>
      <c r="G2546" t="b">
        <v>0</v>
      </c>
      <c r="H2546" t="b">
        <v>0</v>
      </c>
      <c r="I2546" t="s">
        <v>1050</v>
      </c>
      <c r="J2546">
        <v>5</v>
      </c>
      <c r="K2546" t="s">
        <v>1</v>
      </c>
      <c r="L2546" t="s">
        <v>1167</v>
      </c>
      <c r="M2546" t="s">
        <v>1168</v>
      </c>
      <c r="N2546" t="s">
        <v>1169</v>
      </c>
      <c r="O2546" t="s">
        <v>1168</v>
      </c>
      <c r="P2546" t="s">
        <v>1170</v>
      </c>
    </row>
    <row r="2547" spans="1:16" x14ac:dyDescent="0.25">
      <c r="A2547" t="s">
        <v>5376</v>
      </c>
      <c r="B2547" t="s">
        <v>5377</v>
      </c>
      <c r="C2547" t="s">
        <v>1571</v>
      </c>
      <c r="D2547" t="s">
        <v>1027</v>
      </c>
      <c r="E2547">
        <v>63767</v>
      </c>
      <c r="G2547" t="b">
        <v>0</v>
      </c>
      <c r="H2547" t="b">
        <v>0</v>
      </c>
      <c r="I2547" t="s">
        <v>1050</v>
      </c>
      <c r="J2547">
        <v>87</v>
      </c>
      <c r="K2547" t="s">
        <v>0</v>
      </c>
      <c r="L2547" t="s">
        <v>1167</v>
      </c>
      <c r="M2547" t="s">
        <v>1168</v>
      </c>
      <c r="N2547" t="s">
        <v>1169</v>
      </c>
      <c r="O2547" t="s">
        <v>1168</v>
      </c>
      <c r="P2547" t="s">
        <v>1283</v>
      </c>
    </row>
    <row r="2548" spans="1:16" x14ac:dyDescent="0.25">
      <c r="A2548" t="s">
        <v>5378</v>
      </c>
      <c r="B2548" t="s">
        <v>5379</v>
      </c>
      <c r="C2548" t="s">
        <v>1571</v>
      </c>
      <c r="D2548" t="s">
        <v>1027</v>
      </c>
      <c r="E2548">
        <v>63767</v>
      </c>
      <c r="G2548" t="b">
        <v>0</v>
      </c>
      <c r="H2548" t="b">
        <v>0</v>
      </c>
      <c r="I2548" t="s">
        <v>1050</v>
      </c>
      <c r="J2548">
        <v>80</v>
      </c>
      <c r="K2548" t="s">
        <v>0</v>
      </c>
      <c r="L2548" t="s">
        <v>1167</v>
      </c>
      <c r="M2548" t="s">
        <v>1168</v>
      </c>
      <c r="N2548" t="s">
        <v>1169</v>
      </c>
      <c r="O2548" t="s">
        <v>1168</v>
      </c>
      <c r="P2548" t="s">
        <v>1283</v>
      </c>
    </row>
    <row r="2549" spans="1:16" x14ac:dyDescent="0.25">
      <c r="A2549" t="s">
        <v>5380</v>
      </c>
      <c r="B2549" t="s">
        <v>5381</v>
      </c>
      <c r="C2549" t="s">
        <v>1571</v>
      </c>
      <c r="D2549" t="s">
        <v>1027</v>
      </c>
      <c r="E2549">
        <v>63767</v>
      </c>
      <c r="G2549" t="b">
        <v>0</v>
      </c>
      <c r="H2549" t="b">
        <v>0</v>
      </c>
      <c r="I2549" t="s">
        <v>1050</v>
      </c>
      <c r="J2549">
        <v>80</v>
      </c>
      <c r="K2549" t="s">
        <v>0</v>
      </c>
      <c r="L2549" t="s">
        <v>1167</v>
      </c>
      <c r="M2549" t="s">
        <v>1168</v>
      </c>
      <c r="N2549" t="s">
        <v>1169</v>
      </c>
      <c r="O2549" t="s">
        <v>1168</v>
      </c>
      <c r="P2549" t="s">
        <v>1283</v>
      </c>
    </row>
    <row r="2550" spans="1:16" x14ac:dyDescent="0.25">
      <c r="A2550" t="s">
        <v>5382</v>
      </c>
      <c r="B2550" t="s">
        <v>5383</v>
      </c>
      <c r="C2550" t="s">
        <v>1571</v>
      </c>
      <c r="D2550" t="s">
        <v>1027</v>
      </c>
      <c r="E2550">
        <v>63767</v>
      </c>
      <c r="G2550" t="b">
        <v>0</v>
      </c>
      <c r="H2550" t="b">
        <v>0</v>
      </c>
      <c r="I2550" t="s">
        <v>1050</v>
      </c>
      <c r="J2550">
        <v>80</v>
      </c>
      <c r="K2550" t="s">
        <v>0</v>
      </c>
      <c r="L2550" t="s">
        <v>1167</v>
      </c>
      <c r="M2550" t="s">
        <v>1168</v>
      </c>
      <c r="N2550" t="s">
        <v>1169</v>
      </c>
      <c r="O2550" t="s">
        <v>1168</v>
      </c>
      <c r="P2550" t="s">
        <v>1283</v>
      </c>
    </row>
    <row r="2551" spans="1:16" x14ac:dyDescent="0.25">
      <c r="A2551" t="s">
        <v>5384</v>
      </c>
      <c r="B2551" t="s">
        <v>5385</v>
      </c>
      <c r="C2551" t="s">
        <v>1571</v>
      </c>
      <c r="D2551" t="s">
        <v>1027</v>
      </c>
      <c r="E2551">
        <v>63767</v>
      </c>
      <c r="G2551" t="b">
        <v>0</v>
      </c>
      <c r="H2551" t="b">
        <v>0</v>
      </c>
      <c r="I2551" t="s">
        <v>1050</v>
      </c>
      <c r="J2551">
        <v>80</v>
      </c>
      <c r="K2551" t="s">
        <v>0</v>
      </c>
      <c r="L2551" t="s">
        <v>1167</v>
      </c>
      <c r="M2551" t="s">
        <v>1168</v>
      </c>
      <c r="N2551" t="s">
        <v>1169</v>
      </c>
      <c r="O2551" t="s">
        <v>1168</v>
      </c>
      <c r="P2551" t="s">
        <v>1283</v>
      </c>
    </row>
    <row r="2552" spans="1:16" x14ac:dyDescent="0.25">
      <c r="A2552" t="s">
        <v>5386</v>
      </c>
      <c r="B2552" t="s">
        <v>5387</v>
      </c>
      <c r="C2552" t="s">
        <v>1571</v>
      </c>
      <c r="D2552" t="s">
        <v>1027</v>
      </c>
      <c r="E2552">
        <v>63767</v>
      </c>
      <c r="G2552" t="b">
        <v>0</v>
      </c>
      <c r="H2552" t="b">
        <v>0</v>
      </c>
      <c r="I2552" t="s">
        <v>1050</v>
      </c>
      <c r="J2552">
        <v>80</v>
      </c>
      <c r="K2552" t="s">
        <v>0</v>
      </c>
      <c r="L2552" t="s">
        <v>1167</v>
      </c>
      <c r="M2552" t="s">
        <v>1168</v>
      </c>
      <c r="N2552" t="s">
        <v>1169</v>
      </c>
      <c r="O2552" t="s">
        <v>1168</v>
      </c>
      <c r="P2552" t="s">
        <v>1283</v>
      </c>
    </row>
    <row r="2553" spans="1:16" x14ac:dyDescent="0.25">
      <c r="A2553" t="s">
        <v>5388</v>
      </c>
      <c r="B2553" t="s">
        <v>5389</v>
      </c>
      <c r="C2553" t="s">
        <v>1165</v>
      </c>
      <c r="D2553" t="s">
        <v>1027</v>
      </c>
      <c r="E2553">
        <v>63774</v>
      </c>
      <c r="F2553" t="s">
        <v>1166</v>
      </c>
      <c r="G2553" t="b">
        <v>0</v>
      </c>
      <c r="H2553" t="b">
        <v>0</v>
      </c>
      <c r="I2553" t="s">
        <v>1050</v>
      </c>
      <c r="J2553">
        <v>52</v>
      </c>
      <c r="K2553" t="s">
        <v>1</v>
      </c>
      <c r="L2553" t="s">
        <v>1167</v>
      </c>
      <c r="M2553" t="s">
        <v>1168</v>
      </c>
      <c r="N2553" t="s">
        <v>1169</v>
      </c>
      <c r="O2553" t="s">
        <v>1168</v>
      </c>
      <c r="P2553" t="s">
        <v>1170</v>
      </c>
    </row>
    <row r="2554" spans="1:16" x14ac:dyDescent="0.25">
      <c r="A2554" t="s">
        <v>5390</v>
      </c>
      <c r="B2554" t="s">
        <v>5391</v>
      </c>
      <c r="C2554" t="s">
        <v>1165</v>
      </c>
      <c r="D2554" t="s">
        <v>1027</v>
      </c>
      <c r="E2554">
        <v>63774</v>
      </c>
      <c r="F2554" t="s">
        <v>1166</v>
      </c>
      <c r="G2554" t="b">
        <v>0</v>
      </c>
      <c r="H2554" t="b">
        <v>0</v>
      </c>
      <c r="I2554" t="s">
        <v>1050</v>
      </c>
      <c r="J2554">
        <v>52</v>
      </c>
      <c r="K2554" t="s">
        <v>1</v>
      </c>
      <c r="L2554" t="s">
        <v>1167</v>
      </c>
      <c r="M2554" t="s">
        <v>1168</v>
      </c>
      <c r="N2554" t="s">
        <v>1169</v>
      </c>
      <c r="O2554" t="s">
        <v>1168</v>
      </c>
      <c r="P2554" t="s">
        <v>1170</v>
      </c>
    </row>
    <row r="2555" spans="1:16" x14ac:dyDescent="0.25">
      <c r="A2555" t="s">
        <v>5392</v>
      </c>
      <c r="B2555" t="s">
        <v>5391</v>
      </c>
      <c r="C2555" t="s">
        <v>1165</v>
      </c>
      <c r="D2555" t="s">
        <v>1027</v>
      </c>
      <c r="E2555">
        <v>63774</v>
      </c>
      <c r="F2555" t="s">
        <v>1166</v>
      </c>
      <c r="G2555" t="b">
        <v>0</v>
      </c>
      <c r="H2555" t="b">
        <v>0</v>
      </c>
      <c r="I2555" t="s">
        <v>1050</v>
      </c>
      <c r="J2555">
        <v>52</v>
      </c>
      <c r="K2555" t="s">
        <v>1</v>
      </c>
      <c r="L2555" t="s">
        <v>1167</v>
      </c>
      <c r="M2555" t="s">
        <v>1168</v>
      </c>
      <c r="N2555" t="s">
        <v>1169</v>
      </c>
      <c r="O2555" t="s">
        <v>1168</v>
      </c>
      <c r="P2555" t="s">
        <v>1170</v>
      </c>
    </row>
    <row r="2556" spans="1:16" x14ac:dyDescent="0.25">
      <c r="A2556" t="s">
        <v>5393</v>
      </c>
      <c r="B2556" t="s">
        <v>5394</v>
      </c>
      <c r="C2556" t="s">
        <v>1165</v>
      </c>
      <c r="D2556" t="s">
        <v>1027</v>
      </c>
      <c r="E2556">
        <v>63774</v>
      </c>
      <c r="F2556" t="s">
        <v>1166</v>
      </c>
      <c r="G2556" t="b">
        <v>0</v>
      </c>
      <c r="H2556" t="b">
        <v>0</v>
      </c>
      <c r="I2556" t="s">
        <v>1050</v>
      </c>
      <c r="J2556">
        <v>52</v>
      </c>
      <c r="K2556" t="s">
        <v>1</v>
      </c>
      <c r="L2556" t="s">
        <v>1167</v>
      </c>
      <c r="M2556" t="s">
        <v>1168</v>
      </c>
      <c r="N2556" t="s">
        <v>1169</v>
      </c>
      <c r="O2556" t="s">
        <v>1168</v>
      </c>
      <c r="P2556" t="s">
        <v>1170</v>
      </c>
    </row>
    <row r="2557" spans="1:16" x14ac:dyDescent="0.25">
      <c r="A2557" t="s">
        <v>5395</v>
      </c>
      <c r="B2557" t="s">
        <v>5394</v>
      </c>
      <c r="C2557" t="s">
        <v>1165</v>
      </c>
      <c r="D2557" t="s">
        <v>1027</v>
      </c>
      <c r="E2557">
        <v>63774</v>
      </c>
      <c r="F2557" t="s">
        <v>1166</v>
      </c>
      <c r="G2557" t="b">
        <v>0</v>
      </c>
      <c r="H2557" t="b">
        <v>0</v>
      </c>
      <c r="I2557" t="s">
        <v>1050</v>
      </c>
      <c r="J2557">
        <v>52</v>
      </c>
      <c r="K2557" t="s">
        <v>1</v>
      </c>
      <c r="L2557" t="s">
        <v>1167</v>
      </c>
      <c r="M2557" t="s">
        <v>1168</v>
      </c>
      <c r="N2557" t="s">
        <v>1169</v>
      </c>
      <c r="O2557" t="s">
        <v>1168</v>
      </c>
      <c r="P2557" t="s">
        <v>1170</v>
      </c>
    </row>
    <row r="2558" spans="1:16" x14ac:dyDescent="0.25">
      <c r="A2558" t="s">
        <v>5396</v>
      </c>
      <c r="B2558" t="s">
        <v>5397</v>
      </c>
      <c r="C2558" t="s">
        <v>1165</v>
      </c>
      <c r="D2558" t="s">
        <v>1027</v>
      </c>
      <c r="E2558">
        <v>63774</v>
      </c>
      <c r="F2558" t="s">
        <v>1166</v>
      </c>
      <c r="G2558" t="b">
        <v>0</v>
      </c>
      <c r="H2558" t="b">
        <v>0</v>
      </c>
      <c r="I2558" t="s">
        <v>1050</v>
      </c>
      <c r="J2558">
        <v>53</v>
      </c>
      <c r="K2558" t="s">
        <v>1</v>
      </c>
      <c r="L2558" t="s">
        <v>1167</v>
      </c>
      <c r="M2558" t="s">
        <v>1168</v>
      </c>
      <c r="N2558" t="s">
        <v>1169</v>
      </c>
      <c r="O2558" t="s">
        <v>1168</v>
      </c>
      <c r="P2558" t="s">
        <v>1170</v>
      </c>
    </row>
    <row r="2559" spans="1:16" x14ac:dyDescent="0.25">
      <c r="A2559" t="s">
        <v>5398</v>
      </c>
      <c r="B2559" t="s">
        <v>5397</v>
      </c>
      <c r="C2559" t="s">
        <v>1165</v>
      </c>
      <c r="D2559" t="s">
        <v>1027</v>
      </c>
      <c r="E2559">
        <v>63774</v>
      </c>
      <c r="F2559" t="s">
        <v>1166</v>
      </c>
      <c r="G2559" t="b">
        <v>0</v>
      </c>
      <c r="H2559" t="b">
        <v>0</v>
      </c>
      <c r="I2559" t="s">
        <v>1050</v>
      </c>
      <c r="J2559">
        <v>53</v>
      </c>
      <c r="K2559" t="s">
        <v>1</v>
      </c>
      <c r="L2559" t="s">
        <v>1167</v>
      </c>
      <c r="M2559" t="s">
        <v>1168</v>
      </c>
      <c r="N2559" t="s">
        <v>1169</v>
      </c>
      <c r="O2559" t="s">
        <v>1168</v>
      </c>
      <c r="P2559" t="s">
        <v>1170</v>
      </c>
    </row>
    <row r="2560" spans="1:16" x14ac:dyDescent="0.25">
      <c r="A2560" t="s">
        <v>5399</v>
      </c>
      <c r="B2560" t="s">
        <v>5400</v>
      </c>
      <c r="C2560" t="s">
        <v>1233</v>
      </c>
      <c r="D2560" t="s">
        <v>1027</v>
      </c>
      <c r="E2560">
        <v>63762</v>
      </c>
      <c r="F2560" t="s">
        <v>1234</v>
      </c>
      <c r="G2560" t="b">
        <v>0</v>
      </c>
      <c r="H2560" t="b">
        <v>0</v>
      </c>
      <c r="I2560" t="s">
        <v>1050</v>
      </c>
      <c r="J2560">
        <v>88</v>
      </c>
      <c r="K2560" t="s">
        <v>0</v>
      </c>
      <c r="L2560" t="s">
        <v>1167</v>
      </c>
      <c r="M2560" t="s">
        <v>1168</v>
      </c>
      <c r="N2560" t="s">
        <v>1169</v>
      </c>
      <c r="O2560" t="s">
        <v>1168</v>
      </c>
      <c r="P2560" t="s">
        <v>1235</v>
      </c>
    </row>
    <row r="2561" spans="1:16" x14ac:dyDescent="0.25">
      <c r="A2561" t="s">
        <v>5401</v>
      </c>
      <c r="B2561" t="s">
        <v>5402</v>
      </c>
      <c r="C2561" t="s">
        <v>1233</v>
      </c>
      <c r="D2561" t="s">
        <v>1027</v>
      </c>
      <c r="E2561">
        <v>63762</v>
      </c>
      <c r="F2561" t="s">
        <v>1234</v>
      </c>
      <c r="G2561" t="b">
        <v>0</v>
      </c>
      <c r="H2561" t="b">
        <v>0</v>
      </c>
      <c r="I2561" t="s">
        <v>1050</v>
      </c>
      <c r="J2561">
        <v>88</v>
      </c>
      <c r="K2561" t="s">
        <v>0</v>
      </c>
      <c r="L2561" t="s">
        <v>1167</v>
      </c>
      <c r="M2561" t="s">
        <v>1168</v>
      </c>
      <c r="N2561" t="s">
        <v>1169</v>
      </c>
      <c r="O2561" t="s">
        <v>1168</v>
      </c>
      <c r="P2561" t="s">
        <v>1235</v>
      </c>
    </row>
    <row r="2562" spans="1:16" x14ac:dyDescent="0.25">
      <c r="A2562" t="s">
        <v>5403</v>
      </c>
      <c r="B2562" t="s">
        <v>5404</v>
      </c>
      <c r="C2562" t="s">
        <v>1233</v>
      </c>
      <c r="D2562" t="s">
        <v>1027</v>
      </c>
      <c r="E2562">
        <v>63762</v>
      </c>
      <c r="F2562" t="s">
        <v>1234</v>
      </c>
      <c r="G2562" t="b">
        <v>0</v>
      </c>
      <c r="H2562" t="b">
        <v>0</v>
      </c>
      <c r="I2562" t="s">
        <v>1050</v>
      </c>
      <c r="J2562">
        <v>88</v>
      </c>
      <c r="K2562" t="s">
        <v>0</v>
      </c>
      <c r="L2562" t="s">
        <v>1167</v>
      </c>
      <c r="M2562" t="s">
        <v>1168</v>
      </c>
      <c r="N2562" t="s">
        <v>1169</v>
      </c>
      <c r="O2562" t="s">
        <v>1168</v>
      </c>
      <c r="P2562" t="s">
        <v>1235</v>
      </c>
    </row>
    <row r="2563" spans="1:16" x14ac:dyDescent="0.25">
      <c r="A2563" t="s">
        <v>5405</v>
      </c>
      <c r="B2563" t="s">
        <v>5406</v>
      </c>
      <c r="C2563" t="s">
        <v>1233</v>
      </c>
      <c r="D2563" t="s">
        <v>1027</v>
      </c>
      <c r="E2563">
        <v>63762</v>
      </c>
      <c r="F2563" t="s">
        <v>1234</v>
      </c>
      <c r="G2563" t="b">
        <v>0</v>
      </c>
      <c r="H2563" t="b">
        <v>0</v>
      </c>
      <c r="I2563" t="s">
        <v>1050</v>
      </c>
      <c r="J2563">
        <v>88</v>
      </c>
      <c r="K2563" t="s">
        <v>0</v>
      </c>
      <c r="L2563" t="s">
        <v>1167</v>
      </c>
      <c r="M2563" t="s">
        <v>1168</v>
      </c>
      <c r="N2563" t="s">
        <v>1169</v>
      </c>
      <c r="O2563" t="s">
        <v>1168</v>
      </c>
      <c r="P2563" t="s">
        <v>1235</v>
      </c>
    </row>
    <row r="2564" spans="1:16" x14ac:dyDescent="0.25">
      <c r="A2564" t="s">
        <v>5407</v>
      </c>
      <c r="B2564" t="s">
        <v>5408</v>
      </c>
      <c r="C2564" t="s">
        <v>1571</v>
      </c>
      <c r="D2564" t="s">
        <v>1027</v>
      </c>
      <c r="E2564">
        <v>63767</v>
      </c>
      <c r="G2564" t="b">
        <v>0</v>
      </c>
      <c r="H2564" t="b">
        <v>0</v>
      </c>
      <c r="I2564" t="s">
        <v>1050</v>
      </c>
      <c r="J2564">
        <v>87</v>
      </c>
      <c r="K2564" t="s">
        <v>0</v>
      </c>
      <c r="L2564" t="s">
        <v>1167</v>
      </c>
      <c r="M2564" t="s">
        <v>1168</v>
      </c>
      <c r="N2564" t="s">
        <v>1169</v>
      </c>
      <c r="O2564" t="s">
        <v>1168</v>
      </c>
      <c r="P2564" t="s">
        <v>1283</v>
      </c>
    </row>
    <row r="2565" spans="1:16" x14ac:dyDescent="0.25">
      <c r="A2565" t="s">
        <v>5409</v>
      </c>
      <c r="B2565" t="s">
        <v>5410</v>
      </c>
      <c r="C2565" t="s">
        <v>1571</v>
      </c>
      <c r="D2565" t="s">
        <v>1027</v>
      </c>
      <c r="E2565">
        <v>63767</v>
      </c>
      <c r="G2565" t="b">
        <v>0</v>
      </c>
      <c r="H2565" t="b">
        <v>0</v>
      </c>
      <c r="I2565" t="s">
        <v>1050</v>
      </c>
      <c r="J2565">
        <v>87</v>
      </c>
      <c r="K2565" t="s">
        <v>0</v>
      </c>
      <c r="L2565" t="s">
        <v>1167</v>
      </c>
      <c r="M2565" t="s">
        <v>1168</v>
      </c>
      <c r="N2565" t="s">
        <v>1169</v>
      </c>
      <c r="O2565" t="s">
        <v>1168</v>
      </c>
      <c r="P2565" t="s">
        <v>1283</v>
      </c>
    </row>
    <row r="2566" spans="1:16" x14ac:dyDescent="0.25">
      <c r="A2566" t="s">
        <v>5411</v>
      </c>
      <c r="B2566" t="s">
        <v>5412</v>
      </c>
      <c r="C2566" t="s">
        <v>1571</v>
      </c>
      <c r="D2566" t="s">
        <v>1027</v>
      </c>
      <c r="E2566">
        <v>63767</v>
      </c>
      <c r="G2566" t="b">
        <v>0</v>
      </c>
      <c r="H2566" t="b">
        <v>0</v>
      </c>
      <c r="I2566" t="s">
        <v>1050</v>
      </c>
      <c r="J2566">
        <v>87</v>
      </c>
      <c r="K2566" t="s">
        <v>0</v>
      </c>
      <c r="L2566" t="s">
        <v>1167</v>
      </c>
      <c r="M2566" t="s">
        <v>1168</v>
      </c>
      <c r="N2566" t="s">
        <v>1169</v>
      </c>
      <c r="O2566" t="s">
        <v>1168</v>
      </c>
      <c r="P2566" t="s">
        <v>1283</v>
      </c>
    </row>
    <row r="2567" spans="1:16" x14ac:dyDescent="0.25">
      <c r="A2567" t="s">
        <v>5413</v>
      </c>
      <c r="B2567" t="s">
        <v>5414</v>
      </c>
      <c r="C2567" t="s">
        <v>1233</v>
      </c>
      <c r="D2567" t="s">
        <v>1027</v>
      </c>
      <c r="E2567">
        <v>63762</v>
      </c>
      <c r="F2567" t="s">
        <v>1234</v>
      </c>
      <c r="G2567" t="b">
        <v>0</v>
      </c>
      <c r="H2567" t="b">
        <v>0</v>
      </c>
      <c r="I2567" t="s">
        <v>1050</v>
      </c>
      <c r="J2567">
        <v>80</v>
      </c>
      <c r="K2567" t="s">
        <v>0</v>
      </c>
      <c r="L2567" t="s">
        <v>1167</v>
      </c>
      <c r="M2567" t="s">
        <v>1168</v>
      </c>
      <c r="N2567" t="s">
        <v>1169</v>
      </c>
      <c r="O2567" t="s">
        <v>1168</v>
      </c>
      <c r="P2567" t="s">
        <v>1235</v>
      </c>
    </row>
    <row r="2568" spans="1:16" x14ac:dyDescent="0.25">
      <c r="A2568" t="s">
        <v>5415</v>
      </c>
      <c r="B2568" t="s">
        <v>5416</v>
      </c>
      <c r="C2568" t="s">
        <v>1233</v>
      </c>
      <c r="D2568" t="s">
        <v>1027</v>
      </c>
      <c r="E2568">
        <v>63762</v>
      </c>
      <c r="F2568" t="s">
        <v>1234</v>
      </c>
      <c r="G2568" t="b">
        <v>0</v>
      </c>
      <c r="H2568" t="b">
        <v>0</v>
      </c>
      <c r="I2568" t="s">
        <v>1050</v>
      </c>
      <c r="J2568">
        <v>80</v>
      </c>
      <c r="K2568" t="s">
        <v>0</v>
      </c>
      <c r="L2568" t="s">
        <v>1167</v>
      </c>
      <c r="M2568" t="s">
        <v>1168</v>
      </c>
      <c r="N2568" t="s">
        <v>1169</v>
      </c>
      <c r="O2568" t="s">
        <v>1168</v>
      </c>
      <c r="P2568" t="s">
        <v>1235</v>
      </c>
    </row>
    <row r="2569" spans="1:16" x14ac:dyDescent="0.25">
      <c r="A2569" t="s">
        <v>5417</v>
      </c>
      <c r="B2569" t="s">
        <v>5418</v>
      </c>
      <c r="C2569" t="s">
        <v>1571</v>
      </c>
      <c r="D2569" t="s">
        <v>1027</v>
      </c>
      <c r="E2569">
        <v>63767</v>
      </c>
      <c r="G2569" t="b">
        <v>0</v>
      </c>
      <c r="H2569" t="b">
        <v>0</v>
      </c>
      <c r="I2569" t="s">
        <v>1050</v>
      </c>
      <c r="J2569">
        <v>80</v>
      </c>
      <c r="K2569" t="s">
        <v>0</v>
      </c>
      <c r="L2569" t="s">
        <v>1167</v>
      </c>
      <c r="M2569" t="s">
        <v>1168</v>
      </c>
      <c r="N2569" t="s">
        <v>1169</v>
      </c>
      <c r="O2569" t="s">
        <v>1168</v>
      </c>
      <c r="P2569" t="s">
        <v>1283</v>
      </c>
    </row>
    <row r="2570" spans="1:16" x14ac:dyDescent="0.25">
      <c r="A2570" t="s">
        <v>5419</v>
      </c>
      <c r="B2570" t="s">
        <v>5420</v>
      </c>
      <c r="C2570" t="s">
        <v>1571</v>
      </c>
      <c r="D2570" t="s">
        <v>1027</v>
      </c>
      <c r="E2570">
        <v>63767</v>
      </c>
      <c r="G2570" t="b">
        <v>0</v>
      </c>
      <c r="H2570" t="b">
        <v>0</v>
      </c>
      <c r="I2570" t="s">
        <v>1050</v>
      </c>
      <c r="J2570">
        <v>80</v>
      </c>
      <c r="K2570" t="s">
        <v>0</v>
      </c>
      <c r="L2570" t="s">
        <v>1167</v>
      </c>
      <c r="M2570" t="s">
        <v>1168</v>
      </c>
      <c r="N2570" t="s">
        <v>1169</v>
      </c>
      <c r="O2570" t="s">
        <v>1168</v>
      </c>
      <c r="P2570" t="s">
        <v>1283</v>
      </c>
    </row>
    <row r="2571" spans="1:16" x14ac:dyDescent="0.25">
      <c r="A2571" t="s">
        <v>5421</v>
      </c>
      <c r="B2571" t="s">
        <v>5422</v>
      </c>
      <c r="C2571" t="s">
        <v>1571</v>
      </c>
      <c r="D2571" t="s">
        <v>1027</v>
      </c>
      <c r="E2571">
        <v>63767</v>
      </c>
      <c r="G2571" t="b">
        <v>0</v>
      </c>
      <c r="H2571" t="b">
        <v>0</v>
      </c>
      <c r="I2571" t="s">
        <v>1050</v>
      </c>
      <c r="J2571">
        <v>80</v>
      </c>
      <c r="K2571" t="s">
        <v>0</v>
      </c>
      <c r="L2571" t="s">
        <v>1167</v>
      </c>
      <c r="M2571" t="s">
        <v>1168</v>
      </c>
      <c r="N2571" t="s">
        <v>1169</v>
      </c>
      <c r="O2571" t="s">
        <v>1168</v>
      </c>
      <c r="P2571" t="s">
        <v>1283</v>
      </c>
    </row>
    <row r="2572" spans="1:16" x14ac:dyDescent="0.25">
      <c r="A2572" t="s">
        <v>5423</v>
      </c>
      <c r="B2572" t="s">
        <v>5424</v>
      </c>
      <c r="C2572" t="s">
        <v>1233</v>
      </c>
      <c r="D2572" t="s">
        <v>1027</v>
      </c>
      <c r="E2572">
        <v>63762</v>
      </c>
      <c r="F2572" t="s">
        <v>1234</v>
      </c>
      <c r="G2572" t="b">
        <v>0</v>
      </c>
      <c r="H2572" t="b">
        <v>0</v>
      </c>
      <c r="I2572" t="s">
        <v>1050</v>
      </c>
      <c r="J2572">
        <v>88</v>
      </c>
      <c r="K2572" t="s">
        <v>0</v>
      </c>
      <c r="L2572" t="s">
        <v>1167</v>
      </c>
      <c r="M2572" t="s">
        <v>1168</v>
      </c>
      <c r="N2572" t="s">
        <v>1169</v>
      </c>
      <c r="O2572" t="s">
        <v>1168</v>
      </c>
      <c r="P2572" t="s">
        <v>1235</v>
      </c>
    </row>
    <row r="2573" spans="1:16" x14ac:dyDescent="0.25">
      <c r="A2573" t="s">
        <v>5425</v>
      </c>
      <c r="B2573" t="s">
        <v>5426</v>
      </c>
      <c r="C2573" t="s">
        <v>1233</v>
      </c>
      <c r="D2573" t="s">
        <v>1027</v>
      </c>
      <c r="E2573">
        <v>63762</v>
      </c>
      <c r="F2573" t="s">
        <v>1234</v>
      </c>
      <c r="G2573" t="b">
        <v>0</v>
      </c>
      <c r="H2573" t="b">
        <v>0</v>
      </c>
      <c r="I2573" t="s">
        <v>1050</v>
      </c>
      <c r="J2573">
        <v>88</v>
      </c>
      <c r="K2573" t="s">
        <v>0</v>
      </c>
      <c r="L2573" t="s">
        <v>1167</v>
      </c>
      <c r="M2573" t="s">
        <v>1168</v>
      </c>
      <c r="N2573" t="s">
        <v>1169</v>
      </c>
      <c r="O2573" t="s">
        <v>1168</v>
      </c>
      <c r="P2573" t="s">
        <v>1235</v>
      </c>
    </row>
    <row r="2574" spans="1:16" x14ac:dyDescent="0.25">
      <c r="A2574" t="s">
        <v>5427</v>
      </c>
      <c r="B2574" t="s">
        <v>5428</v>
      </c>
      <c r="C2574" t="s">
        <v>1233</v>
      </c>
      <c r="D2574" t="s">
        <v>1027</v>
      </c>
      <c r="E2574">
        <v>63762</v>
      </c>
      <c r="F2574" t="s">
        <v>1234</v>
      </c>
      <c r="G2574" t="b">
        <v>0</v>
      </c>
      <c r="H2574" t="b">
        <v>0</v>
      </c>
      <c r="I2574" t="s">
        <v>1050</v>
      </c>
      <c r="J2574">
        <v>91</v>
      </c>
      <c r="K2574" t="s">
        <v>0</v>
      </c>
      <c r="L2574" t="s">
        <v>1167</v>
      </c>
      <c r="M2574" t="s">
        <v>1168</v>
      </c>
      <c r="N2574" t="s">
        <v>1169</v>
      </c>
      <c r="O2574" t="s">
        <v>1168</v>
      </c>
      <c r="P2574" t="s">
        <v>1235</v>
      </c>
    </row>
    <row r="2575" spans="1:16" x14ac:dyDescent="0.25">
      <c r="A2575" t="s">
        <v>5429</v>
      </c>
      <c r="B2575" t="s">
        <v>5430</v>
      </c>
      <c r="C2575" t="s">
        <v>1233</v>
      </c>
      <c r="D2575" t="s">
        <v>1027</v>
      </c>
      <c r="E2575">
        <v>63762</v>
      </c>
      <c r="F2575" t="s">
        <v>1234</v>
      </c>
      <c r="G2575" t="b">
        <v>0</v>
      </c>
      <c r="H2575" t="b">
        <v>0</v>
      </c>
      <c r="I2575" t="s">
        <v>1050</v>
      </c>
      <c r="J2575">
        <v>91</v>
      </c>
      <c r="K2575" t="s">
        <v>0</v>
      </c>
      <c r="L2575" t="s">
        <v>1167</v>
      </c>
      <c r="M2575" t="s">
        <v>1168</v>
      </c>
      <c r="N2575" t="s">
        <v>1169</v>
      </c>
      <c r="O2575" t="s">
        <v>1168</v>
      </c>
      <c r="P2575" t="s">
        <v>1235</v>
      </c>
    </row>
    <row r="2576" spans="1:16" x14ac:dyDescent="0.25">
      <c r="A2576" t="s">
        <v>5431</v>
      </c>
      <c r="B2576" t="s">
        <v>5432</v>
      </c>
      <c r="C2576" t="s">
        <v>1233</v>
      </c>
      <c r="D2576" t="s">
        <v>1027</v>
      </c>
      <c r="E2576">
        <v>63762</v>
      </c>
      <c r="F2576" t="s">
        <v>1234</v>
      </c>
      <c r="G2576" t="b">
        <v>0</v>
      </c>
      <c r="H2576" t="b">
        <v>0</v>
      </c>
      <c r="I2576" t="s">
        <v>1050</v>
      </c>
      <c r="J2576">
        <v>91</v>
      </c>
      <c r="K2576" t="s">
        <v>0</v>
      </c>
      <c r="L2576" t="s">
        <v>1167</v>
      </c>
      <c r="M2576" t="s">
        <v>1168</v>
      </c>
      <c r="N2576" t="s">
        <v>1169</v>
      </c>
      <c r="O2576" t="s">
        <v>1168</v>
      </c>
      <c r="P2576" t="s">
        <v>1235</v>
      </c>
    </row>
    <row r="2577" spans="1:16" x14ac:dyDescent="0.25">
      <c r="A2577" t="s">
        <v>5433</v>
      </c>
      <c r="B2577" t="s">
        <v>5434</v>
      </c>
      <c r="C2577" t="s">
        <v>1233</v>
      </c>
      <c r="D2577" t="s">
        <v>1027</v>
      </c>
      <c r="E2577">
        <v>63762</v>
      </c>
      <c r="F2577" t="s">
        <v>1234</v>
      </c>
      <c r="G2577" t="b">
        <v>0</v>
      </c>
      <c r="H2577" t="b">
        <v>0</v>
      </c>
      <c r="I2577" t="s">
        <v>1050</v>
      </c>
      <c r="J2577">
        <v>91</v>
      </c>
      <c r="K2577" t="s">
        <v>0</v>
      </c>
      <c r="L2577" t="s">
        <v>1167</v>
      </c>
      <c r="M2577" t="s">
        <v>1168</v>
      </c>
      <c r="N2577" t="s">
        <v>1169</v>
      </c>
      <c r="O2577" t="s">
        <v>1168</v>
      </c>
      <c r="P2577" t="s">
        <v>1235</v>
      </c>
    </row>
    <row r="2578" spans="1:16" x14ac:dyDescent="0.25">
      <c r="A2578" t="s">
        <v>5435</v>
      </c>
      <c r="B2578" t="s">
        <v>5436</v>
      </c>
      <c r="C2578" t="s">
        <v>1165</v>
      </c>
      <c r="D2578" t="s">
        <v>1027</v>
      </c>
      <c r="E2578">
        <v>63774</v>
      </c>
      <c r="F2578" t="s">
        <v>1166</v>
      </c>
      <c r="G2578" t="b">
        <v>0</v>
      </c>
      <c r="H2578" t="b">
        <v>0</v>
      </c>
      <c r="I2578" t="s">
        <v>1050</v>
      </c>
      <c r="J2578">
        <v>53</v>
      </c>
      <c r="K2578" t="s">
        <v>1</v>
      </c>
      <c r="L2578" t="s">
        <v>1167</v>
      </c>
      <c r="M2578" t="s">
        <v>1168</v>
      </c>
      <c r="N2578" t="s">
        <v>1169</v>
      </c>
      <c r="O2578" t="s">
        <v>1168</v>
      </c>
      <c r="P2578" t="s">
        <v>1170</v>
      </c>
    </row>
    <row r="2579" spans="1:16" x14ac:dyDescent="0.25">
      <c r="A2579" t="s">
        <v>5437</v>
      </c>
      <c r="B2579" t="s">
        <v>5436</v>
      </c>
      <c r="C2579" t="s">
        <v>1165</v>
      </c>
      <c r="D2579" t="s">
        <v>1027</v>
      </c>
      <c r="E2579">
        <v>63774</v>
      </c>
      <c r="F2579" t="s">
        <v>1166</v>
      </c>
      <c r="G2579" t="b">
        <v>0</v>
      </c>
      <c r="H2579" t="b">
        <v>0</v>
      </c>
      <c r="I2579" t="s">
        <v>1050</v>
      </c>
      <c r="J2579">
        <v>53</v>
      </c>
      <c r="K2579" t="s">
        <v>1</v>
      </c>
      <c r="L2579" t="s">
        <v>1167</v>
      </c>
      <c r="M2579" t="s">
        <v>1168</v>
      </c>
      <c r="N2579" t="s">
        <v>1169</v>
      </c>
      <c r="O2579" t="s">
        <v>1168</v>
      </c>
      <c r="P2579" t="s">
        <v>1170</v>
      </c>
    </row>
    <row r="2580" spans="1:16" x14ac:dyDescent="0.25">
      <c r="A2580" t="s">
        <v>5438</v>
      </c>
      <c r="B2580" t="s">
        <v>5439</v>
      </c>
      <c r="C2580" t="s">
        <v>1165</v>
      </c>
      <c r="D2580" t="s">
        <v>1027</v>
      </c>
      <c r="E2580">
        <v>63774</v>
      </c>
      <c r="F2580" t="s">
        <v>1166</v>
      </c>
      <c r="G2580" t="b">
        <v>0</v>
      </c>
      <c r="H2580" t="b">
        <v>0</v>
      </c>
      <c r="I2580" t="s">
        <v>1050</v>
      </c>
      <c r="J2580">
        <v>60</v>
      </c>
      <c r="K2580" t="s">
        <v>1</v>
      </c>
      <c r="L2580" t="s">
        <v>1167</v>
      </c>
      <c r="M2580" t="s">
        <v>1168</v>
      </c>
      <c r="N2580" t="s">
        <v>1169</v>
      </c>
      <c r="O2580" t="s">
        <v>1168</v>
      </c>
      <c r="P2580" t="s">
        <v>1170</v>
      </c>
    </row>
    <row r="2581" spans="1:16" x14ac:dyDescent="0.25">
      <c r="A2581" t="s">
        <v>5440</v>
      </c>
      <c r="B2581" t="s">
        <v>5439</v>
      </c>
      <c r="C2581" t="s">
        <v>1165</v>
      </c>
      <c r="D2581" t="s">
        <v>1027</v>
      </c>
      <c r="E2581">
        <v>63774</v>
      </c>
      <c r="F2581" t="s">
        <v>1166</v>
      </c>
      <c r="G2581" t="b">
        <v>0</v>
      </c>
      <c r="H2581" t="b">
        <v>0</v>
      </c>
      <c r="I2581" t="s">
        <v>1050</v>
      </c>
      <c r="J2581">
        <v>60</v>
      </c>
      <c r="K2581" t="s">
        <v>1</v>
      </c>
      <c r="L2581" t="s">
        <v>1167</v>
      </c>
      <c r="M2581" t="s">
        <v>1168</v>
      </c>
      <c r="N2581" t="s">
        <v>1169</v>
      </c>
      <c r="O2581" t="s">
        <v>1168</v>
      </c>
      <c r="P2581" t="s">
        <v>1170</v>
      </c>
    </row>
    <row r="2582" spans="1:16" x14ac:dyDescent="0.25">
      <c r="A2582" t="s">
        <v>5441</v>
      </c>
      <c r="B2582" t="s">
        <v>5442</v>
      </c>
      <c r="C2582" t="s">
        <v>1678</v>
      </c>
      <c r="D2582" t="s">
        <v>1027</v>
      </c>
      <c r="E2582">
        <v>63786</v>
      </c>
      <c r="F2582" t="s">
        <v>1679</v>
      </c>
      <c r="G2582" t="b">
        <v>0</v>
      </c>
      <c r="H2582" t="b">
        <v>0</v>
      </c>
      <c r="I2582" t="s">
        <v>1050</v>
      </c>
      <c r="J2582">
        <v>80</v>
      </c>
      <c r="K2582" t="s">
        <v>2</v>
      </c>
      <c r="L2582" t="s">
        <v>1680</v>
      </c>
      <c r="M2582" t="s">
        <v>1680</v>
      </c>
      <c r="N2582" t="s">
        <v>1681</v>
      </c>
      <c r="O2582" t="s">
        <v>1680</v>
      </c>
      <c r="P2582" t="s">
        <v>1682</v>
      </c>
    </row>
    <row r="2583" spans="1:16" x14ac:dyDescent="0.25">
      <c r="A2583" t="s">
        <v>5443</v>
      </c>
      <c r="B2583" t="s">
        <v>5444</v>
      </c>
      <c r="C2583" t="s">
        <v>1678</v>
      </c>
      <c r="D2583" t="s">
        <v>1027</v>
      </c>
      <c r="E2583">
        <v>63786</v>
      </c>
      <c r="F2583" t="s">
        <v>1679</v>
      </c>
      <c r="G2583" t="b">
        <v>0</v>
      </c>
      <c r="H2583" t="b">
        <v>0</v>
      </c>
      <c r="I2583" t="s">
        <v>1050</v>
      </c>
      <c r="J2583">
        <v>80</v>
      </c>
      <c r="K2583" t="s">
        <v>2</v>
      </c>
      <c r="L2583" t="s">
        <v>1680</v>
      </c>
      <c r="M2583" t="s">
        <v>1680</v>
      </c>
      <c r="N2583" t="s">
        <v>1681</v>
      </c>
      <c r="O2583" t="s">
        <v>1680</v>
      </c>
      <c r="P2583" t="s">
        <v>1682</v>
      </c>
    </row>
    <row r="2584" spans="1:16" x14ac:dyDescent="0.25">
      <c r="A2584" t="s">
        <v>5445</v>
      </c>
      <c r="B2584" t="s">
        <v>5446</v>
      </c>
      <c r="C2584" t="s">
        <v>1165</v>
      </c>
      <c r="D2584" t="s">
        <v>1027</v>
      </c>
      <c r="E2584">
        <v>63774</v>
      </c>
      <c r="F2584" t="s">
        <v>1166</v>
      </c>
      <c r="G2584" t="b">
        <v>0</v>
      </c>
      <c r="H2584" t="b">
        <v>0</v>
      </c>
      <c r="I2584" t="s">
        <v>1050</v>
      </c>
      <c r="J2584">
        <v>81</v>
      </c>
      <c r="K2584" t="s">
        <v>1</v>
      </c>
      <c r="L2584" t="s">
        <v>1167</v>
      </c>
      <c r="M2584" t="s">
        <v>1168</v>
      </c>
      <c r="N2584" t="s">
        <v>1169</v>
      </c>
      <c r="O2584" t="s">
        <v>1168</v>
      </c>
      <c r="P2584" t="s">
        <v>1170</v>
      </c>
    </row>
    <row r="2585" spans="1:16" x14ac:dyDescent="0.25">
      <c r="A2585" t="s">
        <v>5447</v>
      </c>
      <c r="B2585" t="s">
        <v>5446</v>
      </c>
      <c r="C2585" t="s">
        <v>1165</v>
      </c>
      <c r="D2585" t="s">
        <v>1027</v>
      </c>
      <c r="E2585">
        <v>63774</v>
      </c>
      <c r="F2585" t="s">
        <v>1166</v>
      </c>
      <c r="G2585" t="b">
        <v>0</v>
      </c>
      <c r="H2585" t="b">
        <v>0</v>
      </c>
      <c r="I2585" t="s">
        <v>1050</v>
      </c>
      <c r="J2585">
        <v>81</v>
      </c>
      <c r="K2585" t="s">
        <v>1</v>
      </c>
      <c r="L2585" t="s">
        <v>1167</v>
      </c>
      <c r="M2585" t="s">
        <v>1168</v>
      </c>
      <c r="N2585" t="s">
        <v>1169</v>
      </c>
      <c r="O2585" t="s">
        <v>1168</v>
      </c>
      <c r="P2585" t="s">
        <v>1170</v>
      </c>
    </row>
    <row r="2586" spans="1:16" x14ac:dyDescent="0.25">
      <c r="A2586" t="s">
        <v>5448</v>
      </c>
      <c r="B2586" t="s">
        <v>5446</v>
      </c>
      <c r="C2586" t="s">
        <v>1165</v>
      </c>
      <c r="D2586" t="s">
        <v>1027</v>
      </c>
      <c r="E2586">
        <v>63774</v>
      </c>
      <c r="F2586" t="s">
        <v>1166</v>
      </c>
      <c r="G2586" t="b">
        <v>0</v>
      </c>
      <c r="H2586" t="b">
        <v>0</v>
      </c>
      <c r="I2586" t="s">
        <v>1050</v>
      </c>
      <c r="J2586">
        <v>81</v>
      </c>
      <c r="K2586" t="s">
        <v>1</v>
      </c>
      <c r="L2586" t="s">
        <v>1167</v>
      </c>
      <c r="M2586" t="s">
        <v>1168</v>
      </c>
      <c r="N2586" t="s">
        <v>1169</v>
      </c>
      <c r="O2586" t="s">
        <v>1168</v>
      </c>
      <c r="P2586" t="s">
        <v>1170</v>
      </c>
    </row>
    <row r="2587" spans="1:16" x14ac:dyDescent="0.25">
      <c r="A2587" t="s">
        <v>5449</v>
      </c>
      <c r="B2587" t="s">
        <v>5446</v>
      </c>
      <c r="C2587" t="s">
        <v>1165</v>
      </c>
      <c r="D2587" t="s">
        <v>1027</v>
      </c>
      <c r="E2587">
        <v>63774</v>
      </c>
      <c r="F2587" t="s">
        <v>1166</v>
      </c>
      <c r="G2587" t="b">
        <v>0</v>
      </c>
      <c r="H2587" t="b">
        <v>0</v>
      </c>
      <c r="I2587" t="s">
        <v>1050</v>
      </c>
      <c r="J2587">
        <v>81</v>
      </c>
      <c r="K2587" t="s">
        <v>1</v>
      </c>
      <c r="L2587" t="s">
        <v>1167</v>
      </c>
      <c r="M2587" t="s">
        <v>1168</v>
      </c>
      <c r="N2587" t="s">
        <v>1169</v>
      </c>
      <c r="O2587" t="s">
        <v>1168</v>
      </c>
      <c r="P2587" t="s">
        <v>1170</v>
      </c>
    </row>
    <row r="2588" spans="1:16" x14ac:dyDescent="0.25">
      <c r="A2588" t="s">
        <v>5450</v>
      </c>
      <c r="B2588" t="s">
        <v>5451</v>
      </c>
      <c r="C2588" t="s">
        <v>3950</v>
      </c>
      <c r="D2588" t="s">
        <v>1027</v>
      </c>
      <c r="E2588">
        <v>1456</v>
      </c>
      <c r="F2588" t="s">
        <v>3951</v>
      </c>
      <c r="G2588" t="b">
        <v>0</v>
      </c>
      <c r="H2588" t="b">
        <v>0</v>
      </c>
      <c r="I2588" t="s">
        <v>1050</v>
      </c>
      <c r="J2588">
        <v>88</v>
      </c>
      <c r="K2588" t="s">
        <v>0</v>
      </c>
      <c r="L2588" t="s">
        <v>1213</v>
      </c>
      <c r="M2588" t="s">
        <v>1168</v>
      </c>
      <c r="N2588" t="s">
        <v>1168</v>
      </c>
      <c r="O2588" t="s">
        <v>1168</v>
      </c>
      <c r="P2588" t="s">
        <v>3952</v>
      </c>
    </row>
    <row r="2589" spans="1:16" x14ac:dyDescent="0.25">
      <c r="A2589" t="s">
        <v>5452</v>
      </c>
      <c r="B2589" t="s">
        <v>5453</v>
      </c>
      <c r="C2589" t="s">
        <v>3950</v>
      </c>
      <c r="D2589" t="s">
        <v>1027</v>
      </c>
      <c r="E2589">
        <v>1456</v>
      </c>
      <c r="F2589" t="s">
        <v>3951</v>
      </c>
      <c r="G2589" t="b">
        <v>0</v>
      </c>
      <c r="H2589" t="b">
        <v>0</v>
      </c>
      <c r="I2589" t="s">
        <v>1050</v>
      </c>
      <c r="J2589">
        <v>88</v>
      </c>
      <c r="K2589" t="s">
        <v>0</v>
      </c>
      <c r="L2589" t="s">
        <v>1213</v>
      </c>
      <c r="M2589" t="s">
        <v>1168</v>
      </c>
      <c r="N2589" t="s">
        <v>1168</v>
      </c>
      <c r="O2589" t="s">
        <v>1168</v>
      </c>
      <c r="P2589" t="s">
        <v>3952</v>
      </c>
    </row>
    <row r="2590" spans="1:16" x14ac:dyDescent="0.25">
      <c r="A2590" t="s">
        <v>5454</v>
      </c>
      <c r="B2590" t="s">
        <v>5455</v>
      </c>
      <c r="C2590" t="s">
        <v>1233</v>
      </c>
      <c r="D2590" t="s">
        <v>1027</v>
      </c>
      <c r="E2590">
        <v>63762</v>
      </c>
      <c r="F2590" t="s">
        <v>1234</v>
      </c>
      <c r="G2590" t="b">
        <v>0</v>
      </c>
      <c r="H2590" t="b">
        <v>0</v>
      </c>
      <c r="I2590" t="s">
        <v>1050</v>
      </c>
      <c r="J2590">
        <v>91</v>
      </c>
      <c r="K2590" t="s">
        <v>0</v>
      </c>
      <c r="L2590" t="s">
        <v>1167</v>
      </c>
      <c r="M2590" t="s">
        <v>1168</v>
      </c>
      <c r="N2590" t="s">
        <v>1169</v>
      </c>
      <c r="O2590" t="s">
        <v>1168</v>
      </c>
      <c r="P2590" t="s">
        <v>1235</v>
      </c>
    </row>
    <row r="2591" spans="1:16" x14ac:dyDescent="0.25">
      <c r="A2591" t="s">
        <v>5456</v>
      </c>
      <c r="B2591" t="s">
        <v>5457</v>
      </c>
      <c r="C2591" t="s">
        <v>1233</v>
      </c>
      <c r="D2591" t="s">
        <v>1027</v>
      </c>
      <c r="E2591">
        <v>63762</v>
      </c>
      <c r="F2591" t="s">
        <v>1234</v>
      </c>
      <c r="G2591" t="b">
        <v>0</v>
      </c>
      <c r="H2591" t="b">
        <v>0</v>
      </c>
      <c r="I2591" t="s">
        <v>1050</v>
      </c>
      <c r="J2591">
        <v>91</v>
      </c>
      <c r="K2591" t="s">
        <v>0</v>
      </c>
      <c r="L2591" t="s">
        <v>1167</v>
      </c>
      <c r="M2591" t="s">
        <v>1168</v>
      </c>
      <c r="N2591" t="s">
        <v>1169</v>
      </c>
      <c r="O2591" t="s">
        <v>1168</v>
      </c>
      <c r="P2591" t="s">
        <v>1235</v>
      </c>
    </row>
    <row r="2592" spans="1:16" x14ac:dyDescent="0.25">
      <c r="A2592" t="s">
        <v>5458</v>
      </c>
      <c r="B2592" t="s">
        <v>5459</v>
      </c>
      <c r="C2592" t="s">
        <v>1233</v>
      </c>
      <c r="D2592" t="s">
        <v>1027</v>
      </c>
      <c r="E2592">
        <v>63762</v>
      </c>
      <c r="F2592" t="s">
        <v>1234</v>
      </c>
      <c r="G2592" t="b">
        <v>0</v>
      </c>
      <c r="H2592" t="b">
        <v>0</v>
      </c>
      <c r="I2592" t="s">
        <v>1050</v>
      </c>
      <c r="J2592">
        <v>91</v>
      </c>
      <c r="K2592" t="s">
        <v>0</v>
      </c>
      <c r="L2592" t="s">
        <v>1167</v>
      </c>
      <c r="M2592" t="s">
        <v>1168</v>
      </c>
      <c r="N2592" t="s">
        <v>1169</v>
      </c>
      <c r="O2592" t="s">
        <v>1168</v>
      </c>
      <c r="P2592" t="s">
        <v>1235</v>
      </c>
    </row>
    <row r="2593" spans="1:16" x14ac:dyDescent="0.25">
      <c r="A2593" t="s">
        <v>5460</v>
      </c>
      <c r="B2593" t="s">
        <v>5461</v>
      </c>
      <c r="C2593" t="s">
        <v>1233</v>
      </c>
      <c r="D2593" t="s">
        <v>1027</v>
      </c>
      <c r="E2593">
        <v>63762</v>
      </c>
      <c r="F2593" t="s">
        <v>1234</v>
      </c>
      <c r="G2593" t="b">
        <v>0</v>
      </c>
      <c r="H2593" t="b">
        <v>0</v>
      </c>
      <c r="I2593" t="s">
        <v>1050</v>
      </c>
      <c r="J2593">
        <v>88</v>
      </c>
      <c r="K2593" t="s">
        <v>0</v>
      </c>
      <c r="L2593" t="s">
        <v>1167</v>
      </c>
      <c r="M2593" t="s">
        <v>1168</v>
      </c>
      <c r="N2593" t="s">
        <v>1169</v>
      </c>
      <c r="O2593" t="s">
        <v>1168</v>
      </c>
      <c r="P2593" t="s">
        <v>1235</v>
      </c>
    </row>
    <row r="2594" spans="1:16" x14ac:dyDescent="0.25">
      <c r="A2594" t="s">
        <v>5462</v>
      </c>
      <c r="B2594" t="s">
        <v>5463</v>
      </c>
      <c r="C2594" t="s">
        <v>1233</v>
      </c>
      <c r="D2594" t="s">
        <v>1027</v>
      </c>
      <c r="E2594">
        <v>63762</v>
      </c>
      <c r="F2594" t="s">
        <v>1234</v>
      </c>
      <c r="G2594" t="b">
        <v>0</v>
      </c>
      <c r="H2594" t="b">
        <v>0</v>
      </c>
      <c r="I2594" t="s">
        <v>1050</v>
      </c>
      <c r="J2594">
        <v>88</v>
      </c>
      <c r="K2594" t="s">
        <v>0</v>
      </c>
      <c r="L2594" t="s">
        <v>1167</v>
      </c>
      <c r="M2594" t="s">
        <v>1168</v>
      </c>
      <c r="N2594" t="s">
        <v>1169</v>
      </c>
      <c r="O2594" t="s">
        <v>1168</v>
      </c>
      <c r="P2594" t="s">
        <v>1235</v>
      </c>
    </row>
    <row r="2595" spans="1:16" x14ac:dyDescent="0.25">
      <c r="A2595" t="s">
        <v>5464</v>
      </c>
      <c r="B2595" t="s">
        <v>5465</v>
      </c>
      <c r="C2595" t="s">
        <v>1228</v>
      </c>
      <c r="D2595" t="s">
        <v>1027</v>
      </c>
      <c r="E2595">
        <v>1660</v>
      </c>
      <c r="F2595" t="s">
        <v>1229</v>
      </c>
      <c r="G2595" t="b">
        <v>0</v>
      </c>
      <c r="H2595" t="b">
        <v>0</v>
      </c>
      <c r="I2595" t="s">
        <v>1050</v>
      </c>
      <c r="J2595">
        <v>89</v>
      </c>
      <c r="K2595" t="s">
        <v>2</v>
      </c>
      <c r="L2595" t="s">
        <v>1167</v>
      </c>
      <c r="M2595" t="s">
        <v>1168</v>
      </c>
      <c r="N2595" t="s">
        <v>1169</v>
      </c>
      <c r="O2595" t="s">
        <v>1168</v>
      </c>
      <c r="P2595" t="s">
        <v>1230</v>
      </c>
    </row>
    <row r="2596" spans="1:16" x14ac:dyDescent="0.25">
      <c r="A2596" t="s">
        <v>5466</v>
      </c>
      <c r="B2596" t="s">
        <v>5467</v>
      </c>
      <c r="C2596" t="s">
        <v>1228</v>
      </c>
      <c r="D2596" t="s">
        <v>1027</v>
      </c>
      <c r="E2596">
        <v>1660</v>
      </c>
      <c r="F2596" t="s">
        <v>1229</v>
      </c>
      <c r="G2596" t="b">
        <v>0</v>
      </c>
      <c r="H2596" t="b">
        <v>0</v>
      </c>
      <c r="I2596" t="s">
        <v>1050</v>
      </c>
      <c r="J2596">
        <v>85</v>
      </c>
      <c r="K2596" t="s">
        <v>2</v>
      </c>
      <c r="L2596" t="s">
        <v>1167</v>
      </c>
      <c r="M2596" t="s">
        <v>1168</v>
      </c>
      <c r="N2596" t="s">
        <v>1169</v>
      </c>
      <c r="O2596" t="s">
        <v>1168</v>
      </c>
      <c r="P2596" t="s">
        <v>1230</v>
      </c>
    </row>
    <row r="2597" spans="1:16" x14ac:dyDescent="0.25">
      <c r="A2597" t="s">
        <v>5468</v>
      </c>
      <c r="B2597" t="s">
        <v>5469</v>
      </c>
      <c r="C2597" t="s">
        <v>1571</v>
      </c>
      <c r="D2597" t="s">
        <v>1027</v>
      </c>
      <c r="E2597">
        <v>63767</v>
      </c>
      <c r="G2597" t="b">
        <v>0</v>
      </c>
      <c r="H2597" t="b">
        <v>0</v>
      </c>
      <c r="I2597" t="s">
        <v>1050</v>
      </c>
      <c r="J2597">
        <v>80</v>
      </c>
      <c r="K2597" t="s">
        <v>0</v>
      </c>
      <c r="L2597" t="s">
        <v>1167</v>
      </c>
      <c r="M2597" t="s">
        <v>1168</v>
      </c>
      <c r="N2597" t="s">
        <v>1169</v>
      </c>
      <c r="O2597" t="s">
        <v>1168</v>
      </c>
      <c r="P2597" t="s">
        <v>1283</v>
      </c>
    </row>
    <row r="2598" spans="1:16" x14ac:dyDescent="0.25">
      <c r="A2598" t="s">
        <v>5470</v>
      </c>
      <c r="B2598" t="s">
        <v>5471</v>
      </c>
      <c r="C2598" t="s">
        <v>1571</v>
      </c>
      <c r="D2598" t="s">
        <v>1027</v>
      </c>
      <c r="E2598">
        <v>63767</v>
      </c>
      <c r="G2598" t="b">
        <v>0</v>
      </c>
      <c r="H2598" t="b">
        <v>0</v>
      </c>
      <c r="I2598" t="s">
        <v>1050</v>
      </c>
      <c r="J2598">
        <v>80</v>
      </c>
      <c r="K2598" t="s">
        <v>0</v>
      </c>
      <c r="L2598" t="s">
        <v>1167</v>
      </c>
      <c r="M2598" t="s">
        <v>1168</v>
      </c>
      <c r="N2598" t="s">
        <v>1169</v>
      </c>
      <c r="O2598" t="s">
        <v>1168</v>
      </c>
      <c r="P2598" t="s">
        <v>1283</v>
      </c>
    </row>
    <row r="2599" spans="1:16" x14ac:dyDescent="0.25">
      <c r="A2599" t="s">
        <v>5472</v>
      </c>
      <c r="B2599" t="s">
        <v>5473</v>
      </c>
      <c r="C2599" t="s">
        <v>1571</v>
      </c>
      <c r="D2599" t="s">
        <v>1027</v>
      </c>
      <c r="E2599">
        <v>63767</v>
      </c>
      <c r="G2599" t="b">
        <v>0</v>
      </c>
      <c r="H2599" t="b">
        <v>0</v>
      </c>
      <c r="I2599" t="s">
        <v>1050</v>
      </c>
      <c r="J2599">
        <v>87</v>
      </c>
      <c r="K2599" t="s">
        <v>0</v>
      </c>
      <c r="L2599" t="s">
        <v>1167</v>
      </c>
      <c r="M2599" t="s">
        <v>1168</v>
      </c>
      <c r="N2599" t="s">
        <v>1169</v>
      </c>
      <c r="O2599" t="s">
        <v>1168</v>
      </c>
      <c r="P2599" t="s">
        <v>1283</v>
      </c>
    </row>
    <row r="2600" spans="1:16" x14ac:dyDescent="0.25">
      <c r="A2600" t="s">
        <v>5474</v>
      </c>
      <c r="B2600" t="s">
        <v>5475</v>
      </c>
      <c r="C2600" t="s">
        <v>1233</v>
      </c>
      <c r="D2600" t="s">
        <v>1027</v>
      </c>
      <c r="E2600">
        <v>63762</v>
      </c>
      <c r="F2600" t="s">
        <v>1234</v>
      </c>
      <c r="G2600" t="b">
        <v>0</v>
      </c>
      <c r="H2600" t="b">
        <v>0</v>
      </c>
      <c r="I2600" t="s">
        <v>1050</v>
      </c>
      <c r="J2600">
        <v>80</v>
      </c>
      <c r="K2600" t="s">
        <v>0</v>
      </c>
      <c r="L2600" t="s">
        <v>1167</v>
      </c>
      <c r="M2600" t="s">
        <v>1168</v>
      </c>
      <c r="N2600" t="s">
        <v>1169</v>
      </c>
      <c r="O2600" t="s">
        <v>1168</v>
      </c>
      <c r="P2600" t="s">
        <v>1235</v>
      </c>
    </row>
    <row r="2601" spans="1:16" x14ac:dyDescent="0.25">
      <c r="A2601" t="s">
        <v>5476</v>
      </c>
      <c r="B2601" t="s">
        <v>5475</v>
      </c>
      <c r="C2601" t="s">
        <v>1233</v>
      </c>
      <c r="D2601" t="s">
        <v>1027</v>
      </c>
      <c r="E2601">
        <v>63762</v>
      </c>
      <c r="F2601" t="s">
        <v>1234</v>
      </c>
      <c r="G2601" t="b">
        <v>0</v>
      </c>
      <c r="H2601" t="b">
        <v>0</v>
      </c>
      <c r="I2601" t="s">
        <v>1050</v>
      </c>
      <c r="J2601">
        <v>80</v>
      </c>
      <c r="K2601" t="s">
        <v>0</v>
      </c>
      <c r="L2601" t="s">
        <v>1167</v>
      </c>
      <c r="M2601" t="s">
        <v>1168</v>
      </c>
      <c r="N2601" t="s">
        <v>1169</v>
      </c>
      <c r="O2601" t="s">
        <v>1168</v>
      </c>
      <c r="P2601" t="s">
        <v>1235</v>
      </c>
    </row>
    <row r="2602" spans="1:16" x14ac:dyDescent="0.25">
      <c r="A2602" t="s">
        <v>5477</v>
      </c>
      <c r="B2602" t="s">
        <v>5475</v>
      </c>
      <c r="C2602" t="s">
        <v>1233</v>
      </c>
      <c r="D2602" t="s">
        <v>1027</v>
      </c>
      <c r="E2602">
        <v>63762</v>
      </c>
      <c r="F2602" t="s">
        <v>1234</v>
      </c>
      <c r="G2602" t="b">
        <v>0</v>
      </c>
      <c r="H2602" t="b">
        <v>0</v>
      </c>
      <c r="I2602" t="s">
        <v>1050</v>
      </c>
      <c r="J2602">
        <v>80</v>
      </c>
      <c r="K2602" t="s">
        <v>0</v>
      </c>
      <c r="L2602" t="s">
        <v>1167</v>
      </c>
      <c r="M2602" t="s">
        <v>1168</v>
      </c>
      <c r="N2602" t="s">
        <v>1169</v>
      </c>
      <c r="O2602" t="s">
        <v>1168</v>
      </c>
      <c r="P2602" t="s">
        <v>1235</v>
      </c>
    </row>
    <row r="2603" spans="1:16" x14ac:dyDescent="0.25">
      <c r="A2603" t="s">
        <v>5478</v>
      </c>
      <c r="B2603" t="s">
        <v>5475</v>
      </c>
      <c r="C2603" t="s">
        <v>1233</v>
      </c>
      <c r="D2603" t="s">
        <v>1027</v>
      </c>
      <c r="E2603">
        <v>63762</v>
      </c>
      <c r="F2603" t="s">
        <v>1234</v>
      </c>
      <c r="G2603" t="b">
        <v>0</v>
      </c>
      <c r="H2603" t="b">
        <v>0</v>
      </c>
      <c r="I2603" t="s">
        <v>1050</v>
      </c>
      <c r="J2603">
        <v>80</v>
      </c>
      <c r="K2603" t="s">
        <v>0</v>
      </c>
      <c r="L2603" t="s">
        <v>1167</v>
      </c>
      <c r="M2603" t="s">
        <v>1168</v>
      </c>
      <c r="N2603" t="s">
        <v>1169</v>
      </c>
      <c r="O2603" t="s">
        <v>1168</v>
      </c>
      <c r="P2603" t="s">
        <v>1235</v>
      </c>
    </row>
    <row r="2604" spans="1:16" x14ac:dyDescent="0.25">
      <c r="A2604" t="s">
        <v>5479</v>
      </c>
      <c r="B2604" t="s">
        <v>5480</v>
      </c>
      <c r="C2604" t="s">
        <v>1233</v>
      </c>
      <c r="D2604" t="s">
        <v>1027</v>
      </c>
      <c r="E2604">
        <v>63762</v>
      </c>
      <c r="F2604" t="s">
        <v>1234</v>
      </c>
      <c r="G2604" t="b">
        <v>0</v>
      </c>
      <c r="H2604" t="b">
        <v>0</v>
      </c>
      <c r="I2604" t="s">
        <v>1050</v>
      </c>
      <c r="J2604">
        <v>87</v>
      </c>
      <c r="K2604" t="s">
        <v>0</v>
      </c>
      <c r="L2604" t="s">
        <v>1167</v>
      </c>
      <c r="M2604" t="s">
        <v>1168</v>
      </c>
      <c r="N2604" t="s">
        <v>1169</v>
      </c>
      <c r="O2604" t="s">
        <v>1168</v>
      </c>
      <c r="P2604" t="s">
        <v>1235</v>
      </c>
    </row>
    <row r="2605" spans="1:16" x14ac:dyDescent="0.25">
      <c r="A2605" t="s">
        <v>5481</v>
      </c>
      <c r="B2605" t="s">
        <v>5482</v>
      </c>
      <c r="C2605" t="s">
        <v>1571</v>
      </c>
      <c r="D2605" t="s">
        <v>1027</v>
      </c>
      <c r="E2605">
        <v>63767</v>
      </c>
      <c r="G2605" t="b">
        <v>0</v>
      </c>
      <c r="H2605" t="b">
        <v>0</v>
      </c>
      <c r="I2605" t="s">
        <v>1050</v>
      </c>
      <c r="J2605">
        <v>80</v>
      </c>
      <c r="K2605" t="s">
        <v>0</v>
      </c>
      <c r="L2605" t="s">
        <v>1167</v>
      </c>
      <c r="M2605" t="s">
        <v>1168</v>
      </c>
      <c r="N2605" t="s">
        <v>1169</v>
      </c>
      <c r="O2605" t="s">
        <v>1168</v>
      </c>
      <c r="P2605" t="s">
        <v>1283</v>
      </c>
    </row>
    <row r="2606" spans="1:16" x14ac:dyDescent="0.25">
      <c r="A2606" t="s">
        <v>5483</v>
      </c>
      <c r="B2606" t="s">
        <v>5484</v>
      </c>
      <c r="C2606" t="s">
        <v>1571</v>
      </c>
      <c r="D2606" t="s">
        <v>1027</v>
      </c>
      <c r="E2606">
        <v>63767</v>
      </c>
      <c r="G2606" t="b">
        <v>0</v>
      </c>
      <c r="H2606" t="b">
        <v>0</v>
      </c>
      <c r="I2606" t="s">
        <v>1050</v>
      </c>
      <c r="J2606">
        <v>80</v>
      </c>
      <c r="K2606" t="s">
        <v>0</v>
      </c>
      <c r="L2606" t="s">
        <v>1167</v>
      </c>
      <c r="M2606" t="s">
        <v>1168</v>
      </c>
      <c r="N2606" t="s">
        <v>1169</v>
      </c>
      <c r="O2606" t="s">
        <v>1168</v>
      </c>
      <c r="P2606" t="s">
        <v>1283</v>
      </c>
    </row>
    <row r="2607" spans="1:16" x14ac:dyDescent="0.25">
      <c r="A2607" t="s">
        <v>5485</v>
      </c>
      <c r="B2607" t="s">
        <v>5486</v>
      </c>
      <c r="C2607" t="s">
        <v>1571</v>
      </c>
      <c r="D2607" t="s">
        <v>1027</v>
      </c>
      <c r="E2607">
        <v>63767</v>
      </c>
      <c r="G2607" t="b">
        <v>0</v>
      </c>
      <c r="H2607" t="b">
        <v>0</v>
      </c>
      <c r="I2607" t="s">
        <v>1050</v>
      </c>
      <c r="J2607">
        <v>80</v>
      </c>
      <c r="K2607" t="s">
        <v>0</v>
      </c>
      <c r="L2607" t="s">
        <v>1167</v>
      </c>
      <c r="M2607" t="s">
        <v>1168</v>
      </c>
      <c r="N2607" t="s">
        <v>1169</v>
      </c>
      <c r="O2607" t="s">
        <v>1168</v>
      </c>
      <c r="P2607" t="s">
        <v>1283</v>
      </c>
    </row>
    <row r="2608" spans="1:16" x14ac:dyDescent="0.25">
      <c r="A2608" t="s">
        <v>5487</v>
      </c>
      <c r="B2608" t="s">
        <v>5488</v>
      </c>
      <c r="C2608" t="s">
        <v>1571</v>
      </c>
      <c r="D2608" t="s">
        <v>1027</v>
      </c>
      <c r="E2608">
        <v>63767</v>
      </c>
      <c r="G2608" t="b">
        <v>0</v>
      </c>
      <c r="H2608" t="b">
        <v>0</v>
      </c>
      <c r="I2608" t="s">
        <v>1050</v>
      </c>
      <c r="J2608">
        <v>80</v>
      </c>
      <c r="K2608" t="s">
        <v>0</v>
      </c>
      <c r="L2608" t="s">
        <v>1167</v>
      </c>
      <c r="M2608" t="s">
        <v>1168</v>
      </c>
      <c r="N2608" t="s">
        <v>1169</v>
      </c>
      <c r="O2608" t="s">
        <v>1168</v>
      </c>
      <c r="P2608" t="s">
        <v>1283</v>
      </c>
    </row>
    <row r="2609" spans="1:16" x14ac:dyDescent="0.25">
      <c r="A2609" t="s">
        <v>5489</v>
      </c>
      <c r="B2609" t="s">
        <v>5490</v>
      </c>
      <c r="C2609" t="s">
        <v>1571</v>
      </c>
      <c r="D2609" t="s">
        <v>1027</v>
      </c>
      <c r="E2609">
        <v>63767</v>
      </c>
      <c r="G2609" t="b">
        <v>0</v>
      </c>
      <c r="H2609" t="b">
        <v>0</v>
      </c>
      <c r="I2609" t="s">
        <v>1050</v>
      </c>
      <c r="J2609">
        <v>80</v>
      </c>
      <c r="K2609" t="s">
        <v>0</v>
      </c>
      <c r="L2609" t="s">
        <v>1167</v>
      </c>
      <c r="M2609" t="s">
        <v>1168</v>
      </c>
      <c r="N2609" t="s">
        <v>1169</v>
      </c>
      <c r="O2609" t="s">
        <v>1168</v>
      </c>
      <c r="P2609" t="s">
        <v>1283</v>
      </c>
    </row>
    <row r="2610" spans="1:16" x14ac:dyDescent="0.25">
      <c r="A2610" t="s">
        <v>5491</v>
      </c>
      <c r="B2610" t="s">
        <v>5492</v>
      </c>
      <c r="C2610" t="s">
        <v>1233</v>
      </c>
      <c r="D2610" t="s">
        <v>1027</v>
      </c>
      <c r="E2610">
        <v>63762</v>
      </c>
      <c r="F2610" t="s">
        <v>1234</v>
      </c>
      <c r="G2610" t="b">
        <v>0</v>
      </c>
      <c r="H2610" t="b">
        <v>0</v>
      </c>
      <c r="I2610" t="s">
        <v>1050</v>
      </c>
      <c r="J2610">
        <v>88</v>
      </c>
      <c r="K2610" t="s">
        <v>0</v>
      </c>
      <c r="L2610" t="s">
        <v>1167</v>
      </c>
      <c r="M2610" t="s">
        <v>1168</v>
      </c>
      <c r="N2610" t="s">
        <v>1169</v>
      </c>
      <c r="O2610" t="s">
        <v>1168</v>
      </c>
      <c r="P2610" t="s">
        <v>1235</v>
      </c>
    </row>
    <row r="2611" spans="1:16" x14ac:dyDescent="0.25">
      <c r="A2611" t="s">
        <v>5493</v>
      </c>
      <c r="B2611" t="s">
        <v>5494</v>
      </c>
      <c r="C2611" t="s">
        <v>1165</v>
      </c>
      <c r="D2611" t="s">
        <v>1027</v>
      </c>
      <c r="E2611">
        <v>63774</v>
      </c>
      <c r="F2611" t="s">
        <v>1166</v>
      </c>
      <c r="G2611" t="b">
        <v>0</v>
      </c>
      <c r="H2611" t="b">
        <v>0</v>
      </c>
      <c r="I2611" t="s">
        <v>1050</v>
      </c>
      <c r="J2611">
        <v>30</v>
      </c>
      <c r="K2611" t="s">
        <v>1</v>
      </c>
      <c r="L2611" t="s">
        <v>1167</v>
      </c>
      <c r="M2611" t="s">
        <v>1168</v>
      </c>
      <c r="N2611" t="s">
        <v>1169</v>
      </c>
      <c r="O2611" t="s">
        <v>1168</v>
      </c>
      <c r="P2611" t="s">
        <v>1170</v>
      </c>
    </row>
    <row r="2612" spans="1:16" x14ac:dyDescent="0.25">
      <c r="A2612" t="s">
        <v>5495</v>
      </c>
      <c r="B2612" t="s">
        <v>5494</v>
      </c>
      <c r="C2612" t="s">
        <v>1165</v>
      </c>
      <c r="D2612" t="s">
        <v>1027</v>
      </c>
      <c r="E2612">
        <v>63774</v>
      </c>
      <c r="F2612" t="s">
        <v>1166</v>
      </c>
      <c r="G2612" t="b">
        <v>0</v>
      </c>
      <c r="H2612" t="b">
        <v>0</v>
      </c>
      <c r="I2612" t="s">
        <v>1050</v>
      </c>
      <c r="J2612">
        <v>30</v>
      </c>
      <c r="K2612" t="s">
        <v>1</v>
      </c>
      <c r="L2612" t="s">
        <v>1167</v>
      </c>
      <c r="M2612" t="s">
        <v>1168</v>
      </c>
      <c r="N2612" t="s">
        <v>1169</v>
      </c>
      <c r="O2612" t="s">
        <v>1168</v>
      </c>
      <c r="P2612" t="s">
        <v>1170</v>
      </c>
    </row>
    <row r="2613" spans="1:16" x14ac:dyDescent="0.25">
      <c r="A2613" t="s">
        <v>5496</v>
      </c>
      <c r="B2613" t="s">
        <v>5497</v>
      </c>
      <c r="C2613" t="s">
        <v>1233</v>
      </c>
      <c r="D2613" t="s">
        <v>1027</v>
      </c>
      <c r="E2613">
        <v>63762</v>
      </c>
      <c r="F2613" t="s">
        <v>1234</v>
      </c>
      <c r="G2613" t="b">
        <v>0</v>
      </c>
      <c r="H2613" t="b">
        <v>0</v>
      </c>
      <c r="I2613" t="s">
        <v>1050</v>
      </c>
      <c r="J2613">
        <v>91</v>
      </c>
      <c r="K2613" t="s">
        <v>0</v>
      </c>
      <c r="L2613" t="s">
        <v>1167</v>
      </c>
      <c r="M2613" t="s">
        <v>1168</v>
      </c>
      <c r="N2613" t="s">
        <v>1169</v>
      </c>
      <c r="O2613" t="s">
        <v>1168</v>
      </c>
      <c r="P2613" t="s">
        <v>1235</v>
      </c>
    </row>
    <row r="2614" spans="1:16" x14ac:dyDescent="0.25">
      <c r="A2614" t="s">
        <v>5498</v>
      </c>
      <c r="B2614" t="s">
        <v>5499</v>
      </c>
      <c r="C2614" t="s">
        <v>1233</v>
      </c>
      <c r="D2614" t="s">
        <v>1027</v>
      </c>
      <c r="E2614">
        <v>63762</v>
      </c>
      <c r="F2614" t="s">
        <v>1234</v>
      </c>
      <c r="G2614" t="b">
        <v>0</v>
      </c>
      <c r="H2614" t="b">
        <v>0</v>
      </c>
      <c r="I2614" t="s">
        <v>1050</v>
      </c>
      <c r="J2614">
        <v>88</v>
      </c>
      <c r="K2614" t="s">
        <v>0</v>
      </c>
      <c r="L2614" t="s">
        <v>1167</v>
      </c>
      <c r="M2614" t="s">
        <v>1168</v>
      </c>
      <c r="N2614" t="s">
        <v>1169</v>
      </c>
      <c r="O2614" t="s">
        <v>1168</v>
      </c>
      <c r="P2614" t="s">
        <v>1235</v>
      </c>
    </row>
    <row r="2615" spans="1:16" x14ac:dyDescent="0.25">
      <c r="A2615" t="s">
        <v>5500</v>
      </c>
      <c r="B2615" t="s">
        <v>5501</v>
      </c>
      <c r="C2615" t="s">
        <v>1233</v>
      </c>
      <c r="D2615" t="s">
        <v>1027</v>
      </c>
      <c r="E2615">
        <v>63762</v>
      </c>
      <c r="F2615" t="s">
        <v>1234</v>
      </c>
      <c r="G2615" t="b">
        <v>0</v>
      </c>
      <c r="H2615" t="b">
        <v>0</v>
      </c>
      <c r="I2615" t="s">
        <v>1050</v>
      </c>
      <c r="J2615">
        <v>88</v>
      </c>
      <c r="K2615" t="s">
        <v>0</v>
      </c>
      <c r="L2615" t="s">
        <v>1167</v>
      </c>
      <c r="M2615" t="s">
        <v>1168</v>
      </c>
      <c r="N2615" t="s">
        <v>1169</v>
      </c>
      <c r="O2615" t="s">
        <v>1168</v>
      </c>
      <c r="P2615" t="s">
        <v>1235</v>
      </c>
    </row>
    <row r="2616" spans="1:16" x14ac:dyDescent="0.25">
      <c r="A2616" t="s">
        <v>5502</v>
      </c>
      <c r="B2616" t="s">
        <v>5499</v>
      </c>
      <c r="C2616" t="s">
        <v>1233</v>
      </c>
      <c r="D2616" t="s">
        <v>1027</v>
      </c>
      <c r="E2616">
        <v>63762</v>
      </c>
      <c r="F2616" t="s">
        <v>1234</v>
      </c>
      <c r="G2616" t="b">
        <v>0</v>
      </c>
      <c r="H2616" t="b">
        <v>0</v>
      </c>
      <c r="I2616" t="s">
        <v>1050</v>
      </c>
      <c r="J2616">
        <v>88</v>
      </c>
      <c r="K2616" t="s">
        <v>0</v>
      </c>
      <c r="L2616" t="s">
        <v>1167</v>
      </c>
      <c r="M2616" t="s">
        <v>1168</v>
      </c>
      <c r="N2616" t="s">
        <v>1169</v>
      </c>
      <c r="O2616" t="s">
        <v>1168</v>
      </c>
      <c r="P2616" t="s">
        <v>1235</v>
      </c>
    </row>
    <row r="2617" spans="1:16" x14ac:dyDescent="0.25">
      <c r="A2617" t="s">
        <v>5503</v>
      </c>
      <c r="B2617" t="s">
        <v>5504</v>
      </c>
      <c r="C2617" t="s">
        <v>1233</v>
      </c>
      <c r="D2617" t="s">
        <v>1027</v>
      </c>
      <c r="E2617">
        <v>63762</v>
      </c>
      <c r="F2617" t="s">
        <v>1234</v>
      </c>
      <c r="G2617" t="b">
        <v>0</v>
      </c>
      <c r="H2617" t="b">
        <v>0</v>
      </c>
      <c r="I2617" t="s">
        <v>1050</v>
      </c>
      <c r="J2617">
        <v>88</v>
      </c>
      <c r="K2617" t="s">
        <v>0</v>
      </c>
      <c r="L2617" t="s">
        <v>1167</v>
      </c>
      <c r="M2617" t="s">
        <v>1168</v>
      </c>
      <c r="N2617" t="s">
        <v>1169</v>
      </c>
      <c r="O2617" t="s">
        <v>1168</v>
      </c>
      <c r="P2617" t="s">
        <v>1235</v>
      </c>
    </row>
    <row r="2618" spans="1:16" x14ac:dyDescent="0.25">
      <c r="A2618" t="s">
        <v>5505</v>
      </c>
      <c r="B2618" t="s">
        <v>5506</v>
      </c>
      <c r="C2618" t="s">
        <v>1233</v>
      </c>
      <c r="D2618" t="s">
        <v>1027</v>
      </c>
      <c r="E2618">
        <v>63762</v>
      </c>
      <c r="F2618" t="s">
        <v>1234</v>
      </c>
      <c r="G2618" t="b">
        <v>0</v>
      </c>
      <c r="H2618" t="b">
        <v>0</v>
      </c>
      <c r="I2618" t="s">
        <v>1050</v>
      </c>
      <c r="J2618">
        <v>88</v>
      </c>
      <c r="K2618" t="s">
        <v>0</v>
      </c>
      <c r="L2618" t="s">
        <v>1167</v>
      </c>
      <c r="M2618" t="s">
        <v>1168</v>
      </c>
      <c r="N2618" t="s">
        <v>1169</v>
      </c>
      <c r="O2618" t="s">
        <v>1168</v>
      </c>
      <c r="P2618" t="s">
        <v>1235</v>
      </c>
    </row>
    <row r="2619" spans="1:16" x14ac:dyDescent="0.25">
      <c r="A2619" t="s">
        <v>5507</v>
      </c>
      <c r="B2619" t="s">
        <v>5508</v>
      </c>
      <c r="C2619" t="s">
        <v>1233</v>
      </c>
      <c r="D2619" t="s">
        <v>1027</v>
      </c>
      <c r="E2619">
        <v>63762</v>
      </c>
      <c r="F2619" t="s">
        <v>1234</v>
      </c>
      <c r="G2619" t="b">
        <v>0</v>
      </c>
      <c r="H2619" t="b">
        <v>0</v>
      </c>
      <c r="I2619" t="s">
        <v>1050</v>
      </c>
      <c r="J2619">
        <v>88</v>
      </c>
      <c r="K2619" t="s">
        <v>0</v>
      </c>
      <c r="L2619" t="s">
        <v>1167</v>
      </c>
      <c r="M2619" t="s">
        <v>1168</v>
      </c>
      <c r="N2619" t="s">
        <v>1169</v>
      </c>
      <c r="O2619" t="s">
        <v>1168</v>
      </c>
      <c r="P2619" t="s">
        <v>1235</v>
      </c>
    </row>
    <row r="2620" spans="1:16" x14ac:dyDescent="0.25">
      <c r="A2620" t="s">
        <v>5509</v>
      </c>
      <c r="B2620" t="s">
        <v>5510</v>
      </c>
      <c r="C2620" t="s">
        <v>1233</v>
      </c>
      <c r="D2620" t="s">
        <v>1027</v>
      </c>
      <c r="E2620">
        <v>63762</v>
      </c>
      <c r="F2620" t="s">
        <v>1234</v>
      </c>
      <c r="G2620" t="b">
        <v>0</v>
      </c>
      <c r="H2620" t="b">
        <v>0</v>
      </c>
      <c r="I2620" t="s">
        <v>1050</v>
      </c>
      <c r="J2620">
        <v>88</v>
      </c>
      <c r="K2620" t="s">
        <v>0</v>
      </c>
      <c r="L2620" t="s">
        <v>1167</v>
      </c>
      <c r="M2620" t="s">
        <v>1168</v>
      </c>
      <c r="N2620" t="s">
        <v>1169</v>
      </c>
      <c r="O2620" t="s">
        <v>1168</v>
      </c>
      <c r="P2620" t="s">
        <v>1235</v>
      </c>
    </row>
    <row r="2621" spans="1:16" x14ac:dyDescent="0.25">
      <c r="A2621" t="s">
        <v>5511</v>
      </c>
      <c r="B2621" t="s">
        <v>5508</v>
      </c>
      <c r="C2621" t="s">
        <v>1233</v>
      </c>
      <c r="D2621" t="s">
        <v>1027</v>
      </c>
      <c r="E2621">
        <v>63762</v>
      </c>
      <c r="F2621" t="s">
        <v>1234</v>
      </c>
      <c r="G2621" t="b">
        <v>0</v>
      </c>
      <c r="H2621" t="b">
        <v>0</v>
      </c>
      <c r="I2621" t="s">
        <v>1050</v>
      </c>
      <c r="J2621">
        <v>88</v>
      </c>
      <c r="K2621" t="s">
        <v>0</v>
      </c>
      <c r="L2621" t="s">
        <v>1167</v>
      </c>
      <c r="M2621" t="s">
        <v>1168</v>
      </c>
      <c r="N2621" t="s">
        <v>1169</v>
      </c>
      <c r="O2621" t="s">
        <v>1168</v>
      </c>
      <c r="P2621" t="s">
        <v>1235</v>
      </c>
    </row>
    <row r="2622" spans="1:16" x14ac:dyDescent="0.25">
      <c r="A2622" t="s">
        <v>5512</v>
      </c>
      <c r="B2622" t="s">
        <v>5513</v>
      </c>
      <c r="C2622" t="s">
        <v>1571</v>
      </c>
      <c r="D2622" t="s">
        <v>1027</v>
      </c>
      <c r="E2622">
        <v>63767</v>
      </c>
      <c r="G2622" t="b">
        <v>0</v>
      </c>
      <c r="H2622" t="b">
        <v>0</v>
      </c>
      <c r="I2622" t="s">
        <v>1050</v>
      </c>
      <c r="J2622">
        <v>80</v>
      </c>
      <c r="K2622" t="s">
        <v>0</v>
      </c>
      <c r="L2622" t="s">
        <v>1167</v>
      </c>
      <c r="M2622" t="s">
        <v>1168</v>
      </c>
      <c r="N2622" t="s">
        <v>1169</v>
      </c>
      <c r="O2622" t="s">
        <v>1168</v>
      </c>
      <c r="P2622" t="s">
        <v>1283</v>
      </c>
    </row>
    <row r="2623" spans="1:16" x14ac:dyDescent="0.25">
      <c r="A2623" t="s">
        <v>5514</v>
      </c>
      <c r="B2623" t="s">
        <v>5515</v>
      </c>
      <c r="C2623" t="s">
        <v>1571</v>
      </c>
      <c r="D2623" t="s">
        <v>1027</v>
      </c>
      <c r="E2623">
        <v>63767</v>
      </c>
      <c r="G2623" t="b">
        <v>0</v>
      </c>
      <c r="H2623" t="b">
        <v>0</v>
      </c>
      <c r="I2623" t="s">
        <v>1050</v>
      </c>
      <c r="J2623">
        <v>80</v>
      </c>
      <c r="K2623" t="s">
        <v>0</v>
      </c>
      <c r="L2623" t="s">
        <v>1167</v>
      </c>
      <c r="M2623" t="s">
        <v>1168</v>
      </c>
      <c r="N2623" t="s">
        <v>1169</v>
      </c>
      <c r="O2623" t="s">
        <v>1168</v>
      </c>
      <c r="P2623" t="s">
        <v>1283</v>
      </c>
    </row>
    <row r="2624" spans="1:16" x14ac:dyDescent="0.25">
      <c r="A2624" t="s">
        <v>5516</v>
      </c>
      <c r="B2624" t="s">
        <v>5517</v>
      </c>
      <c r="C2624" t="s">
        <v>3920</v>
      </c>
      <c r="D2624" t="s">
        <v>1027</v>
      </c>
      <c r="E2624">
        <v>1351</v>
      </c>
      <c r="F2624" t="s">
        <v>3921</v>
      </c>
      <c r="G2624" t="b">
        <v>0</v>
      </c>
      <c r="H2624" t="b">
        <v>0</v>
      </c>
      <c r="I2624" t="s">
        <v>1050</v>
      </c>
      <c r="J2624">
        <v>93</v>
      </c>
      <c r="K2624" t="s">
        <v>2</v>
      </c>
      <c r="L2624" t="s">
        <v>3922</v>
      </c>
      <c r="M2624" t="s">
        <v>1548</v>
      </c>
      <c r="N2624" t="s">
        <v>1548</v>
      </c>
      <c r="O2624" t="s">
        <v>1548</v>
      </c>
      <c r="P2624" t="s">
        <v>1434</v>
      </c>
    </row>
    <row r="2625" spans="1:16" x14ac:dyDescent="0.25">
      <c r="A2625" t="s">
        <v>5518</v>
      </c>
      <c r="B2625" t="s">
        <v>5519</v>
      </c>
      <c r="C2625" t="s">
        <v>1165</v>
      </c>
      <c r="D2625" t="s">
        <v>1027</v>
      </c>
      <c r="E2625">
        <v>63774</v>
      </c>
      <c r="F2625" t="s">
        <v>1166</v>
      </c>
      <c r="G2625" t="b">
        <v>0</v>
      </c>
      <c r="H2625" t="b">
        <v>0</v>
      </c>
      <c r="I2625" t="s">
        <v>1050</v>
      </c>
      <c r="J2625">
        <v>47</v>
      </c>
      <c r="K2625" t="s">
        <v>1</v>
      </c>
      <c r="L2625" t="s">
        <v>1167</v>
      </c>
      <c r="M2625" t="s">
        <v>1168</v>
      </c>
      <c r="N2625" t="s">
        <v>1169</v>
      </c>
      <c r="O2625" t="s">
        <v>1168</v>
      </c>
      <c r="P2625" t="s">
        <v>1170</v>
      </c>
    </row>
    <row r="2626" spans="1:16" x14ac:dyDescent="0.25">
      <c r="A2626" t="s">
        <v>5520</v>
      </c>
      <c r="B2626" t="s">
        <v>5521</v>
      </c>
      <c r="C2626" t="s">
        <v>1165</v>
      </c>
      <c r="D2626" t="s">
        <v>1027</v>
      </c>
      <c r="E2626">
        <v>63774</v>
      </c>
      <c r="F2626" t="s">
        <v>1166</v>
      </c>
      <c r="G2626" t="b">
        <v>0</v>
      </c>
      <c r="H2626" t="b">
        <v>0</v>
      </c>
      <c r="I2626" t="s">
        <v>1050</v>
      </c>
      <c r="J2626">
        <v>5</v>
      </c>
      <c r="K2626" t="s">
        <v>1</v>
      </c>
      <c r="L2626" t="s">
        <v>1167</v>
      </c>
      <c r="M2626" t="s">
        <v>1168</v>
      </c>
      <c r="N2626" t="s">
        <v>1169</v>
      </c>
      <c r="O2626" t="s">
        <v>1168</v>
      </c>
      <c r="P2626" t="s">
        <v>1170</v>
      </c>
    </row>
    <row r="2627" spans="1:16" x14ac:dyDescent="0.25">
      <c r="A2627" t="s">
        <v>5522</v>
      </c>
      <c r="B2627" t="s">
        <v>5523</v>
      </c>
      <c r="C2627" t="s">
        <v>1165</v>
      </c>
      <c r="D2627" t="s">
        <v>1027</v>
      </c>
      <c r="E2627">
        <v>63774</v>
      </c>
      <c r="F2627" t="s">
        <v>1166</v>
      </c>
      <c r="G2627" t="b">
        <v>0</v>
      </c>
      <c r="H2627" t="b">
        <v>0</v>
      </c>
      <c r="I2627" t="s">
        <v>1050</v>
      </c>
      <c r="J2627">
        <v>5</v>
      </c>
      <c r="K2627" t="s">
        <v>1</v>
      </c>
      <c r="L2627" t="s">
        <v>1167</v>
      </c>
      <c r="M2627" t="s">
        <v>1168</v>
      </c>
      <c r="N2627" t="s">
        <v>1169</v>
      </c>
      <c r="O2627" t="s">
        <v>1168</v>
      </c>
      <c r="P2627" t="s">
        <v>1170</v>
      </c>
    </row>
    <row r="2628" spans="1:16" x14ac:dyDescent="0.25">
      <c r="A2628" t="s">
        <v>5524</v>
      </c>
      <c r="B2628" t="s">
        <v>5525</v>
      </c>
      <c r="C2628" t="s">
        <v>1165</v>
      </c>
      <c r="D2628" t="s">
        <v>1027</v>
      </c>
      <c r="E2628">
        <v>63774</v>
      </c>
      <c r="F2628" t="s">
        <v>1166</v>
      </c>
      <c r="G2628" t="b">
        <v>0</v>
      </c>
      <c r="H2628" t="b">
        <v>0</v>
      </c>
      <c r="I2628" t="s">
        <v>1050</v>
      </c>
      <c r="J2628">
        <v>29</v>
      </c>
      <c r="K2628" t="s">
        <v>1</v>
      </c>
      <c r="L2628" t="s">
        <v>1167</v>
      </c>
      <c r="M2628" t="s">
        <v>1168</v>
      </c>
      <c r="N2628" t="s">
        <v>1169</v>
      </c>
      <c r="O2628" t="s">
        <v>1168</v>
      </c>
      <c r="P2628" t="s">
        <v>1170</v>
      </c>
    </row>
    <row r="2629" spans="1:16" x14ac:dyDescent="0.25">
      <c r="A2629" t="s">
        <v>5526</v>
      </c>
      <c r="B2629" t="s">
        <v>5527</v>
      </c>
      <c r="C2629" t="s">
        <v>1571</v>
      </c>
      <c r="D2629" t="s">
        <v>1027</v>
      </c>
      <c r="E2629">
        <v>63767</v>
      </c>
      <c r="G2629" t="b">
        <v>0</v>
      </c>
      <c r="H2629" t="b">
        <v>0</v>
      </c>
      <c r="I2629" t="s">
        <v>1050</v>
      </c>
      <c r="J2629">
        <v>87</v>
      </c>
      <c r="K2629" t="s">
        <v>0</v>
      </c>
      <c r="L2629" t="s">
        <v>1167</v>
      </c>
      <c r="M2629" t="s">
        <v>1168</v>
      </c>
      <c r="N2629" t="s">
        <v>1169</v>
      </c>
      <c r="O2629" t="s">
        <v>1168</v>
      </c>
      <c r="P2629" t="s">
        <v>1283</v>
      </c>
    </row>
    <row r="2630" spans="1:16" x14ac:dyDescent="0.25">
      <c r="A2630" t="s">
        <v>5528</v>
      </c>
      <c r="B2630" t="s">
        <v>5529</v>
      </c>
      <c r="C2630" t="s">
        <v>1571</v>
      </c>
      <c r="D2630" t="s">
        <v>1027</v>
      </c>
      <c r="E2630">
        <v>63767</v>
      </c>
      <c r="G2630" t="b">
        <v>0</v>
      </c>
      <c r="H2630" t="b">
        <v>0</v>
      </c>
      <c r="I2630" t="s">
        <v>1050</v>
      </c>
      <c r="J2630">
        <v>80</v>
      </c>
      <c r="K2630" t="s">
        <v>0</v>
      </c>
      <c r="L2630" t="s">
        <v>1167</v>
      </c>
      <c r="M2630" t="s">
        <v>1168</v>
      </c>
      <c r="N2630" t="s">
        <v>1169</v>
      </c>
      <c r="O2630" t="s">
        <v>1168</v>
      </c>
      <c r="P2630" t="s">
        <v>1283</v>
      </c>
    </row>
    <row r="2631" spans="1:16" x14ac:dyDescent="0.25">
      <c r="A2631" t="s">
        <v>5530</v>
      </c>
      <c r="B2631" t="s">
        <v>5531</v>
      </c>
      <c r="C2631" t="s">
        <v>1571</v>
      </c>
      <c r="D2631" t="s">
        <v>1027</v>
      </c>
      <c r="E2631">
        <v>63767</v>
      </c>
      <c r="G2631" t="b">
        <v>0</v>
      </c>
      <c r="H2631" t="b">
        <v>0</v>
      </c>
      <c r="I2631" t="s">
        <v>1050</v>
      </c>
      <c r="J2631">
        <v>80</v>
      </c>
      <c r="K2631" t="s">
        <v>0</v>
      </c>
      <c r="L2631" t="s">
        <v>1167</v>
      </c>
      <c r="M2631" t="s">
        <v>1168</v>
      </c>
      <c r="N2631" t="s">
        <v>1169</v>
      </c>
      <c r="O2631" t="s">
        <v>1168</v>
      </c>
      <c r="P2631" t="s">
        <v>1283</v>
      </c>
    </row>
    <row r="2632" spans="1:16" x14ac:dyDescent="0.25">
      <c r="A2632" t="s">
        <v>5532</v>
      </c>
      <c r="B2632" t="s">
        <v>5533</v>
      </c>
      <c r="C2632" t="s">
        <v>1165</v>
      </c>
      <c r="D2632" t="s">
        <v>1027</v>
      </c>
      <c r="E2632">
        <v>63774</v>
      </c>
      <c r="F2632" t="s">
        <v>1166</v>
      </c>
      <c r="G2632" t="b">
        <v>0</v>
      </c>
      <c r="H2632" t="b">
        <v>0</v>
      </c>
      <c r="I2632" t="s">
        <v>1050</v>
      </c>
      <c r="J2632">
        <v>30</v>
      </c>
      <c r="K2632" t="s">
        <v>1</v>
      </c>
      <c r="L2632" t="s">
        <v>1167</v>
      </c>
      <c r="M2632" t="s">
        <v>1168</v>
      </c>
      <c r="N2632" t="s">
        <v>1169</v>
      </c>
      <c r="O2632" t="s">
        <v>1168</v>
      </c>
      <c r="P2632" t="s">
        <v>1170</v>
      </c>
    </row>
    <row r="2633" spans="1:16" x14ac:dyDescent="0.25">
      <c r="A2633" t="s">
        <v>5534</v>
      </c>
      <c r="B2633" t="s">
        <v>5533</v>
      </c>
      <c r="C2633" t="s">
        <v>1165</v>
      </c>
      <c r="D2633" t="s">
        <v>1027</v>
      </c>
      <c r="E2633">
        <v>63774</v>
      </c>
      <c r="F2633" t="s">
        <v>1166</v>
      </c>
      <c r="G2633" t="b">
        <v>0</v>
      </c>
      <c r="H2633" t="b">
        <v>0</v>
      </c>
      <c r="I2633" t="s">
        <v>1050</v>
      </c>
      <c r="J2633">
        <v>30</v>
      </c>
      <c r="K2633" t="s">
        <v>1</v>
      </c>
      <c r="L2633" t="s">
        <v>1167</v>
      </c>
      <c r="M2633" t="s">
        <v>1168</v>
      </c>
      <c r="N2633" t="s">
        <v>1169</v>
      </c>
      <c r="O2633" t="s">
        <v>1168</v>
      </c>
      <c r="P2633" t="s">
        <v>1170</v>
      </c>
    </row>
    <row r="2634" spans="1:16" x14ac:dyDescent="0.25">
      <c r="A2634" t="s">
        <v>5535</v>
      </c>
      <c r="B2634" t="s">
        <v>5519</v>
      </c>
      <c r="C2634" t="s">
        <v>1165</v>
      </c>
      <c r="D2634" t="s">
        <v>1027</v>
      </c>
      <c r="E2634">
        <v>63774</v>
      </c>
      <c r="F2634" t="s">
        <v>1166</v>
      </c>
      <c r="G2634" t="b">
        <v>0</v>
      </c>
      <c r="H2634" t="b">
        <v>0</v>
      </c>
      <c r="I2634" t="s">
        <v>1050</v>
      </c>
      <c r="J2634">
        <v>47</v>
      </c>
      <c r="K2634" t="s">
        <v>1</v>
      </c>
      <c r="L2634" t="s">
        <v>1167</v>
      </c>
      <c r="M2634" t="s">
        <v>1168</v>
      </c>
      <c r="N2634" t="s">
        <v>1169</v>
      </c>
      <c r="O2634" t="s">
        <v>1168</v>
      </c>
      <c r="P2634" t="s">
        <v>1170</v>
      </c>
    </row>
    <row r="2635" spans="1:16" x14ac:dyDescent="0.25">
      <c r="A2635" t="s">
        <v>5536</v>
      </c>
      <c r="B2635" t="s">
        <v>5537</v>
      </c>
      <c r="C2635" t="s">
        <v>1165</v>
      </c>
      <c r="D2635" t="s">
        <v>1027</v>
      </c>
      <c r="E2635">
        <v>63774</v>
      </c>
      <c r="F2635" t="s">
        <v>1166</v>
      </c>
      <c r="G2635" t="b">
        <v>0</v>
      </c>
      <c r="H2635" t="b">
        <v>0</v>
      </c>
      <c r="I2635" t="s">
        <v>1050</v>
      </c>
      <c r="J2635">
        <v>60</v>
      </c>
      <c r="K2635" t="s">
        <v>1</v>
      </c>
      <c r="L2635" t="s">
        <v>1167</v>
      </c>
      <c r="M2635" t="s">
        <v>1168</v>
      </c>
      <c r="N2635" t="s">
        <v>1169</v>
      </c>
      <c r="O2635" t="s">
        <v>1168</v>
      </c>
      <c r="P2635" t="s">
        <v>1170</v>
      </c>
    </row>
    <row r="2636" spans="1:16" x14ac:dyDescent="0.25">
      <c r="A2636" t="s">
        <v>5538</v>
      </c>
      <c r="B2636" t="s">
        <v>5539</v>
      </c>
      <c r="C2636" t="s">
        <v>1165</v>
      </c>
      <c r="D2636" t="s">
        <v>1027</v>
      </c>
      <c r="E2636">
        <v>63774</v>
      </c>
      <c r="F2636" t="s">
        <v>1166</v>
      </c>
      <c r="G2636" t="b">
        <v>0</v>
      </c>
      <c r="H2636" t="b">
        <v>0</v>
      </c>
      <c r="I2636" t="s">
        <v>1050</v>
      </c>
      <c r="J2636">
        <v>60</v>
      </c>
      <c r="K2636" t="s">
        <v>1</v>
      </c>
      <c r="L2636" t="s">
        <v>1167</v>
      </c>
      <c r="M2636" t="s">
        <v>1168</v>
      </c>
      <c r="N2636" t="s">
        <v>1169</v>
      </c>
      <c r="O2636" t="s">
        <v>1168</v>
      </c>
      <c r="P2636" t="s">
        <v>1170</v>
      </c>
    </row>
    <row r="2637" spans="1:16" x14ac:dyDescent="0.25">
      <c r="A2637" t="s">
        <v>5540</v>
      </c>
      <c r="B2637" t="s">
        <v>5541</v>
      </c>
      <c r="C2637" t="s">
        <v>1165</v>
      </c>
      <c r="D2637" t="s">
        <v>1027</v>
      </c>
      <c r="E2637">
        <v>63774</v>
      </c>
      <c r="F2637" t="s">
        <v>1166</v>
      </c>
      <c r="G2637" t="b">
        <v>0</v>
      </c>
      <c r="H2637" t="b">
        <v>0</v>
      </c>
      <c r="I2637" t="s">
        <v>1050</v>
      </c>
      <c r="J2637">
        <v>60</v>
      </c>
      <c r="K2637" t="s">
        <v>1</v>
      </c>
      <c r="L2637" t="s">
        <v>1167</v>
      </c>
      <c r="M2637" t="s">
        <v>1168</v>
      </c>
      <c r="N2637" t="s">
        <v>1169</v>
      </c>
      <c r="O2637" t="s">
        <v>1168</v>
      </c>
      <c r="P2637" t="s">
        <v>1170</v>
      </c>
    </row>
    <row r="2638" spans="1:16" x14ac:dyDescent="0.25">
      <c r="A2638" t="s">
        <v>5542</v>
      </c>
      <c r="B2638" t="s">
        <v>5543</v>
      </c>
      <c r="C2638" t="s">
        <v>1233</v>
      </c>
      <c r="D2638" t="s">
        <v>1027</v>
      </c>
      <c r="E2638">
        <v>63762</v>
      </c>
      <c r="F2638" t="s">
        <v>1234</v>
      </c>
      <c r="G2638" t="b">
        <v>0</v>
      </c>
      <c r="H2638" t="b">
        <v>0</v>
      </c>
      <c r="I2638" t="s">
        <v>1050</v>
      </c>
      <c r="J2638">
        <v>88</v>
      </c>
      <c r="K2638" t="s">
        <v>0</v>
      </c>
      <c r="L2638" t="s">
        <v>1167</v>
      </c>
      <c r="M2638" t="s">
        <v>1168</v>
      </c>
      <c r="N2638" t="s">
        <v>1169</v>
      </c>
      <c r="O2638" t="s">
        <v>1168</v>
      </c>
      <c r="P2638" t="s">
        <v>1235</v>
      </c>
    </row>
    <row r="2639" spans="1:16" x14ac:dyDescent="0.25">
      <c r="A2639" t="s">
        <v>5544</v>
      </c>
      <c r="B2639" t="s">
        <v>5543</v>
      </c>
      <c r="C2639" t="s">
        <v>1233</v>
      </c>
      <c r="D2639" t="s">
        <v>1027</v>
      </c>
      <c r="E2639">
        <v>63762</v>
      </c>
      <c r="F2639" t="s">
        <v>1234</v>
      </c>
      <c r="G2639" t="b">
        <v>0</v>
      </c>
      <c r="H2639" t="b">
        <v>0</v>
      </c>
      <c r="I2639" t="s">
        <v>1050</v>
      </c>
      <c r="J2639">
        <v>88</v>
      </c>
      <c r="K2639" t="s">
        <v>0</v>
      </c>
      <c r="L2639" t="s">
        <v>1167</v>
      </c>
      <c r="M2639" t="s">
        <v>1168</v>
      </c>
      <c r="N2639" t="s">
        <v>1169</v>
      </c>
      <c r="O2639" t="s">
        <v>1168</v>
      </c>
      <c r="P2639" t="s">
        <v>1235</v>
      </c>
    </row>
    <row r="2640" spans="1:16" x14ac:dyDescent="0.25">
      <c r="A2640" t="s">
        <v>5545</v>
      </c>
      <c r="B2640" t="s">
        <v>5546</v>
      </c>
      <c r="C2640" t="s">
        <v>1233</v>
      </c>
      <c r="D2640" t="s">
        <v>1027</v>
      </c>
      <c r="E2640">
        <v>63762</v>
      </c>
      <c r="F2640" t="s">
        <v>1234</v>
      </c>
      <c r="G2640" t="b">
        <v>0</v>
      </c>
      <c r="H2640" t="b">
        <v>0</v>
      </c>
      <c r="I2640" t="s">
        <v>1050</v>
      </c>
      <c r="J2640">
        <v>88</v>
      </c>
      <c r="K2640" t="s">
        <v>0</v>
      </c>
      <c r="L2640" t="s">
        <v>1167</v>
      </c>
      <c r="M2640" t="s">
        <v>1168</v>
      </c>
      <c r="N2640" t="s">
        <v>1169</v>
      </c>
      <c r="O2640" t="s">
        <v>1168</v>
      </c>
      <c r="P2640" t="s">
        <v>1235</v>
      </c>
    </row>
    <row r="2641" spans="1:16" x14ac:dyDescent="0.25">
      <c r="A2641" t="s">
        <v>5547</v>
      </c>
      <c r="B2641" t="s">
        <v>5548</v>
      </c>
      <c r="C2641" t="s">
        <v>1233</v>
      </c>
      <c r="D2641" t="s">
        <v>1027</v>
      </c>
      <c r="E2641">
        <v>63762</v>
      </c>
      <c r="F2641" t="s">
        <v>1234</v>
      </c>
      <c r="G2641" t="b">
        <v>0</v>
      </c>
      <c r="H2641" t="b">
        <v>0</v>
      </c>
      <c r="I2641" t="s">
        <v>1050</v>
      </c>
      <c r="J2641">
        <v>88</v>
      </c>
      <c r="K2641" t="s">
        <v>0</v>
      </c>
      <c r="L2641" t="s">
        <v>1167</v>
      </c>
      <c r="M2641" t="s">
        <v>1168</v>
      </c>
      <c r="N2641" t="s">
        <v>1169</v>
      </c>
      <c r="O2641" t="s">
        <v>1168</v>
      </c>
      <c r="P2641" t="s">
        <v>1235</v>
      </c>
    </row>
    <row r="2642" spans="1:16" x14ac:dyDescent="0.25">
      <c r="A2642" t="s">
        <v>5549</v>
      </c>
      <c r="B2642" t="s">
        <v>5550</v>
      </c>
      <c r="C2642" t="s">
        <v>1571</v>
      </c>
      <c r="D2642" t="s">
        <v>1027</v>
      </c>
      <c r="E2642">
        <v>63767</v>
      </c>
      <c r="G2642" t="b">
        <v>0</v>
      </c>
      <c r="H2642" t="b">
        <v>0</v>
      </c>
      <c r="I2642" t="s">
        <v>1050</v>
      </c>
      <c r="J2642">
        <v>80</v>
      </c>
      <c r="K2642" t="s">
        <v>0</v>
      </c>
      <c r="L2642" t="s">
        <v>1167</v>
      </c>
      <c r="M2642" t="s">
        <v>1168</v>
      </c>
      <c r="N2642" t="s">
        <v>1169</v>
      </c>
      <c r="O2642" t="s">
        <v>1168</v>
      </c>
      <c r="P2642" t="s">
        <v>1283</v>
      </c>
    </row>
    <row r="2643" spans="1:16" x14ac:dyDescent="0.25">
      <c r="A2643" t="s">
        <v>5551</v>
      </c>
      <c r="B2643" t="s">
        <v>5552</v>
      </c>
      <c r="C2643" t="s">
        <v>1233</v>
      </c>
      <c r="D2643" t="s">
        <v>1027</v>
      </c>
      <c r="E2643">
        <v>63762</v>
      </c>
      <c r="F2643" t="s">
        <v>1234</v>
      </c>
      <c r="G2643" t="b">
        <v>0</v>
      </c>
      <c r="H2643" t="b">
        <v>0</v>
      </c>
      <c r="I2643" t="s">
        <v>1050</v>
      </c>
      <c r="J2643">
        <v>80</v>
      </c>
      <c r="K2643" t="s">
        <v>0</v>
      </c>
      <c r="L2643" t="s">
        <v>1167</v>
      </c>
      <c r="M2643" t="s">
        <v>1168</v>
      </c>
      <c r="N2643" t="s">
        <v>1169</v>
      </c>
      <c r="O2643" t="s">
        <v>1168</v>
      </c>
      <c r="P2643" t="s">
        <v>1235</v>
      </c>
    </row>
    <row r="2644" spans="1:16" x14ac:dyDescent="0.25">
      <c r="A2644" t="s">
        <v>5553</v>
      </c>
      <c r="B2644" t="s">
        <v>5552</v>
      </c>
      <c r="C2644" t="s">
        <v>1233</v>
      </c>
      <c r="D2644" t="s">
        <v>1027</v>
      </c>
      <c r="E2644">
        <v>63762</v>
      </c>
      <c r="F2644" t="s">
        <v>1234</v>
      </c>
      <c r="G2644" t="b">
        <v>0</v>
      </c>
      <c r="H2644" t="b">
        <v>0</v>
      </c>
      <c r="I2644" t="s">
        <v>1050</v>
      </c>
      <c r="J2644">
        <v>80</v>
      </c>
      <c r="K2644" t="s">
        <v>0</v>
      </c>
      <c r="L2644" t="s">
        <v>1167</v>
      </c>
      <c r="M2644" t="s">
        <v>1168</v>
      </c>
      <c r="N2644" t="s">
        <v>1169</v>
      </c>
      <c r="O2644" t="s">
        <v>1168</v>
      </c>
      <c r="P2644" t="s">
        <v>1235</v>
      </c>
    </row>
    <row r="2645" spans="1:16" x14ac:dyDescent="0.25">
      <c r="A2645" t="s">
        <v>5554</v>
      </c>
      <c r="B2645" t="s">
        <v>5555</v>
      </c>
      <c r="C2645" t="s">
        <v>1233</v>
      </c>
      <c r="D2645" t="s">
        <v>1027</v>
      </c>
      <c r="E2645">
        <v>63762</v>
      </c>
      <c r="F2645" t="s">
        <v>1234</v>
      </c>
      <c r="G2645" t="b">
        <v>0</v>
      </c>
      <c r="H2645" t="b">
        <v>0</v>
      </c>
      <c r="I2645" t="s">
        <v>1050</v>
      </c>
      <c r="J2645">
        <v>87</v>
      </c>
      <c r="K2645" t="s">
        <v>0</v>
      </c>
      <c r="L2645" t="s">
        <v>1167</v>
      </c>
      <c r="M2645" t="s">
        <v>1168</v>
      </c>
      <c r="N2645" t="s">
        <v>1169</v>
      </c>
      <c r="O2645" t="s">
        <v>1168</v>
      </c>
      <c r="P2645" t="s">
        <v>1235</v>
      </c>
    </row>
    <row r="2646" spans="1:16" x14ac:dyDescent="0.25">
      <c r="A2646" t="s">
        <v>5556</v>
      </c>
      <c r="B2646" t="s">
        <v>5557</v>
      </c>
      <c r="C2646" t="s">
        <v>1233</v>
      </c>
      <c r="D2646" t="s">
        <v>1027</v>
      </c>
      <c r="E2646">
        <v>63762</v>
      </c>
      <c r="F2646" t="s">
        <v>1234</v>
      </c>
      <c r="G2646" t="b">
        <v>0</v>
      </c>
      <c r="H2646" t="b">
        <v>0</v>
      </c>
      <c r="I2646" t="s">
        <v>1050</v>
      </c>
      <c r="J2646">
        <v>87</v>
      </c>
      <c r="K2646" t="s">
        <v>0</v>
      </c>
      <c r="L2646" t="s">
        <v>1167</v>
      </c>
      <c r="M2646" t="s">
        <v>1168</v>
      </c>
      <c r="N2646" t="s">
        <v>1169</v>
      </c>
      <c r="O2646" t="s">
        <v>1168</v>
      </c>
      <c r="P2646" t="s">
        <v>1235</v>
      </c>
    </row>
    <row r="2647" spans="1:16" x14ac:dyDescent="0.25">
      <c r="A2647" t="s">
        <v>5558</v>
      </c>
      <c r="B2647" t="s">
        <v>5559</v>
      </c>
      <c r="C2647" t="s">
        <v>1233</v>
      </c>
      <c r="D2647" t="s">
        <v>1027</v>
      </c>
      <c r="E2647">
        <v>63762</v>
      </c>
      <c r="F2647" t="s">
        <v>1234</v>
      </c>
      <c r="G2647" t="b">
        <v>0</v>
      </c>
      <c r="H2647" t="b">
        <v>0</v>
      </c>
      <c r="I2647" t="s">
        <v>1050</v>
      </c>
      <c r="J2647">
        <v>87</v>
      </c>
      <c r="K2647" t="s">
        <v>0</v>
      </c>
      <c r="L2647" t="s">
        <v>1167</v>
      </c>
      <c r="M2647" t="s">
        <v>1168</v>
      </c>
      <c r="N2647" t="s">
        <v>1169</v>
      </c>
      <c r="O2647" t="s">
        <v>1168</v>
      </c>
      <c r="P2647" t="s">
        <v>1235</v>
      </c>
    </row>
    <row r="2648" spans="1:16" x14ac:dyDescent="0.25">
      <c r="A2648" t="s">
        <v>5560</v>
      </c>
      <c r="B2648" t="s">
        <v>5561</v>
      </c>
      <c r="C2648" t="s">
        <v>1165</v>
      </c>
      <c r="D2648" t="s">
        <v>1027</v>
      </c>
      <c r="E2648">
        <v>63774</v>
      </c>
      <c r="F2648" t="s">
        <v>1166</v>
      </c>
      <c r="G2648" t="b">
        <v>0</v>
      </c>
      <c r="H2648" t="b">
        <v>0</v>
      </c>
      <c r="I2648" t="s">
        <v>1050</v>
      </c>
      <c r="J2648">
        <v>28</v>
      </c>
      <c r="K2648" t="s">
        <v>1</v>
      </c>
      <c r="L2648" t="s">
        <v>1167</v>
      </c>
      <c r="M2648" t="s">
        <v>1168</v>
      </c>
      <c r="N2648" t="s">
        <v>1169</v>
      </c>
      <c r="O2648" t="s">
        <v>1168</v>
      </c>
      <c r="P2648" t="s">
        <v>1170</v>
      </c>
    </row>
    <row r="2649" spans="1:16" x14ac:dyDescent="0.25">
      <c r="A2649" t="s">
        <v>5562</v>
      </c>
      <c r="B2649" t="s">
        <v>5561</v>
      </c>
      <c r="C2649" t="s">
        <v>1165</v>
      </c>
      <c r="D2649" t="s">
        <v>1027</v>
      </c>
      <c r="E2649">
        <v>63774</v>
      </c>
      <c r="F2649" t="s">
        <v>1166</v>
      </c>
      <c r="G2649" t="b">
        <v>0</v>
      </c>
      <c r="H2649" t="b">
        <v>0</v>
      </c>
      <c r="I2649" t="s">
        <v>1050</v>
      </c>
      <c r="J2649">
        <v>28</v>
      </c>
      <c r="K2649" t="s">
        <v>1</v>
      </c>
      <c r="L2649" t="s">
        <v>1167</v>
      </c>
      <c r="M2649" t="s">
        <v>1168</v>
      </c>
      <c r="N2649" t="s">
        <v>1169</v>
      </c>
      <c r="O2649" t="s">
        <v>1168</v>
      </c>
      <c r="P2649" t="s">
        <v>1170</v>
      </c>
    </row>
    <row r="2650" spans="1:16" x14ac:dyDescent="0.25">
      <c r="A2650" t="s">
        <v>5563</v>
      </c>
      <c r="B2650" t="s">
        <v>5561</v>
      </c>
      <c r="C2650" t="s">
        <v>1165</v>
      </c>
      <c r="D2650" t="s">
        <v>1027</v>
      </c>
      <c r="E2650">
        <v>63774</v>
      </c>
      <c r="F2650" t="s">
        <v>1166</v>
      </c>
      <c r="G2650" t="b">
        <v>0</v>
      </c>
      <c r="H2650" t="b">
        <v>0</v>
      </c>
      <c r="I2650" t="s">
        <v>1050</v>
      </c>
      <c r="J2650">
        <v>28</v>
      </c>
      <c r="K2650" t="s">
        <v>1</v>
      </c>
      <c r="L2650" t="s">
        <v>1167</v>
      </c>
      <c r="M2650" t="s">
        <v>1168</v>
      </c>
      <c r="N2650" t="s">
        <v>1169</v>
      </c>
      <c r="O2650" t="s">
        <v>1168</v>
      </c>
      <c r="P2650" t="s">
        <v>1170</v>
      </c>
    </row>
    <row r="2651" spans="1:16" x14ac:dyDescent="0.25">
      <c r="A2651" t="s">
        <v>5564</v>
      </c>
      <c r="B2651" t="s">
        <v>5561</v>
      </c>
      <c r="C2651" t="s">
        <v>1165</v>
      </c>
      <c r="D2651" t="s">
        <v>1027</v>
      </c>
      <c r="E2651">
        <v>63774</v>
      </c>
      <c r="F2651" t="s">
        <v>1166</v>
      </c>
      <c r="G2651" t="b">
        <v>0</v>
      </c>
      <c r="H2651" t="b">
        <v>0</v>
      </c>
      <c r="I2651" t="s">
        <v>1050</v>
      </c>
      <c r="J2651">
        <v>28</v>
      </c>
      <c r="K2651" t="s">
        <v>1</v>
      </c>
      <c r="L2651" t="s">
        <v>1167</v>
      </c>
      <c r="M2651" t="s">
        <v>1168</v>
      </c>
      <c r="N2651" t="s">
        <v>1169</v>
      </c>
      <c r="O2651" t="s">
        <v>1168</v>
      </c>
      <c r="P2651" t="s">
        <v>1170</v>
      </c>
    </row>
    <row r="2652" spans="1:16" x14ac:dyDescent="0.25">
      <c r="A2652" t="s">
        <v>5565</v>
      </c>
      <c r="B2652" t="s">
        <v>5566</v>
      </c>
      <c r="C2652" t="s">
        <v>1571</v>
      </c>
      <c r="D2652" t="s">
        <v>1027</v>
      </c>
      <c r="E2652">
        <v>63767</v>
      </c>
      <c r="G2652" t="b">
        <v>0</v>
      </c>
      <c r="H2652" t="b">
        <v>0</v>
      </c>
      <c r="I2652" t="s">
        <v>1050</v>
      </c>
      <c r="J2652">
        <v>87</v>
      </c>
      <c r="K2652" t="s">
        <v>0</v>
      </c>
      <c r="L2652" t="s">
        <v>1167</v>
      </c>
      <c r="M2652" t="s">
        <v>1168</v>
      </c>
      <c r="N2652" t="s">
        <v>1169</v>
      </c>
      <c r="O2652" t="s">
        <v>1168</v>
      </c>
      <c r="P2652" t="s">
        <v>1283</v>
      </c>
    </row>
    <row r="2653" spans="1:16" x14ac:dyDescent="0.25">
      <c r="A2653" t="s">
        <v>5567</v>
      </c>
      <c r="B2653" t="s">
        <v>5566</v>
      </c>
      <c r="C2653" t="s">
        <v>1571</v>
      </c>
      <c r="D2653" t="s">
        <v>1027</v>
      </c>
      <c r="E2653">
        <v>63767</v>
      </c>
      <c r="G2653" t="b">
        <v>0</v>
      </c>
      <c r="H2653" t="b">
        <v>0</v>
      </c>
      <c r="I2653" t="s">
        <v>1050</v>
      </c>
      <c r="J2653">
        <v>87</v>
      </c>
      <c r="K2653" t="s">
        <v>0</v>
      </c>
      <c r="L2653" t="s">
        <v>1167</v>
      </c>
      <c r="M2653" t="s">
        <v>1168</v>
      </c>
      <c r="N2653" t="s">
        <v>1169</v>
      </c>
      <c r="O2653" t="s">
        <v>1168</v>
      </c>
      <c r="P2653" t="s">
        <v>1283</v>
      </c>
    </row>
    <row r="2654" spans="1:16" x14ac:dyDescent="0.25">
      <c r="A2654" t="s">
        <v>5568</v>
      </c>
      <c r="B2654" t="s">
        <v>5569</v>
      </c>
      <c r="C2654" t="s">
        <v>1571</v>
      </c>
      <c r="D2654" t="s">
        <v>1027</v>
      </c>
      <c r="E2654">
        <v>63767</v>
      </c>
      <c r="G2654" t="b">
        <v>0</v>
      </c>
      <c r="H2654" t="b">
        <v>0</v>
      </c>
      <c r="I2654" t="s">
        <v>1050</v>
      </c>
      <c r="J2654">
        <v>87</v>
      </c>
      <c r="K2654" t="s">
        <v>0</v>
      </c>
      <c r="L2654" t="s">
        <v>1167</v>
      </c>
      <c r="M2654" t="s">
        <v>1168</v>
      </c>
      <c r="N2654" t="s">
        <v>1169</v>
      </c>
      <c r="O2654" t="s">
        <v>1168</v>
      </c>
      <c r="P2654" t="s">
        <v>1283</v>
      </c>
    </row>
    <row r="2655" spans="1:16" x14ac:dyDescent="0.25">
      <c r="A2655" t="s">
        <v>5570</v>
      </c>
      <c r="B2655" t="s">
        <v>5571</v>
      </c>
      <c r="C2655" t="s">
        <v>1571</v>
      </c>
      <c r="D2655" t="s">
        <v>1027</v>
      </c>
      <c r="E2655">
        <v>63767</v>
      </c>
      <c r="G2655" t="b">
        <v>0</v>
      </c>
      <c r="H2655" t="b">
        <v>0</v>
      </c>
      <c r="I2655" t="s">
        <v>1050</v>
      </c>
      <c r="J2655">
        <v>87</v>
      </c>
      <c r="K2655" t="s">
        <v>0</v>
      </c>
      <c r="L2655" t="s">
        <v>1167</v>
      </c>
      <c r="M2655" t="s">
        <v>1168</v>
      </c>
      <c r="N2655" t="s">
        <v>1169</v>
      </c>
      <c r="O2655" t="s">
        <v>1168</v>
      </c>
      <c r="P2655" t="s">
        <v>1283</v>
      </c>
    </row>
    <row r="2656" spans="1:16" x14ac:dyDescent="0.25">
      <c r="A2656" t="s">
        <v>5572</v>
      </c>
      <c r="B2656" t="s">
        <v>5571</v>
      </c>
      <c r="C2656" t="s">
        <v>1571</v>
      </c>
      <c r="D2656" t="s">
        <v>1027</v>
      </c>
      <c r="E2656">
        <v>63767</v>
      </c>
      <c r="G2656" t="b">
        <v>0</v>
      </c>
      <c r="H2656" t="b">
        <v>0</v>
      </c>
      <c r="I2656" t="s">
        <v>1050</v>
      </c>
      <c r="J2656">
        <v>87</v>
      </c>
      <c r="K2656" t="s">
        <v>0</v>
      </c>
      <c r="L2656" t="s">
        <v>1167</v>
      </c>
      <c r="M2656" t="s">
        <v>1168</v>
      </c>
      <c r="N2656" t="s">
        <v>1169</v>
      </c>
      <c r="O2656" t="s">
        <v>1168</v>
      </c>
      <c r="P2656" t="s">
        <v>1283</v>
      </c>
    </row>
    <row r="2657" spans="1:16" x14ac:dyDescent="0.25">
      <c r="A2657" t="s">
        <v>5573</v>
      </c>
      <c r="B2657" t="s">
        <v>5574</v>
      </c>
      <c r="C2657" t="s">
        <v>1571</v>
      </c>
      <c r="D2657" t="s">
        <v>1027</v>
      </c>
      <c r="E2657">
        <v>63767</v>
      </c>
      <c r="G2657" t="b">
        <v>0</v>
      </c>
      <c r="H2657" t="b">
        <v>0</v>
      </c>
      <c r="I2657" t="s">
        <v>1050</v>
      </c>
      <c r="J2657">
        <v>87</v>
      </c>
      <c r="K2657" t="s">
        <v>0</v>
      </c>
      <c r="L2657" t="s">
        <v>1167</v>
      </c>
      <c r="M2657" t="s">
        <v>1168</v>
      </c>
      <c r="N2657" t="s">
        <v>1169</v>
      </c>
      <c r="O2657" t="s">
        <v>1168</v>
      </c>
      <c r="P2657" t="s">
        <v>1283</v>
      </c>
    </row>
    <row r="2658" spans="1:16" x14ac:dyDescent="0.25">
      <c r="A2658" t="s">
        <v>5575</v>
      </c>
      <c r="B2658" t="s">
        <v>5576</v>
      </c>
      <c r="C2658" t="s">
        <v>1571</v>
      </c>
      <c r="D2658" t="s">
        <v>1027</v>
      </c>
      <c r="E2658">
        <v>63767</v>
      </c>
      <c r="G2658" t="b">
        <v>0</v>
      </c>
      <c r="H2658" t="b">
        <v>0</v>
      </c>
      <c r="I2658" t="s">
        <v>1050</v>
      </c>
      <c r="J2658">
        <v>87</v>
      </c>
      <c r="K2658" t="s">
        <v>0</v>
      </c>
      <c r="L2658" t="s">
        <v>1167</v>
      </c>
      <c r="M2658" t="s">
        <v>1168</v>
      </c>
      <c r="N2658" t="s">
        <v>1169</v>
      </c>
      <c r="O2658" t="s">
        <v>1168</v>
      </c>
      <c r="P2658" t="s">
        <v>1283</v>
      </c>
    </row>
    <row r="2659" spans="1:16" x14ac:dyDescent="0.25">
      <c r="A2659" t="s">
        <v>5577</v>
      </c>
      <c r="B2659" t="s">
        <v>5566</v>
      </c>
      <c r="C2659" t="s">
        <v>1571</v>
      </c>
      <c r="D2659" t="s">
        <v>1027</v>
      </c>
      <c r="E2659">
        <v>63767</v>
      </c>
      <c r="G2659" t="b">
        <v>0</v>
      </c>
      <c r="H2659" t="b">
        <v>0</v>
      </c>
      <c r="I2659" t="s">
        <v>1050</v>
      </c>
      <c r="J2659">
        <v>87</v>
      </c>
      <c r="K2659" t="s">
        <v>0</v>
      </c>
      <c r="L2659" t="s">
        <v>1167</v>
      </c>
      <c r="M2659" t="s">
        <v>1168</v>
      </c>
      <c r="N2659" t="s">
        <v>1169</v>
      </c>
      <c r="O2659" t="s">
        <v>1168</v>
      </c>
      <c r="P2659" t="s">
        <v>1283</v>
      </c>
    </row>
    <row r="2660" spans="1:16" x14ac:dyDescent="0.25">
      <c r="A2660" t="s">
        <v>5578</v>
      </c>
      <c r="B2660" t="s">
        <v>5569</v>
      </c>
      <c r="C2660" t="s">
        <v>1571</v>
      </c>
      <c r="D2660" t="s">
        <v>1027</v>
      </c>
      <c r="E2660">
        <v>63767</v>
      </c>
      <c r="G2660" t="b">
        <v>0</v>
      </c>
      <c r="H2660" t="b">
        <v>0</v>
      </c>
      <c r="I2660" t="s">
        <v>1050</v>
      </c>
      <c r="J2660">
        <v>87</v>
      </c>
      <c r="K2660" t="s">
        <v>0</v>
      </c>
      <c r="L2660" t="s">
        <v>1167</v>
      </c>
      <c r="M2660" t="s">
        <v>1168</v>
      </c>
      <c r="N2660" t="s">
        <v>1169</v>
      </c>
      <c r="O2660" t="s">
        <v>1168</v>
      </c>
      <c r="P2660" t="s">
        <v>1283</v>
      </c>
    </row>
    <row r="2661" spans="1:16" x14ac:dyDescent="0.25">
      <c r="A2661" t="s">
        <v>5579</v>
      </c>
      <c r="B2661" t="s">
        <v>5580</v>
      </c>
      <c r="C2661" t="s">
        <v>1571</v>
      </c>
      <c r="D2661" t="s">
        <v>1027</v>
      </c>
      <c r="E2661">
        <v>63767</v>
      </c>
      <c r="G2661" t="b">
        <v>0</v>
      </c>
      <c r="H2661" t="b">
        <v>0</v>
      </c>
      <c r="I2661" t="s">
        <v>1050</v>
      </c>
      <c r="J2661">
        <v>80</v>
      </c>
      <c r="K2661" t="s">
        <v>0</v>
      </c>
      <c r="L2661" t="s">
        <v>1167</v>
      </c>
      <c r="M2661" t="s">
        <v>1168</v>
      </c>
      <c r="N2661" t="s">
        <v>1169</v>
      </c>
      <c r="O2661" t="s">
        <v>1168</v>
      </c>
      <c r="P2661" t="s">
        <v>1283</v>
      </c>
    </row>
    <row r="2662" spans="1:16" x14ac:dyDescent="0.25">
      <c r="A2662" t="s">
        <v>5581</v>
      </c>
      <c r="B2662" t="s">
        <v>5582</v>
      </c>
      <c r="C2662" t="s">
        <v>1165</v>
      </c>
      <c r="D2662" t="s">
        <v>1027</v>
      </c>
      <c r="E2662">
        <v>63774</v>
      </c>
      <c r="F2662" t="s">
        <v>1166</v>
      </c>
      <c r="G2662" t="b">
        <v>0</v>
      </c>
      <c r="H2662" t="b">
        <v>0</v>
      </c>
      <c r="I2662" t="s">
        <v>1050</v>
      </c>
      <c r="J2662">
        <v>52</v>
      </c>
      <c r="K2662" t="s">
        <v>1</v>
      </c>
      <c r="L2662" t="s">
        <v>1167</v>
      </c>
      <c r="M2662" t="s">
        <v>1168</v>
      </c>
      <c r="N2662" t="s">
        <v>1169</v>
      </c>
      <c r="O2662" t="s">
        <v>1168</v>
      </c>
      <c r="P2662" t="s">
        <v>1170</v>
      </c>
    </row>
    <row r="2663" spans="1:16" x14ac:dyDescent="0.25">
      <c r="A2663" t="s">
        <v>5583</v>
      </c>
      <c r="B2663" t="s">
        <v>5584</v>
      </c>
      <c r="C2663" t="s">
        <v>1165</v>
      </c>
      <c r="D2663" t="s">
        <v>1027</v>
      </c>
      <c r="E2663">
        <v>63774</v>
      </c>
      <c r="F2663" t="s">
        <v>1166</v>
      </c>
      <c r="G2663" t="b">
        <v>0</v>
      </c>
      <c r="H2663" t="b">
        <v>0</v>
      </c>
      <c r="I2663" t="s">
        <v>1050</v>
      </c>
      <c r="J2663">
        <v>52</v>
      </c>
      <c r="K2663" t="s">
        <v>1</v>
      </c>
      <c r="L2663" t="s">
        <v>1167</v>
      </c>
      <c r="M2663" t="s">
        <v>1168</v>
      </c>
      <c r="N2663" t="s">
        <v>1169</v>
      </c>
      <c r="O2663" t="s">
        <v>1168</v>
      </c>
      <c r="P2663" t="s">
        <v>1170</v>
      </c>
    </row>
    <row r="2664" spans="1:16" x14ac:dyDescent="0.25">
      <c r="A2664" t="s">
        <v>5585</v>
      </c>
      <c r="B2664" t="s">
        <v>5586</v>
      </c>
      <c r="C2664" t="s">
        <v>1165</v>
      </c>
      <c r="D2664" t="s">
        <v>1027</v>
      </c>
      <c r="E2664">
        <v>63774</v>
      </c>
      <c r="F2664" t="s">
        <v>1166</v>
      </c>
      <c r="G2664" t="b">
        <v>0</v>
      </c>
      <c r="H2664" t="b">
        <v>0</v>
      </c>
      <c r="I2664" t="s">
        <v>1050</v>
      </c>
      <c r="J2664">
        <v>60</v>
      </c>
      <c r="K2664" t="s">
        <v>1</v>
      </c>
      <c r="L2664" t="s">
        <v>1167</v>
      </c>
      <c r="M2664" t="s">
        <v>1168</v>
      </c>
      <c r="N2664" t="s">
        <v>1169</v>
      </c>
      <c r="O2664" t="s">
        <v>1168</v>
      </c>
      <c r="P2664" t="s">
        <v>1170</v>
      </c>
    </row>
    <row r="2665" spans="1:16" x14ac:dyDescent="0.25">
      <c r="A2665" t="s">
        <v>5587</v>
      </c>
      <c r="B2665" t="s">
        <v>5586</v>
      </c>
      <c r="C2665" t="s">
        <v>1165</v>
      </c>
      <c r="D2665" t="s">
        <v>1027</v>
      </c>
      <c r="E2665">
        <v>63774</v>
      </c>
      <c r="F2665" t="s">
        <v>1166</v>
      </c>
      <c r="G2665" t="b">
        <v>0</v>
      </c>
      <c r="H2665" t="b">
        <v>0</v>
      </c>
      <c r="I2665" t="s">
        <v>1050</v>
      </c>
      <c r="J2665">
        <v>60</v>
      </c>
      <c r="K2665" t="s">
        <v>1</v>
      </c>
      <c r="L2665" t="s">
        <v>1167</v>
      </c>
      <c r="M2665" t="s">
        <v>1168</v>
      </c>
      <c r="N2665" t="s">
        <v>1169</v>
      </c>
      <c r="O2665" t="s">
        <v>1168</v>
      </c>
      <c r="P2665" t="s">
        <v>1170</v>
      </c>
    </row>
    <row r="2666" spans="1:16" x14ac:dyDescent="0.25">
      <c r="A2666" t="s">
        <v>5588</v>
      </c>
      <c r="B2666" t="s">
        <v>5586</v>
      </c>
      <c r="C2666" t="s">
        <v>1165</v>
      </c>
      <c r="D2666" t="s">
        <v>1027</v>
      </c>
      <c r="E2666">
        <v>63774</v>
      </c>
      <c r="F2666" t="s">
        <v>1166</v>
      </c>
      <c r="G2666" t="b">
        <v>0</v>
      </c>
      <c r="H2666" t="b">
        <v>0</v>
      </c>
      <c r="I2666" t="s">
        <v>1050</v>
      </c>
      <c r="J2666">
        <v>60</v>
      </c>
      <c r="K2666" t="s">
        <v>1</v>
      </c>
      <c r="L2666" t="s">
        <v>1167</v>
      </c>
      <c r="M2666" t="s">
        <v>1168</v>
      </c>
      <c r="N2666" t="s">
        <v>1169</v>
      </c>
      <c r="O2666" t="s">
        <v>1168</v>
      </c>
      <c r="P2666" t="s">
        <v>1170</v>
      </c>
    </row>
    <row r="2667" spans="1:16" x14ac:dyDescent="0.25">
      <c r="A2667" t="s">
        <v>5589</v>
      </c>
      <c r="B2667" t="s">
        <v>5590</v>
      </c>
      <c r="C2667" t="s">
        <v>1165</v>
      </c>
      <c r="D2667" t="s">
        <v>1027</v>
      </c>
      <c r="E2667">
        <v>63774</v>
      </c>
      <c r="F2667" t="s">
        <v>1166</v>
      </c>
      <c r="G2667" t="b">
        <v>0</v>
      </c>
      <c r="H2667" t="b">
        <v>0</v>
      </c>
      <c r="I2667" t="s">
        <v>1050</v>
      </c>
      <c r="J2667">
        <v>67</v>
      </c>
      <c r="K2667" t="s">
        <v>1</v>
      </c>
      <c r="L2667" t="s">
        <v>1167</v>
      </c>
      <c r="M2667" t="s">
        <v>1168</v>
      </c>
      <c r="N2667" t="s">
        <v>1169</v>
      </c>
      <c r="O2667" t="s">
        <v>1168</v>
      </c>
      <c r="P2667" t="s">
        <v>1170</v>
      </c>
    </row>
    <row r="2668" spans="1:16" x14ac:dyDescent="0.25">
      <c r="A2668" t="s">
        <v>5591</v>
      </c>
      <c r="B2668" t="s">
        <v>5590</v>
      </c>
      <c r="C2668" t="s">
        <v>1165</v>
      </c>
      <c r="D2668" t="s">
        <v>1027</v>
      </c>
      <c r="E2668">
        <v>63774</v>
      </c>
      <c r="F2668" t="s">
        <v>1166</v>
      </c>
      <c r="G2668" t="b">
        <v>0</v>
      </c>
      <c r="H2668" t="b">
        <v>0</v>
      </c>
      <c r="I2668" t="s">
        <v>1050</v>
      </c>
      <c r="J2668">
        <v>67</v>
      </c>
      <c r="K2668" t="s">
        <v>1</v>
      </c>
      <c r="L2668" t="s">
        <v>1167</v>
      </c>
      <c r="M2668" t="s">
        <v>1168</v>
      </c>
      <c r="N2668" t="s">
        <v>1169</v>
      </c>
      <c r="O2668" t="s">
        <v>1168</v>
      </c>
      <c r="P2668" t="s">
        <v>1170</v>
      </c>
    </row>
    <row r="2669" spans="1:16" x14ac:dyDescent="0.25">
      <c r="A2669" t="s">
        <v>5592</v>
      </c>
      <c r="B2669" t="s">
        <v>5593</v>
      </c>
      <c r="C2669" t="s">
        <v>1165</v>
      </c>
      <c r="D2669" t="s">
        <v>1027</v>
      </c>
      <c r="E2669">
        <v>63774</v>
      </c>
      <c r="F2669" t="s">
        <v>1166</v>
      </c>
      <c r="G2669" t="b">
        <v>0</v>
      </c>
      <c r="H2669" t="b">
        <v>0</v>
      </c>
      <c r="I2669" t="s">
        <v>1050</v>
      </c>
      <c r="J2669">
        <v>21</v>
      </c>
      <c r="K2669" t="s">
        <v>1</v>
      </c>
      <c r="L2669" t="s">
        <v>1167</v>
      </c>
      <c r="M2669" t="s">
        <v>1168</v>
      </c>
      <c r="N2669" t="s">
        <v>1169</v>
      </c>
      <c r="O2669" t="s">
        <v>1168</v>
      </c>
      <c r="P2669" t="s">
        <v>1170</v>
      </c>
    </row>
    <row r="2670" spans="1:16" x14ac:dyDescent="0.25">
      <c r="A2670" t="s">
        <v>5594</v>
      </c>
      <c r="B2670" t="s">
        <v>5593</v>
      </c>
      <c r="C2670" t="s">
        <v>1165</v>
      </c>
      <c r="D2670" t="s">
        <v>1027</v>
      </c>
      <c r="E2670">
        <v>63774</v>
      </c>
      <c r="F2670" t="s">
        <v>1166</v>
      </c>
      <c r="G2670" t="b">
        <v>0</v>
      </c>
      <c r="H2670" t="b">
        <v>0</v>
      </c>
      <c r="I2670" t="s">
        <v>1050</v>
      </c>
      <c r="J2670">
        <v>21</v>
      </c>
      <c r="K2670" t="s">
        <v>1</v>
      </c>
      <c r="L2670" t="s">
        <v>1167</v>
      </c>
      <c r="M2670" t="s">
        <v>1168</v>
      </c>
      <c r="N2670" t="s">
        <v>1169</v>
      </c>
      <c r="O2670" t="s">
        <v>1168</v>
      </c>
      <c r="P2670" t="s">
        <v>1170</v>
      </c>
    </row>
    <row r="2671" spans="1:16" x14ac:dyDescent="0.25">
      <c r="A2671" t="s">
        <v>5595</v>
      </c>
      <c r="B2671" t="s">
        <v>5596</v>
      </c>
      <c r="C2671" t="s">
        <v>1233</v>
      </c>
      <c r="D2671" t="s">
        <v>1027</v>
      </c>
      <c r="E2671">
        <v>63762</v>
      </c>
      <c r="F2671" t="s">
        <v>1234</v>
      </c>
      <c r="G2671" t="b">
        <v>0</v>
      </c>
      <c r="H2671" t="b">
        <v>0</v>
      </c>
      <c r="I2671" t="s">
        <v>1050</v>
      </c>
      <c r="J2671">
        <v>88</v>
      </c>
      <c r="K2671" t="s">
        <v>0</v>
      </c>
      <c r="L2671" t="s">
        <v>1167</v>
      </c>
      <c r="M2671" t="s">
        <v>1168</v>
      </c>
      <c r="N2671" t="s">
        <v>1169</v>
      </c>
      <c r="O2671" t="s">
        <v>1168</v>
      </c>
      <c r="P2671" t="s">
        <v>1235</v>
      </c>
    </row>
    <row r="2672" spans="1:16" x14ac:dyDescent="0.25">
      <c r="A2672" t="s">
        <v>5597</v>
      </c>
      <c r="B2672" t="s">
        <v>5598</v>
      </c>
      <c r="C2672" t="s">
        <v>1228</v>
      </c>
      <c r="D2672" t="s">
        <v>1027</v>
      </c>
      <c r="E2672">
        <v>1660</v>
      </c>
      <c r="F2672" t="s">
        <v>1229</v>
      </c>
      <c r="G2672" t="b">
        <v>0</v>
      </c>
      <c r="H2672" t="b">
        <v>0</v>
      </c>
      <c r="I2672" t="s">
        <v>1050</v>
      </c>
      <c r="J2672">
        <v>89</v>
      </c>
      <c r="K2672" t="s">
        <v>2</v>
      </c>
      <c r="L2672" t="s">
        <v>1167</v>
      </c>
      <c r="M2672" t="s">
        <v>1168</v>
      </c>
      <c r="N2672" t="s">
        <v>1169</v>
      </c>
      <c r="O2672" t="s">
        <v>1168</v>
      </c>
      <c r="P2672" t="s">
        <v>1230</v>
      </c>
    </row>
    <row r="2673" spans="1:16" x14ac:dyDescent="0.25">
      <c r="A2673" t="s">
        <v>5599</v>
      </c>
      <c r="B2673" t="s">
        <v>5600</v>
      </c>
      <c r="C2673" t="s">
        <v>1233</v>
      </c>
      <c r="D2673" t="s">
        <v>1027</v>
      </c>
      <c r="E2673">
        <v>63762</v>
      </c>
      <c r="F2673" t="s">
        <v>1234</v>
      </c>
      <c r="G2673" t="b">
        <v>0</v>
      </c>
      <c r="H2673" t="b">
        <v>0</v>
      </c>
      <c r="I2673" t="s">
        <v>1050</v>
      </c>
      <c r="J2673">
        <v>80</v>
      </c>
      <c r="K2673" t="s">
        <v>0</v>
      </c>
      <c r="L2673" t="s">
        <v>1167</v>
      </c>
      <c r="M2673" t="s">
        <v>1168</v>
      </c>
      <c r="N2673" t="s">
        <v>1169</v>
      </c>
      <c r="O2673" t="s">
        <v>1168</v>
      </c>
      <c r="P2673" t="s">
        <v>1235</v>
      </c>
    </row>
    <row r="2674" spans="1:16" x14ac:dyDescent="0.25">
      <c r="A2674" t="s">
        <v>5601</v>
      </c>
      <c r="B2674" t="s">
        <v>5602</v>
      </c>
      <c r="C2674" t="s">
        <v>1233</v>
      </c>
      <c r="D2674" t="s">
        <v>1027</v>
      </c>
      <c r="E2674">
        <v>63762</v>
      </c>
      <c r="F2674" t="s">
        <v>1234</v>
      </c>
      <c r="G2674" t="b">
        <v>0</v>
      </c>
      <c r="H2674" t="b">
        <v>0</v>
      </c>
      <c r="I2674" t="s">
        <v>1050</v>
      </c>
      <c r="J2674">
        <v>80</v>
      </c>
      <c r="K2674" t="s">
        <v>0</v>
      </c>
      <c r="L2674" t="s">
        <v>1167</v>
      </c>
      <c r="M2674" t="s">
        <v>1168</v>
      </c>
      <c r="N2674" t="s">
        <v>1169</v>
      </c>
      <c r="O2674" t="s">
        <v>1168</v>
      </c>
      <c r="P2674" t="s">
        <v>1235</v>
      </c>
    </row>
    <row r="2675" spans="1:16" x14ac:dyDescent="0.25">
      <c r="A2675" t="s">
        <v>5603</v>
      </c>
      <c r="B2675" t="s">
        <v>5604</v>
      </c>
      <c r="C2675" t="s">
        <v>1233</v>
      </c>
      <c r="D2675" t="s">
        <v>1027</v>
      </c>
      <c r="E2675">
        <v>63762</v>
      </c>
      <c r="F2675" t="s">
        <v>1234</v>
      </c>
      <c r="G2675" t="b">
        <v>0</v>
      </c>
      <c r="H2675" t="b">
        <v>0</v>
      </c>
      <c r="I2675" t="s">
        <v>1050</v>
      </c>
      <c r="J2675">
        <v>80</v>
      </c>
      <c r="K2675" t="s">
        <v>0</v>
      </c>
      <c r="L2675" t="s">
        <v>1167</v>
      </c>
      <c r="M2675" t="s">
        <v>1168</v>
      </c>
      <c r="N2675" t="s">
        <v>1169</v>
      </c>
      <c r="O2675" t="s">
        <v>1168</v>
      </c>
      <c r="P2675" t="s">
        <v>1235</v>
      </c>
    </row>
    <row r="2676" spans="1:16" x14ac:dyDescent="0.25">
      <c r="A2676" t="s">
        <v>5605</v>
      </c>
      <c r="B2676" t="s">
        <v>5606</v>
      </c>
      <c r="C2676" t="s">
        <v>1233</v>
      </c>
      <c r="D2676" t="s">
        <v>1027</v>
      </c>
      <c r="E2676">
        <v>63762</v>
      </c>
      <c r="F2676" t="s">
        <v>1234</v>
      </c>
      <c r="G2676" t="b">
        <v>0</v>
      </c>
      <c r="H2676" t="b">
        <v>0</v>
      </c>
      <c r="I2676" t="s">
        <v>1050</v>
      </c>
      <c r="J2676">
        <v>87</v>
      </c>
      <c r="K2676" t="s">
        <v>0</v>
      </c>
      <c r="L2676" t="s">
        <v>1167</v>
      </c>
      <c r="M2676" t="s">
        <v>1168</v>
      </c>
      <c r="N2676" t="s">
        <v>1169</v>
      </c>
      <c r="O2676" t="s">
        <v>1168</v>
      </c>
      <c r="P2676" t="s">
        <v>1235</v>
      </c>
    </row>
    <row r="2677" spans="1:16" x14ac:dyDescent="0.25">
      <c r="A2677" t="s">
        <v>5607</v>
      </c>
      <c r="B2677" t="s">
        <v>5608</v>
      </c>
      <c r="C2677" t="s">
        <v>1233</v>
      </c>
      <c r="D2677" t="s">
        <v>1027</v>
      </c>
      <c r="E2677">
        <v>63762</v>
      </c>
      <c r="F2677" t="s">
        <v>1234</v>
      </c>
      <c r="G2677" t="b">
        <v>0</v>
      </c>
      <c r="H2677" t="b">
        <v>0</v>
      </c>
      <c r="I2677" t="s">
        <v>1050</v>
      </c>
      <c r="J2677">
        <v>87</v>
      </c>
      <c r="K2677" t="s">
        <v>0</v>
      </c>
      <c r="L2677" t="s">
        <v>1167</v>
      </c>
      <c r="M2677" t="s">
        <v>1168</v>
      </c>
      <c r="N2677" t="s">
        <v>1169</v>
      </c>
      <c r="O2677" t="s">
        <v>1168</v>
      </c>
      <c r="P2677" t="s">
        <v>1235</v>
      </c>
    </row>
    <row r="2678" spans="1:16" x14ac:dyDescent="0.25">
      <c r="A2678" t="s">
        <v>5609</v>
      </c>
      <c r="B2678" t="s">
        <v>5610</v>
      </c>
      <c r="C2678" t="s">
        <v>1233</v>
      </c>
      <c r="D2678" t="s">
        <v>1027</v>
      </c>
      <c r="E2678">
        <v>63762</v>
      </c>
      <c r="F2678" t="s">
        <v>1234</v>
      </c>
      <c r="G2678" t="b">
        <v>0</v>
      </c>
      <c r="H2678" t="b">
        <v>0</v>
      </c>
      <c r="I2678" t="s">
        <v>1050</v>
      </c>
      <c r="J2678">
        <v>87</v>
      </c>
      <c r="K2678" t="s">
        <v>0</v>
      </c>
      <c r="L2678" t="s">
        <v>1167</v>
      </c>
      <c r="M2678" t="s">
        <v>1168</v>
      </c>
      <c r="N2678" t="s">
        <v>1169</v>
      </c>
      <c r="O2678" t="s">
        <v>1168</v>
      </c>
      <c r="P2678" t="s">
        <v>1235</v>
      </c>
    </row>
    <row r="2679" spans="1:16" x14ac:dyDescent="0.25">
      <c r="A2679" t="s">
        <v>5611</v>
      </c>
      <c r="B2679" t="s">
        <v>5612</v>
      </c>
      <c r="C2679" t="s">
        <v>1233</v>
      </c>
      <c r="D2679" t="s">
        <v>1027</v>
      </c>
      <c r="E2679">
        <v>63762</v>
      </c>
      <c r="F2679" t="s">
        <v>1234</v>
      </c>
      <c r="G2679" t="b">
        <v>0</v>
      </c>
      <c r="H2679" t="b">
        <v>0</v>
      </c>
      <c r="I2679" t="s">
        <v>1050</v>
      </c>
      <c r="J2679">
        <v>87</v>
      </c>
      <c r="K2679" t="s">
        <v>0</v>
      </c>
      <c r="L2679" t="s">
        <v>1167</v>
      </c>
      <c r="M2679" t="s">
        <v>1168</v>
      </c>
      <c r="N2679" t="s">
        <v>1169</v>
      </c>
      <c r="O2679" t="s">
        <v>1168</v>
      </c>
      <c r="P2679" t="s">
        <v>1235</v>
      </c>
    </row>
    <row r="2680" spans="1:16" x14ac:dyDescent="0.25">
      <c r="A2680" t="s">
        <v>5613</v>
      </c>
      <c r="B2680" t="s">
        <v>5614</v>
      </c>
      <c r="C2680" t="s">
        <v>1233</v>
      </c>
      <c r="D2680" t="s">
        <v>1027</v>
      </c>
      <c r="E2680">
        <v>63762</v>
      </c>
      <c r="F2680" t="s">
        <v>1234</v>
      </c>
      <c r="G2680" t="b">
        <v>0</v>
      </c>
      <c r="H2680" t="b">
        <v>0</v>
      </c>
      <c r="I2680" t="s">
        <v>1050</v>
      </c>
      <c r="J2680">
        <v>80</v>
      </c>
      <c r="K2680" t="s">
        <v>0</v>
      </c>
      <c r="L2680" t="s">
        <v>1167</v>
      </c>
      <c r="M2680" t="s">
        <v>1168</v>
      </c>
      <c r="N2680" t="s">
        <v>1169</v>
      </c>
      <c r="O2680" t="s">
        <v>1168</v>
      </c>
      <c r="P2680" t="s">
        <v>1235</v>
      </c>
    </row>
    <row r="2681" spans="1:16" x14ac:dyDescent="0.25">
      <c r="A2681" t="s">
        <v>5615</v>
      </c>
      <c r="B2681" t="s">
        <v>5616</v>
      </c>
      <c r="C2681" t="s">
        <v>1165</v>
      </c>
      <c r="D2681" t="s">
        <v>1027</v>
      </c>
      <c r="E2681">
        <v>63774</v>
      </c>
      <c r="F2681" t="s">
        <v>1166</v>
      </c>
      <c r="G2681" t="b">
        <v>0</v>
      </c>
      <c r="H2681" t="b">
        <v>0</v>
      </c>
      <c r="I2681" t="s">
        <v>1050</v>
      </c>
      <c r="J2681">
        <v>21</v>
      </c>
      <c r="K2681" t="s">
        <v>1</v>
      </c>
      <c r="L2681" t="s">
        <v>1167</v>
      </c>
      <c r="M2681" t="s">
        <v>1168</v>
      </c>
      <c r="N2681" t="s">
        <v>1169</v>
      </c>
      <c r="O2681" t="s">
        <v>1168</v>
      </c>
      <c r="P2681" t="s">
        <v>1170</v>
      </c>
    </row>
    <row r="2682" spans="1:16" x14ac:dyDescent="0.25">
      <c r="A2682" t="s">
        <v>5617</v>
      </c>
      <c r="B2682" t="s">
        <v>5616</v>
      </c>
      <c r="C2682" t="s">
        <v>1165</v>
      </c>
      <c r="D2682" t="s">
        <v>1027</v>
      </c>
      <c r="E2682">
        <v>63774</v>
      </c>
      <c r="F2682" t="s">
        <v>1166</v>
      </c>
      <c r="G2682" t="b">
        <v>0</v>
      </c>
      <c r="H2682" t="b">
        <v>0</v>
      </c>
      <c r="I2682" t="s">
        <v>1050</v>
      </c>
      <c r="J2682">
        <v>21</v>
      </c>
      <c r="K2682" t="s">
        <v>1</v>
      </c>
      <c r="L2682" t="s">
        <v>1167</v>
      </c>
      <c r="M2682" t="s">
        <v>1168</v>
      </c>
      <c r="N2682" t="s">
        <v>1169</v>
      </c>
      <c r="O2682" t="s">
        <v>1168</v>
      </c>
      <c r="P2682" t="s">
        <v>1170</v>
      </c>
    </row>
    <row r="2683" spans="1:16" x14ac:dyDescent="0.25">
      <c r="A2683" t="s">
        <v>5618</v>
      </c>
      <c r="B2683" t="s">
        <v>5619</v>
      </c>
      <c r="C2683" t="s">
        <v>1165</v>
      </c>
      <c r="D2683" t="s">
        <v>1027</v>
      </c>
      <c r="E2683">
        <v>63774</v>
      </c>
      <c r="F2683" t="s">
        <v>1166</v>
      </c>
      <c r="G2683" t="b">
        <v>0</v>
      </c>
      <c r="H2683" t="b">
        <v>0</v>
      </c>
      <c r="I2683" t="s">
        <v>1050</v>
      </c>
      <c r="J2683">
        <v>29</v>
      </c>
      <c r="K2683" t="s">
        <v>1</v>
      </c>
      <c r="L2683" t="s">
        <v>1167</v>
      </c>
      <c r="M2683" t="s">
        <v>1168</v>
      </c>
      <c r="N2683" t="s">
        <v>1169</v>
      </c>
      <c r="O2683" t="s">
        <v>1168</v>
      </c>
      <c r="P2683" t="s">
        <v>1170</v>
      </c>
    </row>
    <row r="2684" spans="1:16" x14ac:dyDescent="0.25">
      <c r="A2684" t="s">
        <v>5620</v>
      </c>
      <c r="B2684" t="s">
        <v>5621</v>
      </c>
      <c r="C2684" t="s">
        <v>1165</v>
      </c>
      <c r="D2684" t="s">
        <v>1027</v>
      </c>
      <c r="E2684">
        <v>63774</v>
      </c>
      <c r="F2684" t="s">
        <v>1166</v>
      </c>
      <c r="G2684" t="b">
        <v>0</v>
      </c>
      <c r="H2684" t="b">
        <v>0</v>
      </c>
      <c r="I2684" t="s">
        <v>1050</v>
      </c>
      <c r="J2684">
        <v>29</v>
      </c>
      <c r="K2684" t="s">
        <v>1</v>
      </c>
      <c r="L2684" t="s">
        <v>1167</v>
      </c>
      <c r="M2684" t="s">
        <v>1168</v>
      </c>
      <c r="N2684" t="s">
        <v>1169</v>
      </c>
      <c r="O2684" t="s">
        <v>1168</v>
      </c>
      <c r="P2684" t="s">
        <v>1170</v>
      </c>
    </row>
    <row r="2685" spans="1:16" x14ac:dyDescent="0.25">
      <c r="A2685" t="s">
        <v>5622</v>
      </c>
      <c r="B2685" t="s">
        <v>5623</v>
      </c>
      <c r="C2685" t="s">
        <v>1165</v>
      </c>
      <c r="D2685" t="s">
        <v>1027</v>
      </c>
      <c r="E2685">
        <v>63774</v>
      </c>
      <c r="F2685" t="s">
        <v>1166</v>
      </c>
      <c r="G2685" t="b">
        <v>0</v>
      </c>
      <c r="H2685" t="b">
        <v>0</v>
      </c>
      <c r="I2685" t="s">
        <v>1050</v>
      </c>
      <c r="J2685">
        <v>29</v>
      </c>
      <c r="K2685" t="s">
        <v>1</v>
      </c>
      <c r="L2685" t="s">
        <v>1167</v>
      </c>
      <c r="M2685" t="s">
        <v>1168</v>
      </c>
      <c r="N2685" t="s">
        <v>1169</v>
      </c>
      <c r="O2685" t="s">
        <v>1168</v>
      </c>
      <c r="P2685" t="s">
        <v>1170</v>
      </c>
    </row>
    <row r="2686" spans="1:16" x14ac:dyDescent="0.25">
      <c r="A2686" t="s">
        <v>5624</v>
      </c>
      <c r="B2686" t="s">
        <v>5625</v>
      </c>
      <c r="C2686" t="s">
        <v>1571</v>
      </c>
      <c r="D2686" t="s">
        <v>1027</v>
      </c>
      <c r="E2686">
        <v>63767</v>
      </c>
      <c r="G2686" t="b">
        <v>0</v>
      </c>
      <c r="H2686" t="b">
        <v>0</v>
      </c>
      <c r="I2686" t="s">
        <v>1050</v>
      </c>
      <c r="J2686">
        <v>80</v>
      </c>
      <c r="K2686" t="s">
        <v>0</v>
      </c>
      <c r="L2686" t="s">
        <v>1167</v>
      </c>
      <c r="M2686" t="s">
        <v>1168</v>
      </c>
      <c r="N2686" t="s">
        <v>1169</v>
      </c>
      <c r="O2686" t="s">
        <v>1168</v>
      </c>
      <c r="P2686" t="s">
        <v>1283</v>
      </c>
    </row>
    <row r="2687" spans="1:16" x14ac:dyDescent="0.25">
      <c r="A2687" t="s">
        <v>5626</v>
      </c>
      <c r="B2687" t="s">
        <v>5627</v>
      </c>
      <c r="C2687" t="s">
        <v>1571</v>
      </c>
      <c r="D2687" t="s">
        <v>1027</v>
      </c>
      <c r="E2687">
        <v>63767</v>
      </c>
      <c r="G2687" t="b">
        <v>0</v>
      </c>
      <c r="H2687" t="b">
        <v>0</v>
      </c>
      <c r="I2687" t="s">
        <v>1050</v>
      </c>
      <c r="J2687">
        <v>80</v>
      </c>
      <c r="K2687" t="s">
        <v>0</v>
      </c>
      <c r="L2687" t="s">
        <v>1167</v>
      </c>
      <c r="M2687" t="s">
        <v>1168</v>
      </c>
      <c r="N2687" t="s">
        <v>1169</v>
      </c>
      <c r="O2687" t="s">
        <v>1168</v>
      </c>
      <c r="P2687" t="s">
        <v>1283</v>
      </c>
    </row>
    <row r="2688" spans="1:16" x14ac:dyDescent="0.25">
      <c r="A2688" t="s">
        <v>5628</v>
      </c>
      <c r="B2688" t="s">
        <v>5629</v>
      </c>
      <c r="C2688" t="s">
        <v>1571</v>
      </c>
      <c r="D2688" t="s">
        <v>1027</v>
      </c>
      <c r="E2688">
        <v>63767</v>
      </c>
      <c r="G2688" t="b">
        <v>0</v>
      </c>
      <c r="H2688" t="b">
        <v>0</v>
      </c>
      <c r="I2688" t="s">
        <v>1050</v>
      </c>
      <c r="J2688">
        <v>87</v>
      </c>
      <c r="K2688" t="s">
        <v>0</v>
      </c>
      <c r="L2688" t="s">
        <v>1167</v>
      </c>
      <c r="M2688" t="s">
        <v>1168</v>
      </c>
      <c r="N2688" t="s">
        <v>1169</v>
      </c>
      <c r="O2688" t="s">
        <v>1168</v>
      </c>
      <c r="P2688" t="s">
        <v>1283</v>
      </c>
    </row>
    <row r="2689" spans="1:16" x14ac:dyDescent="0.25">
      <c r="A2689" t="s">
        <v>5630</v>
      </c>
      <c r="B2689" t="s">
        <v>5631</v>
      </c>
      <c r="C2689" t="s">
        <v>1571</v>
      </c>
      <c r="D2689" t="s">
        <v>1027</v>
      </c>
      <c r="E2689">
        <v>63767</v>
      </c>
      <c r="G2689" t="b">
        <v>0</v>
      </c>
      <c r="H2689" t="b">
        <v>0</v>
      </c>
      <c r="I2689" t="s">
        <v>1050</v>
      </c>
      <c r="J2689">
        <v>80</v>
      </c>
      <c r="K2689" t="s">
        <v>0</v>
      </c>
      <c r="L2689" t="s">
        <v>1167</v>
      </c>
      <c r="M2689" t="s">
        <v>1168</v>
      </c>
      <c r="N2689" t="s">
        <v>1169</v>
      </c>
      <c r="O2689" t="s">
        <v>1168</v>
      </c>
      <c r="P2689" t="s">
        <v>1283</v>
      </c>
    </row>
    <row r="2690" spans="1:16" x14ac:dyDescent="0.25">
      <c r="A2690" t="s">
        <v>5632</v>
      </c>
      <c r="B2690" t="s">
        <v>5633</v>
      </c>
      <c r="C2690" t="s">
        <v>1571</v>
      </c>
      <c r="D2690" t="s">
        <v>1027</v>
      </c>
      <c r="E2690">
        <v>63767</v>
      </c>
      <c r="G2690" t="b">
        <v>0</v>
      </c>
      <c r="H2690" t="b">
        <v>0</v>
      </c>
      <c r="I2690" t="s">
        <v>1050</v>
      </c>
      <c r="J2690">
        <v>80</v>
      </c>
      <c r="K2690" t="s">
        <v>0</v>
      </c>
      <c r="L2690" t="s">
        <v>1167</v>
      </c>
      <c r="M2690" t="s">
        <v>1168</v>
      </c>
      <c r="N2690" t="s">
        <v>1169</v>
      </c>
      <c r="O2690" t="s">
        <v>1168</v>
      </c>
      <c r="P2690" t="s">
        <v>1283</v>
      </c>
    </row>
    <row r="2691" spans="1:16" x14ac:dyDescent="0.25">
      <c r="A2691" t="s">
        <v>5634</v>
      </c>
      <c r="B2691" t="s">
        <v>5635</v>
      </c>
      <c r="C2691" t="s">
        <v>1165</v>
      </c>
      <c r="D2691" t="s">
        <v>1027</v>
      </c>
      <c r="E2691">
        <v>63774</v>
      </c>
      <c r="F2691" t="s">
        <v>1166</v>
      </c>
      <c r="G2691" t="b">
        <v>0</v>
      </c>
      <c r="H2691" t="b">
        <v>0</v>
      </c>
      <c r="I2691" t="s">
        <v>1050</v>
      </c>
      <c r="J2691">
        <v>30</v>
      </c>
      <c r="K2691" t="s">
        <v>1</v>
      </c>
      <c r="L2691" t="s">
        <v>1167</v>
      </c>
      <c r="M2691" t="s">
        <v>1168</v>
      </c>
      <c r="N2691" t="s">
        <v>1169</v>
      </c>
      <c r="O2691" t="s">
        <v>1168</v>
      </c>
      <c r="P2691" t="s">
        <v>1170</v>
      </c>
    </row>
    <row r="2692" spans="1:16" x14ac:dyDescent="0.25">
      <c r="A2692" t="s">
        <v>5636</v>
      </c>
      <c r="B2692" t="s">
        <v>5637</v>
      </c>
      <c r="C2692" t="s">
        <v>1165</v>
      </c>
      <c r="D2692" t="s">
        <v>1027</v>
      </c>
      <c r="E2692">
        <v>63774</v>
      </c>
      <c r="F2692" t="s">
        <v>1166</v>
      </c>
      <c r="G2692" t="b">
        <v>0</v>
      </c>
      <c r="H2692" t="b">
        <v>0</v>
      </c>
      <c r="I2692" t="s">
        <v>1050</v>
      </c>
      <c r="J2692">
        <v>30</v>
      </c>
      <c r="K2692" t="s">
        <v>1</v>
      </c>
      <c r="L2692" t="s">
        <v>1167</v>
      </c>
      <c r="M2692" t="s">
        <v>1168</v>
      </c>
      <c r="N2692" t="s">
        <v>1169</v>
      </c>
      <c r="O2692" t="s">
        <v>1168</v>
      </c>
      <c r="P2692" t="s">
        <v>1170</v>
      </c>
    </row>
    <row r="2693" spans="1:16" x14ac:dyDescent="0.25">
      <c r="A2693" t="s">
        <v>5638</v>
      </c>
      <c r="B2693" t="s">
        <v>5639</v>
      </c>
      <c r="C2693" t="s">
        <v>1165</v>
      </c>
      <c r="D2693" t="s">
        <v>1027</v>
      </c>
      <c r="E2693">
        <v>63774</v>
      </c>
      <c r="F2693" t="s">
        <v>1166</v>
      </c>
      <c r="G2693" t="b">
        <v>0</v>
      </c>
      <c r="H2693" t="b">
        <v>0</v>
      </c>
      <c r="I2693" t="s">
        <v>1050</v>
      </c>
      <c r="J2693">
        <v>30</v>
      </c>
      <c r="K2693" t="s">
        <v>1</v>
      </c>
      <c r="L2693" t="s">
        <v>1167</v>
      </c>
      <c r="M2693" t="s">
        <v>1168</v>
      </c>
      <c r="N2693" t="s">
        <v>1169</v>
      </c>
      <c r="O2693" t="s">
        <v>1168</v>
      </c>
      <c r="P2693" t="s">
        <v>1170</v>
      </c>
    </row>
    <row r="2694" spans="1:16" x14ac:dyDescent="0.25">
      <c r="A2694" t="s">
        <v>5640</v>
      </c>
      <c r="B2694" t="s">
        <v>5641</v>
      </c>
      <c r="C2694" t="s">
        <v>1165</v>
      </c>
      <c r="D2694" t="s">
        <v>1027</v>
      </c>
      <c r="E2694">
        <v>63774</v>
      </c>
      <c r="F2694" t="s">
        <v>1166</v>
      </c>
      <c r="G2694" t="b">
        <v>0</v>
      </c>
      <c r="H2694" t="b">
        <v>0</v>
      </c>
      <c r="I2694" t="s">
        <v>1050</v>
      </c>
      <c r="J2694">
        <v>30</v>
      </c>
      <c r="K2694" t="s">
        <v>1</v>
      </c>
      <c r="L2694" t="s">
        <v>1167</v>
      </c>
      <c r="M2694" t="s">
        <v>1168</v>
      </c>
      <c r="N2694" t="s">
        <v>1169</v>
      </c>
      <c r="O2694" t="s">
        <v>1168</v>
      </c>
      <c r="P2694" t="s">
        <v>1170</v>
      </c>
    </row>
    <row r="2695" spans="1:16" x14ac:dyDescent="0.25">
      <c r="A2695" t="s">
        <v>5642</v>
      </c>
      <c r="B2695" t="s">
        <v>5643</v>
      </c>
      <c r="C2695" t="s">
        <v>1165</v>
      </c>
      <c r="D2695" t="s">
        <v>1027</v>
      </c>
      <c r="E2695">
        <v>63774</v>
      </c>
      <c r="F2695" t="s">
        <v>1166</v>
      </c>
      <c r="G2695" t="b">
        <v>0</v>
      </c>
      <c r="H2695" t="b">
        <v>0</v>
      </c>
      <c r="I2695" t="s">
        <v>1050</v>
      </c>
      <c r="J2695">
        <v>30</v>
      </c>
      <c r="K2695" t="s">
        <v>1</v>
      </c>
      <c r="L2695" t="s">
        <v>1167</v>
      </c>
      <c r="M2695" t="s">
        <v>1168</v>
      </c>
      <c r="N2695" t="s">
        <v>1169</v>
      </c>
      <c r="O2695" t="s">
        <v>1168</v>
      </c>
      <c r="P2695" t="s">
        <v>1170</v>
      </c>
    </row>
    <row r="2696" spans="1:16" x14ac:dyDescent="0.25">
      <c r="A2696" t="s">
        <v>5644</v>
      </c>
      <c r="B2696" t="s">
        <v>5645</v>
      </c>
      <c r="C2696" t="s">
        <v>1165</v>
      </c>
      <c r="D2696" t="s">
        <v>1027</v>
      </c>
      <c r="E2696">
        <v>63774</v>
      </c>
      <c r="F2696" t="s">
        <v>1166</v>
      </c>
      <c r="G2696" t="b">
        <v>0</v>
      </c>
      <c r="H2696" t="b">
        <v>0</v>
      </c>
      <c r="I2696" t="s">
        <v>1050</v>
      </c>
      <c r="J2696">
        <v>30</v>
      </c>
      <c r="K2696" t="s">
        <v>1</v>
      </c>
      <c r="L2696" t="s">
        <v>1167</v>
      </c>
      <c r="M2696" t="s">
        <v>1168</v>
      </c>
      <c r="N2696" t="s">
        <v>1169</v>
      </c>
      <c r="O2696" t="s">
        <v>1168</v>
      </c>
      <c r="P2696" t="s">
        <v>1170</v>
      </c>
    </row>
    <row r="2697" spans="1:16" x14ac:dyDescent="0.25">
      <c r="A2697" t="s">
        <v>5646</v>
      </c>
      <c r="B2697" t="s">
        <v>5647</v>
      </c>
      <c r="C2697" t="s">
        <v>1165</v>
      </c>
      <c r="D2697" t="s">
        <v>1027</v>
      </c>
      <c r="E2697">
        <v>63774</v>
      </c>
      <c r="F2697" t="s">
        <v>1166</v>
      </c>
      <c r="G2697" t="b">
        <v>0</v>
      </c>
      <c r="H2697" t="b">
        <v>0</v>
      </c>
      <c r="I2697" t="s">
        <v>1050</v>
      </c>
      <c r="J2697">
        <v>30</v>
      </c>
      <c r="K2697" t="s">
        <v>1</v>
      </c>
      <c r="L2697" t="s">
        <v>1167</v>
      </c>
      <c r="M2697" t="s">
        <v>1168</v>
      </c>
      <c r="N2697" t="s">
        <v>1169</v>
      </c>
      <c r="O2697" t="s">
        <v>1168</v>
      </c>
      <c r="P2697" t="s">
        <v>1170</v>
      </c>
    </row>
    <row r="2698" spans="1:16" x14ac:dyDescent="0.25">
      <c r="A2698" t="s">
        <v>5648</v>
      </c>
      <c r="B2698" t="s">
        <v>5649</v>
      </c>
      <c r="C2698" t="s">
        <v>1165</v>
      </c>
      <c r="D2698" t="s">
        <v>1027</v>
      </c>
      <c r="E2698">
        <v>63774</v>
      </c>
      <c r="F2698" t="s">
        <v>1166</v>
      </c>
      <c r="G2698" t="b">
        <v>0</v>
      </c>
      <c r="H2698" t="b">
        <v>0</v>
      </c>
      <c r="I2698" t="s">
        <v>1050</v>
      </c>
      <c r="J2698">
        <v>30</v>
      </c>
      <c r="K2698" t="s">
        <v>1</v>
      </c>
      <c r="L2698" t="s">
        <v>1167</v>
      </c>
      <c r="M2698" t="s">
        <v>1168</v>
      </c>
      <c r="N2698" t="s">
        <v>1169</v>
      </c>
      <c r="O2698" t="s">
        <v>1168</v>
      </c>
      <c r="P2698" t="s">
        <v>1170</v>
      </c>
    </row>
    <row r="2699" spans="1:16" x14ac:dyDescent="0.25">
      <c r="A2699" t="s">
        <v>5650</v>
      </c>
      <c r="B2699" t="s">
        <v>5651</v>
      </c>
      <c r="C2699" t="s">
        <v>1678</v>
      </c>
      <c r="D2699" t="s">
        <v>1027</v>
      </c>
      <c r="E2699">
        <v>63786</v>
      </c>
      <c r="F2699" t="s">
        <v>1679</v>
      </c>
      <c r="G2699" t="b">
        <v>0</v>
      </c>
      <c r="H2699" t="b">
        <v>0</v>
      </c>
      <c r="I2699" t="s">
        <v>1050</v>
      </c>
      <c r="J2699">
        <v>91</v>
      </c>
      <c r="K2699" t="s">
        <v>2</v>
      </c>
      <c r="L2699" t="s">
        <v>1680</v>
      </c>
      <c r="M2699" t="s">
        <v>1680</v>
      </c>
      <c r="N2699" t="s">
        <v>1681</v>
      </c>
      <c r="O2699" t="s">
        <v>1680</v>
      </c>
      <c r="P2699" t="s">
        <v>1682</v>
      </c>
    </row>
    <row r="2700" spans="1:16" x14ac:dyDescent="0.25">
      <c r="A2700" t="s">
        <v>5652</v>
      </c>
      <c r="B2700" t="s">
        <v>5653</v>
      </c>
      <c r="C2700" t="s">
        <v>1228</v>
      </c>
      <c r="D2700" t="s">
        <v>1027</v>
      </c>
      <c r="E2700">
        <v>1660</v>
      </c>
      <c r="F2700" t="s">
        <v>1229</v>
      </c>
      <c r="G2700" t="b">
        <v>0</v>
      </c>
      <c r="H2700" t="b">
        <v>0</v>
      </c>
      <c r="I2700" t="s">
        <v>1050</v>
      </c>
      <c r="J2700">
        <v>80</v>
      </c>
      <c r="K2700" t="s">
        <v>2</v>
      </c>
      <c r="L2700" t="s">
        <v>1167</v>
      </c>
      <c r="M2700" t="s">
        <v>1168</v>
      </c>
      <c r="N2700" t="s">
        <v>1169</v>
      </c>
      <c r="O2700" t="s">
        <v>1168</v>
      </c>
      <c r="P2700" t="s">
        <v>1230</v>
      </c>
    </row>
    <row r="2701" spans="1:16" x14ac:dyDescent="0.25">
      <c r="A2701" t="s">
        <v>5654</v>
      </c>
      <c r="B2701" t="s">
        <v>5655</v>
      </c>
      <c r="C2701" t="s">
        <v>1228</v>
      </c>
      <c r="D2701" t="s">
        <v>1027</v>
      </c>
      <c r="E2701">
        <v>1660</v>
      </c>
      <c r="F2701" t="s">
        <v>1229</v>
      </c>
      <c r="G2701" t="b">
        <v>0</v>
      </c>
      <c r="H2701" t="b">
        <v>0</v>
      </c>
      <c r="I2701" t="s">
        <v>1050</v>
      </c>
      <c r="J2701">
        <v>80</v>
      </c>
      <c r="K2701" t="s">
        <v>2</v>
      </c>
      <c r="L2701" t="s">
        <v>1167</v>
      </c>
      <c r="M2701" t="s">
        <v>1168</v>
      </c>
      <c r="N2701" t="s">
        <v>1169</v>
      </c>
      <c r="O2701" t="s">
        <v>1168</v>
      </c>
      <c r="P2701" t="s">
        <v>1230</v>
      </c>
    </row>
    <row r="2702" spans="1:16" x14ac:dyDescent="0.25">
      <c r="A2702" t="s">
        <v>5656</v>
      </c>
      <c r="B2702" t="s">
        <v>5657</v>
      </c>
      <c r="C2702" t="s">
        <v>1228</v>
      </c>
      <c r="D2702" t="s">
        <v>1027</v>
      </c>
      <c r="E2702">
        <v>1660</v>
      </c>
      <c r="F2702" t="s">
        <v>1229</v>
      </c>
      <c r="G2702" t="b">
        <v>0</v>
      </c>
      <c r="H2702" t="b">
        <v>0</v>
      </c>
      <c r="I2702" t="s">
        <v>1050</v>
      </c>
      <c r="J2702">
        <v>80</v>
      </c>
      <c r="K2702" t="s">
        <v>2</v>
      </c>
      <c r="L2702" t="s">
        <v>1167</v>
      </c>
      <c r="M2702" t="s">
        <v>1168</v>
      </c>
      <c r="N2702" t="s">
        <v>1169</v>
      </c>
      <c r="O2702" t="s">
        <v>1168</v>
      </c>
      <c r="P2702" t="s">
        <v>1230</v>
      </c>
    </row>
    <row r="2703" spans="1:16" x14ac:dyDescent="0.25">
      <c r="A2703" t="s">
        <v>5658</v>
      </c>
      <c r="B2703" t="s">
        <v>5659</v>
      </c>
      <c r="C2703" t="s">
        <v>1228</v>
      </c>
      <c r="D2703" t="s">
        <v>1027</v>
      </c>
      <c r="E2703">
        <v>1660</v>
      </c>
      <c r="F2703" t="s">
        <v>1229</v>
      </c>
      <c r="G2703" t="b">
        <v>0</v>
      </c>
      <c r="H2703" t="b">
        <v>0</v>
      </c>
      <c r="I2703" t="s">
        <v>1050</v>
      </c>
      <c r="J2703">
        <v>80</v>
      </c>
      <c r="K2703" t="s">
        <v>2</v>
      </c>
      <c r="L2703" t="s">
        <v>1167</v>
      </c>
      <c r="M2703" t="s">
        <v>1168</v>
      </c>
      <c r="N2703" t="s">
        <v>1169</v>
      </c>
      <c r="O2703" t="s">
        <v>1168</v>
      </c>
      <c r="P2703" t="s">
        <v>1230</v>
      </c>
    </row>
    <row r="2704" spans="1:16" x14ac:dyDescent="0.25">
      <c r="A2704" t="s">
        <v>5660</v>
      </c>
      <c r="B2704" t="s">
        <v>5653</v>
      </c>
      <c r="C2704" t="s">
        <v>1228</v>
      </c>
      <c r="D2704" t="s">
        <v>1027</v>
      </c>
      <c r="E2704">
        <v>1660</v>
      </c>
      <c r="F2704" t="s">
        <v>1229</v>
      </c>
      <c r="G2704" t="b">
        <v>0</v>
      </c>
      <c r="H2704" t="b">
        <v>0</v>
      </c>
      <c r="I2704" t="s">
        <v>1050</v>
      </c>
      <c r="J2704">
        <v>87</v>
      </c>
      <c r="K2704" t="s">
        <v>2</v>
      </c>
      <c r="L2704" t="s">
        <v>1167</v>
      </c>
      <c r="M2704" t="s">
        <v>1168</v>
      </c>
      <c r="N2704" t="s">
        <v>1169</v>
      </c>
      <c r="O2704" t="s">
        <v>1168</v>
      </c>
      <c r="P2704" t="s">
        <v>1230</v>
      </c>
    </row>
    <row r="2705" spans="1:16" x14ac:dyDescent="0.25">
      <c r="A2705" t="s">
        <v>5661</v>
      </c>
      <c r="B2705" t="s">
        <v>5655</v>
      </c>
      <c r="C2705" t="s">
        <v>1228</v>
      </c>
      <c r="D2705" t="s">
        <v>1027</v>
      </c>
      <c r="E2705">
        <v>1660</v>
      </c>
      <c r="F2705" t="s">
        <v>1229</v>
      </c>
      <c r="G2705" t="b">
        <v>0</v>
      </c>
      <c r="H2705" t="b">
        <v>0</v>
      </c>
      <c r="I2705" t="s">
        <v>1050</v>
      </c>
      <c r="J2705">
        <v>87</v>
      </c>
      <c r="K2705" t="s">
        <v>2</v>
      </c>
      <c r="L2705" t="s">
        <v>1167</v>
      </c>
      <c r="M2705" t="s">
        <v>1168</v>
      </c>
      <c r="N2705" t="s">
        <v>1169</v>
      </c>
      <c r="O2705" t="s">
        <v>1168</v>
      </c>
      <c r="P2705" t="s">
        <v>1230</v>
      </c>
    </row>
    <row r="2706" spans="1:16" x14ac:dyDescent="0.25">
      <c r="A2706" t="s">
        <v>5662</v>
      </c>
      <c r="B2706" t="s">
        <v>5663</v>
      </c>
      <c r="C2706" t="s">
        <v>2998</v>
      </c>
      <c r="D2706" t="s">
        <v>1027</v>
      </c>
      <c r="E2706">
        <v>1721</v>
      </c>
      <c r="F2706" t="s">
        <v>2999</v>
      </c>
      <c r="G2706" t="b">
        <v>0</v>
      </c>
      <c r="H2706" t="b">
        <v>0</v>
      </c>
      <c r="I2706" t="s">
        <v>1050</v>
      </c>
      <c r="J2706">
        <v>88</v>
      </c>
      <c r="K2706" t="s">
        <v>0</v>
      </c>
      <c r="L2706" t="s">
        <v>3000</v>
      </c>
      <c r="M2706" t="s">
        <v>1548</v>
      </c>
      <c r="N2706" t="s">
        <v>1549</v>
      </c>
      <c r="O2706" t="s">
        <v>1549</v>
      </c>
      <c r="P2706" t="s">
        <v>3001</v>
      </c>
    </row>
    <row r="2707" spans="1:16" x14ac:dyDescent="0.25">
      <c r="A2707" t="s">
        <v>5664</v>
      </c>
      <c r="B2707" t="s">
        <v>5665</v>
      </c>
      <c r="C2707" t="s">
        <v>1545</v>
      </c>
      <c r="D2707" t="s">
        <v>1075</v>
      </c>
      <c r="E2707">
        <v>1721</v>
      </c>
      <c r="F2707" t="s">
        <v>2999</v>
      </c>
      <c r="G2707" t="b">
        <v>0</v>
      </c>
      <c r="H2707" t="b">
        <v>0</v>
      </c>
      <c r="I2707" t="s">
        <v>1050</v>
      </c>
      <c r="J2707">
        <v>88</v>
      </c>
      <c r="K2707" t="s">
        <v>2</v>
      </c>
      <c r="L2707" t="s">
        <v>1547</v>
      </c>
      <c r="M2707" t="s">
        <v>1548</v>
      </c>
      <c r="N2707" t="s">
        <v>1549</v>
      </c>
      <c r="O2707" t="s">
        <v>1549</v>
      </c>
      <c r="P2707" t="s">
        <v>1550</v>
      </c>
    </row>
    <row r="2708" spans="1:16" x14ac:dyDescent="0.25">
      <c r="A2708" t="s">
        <v>5666</v>
      </c>
      <c r="B2708" t="s">
        <v>5667</v>
      </c>
      <c r="C2708" t="s">
        <v>1165</v>
      </c>
      <c r="D2708" t="s">
        <v>1027</v>
      </c>
      <c r="E2708">
        <v>63774</v>
      </c>
      <c r="F2708" t="s">
        <v>1166</v>
      </c>
      <c r="G2708" t="b">
        <v>0</v>
      </c>
      <c r="H2708" t="b">
        <v>0</v>
      </c>
      <c r="I2708" t="s">
        <v>1050</v>
      </c>
      <c r="J2708">
        <v>5</v>
      </c>
      <c r="K2708" t="s">
        <v>1</v>
      </c>
      <c r="L2708" t="s">
        <v>1167</v>
      </c>
      <c r="M2708" t="s">
        <v>1168</v>
      </c>
      <c r="N2708" t="s">
        <v>1169</v>
      </c>
      <c r="O2708" t="s">
        <v>1168</v>
      </c>
      <c r="P2708" t="s">
        <v>1170</v>
      </c>
    </row>
    <row r="2709" spans="1:16" x14ac:dyDescent="0.25">
      <c r="A2709" t="s">
        <v>5668</v>
      </c>
      <c r="B2709" t="s">
        <v>5669</v>
      </c>
      <c r="C2709" t="s">
        <v>1165</v>
      </c>
      <c r="D2709" t="s">
        <v>1027</v>
      </c>
      <c r="E2709">
        <v>63774</v>
      </c>
      <c r="F2709" t="s">
        <v>1166</v>
      </c>
      <c r="G2709" t="b">
        <v>0</v>
      </c>
      <c r="H2709" t="b">
        <v>0</v>
      </c>
      <c r="I2709" t="s">
        <v>1050</v>
      </c>
      <c r="J2709">
        <v>5</v>
      </c>
      <c r="K2709" t="s">
        <v>1</v>
      </c>
      <c r="L2709" t="s">
        <v>1167</v>
      </c>
      <c r="M2709" t="s">
        <v>1168</v>
      </c>
      <c r="N2709" t="s">
        <v>1169</v>
      </c>
      <c r="O2709" t="s">
        <v>1168</v>
      </c>
      <c r="P2709" t="s">
        <v>1170</v>
      </c>
    </row>
    <row r="2710" spans="1:16" x14ac:dyDescent="0.25">
      <c r="A2710" t="s">
        <v>5670</v>
      </c>
      <c r="B2710" t="s">
        <v>5671</v>
      </c>
      <c r="C2710" t="s">
        <v>1571</v>
      </c>
      <c r="D2710" t="s">
        <v>1027</v>
      </c>
      <c r="E2710">
        <v>63767</v>
      </c>
      <c r="G2710" t="b">
        <v>0</v>
      </c>
      <c r="H2710" t="b">
        <v>0</v>
      </c>
      <c r="I2710" t="s">
        <v>1050</v>
      </c>
      <c r="J2710">
        <v>80</v>
      </c>
      <c r="K2710" t="s">
        <v>0</v>
      </c>
      <c r="L2710" t="s">
        <v>1167</v>
      </c>
      <c r="M2710" t="s">
        <v>1168</v>
      </c>
      <c r="N2710" t="s">
        <v>1169</v>
      </c>
      <c r="O2710" t="s">
        <v>1168</v>
      </c>
      <c r="P2710" t="s">
        <v>1283</v>
      </c>
    </row>
    <row r="2711" spans="1:16" x14ac:dyDescent="0.25">
      <c r="A2711" t="s">
        <v>5672</v>
      </c>
      <c r="B2711" t="s">
        <v>5673</v>
      </c>
      <c r="C2711" t="s">
        <v>1571</v>
      </c>
      <c r="D2711" t="s">
        <v>1027</v>
      </c>
      <c r="E2711">
        <v>63767</v>
      </c>
      <c r="G2711" t="b">
        <v>0</v>
      </c>
      <c r="H2711" t="b">
        <v>0</v>
      </c>
      <c r="I2711" t="s">
        <v>1050</v>
      </c>
      <c r="J2711">
        <v>80</v>
      </c>
      <c r="K2711" t="s">
        <v>0</v>
      </c>
      <c r="L2711" t="s">
        <v>1167</v>
      </c>
      <c r="M2711" t="s">
        <v>1168</v>
      </c>
      <c r="N2711" t="s">
        <v>1169</v>
      </c>
      <c r="O2711" t="s">
        <v>1168</v>
      </c>
      <c r="P2711" t="s">
        <v>1283</v>
      </c>
    </row>
    <row r="2712" spans="1:16" x14ac:dyDescent="0.25">
      <c r="A2712" t="s">
        <v>5674</v>
      </c>
      <c r="B2712" t="s">
        <v>5675</v>
      </c>
      <c r="C2712" t="s">
        <v>1571</v>
      </c>
      <c r="D2712" t="s">
        <v>1027</v>
      </c>
      <c r="E2712">
        <v>63767</v>
      </c>
      <c r="G2712" t="b">
        <v>0</v>
      </c>
      <c r="H2712" t="b">
        <v>0</v>
      </c>
      <c r="I2712" t="s">
        <v>1050</v>
      </c>
      <c r="J2712">
        <v>80</v>
      </c>
      <c r="K2712" t="s">
        <v>0</v>
      </c>
      <c r="L2712" t="s">
        <v>1167</v>
      </c>
      <c r="M2712" t="s">
        <v>1168</v>
      </c>
      <c r="N2712" t="s">
        <v>1169</v>
      </c>
      <c r="O2712" t="s">
        <v>1168</v>
      </c>
      <c r="P2712" t="s">
        <v>1283</v>
      </c>
    </row>
    <row r="2713" spans="1:16" x14ac:dyDescent="0.25">
      <c r="A2713" t="s">
        <v>5676</v>
      </c>
      <c r="B2713" t="s">
        <v>5677</v>
      </c>
      <c r="C2713" t="s">
        <v>1165</v>
      </c>
      <c r="D2713" t="s">
        <v>1027</v>
      </c>
      <c r="E2713">
        <v>63774</v>
      </c>
      <c r="F2713" t="s">
        <v>1166</v>
      </c>
      <c r="G2713" t="b">
        <v>0</v>
      </c>
      <c r="H2713" t="b">
        <v>0</v>
      </c>
      <c r="I2713" t="s">
        <v>1050</v>
      </c>
      <c r="J2713">
        <v>52</v>
      </c>
      <c r="K2713" t="s">
        <v>1</v>
      </c>
      <c r="L2713" t="s">
        <v>1167</v>
      </c>
      <c r="M2713" t="s">
        <v>1168</v>
      </c>
      <c r="N2713" t="s">
        <v>1169</v>
      </c>
      <c r="O2713" t="s">
        <v>1168</v>
      </c>
      <c r="P2713" t="s">
        <v>1170</v>
      </c>
    </row>
    <row r="2714" spans="1:16" x14ac:dyDescent="0.25">
      <c r="A2714" t="s">
        <v>5678</v>
      </c>
      <c r="B2714" t="s">
        <v>5677</v>
      </c>
      <c r="C2714" t="s">
        <v>1165</v>
      </c>
      <c r="D2714" t="s">
        <v>1027</v>
      </c>
      <c r="E2714">
        <v>63774</v>
      </c>
      <c r="F2714" t="s">
        <v>1166</v>
      </c>
      <c r="G2714" t="b">
        <v>0</v>
      </c>
      <c r="H2714" t="b">
        <v>0</v>
      </c>
      <c r="I2714" t="s">
        <v>1050</v>
      </c>
      <c r="J2714">
        <v>52</v>
      </c>
      <c r="K2714" t="s">
        <v>1</v>
      </c>
      <c r="L2714" t="s">
        <v>1167</v>
      </c>
      <c r="M2714" t="s">
        <v>1168</v>
      </c>
      <c r="N2714" t="s">
        <v>1169</v>
      </c>
      <c r="O2714" t="s">
        <v>1168</v>
      </c>
      <c r="P2714" t="s">
        <v>1170</v>
      </c>
    </row>
    <row r="2715" spans="1:16" x14ac:dyDescent="0.25">
      <c r="A2715" t="s">
        <v>5679</v>
      </c>
      <c r="B2715" t="s">
        <v>5680</v>
      </c>
      <c r="C2715" t="s">
        <v>1165</v>
      </c>
      <c r="D2715" t="s">
        <v>1027</v>
      </c>
      <c r="E2715">
        <v>63774</v>
      </c>
      <c r="F2715" t="s">
        <v>1166</v>
      </c>
      <c r="G2715" t="b">
        <v>0</v>
      </c>
      <c r="H2715" t="b">
        <v>0</v>
      </c>
      <c r="I2715" t="s">
        <v>1050</v>
      </c>
      <c r="J2715">
        <v>60</v>
      </c>
      <c r="K2715" t="s">
        <v>1</v>
      </c>
      <c r="L2715" t="s">
        <v>1167</v>
      </c>
      <c r="M2715" t="s">
        <v>1168</v>
      </c>
      <c r="N2715" t="s">
        <v>1169</v>
      </c>
      <c r="O2715" t="s">
        <v>1168</v>
      </c>
      <c r="P2715" t="s">
        <v>1170</v>
      </c>
    </row>
    <row r="2716" spans="1:16" x14ac:dyDescent="0.25">
      <c r="A2716" t="s">
        <v>5681</v>
      </c>
      <c r="B2716" t="s">
        <v>5680</v>
      </c>
      <c r="C2716" t="s">
        <v>1165</v>
      </c>
      <c r="D2716" t="s">
        <v>1027</v>
      </c>
      <c r="E2716">
        <v>63774</v>
      </c>
      <c r="F2716" t="s">
        <v>1166</v>
      </c>
      <c r="G2716" t="b">
        <v>0</v>
      </c>
      <c r="H2716" t="b">
        <v>0</v>
      </c>
      <c r="I2716" t="s">
        <v>1050</v>
      </c>
      <c r="J2716">
        <v>60</v>
      </c>
      <c r="K2716" t="s">
        <v>1</v>
      </c>
      <c r="L2716" t="s">
        <v>1167</v>
      </c>
      <c r="M2716" t="s">
        <v>1168</v>
      </c>
      <c r="N2716" t="s">
        <v>1169</v>
      </c>
      <c r="O2716" t="s">
        <v>1168</v>
      </c>
      <c r="P2716" t="s">
        <v>1170</v>
      </c>
    </row>
    <row r="2717" spans="1:16" x14ac:dyDescent="0.25">
      <c r="A2717" t="s">
        <v>5682</v>
      </c>
      <c r="B2717" t="s">
        <v>5680</v>
      </c>
      <c r="C2717" t="s">
        <v>1165</v>
      </c>
      <c r="D2717" t="s">
        <v>1027</v>
      </c>
      <c r="E2717">
        <v>63774</v>
      </c>
      <c r="F2717" t="s">
        <v>1166</v>
      </c>
      <c r="G2717" t="b">
        <v>0</v>
      </c>
      <c r="H2717" t="b">
        <v>0</v>
      </c>
      <c r="I2717" t="s">
        <v>1050</v>
      </c>
      <c r="J2717">
        <v>60</v>
      </c>
      <c r="K2717" t="s">
        <v>1</v>
      </c>
      <c r="L2717" t="s">
        <v>1167</v>
      </c>
      <c r="M2717" t="s">
        <v>1168</v>
      </c>
      <c r="N2717" t="s">
        <v>1169</v>
      </c>
      <c r="O2717" t="s">
        <v>1168</v>
      </c>
      <c r="P2717" t="s">
        <v>1170</v>
      </c>
    </row>
    <row r="2718" spans="1:16" x14ac:dyDescent="0.25">
      <c r="A2718" t="s">
        <v>5683</v>
      </c>
      <c r="B2718" t="s">
        <v>5684</v>
      </c>
      <c r="C2718" t="s">
        <v>1173</v>
      </c>
      <c r="D2718" t="s">
        <v>1027</v>
      </c>
      <c r="E2718">
        <v>63771</v>
      </c>
      <c r="F2718" t="s">
        <v>1174</v>
      </c>
      <c r="G2718" t="b">
        <v>0</v>
      </c>
      <c r="H2718" t="b">
        <v>0</v>
      </c>
      <c r="I2718" t="s">
        <v>1050</v>
      </c>
      <c r="J2718">
        <v>87</v>
      </c>
      <c r="K2718" t="s">
        <v>1</v>
      </c>
      <c r="L2718" t="s">
        <v>1175</v>
      </c>
      <c r="M2718" t="s">
        <v>1175</v>
      </c>
      <c r="N2718" t="s">
        <v>1176</v>
      </c>
      <c r="O2718" t="s">
        <v>1176</v>
      </c>
      <c r="P2718" t="s">
        <v>1177</v>
      </c>
    </row>
    <row r="2719" spans="1:16" x14ac:dyDescent="0.25">
      <c r="A2719" t="s">
        <v>5685</v>
      </c>
      <c r="B2719" t="s">
        <v>5684</v>
      </c>
      <c r="C2719" t="s">
        <v>1173</v>
      </c>
      <c r="D2719" t="s">
        <v>1027</v>
      </c>
      <c r="E2719">
        <v>63771</v>
      </c>
      <c r="F2719" t="s">
        <v>1174</v>
      </c>
      <c r="G2719" t="b">
        <v>0</v>
      </c>
      <c r="H2719" t="b">
        <v>0</v>
      </c>
      <c r="I2719" t="s">
        <v>1050</v>
      </c>
      <c r="J2719">
        <v>87</v>
      </c>
      <c r="K2719" t="s">
        <v>1</v>
      </c>
      <c r="L2719" t="s">
        <v>1175</v>
      </c>
      <c r="M2719" t="s">
        <v>1175</v>
      </c>
      <c r="N2719" t="s">
        <v>1176</v>
      </c>
      <c r="O2719" t="s">
        <v>1176</v>
      </c>
      <c r="P2719" t="s">
        <v>1177</v>
      </c>
    </row>
    <row r="2720" spans="1:16" x14ac:dyDescent="0.25">
      <c r="A2720" t="s">
        <v>5686</v>
      </c>
      <c r="B2720" t="s">
        <v>5687</v>
      </c>
      <c r="C2720" t="s">
        <v>1431</v>
      </c>
      <c r="D2720" t="s">
        <v>1027</v>
      </c>
      <c r="E2720">
        <v>41348</v>
      </c>
      <c r="F2720" t="s">
        <v>1432</v>
      </c>
      <c r="G2720" t="b">
        <v>0</v>
      </c>
      <c r="H2720" t="b">
        <v>0</v>
      </c>
      <c r="I2720" t="s">
        <v>1050</v>
      </c>
      <c r="J2720">
        <v>91</v>
      </c>
      <c r="K2720" t="s">
        <v>2</v>
      </c>
      <c r="L2720" t="s">
        <v>1168</v>
      </c>
      <c r="M2720" t="s">
        <v>1168</v>
      </c>
      <c r="N2720" t="s">
        <v>1169</v>
      </c>
      <c r="O2720" t="s">
        <v>1168</v>
      </c>
      <c r="P2720" t="s">
        <v>1434</v>
      </c>
    </row>
    <row r="2721" spans="1:16" x14ac:dyDescent="0.25">
      <c r="A2721" t="s">
        <v>5688</v>
      </c>
      <c r="B2721" t="s">
        <v>5687</v>
      </c>
      <c r="C2721" t="s">
        <v>1431</v>
      </c>
      <c r="D2721" t="s">
        <v>1027</v>
      </c>
      <c r="E2721">
        <v>41348</v>
      </c>
      <c r="F2721" t="s">
        <v>1432</v>
      </c>
      <c r="G2721" t="b">
        <v>0</v>
      </c>
      <c r="H2721" t="b">
        <v>0</v>
      </c>
      <c r="I2721" t="s">
        <v>1050</v>
      </c>
      <c r="J2721">
        <v>91</v>
      </c>
      <c r="K2721" t="s">
        <v>2</v>
      </c>
      <c r="L2721" t="s">
        <v>1168</v>
      </c>
      <c r="M2721" t="s">
        <v>1168</v>
      </c>
      <c r="N2721" t="s">
        <v>1169</v>
      </c>
      <c r="O2721" t="s">
        <v>1168</v>
      </c>
      <c r="P2721" t="s">
        <v>1434</v>
      </c>
    </row>
    <row r="2722" spans="1:16" x14ac:dyDescent="0.25">
      <c r="A2722" t="s">
        <v>5689</v>
      </c>
      <c r="B2722" t="s">
        <v>5687</v>
      </c>
      <c r="C2722" t="s">
        <v>1431</v>
      </c>
      <c r="D2722" t="s">
        <v>1027</v>
      </c>
      <c r="E2722">
        <v>41348</v>
      </c>
      <c r="F2722" t="s">
        <v>1432</v>
      </c>
      <c r="G2722" t="b">
        <v>0</v>
      </c>
      <c r="H2722" t="b">
        <v>0</v>
      </c>
      <c r="I2722" t="s">
        <v>1050</v>
      </c>
      <c r="J2722">
        <v>91</v>
      </c>
      <c r="K2722" t="s">
        <v>2</v>
      </c>
      <c r="L2722" t="s">
        <v>1168</v>
      </c>
      <c r="M2722" t="s">
        <v>1168</v>
      </c>
      <c r="N2722" t="s">
        <v>1169</v>
      </c>
      <c r="O2722" t="s">
        <v>1168</v>
      </c>
      <c r="P2722" t="s">
        <v>1434</v>
      </c>
    </row>
    <row r="2723" spans="1:16" x14ac:dyDescent="0.25">
      <c r="A2723" t="s">
        <v>5690</v>
      </c>
      <c r="B2723" t="s">
        <v>5687</v>
      </c>
      <c r="C2723" t="s">
        <v>1431</v>
      </c>
      <c r="D2723" t="s">
        <v>1027</v>
      </c>
      <c r="E2723">
        <v>41348</v>
      </c>
      <c r="F2723" t="s">
        <v>1432</v>
      </c>
      <c r="G2723" t="b">
        <v>0</v>
      </c>
      <c r="H2723" t="b">
        <v>0</v>
      </c>
      <c r="I2723" t="s">
        <v>1050</v>
      </c>
      <c r="J2723">
        <v>91</v>
      </c>
      <c r="K2723" t="s">
        <v>2</v>
      </c>
      <c r="L2723" t="s">
        <v>1168</v>
      </c>
      <c r="M2723" t="s">
        <v>1168</v>
      </c>
      <c r="N2723" t="s">
        <v>1169</v>
      </c>
      <c r="O2723" t="s">
        <v>1168</v>
      </c>
      <c r="P2723" t="s">
        <v>1434</v>
      </c>
    </row>
    <row r="2724" spans="1:16" x14ac:dyDescent="0.25">
      <c r="A2724" t="s">
        <v>5691</v>
      </c>
      <c r="B2724" t="s">
        <v>5692</v>
      </c>
      <c r="C2724" t="s">
        <v>1228</v>
      </c>
      <c r="D2724" t="s">
        <v>1027</v>
      </c>
      <c r="E2724">
        <v>1660</v>
      </c>
      <c r="F2724" t="s">
        <v>1229</v>
      </c>
      <c r="G2724" t="b">
        <v>0</v>
      </c>
      <c r="H2724" t="b">
        <v>0</v>
      </c>
      <c r="I2724" t="s">
        <v>1050</v>
      </c>
      <c r="J2724">
        <v>85</v>
      </c>
      <c r="K2724" t="s">
        <v>2</v>
      </c>
      <c r="L2724" t="s">
        <v>1167</v>
      </c>
      <c r="M2724" t="s">
        <v>1168</v>
      </c>
      <c r="N2724" t="s">
        <v>1169</v>
      </c>
      <c r="O2724" t="s">
        <v>1168</v>
      </c>
      <c r="P2724" t="s">
        <v>1230</v>
      </c>
    </row>
    <row r="2725" spans="1:16" x14ac:dyDescent="0.25">
      <c r="A2725" t="s">
        <v>5693</v>
      </c>
      <c r="B2725" t="s">
        <v>5692</v>
      </c>
      <c r="C2725" t="s">
        <v>1228</v>
      </c>
      <c r="D2725" t="s">
        <v>1027</v>
      </c>
      <c r="E2725">
        <v>1660</v>
      </c>
      <c r="F2725" t="s">
        <v>1229</v>
      </c>
      <c r="G2725" t="b">
        <v>0</v>
      </c>
      <c r="H2725" t="b">
        <v>0</v>
      </c>
      <c r="I2725" t="s">
        <v>1050</v>
      </c>
      <c r="J2725">
        <v>89</v>
      </c>
      <c r="K2725" t="s">
        <v>2</v>
      </c>
      <c r="L2725" t="s">
        <v>1167</v>
      </c>
      <c r="M2725" t="s">
        <v>1168</v>
      </c>
      <c r="N2725" t="s">
        <v>1169</v>
      </c>
      <c r="O2725" t="s">
        <v>1168</v>
      </c>
      <c r="P2725" t="s">
        <v>1230</v>
      </c>
    </row>
    <row r="2726" spans="1:16" x14ac:dyDescent="0.25">
      <c r="A2726" t="s">
        <v>5694</v>
      </c>
      <c r="B2726" t="s">
        <v>5695</v>
      </c>
      <c r="C2726" t="s">
        <v>1571</v>
      </c>
      <c r="D2726" t="s">
        <v>1027</v>
      </c>
      <c r="E2726">
        <v>63767</v>
      </c>
      <c r="G2726" t="b">
        <v>0</v>
      </c>
      <c r="H2726" t="b">
        <v>0</v>
      </c>
      <c r="I2726" t="s">
        <v>1050</v>
      </c>
      <c r="J2726">
        <v>80</v>
      </c>
      <c r="K2726" t="s">
        <v>0</v>
      </c>
      <c r="L2726" t="s">
        <v>1167</v>
      </c>
      <c r="M2726" t="s">
        <v>1168</v>
      </c>
      <c r="N2726" t="s">
        <v>1169</v>
      </c>
      <c r="O2726" t="s">
        <v>1168</v>
      </c>
      <c r="P2726" t="s">
        <v>1283</v>
      </c>
    </row>
    <row r="2727" spans="1:16" x14ac:dyDescent="0.25">
      <c r="A2727" t="s">
        <v>5696</v>
      </c>
      <c r="B2727" t="s">
        <v>5697</v>
      </c>
      <c r="C2727" t="s">
        <v>1233</v>
      </c>
      <c r="D2727" t="s">
        <v>1027</v>
      </c>
      <c r="E2727">
        <v>63762</v>
      </c>
      <c r="F2727" t="s">
        <v>1234</v>
      </c>
      <c r="G2727" t="b">
        <v>0</v>
      </c>
      <c r="H2727" t="b">
        <v>0</v>
      </c>
      <c r="I2727" t="s">
        <v>1050</v>
      </c>
      <c r="J2727">
        <v>80</v>
      </c>
      <c r="K2727" t="s">
        <v>0</v>
      </c>
      <c r="L2727" t="s">
        <v>1167</v>
      </c>
      <c r="M2727" t="s">
        <v>1168</v>
      </c>
      <c r="N2727" t="s">
        <v>1169</v>
      </c>
      <c r="O2727" t="s">
        <v>1168</v>
      </c>
      <c r="P2727" t="s">
        <v>1235</v>
      </c>
    </row>
    <row r="2728" spans="1:16" x14ac:dyDescent="0.25">
      <c r="A2728" t="s">
        <v>5698</v>
      </c>
      <c r="B2728" t="s">
        <v>5699</v>
      </c>
      <c r="C2728" t="s">
        <v>3920</v>
      </c>
      <c r="D2728" t="s">
        <v>1027</v>
      </c>
      <c r="E2728">
        <v>1351</v>
      </c>
      <c r="F2728" t="s">
        <v>3921</v>
      </c>
      <c r="G2728" t="b">
        <v>0</v>
      </c>
      <c r="H2728" t="b">
        <v>0</v>
      </c>
      <c r="I2728" t="s">
        <v>1050</v>
      </c>
      <c r="J2728">
        <v>93</v>
      </c>
      <c r="K2728" t="s">
        <v>2</v>
      </c>
      <c r="L2728" t="s">
        <v>3922</v>
      </c>
      <c r="M2728" t="s">
        <v>1548</v>
      </c>
      <c r="N2728" t="s">
        <v>1548</v>
      </c>
      <c r="O2728" t="s">
        <v>1548</v>
      </c>
      <c r="P2728" t="s">
        <v>1434</v>
      </c>
    </row>
    <row r="2729" spans="1:16" x14ac:dyDescent="0.25">
      <c r="A2729" t="s">
        <v>5700</v>
      </c>
      <c r="B2729" t="s">
        <v>5697</v>
      </c>
      <c r="C2729" t="s">
        <v>1233</v>
      </c>
      <c r="D2729" t="s">
        <v>1027</v>
      </c>
      <c r="E2729">
        <v>63762</v>
      </c>
      <c r="F2729" t="s">
        <v>1234</v>
      </c>
      <c r="G2729" t="b">
        <v>0</v>
      </c>
      <c r="H2729" t="b">
        <v>0</v>
      </c>
      <c r="I2729" t="s">
        <v>1050</v>
      </c>
      <c r="J2729">
        <v>80</v>
      </c>
      <c r="K2729" t="s">
        <v>0</v>
      </c>
      <c r="L2729" t="s">
        <v>1167</v>
      </c>
      <c r="M2729" t="s">
        <v>1168</v>
      </c>
      <c r="N2729" t="s">
        <v>1169</v>
      </c>
      <c r="O2729" t="s">
        <v>1168</v>
      </c>
      <c r="P2729" t="s">
        <v>1235</v>
      </c>
    </row>
    <row r="2730" spans="1:16" x14ac:dyDescent="0.25">
      <c r="A2730" t="s">
        <v>5701</v>
      </c>
      <c r="B2730" t="s">
        <v>5702</v>
      </c>
      <c r="C2730" t="s">
        <v>1233</v>
      </c>
      <c r="D2730" t="s">
        <v>1027</v>
      </c>
      <c r="E2730">
        <v>63762</v>
      </c>
      <c r="F2730" t="s">
        <v>1234</v>
      </c>
      <c r="G2730" t="b">
        <v>0</v>
      </c>
      <c r="H2730" t="b">
        <v>0</v>
      </c>
      <c r="I2730" t="s">
        <v>1050</v>
      </c>
      <c r="J2730">
        <v>80</v>
      </c>
      <c r="K2730" t="s">
        <v>0</v>
      </c>
      <c r="L2730" t="s">
        <v>1167</v>
      </c>
      <c r="M2730" t="s">
        <v>1168</v>
      </c>
      <c r="N2730" t="s">
        <v>1169</v>
      </c>
      <c r="O2730" t="s">
        <v>1168</v>
      </c>
      <c r="P2730" t="s">
        <v>1235</v>
      </c>
    </row>
    <row r="2731" spans="1:16" x14ac:dyDescent="0.25">
      <c r="A2731" t="s">
        <v>5703</v>
      </c>
      <c r="B2731" t="s">
        <v>5704</v>
      </c>
      <c r="C2731" t="s">
        <v>1233</v>
      </c>
      <c r="D2731" t="s">
        <v>1027</v>
      </c>
      <c r="E2731">
        <v>63762</v>
      </c>
      <c r="F2731" t="s">
        <v>1234</v>
      </c>
      <c r="G2731" t="b">
        <v>0</v>
      </c>
      <c r="H2731" t="b">
        <v>0</v>
      </c>
      <c r="I2731" t="s">
        <v>1050</v>
      </c>
      <c r="J2731">
        <v>80</v>
      </c>
      <c r="K2731" t="s">
        <v>0</v>
      </c>
      <c r="L2731" t="s">
        <v>1167</v>
      </c>
      <c r="M2731" t="s">
        <v>1168</v>
      </c>
      <c r="N2731" t="s">
        <v>1169</v>
      </c>
      <c r="O2731" t="s">
        <v>1168</v>
      </c>
      <c r="P2731" t="s">
        <v>1235</v>
      </c>
    </row>
    <row r="2732" spans="1:16" x14ac:dyDescent="0.25">
      <c r="A2732" t="s">
        <v>5705</v>
      </c>
      <c r="B2732" t="s">
        <v>5702</v>
      </c>
      <c r="C2732" t="s">
        <v>1233</v>
      </c>
      <c r="D2732" t="s">
        <v>1027</v>
      </c>
      <c r="E2732">
        <v>63762</v>
      </c>
      <c r="F2732" t="s">
        <v>1234</v>
      </c>
      <c r="G2732" t="b">
        <v>0</v>
      </c>
      <c r="H2732" t="b">
        <v>0</v>
      </c>
      <c r="I2732" t="s">
        <v>1050</v>
      </c>
      <c r="J2732">
        <v>80</v>
      </c>
      <c r="K2732" t="s">
        <v>0</v>
      </c>
      <c r="L2732" t="s">
        <v>1167</v>
      </c>
      <c r="M2732" t="s">
        <v>1168</v>
      </c>
      <c r="N2732" t="s">
        <v>1169</v>
      </c>
      <c r="O2732" t="s">
        <v>1168</v>
      </c>
      <c r="P2732" t="s">
        <v>1235</v>
      </c>
    </row>
    <row r="2733" spans="1:16" x14ac:dyDescent="0.25">
      <c r="A2733" t="s">
        <v>5706</v>
      </c>
      <c r="B2733" t="s">
        <v>5707</v>
      </c>
      <c r="C2733" t="s">
        <v>1233</v>
      </c>
      <c r="D2733" t="s">
        <v>1027</v>
      </c>
      <c r="E2733">
        <v>63762</v>
      </c>
      <c r="F2733" t="s">
        <v>1234</v>
      </c>
      <c r="G2733" t="b">
        <v>0</v>
      </c>
      <c r="H2733" t="b">
        <v>0</v>
      </c>
      <c r="I2733" t="s">
        <v>1050</v>
      </c>
      <c r="J2733">
        <v>87</v>
      </c>
      <c r="K2733" t="s">
        <v>0</v>
      </c>
      <c r="L2733" t="s">
        <v>1167</v>
      </c>
      <c r="M2733" t="s">
        <v>1168</v>
      </c>
      <c r="N2733" t="s">
        <v>1169</v>
      </c>
      <c r="O2733" t="s">
        <v>1168</v>
      </c>
      <c r="P2733" t="s">
        <v>1235</v>
      </c>
    </row>
    <row r="2734" spans="1:16" x14ac:dyDescent="0.25">
      <c r="A2734" t="s">
        <v>5708</v>
      </c>
      <c r="B2734" t="s">
        <v>5707</v>
      </c>
      <c r="C2734" t="s">
        <v>1233</v>
      </c>
      <c r="D2734" t="s">
        <v>1027</v>
      </c>
      <c r="E2734">
        <v>63762</v>
      </c>
      <c r="F2734" t="s">
        <v>1234</v>
      </c>
      <c r="G2734" t="b">
        <v>0</v>
      </c>
      <c r="H2734" t="b">
        <v>0</v>
      </c>
      <c r="I2734" t="s">
        <v>1050</v>
      </c>
      <c r="J2734">
        <v>87</v>
      </c>
      <c r="K2734" t="s">
        <v>0</v>
      </c>
      <c r="L2734" t="s">
        <v>1167</v>
      </c>
      <c r="M2734" t="s">
        <v>1168</v>
      </c>
      <c r="N2734" t="s">
        <v>1169</v>
      </c>
      <c r="O2734" t="s">
        <v>1168</v>
      </c>
      <c r="P2734" t="s">
        <v>1235</v>
      </c>
    </row>
    <row r="2735" spans="1:16" x14ac:dyDescent="0.25">
      <c r="A2735" t="s">
        <v>5709</v>
      </c>
      <c r="B2735" t="s">
        <v>5710</v>
      </c>
      <c r="C2735" t="s">
        <v>1233</v>
      </c>
      <c r="D2735" t="s">
        <v>1027</v>
      </c>
      <c r="E2735">
        <v>63762</v>
      </c>
      <c r="F2735" t="s">
        <v>1234</v>
      </c>
      <c r="G2735" t="b">
        <v>0</v>
      </c>
      <c r="H2735" t="b">
        <v>0</v>
      </c>
      <c r="I2735" t="s">
        <v>1050</v>
      </c>
      <c r="J2735">
        <v>87</v>
      </c>
      <c r="K2735" t="s">
        <v>0</v>
      </c>
      <c r="L2735" t="s">
        <v>1167</v>
      </c>
      <c r="M2735" t="s">
        <v>1168</v>
      </c>
      <c r="N2735" t="s">
        <v>1169</v>
      </c>
      <c r="O2735" t="s">
        <v>1168</v>
      </c>
      <c r="P2735" t="s">
        <v>1235</v>
      </c>
    </row>
    <row r="2736" spans="1:16" x14ac:dyDescent="0.25">
      <c r="A2736" t="s">
        <v>5711</v>
      </c>
      <c r="B2736" t="s">
        <v>5710</v>
      </c>
      <c r="C2736" t="s">
        <v>1233</v>
      </c>
      <c r="D2736" t="s">
        <v>1027</v>
      </c>
      <c r="E2736">
        <v>63762</v>
      </c>
      <c r="F2736" t="s">
        <v>1234</v>
      </c>
      <c r="G2736" t="b">
        <v>0</v>
      </c>
      <c r="H2736" t="b">
        <v>0</v>
      </c>
      <c r="I2736" t="s">
        <v>1050</v>
      </c>
      <c r="J2736">
        <v>87</v>
      </c>
      <c r="K2736" t="s">
        <v>0</v>
      </c>
      <c r="L2736" t="s">
        <v>1167</v>
      </c>
      <c r="M2736" t="s">
        <v>1168</v>
      </c>
      <c r="N2736" t="s">
        <v>1169</v>
      </c>
      <c r="O2736" t="s">
        <v>1168</v>
      </c>
      <c r="P2736" t="s">
        <v>1235</v>
      </c>
    </row>
    <row r="2737" spans="1:16" x14ac:dyDescent="0.25">
      <c r="A2737" t="s">
        <v>5712</v>
      </c>
      <c r="B2737" t="s">
        <v>5710</v>
      </c>
      <c r="C2737" t="s">
        <v>1233</v>
      </c>
      <c r="D2737" t="s">
        <v>1027</v>
      </c>
      <c r="E2737">
        <v>63762</v>
      </c>
      <c r="F2737" t="s">
        <v>1234</v>
      </c>
      <c r="G2737" t="b">
        <v>0</v>
      </c>
      <c r="H2737" t="b">
        <v>0</v>
      </c>
      <c r="I2737" t="s">
        <v>1050</v>
      </c>
      <c r="J2737">
        <v>87</v>
      </c>
      <c r="K2737" t="s">
        <v>0</v>
      </c>
      <c r="L2737" t="s">
        <v>1167</v>
      </c>
      <c r="M2737" t="s">
        <v>1168</v>
      </c>
      <c r="N2737" t="s">
        <v>1169</v>
      </c>
      <c r="O2737" t="s">
        <v>1168</v>
      </c>
      <c r="P2737" t="s">
        <v>1235</v>
      </c>
    </row>
    <row r="2738" spans="1:16" x14ac:dyDescent="0.25">
      <c r="A2738" t="s">
        <v>5713</v>
      </c>
      <c r="B2738" t="s">
        <v>5714</v>
      </c>
      <c r="C2738" t="s">
        <v>1233</v>
      </c>
      <c r="D2738" t="s">
        <v>1027</v>
      </c>
      <c r="E2738">
        <v>63762</v>
      </c>
      <c r="F2738" t="s">
        <v>1234</v>
      </c>
      <c r="G2738" t="b">
        <v>0</v>
      </c>
      <c r="H2738" t="b">
        <v>0</v>
      </c>
      <c r="I2738" t="s">
        <v>1050</v>
      </c>
      <c r="J2738">
        <v>87</v>
      </c>
      <c r="K2738" t="s">
        <v>0</v>
      </c>
      <c r="L2738" t="s">
        <v>1167</v>
      </c>
      <c r="M2738" t="s">
        <v>1168</v>
      </c>
      <c r="N2738" t="s">
        <v>1169</v>
      </c>
      <c r="O2738" t="s">
        <v>1168</v>
      </c>
      <c r="P2738" t="s">
        <v>1235</v>
      </c>
    </row>
    <row r="2739" spans="1:16" x14ac:dyDescent="0.25">
      <c r="A2739" t="s">
        <v>5715</v>
      </c>
      <c r="B2739" t="s">
        <v>5710</v>
      </c>
      <c r="C2739" t="s">
        <v>1233</v>
      </c>
      <c r="D2739" t="s">
        <v>1027</v>
      </c>
      <c r="E2739">
        <v>63762</v>
      </c>
      <c r="F2739" t="s">
        <v>1234</v>
      </c>
      <c r="G2739" t="b">
        <v>0</v>
      </c>
      <c r="H2739" t="b">
        <v>0</v>
      </c>
      <c r="I2739" t="s">
        <v>1050</v>
      </c>
      <c r="J2739">
        <v>87</v>
      </c>
      <c r="K2739" t="s">
        <v>0</v>
      </c>
      <c r="L2739" t="s">
        <v>1167</v>
      </c>
      <c r="M2739" t="s">
        <v>1168</v>
      </c>
      <c r="N2739" t="s">
        <v>1169</v>
      </c>
      <c r="O2739" t="s">
        <v>1168</v>
      </c>
      <c r="P2739" t="s">
        <v>1235</v>
      </c>
    </row>
    <row r="2740" spans="1:16" x14ac:dyDescent="0.25">
      <c r="A2740" t="s">
        <v>5716</v>
      </c>
      <c r="B2740" t="s">
        <v>5717</v>
      </c>
      <c r="C2740" t="s">
        <v>1233</v>
      </c>
      <c r="D2740" t="s">
        <v>1027</v>
      </c>
      <c r="E2740">
        <v>63762</v>
      </c>
      <c r="F2740" t="s">
        <v>1234</v>
      </c>
      <c r="G2740" t="b">
        <v>0</v>
      </c>
      <c r="H2740" t="b">
        <v>0</v>
      </c>
      <c r="I2740" t="s">
        <v>1050</v>
      </c>
      <c r="J2740">
        <v>87</v>
      </c>
      <c r="K2740" t="s">
        <v>0</v>
      </c>
      <c r="L2740" t="s">
        <v>1167</v>
      </c>
      <c r="M2740" t="s">
        <v>1168</v>
      </c>
      <c r="N2740" t="s">
        <v>1169</v>
      </c>
      <c r="O2740" t="s">
        <v>1168</v>
      </c>
      <c r="P2740" t="s">
        <v>1235</v>
      </c>
    </row>
    <row r="2741" spans="1:16" x14ac:dyDescent="0.25">
      <c r="A2741" t="s">
        <v>5718</v>
      </c>
      <c r="B2741" t="s">
        <v>5719</v>
      </c>
      <c r="C2741" t="s">
        <v>1233</v>
      </c>
      <c r="D2741" t="s">
        <v>1027</v>
      </c>
      <c r="E2741">
        <v>63762</v>
      </c>
      <c r="F2741" t="s">
        <v>1234</v>
      </c>
      <c r="G2741" t="b">
        <v>0</v>
      </c>
      <c r="H2741" t="b">
        <v>0</v>
      </c>
      <c r="I2741" t="s">
        <v>1050</v>
      </c>
      <c r="J2741">
        <v>80</v>
      </c>
      <c r="K2741" t="s">
        <v>0</v>
      </c>
      <c r="L2741" t="s">
        <v>1167</v>
      </c>
      <c r="M2741" t="s">
        <v>1168</v>
      </c>
      <c r="N2741" t="s">
        <v>1169</v>
      </c>
      <c r="O2741" t="s">
        <v>1168</v>
      </c>
      <c r="P2741" t="s">
        <v>1235</v>
      </c>
    </row>
    <row r="2742" spans="1:16" x14ac:dyDescent="0.25">
      <c r="A2742" t="s">
        <v>5720</v>
      </c>
      <c r="B2742" t="s">
        <v>5721</v>
      </c>
      <c r="C2742" t="s">
        <v>1678</v>
      </c>
      <c r="D2742" t="s">
        <v>1027</v>
      </c>
      <c r="E2742">
        <v>63786</v>
      </c>
      <c r="F2742" t="s">
        <v>1679</v>
      </c>
      <c r="G2742" t="b">
        <v>0</v>
      </c>
      <c r="H2742" t="b">
        <v>0</v>
      </c>
      <c r="I2742" t="s">
        <v>1050</v>
      </c>
      <c r="J2742">
        <v>25</v>
      </c>
      <c r="K2742" t="s">
        <v>2</v>
      </c>
      <c r="L2742" t="s">
        <v>1680</v>
      </c>
      <c r="M2742" t="s">
        <v>1680</v>
      </c>
      <c r="N2742" t="s">
        <v>1681</v>
      </c>
      <c r="O2742" t="s">
        <v>1680</v>
      </c>
      <c r="P2742" t="s">
        <v>1682</v>
      </c>
    </row>
    <row r="2743" spans="1:16" x14ac:dyDescent="0.25">
      <c r="A2743" t="s">
        <v>5722</v>
      </c>
      <c r="B2743" t="s">
        <v>5723</v>
      </c>
      <c r="C2743" t="s">
        <v>1678</v>
      </c>
      <c r="D2743" t="s">
        <v>1027</v>
      </c>
      <c r="E2743">
        <v>63786</v>
      </c>
      <c r="F2743" t="s">
        <v>1679</v>
      </c>
      <c r="G2743" t="b">
        <v>0</v>
      </c>
      <c r="H2743" t="b">
        <v>0</v>
      </c>
      <c r="I2743" t="s">
        <v>1050</v>
      </c>
      <c r="J2743">
        <v>25</v>
      </c>
      <c r="K2743" t="s">
        <v>2</v>
      </c>
      <c r="L2743" t="s">
        <v>1680</v>
      </c>
      <c r="M2743" t="s">
        <v>1680</v>
      </c>
      <c r="N2743" t="s">
        <v>1681</v>
      </c>
      <c r="O2743" t="s">
        <v>1680</v>
      </c>
      <c r="P2743" t="s">
        <v>1682</v>
      </c>
    </row>
    <row r="2744" spans="1:16" x14ac:dyDescent="0.25">
      <c r="A2744" t="s">
        <v>5724</v>
      </c>
      <c r="B2744" t="s">
        <v>5725</v>
      </c>
      <c r="C2744" t="s">
        <v>1678</v>
      </c>
      <c r="D2744" t="s">
        <v>1027</v>
      </c>
      <c r="E2744">
        <v>63786</v>
      </c>
      <c r="F2744" t="s">
        <v>1679</v>
      </c>
      <c r="G2744" t="b">
        <v>0</v>
      </c>
      <c r="H2744" t="b">
        <v>0</v>
      </c>
      <c r="I2744" t="s">
        <v>1050</v>
      </c>
      <c r="J2744">
        <v>25</v>
      </c>
      <c r="K2744" t="s">
        <v>2</v>
      </c>
      <c r="L2744" t="s">
        <v>1680</v>
      </c>
      <c r="M2744" t="s">
        <v>1680</v>
      </c>
      <c r="N2744" t="s">
        <v>1681</v>
      </c>
      <c r="O2744" t="s">
        <v>1680</v>
      </c>
      <c r="P2744" t="s">
        <v>1682</v>
      </c>
    </row>
    <row r="2745" spans="1:16" x14ac:dyDescent="0.25">
      <c r="A2745" t="s">
        <v>5726</v>
      </c>
      <c r="B2745" t="s">
        <v>5727</v>
      </c>
      <c r="C2745" t="s">
        <v>1678</v>
      </c>
      <c r="D2745" t="s">
        <v>1027</v>
      </c>
      <c r="E2745">
        <v>63786</v>
      </c>
      <c r="F2745" t="s">
        <v>1679</v>
      </c>
      <c r="G2745" t="b">
        <v>0</v>
      </c>
      <c r="H2745" t="b">
        <v>0</v>
      </c>
      <c r="I2745" t="s">
        <v>1050</v>
      </c>
      <c r="J2745">
        <v>25</v>
      </c>
      <c r="K2745" t="s">
        <v>2</v>
      </c>
      <c r="L2745" t="s">
        <v>1680</v>
      </c>
      <c r="M2745" t="s">
        <v>1680</v>
      </c>
      <c r="N2745" t="s">
        <v>1681</v>
      </c>
      <c r="O2745" t="s">
        <v>1680</v>
      </c>
      <c r="P2745" t="s">
        <v>1682</v>
      </c>
    </row>
    <row r="2746" spans="1:16" x14ac:dyDescent="0.25">
      <c r="A2746" t="s">
        <v>5728</v>
      </c>
      <c r="B2746" t="s">
        <v>5729</v>
      </c>
      <c r="C2746" t="s">
        <v>1165</v>
      </c>
      <c r="D2746" t="s">
        <v>1027</v>
      </c>
      <c r="E2746">
        <v>63774</v>
      </c>
      <c r="F2746" t="s">
        <v>1166</v>
      </c>
      <c r="G2746" t="b">
        <v>0</v>
      </c>
      <c r="H2746" t="b">
        <v>0</v>
      </c>
      <c r="I2746" t="s">
        <v>1050</v>
      </c>
      <c r="J2746">
        <v>28</v>
      </c>
      <c r="K2746" t="s">
        <v>1</v>
      </c>
      <c r="L2746" t="s">
        <v>1167</v>
      </c>
      <c r="M2746" t="s">
        <v>1168</v>
      </c>
      <c r="N2746" t="s">
        <v>1169</v>
      </c>
      <c r="O2746" t="s">
        <v>1168</v>
      </c>
      <c r="P2746" t="s">
        <v>1170</v>
      </c>
    </row>
    <row r="2747" spans="1:16" x14ac:dyDescent="0.25">
      <c r="A2747" t="s">
        <v>5730</v>
      </c>
      <c r="B2747" t="s">
        <v>5731</v>
      </c>
      <c r="C2747" t="s">
        <v>1571</v>
      </c>
      <c r="D2747" t="s">
        <v>1027</v>
      </c>
      <c r="E2747">
        <v>63767</v>
      </c>
      <c r="G2747" t="b">
        <v>0</v>
      </c>
      <c r="H2747" t="b">
        <v>0</v>
      </c>
      <c r="I2747" t="s">
        <v>1050</v>
      </c>
      <c r="J2747">
        <v>80</v>
      </c>
      <c r="K2747" t="s">
        <v>0</v>
      </c>
      <c r="L2747" t="s">
        <v>1167</v>
      </c>
      <c r="M2747" t="s">
        <v>1168</v>
      </c>
      <c r="N2747" t="s">
        <v>1169</v>
      </c>
      <c r="O2747" t="s">
        <v>1168</v>
      </c>
      <c r="P2747" t="s">
        <v>1283</v>
      </c>
    </row>
    <row r="2748" spans="1:16" x14ac:dyDescent="0.25">
      <c r="A2748" t="s">
        <v>5732</v>
      </c>
      <c r="B2748" t="s">
        <v>5733</v>
      </c>
      <c r="C2748" t="s">
        <v>1571</v>
      </c>
      <c r="D2748" t="s">
        <v>1027</v>
      </c>
      <c r="E2748">
        <v>63767</v>
      </c>
      <c r="G2748" t="b">
        <v>0</v>
      </c>
      <c r="H2748" t="b">
        <v>0</v>
      </c>
      <c r="I2748" t="s">
        <v>1050</v>
      </c>
      <c r="J2748">
        <v>80</v>
      </c>
      <c r="K2748" t="s">
        <v>0</v>
      </c>
      <c r="L2748" t="s">
        <v>1167</v>
      </c>
      <c r="M2748" t="s">
        <v>1168</v>
      </c>
      <c r="N2748" t="s">
        <v>1169</v>
      </c>
      <c r="O2748" t="s">
        <v>1168</v>
      </c>
      <c r="P2748" t="s">
        <v>1283</v>
      </c>
    </row>
    <row r="2749" spans="1:16" x14ac:dyDescent="0.25">
      <c r="A2749" t="s">
        <v>5734</v>
      </c>
      <c r="B2749" t="s">
        <v>5735</v>
      </c>
      <c r="C2749" t="s">
        <v>1571</v>
      </c>
      <c r="D2749" t="s">
        <v>1027</v>
      </c>
      <c r="E2749">
        <v>63767</v>
      </c>
      <c r="G2749" t="b">
        <v>0</v>
      </c>
      <c r="H2749" t="b">
        <v>0</v>
      </c>
      <c r="I2749" t="s">
        <v>1050</v>
      </c>
      <c r="J2749">
        <v>80</v>
      </c>
      <c r="K2749" t="s">
        <v>0</v>
      </c>
      <c r="L2749" t="s">
        <v>1167</v>
      </c>
      <c r="M2749" t="s">
        <v>1168</v>
      </c>
      <c r="N2749" t="s">
        <v>1169</v>
      </c>
      <c r="O2749" t="s">
        <v>1168</v>
      </c>
      <c r="P2749" t="s">
        <v>1283</v>
      </c>
    </row>
    <row r="2750" spans="1:16" x14ac:dyDescent="0.25">
      <c r="A2750" t="s">
        <v>5736</v>
      </c>
      <c r="B2750" t="s">
        <v>5737</v>
      </c>
      <c r="C2750" t="s">
        <v>1571</v>
      </c>
      <c r="D2750" t="s">
        <v>1027</v>
      </c>
      <c r="E2750">
        <v>63767</v>
      </c>
      <c r="G2750" t="b">
        <v>0</v>
      </c>
      <c r="H2750" t="b">
        <v>0</v>
      </c>
      <c r="I2750" t="s">
        <v>1050</v>
      </c>
      <c r="J2750">
        <v>80</v>
      </c>
      <c r="K2750" t="s">
        <v>0</v>
      </c>
      <c r="L2750" t="s">
        <v>1167</v>
      </c>
      <c r="M2750" t="s">
        <v>1168</v>
      </c>
      <c r="N2750" t="s">
        <v>1169</v>
      </c>
      <c r="O2750" t="s">
        <v>1168</v>
      </c>
      <c r="P2750" t="s">
        <v>1283</v>
      </c>
    </row>
    <row r="2751" spans="1:16" x14ac:dyDescent="0.25">
      <c r="A2751" t="s">
        <v>5738</v>
      </c>
      <c r="B2751" t="s">
        <v>5739</v>
      </c>
      <c r="C2751" t="s">
        <v>1165</v>
      </c>
      <c r="D2751" t="s">
        <v>1027</v>
      </c>
      <c r="E2751">
        <v>63774</v>
      </c>
      <c r="F2751" t="s">
        <v>1166</v>
      </c>
      <c r="G2751" t="b">
        <v>0</v>
      </c>
      <c r="H2751" t="b">
        <v>0</v>
      </c>
      <c r="I2751" t="s">
        <v>1050</v>
      </c>
      <c r="J2751">
        <v>56</v>
      </c>
      <c r="K2751" t="s">
        <v>1</v>
      </c>
      <c r="L2751" t="s">
        <v>1167</v>
      </c>
      <c r="M2751" t="s">
        <v>1168</v>
      </c>
      <c r="N2751" t="s">
        <v>1169</v>
      </c>
      <c r="O2751" t="s">
        <v>1168</v>
      </c>
      <c r="P2751" t="s">
        <v>1170</v>
      </c>
    </row>
    <row r="2752" spans="1:16" x14ac:dyDescent="0.25">
      <c r="A2752" t="s">
        <v>5740</v>
      </c>
      <c r="B2752" t="s">
        <v>5739</v>
      </c>
      <c r="C2752" t="s">
        <v>1165</v>
      </c>
      <c r="D2752" t="s">
        <v>1027</v>
      </c>
      <c r="E2752">
        <v>63774</v>
      </c>
      <c r="F2752" t="s">
        <v>1166</v>
      </c>
      <c r="G2752" t="b">
        <v>0</v>
      </c>
      <c r="H2752" t="b">
        <v>0</v>
      </c>
      <c r="I2752" t="s">
        <v>1050</v>
      </c>
      <c r="J2752">
        <v>56</v>
      </c>
      <c r="K2752" t="s">
        <v>1</v>
      </c>
      <c r="L2752" t="s">
        <v>1167</v>
      </c>
      <c r="M2752" t="s">
        <v>1168</v>
      </c>
      <c r="N2752" t="s">
        <v>1169</v>
      </c>
      <c r="O2752" t="s">
        <v>1168</v>
      </c>
      <c r="P2752" t="s">
        <v>1170</v>
      </c>
    </row>
    <row r="2753" spans="1:16" x14ac:dyDescent="0.25">
      <c r="A2753" t="s">
        <v>5741</v>
      </c>
      <c r="B2753" t="s">
        <v>5742</v>
      </c>
      <c r="C2753" t="s">
        <v>1165</v>
      </c>
      <c r="D2753" t="s">
        <v>1027</v>
      </c>
      <c r="E2753">
        <v>63774</v>
      </c>
      <c r="F2753" t="s">
        <v>1166</v>
      </c>
      <c r="G2753" t="b">
        <v>0</v>
      </c>
      <c r="H2753" t="b">
        <v>0</v>
      </c>
      <c r="I2753" t="s">
        <v>1050</v>
      </c>
      <c r="J2753">
        <v>56</v>
      </c>
      <c r="K2753" t="s">
        <v>1</v>
      </c>
      <c r="L2753" t="s">
        <v>1167</v>
      </c>
      <c r="M2753" t="s">
        <v>1168</v>
      </c>
      <c r="N2753" t="s">
        <v>1169</v>
      </c>
      <c r="O2753" t="s">
        <v>1168</v>
      </c>
      <c r="P2753" t="s">
        <v>1170</v>
      </c>
    </row>
    <row r="2754" spans="1:16" x14ac:dyDescent="0.25">
      <c r="A2754" t="s">
        <v>5743</v>
      </c>
      <c r="B2754" t="s">
        <v>5742</v>
      </c>
      <c r="C2754" t="s">
        <v>1165</v>
      </c>
      <c r="D2754" t="s">
        <v>1027</v>
      </c>
      <c r="E2754">
        <v>63774</v>
      </c>
      <c r="F2754" t="s">
        <v>1166</v>
      </c>
      <c r="G2754" t="b">
        <v>0</v>
      </c>
      <c r="H2754" t="b">
        <v>0</v>
      </c>
      <c r="I2754" t="s">
        <v>1050</v>
      </c>
      <c r="J2754">
        <v>56</v>
      </c>
      <c r="K2754" t="s">
        <v>1</v>
      </c>
      <c r="L2754" t="s">
        <v>1167</v>
      </c>
      <c r="M2754" t="s">
        <v>1168</v>
      </c>
      <c r="N2754" t="s">
        <v>1169</v>
      </c>
      <c r="O2754" t="s">
        <v>1168</v>
      </c>
      <c r="P2754" t="s">
        <v>1170</v>
      </c>
    </row>
    <row r="2755" spans="1:16" x14ac:dyDescent="0.25">
      <c r="A2755" t="s">
        <v>5744</v>
      </c>
      <c r="B2755" t="s">
        <v>5745</v>
      </c>
      <c r="C2755" t="s">
        <v>1165</v>
      </c>
      <c r="D2755" t="s">
        <v>1027</v>
      </c>
      <c r="E2755">
        <v>63774</v>
      </c>
      <c r="F2755" t="s">
        <v>1166</v>
      </c>
      <c r="G2755" t="b">
        <v>0</v>
      </c>
      <c r="H2755" t="b">
        <v>0</v>
      </c>
      <c r="I2755" t="s">
        <v>1050</v>
      </c>
      <c r="J2755">
        <v>60</v>
      </c>
      <c r="K2755" t="s">
        <v>1</v>
      </c>
      <c r="L2755" t="s">
        <v>1167</v>
      </c>
      <c r="M2755" t="s">
        <v>1168</v>
      </c>
      <c r="N2755" t="s">
        <v>1169</v>
      </c>
      <c r="O2755" t="s">
        <v>1168</v>
      </c>
      <c r="P2755" t="s">
        <v>1170</v>
      </c>
    </row>
    <row r="2756" spans="1:16" x14ac:dyDescent="0.25">
      <c r="A2756" t="s">
        <v>5746</v>
      </c>
      <c r="B2756" t="s">
        <v>5747</v>
      </c>
      <c r="C2756" t="s">
        <v>1165</v>
      </c>
      <c r="D2756" t="s">
        <v>1027</v>
      </c>
      <c r="E2756">
        <v>63774</v>
      </c>
      <c r="F2756" t="s">
        <v>1166</v>
      </c>
      <c r="G2756" t="b">
        <v>0</v>
      </c>
      <c r="H2756" t="b">
        <v>0</v>
      </c>
      <c r="I2756" t="s">
        <v>1050</v>
      </c>
      <c r="J2756">
        <v>66</v>
      </c>
      <c r="K2756" t="s">
        <v>1</v>
      </c>
      <c r="L2756" t="s">
        <v>1167</v>
      </c>
      <c r="M2756" t="s">
        <v>1168</v>
      </c>
      <c r="N2756" t="s">
        <v>1169</v>
      </c>
      <c r="O2756" t="s">
        <v>1168</v>
      </c>
      <c r="P2756" t="s">
        <v>1170</v>
      </c>
    </row>
    <row r="2757" spans="1:16" x14ac:dyDescent="0.25">
      <c r="A2757" t="s">
        <v>5748</v>
      </c>
      <c r="B2757" t="s">
        <v>5747</v>
      </c>
      <c r="C2757" t="s">
        <v>1165</v>
      </c>
      <c r="D2757" t="s">
        <v>1027</v>
      </c>
      <c r="E2757">
        <v>63774</v>
      </c>
      <c r="F2757" t="s">
        <v>1166</v>
      </c>
      <c r="G2757" t="b">
        <v>0</v>
      </c>
      <c r="H2757" t="b">
        <v>0</v>
      </c>
      <c r="I2757" t="s">
        <v>1050</v>
      </c>
      <c r="J2757">
        <v>66</v>
      </c>
      <c r="K2757" t="s">
        <v>1</v>
      </c>
      <c r="L2757" t="s">
        <v>1167</v>
      </c>
      <c r="M2757" t="s">
        <v>1168</v>
      </c>
      <c r="N2757" t="s">
        <v>1169</v>
      </c>
      <c r="O2757" t="s">
        <v>1168</v>
      </c>
      <c r="P2757" t="s">
        <v>1170</v>
      </c>
    </row>
    <row r="2758" spans="1:16" x14ac:dyDescent="0.25">
      <c r="A2758" t="s">
        <v>5749</v>
      </c>
      <c r="B2758" t="s">
        <v>5684</v>
      </c>
      <c r="C2758" t="s">
        <v>1173</v>
      </c>
      <c r="D2758" t="s">
        <v>1027</v>
      </c>
      <c r="E2758">
        <v>63771</v>
      </c>
      <c r="F2758" t="s">
        <v>1174</v>
      </c>
      <c r="G2758" t="b">
        <v>0</v>
      </c>
      <c r="H2758" t="b">
        <v>0</v>
      </c>
      <c r="I2758" t="s">
        <v>1050</v>
      </c>
      <c r="J2758">
        <v>80</v>
      </c>
      <c r="K2758" t="s">
        <v>1</v>
      </c>
      <c r="L2758" t="s">
        <v>1175</v>
      </c>
      <c r="M2758" t="s">
        <v>1175</v>
      </c>
      <c r="N2758" t="s">
        <v>1176</v>
      </c>
      <c r="O2758" t="s">
        <v>1176</v>
      </c>
      <c r="P2758" t="s">
        <v>1177</v>
      </c>
    </row>
    <row r="2759" spans="1:16" x14ac:dyDescent="0.25">
      <c r="A2759" t="s">
        <v>5750</v>
      </c>
      <c r="B2759" t="s">
        <v>5684</v>
      </c>
      <c r="C2759" t="s">
        <v>1173</v>
      </c>
      <c r="D2759" t="s">
        <v>1027</v>
      </c>
      <c r="E2759">
        <v>63771</v>
      </c>
      <c r="F2759" t="s">
        <v>1174</v>
      </c>
      <c r="G2759" t="b">
        <v>0</v>
      </c>
      <c r="H2759" t="b">
        <v>0</v>
      </c>
      <c r="I2759" t="s">
        <v>1050</v>
      </c>
      <c r="J2759">
        <v>80</v>
      </c>
      <c r="K2759" t="s">
        <v>1</v>
      </c>
      <c r="L2759" t="s">
        <v>1175</v>
      </c>
      <c r="M2759" t="s">
        <v>1175</v>
      </c>
      <c r="N2759" t="s">
        <v>1176</v>
      </c>
      <c r="O2759" t="s">
        <v>1176</v>
      </c>
      <c r="P2759" t="s">
        <v>1177</v>
      </c>
    </row>
    <row r="2760" spans="1:16" x14ac:dyDescent="0.25">
      <c r="A2760" t="s">
        <v>5751</v>
      </c>
      <c r="B2760" t="s">
        <v>5752</v>
      </c>
      <c r="C2760" t="s">
        <v>1173</v>
      </c>
      <c r="D2760" t="s">
        <v>1027</v>
      </c>
      <c r="E2760">
        <v>63771</v>
      </c>
      <c r="F2760" t="s">
        <v>1174</v>
      </c>
      <c r="G2760" t="b">
        <v>0</v>
      </c>
      <c r="H2760" t="b">
        <v>0</v>
      </c>
      <c r="I2760" t="s">
        <v>1050</v>
      </c>
      <c r="J2760">
        <v>80</v>
      </c>
      <c r="K2760" t="s">
        <v>1</v>
      </c>
      <c r="L2760" t="s">
        <v>1175</v>
      </c>
      <c r="M2760" t="s">
        <v>1175</v>
      </c>
      <c r="N2760" t="s">
        <v>1176</v>
      </c>
      <c r="O2760" t="s">
        <v>1176</v>
      </c>
      <c r="P2760" t="s">
        <v>1177</v>
      </c>
    </row>
    <row r="2761" spans="1:16" x14ac:dyDescent="0.25">
      <c r="A2761" t="s">
        <v>5753</v>
      </c>
      <c r="B2761" t="s">
        <v>5752</v>
      </c>
      <c r="C2761" t="s">
        <v>1173</v>
      </c>
      <c r="D2761" t="s">
        <v>1027</v>
      </c>
      <c r="E2761">
        <v>63771</v>
      </c>
      <c r="F2761" t="s">
        <v>1174</v>
      </c>
      <c r="G2761" t="b">
        <v>0</v>
      </c>
      <c r="H2761" t="b">
        <v>0</v>
      </c>
      <c r="I2761" t="s">
        <v>1050</v>
      </c>
      <c r="J2761">
        <v>80</v>
      </c>
      <c r="K2761" t="s">
        <v>1</v>
      </c>
      <c r="L2761" t="s">
        <v>1175</v>
      </c>
      <c r="M2761" t="s">
        <v>1175</v>
      </c>
      <c r="N2761" t="s">
        <v>1176</v>
      </c>
      <c r="O2761" t="s">
        <v>1176</v>
      </c>
      <c r="P2761" t="s">
        <v>1177</v>
      </c>
    </row>
    <row r="2762" spans="1:16" x14ac:dyDescent="0.25">
      <c r="A2762" t="s">
        <v>5754</v>
      </c>
      <c r="B2762" t="s">
        <v>5684</v>
      </c>
      <c r="C2762" t="s">
        <v>1173</v>
      </c>
      <c r="D2762" t="s">
        <v>1027</v>
      </c>
      <c r="E2762">
        <v>63771</v>
      </c>
      <c r="F2762" t="s">
        <v>1174</v>
      </c>
      <c r="G2762" t="b">
        <v>0</v>
      </c>
      <c r="H2762" t="b">
        <v>0</v>
      </c>
      <c r="I2762" t="s">
        <v>1050</v>
      </c>
      <c r="J2762">
        <v>80</v>
      </c>
      <c r="K2762" t="s">
        <v>1</v>
      </c>
      <c r="L2762" t="s">
        <v>1175</v>
      </c>
      <c r="M2762" t="s">
        <v>1175</v>
      </c>
      <c r="N2762" t="s">
        <v>1176</v>
      </c>
      <c r="O2762" t="s">
        <v>1176</v>
      </c>
      <c r="P2762" t="s">
        <v>1177</v>
      </c>
    </row>
    <row r="2763" spans="1:16" x14ac:dyDescent="0.25">
      <c r="A2763" t="s">
        <v>5755</v>
      </c>
      <c r="B2763" t="s">
        <v>5684</v>
      </c>
      <c r="C2763" t="s">
        <v>1173</v>
      </c>
      <c r="D2763" t="s">
        <v>1027</v>
      </c>
      <c r="E2763">
        <v>63771</v>
      </c>
      <c r="F2763" t="s">
        <v>1174</v>
      </c>
      <c r="G2763" t="b">
        <v>0</v>
      </c>
      <c r="H2763" t="b">
        <v>0</v>
      </c>
      <c r="I2763" t="s">
        <v>1050</v>
      </c>
      <c r="J2763">
        <v>80</v>
      </c>
      <c r="K2763" t="s">
        <v>1</v>
      </c>
      <c r="L2763" t="s">
        <v>1175</v>
      </c>
      <c r="M2763" t="s">
        <v>1175</v>
      </c>
      <c r="N2763" t="s">
        <v>1176</v>
      </c>
      <c r="O2763" t="s">
        <v>1176</v>
      </c>
      <c r="P2763" t="s">
        <v>1177</v>
      </c>
    </row>
    <row r="2764" spans="1:16" x14ac:dyDescent="0.25">
      <c r="A2764" t="s">
        <v>5756</v>
      </c>
      <c r="B2764" t="s">
        <v>5757</v>
      </c>
      <c r="C2764" t="s">
        <v>1173</v>
      </c>
      <c r="D2764" t="s">
        <v>1027</v>
      </c>
      <c r="E2764">
        <v>63771</v>
      </c>
      <c r="F2764" t="s">
        <v>1174</v>
      </c>
      <c r="G2764" t="b">
        <v>0</v>
      </c>
      <c r="H2764" t="b">
        <v>0</v>
      </c>
      <c r="I2764" t="s">
        <v>1050</v>
      </c>
      <c r="J2764">
        <v>80</v>
      </c>
      <c r="K2764" t="s">
        <v>1</v>
      </c>
      <c r="L2764" t="s">
        <v>1175</v>
      </c>
      <c r="M2764" t="s">
        <v>1175</v>
      </c>
      <c r="N2764" t="s">
        <v>1176</v>
      </c>
      <c r="O2764" t="s">
        <v>1176</v>
      </c>
      <c r="P2764" t="s">
        <v>1177</v>
      </c>
    </row>
    <row r="2765" spans="1:16" x14ac:dyDescent="0.25">
      <c r="A2765" t="s">
        <v>5758</v>
      </c>
      <c r="B2765" t="s">
        <v>5757</v>
      </c>
      <c r="C2765" t="s">
        <v>1173</v>
      </c>
      <c r="D2765" t="s">
        <v>1027</v>
      </c>
      <c r="E2765">
        <v>63771</v>
      </c>
      <c r="F2765" t="s">
        <v>1174</v>
      </c>
      <c r="G2765" t="b">
        <v>0</v>
      </c>
      <c r="H2765" t="b">
        <v>0</v>
      </c>
      <c r="I2765" t="s">
        <v>1050</v>
      </c>
      <c r="J2765">
        <v>80</v>
      </c>
      <c r="K2765" t="s">
        <v>1</v>
      </c>
      <c r="L2765" t="s">
        <v>1175</v>
      </c>
      <c r="M2765" t="s">
        <v>1175</v>
      </c>
      <c r="N2765" t="s">
        <v>1176</v>
      </c>
      <c r="O2765" t="s">
        <v>1176</v>
      </c>
      <c r="P2765" t="s">
        <v>1177</v>
      </c>
    </row>
    <row r="2766" spans="1:16" x14ac:dyDescent="0.25">
      <c r="A2766" t="s">
        <v>5759</v>
      </c>
      <c r="B2766" t="s">
        <v>5757</v>
      </c>
      <c r="C2766" t="s">
        <v>1173</v>
      </c>
      <c r="D2766" t="s">
        <v>1027</v>
      </c>
      <c r="E2766">
        <v>63771</v>
      </c>
      <c r="F2766" t="s">
        <v>1174</v>
      </c>
      <c r="G2766" t="b">
        <v>0</v>
      </c>
      <c r="H2766" t="b">
        <v>0</v>
      </c>
      <c r="I2766" t="s">
        <v>1050</v>
      </c>
      <c r="J2766">
        <v>87</v>
      </c>
      <c r="K2766" t="s">
        <v>1</v>
      </c>
      <c r="L2766" t="s">
        <v>1175</v>
      </c>
      <c r="M2766" t="s">
        <v>1175</v>
      </c>
      <c r="N2766" t="s">
        <v>1176</v>
      </c>
      <c r="O2766" t="s">
        <v>1176</v>
      </c>
      <c r="P2766" t="s">
        <v>1177</v>
      </c>
    </row>
    <row r="2767" spans="1:16" x14ac:dyDescent="0.25">
      <c r="A2767" t="s">
        <v>5760</v>
      </c>
      <c r="B2767" t="s">
        <v>5757</v>
      </c>
      <c r="C2767" t="s">
        <v>1173</v>
      </c>
      <c r="D2767" t="s">
        <v>1027</v>
      </c>
      <c r="E2767">
        <v>63771</v>
      </c>
      <c r="F2767" t="s">
        <v>1174</v>
      </c>
      <c r="G2767" t="b">
        <v>0</v>
      </c>
      <c r="H2767" t="b">
        <v>0</v>
      </c>
      <c r="I2767" t="s">
        <v>1050</v>
      </c>
      <c r="J2767">
        <v>87</v>
      </c>
      <c r="K2767" t="s">
        <v>1</v>
      </c>
      <c r="L2767" t="s">
        <v>1175</v>
      </c>
      <c r="M2767" t="s">
        <v>1175</v>
      </c>
      <c r="N2767" t="s">
        <v>1176</v>
      </c>
      <c r="O2767" t="s">
        <v>1176</v>
      </c>
      <c r="P2767" t="s">
        <v>1177</v>
      </c>
    </row>
    <row r="2768" spans="1:16" x14ac:dyDescent="0.25">
      <c r="A2768" t="s">
        <v>5761</v>
      </c>
      <c r="B2768" t="s">
        <v>5762</v>
      </c>
      <c r="C2768" t="s">
        <v>1233</v>
      </c>
      <c r="D2768" t="s">
        <v>1027</v>
      </c>
      <c r="E2768">
        <v>63762</v>
      </c>
      <c r="F2768" t="s">
        <v>1234</v>
      </c>
      <c r="G2768" t="b">
        <v>0</v>
      </c>
      <c r="H2768" t="b">
        <v>0</v>
      </c>
      <c r="I2768" t="s">
        <v>1050</v>
      </c>
      <c r="J2768">
        <v>87</v>
      </c>
      <c r="K2768" t="s">
        <v>0</v>
      </c>
      <c r="L2768" t="s">
        <v>1167</v>
      </c>
      <c r="M2768" t="s">
        <v>1168</v>
      </c>
      <c r="N2768" t="s">
        <v>1169</v>
      </c>
      <c r="O2768" t="s">
        <v>1168</v>
      </c>
      <c r="P2768" t="s">
        <v>1235</v>
      </c>
    </row>
    <row r="2769" spans="1:16" x14ac:dyDescent="0.25">
      <c r="A2769" t="s">
        <v>5763</v>
      </c>
      <c r="B2769" t="s">
        <v>5764</v>
      </c>
      <c r="C2769" t="s">
        <v>1678</v>
      </c>
      <c r="D2769" t="s">
        <v>1027</v>
      </c>
      <c r="E2769">
        <v>63786</v>
      </c>
      <c r="F2769" t="s">
        <v>1679</v>
      </c>
      <c r="G2769" t="b">
        <v>0</v>
      </c>
      <c r="H2769" t="b">
        <v>0</v>
      </c>
      <c r="I2769" t="s">
        <v>1050</v>
      </c>
      <c r="J2769">
        <v>60</v>
      </c>
      <c r="K2769" t="s">
        <v>2</v>
      </c>
      <c r="L2769" t="s">
        <v>1680</v>
      </c>
      <c r="M2769" t="s">
        <v>1680</v>
      </c>
      <c r="N2769" t="s">
        <v>1681</v>
      </c>
      <c r="O2769" t="s">
        <v>1680</v>
      </c>
      <c r="P2769" t="s">
        <v>1682</v>
      </c>
    </row>
    <row r="2770" spans="1:16" x14ac:dyDescent="0.25">
      <c r="A2770" t="s">
        <v>5765</v>
      </c>
      <c r="B2770" t="s">
        <v>5766</v>
      </c>
      <c r="C2770" t="s">
        <v>1181</v>
      </c>
      <c r="D2770" t="s">
        <v>1027</v>
      </c>
      <c r="E2770">
        <v>63765</v>
      </c>
      <c r="F2770" t="s">
        <v>1182</v>
      </c>
      <c r="G2770" t="b">
        <v>0</v>
      </c>
      <c r="H2770" t="b">
        <v>0</v>
      </c>
      <c r="I2770" t="s">
        <v>1050</v>
      </c>
      <c r="J2770" t="s">
        <v>1053</v>
      </c>
      <c r="K2770" t="s">
        <v>1043</v>
      </c>
    </row>
    <row r="2771" spans="1:16" x14ac:dyDescent="0.25">
      <c r="A2771" t="s">
        <v>5767</v>
      </c>
      <c r="B2771" t="s">
        <v>5766</v>
      </c>
      <c r="C2771" t="s">
        <v>1181</v>
      </c>
      <c r="D2771" t="s">
        <v>1027</v>
      </c>
      <c r="E2771">
        <v>63765</v>
      </c>
      <c r="F2771" t="s">
        <v>1182</v>
      </c>
      <c r="G2771" t="b">
        <v>0</v>
      </c>
      <c r="H2771" t="b">
        <v>0</v>
      </c>
      <c r="I2771" t="s">
        <v>1050</v>
      </c>
      <c r="J2771" t="s">
        <v>1053</v>
      </c>
      <c r="K2771" t="s">
        <v>1043</v>
      </c>
    </row>
    <row r="2772" spans="1:16" x14ac:dyDescent="0.25">
      <c r="A2772" t="s">
        <v>5768</v>
      </c>
      <c r="B2772" t="s">
        <v>5766</v>
      </c>
      <c r="C2772" t="s">
        <v>1181</v>
      </c>
      <c r="D2772" t="s">
        <v>1027</v>
      </c>
      <c r="E2772">
        <v>63765</v>
      </c>
      <c r="F2772" t="s">
        <v>1182</v>
      </c>
      <c r="G2772" t="b">
        <v>0</v>
      </c>
      <c r="H2772" t="b">
        <v>0</v>
      </c>
      <c r="I2772" t="s">
        <v>1050</v>
      </c>
      <c r="J2772" t="s">
        <v>1053</v>
      </c>
      <c r="K2772" t="s">
        <v>1043</v>
      </c>
    </row>
    <row r="2773" spans="1:16" x14ac:dyDescent="0.25">
      <c r="A2773" t="s">
        <v>5769</v>
      </c>
      <c r="B2773" t="s">
        <v>5770</v>
      </c>
      <c r="C2773" t="s">
        <v>1181</v>
      </c>
      <c r="D2773" t="s">
        <v>1027</v>
      </c>
      <c r="E2773">
        <v>63765</v>
      </c>
      <c r="F2773" t="s">
        <v>1182</v>
      </c>
      <c r="G2773" t="b">
        <v>0</v>
      </c>
      <c r="H2773" t="b">
        <v>0</v>
      </c>
      <c r="I2773" t="s">
        <v>1050</v>
      </c>
      <c r="J2773" t="s">
        <v>1053</v>
      </c>
      <c r="K2773" t="s">
        <v>1043</v>
      </c>
    </row>
    <row r="2774" spans="1:16" x14ac:dyDescent="0.25">
      <c r="A2774" t="s">
        <v>5771</v>
      </c>
      <c r="B2774" t="s">
        <v>5770</v>
      </c>
      <c r="C2774" t="s">
        <v>1181</v>
      </c>
      <c r="D2774" t="s">
        <v>1027</v>
      </c>
      <c r="E2774">
        <v>63765</v>
      </c>
      <c r="F2774" t="s">
        <v>1182</v>
      </c>
      <c r="G2774" t="b">
        <v>0</v>
      </c>
      <c r="H2774" t="b">
        <v>0</v>
      </c>
      <c r="I2774" t="s">
        <v>1050</v>
      </c>
      <c r="J2774" t="s">
        <v>1053</v>
      </c>
      <c r="K2774" t="s">
        <v>1043</v>
      </c>
    </row>
    <row r="2775" spans="1:16" x14ac:dyDescent="0.25">
      <c r="A2775" t="s">
        <v>5772</v>
      </c>
      <c r="B2775" t="s">
        <v>5773</v>
      </c>
      <c r="C2775" t="s">
        <v>1181</v>
      </c>
      <c r="D2775" t="s">
        <v>1027</v>
      </c>
      <c r="E2775">
        <v>63765</v>
      </c>
      <c r="F2775" t="s">
        <v>1182</v>
      </c>
      <c r="G2775" t="b">
        <v>0</v>
      </c>
      <c r="H2775" t="b">
        <v>0</v>
      </c>
      <c r="I2775" t="s">
        <v>1050</v>
      </c>
      <c r="J2775" t="s">
        <v>1053</v>
      </c>
      <c r="K2775" t="s">
        <v>1043</v>
      </c>
    </row>
    <row r="2776" spans="1:16" x14ac:dyDescent="0.25">
      <c r="A2776" t="s">
        <v>5774</v>
      </c>
      <c r="B2776" t="s">
        <v>5775</v>
      </c>
      <c r="C2776" t="s">
        <v>1181</v>
      </c>
      <c r="D2776" t="s">
        <v>1027</v>
      </c>
      <c r="E2776">
        <v>63765</v>
      </c>
      <c r="F2776" t="s">
        <v>1182</v>
      </c>
      <c r="G2776" t="b">
        <v>0</v>
      </c>
      <c r="H2776" t="b">
        <v>0</v>
      </c>
      <c r="I2776" t="s">
        <v>1050</v>
      </c>
      <c r="J2776" t="s">
        <v>1053</v>
      </c>
      <c r="K2776" t="s">
        <v>1043</v>
      </c>
    </row>
    <row r="2777" spans="1:16" x14ac:dyDescent="0.25">
      <c r="A2777" t="s">
        <v>5776</v>
      </c>
      <c r="B2777" t="s">
        <v>5775</v>
      </c>
      <c r="C2777" t="s">
        <v>1181</v>
      </c>
      <c r="D2777" t="s">
        <v>1027</v>
      </c>
      <c r="E2777">
        <v>63765</v>
      </c>
      <c r="F2777" t="s">
        <v>1182</v>
      </c>
      <c r="G2777" t="b">
        <v>0</v>
      </c>
      <c r="H2777" t="b">
        <v>0</v>
      </c>
      <c r="I2777" t="s">
        <v>1050</v>
      </c>
      <c r="J2777" t="s">
        <v>1053</v>
      </c>
      <c r="K2777" t="s">
        <v>1043</v>
      </c>
    </row>
    <row r="2778" spans="1:16" x14ac:dyDescent="0.25">
      <c r="A2778" t="s">
        <v>5777</v>
      </c>
      <c r="B2778" t="s">
        <v>5778</v>
      </c>
      <c r="C2778" t="s">
        <v>1181</v>
      </c>
      <c r="D2778" t="s">
        <v>1027</v>
      </c>
      <c r="E2778">
        <v>63765</v>
      </c>
      <c r="F2778" t="s">
        <v>1182</v>
      </c>
      <c r="G2778" t="b">
        <v>0</v>
      </c>
      <c r="H2778" t="b">
        <v>0</v>
      </c>
      <c r="I2778" t="s">
        <v>1050</v>
      </c>
      <c r="J2778" t="s">
        <v>1053</v>
      </c>
      <c r="K2778" t="s">
        <v>1043</v>
      </c>
    </row>
    <row r="2779" spans="1:16" x14ac:dyDescent="0.25">
      <c r="A2779" t="s">
        <v>5779</v>
      </c>
      <c r="B2779" t="s">
        <v>5780</v>
      </c>
      <c r="C2779" t="s">
        <v>1181</v>
      </c>
      <c r="D2779" t="s">
        <v>1027</v>
      </c>
      <c r="E2779">
        <v>63765</v>
      </c>
      <c r="F2779" t="s">
        <v>1182</v>
      </c>
      <c r="G2779" t="b">
        <v>0</v>
      </c>
      <c r="H2779" t="b">
        <v>0</v>
      </c>
      <c r="I2779" t="s">
        <v>1050</v>
      </c>
      <c r="J2779" t="s">
        <v>1053</v>
      </c>
      <c r="K2779" t="s">
        <v>1043</v>
      </c>
    </row>
    <row r="2780" spans="1:16" x14ac:dyDescent="0.25">
      <c r="A2780" t="s">
        <v>5781</v>
      </c>
      <c r="B2780" t="s">
        <v>5782</v>
      </c>
      <c r="C2780" t="s">
        <v>1181</v>
      </c>
      <c r="D2780" t="s">
        <v>1027</v>
      </c>
      <c r="E2780">
        <v>63765</v>
      </c>
      <c r="F2780" t="s">
        <v>1182</v>
      </c>
      <c r="G2780" t="b">
        <v>0</v>
      </c>
      <c r="H2780" t="b">
        <v>0</v>
      </c>
      <c r="I2780" t="s">
        <v>1050</v>
      </c>
      <c r="J2780" t="s">
        <v>1053</v>
      </c>
      <c r="K2780" t="s">
        <v>1043</v>
      </c>
    </row>
    <row r="2781" spans="1:16" x14ac:dyDescent="0.25">
      <c r="A2781" t="s">
        <v>5783</v>
      </c>
      <c r="B2781" t="s">
        <v>5778</v>
      </c>
      <c r="C2781" t="s">
        <v>1181</v>
      </c>
      <c r="D2781" t="s">
        <v>1027</v>
      </c>
      <c r="E2781">
        <v>63765</v>
      </c>
      <c r="F2781" t="s">
        <v>1182</v>
      </c>
      <c r="G2781" t="b">
        <v>0</v>
      </c>
      <c r="H2781" t="b">
        <v>0</v>
      </c>
      <c r="I2781" t="s">
        <v>1050</v>
      </c>
      <c r="J2781" t="s">
        <v>1053</v>
      </c>
      <c r="K2781" t="s">
        <v>1043</v>
      </c>
    </row>
    <row r="2782" spans="1:16" x14ac:dyDescent="0.25">
      <c r="A2782" t="s">
        <v>5784</v>
      </c>
      <c r="B2782" t="s">
        <v>5780</v>
      </c>
      <c r="C2782" t="s">
        <v>1181</v>
      </c>
      <c r="D2782" t="s">
        <v>1027</v>
      </c>
      <c r="E2782">
        <v>63765</v>
      </c>
      <c r="F2782" t="s">
        <v>1182</v>
      </c>
      <c r="G2782" t="b">
        <v>0</v>
      </c>
      <c r="H2782" t="b">
        <v>0</v>
      </c>
      <c r="I2782" t="s">
        <v>1050</v>
      </c>
      <c r="J2782" t="s">
        <v>1053</v>
      </c>
      <c r="K2782" t="s">
        <v>1043</v>
      </c>
    </row>
    <row r="2783" spans="1:16" x14ac:dyDescent="0.25">
      <c r="A2783" t="s">
        <v>5785</v>
      </c>
      <c r="B2783" t="s">
        <v>5782</v>
      </c>
      <c r="C2783" t="s">
        <v>1181</v>
      </c>
      <c r="D2783" t="s">
        <v>1027</v>
      </c>
      <c r="E2783">
        <v>63765</v>
      </c>
      <c r="F2783" t="s">
        <v>1182</v>
      </c>
      <c r="G2783" t="b">
        <v>0</v>
      </c>
      <c r="H2783" t="b">
        <v>0</v>
      </c>
      <c r="I2783" t="s">
        <v>1050</v>
      </c>
      <c r="J2783" t="s">
        <v>1053</v>
      </c>
      <c r="K2783" t="s">
        <v>1043</v>
      </c>
    </row>
    <row r="2784" spans="1:16" x14ac:dyDescent="0.25">
      <c r="A2784" t="s">
        <v>5786</v>
      </c>
      <c r="B2784" t="s">
        <v>5787</v>
      </c>
      <c r="C2784" t="s">
        <v>1181</v>
      </c>
      <c r="D2784" t="s">
        <v>1027</v>
      </c>
      <c r="E2784">
        <v>63765</v>
      </c>
      <c r="F2784" t="s">
        <v>1182</v>
      </c>
      <c r="G2784" t="b">
        <v>0</v>
      </c>
      <c r="H2784" t="b">
        <v>0</v>
      </c>
      <c r="I2784" t="s">
        <v>1050</v>
      </c>
      <c r="J2784" t="s">
        <v>1053</v>
      </c>
      <c r="K2784" t="s">
        <v>1043</v>
      </c>
    </row>
    <row r="2785" spans="1:16" x14ac:dyDescent="0.25">
      <c r="A2785" t="s">
        <v>5788</v>
      </c>
      <c r="B2785" t="s">
        <v>5787</v>
      </c>
      <c r="C2785" t="s">
        <v>1181</v>
      </c>
      <c r="D2785" t="s">
        <v>1027</v>
      </c>
      <c r="E2785">
        <v>63765</v>
      </c>
      <c r="F2785" t="s">
        <v>1182</v>
      </c>
      <c r="G2785" t="b">
        <v>0</v>
      </c>
      <c r="H2785" t="b">
        <v>0</v>
      </c>
      <c r="I2785" t="s">
        <v>1050</v>
      </c>
      <c r="J2785" t="s">
        <v>1053</v>
      </c>
      <c r="K2785" t="s">
        <v>1043</v>
      </c>
    </row>
    <row r="2786" spans="1:16" x14ac:dyDescent="0.25">
      <c r="A2786" t="s">
        <v>5789</v>
      </c>
      <c r="B2786" t="s">
        <v>5790</v>
      </c>
      <c r="C2786" t="s">
        <v>1165</v>
      </c>
      <c r="D2786" t="s">
        <v>1027</v>
      </c>
      <c r="E2786">
        <v>63774</v>
      </c>
      <c r="F2786" t="s">
        <v>1166</v>
      </c>
      <c r="G2786" t="b">
        <v>0</v>
      </c>
      <c r="H2786" t="b">
        <v>0</v>
      </c>
      <c r="I2786" t="s">
        <v>1050</v>
      </c>
      <c r="J2786">
        <v>28</v>
      </c>
      <c r="K2786" t="s">
        <v>1</v>
      </c>
      <c r="L2786" t="s">
        <v>1167</v>
      </c>
      <c r="M2786" t="s">
        <v>1168</v>
      </c>
      <c r="N2786" t="s">
        <v>1169</v>
      </c>
      <c r="O2786" t="s">
        <v>1168</v>
      </c>
      <c r="P2786" t="s">
        <v>1170</v>
      </c>
    </row>
    <row r="2787" spans="1:16" x14ac:dyDescent="0.25">
      <c r="A2787" t="s">
        <v>5791</v>
      </c>
      <c r="B2787" t="s">
        <v>5790</v>
      </c>
      <c r="C2787" t="s">
        <v>1165</v>
      </c>
      <c r="D2787" t="s">
        <v>1027</v>
      </c>
      <c r="E2787">
        <v>63774</v>
      </c>
      <c r="F2787" t="s">
        <v>1166</v>
      </c>
      <c r="G2787" t="b">
        <v>0</v>
      </c>
      <c r="H2787" t="b">
        <v>0</v>
      </c>
      <c r="I2787" t="s">
        <v>1050</v>
      </c>
      <c r="J2787">
        <v>28</v>
      </c>
      <c r="K2787" t="s">
        <v>1</v>
      </c>
      <c r="L2787" t="s">
        <v>1167</v>
      </c>
      <c r="M2787" t="s">
        <v>1168</v>
      </c>
      <c r="N2787" t="s">
        <v>1169</v>
      </c>
      <c r="O2787" t="s">
        <v>1168</v>
      </c>
      <c r="P2787" t="s">
        <v>1170</v>
      </c>
    </row>
    <row r="2788" spans="1:16" x14ac:dyDescent="0.25">
      <c r="A2788" t="s">
        <v>5792</v>
      </c>
      <c r="B2788" t="s">
        <v>5793</v>
      </c>
      <c r="C2788" t="s">
        <v>1165</v>
      </c>
      <c r="D2788" t="s">
        <v>1027</v>
      </c>
      <c r="E2788">
        <v>63774</v>
      </c>
      <c r="F2788" t="s">
        <v>1166</v>
      </c>
      <c r="G2788" t="b">
        <v>0</v>
      </c>
      <c r="H2788" t="b">
        <v>0</v>
      </c>
      <c r="I2788" t="s">
        <v>1050</v>
      </c>
      <c r="J2788">
        <v>29</v>
      </c>
      <c r="K2788" t="s">
        <v>1</v>
      </c>
      <c r="L2788" t="s">
        <v>1167</v>
      </c>
      <c r="M2788" t="s">
        <v>1168</v>
      </c>
      <c r="N2788" t="s">
        <v>1169</v>
      </c>
      <c r="O2788" t="s">
        <v>1168</v>
      </c>
      <c r="P2788" t="s">
        <v>1170</v>
      </c>
    </row>
    <row r="2789" spans="1:16" x14ac:dyDescent="0.25">
      <c r="A2789" t="s">
        <v>5794</v>
      </c>
      <c r="B2789" t="s">
        <v>5793</v>
      </c>
      <c r="C2789" t="s">
        <v>1165</v>
      </c>
      <c r="D2789" t="s">
        <v>1027</v>
      </c>
      <c r="E2789">
        <v>63774</v>
      </c>
      <c r="F2789" t="s">
        <v>1166</v>
      </c>
      <c r="G2789" t="b">
        <v>0</v>
      </c>
      <c r="H2789" t="b">
        <v>0</v>
      </c>
      <c r="I2789" t="s">
        <v>1050</v>
      </c>
      <c r="J2789">
        <v>29</v>
      </c>
      <c r="K2789" t="s">
        <v>1</v>
      </c>
      <c r="L2789" t="s">
        <v>1167</v>
      </c>
      <c r="M2789" t="s">
        <v>1168</v>
      </c>
      <c r="N2789" t="s">
        <v>1169</v>
      </c>
      <c r="O2789" t="s">
        <v>1168</v>
      </c>
      <c r="P2789" t="s">
        <v>1170</v>
      </c>
    </row>
    <row r="2790" spans="1:16" x14ac:dyDescent="0.25">
      <c r="A2790" t="s">
        <v>5795</v>
      </c>
      <c r="B2790" t="s">
        <v>5796</v>
      </c>
      <c r="C2790" t="s">
        <v>1165</v>
      </c>
      <c r="D2790" t="s">
        <v>1027</v>
      </c>
      <c r="E2790">
        <v>63774</v>
      </c>
      <c r="F2790" t="s">
        <v>1166</v>
      </c>
      <c r="G2790" t="b">
        <v>0</v>
      </c>
      <c r="H2790" t="b">
        <v>0</v>
      </c>
      <c r="I2790" t="s">
        <v>1050</v>
      </c>
      <c r="J2790">
        <v>29</v>
      </c>
      <c r="K2790" t="s">
        <v>1</v>
      </c>
      <c r="L2790" t="s">
        <v>1167</v>
      </c>
      <c r="M2790" t="s">
        <v>1168</v>
      </c>
      <c r="N2790" t="s">
        <v>1169</v>
      </c>
      <c r="O2790" t="s">
        <v>1168</v>
      </c>
      <c r="P2790" t="s">
        <v>1170</v>
      </c>
    </row>
    <row r="2791" spans="1:16" x14ac:dyDescent="0.25">
      <c r="A2791" t="s">
        <v>5797</v>
      </c>
      <c r="B2791" t="s">
        <v>5796</v>
      </c>
      <c r="C2791" t="s">
        <v>1165</v>
      </c>
      <c r="D2791" t="s">
        <v>1027</v>
      </c>
      <c r="E2791">
        <v>63774</v>
      </c>
      <c r="F2791" t="s">
        <v>1166</v>
      </c>
      <c r="G2791" t="b">
        <v>0</v>
      </c>
      <c r="H2791" t="b">
        <v>0</v>
      </c>
      <c r="I2791" t="s">
        <v>1050</v>
      </c>
      <c r="J2791">
        <v>29</v>
      </c>
      <c r="K2791" t="s">
        <v>1</v>
      </c>
      <c r="L2791" t="s">
        <v>1167</v>
      </c>
      <c r="M2791" t="s">
        <v>1168</v>
      </c>
      <c r="N2791" t="s">
        <v>1169</v>
      </c>
      <c r="O2791" t="s">
        <v>1168</v>
      </c>
      <c r="P2791" t="s">
        <v>1170</v>
      </c>
    </row>
    <row r="2792" spans="1:16" x14ac:dyDescent="0.25">
      <c r="A2792" t="s">
        <v>5798</v>
      </c>
      <c r="B2792" t="s">
        <v>5796</v>
      </c>
      <c r="C2792" t="s">
        <v>1165</v>
      </c>
      <c r="D2792" t="s">
        <v>1027</v>
      </c>
      <c r="E2792">
        <v>63774</v>
      </c>
      <c r="F2792" t="s">
        <v>1166</v>
      </c>
      <c r="G2792" t="b">
        <v>0</v>
      </c>
      <c r="H2792" t="b">
        <v>0</v>
      </c>
      <c r="I2792" t="s">
        <v>1050</v>
      </c>
      <c r="J2792">
        <v>29</v>
      </c>
      <c r="K2792" t="s">
        <v>1</v>
      </c>
      <c r="L2792" t="s">
        <v>1167</v>
      </c>
      <c r="M2792" t="s">
        <v>1168</v>
      </c>
      <c r="N2792" t="s">
        <v>1169</v>
      </c>
      <c r="O2792" t="s">
        <v>1168</v>
      </c>
      <c r="P2792" t="s">
        <v>1170</v>
      </c>
    </row>
    <row r="2793" spans="1:16" x14ac:dyDescent="0.25">
      <c r="A2793" t="s">
        <v>5799</v>
      </c>
      <c r="B2793" t="s">
        <v>5800</v>
      </c>
      <c r="C2793" t="s">
        <v>1571</v>
      </c>
      <c r="D2793" t="s">
        <v>1027</v>
      </c>
      <c r="E2793">
        <v>63767</v>
      </c>
      <c r="G2793" t="b">
        <v>0</v>
      </c>
      <c r="H2793" t="b">
        <v>0</v>
      </c>
      <c r="I2793" t="s">
        <v>1050</v>
      </c>
      <c r="J2793">
        <v>80</v>
      </c>
      <c r="K2793" t="s">
        <v>0</v>
      </c>
      <c r="L2793" t="s">
        <v>1167</v>
      </c>
      <c r="M2793" t="s">
        <v>1168</v>
      </c>
      <c r="N2793" t="s">
        <v>1169</v>
      </c>
      <c r="O2793" t="s">
        <v>1168</v>
      </c>
      <c r="P2793" t="s">
        <v>1283</v>
      </c>
    </row>
    <row r="2794" spans="1:16" x14ac:dyDescent="0.25">
      <c r="A2794" t="s">
        <v>5801</v>
      </c>
      <c r="B2794" t="s">
        <v>5802</v>
      </c>
      <c r="C2794" t="s">
        <v>1571</v>
      </c>
      <c r="D2794" t="s">
        <v>1027</v>
      </c>
      <c r="E2794">
        <v>63767</v>
      </c>
      <c r="G2794" t="b">
        <v>0</v>
      </c>
      <c r="H2794" t="b">
        <v>0</v>
      </c>
      <c r="I2794" t="s">
        <v>1050</v>
      </c>
      <c r="J2794">
        <v>87</v>
      </c>
      <c r="K2794" t="s">
        <v>0</v>
      </c>
      <c r="L2794" t="s">
        <v>1167</v>
      </c>
      <c r="M2794" t="s">
        <v>1168</v>
      </c>
      <c r="N2794" t="s">
        <v>1169</v>
      </c>
      <c r="O2794" t="s">
        <v>1168</v>
      </c>
      <c r="P2794" t="s">
        <v>1283</v>
      </c>
    </row>
    <row r="2795" spans="1:16" x14ac:dyDescent="0.25">
      <c r="A2795" t="s">
        <v>5803</v>
      </c>
      <c r="B2795" t="s">
        <v>5804</v>
      </c>
      <c r="C2795" t="s">
        <v>1571</v>
      </c>
      <c r="D2795" t="s">
        <v>1027</v>
      </c>
      <c r="E2795">
        <v>63767</v>
      </c>
      <c r="G2795" t="b">
        <v>0</v>
      </c>
      <c r="H2795" t="b">
        <v>0</v>
      </c>
      <c r="I2795" t="s">
        <v>1050</v>
      </c>
      <c r="J2795">
        <v>80</v>
      </c>
      <c r="K2795" t="s">
        <v>0</v>
      </c>
      <c r="L2795" t="s">
        <v>1167</v>
      </c>
      <c r="M2795" t="s">
        <v>1168</v>
      </c>
      <c r="N2795" t="s">
        <v>1169</v>
      </c>
      <c r="O2795" t="s">
        <v>1168</v>
      </c>
      <c r="P2795" t="s">
        <v>1283</v>
      </c>
    </row>
    <row r="2796" spans="1:16" x14ac:dyDescent="0.25">
      <c r="A2796" t="s">
        <v>5805</v>
      </c>
      <c r="B2796" t="s">
        <v>5806</v>
      </c>
      <c r="C2796" t="s">
        <v>1571</v>
      </c>
      <c r="D2796" t="s">
        <v>1027</v>
      </c>
      <c r="E2796">
        <v>63767</v>
      </c>
      <c r="G2796" t="b">
        <v>0</v>
      </c>
      <c r="H2796" t="b">
        <v>0</v>
      </c>
      <c r="I2796" t="s">
        <v>1050</v>
      </c>
      <c r="J2796">
        <v>80</v>
      </c>
      <c r="K2796" t="s">
        <v>0</v>
      </c>
      <c r="L2796" t="s">
        <v>1167</v>
      </c>
      <c r="M2796" t="s">
        <v>1168</v>
      </c>
      <c r="N2796" t="s">
        <v>1169</v>
      </c>
      <c r="O2796" t="s">
        <v>1168</v>
      </c>
      <c r="P2796" t="s">
        <v>1283</v>
      </c>
    </row>
    <row r="2797" spans="1:16" x14ac:dyDescent="0.25">
      <c r="A2797" t="s">
        <v>5807</v>
      </c>
      <c r="B2797" t="s">
        <v>5808</v>
      </c>
      <c r="C2797" t="s">
        <v>1228</v>
      </c>
      <c r="D2797" t="s">
        <v>1027</v>
      </c>
      <c r="E2797">
        <v>1660</v>
      </c>
      <c r="F2797" t="s">
        <v>1229</v>
      </c>
      <c r="G2797" t="b">
        <v>0</v>
      </c>
      <c r="H2797" t="b">
        <v>0</v>
      </c>
      <c r="I2797" t="s">
        <v>1050</v>
      </c>
      <c r="J2797">
        <v>88</v>
      </c>
      <c r="K2797" t="s">
        <v>2</v>
      </c>
      <c r="L2797" t="s">
        <v>1167</v>
      </c>
      <c r="M2797" t="s">
        <v>1168</v>
      </c>
      <c r="N2797" t="s">
        <v>1169</v>
      </c>
      <c r="O2797" t="s">
        <v>1168</v>
      </c>
      <c r="P2797" t="s">
        <v>1230</v>
      </c>
    </row>
    <row r="2798" spans="1:16" x14ac:dyDescent="0.25">
      <c r="A2798" t="s">
        <v>5809</v>
      </c>
      <c r="B2798" t="s">
        <v>5808</v>
      </c>
      <c r="C2798" t="s">
        <v>1228</v>
      </c>
      <c r="D2798" t="s">
        <v>1027</v>
      </c>
      <c r="E2798">
        <v>1660</v>
      </c>
      <c r="F2798" t="s">
        <v>1229</v>
      </c>
      <c r="G2798" t="b">
        <v>0</v>
      </c>
      <c r="H2798" t="b">
        <v>0</v>
      </c>
      <c r="I2798" t="s">
        <v>1050</v>
      </c>
      <c r="J2798">
        <v>88</v>
      </c>
      <c r="K2798" t="s">
        <v>2</v>
      </c>
      <c r="L2798" t="s">
        <v>1167</v>
      </c>
      <c r="M2798" t="s">
        <v>1168</v>
      </c>
      <c r="N2798" t="s">
        <v>1169</v>
      </c>
      <c r="O2798" t="s">
        <v>1168</v>
      </c>
      <c r="P2798" t="s">
        <v>1230</v>
      </c>
    </row>
    <row r="2799" spans="1:16" x14ac:dyDescent="0.25">
      <c r="A2799" t="s">
        <v>5810</v>
      </c>
      <c r="B2799" t="s">
        <v>5808</v>
      </c>
      <c r="C2799" t="s">
        <v>1228</v>
      </c>
      <c r="D2799" t="s">
        <v>1027</v>
      </c>
      <c r="E2799">
        <v>1660</v>
      </c>
      <c r="F2799" t="s">
        <v>1229</v>
      </c>
      <c r="G2799" t="b">
        <v>0</v>
      </c>
      <c r="H2799" t="b">
        <v>0</v>
      </c>
      <c r="I2799" t="s">
        <v>1050</v>
      </c>
      <c r="J2799">
        <v>88</v>
      </c>
      <c r="K2799" t="s">
        <v>2</v>
      </c>
      <c r="L2799" t="s">
        <v>1167</v>
      </c>
      <c r="M2799" t="s">
        <v>1168</v>
      </c>
      <c r="N2799" t="s">
        <v>1169</v>
      </c>
      <c r="O2799" t="s">
        <v>1168</v>
      </c>
      <c r="P2799" t="s">
        <v>1230</v>
      </c>
    </row>
    <row r="2800" spans="1:16" x14ac:dyDescent="0.25">
      <c r="A2800" t="s">
        <v>5811</v>
      </c>
      <c r="B2800" t="s">
        <v>5808</v>
      </c>
      <c r="C2800" t="s">
        <v>1228</v>
      </c>
      <c r="D2800" t="s">
        <v>1027</v>
      </c>
      <c r="E2800">
        <v>1660</v>
      </c>
      <c r="F2800" t="s">
        <v>1229</v>
      </c>
      <c r="G2800" t="b">
        <v>0</v>
      </c>
      <c r="H2800" t="b">
        <v>0</v>
      </c>
      <c r="I2800" t="s">
        <v>1050</v>
      </c>
      <c r="J2800">
        <v>88</v>
      </c>
      <c r="K2800" t="s">
        <v>2</v>
      </c>
      <c r="L2800" t="s">
        <v>1167</v>
      </c>
      <c r="M2800" t="s">
        <v>1168</v>
      </c>
      <c r="N2800" t="s">
        <v>1169</v>
      </c>
      <c r="O2800" t="s">
        <v>1168</v>
      </c>
      <c r="P2800" t="s">
        <v>1230</v>
      </c>
    </row>
    <row r="2801" spans="1:16" x14ac:dyDescent="0.25">
      <c r="A2801" t="s">
        <v>5812</v>
      </c>
      <c r="B2801" t="s">
        <v>5808</v>
      </c>
      <c r="C2801" t="s">
        <v>1228</v>
      </c>
      <c r="D2801" t="s">
        <v>1027</v>
      </c>
      <c r="E2801">
        <v>1660</v>
      </c>
      <c r="F2801" t="s">
        <v>1229</v>
      </c>
      <c r="G2801" t="b">
        <v>0</v>
      </c>
      <c r="H2801" t="b">
        <v>0</v>
      </c>
      <c r="I2801" t="s">
        <v>1050</v>
      </c>
      <c r="J2801">
        <v>88</v>
      </c>
      <c r="K2801" t="s">
        <v>2</v>
      </c>
      <c r="L2801" t="s">
        <v>1167</v>
      </c>
      <c r="M2801" t="s">
        <v>1168</v>
      </c>
      <c r="N2801" t="s">
        <v>1169</v>
      </c>
      <c r="O2801" t="s">
        <v>1168</v>
      </c>
      <c r="P2801" t="s">
        <v>1230</v>
      </c>
    </row>
    <row r="2802" spans="1:16" x14ac:dyDescent="0.25">
      <c r="A2802" t="s">
        <v>5813</v>
      </c>
      <c r="B2802" t="s">
        <v>5808</v>
      </c>
      <c r="C2802" t="s">
        <v>1228</v>
      </c>
      <c r="D2802" t="s">
        <v>1027</v>
      </c>
      <c r="E2802">
        <v>1660</v>
      </c>
      <c r="F2802" t="s">
        <v>1229</v>
      </c>
      <c r="G2802" t="b">
        <v>0</v>
      </c>
      <c r="H2802" t="b">
        <v>0</v>
      </c>
      <c r="I2802" t="s">
        <v>1050</v>
      </c>
      <c r="J2802">
        <v>88</v>
      </c>
      <c r="K2802" t="s">
        <v>2</v>
      </c>
      <c r="L2802" t="s">
        <v>1167</v>
      </c>
      <c r="M2802" t="s">
        <v>1168</v>
      </c>
      <c r="N2802" t="s">
        <v>1169</v>
      </c>
      <c r="O2802" t="s">
        <v>1168</v>
      </c>
      <c r="P2802" t="s">
        <v>1230</v>
      </c>
    </row>
    <row r="2803" spans="1:16" x14ac:dyDescent="0.25">
      <c r="A2803" t="s">
        <v>5814</v>
      </c>
      <c r="B2803" t="s">
        <v>5815</v>
      </c>
      <c r="C2803" t="s">
        <v>1233</v>
      </c>
      <c r="D2803" t="s">
        <v>1027</v>
      </c>
      <c r="E2803">
        <v>63762</v>
      </c>
      <c r="F2803" t="s">
        <v>1234</v>
      </c>
      <c r="G2803" t="b">
        <v>0</v>
      </c>
      <c r="H2803" t="b">
        <v>0</v>
      </c>
      <c r="I2803" t="s">
        <v>1050</v>
      </c>
      <c r="J2803">
        <v>80</v>
      </c>
      <c r="K2803" t="s">
        <v>0</v>
      </c>
      <c r="L2803" t="s">
        <v>1167</v>
      </c>
      <c r="M2803" t="s">
        <v>1168</v>
      </c>
      <c r="N2803" t="s">
        <v>1169</v>
      </c>
      <c r="O2803" t="s">
        <v>1168</v>
      </c>
      <c r="P2803" t="s">
        <v>1235</v>
      </c>
    </row>
    <row r="2804" spans="1:16" x14ac:dyDescent="0.25">
      <c r="A2804" t="s">
        <v>5816</v>
      </c>
      <c r="B2804" t="s">
        <v>5815</v>
      </c>
      <c r="C2804" t="s">
        <v>1233</v>
      </c>
      <c r="D2804" t="s">
        <v>1027</v>
      </c>
      <c r="E2804">
        <v>63762</v>
      </c>
      <c r="F2804" t="s">
        <v>1234</v>
      </c>
      <c r="G2804" t="b">
        <v>0</v>
      </c>
      <c r="H2804" t="b">
        <v>0</v>
      </c>
      <c r="I2804" t="s">
        <v>1050</v>
      </c>
      <c r="J2804">
        <v>80</v>
      </c>
      <c r="K2804" t="s">
        <v>0</v>
      </c>
      <c r="L2804" t="s">
        <v>1167</v>
      </c>
      <c r="M2804" t="s">
        <v>1168</v>
      </c>
      <c r="N2804" t="s">
        <v>1169</v>
      </c>
      <c r="O2804" t="s">
        <v>1168</v>
      </c>
      <c r="P2804" t="s">
        <v>1235</v>
      </c>
    </row>
    <row r="2805" spans="1:16" x14ac:dyDescent="0.25">
      <c r="A2805" t="s">
        <v>5817</v>
      </c>
      <c r="B2805" t="s">
        <v>5818</v>
      </c>
      <c r="C2805" t="s">
        <v>1165</v>
      </c>
      <c r="D2805" t="s">
        <v>1027</v>
      </c>
      <c r="E2805">
        <v>63774</v>
      </c>
      <c r="F2805" t="s">
        <v>1166</v>
      </c>
      <c r="G2805" t="b">
        <v>0</v>
      </c>
      <c r="H2805" t="b">
        <v>0</v>
      </c>
      <c r="I2805" t="s">
        <v>1050</v>
      </c>
      <c r="J2805">
        <v>28</v>
      </c>
      <c r="K2805" t="s">
        <v>1</v>
      </c>
      <c r="L2805" t="s">
        <v>1167</v>
      </c>
      <c r="M2805" t="s">
        <v>1168</v>
      </c>
      <c r="N2805" t="s">
        <v>1169</v>
      </c>
      <c r="O2805" t="s">
        <v>1168</v>
      </c>
      <c r="P2805" t="s">
        <v>1170</v>
      </c>
    </row>
    <row r="2806" spans="1:16" x14ac:dyDescent="0.25">
      <c r="A2806" t="s">
        <v>5819</v>
      </c>
      <c r="B2806" t="s">
        <v>5820</v>
      </c>
      <c r="C2806" t="s">
        <v>1571</v>
      </c>
      <c r="D2806" t="s">
        <v>1027</v>
      </c>
      <c r="E2806">
        <v>63767</v>
      </c>
      <c r="G2806" t="b">
        <v>0</v>
      </c>
      <c r="H2806" t="b">
        <v>0</v>
      </c>
      <c r="I2806" t="s">
        <v>1050</v>
      </c>
      <c r="J2806">
        <v>80</v>
      </c>
      <c r="K2806" t="s">
        <v>0</v>
      </c>
      <c r="L2806" t="s">
        <v>1167</v>
      </c>
      <c r="M2806" t="s">
        <v>1168</v>
      </c>
      <c r="N2806" t="s">
        <v>1169</v>
      </c>
      <c r="O2806" t="s">
        <v>1168</v>
      </c>
      <c r="P2806" t="s">
        <v>1283</v>
      </c>
    </row>
    <row r="2807" spans="1:16" x14ac:dyDescent="0.25">
      <c r="A2807" t="s">
        <v>5821</v>
      </c>
      <c r="B2807" t="s">
        <v>5822</v>
      </c>
      <c r="C2807" t="s">
        <v>1571</v>
      </c>
      <c r="D2807" t="s">
        <v>1027</v>
      </c>
      <c r="E2807">
        <v>63767</v>
      </c>
      <c r="G2807" t="b">
        <v>0</v>
      </c>
      <c r="H2807" t="b">
        <v>0</v>
      </c>
      <c r="I2807" t="s">
        <v>1050</v>
      </c>
      <c r="J2807">
        <v>80</v>
      </c>
      <c r="K2807" t="s">
        <v>0</v>
      </c>
      <c r="L2807" t="s">
        <v>1167</v>
      </c>
      <c r="M2807" t="s">
        <v>1168</v>
      </c>
      <c r="N2807" t="s">
        <v>1169</v>
      </c>
      <c r="O2807" t="s">
        <v>1168</v>
      </c>
      <c r="P2807" t="s">
        <v>1283</v>
      </c>
    </row>
    <row r="2808" spans="1:16" x14ac:dyDescent="0.25">
      <c r="A2808" t="s">
        <v>5823</v>
      </c>
      <c r="B2808" t="s">
        <v>5824</v>
      </c>
      <c r="C2808" t="s">
        <v>1165</v>
      </c>
      <c r="D2808" t="s">
        <v>1027</v>
      </c>
      <c r="E2808">
        <v>63774</v>
      </c>
      <c r="F2808" t="s">
        <v>1166</v>
      </c>
      <c r="G2808" t="b">
        <v>0</v>
      </c>
      <c r="H2808" t="b">
        <v>0</v>
      </c>
      <c r="I2808" t="s">
        <v>1050</v>
      </c>
      <c r="J2808">
        <v>57</v>
      </c>
      <c r="K2808" t="s">
        <v>1</v>
      </c>
      <c r="L2808" t="s">
        <v>1167</v>
      </c>
      <c r="M2808" t="s">
        <v>1168</v>
      </c>
      <c r="N2808" t="s">
        <v>1169</v>
      </c>
      <c r="O2808" t="s">
        <v>1168</v>
      </c>
      <c r="P2808" t="s">
        <v>1170</v>
      </c>
    </row>
    <row r="2809" spans="1:16" x14ac:dyDescent="0.25">
      <c r="A2809" t="s">
        <v>5825</v>
      </c>
      <c r="B2809" t="s">
        <v>5826</v>
      </c>
      <c r="C2809" t="s">
        <v>1545</v>
      </c>
      <c r="D2809" t="s">
        <v>1027</v>
      </c>
      <c r="E2809">
        <v>1322</v>
      </c>
      <c r="F2809" t="s">
        <v>1546</v>
      </c>
      <c r="G2809" t="b">
        <v>0</v>
      </c>
      <c r="H2809" t="b">
        <v>0</v>
      </c>
      <c r="I2809" t="s">
        <v>1050</v>
      </c>
      <c r="J2809">
        <v>88</v>
      </c>
      <c r="K2809" t="s">
        <v>2</v>
      </c>
      <c r="L2809" t="s">
        <v>1547</v>
      </c>
      <c r="M2809" t="s">
        <v>1548</v>
      </c>
      <c r="N2809" t="s">
        <v>1549</v>
      </c>
      <c r="O2809" t="s">
        <v>1549</v>
      </c>
      <c r="P2809" t="s">
        <v>1550</v>
      </c>
    </row>
    <row r="2810" spans="1:16" x14ac:dyDescent="0.25">
      <c r="A2810" t="s">
        <v>5827</v>
      </c>
      <c r="B2810" t="s">
        <v>5828</v>
      </c>
      <c r="C2810" t="s">
        <v>1233</v>
      </c>
      <c r="D2810" t="s">
        <v>1027</v>
      </c>
      <c r="E2810">
        <v>63762</v>
      </c>
      <c r="F2810" t="s">
        <v>1234</v>
      </c>
      <c r="G2810" t="b">
        <v>0</v>
      </c>
      <c r="H2810" t="b">
        <v>0</v>
      </c>
      <c r="I2810" t="s">
        <v>1050</v>
      </c>
      <c r="J2810">
        <v>88</v>
      </c>
      <c r="K2810" t="s">
        <v>0</v>
      </c>
      <c r="L2810" t="s">
        <v>1167</v>
      </c>
      <c r="M2810" t="s">
        <v>1168</v>
      </c>
      <c r="N2810" t="s">
        <v>1169</v>
      </c>
      <c r="O2810" t="s">
        <v>1168</v>
      </c>
      <c r="P2810" t="s">
        <v>1235</v>
      </c>
    </row>
    <row r="2811" spans="1:16" x14ac:dyDescent="0.25">
      <c r="A2811" t="s">
        <v>5829</v>
      </c>
      <c r="B2811" t="s">
        <v>5830</v>
      </c>
      <c r="C2811" t="s">
        <v>1228</v>
      </c>
      <c r="D2811" t="s">
        <v>1027</v>
      </c>
      <c r="E2811">
        <v>1660</v>
      </c>
      <c r="F2811" t="s">
        <v>1229</v>
      </c>
      <c r="G2811" t="b">
        <v>0</v>
      </c>
      <c r="H2811" t="b">
        <v>0</v>
      </c>
      <c r="I2811" t="s">
        <v>1050</v>
      </c>
      <c r="J2811">
        <v>89</v>
      </c>
      <c r="K2811" t="s">
        <v>2</v>
      </c>
      <c r="L2811" t="s">
        <v>1167</v>
      </c>
      <c r="M2811" t="s">
        <v>1168</v>
      </c>
      <c r="N2811" t="s">
        <v>1169</v>
      </c>
      <c r="O2811" t="s">
        <v>1168</v>
      </c>
      <c r="P2811" t="s">
        <v>1230</v>
      </c>
    </row>
    <row r="2812" spans="1:16" x14ac:dyDescent="0.25">
      <c r="A2812" t="s">
        <v>5831</v>
      </c>
      <c r="B2812" t="s">
        <v>5830</v>
      </c>
      <c r="C2812" t="s">
        <v>1228</v>
      </c>
      <c r="D2812" t="s">
        <v>1027</v>
      </c>
      <c r="E2812">
        <v>1660</v>
      </c>
      <c r="F2812" t="s">
        <v>1229</v>
      </c>
      <c r="G2812" t="b">
        <v>0</v>
      </c>
      <c r="H2812" t="b">
        <v>0</v>
      </c>
      <c r="I2812" t="s">
        <v>1050</v>
      </c>
      <c r="J2812">
        <v>89</v>
      </c>
      <c r="K2812" t="s">
        <v>2</v>
      </c>
      <c r="L2812" t="s">
        <v>1167</v>
      </c>
      <c r="M2812" t="s">
        <v>1168</v>
      </c>
      <c r="N2812" t="s">
        <v>1169</v>
      </c>
      <c r="O2812" t="s">
        <v>1168</v>
      </c>
      <c r="P2812" t="s">
        <v>1230</v>
      </c>
    </row>
    <row r="2813" spans="1:16" x14ac:dyDescent="0.25">
      <c r="A2813" t="s">
        <v>5832</v>
      </c>
      <c r="B2813" t="s">
        <v>5830</v>
      </c>
      <c r="C2813" t="s">
        <v>1228</v>
      </c>
      <c r="D2813" t="s">
        <v>1027</v>
      </c>
      <c r="E2813">
        <v>1660</v>
      </c>
      <c r="F2813" t="s">
        <v>1229</v>
      </c>
      <c r="G2813" t="b">
        <v>0</v>
      </c>
      <c r="H2813" t="b">
        <v>0</v>
      </c>
      <c r="I2813" t="s">
        <v>1050</v>
      </c>
      <c r="J2813">
        <v>89</v>
      </c>
      <c r="K2813" t="s">
        <v>2</v>
      </c>
      <c r="L2813" t="s">
        <v>1167</v>
      </c>
      <c r="M2813" t="s">
        <v>1168</v>
      </c>
      <c r="N2813" t="s">
        <v>1169</v>
      </c>
      <c r="O2813" t="s">
        <v>1168</v>
      </c>
      <c r="P2813" t="s">
        <v>1230</v>
      </c>
    </row>
    <row r="2814" spans="1:16" x14ac:dyDescent="0.25">
      <c r="A2814" t="s">
        <v>5833</v>
      </c>
      <c r="B2814" t="s">
        <v>5830</v>
      </c>
      <c r="C2814" t="s">
        <v>1228</v>
      </c>
      <c r="D2814" t="s">
        <v>1027</v>
      </c>
      <c r="E2814">
        <v>1660</v>
      </c>
      <c r="F2814" t="s">
        <v>1229</v>
      </c>
      <c r="G2814" t="b">
        <v>0</v>
      </c>
      <c r="H2814" t="b">
        <v>0</v>
      </c>
      <c r="I2814" t="s">
        <v>1050</v>
      </c>
      <c r="J2814">
        <v>89</v>
      </c>
      <c r="K2814" t="s">
        <v>2</v>
      </c>
      <c r="L2814" t="s">
        <v>1167</v>
      </c>
      <c r="M2814" t="s">
        <v>1168</v>
      </c>
      <c r="N2814" t="s">
        <v>1169</v>
      </c>
      <c r="O2814" t="s">
        <v>1168</v>
      </c>
      <c r="P2814" t="s">
        <v>1230</v>
      </c>
    </row>
    <row r="2815" spans="1:16" x14ac:dyDescent="0.25">
      <c r="A2815" t="s">
        <v>5834</v>
      </c>
      <c r="B2815" t="s">
        <v>5830</v>
      </c>
      <c r="C2815" t="s">
        <v>1228</v>
      </c>
      <c r="D2815" t="s">
        <v>1027</v>
      </c>
      <c r="E2815">
        <v>1660</v>
      </c>
      <c r="F2815" t="s">
        <v>1229</v>
      </c>
      <c r="G2815" t="b">
        <v>0</v>
      </c>
      <c r="H2815" t="b">
        <v>0</v>
      </c>
      <c r="I2815" t="s">
        <v>1050</v>
      </c>
      <c r="J2815">
        <v>91</v>
      </c>
      <c r="K2815" t="s">
        <v>2</v>
      </c>
      <c r="L2815" t="s">
        <v>1167</v>
      </c>
      <c r="M2815" t="s">
        <v>1168</v>
      </c>
      <c r="N2815" t="s">
        <v>1169</v>
      </c>
      <c r="O2815" t="s">
        <v>1168</v>
      </c>
      <c r="P2815" t="s">
        <v>1230</v>
      </c>
    </row>
    <row r="2816" spans="1:16" x14ac:dyDescent="0.25">
      <c r="A2816" t="s">
        <v>5835</v>
      </c>
      <c r="B2816" t="s">
        <v>5830</v>
      </c>
      <c r="C2816" t="s">
        <v>1228</v>
      </c>
      <c r="D2816" t="s">
        <v>1027</v>
      </c>
      <c r="E2816">
        <v>1660</v>
      </c>
      <c r="F2816" t="s">
        <v>1229</v>
      </c>
      <c r="G2816" t="b">
        <v>0</v>
      </c>
      <c r="H2816" t="b">
        <v>0</v>
      </c>
      <c r="I2816" t="s">
        <v>1050</v>
      </c>
      <c r="J2816">
        <v>91</v>
      </c>
      <c r="K2816" t="s">
        <v>2</v>
      </c>
      <c r="L2816" t="s">
        <v>1167</v>
      </c>
      <c r="M2816" t="s">
        <v>1168</v>
      </c>
      <c r="N2816" t="s">
        <v>1169</v>
      </c>
      <c r="O2816" t="s">
        <v>1168</v>
      </c>
      <c r="P2816" t="s">
        <v>1230</v>
      </c>
    </row>
    <row r="2817" spans="1:16" x14ac:dyDescent="0.25">
      <c r="A2817" t="s">
        <v>5836</v>
      </c>
      <c r="B2817" t="s">
        <v>5830</v>
      </c>
      <c r="C2817" t="s">
        <v>1228</v>
      </c>
      <c r="D2817" t="s">
        <v>1027</v>
      </c>
      <c r="E2817">
        <v>1660</v>
      </c>
      <c r="F2817" t="s">
        <v>1229</v>
      </c>
      <c r="G2817" t="b">
        <v>0</v>
      </c>
      <c r="H2817" t="b">
        <v>0</v>
      </c>
      <c r="I2817" t="s">
        <v>1050</v>
      </c>
      <c r="J2817">
        <v>91</v>
      </c>
      <c r="K2817" t="s">
        <v>2</v>
      </c>
      <c r="L2817" t="s">
        <v>1167</v>
      </c>
      <c r="M2817" t="s">
        <v>1168</v>
      </c>
      <c r="N2817" t="s">
        <v>1169</v>
      </c>
      <c r="O2817" t="s">
        <v>1168</v>
      </c>
      <c r="P2817" t="s">
        <v>1230</v>
      </c>
    </row>
    <row r="2818" spans="1:16" x14ac:dyDescent="0.25">
      <c r="A2818" t="s">
        <v>5837</v>
      </c>
      <c r="B2818" t="s">
        <v>5830</v>
      </c>
      <c r="C2818" t="s">
        <v>1228</v>
      </c>
      <c r="D2818" t="s">
        <v>1027</v>
      </c>
      <c r="E2818">
        <v>1660</v>
      </c>
      <c r="F2818" t="s">
        <v>1229</v>
      </c>
      <c r="G2818" t="b">
        <v>0</v>
      </c>
      <c r="H2818" t="b">
        <v>0</v>
      </c>
      <c r="I2818" t="s">
        <v>1050</v>
      </c>
      <c r="J2818">
        <v>91</v>
      </c>
      <c r="K2818" t="s">
        <v>2</v>
      </c>
      <c r="L2818" t="s">
        <v>1167</v>
      </c>
      <c r="M2818" t="s">
        <v>1168</v>
      </c>
      <c r="N2818" t="s">
        <v>1169</v>
      </c>
      <c r="O2818" t="s">
        <v>1168</v>
      </c>
      <c r="P2818" t="s">
        <v>1230</v>
      </c>
    </row>
    <row r="2819" spans="1:16" x14ac:dyDescent="0.25">
      <c r="A2819" t="s">
        <v>5838</v>
      </c>
      <c r="B2819" t="s">
        <v>5830</v>
      </c>
      <c r="C2819" t="s">
        <v>1228</v>
      </c>
      <c r="D2819" t="s">
        <v>1027</v>
      </c>
      <c r="E2819">
        <v>1660</v>
      </c>
      <c r="F2819" t="s">
        <v>1229</v>
      </c>
      <c r="G2819" t="b">
        <v>0</v>
      </c>
      <c r="H2819" t="b">
        <v>0</v>
      </c>
      <c r="I2819" t="s">
        <v>1050</v>
      </c>
      <c r="J2819">
        <v>89</v>
      </c>
      <c r="K2819" t="s">
        <v>2</v>
      </c>
      <c r="L2819" t="s">
        <v>1167</v>
      </c>
      <c r="M2819" t="s">
        <v>1168</v>
      </c>
      <c r="N2819" t="s">
        <v>1169</v>
      </c>
      <c r="O2819" t="s">
        <v>1168</v>
      </c>
      <c r="P2819" t="s">
        <v>1230</v>
      </c>
    </row>
    <row r="2820" spans="1:16" x14ac:dyDescent="0.25">
      <c r="A2820" t="s">
        <v>5839</v>
      </c>
      <c r="B2820" t="s">
        <v>5830</v>
      </c>
      <c r="C2820" t="s">
        <v>1228</v>
      </c>
      <c r="D2820" t="s">
        <v>1027</v>
      </c>
      <c r="E2820">
        <v>1660</v>
      </c>
      <c r="F2820" t="s">
        <v>1229</v>
      </c>
      <c r="G2820" t="b">
        <v>0</v>
      </c>
      <c r="H2820" t="b">
        <v>0</v>
      </c>
      <c r="I2820" t="s">
        <v>1050</v>
      </c>
      <c r="J2820">
        <v>89</v>
      </c>
      <c r="K2820" t="s">
        <v>2</v>
      </c>
      <c r="L2820" t="s">
        <v>1167</v>
      </c>
      <c r="M2820" t="s">
        <v>1168</v>
      </c>
      <c r="N2820" t="s">
        <v>1169</v>
      </c>
      <c r="O2820" t="s">
        <v>1168</v>
      </c>
      <c r="P2820" t="s">
        <v>1230</v>
      </c>
    </row>
    <row r="2821" spans="1:16" x14ac:dyDescent="0.25">
      <c r="A2821" t="s">
        <v>5840</v>
      </c>
      <c r="B2821" t="s">
        <v>5830</v>
      </c>
      <c r="C2821" t="s">
        <v>1228</v>
      </c>
      <c r="D2821" t="s">
        <v>1027</v>
      </c>
      <c r="E2821">
        <v>1660</v>
      </c>
      <c r="F2821" t="s">
        <v>1229</v>
      </c>
      <c r="G2821" t="b">
        <v>0</v>
      </c>
      <c r="H2821" t="b">
        <v>0</v>
      </c>
      <c r="I2821" t="s">
        <v>1050</v>
      </c>
      <c r="J2821">
        <v>89</v>
      </c>
      <c r="K2821" t="s">
        <v>2</v>
      </c>
      <c r="L2821" t="s">
        <v>1167</v>
      </c>
      <c r="M2821" t="s">
        <v>1168</v>
      </c>
      <c r="N2821" t="s">
        <v>1169</v>
      </c>
      <c r="O2821" t="s">
        <v>1168</v>
      </c>
      <c r="P2821" t="s">
        <v>1230</v>
      </c>
    </row>
    <row r="2822" spans="1:16" x14ac:dyDescent="0.25">
      <c r="A2822" t="s">
        <v>5841</v>
      </c>
      <c r="B2822" t="s">
        <v>5830</v>
      </c>
      <c r="C2822" t="s">
        <v>1228</v>
      </c>
      <c r="D2822" t="s">
        <v>1027</v>
      </c>
      <c r="E2822">
        <v>1660</v>
      </c>
      <c r="F2822" t="s">
        <v>1229</v>
      </c>
      <c r="G2822" t="b">
        <v>0</v>
      </c>
      <c r="H2822" t="b">
        <v>0</v>
      </c>
      <c r="I2822" t="s">
        <v>1050</v>
      </c>
      <c r="J2822">
        <v>89</v>
      </c>
      <c r="K2822" t="s">
        <v>2</v>
      </c>
      <c r="L2822" t="s">
        <v>1167</v>
      </c>
      <c r="M2822" t="s">
        <v>1168</v>
      </c>
      <c r="N2822" t="s">
        <v>1169</v>
      </c>
      <c r="O2822" t="s">
        <v>1168</v>
      </c>
      <c r="P2822" t="s">
        <v>1230</v>
      </c>
    </row>
    <row r="2823" spans="1:16" x14ac:dyDescent="0.25">
      <c r="A2823" t="s">
        <v>5842</v>
      </c>
      <c r="B2823" t="s">
        <v>5830</v>
      </c>
      <c r="C2823" t="s">
        <v>1228</v>
      </c>
      <c r="D2823" t="s">
        <v>1027</v>
      </c>
      <c r="E2823">
        <v>1660</v>
      </c>
      <c r="F2823" t="s">
        <v>1229</v>
      </c>
      <c r="G2823" t="b">
        <v>0</v>
      </c>
      <c r="H2823" t="b">
        <v>0</v>
      </c>
      <c r="I2823" t="s">
        <v>1050</v>
      </c>
      <c r="J2823">
        <v>89</v>
      </c>
      <c r="K2823" t="s">
        <v>2</v>
      </c>
      <c r="L2823" t="s">
        <v>1167</v>
      </c>
      <c r="M2823" t="s">
        <v>1168</v>
      </c>
      <c r="N2823" t="s">
        <v>1169</v>
      </c>
      <c r="O2823" t="s">
        <v>1168</v>
      </c>
      <c r="P2823" t="s">
        <v>1230</v>
      </c>
    </row>
    <row r="2824" spans="1:16" x14ac:dyDescent="0.25">
      <c r="A2824" t="s">
        <v>5843</v>
      </c>
      <c r="B2824" t="s">
        <v>5830</v>
      </c>
      <c r="C2824" t="s">
        <v>1228</v>
      </c>
      <c r="D2824" t="s">
        <v>1027</v>
      </c>
      <c r="E2824">
        <v>1660</v>
      </c>
      <c r="F2824" t="s">
        <v>1229</v>
      </c>
      <c r="G2824" t="b">
        <v>0</v>
      </c>
      <c r="H2824" t="b">
        <v>0</v>
      </c>
      <c r="I2824" t="s">
        <v>1050</v>
      </c>
      <c r="J2824">
        <v>89</v>
      </c>
      <c r="K2824" t="s">
        <v>2</v>
      </c>
      <c r="L2824" t="s">
        <v>1167</v>
      </c>
      <c r="M2824" t="s">
        <v>1168</v>
      </c>
      <c r="N2824" t="s">
        <v>1169</v>
      </c>
      <c r="O2824" t="s">
        <v>1168</v>
      </c>
      <c r="P2824" t="s">
        <v>1230</v>
      </c>
    </row>
    <row r="2825" spans="1:16" x14ac:dyDescent="0.25">
      <c r="A2825" t="s">
        <v>5844</v>
      </c>
      <c r="B2825" t="s">
        <v>5830</v>
      </c>
      <c r="C2825" t="s">
        <v>1228</v>
      </c>
      <c r="D2825" t="s">
        <v>1027</v>
      </c>
      <c r="E2825">
        <v>1660</v>
      </c>
      <c r="F2825" t="s">
        <v>1229</v>
      </c>
      <c r="G2825" t="b">
        <v>0</v>
      </c>
      <c r="H2825" t="b">
        <v>0</v>
      </c>
      <c r="I2825" t="s">
        <v>1050</v>
      </c>
      <c r="J2825">
        <v>89</v>
      </c>
      <c r="K2825" t="s">
        <v>2</v>
      </c>
      <c r="L2825" t="s">
        <v>1167</v>
      </c>
      <c r="M2825" t="s">
        <v>1168</v>
      </c>
      <c r="N2825" t="s">
        <v>1169</v>
      </c>
      <c r="O2825" t="s">
        <v>1168</v>
      </c>
      <c r="P2825" t="s">
        <v>1230</v>
      </c>
    </row>
    <row r="2826" spans="1:16" x14ac:dyDescent="0.25">
      <c r="A2826" t="s">
        <v>5845</v>
      </c>
      <c r="B2826" t="s">
        <v>5830</v>
      </c>
      <c r="C2826" t="s">
        <v>1228</v>
      </c>
      <c r="D2826" t="s">
        <v>1027</v>
      </c>
      <c r="E2826">
        <v>1660</v>
      </c>
      <c r="F2826" t="s">
        <v>1229</v>
      </c>
      <c r="G2826" t="b">
        <v>0</v>
      </c>
      <c r="H2826" t="b">
        <v>0</v>
      </c>
      <c r="I2826" t="s">
        <v>1050</v>
      </c>
      <c r="J2826">
        <v>89</v>
      </c>
      <c r="K2826" t="s">
        <v>2</v>
      </c>
      <c r="L2826" t="s">
        <v>1167</v>
      </c>
      <c r="M2826" t="s">
        <v>1168</v>
      </c>
      <c r="N2826" t="s">
        <v>1169</v>
      </c>
      <c r="O2826" t="s">
        <v>1168</v>
      </c>
      <c r="P2826" t="s">
        <v>1230</v>
      </c>
    </row>
    <row r="2827" spans="1:16" x14ac:dyDescent="0.25">
      <c r="A2827" t="s">
        <v>5846</v>
      </c>
      <c r="B2827" t="s">
        <v>5830</v>
      </c>
      <c r="C2827" t="s">
        <v>1228</v>
      </c>
      <c r="D2827" t="s">
        <v>1027</v>
      </c>
      <c r="E2827">
        <v>1660</v>
      </c>
      <c r="F2827" t="s">
        <v>1229</v>
      </c>
      <c r="G2827" t="b">
        <v>0</v>
      </c>
      <c r="H2827" t="b">
        <v>0</v>
      </c>
      <c r="I2827" t="s">
        <v>1050</v>
      </c>
      <c r="J2827">
        <v>89</v>
      </c>
      <c r="K2827" t="s">
        <v>2</v>
      </c>
      <c r="L2827" t="s">
        <v>1167</v>
      </c>
      <c r="M2827" t="s">
        <v>1168</v>
      </c>
      <c r="N2827" t="s">
        <v>1169</v>
      </c>
      <c r="O2827" t="s">
        <v>1168</v>
      </c>
      <c r="P2827" t="s">
        <v>1230</v>
      </c>
    </row>
    <row r="2828" spans="1:16" x14ac:dyDescent="0.25">
      <c r="A2828" t="s">
        <v>5847</v>
      </c>
      <c r="B2828" t="s">
        <v>5830</v>
      </c>
      <c r="C2828" t="s">
        <v>1228</v>
      </c>
      <c r="D2828" t="s">
        <v>1027</v>
      </c>
      <c r="E2828">
        <v>1660</v>
      </c>
      <c r="F2828" t="s">
        <v>1229</v>
      </c>
      <c r="G2828" t="b">
        <v>0</v>
      </c>
      <c r="H2828" t="b">
        <v>0</v>
      </c>
      <c r="I2828" t="s">
        <v>1050</v>
      </c>
      <c r="J2828">
        <v>89</v>
      </c>
      <c r="K2828" t="s">
        <v>2</v>
      </c>
      <c r="L2828" t="s">
        <v>1167</v>
      </c>
      <c r="M2828" t="s">
        <v>1168</v>
      </c>
      <c r="N2828" t="s">
        <v>1169</v>
      </c>
      <c r="O2828" t="s">
        <v>1168</v>
      </c>
      <c r="P2828" t="s">
        <v>1230</v>
      </c>
    </row>
    <row r="2829" spans="1:16" x14ac:dyDescent="0.25">
      <c r="A2829" t="s">
        <v>5848</v>
      </c>
      <c r="B2829" t="s">
        <v>5830</v>
      </c>
      <c r="C2829" t="s">
        <v>1228</v>
      </c>
      <c r="D2829" t="s">
        <v>1027</v>
      </c>
      <c r="E2829">
        <v>1660</v>
      </c>
      <c r="F2829" t="s">
        <v>1229</v>
      </c>
      <c r="G2829" t="b">
        <v>0</v>
      </c>
      <c r="H2829" t="b">
        <v>0</v>
      </c>
      <c r="I2829" t="s">
        <v>1050</v>
      </c>
      <c r="J2829">
        <v>85</v>
      </c>
      <c r="K2829" t="s">
        <v>2</v>
      </c>
      <c r="L2829" t="s">
        <v>1167</v>
      </c>
      <c r="M2829" t="s">
        <v>1168</v>
      </c>
      <c r="N2829" t="s">
        <v>1169</v>
      </c>
      <c r="O2829" t="s">
        <v>1168</v>
      </c>
      <c r="P2829" t="s">
        <v>1230</v>
      </c>
    </row>
    <row r="2830" spans="1:16" x14ac:dyDescent="0.25">
      <c r="A2830" t="s">
        <v>5849</v>
      </c>
      <c r="B2830" t="s">
        <v>5830</v>
      </c>
      <c r="C2830" t="s">
        <v>1228</v>
      </c>
      <c r="D2830" t="s">
        <v>1027</v>
      </c>
      <c r="E2830">
        <v>1660</v>
      </c>
      <c r="F2830" t="s">
        <v>1229</v>
      </c>
      <c r="G2830" t="b">
        <v>0</v>
      </c>
      <c r="H2830" t="b">
        <v>0</v>
      </c>
      <c r="I2830" t="s">
        <v>1050</v>
      </c>
      <c r="J2830">
        <v>89</v>
      </c>
      <c r="K2830" t="s">
        <v>2</v>
      </c>
      <c r="L2830" t="s">
        <v>1167</v>
      </c>
      <c r="M2830" t="s">
        <v>1168</v>
      </c>
      <c r="N2830" t="s">
        <v>1169</v>
      </c>
      <c r="O2830" t="s">
        <v>1168</v>
      </c>
      <c r="P2830" t="s">
        <v>1230</v>
      </c>
    </row>
    <row r="2831" spans="1:16" x14ac:dyDescent="0.25">
      <c r="A2831" t="s">
        <v>5850</v>
      </c>
      <c r="B2831" t="s">
        <v>5830</v>
      </c>
      <c r="C2831" t="s">
        <v>1228</v>
      </c>
      <c r="D2831" t="s">
        <v>1027</v>
      </c>
      <c r="E2831">
        <v>1660</v>
      </c>
      <c r="F2831" t="s">
        <v>1229</v>
      </c>
      <c r="G2831" t="b">
        <v>0</v>
      </c>
      <c r="H2831" t="b">
        <v>0</v>
      </c>
      <c r="I2831" t="s">
        <v>1050</v>
      </c>
      <c r="J2831">
        <v>89</v>
      </c>
      <c r="K2831" t="s">
        <v>2</v>
      </c>
      <c r="L2831" t="s">
        <v>1167</v>
      </c>
      <c r="M2831" t="s">
        <v>1168</v>
      </c>
      <c r="N2831" t="s">
        <v>1169</v>
      </c>
      <c r="O2831" t="s">
        <v>1168</v>
      </c>
      <c r="P2831" t="s">
        <v>1230</v>
      </c>
    </row>
    <row r="2832" spans="1:16" x14ac:dyDescent="0.25">
      <c r="A2832" t="s">
        <v>5851</v>
      </c>
      <c r="B2832" t="s">
        <v>5830</v>
      </c>
      <c r="C2832" t="s">
        <v>1228</v>
      </c>
      <c r="D2832" t="s">
        <v>1027</v>
      </c>
      <c r="E2832">
        <v>1660</v>
      </c>
      <c r="F2832" t="s">
        <v>1229</v>
      </c>
      <c r="G2832" t="b">
        <v>0</v>
      </c>
      <c r="H2832" t="b">
        <v>0</v>
      </c>
      <c r="I2832" t="s">
        <v>1050</v>
      </c>
      <c r="J2832">
        <v>89</v>
      </c>
      <c r="K2832" t="s">
        <v>2</v>
      </c>
      <c r="L2832" t="s">
        <v>1167</v>
      </c>
      <c r="M2832" t="s">
        <v>1168</v>
      </c>
      <c r="N2832" t="s">
        <v>1169</v>
      </c>
      <c r="O2832" t="s">
        <v>1168</v>
      </c>
      <c r="P2832" t="s">
        <v>1230</v>
      </c>
    </row>
    <row r="2833" spans="1:16" x14ac:dyDescent="0.25">
      <c r="A2833" t="s">
        <v>5852</v>
      </c>
      <c r="B2833" t="s">
        <v>5830</v>
      </c>
      <c r="C2833" t="s">
        <v>1228</v>
      </c>
      <c r="D2833" t="s">
        <v>1027</v>
      </c>
      <c r="E2833">
        <v>1660</v>
      </c>
      <c r="F2833" t="s">
        <v>1229</v>
      </c>
      <c r="G2833" t="b">
        <v>0</v>
      </c>
      <c r="H2833" t="b">
        <v>0</v>
      </c>
      <c r="I2833" t="s">
        <v>1050</v>
      </c>
      <c r="J2833">
        <v>89</v>
      </c>
      <c r="K2833" t="s">
        <v>2</v>
      </c>
      <c r="L2833" t="s">
        <v>1167</v>
      </c>
      <c r="M2833" t="s">
        <v>1168</v>
      </c>
      <c r="N2833" t="s">
        <v>1169</v>
      </c>
      <c r="O2833" t="s">
        <v>1168</v>
      </c>
      <c r="P2833" t="s">
        <v>1230</v>
      </c>
    </row>
    <row r="2834" spans="1:16" x14ac:dyDescent="0.25">
      <c r="A2834" t="s">
        <v>5853</v>
      </c>
      <c r="B2834" t="s">
        <v>5830</v>
      </c>
      <c r="C2834" t="s">
        <v>1228</v>
      </c>
      <c r="D2834" t="s">
        <v>1027</v>
      </c>
      <c r="E2834">
        <v>1660</v>
      </c>
      <c r="F2834" t="s">
        <v>1229</v>
      </c>
      <c r="G2834" t="b">
        <v>0</v>
      </c>
      <c r="H2834" t="b">
        <v>0</v>
      </c>
      <c r="I2834" t="s">
        <v>1050</v>
      </c>
      <c r="J2834">
        <v>89</v>
      </c>
      <c r="K2834" t="s">
        <v>2</v>
      </c>
      <c r="L2834" t="s">
        <v>1167</v>
      </c>
      <c r="M2834" t="s">
        <v>1168</v>
      </c>
      <c r="N2834" t="s">
        <v>1169</v>
      </c>
      <c r="O2834" t="s">
        <v>1168</v>
      </c>
      <c r="P2834" t="s">
        <v>1230</v>
      </c>
    </row>
    <row r="2835" spans="1:16" x14ac:dyDescent="0.25">
      <c r="A2835" t="s">
        <v>5854</v>
      </c>
      <c r="B2835" t="s">
        <v>5830</v>
      </c>
      <c r="C2835" t="s">
        <v>1228</v>
      </c>
      <c r="D2835" t="s">
        <v>1027</v>
      </c>
      <c r="E2835">
        <v>1660</v>
      </c>
      <c r="F2835" t="s">
        <v>1229</v>
      </c>
      <c r="G2835" t="b">
        <v>0</v>
      </c>
      <c r="H2835" t="b">
        <v>0</v>
      </c>
      <c r="I2835" t="s">
        <v>1050</v>
      </c>
      <c r="J2835">
        <v>89</v>
      </c>
      <c r="K2835" t="s">
        <v>2</v>
      </c>
      <c r="L2835" t="s">
        <v>1167</v>
      </c>
      <c r="M2835" t="s">
        <v>1168</v>
      </c>
      <c r="N2835" t="s">
        <v>1169</v>
      </c>
      <c r="O2835" t="s">
        <v>1168</v>
      </c>
      <c r="P2835" t="s">
        <v>1230</v>
      </c>
    </row>
    <row r="2836" spans="1:16" x14ac:dyDescent="0.25">
      <c r="A2836" t="s">
        <v>5855</v>
      </c>
      <c r="B2836" t="s">
        <v>5830</v>
      </c>
      <c r="C2836" t="s">
        <v>1228</v>
      </c>
      <c r="D2836" t="s">
        <v>1027</v>
      </c>
      <c r="E2836">
        <v>1660</v>
      </c>
      <c r="F2836" t="s">
        <v>1229</v>
      </c>
      <c r="G2836" t="b">
        <v>0</v>
      </c>
      <c r="H2836" t="b">
        <v>0</v>
      </c>
      <c r="I2836" t="s">
        <v>1050</v>
      </c>
      <c r="J2836">
        <v>89</v>
      </c>
      <c r="K2836" t="s">
        <v>2</v>
      </c>
      <c r="L2836" t="s">
        <v>1167</v>
      </c>
      <c r="M2836" t="s">
        <v>1168</v>
      </c>
      <c r="N2836" t="s">
        <v>1169</v>
      </c>
      <c r="O2836" t="s">
        <v>1168</v>
      </c>
      <c r="P2836" t="s">
        <v>1230</v>
      </c>
    </row>
    <row r="2837" spans="1:16" x14ac:dyDescent="0.25">
      <c r="A2837" t="s">
        <v>5856</v>
      </c>
      <c r="B2837" t="s">
        <v>5830</v>
      </c>
      <c r="C2837" t="s">
        <v>1228</v>
      </c>
      <c r="D2837" t="s">
        <v>1027</v>
      </c>
      <c r="E2837">
        <v>1660</v>
      </c>
      <c r="F2837" t="s">
        <v>1229</v>
      </c>
      <c r="G2837" t="b">
        <v>0</v>
      </c>
      <c r="H2837" t="b">
        <v>0</v>
      </c>
      <c r="I2837" t="s">
        <v>1050</v>
      </c>
      <c r="J2837">
        <v>89</v>
      </c>
      <c r="K2837" t="s">
        <v>2</v>
      </c>
      <c r="L2837" t="s">
        <v>1167</v>
      </c>
      <c r="M2837" t="s">
        <v>1168</v>
      </c>
      <c r="N2837" t="s">
        <v>1169</v>
      </c>
      <c r="O2837" t="s">
        <v>1168</v>
      </c>
      <c r="P2837" t="s">
        <v>1230</v>
      </c>
    </row>
    <row r="2838" spans="1:16" x14ac:dyDescent="0.25">
      <c r="A2838" t="s">
        <v>5857</v>
      </c>
      <c r="B2838" t="s">
        <v>5830</v>
      </c>
      <c r="C2838" t="s">
        <v>1228</v>
      </c>
      <c r="D2838" t="s">
        <v>1027</v>
      </c>
      <c r="E2838">
        <v>1660</v>
      </c>
      <c r="F2838" t="s">
        <v>1229</v>
      </c>
      <c r="G2838" t="b">
        <v>0</v>
      </c>
      <c r="H2838" t="b">
        <v>0</v>
      </c>
      <c r="I2838" t="s">
        <v>1050</v>
      </c>
      <c r="J2838">
        <v>89</v>
      </c>
      <c r="K2838" t="s">
        <v>2</v>
      </c>
      <c r="L2838" t="s">
        <v>1167</v>
      </c>
      <c r="M2838" t="s">
        <v>1168</v>
      </c>
      <c r="N2838" t="s">
        <v>1169</v>
      </c>
      <c r="O2838" t="s">
        <v>1168</v>
      </c>
      <c r="P2838" t="s">
        <v>1230</v>
      </c>
    </row>
    <row r="2839" spans="1:16" x14ac:dyDescent="0.25">
      <c r="A2839" t="s">
        <v>5858</v>
      </c>
      <c r="B2839" t="s">
        <v>5830</v>
      </c>
      <c r="C2839" t="s">
        <v>1228</v>
      </c>
      <c r="D2839" t="s">
        <v>1027</v>
      </c>
      <c r="E2839">
        <v>1660</v>
      </c>
      <c r="F2839" t="s">
        <v>1229</v>
      </c>
      <c r="G2839" t="b">
        <v>0</v>
      </c>
      <c r="H2839" t="b">
        <v>0</v>
      </c>
      <c r="I2839" t="s">
        <v>1050</v>
      </c>
      <c r="J2839">
        <v>89</v>
      </c>
      <c r="K2839" t="s">
        <v>2</v>
      </c>
      <c r="L2839" t="s">
        <v>1167</v>
      </c>
      <c r="M2839" t="s">
        <v>1168</v>
      </c>
      <c r="N2839" t="s">
        <v>1169</v>
      </c>
      <c r="O2839" t="s">
        <v>1168</v>
      </c>
      <c r="P2839" t="s">
        <v>1230</v>
      </c>
    </row>
    <row r="2840" spans="1:16" x14ac:dyDescent="0.25">
      <c r="A2840" t="s">
        <v>5859</v>
      </c>
      <c r="B2840" t="s">
        <v>5830</v>
      </c>
      <c r="C2840" t="s">
        <v>1228</v>
      </c>
      <c r="D2840" t="s">
        <v>1027</v>
      </c>
      <c r="E2840">
        <v>1660</v>
      </c>
      <c r="F2840" t="s">
        <v>1229</v>
      </c>
      <c r="G2840" t="b">
        <v>0</v>
      </c>
      <c r="H2840" t="b">
        <v>0</v>
      </c>
      <c r="I2840" t="s">
        <v>1050</v>
      </c>
      <c r="J2840">
        <v>89</v>
      </c>
      <c r="K2840" t="s">
        <v>2</v>
      </c>
      <c r="L2840" t="s">
        <v>1167</v>
      </c>
      <c r="M2840" t="s">
        <v>1168</v>
      </c>
      <c r="N2840" t="s">
        <v>1169</v>
      </c>
      <c r="O2840" t="s">
        <v>1168</v>
      </c>
      <c r="P2840" t="s">
        <v>1230</v>
      </c>
    </row>
    <row r="2841" spans="1:16" x14ac:dyDescent="0.25">
      <c r="A2841" t="s">
        <v>5860</v>
      </c>
      <c r="B2841" t="s">
        <v>5830</v>
      </c>
      <c r="C2841" t="s">
        <v>1228</v>
      </c>
      <c r="D2841" t="s">
        <v>1027</v>
      </c>
      <c r="E2841">
        <v>1660</v>
      </c>
      <c r="F2841" t="s">
        <v>1229</v>
      </c>
      <c r="G2841" t="b">
        <v>0</v>
      </c>
      <c r="H2841" t="b">
        <v>0</v>
      </c>
      <c r="I2841" t="s">
        <v>1050</v>
      </c>
      <c r="J2841">
        <v>89</v>
      </c>
      <c r="K2841" t="s">
        <v>2</v>
      </c>
      <c r="L2841" t="s">
        <v>1167</v>
      </c>
      <c r="M2841" t="s">
        <v>1168</v>
      </c>
      <c r="N2841" t="s">
        <v>1169</v>
      </c>
      <c r="O2841" t="s">
        <v>1168</v>
      </c>
      <c r="P2841" t="s">
        <v>1230</v>
      </c>
    </row>
    <row r="2842" spans="1:16" x14ac:dyDescent="0.25">
      <c r="A2842" t="s">
        <v>5861</v>
      </c>
      <c r="B2842" t="s">
        <v>5830</v>
      </c>
      <c r="C2842" t="s">
        <v>1228</v>
      </c>
      <c r="D2842" t="s">
        <v>1027</v>
      </c>
      <c r="E2842">
        <v>1660</v>
      </c>
      <c r="F2842" t="s">
        <v>1229</v>
      </c>
      <c r="G2842" t="b">
        <v>0</v>
      </c>
      <c r="H2842" t="b">
        <v>0</v>
      </c>
      <c r="I2842" t="s">
        <v>1050</v>
      </c>
      <c r="J2842">
        <v>89</v>
      </c>
      <c r="K2842" t="s">
        <v>2</v>
      </c>
      <c r="L2842" t="s">
        <v>1167</v>
      </c>
      <c r="M2842" t="s">
        <v>1168</v>
      </c>
      <c r="N2842" t="s">
        <v>1169</v>
      </c>
      <c r="O2842" t="s">
        <v>1168</v>
      </c>
      <c r="P2842" t="s">
        <v>1230</v>
      </c>
    </row>
    <row r="2843" spans="1:16" x14ac:dyDescent="0.25">
      <c r="A2843" t="s">
        <v>5862</v>
      </c>
      <c r="B2843" t="s">
        <v>5830</v>
      </c>
      <c r="C2843" t="s">
        <v>1228</v>
      </c>
      <c r="D2843" t="s">
        <v>1027</v>
      </c>
      <c r="E2843">
        <v>1660</v>
      </c>
      <c r="F2843" t="s">
        <v>1229</v>
      </c>
      <c r="G2843" t="b">
        <v>0</v>
      </c>
      <c r="H2843" t="b">
        <v>0</v>
      </c>
      <c r="I2843" t="s">
        <v>1050</v>
      </c>
      <c r="J2843">
        <v>89</v>
      </c>
      <c r="K2843" t="s">
        <v>2</v>
      </c>
      <c r="L2843" t="s">
        <v>1167</v>
      </c>
      <c r="M2843" t="s">
        <v>1168</v>
      </c>
      <c r="N2843" t="s">
        <v>1169</v>
      </c>
      <c r="O2843" t="s">
        <v>1168</v>
      </c>
      <c r="P2843" t="s">
        <v>1230</v>
      </c>
    </row>
    <row r="2844" spans="1:16" x14ac:dyDescent="0.25">
      <c r="A2844" t="s">
        <v>5863</v>
      </c>
      <c r="B2844" t="s">
        <v>5830</v>
      </c>
      <c r="C2844" t="s">
        <v>1228</v>
      </c>
      <c r="D2844" t="s">
        <v>1027</v>
      </c>
      <c r="E2844">
        <v>1660</v>
      </c>
      <c r="F2844" t="s">
        <v>1229</v>
      </c>
      <c r="G2844" t="b">
        <v>0</v>
      </c>
      <c r="H2844" t="b">
        <v>0</v>
      </c>
      <c r="I2844" t="s">
        <v>1050</v>
      </c>
      <c r="J2844">
        <v>89</v>
      </c>
      <c r="K2844" t="s">
        <v>2</v>
      </c>
      <c r="L2844" t="s">
        <v>1167</v>
      </c>
      <c r="M2844" t="s">
        <v>1168</v>
      </c>
      <c r="N2844" t="s">
        <v>1169</v>
      </c>
      <c r="O2844" t="s">
        <v>1168</v>
      </c>
      <c r="P2844" t="s">
        <v>1230</v>
      </c>
    </row>
    <row r="2845" spans="1:16" x14ac:dyDescent="0.25">
      <c r="A2845" t="s">
        <v>5864</v>
      </c>
      <c r="B2845" t="s">
        <v>5865</v>
      </c>
      <c r="C2845" t="s">
        <v>1228</v>
      </c>
      <c r="D2845" t="s">
        <v>1027</v>
      </c>
      <c r="E2845">
        <v>1660</v>
      </c>
      <c r="F2845" t="s">
        <v>1229</v>
      </c>
      <c r="G2845" t="b">
        <v>0</v>
      </c>
      <c r="H2845" t="b">
        <v>0</v>
      </c>
      <c r="I2845" t="s">
        <v>1050</v>
      </c>
      <c r="J2845">
        <v>89</v>
      </c>
      <c r="K2845" t="s">
        <v>2</v>
      </c>
      <c r="L2845" t="s">
        <v>1167</v>
      </c>
      <c r="M2845" t="s">
        <v>1168</v>
      </c>
      <c r="N2845" t="s">
        <v>1169</v>
      </c>
      <c r="O2845" t="s">
        <v>1168</v>
      </c>
      <c r="P2845" t="s">
        <v>1230</v>
      </c>
    </row>
    <row r="2846" spans="1:16" x14ac:dyDescent="0.25">
      <c r="A2846" t="s">
        <v>5866</v>
      </c>
      <c r="B2846" t="s">
        <v>5865</v>
      </c>
      <c r="C2846" t="s">
        <v>1228</v>
      </c>
      <c r="D2846" t="s">
        <v>1027</v>
      </c>
      <c r="E2846">
        <v>1660</v>
      </c>
      <c r="F2846" t="s">
        <v>1229</v>
      </c>
      <c r="G2846" t="b">
        <v>0</v>
      </c>
      <c r="H2846" t="b">
        <v>0</v>
      </c>
      <c r="I2846" t="s">
        <v>1050</v>
      </c>
      <c r="J2846">
        <v>95</v>
      </c>
      <c r="K2846" t="s">
        <v>2</v>
      </c>
      <c r="L2846" t="s">
        <v>1167</v>
      </c>
      <c r="M2846" t="s">
        <v>1168</v>
      </c>
      <c r="N2846" t="s">
        <v>1169</v>
      </c>
      <c r="O2846" t="s">
        <v>1168</v>
      </c>
      <c r="P2846" t="s">
        <v>1230</v>
      </c>
    </row>
    <row r="2847" spans="1:16" x14ac:dyDescent="0.25">
      <c r="A2847" t="s">
        <v>5867</v>
      </c>
      <c r="B2847" t="s">
        <v>5865</v>
      </c>
      <c r="C2847" t="s">
        <v>1228</v>
      </c>
      <c r="D2847" t="s">
        <v>1027</v>
      </c>
      <c r="E2847">
        <v>1660</v>
      </c>
      <c r="F2847" t="s">
        <v>1229</v>
      </c>
      <c r="G2847" t="b">
        <v>0</v>
      </c>
      <c r="H2847" t="b">
        <v>0</v>
      </c>
      <c r="I2847" t="s">
        <v>1050</v>
      </c>
      <c r="J2847">
        <v>95</v>
      </c>
      <c r="K2847" t="s">
        <v>2</v>
      </c>
      <c r="L2847" t="s">
        <v>1167</v>
      </c>
      <c r="M2847" t="s">
        <v>1168</v>
      </c>
      <c r="N2847" t="s">
        <v>1169</v>
      </c>
      <c r="O2847" t="s">
        <v>1168</v>
      </c>
      <c r="P2847" t="s">
        <v>1230</v>
      </c>
    </row>
    <row r="2848" spans="1:16" x14ac:dyDescent="0.25">
      <c r="A2848" t="s">
        <v>5868</v>
      </c>
      <c r="B2848" t="s">
        <v>5865</v>
      </c>
      <c r="C2848" t="s">
        <v>1228</v>
      </c>
      <c r="D2848" t="s">
        <v>1027</v>
      </c>
      <c r="E2848">
        <v>1660</v>
      </c>
      <c r="F2848" t="s">
        <v>1229</v>
      </c>
      <c r="G2848" t="b">
        <v>0</v>
      </c>
      <c r="H2848" t="b">
        <v>0</v>
      </c>
      <c r="I2848" t="s">
        <v>1050</v>
      </c>
      <c r="J2848">
        <v>95</v>
      </c>
      <c r="K2848" t="s">
        <v>2</v>
      </c>
      <c r="L2848" t="s">
        <v>1167</v>
      </c>
      <c r="M2848" t="s">
        <v>1168</v>
      </c>
      <c r="N2848" t="s">
        <v>1169</v>
      </c>
      <c r="O2848" t="s">
        <v>1168</v>
      </c>
      <c r="P2848" t="s">
        <v>1230</v>
      </c>
    </row>
    <row r="2849" spans="1:16" x14ac:dyDescent="0.25">
      <c r="A2849" t="s">
        <v>5869</v>
      </c>
      <c r="B2849" t="s">
        <v>5865</v>
      </c>
      <c r="C2849" t="s">
        <v>1228</v>
      </c>
      <c r="D2849" t="s">
        <v>1027</v>
      </c>
      <c r="E2849">
        <v>1660</v>
      </c>
      <c r="F2849" t="s">
        <v>1229</v>
      </c>
      <c r="G2849" t="b">
        <v>0</v>
      </c>
      <c r="H2849" t="b">
        <v>0</v>
      </c>
      <c r="I2849" t="s">
        <v>1050</v>
      </c>
      <c r="J2849">
        <v>95</v>
      </c>
      <c r="K2849" t="s">
        <v>2</v>
      </c>
      <c r="L2849" t="s">
        <v>1167</v>
      </c>
      <c r="M2849" t="s">
        <v>1168</v>
      </c>
      <c r="N2849" t="s">
        <v>1169</v>
      </c>
      <c r="O2849" t="s">
        <v>1168</v>
      </c>
      <c r="P2849" t="s">
        <v>1230</v>
      </c>
    </row>
    <row r="2850" spans="1:16" x14ac:dyDescent="0.25">
      <c r="A2850" t="s">
        <v>5870</v>
      </c>
      <c r="B2850" t="s">
        <v>5865</v>
      </c>
      <c r="C2850" t="s">
        <v>1228</v>
      </c>
      <c r="D2850" t="s">
        <v>1027</v>
      </c>
      <c r="E2850">
        <v>1660</v>
      </c>
      <c r="F2850" t="s">
        <v>1229</v>
      </c>
      <c r="G2850" t="b">
        <v>0</v>
      </c>
      <c r="H2850" t="b">
        <v>0</v>
      </c>
      <c r="I2850" t="s">
        <v>1050</v>
      </c>
      <c r="J2850">
        <v>95</v>
      </c>
      <c r="K2850" t="s">
        <v>2</v>
      </c>
      <c r="L2850" t="s">
        <v>1167</v>
      </c>
      <c r="M2850" t="s">
        <v>1168</v>
      </c>
      <c r="N2850" t="s">
        <v>1169</v>
      </c>
      <c r="O2850" t="s">
        <v>1168</v>
      </c>
      <c r="P2850" t="s">
        <v>1230</v>
      </c>
    </row>
    <row r="2851" spans="1:16" x14ac:dyDescent="0.25">
      <c r="A2851" t="s">
        <v>5871</v>
      </c>
      <c r="B2851" t="s">
        <v>5865</v>
      </c>
      <c r="C2851" t="s">
        <v>1228</v>
      </c>
      <c r="D2851" t="s">
        <v>1027</v>
      </c>
      <c r="E2851">
        <v>1660</v>
      </c>
      <c r="F2851" t="s">
        <v>1229</v>
      </c>
      <c r="G2851" t="b">
        <v>0</v>
      </c>
      <c r="H2851" t="b">
        <v>0</v>
      </c>
      <c r="I2851" t="s">
        <v>1050</v>
      </c>
      <c r="J2851">
        <v>95</v>
      </c>
      <c r="K2851" t="s">
        <v>2</v>
      </c>
      <c r="L2851" t="s">
        <v>1167</v>
      </c>
      <c r="M2851" t="s">
        <v>1168</v>
      </c>
      <c r="N2851" t="s">
        <v>1169</v>
      </c>
      <c r="O2851" t="s">
        <v>1168</v>
      </c>
      <c r="P2851" t="s">
        <v>1230</v>
      </c>
    </row>
    <row r="2852" spans="1:16" x14ac:dyDescent="0.25">
      <c r="A2852" t="s">
        <v>5872</v>
      </c>
      <c r="B2852" t="s">
        <v>5865</v>
      </c>
      <c r="C2852" t="s">
        <v>1228</v>
      </c>
      <c r="D2852" t="s">
        <v>1027</v>
      </c>
      <c r="E2852">
        <v>1660</v>
      </c>
      <c r="F2852" t="s">
        <v>1229</v>
      </c>
      <c r="G2852" t="b">
        <v>0</v>
      </c>
      <c r="H2852" t="b">
        <v>0</v>
      </c>
      <c r="I2852" t="s">
        <v>1050</v>
      </c>
      <c r="J2852">
        <v>95</v>
      </c>
      <c r="K2852" t="s">
        <v>2</v>
      </c>
      <c r="L2852" t="s">
        <v>1167</v>
      </c>
      <c r="M2852" t="s">
        <v>1168</v>
      </c>
      <c r="N2852" t="s">
        <v>1169</v>
      </c>
      <c r="O2852" t="s">
        <v>1168</v>
      </c>
      <c r="P2852" t="s">
        <v>1230</v>
      </c>
    </row>
    <row r="2853" spans="1:16" x14ac:dyDescent="0.25">
      <c r="A2853" t="s">
        <v>5873</v>
      </c>
      <c r="B2853" t="s">
        <v>5865</v>
      </c>
      <c r="C2853" t="s">
        <v>1228</v>
      </c>
      <c r="D2853" t="s">
        <v>1027</v>
      </c>
      <c r="E2853">
        <v>1660</v>
      </c>
      <c r="F2853" t="s">
        <v>1229</v>
      </c>
      <c r="G2853" t="b">
        <v>0</v>
      </c>
      <c r="H2853" t="b">
        <v>0</v>
      </c>
      <c r="I2853" t="s">
        <v>1050</v>
      </c>
      <c r="J2853">
        <v>95</v>
      </c>
      <c r="K2853" t="s">
        <v>2</v>
      </c>
      <c r="L2853" t="s">
        <v>1167</v>
      </c>
      <c r="M2853" t="s">
        <v>1168</v>
      </c>
      <c r="N2853" t="s">
        <v>1169</v>
      </c>
      <c r="O2853" t="s">
        <v>1168</v>
      </c>
      <c r="P2853" t="s">
        <v>1230</v>
      </c>
    </row>
    <row r="2854" spans="1:16" x14ac:dyDescent="0.25">
      <c r="A2854" t="s">
        <v>5874</v>
      </c>
      <c r="B2854" t="s">
        <v>5865</v>
      </c>
      <c r="C2854" t="s">
        <v>1228</v>
      </c>
      <c r="D2854" t="s">
        <v>1027</v>
      </c>
      <c r="E2854">
        <v>1660</v>
      </c>
      <c r="F2854" t="s">
        <v>1229</v>
      </c>
      <c r="G2854" t="b">
        <v>0</v>
      </c>
      <c r="H2854" t="b">
        <v>0</v>
      </c>
      <c r="I2854" t="s">
        <v>1050</v>
      </c>
      <c r="J2854">
        <v>87</v>
      </c>
      <c r="K2854" t="s">
        <v>2</v>
      </c>
      <c r="L2854" t="s">
        <v>1167</v>
      </c>
      <c r="M2854" t="s">
        <v>1168</v>
      </c>
      <c r="N2854" t="s">
        <v>1169</v>
      </c>
      <c r="O2854" t="s">
        <v>1168</v>
      </c>
      <c r="P2854" t="s">
        <v>1230</v>
      </c>
    </row>
    <row r="2855" spans="1:16" x14ac:dyDescent="0.25">
      <c r="A2855" t="s">
        <v>5875</v>
      </c>
      <c r="B2855" t="s">
        <v>5865</v>
      </c>
      <c r="C2855" t="s">
        <v>1228</v>
      </c>
      <c r="D2855" t="s">
        <v>1027</v>
      </c>
      <c r="E2855">
        <v>1660</v>
      </c>
      <c r="F2855" t="s">
        <v>1229</v>
      </c>
      <c r="G2855" t="b">
        <v>0</v>
      </c>
      <c r="H2855" t="b">
        <v>0</v>
      </c>
      <c r="I2855" t="s">
        <v>1050</v>
      </c>
      <c r="J2855">
        <v>80</v>
      </c>
      <c r="K2855" t="s">
        <v>2</v>
      </c>
      <c r="L2855" t="s">
        <v>1167</v>
      </c>
      <c r="M2855" t="s">
        <v>1168</v>
      </c>
      <c r="N2855" t="s">
        <v>1169</v>
      </c>
      <c r="O2855" t="s">
        <v>1168</v>
      </c>
      <c r="P2855" t="s">
        <v>1230</v>
      </c>
    </row>
    <row r="2856" spans="1:16" x14ac:dyDescent="0.25">
      <c r="A2856" t="s">
        <v>5876</v>
      </c>
      <c r="B2856" t="s">
        <v>5865</v>
      </c>
      <c r="C2856" t="s">
        <v>1228</v>
      </c>
      <c r="D2856" t="s">
        <v>1027</v>
      </c>
      <c r="E2856">
        <v>1660</v>
      </c>
      <c r="F2856" t="s">
        <v>1229</v>
      </c>
      <c r="G2856" t="b">
        <v>0</v>
      </c>
      <c r="H2856" t="b">
        <v>0</v>
      </c>
      <c r="I2856" t="s">
        <v>1050</v>
      </c>
      <c r="J2856">
        <v>85</v>
      </c>
      <c r="K2856" t="s">
        <v>2</v>
      </c>
      <c r="L2856" t="s">
        <v>1167</v>
      </c>
      <c r="M2856" t="s">
        <v>1168</v>
      </c>
      <c r="N2856" t="s">
        <v>1169</v>
      </c>
      <c r="O2856" t="s">
        <v>1168</v>
      </c>
      <c r="P2856" t="s">
        <v>1230</v>
      </c>
    </row>
    <row r="2857" spans="1:16" x14ac:dyDescent="0.25">
      <c r="A2857" t="s">
        <v>5877</v>
      </c>
      <c r="B2857" t="s">
        <v>5865</v>
      </c>
      <c r="C2857" t="s">
        <v>1228</v>
      </c>
      <c r="D2857" t="s">
        <v>1027</v>
      </c>
      <c r="E2857">
        <v>1660</v>
      </c>
      <c r="F2857" t="s">
        <v>1229</v>
      </c>
      <c r="G2857" t="b">
        <v>0</v>
      </c>
      <c r="H2857" t="b">
        <v>0</v>
      </c>
      <c r="I2857" t="s">
        <v>1050</v>
      </c>
      <c r="J2857">
        <v>85</v>
      </c>
      <c r="K2857" t="s">
        <v>2</v>
      </c>
      <c r="L2857" t="s">
        <v>1167</v>
      </c>
      <c r="M2857" t="s">
        <v>1168</v>
      </c>
      <c r="N2857" t="s">
        <v>1169</v>
      </c>
      <c r="O2857" t="s">
        <v>1168</v>
      </c>
      <c r="P2857" t="s">
        <v>1230</v>
      </c>
    </row>
    <row r="2858" spans="1:16" x14ac:dyDescent="0.25">
      <c r="A2858" t="s">
        <v>5878</v>
      </c>
      <c r="B2858" t="s">
        <v>5865</v>
      </c>
      <c r="C2858" t="s">
        <v>1228</v>
      </c>
      <c r="D2858" t="s">
        <v>1027</v>
      </c>
      <c r="E2858">
        <v>1660</v>
      </c>
      <c r="F2858" t="s">
        <v>1229</v>
      </c>
      <c r="G2858" t="b">
        <v>0</v>
      </c>
      <c r="H2858" t="b">
        <v>0</v>
      </c>
      <c r="I2858" t="s">
        <v>1050</v>
      </c>
      <c r="J2858">
        <v>89</v>
      </c>
      <c r="K2858" t="s">
        <v>2</v>
      </c>
      <c r="L2858" t="s">
        <v>1167</v>
      </c>
      <c r="M2858" t="s">
        <v>1168</v>
      </c>
      <c r="N2858" t="s">
        <v>1169</v>
      </c>
      <c r="O2858" t="s">
        <v>1168</v>
      </c>
      <c r="P2858" t="s">
        <v>1230</v>
      </c>
    </row>
    <row r="2859" spans="1:16" x14ac:dyDescent="0.25">
      <c r="A2859" t="s">
        <v>5879</v>
      </c>
      <c r="B2859" t="s">
        <v>5830</v>
      </c>
      <c r="C2859" t="s">
        <v>1228</v>
      </c>
      <c r="D2859" t="s">
        <v>1027</v>
      </c>
      <c r="E2859">
        <v>1660</v>
      </c>
      <c r="F2859" t="s">
        <v>1229</v>
      </c>
      <c r="G2859" t="b">
        <v>0</v>
      </c>
      <c r="H2859" t="b">
        <v>0</v>
      </c>
      <c r="I2859" t="s">
        <v>1050</v>
      </c>
      <c r="J2859">
        <v>89</v>
      </c>
      <c r="K2859" t="s">
        <v>2</v>
      </c>
      <c r="L2859" t="s">
        <v>1167</v>
      </c>
      <c r="M2859" t="s">
        <v>1168</v>
      </c>
      <c r="N2859" t="s">
        <v>1169</v>
      </c>
      <c r="O2859" t="s">
        <v>1168</v>
      </c>
      <c r="P2859" t="s">
        <v>1230</v>
      </c>
    </row>
    <row r="2860" spans="1:16" x14ac:dyDescent="0.25">
      <c r="A2860" t="s">
        <v>5880</v>
      </c>
      <c r="B2860" t="s">
        <v>5830</v>
      </c>
      <c r="C2860" t="s">
        <v>1228</v>
      </c>
      <c r="D2860" t="s">
        <v>1027</v>
      </c>
      <c r="E2860">
        <v>1660</v>
      </c>
      <c r="F2860" t="s">
        <v>1229</v>
      </c>
      <c r="G2860" t="b">
        <v>0</v>
      </c>
      <c r="H2860" t="b">
        <v>0</v>
      </c>
      <c r="I2860" t="s">
        <v>1050</v>
      </c>
      <c r="J2860">
        <v>89</v>
      </c>
      <c r="K2860" t="s">
        <v>2</v>
      </c>
      <c r="L2860" t="s">
        <v>1167</v>
      </c>
      <c r="M2860" t="s">
        <v>1168</v>
      </c>
      <c r="N2860" t="s">
        <v>1169</v>
      </c>
      <c r="O2860" t="s">
        <v>1168</v>
      </c>
      <c r="P2860" t="s">
        <v>1230</v>
      </c>
    </row>
    <row r="2861" spans="1:16" x14ac:dyDescent="0.25">
      <c r="A2861" t="s">
        <v>5881</v>
      </c>
      <c r="B2861" t="s">
        <v>5830</v>
      </c>
      <c r="C2861" t="s">
        <v>1228</v>
      </c>
      <c r="D2861" t="s">
        <v>1027</v>
      </c>
      <c r="E2861">
        <v>1660</v>
      </c>
      <c r="F2861" t="s">
        <v>1229</v>
      </c>
      <c r="G2861" t="b">
        <v>0</v>
      </c>
      <c r="H2861" t="b">
        <v>0</v>
      </c>
      <c r="I2861" t="s">
        <v>1050</v>
      </c>
      <c r="J2861">
        <v>89</v>
      </c>
      <c r="K2861" t="s">
        <v>2</v>
      </c>
      <c r="L2861" t="s">
        <v>1167</v>
      </c>
      <c r="M2861" t="s">
        <v>1168</v>
      </c>
      <c r="N2861" t="s">
        <v>1169</v>
      </c>
      <c r="O2861" t="s">
        <v>1168</v>
      </c>
      <c r="P2861" t="s">
        <v>1230</v>
      </c>
    </row>
    <row r="2862" spans="1:16" x14ac:dyDescent="0.25">
      <c r="A2862" t="s">
        <v>5882</v>
      </c>
      <c r="B2862" t="s">
        <v>5830</v>
      </c>
      <c r="C2862" t="s">
        <v>1228</v>
      </c>
      <c r="D2862" t="s">
        <v>1027</v>
      </c>
      <c r="E2862">
        <v>1660</v>
      </c>
      <c r="F2862" t="s">
        <v>1229</v>
      </c>
      <c r="G2862" t="b">
        <v>0</v>
      </c>
      <c r="H2862" t="b">
        <v>0</v>
      </c>
      <c r="I2862" t="s">
        <v>1050</v>
      </c>
      <c r="J2862">
        <v>89</v>
      </c>
      <c r="K2862" t="s">
        <v>2</v>
      </c>
      <c r="L2862" t="s">
        <v>1167</v>
      </c>
      <c r="M2862" t="s">
        <v>1168</v>
      </c>
      <c r="N2862" t="s">
        <v>1169</v>
      </c>
      <c r="O2862" t="s">
        <v>1168</v>
      </c>
      <c r="P2862" t="s">
        <v>1230</v>
      </c>
    </row>
    <row r="2863" spans="1:16" x14ac:dyDescent="0.25">
      <c r="A2863" t="s">
        <v>5883</v>
      </c>
      <c r="B2863" t="s">
        <v>5830</v>
      </c>
      <c r="C2863" t="s">
        <v>1228</v>
      </c>
      <c r="D2863" t="s">
        <v>1027</v>
      </c>
      <c r="E2863">
        <v>1660</v>
      </c>
      <c r="F2863" t="s">
        <v>1229</v>
      </c>
      <c r="G2863" t="b">
        <v>0</v>
      </c>
      <c r="H2863" t="b">
        <v>0</v>
      </c>
      <c r="I2863" t="s">
        <v>1050</v>
      </c>
      <c r="J2863">
        <v>89</v>
      </c>
      <c r="K2863" t="s">
        <v>2</v>
      </c>
      <c r="L2863" t="s">
        <v>1167</v>
      </c>
      <c r="M2863" t="s">
        <v>1168</v>
      </c>
      <c r="N2863" t="s">
        <v>1169</v>
      </c>
      <c r="O2863" t="s">
        <v>1168</v>
      </c>
      <c r="P2863" t="s">
        <v>1230</v>
      </c>
    </row>
    <row r="2864" spans="1:16" x14ac:dyDescent="0.25">
      <c r="A2864" t="s">
        <v>5884</v>
      </c>
      <c r="B2864" t="s">
        <v>5830</v>
      </c>
      <c r="C2864" t="s">
        <v>1228</v>
      </c>
      <c r="D2864" t="s">
        <v>1027</v>
      </c>
      <c r="E2864">
        <v>1660</v>
      </c>
      <c r="F2864" t="s">
        <v>1229</v>
      </c>
      <c r="G2864" t="b">
        <v>0</v>
      </c>
      <c r="H2864" t="b">
        <v>0</v>
      </c>
      <c r="I2864" t="s">
        <v>1050</v>
      </c>
      <c r="J2864">
        <v>89</v>
      </c>
      <c r="K2864" t="s">
        <v>2</v>
      </c>
      <c r="L2864" t="s">
        <v>1167</v>
      </c>
      <c r="M2864" t="s">
        <v>1168</v>
      </c>
      <c r="N2864" t="s">
        <v>1169</v>
      </c>
      <c r="O2864" t="s">
        <v>1168</v>
      </c>
      <c r="P2864" t="s">
        <v>1230</v>
      </c>
    </row>
    <row r="2865" spans="1:16" x14ac:dyDescent="0.25">
      <c r="A2865" t="s">
        <v>5885</v>
      </c>
      <c r="B2865" t="s">
        <v>5830</v>
      </c>
      <c r="C2865" t="s">
        <v>1228</v>
      </c>
      <c r="D2865" t="s">
        <v>1027</v>
      </c>
      <c r="E2865">
        <v>1660</v>
      </c>
      <c r="F2865" t="s">
        <v>1229</v>
      </c>
      <c r="G2865" t="b">
        <v>0</v>
      </c>
      <c r="H2865" t="b">
        <v>0</v>
      </c>
      <c r="I2865" t="s">
        <v>1050</v>
      </c>
      <c r="J2865">
        <v>89</v>
      </c>
      <c r="K2865" t="s">
        <v>2</v>
      </c>
      <c r="L2865" t="s">
        <v>1167</v>
      </c>
      <c r="M2865" t="s">
        <v>1168</v>
      </c>
      <c r="N2865" t="s">
        <v>1169</v>
      </c>
      <c r="O2865" t="s">
        <v>1168</v>
      </c>
      <c r="P2865" t="s">
        <v>1230</v>
      </c>
    </row>
    <row r="2866" spans="1:16" x14ac:dyDescent="0.25">
      <c r="A2866" t="s">
        <v>5886</v>
      </c>
      <c r="B2866" t="s">
        <v>5830</v>
      </c>
      <c r="C2866" t="s">
        <v>1228</v>
      </c>
      <c r="D2866" t="s">
        <v>1027</v>
      </c>
      <c r="E2866">
        <v>1660</v>
      </c>
      <c r="F2866" t="s">
        <v>1229</v>
      </c>
      <c r="G2866" t="b">
        <v>0</v>
      </c>
      <c r="H2866" t="b">
        <v>0</v>
      </c>
      <c r="I2866" t="s">
        <v>1050</v>
      </c>
      <c r="J2866">
        <v>95</v>
      </c>
      <c r="K2866" t="s">
        <v>2</v>
      </c>
      <c r="L2866" t="s">
        <v>1167</v>
      </c>
      <c r="M2866" t="s">
        <v>1168</v>
      </c>
      <c r="N2866" t="s">
        <v>1169</v>
      </c>
      <c r="O2866" t="s">
        <v>1168</v>
      </c>
      <c r="P2866" t="s">
        <v>1230</v>
      </c>
    </row>
    <row r="2867" spans="1:16" x14ac:dyDescent="0.25">
      <c r="A2867" t="s">
        <v>5887</v>
      </c>
      <c r="B2867" t="s">
        <v>5830</v>
      </c>
      <c r="C2867" t="s">
        <v>1228</v>
      </c>
      <c r="D2867" t="s">
        <v>1027</v>
      </c>
      <c r="E2867">
        <v>1660</v>
      </c>
      <c r="F2867" t="s">
        <v>1229</v>
      </c>
      <c r="G2867" t="b">
        <v>0</v>
      </c>
      <c r="H2867" t="b">
        <v>0</v>
      </c>
      <c r="I2867" t="s">
        <v>1050</v>
      </c>
      <c r="J2867">
        <v>95</v>
      </c>
      <c r="K2867" t="s">
        <v>2</v>
      </c>
      <c r="L2867" t="s">
        <v>1167</v>
      </c>
      <c r="M2867" t="s">
        <v>1168</v>
      </c>
      <c r="N2867" t="s">
        <v>1169</v>
      </c>
      <c r="O2867" t="s">
        <v>1168</v>
      </c>
      <c r="P2867" t="s">
        <v>1230</v>
      </c>
    </row>
    <row r="2868" spans="1:16" x14ac:dyDescent="0.25">
      <c r="A2868" t="s">
        <v>5888</v>
      </c>
      <c r="B2868" t="s">
        <v>5830</v>
      </c>
      <c r="C2868" t="s">
        <v>1228</v>
      </c>
      <c r="D2868" t="s">
        <v>1027</v>
      </c>
      <c r="E2868">
        <v>1660</v>
      </c>
      <c r="F2868" t="s">
        <v>1229</v>
      </c>
      <c r="G2868" t="b">
        <v>0</v>
      </c>
      <c r="H2868" t="b">
        <v>0</v>
      </c>
      <c r="I2868" t="s">
        <v>1050</v>
      </c>
      <c r="J2868">
        <v>95</v>
      </c>
      <c r="K2868" t="s">
        <v>2</v>
      </c>
      <c r="L2868" t="s">
        <v>1167</v>
      </c>
      <c r="M2868" t="s">
        <v>1168</v>
      </c>
      <c r="N2868" t="s">
        <v>1169</v>
      </c>
      <c r="O2868" t="s">
        <v>1168</v>
      </c>
      <c r="P2868" t="s">
        <v>1230</v>
      </c>
    </row>
    <row r="2869" spans="1:16" x14ac:dyDescent="0.25">
      <c r="A2869" t="s">
        <v>5889</v>
      </c>
      <c r="B2869" t="s">
        <v>5830</v>
      </c>
      <c r="C2869" t="s">
        <v>1228</v>
      </c>
      <c r="D2869" t="s">
        <v>1027</v>
      </c>
      <c r="E2869">
        <v>1660</v>
      </c>
      <c r="F2869" t="s">
        <v>1229</v>
      </c>
      <c r="G2869" t="b">
        <v>0</v>
      </c>
      <c r="H2869" t="b">
        <v>0</v>
      </c>
      <c r="I2869" t="s">
        <v>1050</v>
      </c>
      <c r="J2869">
        <v>95</v>
      </c>
      <c r="K2869" t="s">
        <v>2</v>
      </c>
      <c r="L2869" t="s">
        <v>1167</v>
      </c>
      <c r="M2869" t="s">
        <v>1168</v>
      </c>
      <c r="N2869" t="s">
        <v>1169</v>
      </c>
      <c r="O2869" t="s">
        <v>1168</v>
      </c>
      <c r="P2869" t="s">
        <v>1230</v>
      </c>
    </row>
    <row r="2870" spans="1:16" x14ac:dyDescent="0.25">
      <c r="A2870" t="s">
        <v>5890</v>
      </c>
      <c r="B2870" t="s">
        <v>5830</v>
      </c>
      <c r="C2870" t="s">
        <v>1228</v>
      </c>
      <c r="D2870" t="s">
        <v>1027</v>
      </c>
      <c r="E2870">
        <v>1660</v>
      </c>
      <c r="F2870" t="s">
        <v>1229</v>
      </c>
      <c r="G2870" t="b">
        <v>0</v>
      </c>
      <c r="H2870" t="b">
        <v>0</v>
      </c>
      <c r="I2870" t="s">
        <v>1050</v>
      </c>
      <c r="J2870">
        <v>95</v>
      </c>
      <c r="K2870" t="s">
        <v>2</v>
      </c>
      <c r="L2870" t="s">
        <v>1167</v>
      </c>
      <c r="M2870" t="s">
        <v>1168</v>
      </c>
      <c r="N2870" t="s">
        <v>1169</v>
      </c>
      <c r="O2870" t="s">
        <v>1168</v>
      </c>
      <c r="P2870" t="s">
        <v>1230</v>
      </c>
    </row>
    <row r="2871" spans="1:16" x14ac:dyDescent="0.25">
      <c r="A2871" t="s">
        <v>5891</v>
      </c>
      <c r="B2871" t="s">
        <v>5830</v>
      </c>
      <c r="C2871" t="s">
        <v>1228</v>
      </c>
      <c r="D2871" t="s">
        <v>1027</v>
      </c>
      <c r="E2871">
        <v>1660</v>
      </c>
      <c r="F2871" t="s">
        <v>1229</v>
      </c>
      <c r="G2871" t="b">
        <v>0</v>
      </c>
      <c r="H2871" t="b">
        <v>0</v>
      </c>
      <c r="I2871" t="s">
        <v>1050</v>
      </c>
      <c r="J2871">
        <v>95</v>
      </c>
      <c r="K2871" t="s">
        <v>2</v>
      </c>
      <c r="L2871" t="s">
        <v>1167</v>
      </c>
      <c r="M2871" t="s">
        <v>1168</v>
      </c>
      <c r="N2871" t="s">
        <v>1169</v>
      </c>
      <c r="O2871" t="s">
        <v>1168</v>
      </c>
      <c r="P2871" t="s">
        <v>1230</v>
      </c>
    </row>
    <row r="2872" spans="1:16" x14ac:dyDescent="0.25">
      <c r="A2872" t="s">
        <v>5892</v>
      </c>
      <c r="B2872" t="s">
        <v>5830</v>
      </c>
      <c r="C2872" t="s">
        <v>1228</v>
      </c>
      <c r="D2872" t="s">
        <v>1027</v>
      </c>
      <c r="E2872">
        <v>1660</v>
      </c>
      <c r="F2872" t="s">
        <v>1229</v>
      </c>
      <c r="G2872" t="b">
        <v>0</v>
      </c>
      <c r="H2872" t="b">
        <v>0</v>
      </c>
      <c r="I2872" t="s">
        <v>1050</v>
      </c>
      <c r="J2872">
        <v>95</v>
      </c>
      <c r="K2872" t="s">
        <v>2</v>
      </c>
      <c r="L2872" t="s">
        <v>1167</v>
      </c>
      <c r="M2872" t="s">
        <v>1168</v>
      </c>
      <c r="N2872" t="s">
        <v>1169</v>
      </c>
      <c r="O2872" t="s">
        <v>1168</v>
      </c>
      <c r="P2872" t="s">
        <v>1230</v>
      </c>
    </row>
    <row r="2873" spans="1:16" x14ac:dyDescent="0.25">
      <c r="A2873" t="s">
        <v>5893</v>
      </c>
      <c r="B2873" t="s">
        <v>5830</v>
      </c>
      <c r="C2873" t="s">
        <v>1228</v>
      </c>
      <c r="D2873" t="s">
        <v>1027</v>
      </c>
      <c r="E2873">
        <v>1660</v>
      </c>
      <c r="F2873" t="s">
        <v>1229</v>
      </c>
      <c r="G2873" t="b">
        <v>0</v>
      </c>
      <c r="H2873" t="b">
        <v>0</v>
      </c>
      <c r="I2873" t="s">
        <v>1050</v>
      </c>
      <c r="J2873">
        <v>95</v>
      </c>
      <c r="K2873" t="s">
        <v>2</v>
      </c>
      <c r="L2873" t="s">
        <v>1167</v>
      </c>
      <c r="M2873" t="s">
        <v>1168</v>
      </c>
      <c r="N2873" t="s">
        <v>1169</v>
      </c>
      <c r="O2873" t="s">
        <v>1168</v>
      </c>
      <c r="P2873" t="s">
        <v>1230</v>
      </c>
    </row>
    <row r="2874" spans="1:16" x14ac:dyDescent="0.25">
      <c r="A2874" t="s">
        <v>5894</v>
      </c>
      <c r="B2874" t="s">
        <v>5830</v>
      </c>
      <c r="C2874" t="s">
        <v>1228</v>
      </c>
      <c r="D2874" t="s">
        <v>1027</v>
      </c>
      <c r="E2874">
        <v>1660</v>
      </c>
      <c r="F2874" t="s">
        <v>1229</v>
      </c>
      <c r="G2874" t="b">
        <v>0</v>
      </c>
      <c r="H2874" t="b">
        <v>0</v>
      </c>
      <c r="I2874" t="s">
        <v>1050</v>
      </c>
      <c r="J2874">
        <v>95</v>
      </c>
      <c r="K2874" t="s">
        <v>2</v>
      </c>
      <c r="L2874" t="s">
        <v>1167</v>
      </c>
      <c r="M2874" t="s">
        <v>1168</v>
      </c>
      <c r="N2874" t="s">
        <v>1169</v>
      </c>
      <c r="O2874" t="s">
        <v>1168</v>
      </c>
      <c r="P2874" t="s">
        <v>1230</v>
      </c>
    </row>
    <row r="2875" spans="1:16" x14ac:dyDescent="0.25">
      <c r="A2875" t="s">
        <v>5895</v>
      </c>
      <c r="B2875" t="s">
        <v>5830</v>
      </c>
      <c r="C2875" t="s">
        <v>1228</v>
      </c>
      <c r="D2875" t="s">
        <v>1027</v>
      </c>
      <c r="E2875">
        <v>1660</v>
      </c>
      <c r="F2875" t="s">
        <v>1229</v>
      </c>
      <c r="G2875" t="b">
        <v>0</v>
      </c>
      <c r="H2875" t="b">
        <v>0</v>
      </c>
      <c r="I2875" t="s">
        <v>1050</v>
      </c>
      <c r="J2875">
        <v>95</v>
      </c>
      <c r="K2875" t="s">
        <v>2</v>
      </c>
      <c r="L2875" t="s">
        <v>1167</v>
      </c>
      <c r="M2875" t="s">
        <v>1168</v>
      </c>
      <c r="N2875" t="s">
        <v>1169</v>
      </c>
      <c r="O2875" t="s">
        <v>1168</v>
      </c>
      <c r="P2875" t="s">
        <v>1230</v>
      </c>
    </row>
    <row r="2876" spans="1:16" x14ac:dyDescent="0.25">
      <c r="A2876" t="s">
        <v>5896</v>
      </c>
      <c r="B2876" t="s">
        <v>5830</v>
      </c>
      <c r="C2876" t="s">
        <v>1228</v>
      </c>
      <c r="D2876" t="s">
        <v>1027</v>
      </c>
      <c r="E2876">
        <v>1660</v>
      </c>
      <c r="F2876" t="s">
        <v>1229</v>
      </c>
      <c r="G2876" t="b">
        <v>0</v>
      </c>
      <c r="H2876" t="b">
        <v>0</v>
      </c>
      <c r="I2876" t="s">
        <v>1050</v>
      </c>
      <c r="J2876">
        <v>95</v>
      </c>
      <c r="K2876" t="s">
        <v>2</v>
      </c>
      <c r="L2876" t="s">
        <v>1167</v>
      </c>
      <c r="M2876" t="s">
        <v>1168</v>
      </c>
      <c r="N2876" t="s">
        <v>1169</v>
      </c>
      <c r="O2876" t="s">
        <v>1168</v>
      </c>
      <c r="P2876" t="s">
        <v>1230</v>
      </c>
    </row>
    <row r="2877" spans="1:16" x14ac:dyDescent="0.25">
      <c r="A2877" t="s">
        <v>5897</v>
      </c>
      <c r="B2877" t="s">
        <v>5830</v>
      </c>
      <c r="C2877" t="s">
        <v>1228</v>
      </c>
      <c r="D2877" t="s">
        <v>1027</v>
      </c>
      <c r="E2877">
        <v>1660</v>
      </c>
      <c r="F2877" t="s">
        <v>1229</v>
      </c>
      <c r="G2877" t="b">
        <v>0</v>
      </c>
      <c r="H2877" t="b">
        <v>0</v>
      </c>
      <c r="I2877" t="s">
        <v>1050</v>
      </c>
      <c r="J2877">
        <v>95</v>
      </c>
      <c r="K2877" t="s">
        <v>2</v>
      </c>
      <c r="L2877" t="s">
        <v>1167</v>
      </c>
      <c r="M2877" t="s">
        <v>1168</v>
      </c>
      <c r="N2877" t="s">
        <v>1169</v>
      </c>
      <c r="O2877" t="s">
        <v>1168</v>
      </c>
      <c r="P2877" t="s">
        <v>1230</v>
      </c>
    </row>
    <row r="2878" spans="1:16" x14ac:dyDescent="0.25">
      <c r="A2878" t="s">
        <v>5898</v>
      </c>
      <c r="B2878" t="s">
        <v>5830</v>
      </c>
      <c r="C2878" t="s">
        <v>1228</v>
      </c>
      <c r="D2878" t="s">
        <v>1027</v>
      </c>
      <c r="E2878">
        <v>1660</v>
      </c>
      <c r="F2878" t="s">
        <v>1229</v>
      </c>
      <c r="G2878" t="b">
        <v>0</v>
      </c>
      <c r="H2878" t="b">
        <v>0</v>
      </c>
      <c r="I2878" t="s">
        <v>1050</v>
      </c>
      <c r="J2878">
        <v>95</v>
      </c>
      <c r="K2878" t="s">
        <v>2</v>
      </c>
      <c r="L2878" t="s">
        <v>1167</v>
      </c>
      <c r="M2878" t="s">
        <v>1168</v>
      </c>
      <c r="N2878" t="s">
        <v>1169</v>
      </c>
      <c r="O2878" t="s">
        <v>1168</v>
      </c>
      <c r="P2878" t="s">
        <v>1230</v>
      </c>
    </row>
    <row r="2879" spans="1:16" x14ac:dyDescent="0.25">
      <c r="A2879" t="s">
        <v>5899</v>
      </c>
      <c r="B2879" t="s">
        <v>5900</v>
      </c>
      <c r="C2879" t="s">
        <v>1335</v>
      </c>
      <c r="D2879" t="s">
        <v>1027</v>
      </c>
      <c r="E2879">
        <v>1459</v>
      </c>
      <c r="F2879" t="s">
        <v>1336</v>
      </c>
      <c r="G2879" t="b">
        <v>0</v>
      </c>
      <c r="H2879" t="b">
        <v>0</v>
      </c>
      <c r="I2879" t="s">
        <v>1050</v>
      </c>
      <c r="J2879" t="s">
        <v>1053</v>
      </c>
      <c r="K2879" t="s">
        <v>1043</v>
      </c>
    </row>
    <row r="2880" spans="1:16" x14ac:dyDescent="0.25">
      <c r="A2880" t="s">
        <v>5901</v>
      </c>
      <c r="B2880" t="s">
        <v>5902</v>
      </c>
      <c r="C2880" t="s">
        <v>1165</v>
      </c>
      <c r="D2880" t="s">
        <v>1027</v>
      </c>
      <c r="E2880">
        <v>63774</v>
      </c>
      <c r="F2880" t="s">
        <v>1166</v>
      </c>
      <c r="G2880" t="b">
        <v>0</v>
      </c>
      <c r="H2880" t="b">
        <v>0</v>
      </c>
      <c r="I2880" t="s">
        <v>1050</v>
      </c>
      <c r="J2880">
        <v>28</v>
      </c>
      <c r="K2880" t="s">
        <v>1</v>
      </c>
      <c r="L2880" t="s">
        <v>1167</v>
      </c>
      <c r="M2880" t="s">
        <v>1168</v>
      </c>
      <c r="N2880" t="s">
        <v>1169</v>
      </c>
      <c r="O2880" t="s">
        <v>1168</v>
      </c>
      <c r="P2880" t="s">
        <v>1170</v>
      </c>
    </row>
    <row r="2881" spans="1:16" x14ac:dyDescent="0.25">
      <c r="A2881" t="s">
        <v>5903</v>
      </c>
      <c r="B2881" t="s">
        <v>5902</v>
      </c>
      <c r="C2881" t="s">
        <v>1165</v>
      </c>
      <c r="D2881" t="s">
        <v>1027</v>
      </c>
      <c r="E2881">
        <v>63774</v>
      </c>
      <c r="F2881" t="s">
        <v>1166</v>
      </c>
      <c r="G2881" t="b">
        <v>0</v>
      </c>
      <c r="H2881" t="b">
        <v>0</v>
      </c>
      <c r="I2881" t="s">
        <v>1050</v>
      </c>
      <c r="J2881">
        <v>28</v>
      </c>
      <c r="K2881" t="s">
        <v>1</v>
      </c>
      <c r="L2881" t="s">
        <v>1167</v>
      </c>
      <c r="M2881" t="s">
        <v>1168</v>
      </c>
      <c r="N2881" t="s">
        <v>1169</v>
      </c>
      <c r="O2881" t="s">
        <v>1168</v>
      </c>
      <c r="P2881" t="s">
        <v>1170</v>
      </c>
    </row>
    <row r="2882" spans="1:16" x14ac:dyDescent="0.25">
      <c r="A2882" t="s">
        <v>5904</v>
      </c>
      <c r="B2882" t="s">
        <v>5902</v>
      </c>
      <c r="C2882" t="s">
        <v>1165</v>
      </c>
      <c r="D2882" t="s">
        <v>1027</v>
      </c>
      <c r="E2882">
        <v>63774</v>
      </c>
      <c r="F2882" t="s">
        <v>1166</v>
      </c>
      <c r="G2882" t="b">
        <v>0</v>
      </c>
      <c r="H2882" t="b">
        <v>0</v>
      </c>
      <c r="I2882" t="s">
        <v>1050</v>
      </c>
      <c r="J2882">
        <v>28</v>
      </c>
      <c r="K2882" t="s">
        <v>1</v>
      </c>
      <c r="L2882" t="s">
        <v>1167</v>
      </c>
      <c r="M2882" t="s">
        <v>1168</v>
      </c>
      <c r="N2882" t="s">
        <v>1169</v>
      </c>
      <c r="O2882" t="s">
        <v>1168</v>
      </c>
      <c r="P2882" t="s">
        <v>1170</v>
      </c>
    </row>
    <row r="2883" spans="1:16" x14ac:dyDescent="0.25">
      <c r="A2883" t="s">
        <v>5905</v>
      </c>
      <c r="B2883" t="s">
        <v>5906</v>
      </c>
      <c r="C2883" t="s">
        <v>1571</v>
      </c>
      <c r="D2883" t="s">
        <v>1027</v>
      </c>
      <c r="E2883">
        <v>63767</v>
      </c>
      <c r="G2883" t="b">
        <v>0</v>
      </c>
      <c r="H2883" t="b">
        <v>0</v>
      </c>
      <c r="I2883" t="s">
        <v>1050</v>
      </c>
      <c r="J2883">
        <v>80</v>
      </c>
      <c r="K2883" t="s">
        <v>0</v>
      </c>
      <c r="L2883" t="s">
        <v>1167</v>
      </c>
      <c r="M2883" t="s">
        <v>1168</v>
      </c>
      <c r="N2883" t="s">
        <v>1169</v>
      </c>
      <c r="O2883" t="s">
        <v>1168</v>
      </c>
      <c r="P2883" t="s">
        <v>1283</v>
      </c>
    </row>
    <row r="2884" spans="1:16" x14ac:dyDescent="0.25">
      <c r="A2884" t="s">
        <v>5907</v>
      </c>
      <c r="B2884" t="s">
        <v>5906</v>
      </c>
      <c r="C2884" t="s">
        <v>1571</v>
      </c>
      <c r="D2884" t="s">
        <v>1027</v>
      </c>
      <c r="E2884">
        <v>63767</v>
      </c>
      <c r="G2884" t="b">
        <v>0</v>
      </c>
      <c r="H2884" t="b">
        <v>0</v>
      </c>
      <c r="I2884" t="s">
        <v>1050</v>
      </c>
      <c r="J2884">
        <v>80</v>
      </c>
      <c r="K2884" t="s">
        <v>0</v>
      </c>
      <c r="L2884" t="s">
        <v>1167</v>
      </c>
      <c r="M2884" t="s">
        <v>1168</v>
      </c>
      <c r="N2884" t="s">
        <v>1169</v>
      </c>
      <c r="O2884" t="s">
        <v>1168</v>
      </c>
      <c r="P2884" t="s">
        <v>1283</v>
      </c>
    </row>
    <row r="2885" spans="1:16" x14ac:dyDescent="0.25">
      <c r="A2885" t="s">
        <v>5908</v>
      </c>
      <c r="B2885" t="s">
        <v>5909</v>
      </c>
      <c r="C2885" t="s">
        <v>1165</v>
      </c>
      <c r="D2885" t="s">
        <v>1027</v>
      </c>
      <c r="E2885">
        <v>63774</v>
      </c>
      <c r="F2885" t="s">
        <v>1166</v>
      </c>
      <c r="G2885" t="b">
        <v>0</v>
      </c>
      <c r="H2885" t="b">
        <v>0</v>
      </c>
      <c r="I2885" t="s">
        <v>1050</v>
      </c>
      <c r="J2885">
        <v>57</v>
      </c>
      <c r="K2885" t="s">
        <v>1</v>
      </c>
      <c r="L2885" t="s">
        <v>1167</v>
      </c>
      <c r="M2885" t="s">
        <v>1168</v>
      </c>
      <c r="N2885" t="s">
        <v>1169</v>
      </c>
      <c r="O2885" t="s">
        <v>1168</v>
      </c>
      <c r="P2885" t="s">
        <v>1170</v>
      </c>
    </row>
    <row r="2886" spans="1:16" x14ac:dyDescent="0.25">
      <c r="A2886" t="s">
        <v>5910</v>
      </c>
      <c r="B2886" t="s">
        <v>5909</v>
      </c>
      <c r="C2886" t="s">
        <v>1165</v>
      </c>
      <c r="D2886" t="s">
        <v>1027</v>
      </c>
      <c r="E2886">
        <v>63774</v>
      </c>
      <c r="F2886" t="s">
        <v>1166</v>
      </c>
      <c r="G2886" t="b">
        <v>0</v>
      </c>
      <c r="H2886" t="b">
        <v>0</v>
      </c>
      <c r="I2886" t="s">
        <v>1050</v>
      </c>
      <c r="J2886">
        <v>57</v>
      </c>
      <c r="K2886" t="s">
        <v>1</v>
      </c>
      <c r="L2886" t="s">
        <v>1167</v>
      </c>
      <c r="M2886" t="s">
        <v>1168</v>
      </c>
      <c r="N2886" t="s">
        <v>1169</v>
      </c>
      <c r="O2886" t="s">
        <v>1168</v>
      </c>
      <c r="P2886" t="s">
        <v>1170</v>
      </c>
    </row>
    <row r="2887" spans="1:16" x14ac:dyDescent="0.25">
      <c r="A2887" t="s">
        <v>5911</v>
      </c>
      <c r="B2887" t="s">
        <v>5912</v>
      </c>
      <c r="C2887" t="s">
        <v>1165</v>
      </c>
      <c r="D2887" t="s">
        <v>1027</v>
      </c>
      <c r="E2887">
        <v>63774</v>
      </c>
      <c r="F2887" t="s">
        <v>1166</v>
      </c>
      <c r="G2887" t="b">
        <v>0</v>
      </c>
      <c r="H2887" t="b">
        <v>0</v>
      </c>
      <c r="I2887" t="s">
        <v>1050</v>
      </c>
      <c r="J2887">
        <v>67</v>
      </c>
      <c r="K2887" t="s">
        <v>1</v>
      </c>
      <c r="L2887" t="s">
        <v>1167</v>
      </c>
      <c r="M2887" t="s">
        <v>1168</v>
      </c>
      <c r="N2887" t="s">
        <v>1169</v>
      </c>
      <c r="O2887" t="s">
        <v>1168</v>
      </c>
      <c r="P2887" t="s">
        <v>1170</v>
      </c>
    </row>
    <row r="2888" spans="1:16" x14ac:dyDescent="0.25">
      <c r="A2888" t="s">
        <v>5913</v>
      </c>
      <c r="B2888" t="s">
        <v>5912</v>
      </c>
      <c r="C2888" t="s">
        <v>1165</v>
      </c>
      <c r="D2888" t="s">
        <v>1027</v>
      </c>
      <c r="E2888">
        <v>63774</v>
      </c>
      <c r="F2888" t="s">
        <v>1166</v>
      </c>
      <c r="G2888" t="b">
        <v>0</v>
      </c>
      <c r="H2888" t="b">
        <v>0</v>
      </c>
      <c r="I2888" t="s">
        <v>1050</v>
      </c>
      <c r="J2888">
        <v>67</v>
      </c>
      <c r="K2888" t="s">
        <v>1</v>
      </c>
      <c r="L2888" t="s">
        <v>1167</v>
      </c>
      <c r="M2888" t="s">
        <v>1168</v>
      </c>
      <c r="N2888" t="s">
        <v>1169</v>
      </c>
      <c r="O2888" t="s">
        <v>1168</v>
      </c>
      <c r="P2888" t="s">
        <v>1170</v>
      </c>
    </row>
    <row r="2889" spans="1:16" x14ac:dyDescent="0.25">
      <c r="A2889" t="s">
        <v>5914</v>
      </c>
      <c r="B2889" t="s">
        <v>5915</v>
      </c>
      <c r="C2889" t="s">
        <v>1228</v>
      </c>
      <c r="D2889" t="s">
        <v>1027</v>
      </c>
      <c r="E2889">
        <v>1660</v>
      </c>
      <c r="F2889" t="s">
        <v>1229</v>
      </c>
      <c r="G2889" t="b">
        <v>0</v>
      </c>
      <c r="H2889" t="b">
        <v>0</v>
      </c>
      <c r="I2889" t="s">
        <v>1050</v>
      </c>
      <c r="J2889">
        <v>88</v>
      </c>
      <c r="K2889" t="s">
        <v>2</v>
      </c>
      <c r="L2889" t="s">
        <v>1167</v>
      </c>
      <c r="M2889" t="s">
        <v>1168</v>
      </c>
      <c r="N2889" t="s">
        <v>1169</v>
      </c>
      <c r="O2889" t="s">
        <v>1168</v>
      </c>
      <c r="P2889" t="s">
        <v>1230</v>
      </c>
    </row>
    <row r="2890" spans="1:16" x14ac:dyDescent="0.25">
      <c r="A2890" t="s">
        <v>5916</v>
      </c>
      <c r="B2890" t="s">
        <v>5917</v>
      </c>
      <c r="C2890" t="s">
        <v>1217</v>
      </c>
      <c r="D2890" t="s">
        <v>1027</v>
      </c>
      <c r="G2890" t="b">
        <v>0</v>
      </c>
      <c r="H2890" t="b">
        <v>0</v>
      </c>
      <c r="I2890" t="s">
        <v>1050</v>
      </c>
      <c r="J2890">
        <v>87</v>
      </c>
      <c r="K2890" t="s">
        <v>0</v>
      </c>
      <c r="L2890" t="s">
        <v>1167</v>
      </c>
      <c r="M2890" t="s">
        <v>1168</v>
      </c>
      <c r="N2890" t="s">
        <v>1169</v>
      </c>
      <c r="O2890" t="s">
        <v>1168</v>
      </c>
      <c r="P2890" t="s">
        <v>1219</v>
      </c>
    </row>
    <row r="2891" spans="1:16" x14ac:dyDescent="0.25">
      <c r="A2891" t="s">
        <v>5918</v>
      </c>
      <c r="B2891" t="s">
        <v>5919</v>
      </c>
      <c r="C2891" t="s">
        <v>1233</v>
      </c>
      <c r="D2891" t="s">
        <v>1027</v>
      </c>
      <c r="E2891">
        <v>63762</v>
      </c>
      <c r="F2891" t="s">
        <v>1234</v>
      </c>
      <c r="G2891" t="b">
        <v>0</v>
      </c>
      <c r="H2891" t="b">
        <v>0</v>
      </c>
      <c r="I2891" t="s">
        <v>1050</v>
      </c>
      <c r="J2891">
        <v>87</v>
      </c>
      <c r="K2891" t="s">
        <v>0</v>
      </c>
      <c r="L2891" t="s">
        <v>1167</v>
      </c>
      <c r="M2891" t="s">
        <v>1168</v>
      </c>
      <c r="N2891" t="s">
        <v>1169</v>
      </c>
      <c r="O2891" t="s">
        <v>1168</v>
      </c>
      <c r="P2891" t="s">
        <v>1235</v>
      </c>
    </row>
    <row r="2892" spans="1:16" x14ac:dyDescent="0.25">
      <c r="A2892" t="s">
        <v>5920</v>
      </c>
      <c r="B2892" t="s">
        <v>5921</v>
      </c>
      <c r="C2892" t="s">
        <v>1173</v>
      </c>
      <c r="D2892" t="s">
        <v>1027</v>
      </c>
      <c r="E2892">
        <v>63771</v>
      </c>
      <c r="F2892" t="s">
        <v>1174</v>
      </c>
      <c r="G2892" t="b">
        <v>0</v>
      </c>
      <c r="H2892" t="b">
        <v>0</v>
      </c>
      <c r="I2892" t="s">
        <v>1050</v>
      </c>
      <c r="J2892">
        <v>80</v>
      </c>
      <c r="K2892" t="s">
        <v>1</v>
      </c>
      <c r="L2892" t="s">
        <v>1175</v>
      </c>
      <c r="M2892" t="s">
        <v>1175</v>
      </c>
      <c r="N2892" t="s">
        <v>1176</v>
      </c>
      <c r="O2892" t="s">
        <v>1176</v>
      </c>
      <c r="P2892" t="s">
        <v>1177</v>
      </c>
    </row>
    <row r="2893" spans="1:16" x14ac:dyDescent="0.25">
      <c r="A2893" t="s">
        <v>5922</v>
      </c>
      <c r="B2893" t="s">
        <v>5923</v>
      </c>
      <c r="C2893" t="s">
        <v>1233</v>
      </c>
      <c r="D2893" t="s">
        <v>1027</v>
      </c>
      <c r="E2893">
        <v>63762</v>
      </c>
      <c r="F2893" t="s">
        <v>1234</v>
      </c>
      <c r="G2893" t="b">
        <v>0</v>
      </c>
      <c r="H2893" t="b">
        <v>0</v>
      </c>
      <c r="I2893" t="s">
        <v>1050</v>
      </c>
      <c r="J2893">
        <v>80</v>
      </c>
      <c r="K2893" t="s">
        <v>0</v>
      </c>
      <c r="L2893" t="s">
        <v>1167</v>
      </c>
      <c r="M2893" t="s">
        <v>1168</v>
      </c>
      <c r="N2893" t="s">
        <v>1169</v>
      </c>
      <c r="O2893" t="s">
        <v>1168</v>
      </c>
      <c r="P2893" t="s">
        <v>1235</v>
      </c>
    </row>
    <row r="2894" spans="1:16" x14ac:dyDescent="0.25">
      <c r="A2894" t="s">
        <v>5924</v>
      </c>
      <c r="B2894" t="s">
        <v>5925</v>
      </c>
      <c r="C2894" t="s">
        <v>1678</v>
      </c>
      <c r="D2894" t="s">
        <v>1027</v>
      </c>
      <c r="E2894">
        <v>63786</v>
      </c>
      <c r="F2894" t="s">
        <v>1679</v>
      </c>
      <c r="G2894" t="b">
        <v>0</v>
      </c>
      <c r="H2894" t="b">
        <v>0</v>
      </c>
      <c r="I2894" t="s">
        <v>1050</v>
      </c>
      <c r="J2894">
        <v>64</v>
      </c>
      <c r="K2894" t="s">
        <v>0</v>
      </c>
      <c r="L2894" t="s">
        <v>1680</v>
      </c>
      <c r="M2894" t="s">
        <v>1680</v>
      </c>
      <c r="N2894" t="s">
        <v>1681</v>
      </c>
      <c r="O2894" t="s">
        <v>1680</v>
      </c>
      <c r="P2894" t="s">
        <v>3083</v>
      </c>
    </row>
    <row r="2895" spans="1:16" x14ac:dyDescent="0.25">
      <c r="A2895" t="s">
        <v>5926</v>
      </c>
      <c r="B2895" t="s">
        <v>5927</v>
      </c>
      <c r="C2895" t="s">
        <v>1165</v>
      </c>
      <c r="D2895" t="s">
        <v>1027</v>
      </c>
      <c r="E2895">
        <v>63774</v>
      </c>
      <c r="F2895" t="s">
        <v>1166</v>
      </c>
      <c r="G2895" t="b">
        <v>0</v>
      </c>
      <c r="H2895" t="b">
        <v>0</v>
      </c>
      <c r="I2895" t="s">
        <v>1050</v>
      </c>
      <c r="J2895">
        <v>56</v>
      </c>
      <c r="K2895" t="s">
        <v>1</v>
      </c>
      <c r="L2895" t="s">
        <v>1167</v>
      </c>
      <c r="M2895" t="s">
        <v>1168</v>
      </c>
      <c r="N2895" t="s">
        <v>1169</v>
      </c>
      <c r="O2895" t="s">
        <v>1168</v>
      </c>
      <c r="P2895" t="s">
        <v>1170</v>
      </c>
    </row>
    <row r="2896" spans="1:16" x14ac:dyDescent="0.25">
      <c r="A2896" t="s">
        <v>5928</v>
      </c>
      <c r="B2896" t="s">
        <v>5927</v>
      </c>
      <c r="C2896" t="s">
        <v>1165</v>
      </c>
      <c r="D2896" t="s">
        <v>1027</v>
      </c>
      <c r="E2896">
        <v>63774</v>
      </c>
      <c r="F2896" t="s">
        <v>1166</v>
      </c>
      <c r="G2896" t="b">
        <v>0</v>
      </c>
      <c r="H2896" t="b">
        <v>0</v>
      </c>
      <c r="I2896" t="s">
        <v>1050</v>
      </c>
      <c r="J2896">
        <v>56</v>
      </c>
      <c r="K2896" t="s">
        <v>1</v>
      </c>
      <c r="L2896" t="s">
        <v>1167</v>
      </c>
      <c r="M2896" t="s">
        <v>1168</v>
      </c>
      <c r="N2896" t="s">
        <v>1169</v>
      </c>
      <c r="O2896" t="s">
        <v>1168</v>
      </c>
      <c r="P2896" t="s">
        <v>1170</v>
      </c>
    </row>
    <row r="2897" spans="1:16" x14ac:dyDescent="0.25">
      <c r="A2897" t="s">
        <v>5929</v>
      </c>
      <c r="B2897" t="s">
        <v>5930</v>
      </c>
      <c r="C2897" t="s">
        <v>1165</v>
      </c>
      <c r="D2897" t="s">
        <v>1027</v>
      </c>
      <c r="E2897">
        <v>63774</v>
      </c>
      <c r="F2897" t="s">
        <v>1166</v>
      </c>
      <c r="G2897" t="b">
        <v>0</v>
      </c>
      <c r="H2897" t="b">
        <v>0</v>
      </c>
      <c r="I2897" t="s">
        <v>1050</v>
      </c>
      <c r="J2897">
        <v>67</v>
      </c>
      <c r="K2897" t="s">
        <v>1</v>
      </c>
      <c r="L2897" t="s">
        <v>1167</v>
      </c>
      <c r="M2897" t="s">
        <v>1168</v>
      </c>
      <c r="N2897" t="s">
        <v>1169</v>
      </c>
      <c r="O2897" t="s">
        <v>1168</v>
      </c>
      <c r="P2897" t="s">
        <v>1170</v>
      </c>
    </row>
    <row r="2898" spans="1:16" x14ac:dyDescent="0.25">
      <c r="A2898" t="s">
        <v>5931</v>
      </c>
      <c r="B2898" t="s">
        <v>5930</v>
      </c>
      <c r="C2898" t="s">
        <v>1165</v>
      </c>
      <c r="D2898" t="s">
        <v>1027</v>
      </c>
      <c r="E2898">
        <v>63774</v>
      </c>
      <c r="F2898" t="s">
        <v>1166</v>
      </c>
      <c r="G2898" t="b">
        <v>0</v>
      </c>
      <c r="H2898" t="b">
        <v>0</v>
      </c>
      <c r="I2898" t="s">
        <v>1050</v>
      </c>
      <c r="J2898">
        <v>67</v>
      </c>
      <c r="K2898" t="s">
        <v>1</v>
      </c>
      <c r="L2898" t="s">
        <v>1167</v>
      </c>
      <c r="M2898" t="s">
        <v>1168</v>
      </c>
      <c r="N2898" t="s">
        <v>1169</v>
      </c>
      <c r="O2898" t="s">
        <v>1168</v>
      </c>
      <c r="P2898" t="s">
        <v>1170</v>
      </c>
    </row>
    <row r="2899" spans="1:16" x14ac:dyDescent="0.25">
      <c r="A2899" t="s">
        <v>5932</v>
      </c>
      <c r="B2899" t="s">
        <v>5933</v>
      </c>
      <c r="C2899" t="s">
        <v>1173</v>
      </c>
      <c r="D2899" t="s">
        <v>1027</v>
      </c>
      <c r="E2899">
        <v>63771</v>
      </c>
      <c r="F2899" t="s">
        <v>1174</v>
      </c>
      <c r="G2899" t="b">
        <v>0</v>
      </c>
      <c r="H2899" t="b">
        <v>0</v>
      </c>
      <c r="I2899" t="s">
        <v>1050</v>
      </c>
      <c r="J2899">
        <v>80</v>
      </c>
      <c r="K2899" t="s">
        <v>1</v>
      </c>
      <c r="L2899" t="s">
        <v>1175</v>
      </c>
      <c r="M2899" t="s">
        <v>1175</v>
      </c>
      <c r="N2899" t="s">
        <v>1176</v>
      </c>
      <c r="O2899" t="s">
        <v>1176</v>
      </c>
      <c r="P2899" t="s">
        <v>1177</v>
      </c>
    </row>
    <row r="2900" spans="1:16" x14ac:dyDescent="0.25">
      <c r="A2900" t="s">
        <v>5934</v>
      </c>
      <c r="B2900" t="s">
        <v>5933</v>
      </c>
      <c r="C2900" t="s">
        <v>1173</v>
      </c>
      <c r="D2900" t="s">
        <v>1027</v>
      </c>
      <c r="E2900">
        <v>63771</v>
      </c>
      <c r="F2900" t="s">
        <v>1174</v>
      </c>
      <c r="G2900" t="b">
        <v>0</v>
      </c>
      <c r="H2900" t="b">
        <v>0</v>
      </c>
      <c r="I2900" t="s">
        <v>1050</v>
      </c>
      <c r="J2900">
        <v>80</v>
      </c>
      <c r="K2900" t="s">
        <v>1</v>
      </c>
      <c r="L2900" t="s">
        <v>1175</v>
      </c>
      <c r="M2900" t="s">
        <v>1175</v>
      </c>
      <c r="N2900" t="s">
        <v>1176</v>
      </c>
      <c r="O2900" t="s">
        <v>1176</v>
      </c>
      <c r="P2900" t="s">
        <v>1177</v>
      </c>
    </row>
    <row r="2901" spans="1:16" x14ac:dyDescent="0.25">
      <c r="A2901" t="s">
        <v>5935</v>
      </c>
      <c r="B2901" t="s">
        <v>5933</v>
      </c>
      <c r="C2901" t="s">
        <v>1173</v>
      </c>
      <c r="D2901" t="s">
        <v>1027</v>
      </c>
      <c r="E2901">
        <v>63771</v>
      </c>
      <c r="F2901" t="s">
        <v>1174</v>
      </c>
      <c r="G2901" t="b">
        <v>0</v>
      </c>
      <c r="H2901" t="b">
        <v>0</v>
      </c>
      <c r="I2901" t="s">
        <v>1050</v>
      </c>
      <c r="J2901">
        <v>80</v>
      </c>
      <c r="K2901" t="s">
        <v>1</v>
      </c>
      <c r="L2901" t="s">
        <v>1175</v>
      </c>
      <c r="M2901" t="s">
        <v>1175</v>
      </c>
      <c r="N2901" t="s">
        <v>1176</v>
      </c>
      <c r="O2901" t="s">
        <v>1176</v>
      </c>
      <c r="P2901" t="s">
        <v>1177</v>
      </c>
    </row>
    <row r="2902" spans="1:16" x14ac:dyDescent="0.25">
      <c r="A2902" t="s">
        <v>5936</v>
      </c>
      <c r="B2902" t="s">
        <v>5937</v>
      </c>
      <c r="C2902" t="s">
        <v>1165</v>
      </c>
      <c r="D2902" t="s">
        <v>1027</v>
      </c>
      <c r="E2902">
        <v>63774</v>
      </c>
      <c r="F2902" t="s">
        <v>1166</v>
      </c>
      <c r="G2902" t="b">
        <v>0</v>
      </c>
      <c r="H2902" t="b">
        <v>0</v>
      </c>
      <c r="I2902" t="s">
        <v>1050</v>
      </c>
      <c r="J2902">
        <v>21</v>
      </c>
      <c r="K2902" t="s">
        <v>1</v>
      </c>
      <c r="L2902" t="s">
        <v>1167</v>
      </c>
      <c r="M2902" t="s">
        <v>1168</v>
      </c>
      <c r="N2902" t="s">
        <v>1169</v>
      </c>
      <c r="O2902" t="s">
        <v>1168</v>
      </c>
      <c r="P2902" t="s">
        <v>1170</v>
      </c>
    </row>
    <row r="2903" spans="1:16" x14ac:dyDescent="0.25">
      <c r="A2903" t="s">
        <v>5938</v>
      </c>
      <c r="B2903" t="s">
        <v>5937</v>
      </c>
      <c r="C2903" t="s">
        <v>1165</v>
      </c>
      <c r="D2903" t="s">
        <v>1027</v>
      </c>
      <c r="E2903">
        <v>63774</v>
      </c>
      <c r="F2903" t="s">
        <v>1166</v>
      </c>
      <c r="G2903" t="b">
        <v>0</v>
      </c>
      <c r="H2903" t="b">
        <v>0</v>
      </c>
      <c r="I2903" t="s">
        <v>1050</v>
      </c>
      <c r="J2903">
        <v>21</v>
      </c>
      <c r="K2903" t="s">
        <v>1</v>
      </c>
      <c r="L2903" t="s">
        <v>1167</v>
      </c>
      <c r="M2903" t="s">
        <v>1168</v>
      </c>
      <c r="N2903" t="s">
        <v>1169</v>
      </c>
      <c r="O2903" t="s">
        <v>1168</v>
      </c>
      <c r="P2903" t="s">
        <v>1170</v>
      </c>
    </row>
    <row r="2904" spans="1:16" x14ac:dyDescent="0.25">
      <c r="A2904" t="s">
        <v>5939</v>
      </c>
      <c r="B2904" t="s">
        <v>5940</v>
      </c>
      <c r="C2904" t="s">
        <v>1571</v>
      </c>
      <c r="D2904" t="s">
        <v>1027</v>
      </c>
      <c r="E2904">
        <v>63767</v>
      </c>
      <c r="G2904" t="b">
        <v>0</v>
      </c>
      <c r="H2904" t="b">
        <v>0</v>
      </c>
      <c r="I2904" t="s">
        <v>1050</v>
      </c>
      <c r="J2904">
        <v>80</v>
      </c>
      <c r="K2904" t="s">
        <v>0</v>
      </c>
      <c r="L2904" t="s">
        <v>1167</v>
      </c>
      <c r="M2904" t="s">
        <v>1168</v>
      </c>
      <c r="N2904" t="s">
        <v>1169</v>
      </c>
      <c r="O2904" t="s">
        <v>1168</v>
      </c>
      <c r="P2904" t="s">
        <v>1283</v>
      </c>
    </row>
    <row r="2905" spans="1:16" x14ac:dyDescent="0.25">
      <c r="A2905" t="s">
        <v>5941</v>
      </c>
      <c r="B2905" t="s">
        <v>5940</v>
      </c>
      <c r="C2905" t="s">
        <v>1571</v>
      </c>
      <c r="D2905" t="s">
        <v>1027</v>
      </c>
      <c r="E2905">
        <v>63767</v>
      </c>
      <c r="G2905" t="b">
        <v>0</v>
      </c>
      <c r="H2905" t="b">
        <v>0</v>
      </c>
      <c r="I2905" t="s">
        <v>1050</v>
      </c>
      <c r="J2905">
        <v>80</v>
      </c>
      <c r="K2905" t="s">
        <v>0</v>
      </c>
      <c r="L2905" t="s">
        <v>1167</v>
      </c>
      <c r="M2905" t="s">
        <v>1168</v>
      </c>
      <c r="N2905" t="s">
        <v>1169</v>
      </c>
      <c r="O2905" t="s">
        <v>1168</v>
      </c>
      <c r="P2905" t="s">
        <v>1283</v>
      </c>
    </row>
    <row r="2906" spans="1:16" x14ac:dyDescent="0.25">
      <c r="A2906" t="s">
        <v>5942</v>
      </c>
      <c r="B2906" t="s">
        <v>5943</v>
      </c>
      <c r="C2906" t="s">
        <v>1545</v>
      </c>
      <c r="D2906" t="s">
        <v>1027</v>
      </c>
      <c r="E2906">
        <v>1322</v>
      </c>
      <c r="F2906" t="s">
        <v>1546</v>
      </c>
      <c r="G2906" t="b">
        <v>0</v>
      </c>
      <c r="H2906" t="b">
        <v>0</v>
      </c>
      <c r="I2906" t="s">
        <v>1050</v>
      </c>
      <c r="J2906">
        <v>88</v>
      </c>
      <c r="K2906" t="s">
        <v>2</v>
      </c>
      <c r="L2906" t="s">
        <v>1547</v>
      </c>
      <c r="M2906" t="s">
        <v>1548</v>
      </c>
      <c r="N2906" t="s">
        <v>1549</v>
      </c>
      <c r="O2906" t="s">
        <v>1549</v>
      </c>
      <c r="P2906" t="s">
        <v>1550</v>
      </c>
    </row>
    <row r="2907" spans="1:16" x14ac:dyDescent="0.25">
      <c r="A2907" t="s">
        <v>5944</v>
      </c>
      <c r="B2907" t="s">
        <v>5945</v>
      </c>
      <c r="C2907" t="s">
        <v>1165</v>
      </c>
      <c r="D2907" t="s">
        <v>1027</v>
      </c>
      <c r="E2907">
        <v>63774</v>
      </c>
      <c r="F2907" t="s">
        <v>1166</v>
      </c>
      <c r="G2907" t="b">
        <v>0</v>
      </c>
      <c r="H2907" t="b">
        <v>0</v>
      </c>
      <c r="I2907" t="s">
        <v>1050</v>
      </c>
      <c r="J2907">
        <v>67</v>
      </c>
      <c r="K2907" t="s">
        <v>1</v>
      </c>
      <c r="L2907" t="s">
        <v>1167</v>
      </c>
      <c r="M2907" t="s">
        <v>1168</v>
      </c>
      <c r="N2907" t="s">
        <v>1169</v>
      </c>
      <c r="O2907" t="s">
        <v>1168</v>
      </c>
      <c r="P2907" t="s">
        <v>1170</v>
      </c>
    </row>
    <row r="2908" spans="1:16" x14ac:dyDescent="0.25">
      <c r="A2908" t="s">
        <v>5946</v>
      </c>
      <c r="B2908" t="s">
        <v>5945</v>
      </c>
      <c r="C2908" t="s">
        <v>1165</v>
      </c>
      <c r="D2908" t="s">
        <v>1027</v>
      </c>
      <c r="E2908">
        <v>63774</v>
      </c>
      <c r="F2908" t="s">
        <v>1166</v>
      </c>
      <c r="G2908" t="b">
        <v>0</v>
      </c>
      <c r="H2908" t="b">
        <v>0</v>
      </c>
      <c r="I2908" t="s">
        <v>1050</v>
      </c>
      <c r="J2908">
        <v>67</v>
      </c>
      <c r="K2908" t="s">
        <v>1</v>
      </c>
      <c r="L2908" t="s">
        <v>1167</v>
      </c>
      <c r="M2908" t="s">
        <v>1168</v>
      </c>
      <c r="N2908" t="s">
        <v>1169</v>
      </c>
      <c r="O2908" t="s">
        <v>1168</v>
      </c>
      <c r="P2908" t="s">
        <v>1170</v>
      </c>
    </row>
    <row r="2909" spans="1:16" x14ac:dyDescent="0.25">
      <c r="A2909" t="s">
        <v>5947</v>
      </c>
      <c r="B2909" t="s">
        <v>5948</v>
      </c>
      <c r="C2909" t="s">
        <v>1165</v>
      </c>
      <c r="D2909" t="s">
        <v>1027</v>
      </c>
      <c r="E2909">
        <v>63774</v>
      </c>
      <c r="F2909" t="s">
        <v>1166</v>
      </c>
      <c r="G2909" t="b">
        <v>0</v>
      </c>
      <c r="H2909" t="b">
        <v>0</v>
      </c>
      <c r="I2909" t="s">
        <v>1050</v>
      </c>
      <c r="J2909">
        <v>87</v>
      </c>
      <c r="K2909" t="s">
        <v>1</v>
      </c>
      <c r="L2909" t="s">
        <v>1167</v>
      </c>
      <c r="M2909" t="s">
        <v>1168</v>
      </c>
      <c r="N2909" t="s">
        <v>1169</v>
      </c>
      <c r="O2909" t="s">
        <v>1168</v>
      </c>
      <c r="P2909" t="s">
        <v>1170</v>
      </c>
    </row>
    <row r="2910" spans="1:16" x14ac:dyDescent="0.25">
      <c r="A2910" t="s">
        <v>5949</v>
      </c>
      <c r="B2910" t="s">
        <v>5948</v>
      </c>
      <c r="C2910" t="s">
        <v>1165</v>
      </c>
      <c r="D2910" t="s">
        <v>1027</v>
      </c>
      <c r="E2910">
        <v>63774</v>
      </c>
      <c r="F2910" t="s">
        <v>1166</v>
      </c>
      <c r="G2910" t="b">
        <v>0</v>
      </c>
      <c r="H2910" t="b">
        <v>0</v>
      </c>
      <c r="I2910" t="s">
        <v>1050</v>
      </c>
      <c r="J2910">
        <v>87</v>
      </c>
      <c r="K2910" t="s">
        <v>1</v>
      </c>
      <c r="L2910" t="s">
        <v>1167</v>
      </c>
      <c r="M2910" t="s">
        <v>1168</v>
      </c>
      <c r="N2910" t="s">
        <v>1169</v>
      </c>
      <c r="O2910" t="s">
        <v>1168</v>
      </c>
      <c r="P2910" t="s">
        <v>1170</v>
      </c>
    </row>
    <row r="2911" spans="1:16" x14ac:dyDescent="0.25">
      <c r="A2911" t="s">
        <v>5950</v>
      </c>
      <c r="B2911" t="s">
        <v>5948</v>
      </c>
      <c r="C2911" t="s">
        <v>1165</v>
      </c>
      <c r="D2911" t="s">
        <v>1027</v>
      </c>
      <c r="E2911">
        <v>63774</v>
      </c>
      <c r="F2911" t="s">
        <v>1166</v>
      </c>
      <c r="G2911" t="b">
        <v>0</v>
      </c>
      <c r="H2911" t="b">
        <v>0</v>
      </c>
      <c r="I2911" t="s">
        <v>1050</v>
      </c>
      <c r="J2911">
        <v>87</v>
      </c>
      <c r="K2911" t="s">
        <v>1</v>
      </c>
      <c r="L2911" t="s">
        <v>1167</v>
      </c>
      <c r="M2911" t="s">
        <v>1168</v>
      </c>
      <c r="N2911" t="s">
        <v>1169</v>
      </c>
      <c r="O2911" t="s">
        <v>1168</v>
      </c>
      <c r="P2911" t="s">
        <v>1170</v>
      </c>
    </row>
    <row r="2912" spans="1:16" x14ac:dyDescent="0.25">
      <c r="A2912" t="s">
        <v>5951</v>
      </c>
      <c r="B2912" t="s">
        <v>5948</v>
      </c>
      <c r="C2912" t="s">
        <v>1165</v>
      </c>
      <c r="D2912" t="s">
        <v>1027</v>
      </c>
      <c r="E2912">
        <v>63774</v>
      </c>
      <c r="F2912" t="s">
        <v>1166</v>
      </c>
      <c r="G2912" t="b">
        <v>0</v>
      </c>
      <c r="H2912" t="b">
        <v>0</v>
      </c>
      <c r="I2912" t="s">
        <v>1050</v>
      </c>
      <c r="J2912">
        <v>87</v>
      </c>
      <c r="K2912" t="s">
        <v>1</v>
      </c>
      <c r="L2912" t="s">
        <v>1167</v>
      </c>
      <c r="M2912" t="s">
        <v>1168</v>
      </c>
      <c r="N2912" t="s">
        <v>1169</v>
      </c>
      <c r="O2912" t="s">
        <v>1168</v>
      </c>
      <c r="P2912" t="s">
        <v>1170</v>
      </c>
    </row>
    <row r="2913" spans="1:16" x14ac:dyDescent="0.25">
      <c r="A2913" t="s">
        <v>5952</v>
      </c>
      <c r="B2913" t="s">
        <v>5953</v>
      </c>
      <c r="C2913" t="s">
        <v>1233</v>
      </c>
      <c r="D2913" t="s">
        <v>1027</v>
      </c>
      <c r="E2913">
        <v>63762</v>
      </c>
      <c r="F2913" t="s">
        <v>1234</v>
      </c>
      <c r="G2913" t="b">
        <v>0</v>
      </c>
      <c r="H2913" t="b">
        <v>0</v>
      </c>
      <c r="I2913" t="s">
        <v>1050</v>
      </c>
      <c r="J2913">
        <v>88</v>
      </c>
      <c r="K2913" t="s">
        <v>0</v>
      </c>
      <c r="L2913" t="s">
        <v>1167</v>
      </c>
      <c r="M2913" t="s">
        <v>1168</v>
      </c>
      <c r="N2913" t="s">
        <v>1169</v>
      </c>
      <c r="O2913" t="s">
        <v>1168</v>
      </c>
      <c r="P2913" t="s">
        <v>1235</v>
      </c>
    </row>
    <row r="2914" spans="1:16" x14ac:dyDescent="0.25">
      <c r="A2914" t="s">
        <v>5954</v>
      </c>
      <c r="B2914" t="s">
        <v>5955</v>
      </c>
      <c r="C2914" t="s">
        <v>1545</v>
      </c>
      <c r="D2914" t="s">
        <v>1027</v>
      </c>
      <c r="E2914">
        <v>1322</v>
      </c>
      <c r="F2914" t="s">
        <v>1546</v>
      </c>
      <c r="G2914" t="b">
        <v>0</v>
      </c>
      <c r="H2914" t="b">
        <v>0</v>
      </c>
      <c r="I2914" t="s">
        <v>1050</v>
      </c>
      <c r="J2914">
        <v>88</v>
      </c>
      <c r="K2914" t="s">
        <v>2</v>
      </c>
      <c r="L2914" t="s">
        <v>1547</v>
      </c>
      <c r="M2914" t="s">
        <v>1548</v>
      </c>
      <c r="N2914" t="s">
        <v>1549</v>
      </c>
      <c r="O2914" t="s">
        <v>1549</v>
      </c>
      <c r="P2914" t="s">
        <v>1550</v>
      </c>
    </row>
    <row r="2915" spans="1:16" x14ac:dyDescent="0.25">
      <c r="A2915" t="s">
        <v>5956</v>
      </c>
      <c r="B2915" t="s">
        <v>5957</v>
      </c>
      <c r="C2915" t="s">
        <v>1545</v>
      </c>
      <c r="D2915" t="s">
        <v>1027</v>
      </c>
      <c r="E2915">
        <v>1322</v>
      </c>
      <c r="F2915" t="s">
        <v>1546</v>
      </c>
      <c r="G2915" t="b">
        <v>0</v>
      </c>
      <c r="H2915" t="b">
        <v>0</v>
      </c>
      <c r="I2915" t="s">
        <v>1050</v>
      </c>
      <c r="J2915">
        <v>88</v>
      </c>
      <c r="K2915" t="s">
        <v>2</v>
      </c>
      <c r="L2915" t="s">
        <v>1547</v>
      </c>
      <c r="M2915" t="s">
        <v>1548</v>
      </c>
      <c r="N2915" t="s">
        <v>1549</v>
      </c>
      <c r="O2915" t="s">
        <v>1549</v>
      </c>
      <c r="P2915" t="s">
        <v>1550</v>
      </c>
    </row>
    <row r="2916" spans="1:16" x14ac:dyDescent="0.25">
      <c r="A2916" t="s">
        <v>5958</v>
      </c>
      <c r="B2916" t="s">
        <v>5957</v>
      </c>
      <c r="C2916" t="s">
        <v>1545</v>
      </c>
      <c r="D2916" t="s">
        <v>1075</v>
      </c>
      <c r="E2916">
        <v>1721</v>
      </c>
      <c r="F2916" t="s">
        <v>2999</v>
      </c>
      <c r="G2916" t="b">
        <v>0</v>
      </c>
      <c r="H2916" t="b">
        <v>0</v>
      </c>
      <c r="I2916" t="s">
        <v>1050</v>
      </c>
      <c r="J2916">
        <v>88</v>
      </c>
      <c r="K2916" t="s">
        <v>2</v>
      </c>
      <c r="L2916" t="s">
        <v>1547</v>
      </c>
      <c r="M2916" t="s">
        <v>1548</v>
      </c>
      <c r="N2916" t="s">
        <v>1549</v>
      </c>
      <c r="O2916" t="s">
        <v>1549</v>
      </c>
      <c r="P2916" t="s">
        <v>1550</v>
      </c>
    </row>
    <row r="2917" spans="1:16" x14ac:dyDescent="0.25">
      <c r="A2917" t="s">
        <v>5959</v>
      </c>
      <c r="B2917" t="s">
        <v>5960</v>
      </c>
      <c r="C2917" t="s">
        <v>1165</v>
      </c>
      <c r="D2917" t="s">
        <v>1027</v>
      </c>
      <c r="E2917">
        <v>63774</v>
      </c>
      <c r="F2917" t="s">
        <v>1166</v>
      </c>
      <c r="G2917" t="b">
        <v>0</v>
      </c>
      <c r="H2917" t="b">
        <v>0</v>
      </c>
      <c r="I2917" t="s">
        <v>1050</v>
      </c>
      <c r="J2917">
        <v>30</v>
      </c>
      <c r="K2917" t="s">
        <v>1</v>
      </c>
      <c r="L2917" t="s">
        <v>1167</v>
      </c>
      <c r="M2917" t="s">
        <v>1168</v>
      </c>
      <c r="N2917" t="s">
        <v>1169</v>
      </c>
      <c r="O2917" t="s">
        <v>1168</v>
      </c>
      <c r="P2917" t="s">
        <v>1170</v>
      </c>
    </row>
    <row r="2918" spans="1:16" x14ac:dyDescent="0.25">
      <c r="A2918" t="s">
        <v>5961</v>
      </c>
      <c r="B2918" t="s">
        <v>5960</v>
      </c>
      <c r="C2918" t="s">
        <v>1165</v>
      </c>
      <c r="D2918" t="s">
        <v>1027</v>
      </c>
      <c r="E2918">
        <v>63774</v>
      </c>
      <c r="F2918" t="s">
        <v>1166</v>
      </c>
      <c r="G2918" t="b">
        <v>0</v>
      </c>
      <c r="H2918" t="b">
        <v>0</v>
      </c>
      <c r="I2918" t="s">
        <v>1050</v>
      </c>
      <c r="J2918">
        <v>30</v>
      </c>
      <c r="K2918" t="s">
        <v>1</v>
      </c>
      <c r="L2918" t="s">
        <v>1167</v>
      </c>
      <c r="M2918" t="s">
        <v>1168</v>
      </c>
      <c r="N2918" t="s">
        <v>1169</v>
      </c>
      <c r="O2918" t="s">
        <v>1168</v>
      </c>
      <c r="P2918" t="s">
        <v>1170</v>
      </c>
    </row>
    <row r="2919" spans="1:16" x14ac:dyDescent="0.25">
      <c r="A2919" t="s">
        <v>5962</v>
      </c>
      <c r="B2919" t="s">
        <v>5963</v>
      </c>
      <c r="C2919" t="s">
        <v>1165</v>
      </c>
      <c r="D2919" t="s">
        <v>1027</v>
      </c>
      <c r="E2919">
        <v>63774</v>
      </c>
      <c r="F2919" t="s">
        <v>1166</v>
      </c>
      <c r="G2919" t="b">
        <v>0</v>
      </c>
      <c r="H2919" t="b">
        <v>0</v>
      </c>
      <c r="I2919" t="s">
        <v>1050</v>
      </c>
      <c r="J2919">
        <v>87</v>
      </c>
      <c r="K2919" t="s">
        <v>1</v>
      </c>
      <c r="L2919" t="s">
        <v>1167</v>
      </c>
      <c r="M2919" t="s">
        <v>1168</v>
      </c>
      <c r="N2919" t="s">
        <v>1169</v>
      </c>
      <c r="O2919" t="s">
        <v>1168</v>
      </c>
      <c r="P2919" t="s">
        <v>1170</v>
      </c>
    </row>
    <row r="2920" spans="1:16" x14ac:dyDescent="0.25">
      <c r="A2920" t="s">
        <v>5964</v>
      </c>
      <c r="B2920" t="s">
        <v>5965</v>
      </c>
      <c r="C2920" t="s">
        <v>3920</v>
      </c>
      <c r="D2920" t="s">
        <v>1027</v>
      </c>
      <c r="E2920">
        <v>1351</v>
      </c>
      <c r="F2920" t="s">
        <v>3921</v>
      </c>
      <c r="G2920" t="b">
        <v>0</v>
      </c>
      <c r="H2920" t="b">
        <v>0</v>
      </c>
      <c r="I2920" t="s">
        <v>1050</v>
      </c>
      <c r="J2920">
        <v>93</v>
      </c>
      <c r="K2920" t="s">
        <v>2</v>
      </c>
      <c r="L2920" t="s">
        <v>3922</v>
      </c>
      <c r="M2920" t="s">
        <v>1548</v>
      </c>
      <c r="N2920" t="s">
        <v>1548</v>
      </c>
      <c r="O2920" t="s">
        <v>1548</v>
      </c>
      <c r="P2920" t="s">
        <v>1434</v>
      </c>
    </row>
    <row r="2921" spans="1:16" x14ac:dyDescent="0.25">
      <c r="A2921" t="s">
        <v>5966</v>
      </c>
      <c r="B2921" t="s">
        <v>5967</v>
      </c>
      <c r="C2921" t="s">
        <v>1678</v>
      </c>
      <c r="D2921" t="s">
        <v>1027</v>
      </c>
      <c r="E2921">
        <v>63786</v>
      </c>
      <c r="F2921" t="s">
        <v>1679</v>
      </c>
      <c r="G2921" t="b">
        <v>0</v>
      </c>
      <c r="H2921" t="b">
        <v>0</v>
      </c>
      <c r="I2921" t="s">
        <v>1050</v>
      </c>
      <c r="J2921">
        <v>91</v>
      </c>
      <c r="K2921" t="s">
        <v>2</v>
      </c>
      <c r="L2921" t="s">
        <v>1680</v>
      </c>
      <c r="M2921" t="s">
        <v>1680</v>
      </c>
      <c r="N2921" t="s">
        <v>1681</v>
      </c>
      <c r="O2921" t="s">
        <v>1680</v>
      </c>
      <c r="P2921" t="s">
        <v>1682</v>
      </c>
    </row>
    <row r="2922" spans="1:16" x14ac:dyDescent="0.25">
      <c r="A2922" t="s">
        <v>5968</v>
      </c>
      <c r="B2922" t="s">
        <v>5969</v>
      </c>
      <c r="C2922" t="s">
        <v>1678</v>
      </c>
      <c r="D2922" t="s">
        <v>1027</v>
      </c>
      <c r="E2922">
        <v>63786</v>
      </c>
      <c r="F2922" t="s">
        <v>1679</v>
      </c>
      <c r="G2922" t="b">
        <v>0</v>
      </c>
      <c r="H2922" t="b">
        <v>0</v>
      </c>
      <c r="I2922" t="s">
        <v>1050</v>
      </c>
      <c r="J2922">
        <v>91</v>
      </c>
      <c r="K2922" t="s">
        <v>2</v>
      </c>
      <c r="L2922" t="s">
        <v>1680</v>
      </c>
      <c r="M2922" t="s">
        <v>1680</v>
      </c>
      <c r="N2922" t="s">
        <v>1681</v>
      </c>
      <c r="O2922" t="s">
        <v>1680</v>
      </c>
      <c r="P2922" t="s">
        <v>1682</v>
      </c>
    </row>
    <row r="2923" spans="1:16" x14ac:dyDescent="0.25">
      <c r="A2923" t="s">
        <v>5970</v>
      </c>
      <c r="B2923" t="s">
        <v>5971</v>
      </c>
      <c r="C2923" t="s">
        <v>1678</v>
      </c>
      <c r="D2923" t="s">
        <v>1027</v>
      </c>
      <c r="E2923">
        <v>63786</v>
      </c>
      <c r="F2923" t="s">
        <v>1679</v>
      </c>
      <c r="G2923" t="b">
        <v>0</v>
      </c>
      <c r="H2923" t="b">
        <v>0</v>
      </c>
      <c r="I2923" t="s">
        <v>1050</v>
      </c>
      <c r="J2923">
        <v>91</v>
      </c>
      <c r="K2923" t="s">
        <v>2</v>
      </c>
      <c r="L2923" t="s">
        <v>1680</v>
      </c>
      <c r="M2923" t="s">
        <v>1680</v>
      </c>
      <c r="N2923" t="s">
        <v>1681</v>
      </c>
      <c r="O2923" t="s">
        <v>1680</v>
      </c>
      <c r="P2923" t="s">
        <v>1682</v>
      </c>
    </row>
    <row r="2924" spans="1:16" x14ac:dyDescent="0.25">
      <c r="A2924" t="s">
        <v>5972</v>
      </c>
      <c r="B2924" t="s">
        <v>5973</v>
      </c>
      <c r="C2924" t="s">
        <v>1678</v>
      </c>
      <c r="D2924" t="s">
        <v>1027</v>
      </c>
      <c r="E2924">
        <v>63786</v>
      </c>
      <c r="F2924" t="s">
        <v>1679</v>
      </c>
      <c r="G2924" t="b">
        <v>0</v>
      </c>
      <c r="H2924" t="b">
        <v>0</v>
      </c>
      <c r="I2924" t="s">
        <v>1050</v>
      </c>
      <c r="J2924">
        <v>91</v>
      </c>
      <c r="K2924" t="s">
        <v>2</v>
      </c>
      <c r="L2924" t="s">
        <v>1680</v>
      </c>
      <c r="M2924" t="s">
        <v>1680</v>
      </c>
      <c r="N2924" t="s">
        <v>1681</v>
      </c>
      <c r="O2924" t="s">
        <v>1680</v>
      </c>
      <c r="P2924" t="s">
        <v>1682</v>
      </c>
    </row>
    <row r="2925" spans="1:16" x14ac:dyDescent="0.25">
      <c r="A2925" t="s">
        <v>5974</v>
      </c>
      <c r="B2925" t="s">
        <v>5975</v>
      </c>
      <c r="C2925" t="s">
        <v>2998</v>
      </c>
      <c r="D2925" t="s">
        <v>1027</v>
      </c>
      <c r="E2925">
        <v>1721</v>
      </c>
      <c r="F2925" t="s">
        <v>2999</v>
      </c>
      <c r="G2925" t="b">
        <v>0</v>
      </c>
      <c r="H2925" t="b">
        <v>0</v>
      </c>
      <c r="I2925" t="s">
        <v>1050</v>
      </c>
      <c r="J2925">
        <v>88</v>
      </c>
      <c r="K2925" t="s">
        <v>0</v>
      </c>
      <c r="L2925" t="s">
        <v>3000</v>
      </c>
      <c r="M2925" t="s">
        <v>1548</v>
      </c>
      <c r="N2925" t="s">
        <v>1549</v>
      </c>
      <c r="O2925" t="s">
        <v>1549</v>
      </c>
      <c r="P2925" t="s">
        <v>3001</v>
      </c>
    </row>
    <row r="2926" spans="1:16" x14ac:dyDescent="0.25">
      <c r="A2926" t="s">
        <v>5976</v>
      </c>
      <c r="B2926" t="s">
        <v>5977</v>
      </c>
      <c r="C2926" t="s">
        <v>1165</v>
      </c>
      <c r="D2926" t="s">
        <v>1027</v>
      </c>
      <c r="E2926">
        <v>63774</v>
      </c>
      <c r="F2926" t="s">
        <v>1166</v>
      </c>
      <c r="G2926" t="b">
        <v>0</v>
      </c>
      <c r="H2926" t="b">
        <v>0</v>
      </c>
      <c r="I2926" t="s">
        <v>1050</v>
      </c>
      <c r="J2926">
        <v>67</v>
      </c>
      <c r="K2926" t="s">
        <v>1</v>
      </c>
      <c r="L2926" t="s">
        <v>1167</v>
      </c>
      <c r="M2926" t="s">
        <v>1168</v>
      </c>
      <c r="N2926" t="s">
        <v>1169</v>
      </c>
      <c r="O2926" t="s">
        <v>1168</v>
      </c>
      <c r="P2926" t="s">
        <v>1170</v>
      </c>
    </row>
    <row r="2927" spans="1:16" x14ac:dyDescent="0.25">
      <c r="A2927" t="s">
        <v>5978</v>
      </c>
      <c r="B2927" t="s">
        <v>5977</v>
      </c>
      <c r="C2927" t="s">
        <v>1165</v>
      </c>
      <c r="D2927" t="s">
        <v>1027</v>
      </c>
      <c r="E2927">
        <v>63774</v>
      </c>
      <c r="F2927" t="s">
        <v>1166</v>
      </c>
      <c r="G2927" t="b">
        <v>0</v>
      </c>
      <c r="H2927" t="b">
        <v>0</v>
      </c>
      <c r="I2927" t="s">
        <v>1050</v>
      </c>
      <c r="J2927">
        <v>67</v>
      </c>
      <c r="K2927" t="s">
        <v>1</v>
      </c>
      <c r="L2927" t="s">
        <v>1167</v>
      </c>
      <c r="M2927" t="s">
        <v>1168</v>
      </c>
      <c r="N2927" t="s">
        <v>1169</v>
      </c>
      <c r="O2927" t="s">
        <v>1168</v>
      </c>
      <c r="P2927" t="s">
        <v>1170</v>
      </c>
    </row>
    <row r="2928" spans="1:16" x14ac:dyDescent="0.25">
      <c r="A2928" t="s">
        <v>5979</v>
      </c>
      <c r="B2928" t="s">
        <v>5980</v>
      </c>
      <c r="C2928" t="s">
        <v>1482</v>
      </c>
      <c r="D2928" t="s">
        <v>1027</v>
      </c>
      <c r="E2928">
        <v>1664</v>
      </c>
      <c r="F2928" t="s">
        <v>1483</v>
      </c>
      <c r="G2928" t="b">
        <v>0</v>
      </c>
      <c r="H2928" t="b">
        <v>0</v>
      </c>
      <c r="I2928" t="s">
        <v>1050</v>
      </c>
      <c r="J2928">
        <v>80</v>
      </c>
      <c r="K2928" t="s">
        <v>1</v>
      </c>
      <c r="L2928" t="s">
        <v>1213</v>
      </c>
      <c r="M2928" t="s">
        <v>1168</v>
      </c>
      <c r="N2928" t="s">
        <v>1168</v>
      </c>
      <c r="O2928" t="s">
        <v>1168</v>
      </c>
      <c r="P2928" t="s">
        <v>1484</v>
      </c>
    </row>
    <row r="2929" spans="1:16" x14ac:dyDescent="0.25">
      <c r="A2929" t="s">
        <v>5981</v>
      </c>
      <c r="B2929" t="s">
        <v>5982</v>
      </c>
      <c r="C2929" t="s">
        <v>1228</v>
      </c>
      <c r="D2929" t="s">
        <v>1027</v>
      </c>
      <c r="E2929">
        <v>1660</v>
      </c>
      <c r="F2929" t="s">
        <v>1229</v>
      </c>
      <c r="G2929" t="b">
        <v>0</v>
      </c>
      <c r="H2929" t="b">
        <v>0</v>
      </c>
      <c r="I2929" t="s">
        <v>1050</v>
      </c>
      <c r="J2929" t="s">
        <v>1053</v>
      </c>
      <c r="K2929" t="s">
        <v>1043</v>
      </c>
    </row>
    <row r="2930" spans="1:16" x14ac:dyDescent="0.25">
      <c r="A2930" t="s">
        <v>5983</v>
      </c>
      <c r="B2930" t="s">
        <v>5982</v>
      </c>
      <c r="C2930" t="s">
        <v>1228</v>
      </c>
      <c r="D2930" t="s">
        <v>1027</v>
      </c>
      <c r="E2930">
        <v>1660</v>
      </c>
      <c r="F2930" t="s">
        <v>1229</v>
      </c>
      <c r="G2930" t="b">
        <v>0</v>
      </c>
      <c r="H2930" t="b">
        <v>0</v>
      </c>
      <c r="I2930" t="s">
        <v>1050</v>
      </c>
      <c r="J2930" t="s">
        <v>1053</v>
      </c>
      <c r="K2930" t="s">
        <v>1043</v>
      </c>
    </row>
    <row r="2931" spans="1:16" x14ac:dyDescent="0.25">
      <c r="A2931" t="s">
        <v>5984</v>
      </c>
      <c r="B2931" t="s">
        <v>5982</v>
      </c>
      <c r="C2931" t="s">
        <v>1228</v>
      </c>
      <c r="D2931" t="s">
        <v>1027</v>
      </c>
      <c r="E2931">
        <v>1660</v>
      </c>
      <c r="F2931" t="s">
        <v>1229</v>
      </c>
      <c r="G2931" t="b">
        <v>0</v>
      </c>
      <c r="H2931" t="b">
        <v>0</v>
      </c>
      <c r="I2931" t="s">
        <v>1050</v>
      </c>
      <c r="J2931" t="s">
        <v>1053</v>
      </c>
      <c r="K2931" t="s">
        <v>1043</v>
      </c>
    </row>
    <row r="2932" spans="1:16" x14ac:dyDescent="0.25">
      <c r="A2932" t="s">
        <v>5985</v>
      </c>
      <c r="B2932" t="s">
        <v>5982</v>
      </c>
      <c r="C2932" t="s">
        <v>1228</v>
      </c>
      <c r="D2932" t="s">
        <v>1027</v>
      </c>
      <c r="E2932">
        <v>1660</v>
      </c>
      <c r="F2932" t="s">
        <v>1229</v>
      </c>
      <c r="G2932" t="b">
        <v>0</v>
      </c>
      <c r="H2932" t="b">
        <v>0</v>
      </c>
      <c r="I2932" t="s">
        <v>1050</v>
      </c>
      <c r="J2932" t="s">
        <v>1053</v>
      </c>
      <c r="K2932" t="s">
        <v>1043</v>
      </c>
    </row>
    <row r="2933" spans="1:16" x14ac:dyDescent="0.25">
      <c r="A2933" t="s">
        <v>5986</v>
      </c>
      <c r="B2933" t="s">
        <v>5987</v>
      </c>
      <c r="C2933" t="s">
        <v>1165</v>
      </c>
      <c r="D2933" t="s">
        <v>1027</v>
      </c>
      <c r="E2933">
        <v>63774</v>
      </c>
      <c r="F2933" t="s">
        <v>1166</v>
      </c>
      <c r="G2933" t="b">
        <v>0</v>
      </c>
      <c r="H2933" t="b">
        <v>0</v>
      </c>
      <c r="I2933" t="s">
        <v>1050</v>
      </c>
      <c r="J2933">
        <v>67</v>
      </c>
      <c r="K2933" t="s">
        <v>1</v>
      </c>
      <c r="L2933" t="s">
        <v>1167</v>
      </c>
      <c r="M2933" t="s">
        <v>1168</v>
      </c>
      <c r="N2933" t="s">
        <v>1169</v>
      </c>
      <c r="O2933" t="s">
        <v>1168</v>
      </c>
      <c r="P2933" t="s">
        <v>1170</v>
      </c>
    </row>
    <row r="2934" spans="1:16" x14ac:dyDescent="0.25">
      <c r="A2934" t="s">
        <v>5988</v>
      </c>
      <c r="B2934" t="s">
        <v>5987</v>
      </c>
      <c r="C2934" t="s">
        <v>1165</v>
      </c>
      <c r="D2934" t="s">
        <v>1027</v>
      </c>
      <c r="E2934">
        <v>63774</v>
      </c>
      <c r="F2934" t="s">
        <v>1166</v>
      </c>
      <c r="G2934" t="b">
        <v>0</v>
      </c>
      <c r="H2934" t="b">
        <v>0</v>
      </c>
      <c r="I2934" t="s">
        <v>1050</v>
      </c>
      <c r="J2934">
        <v>67</v>
      </c>
      <c r="K2934" t="s">
        <v>1</v>
      </c>
      <c r="L2934" t="s">
        <v>1167</v>
      </c>
      <c r="M2934" t="s">
        <v>1168</v>
      </c>
      <c r="N2934" t="s">
        <v>1169</v>
      </c>
      <c r="O2934" t="s">
        <v>1168</v>
      </c>
      <c r="P2934" t="s">
        <v>1170</v>
      </c>
    </row>
    <row r="2935" spans="1:16" x14ac:dyDescent="0.25">
      <c r="A2935" t="s">
        <v>5989</v>
      </c>
      <c r="B2935" t="s">
        <v>5990</v>
      </c>
      <c r="C2935" t="s">
        <v>1165</v>
      </c>
      <c r="D2935" t="s">
        <v>1027</v>
      </c>
      <c r="E2935">
        <v>63774</v>
      </c>
      <c r="F2935" t="s">
        <v>1166</v>
      </c>
      <c r="G2935" t="b">
        <v>0</v>
      </c>
      <c r="H2935" t="b">
        <v>0</v>
      </c>
      <c r="I2935" t="s">
        <v>1050</v>
      </c>
      <c r="J2935">
        <v>67</v>
      </c>
      <c r="K2935" t="s">
        <v>1</v>
      </c>
      <c r="L2935" t="s">
        <v>1167</v>
      </c>
      <c r="M2935" t="s">
        <v>1168</v>
      </c>
      <c r="N2935" t="s">
        <v>1169</v>
      </c>
      <c r="O2935" t="s">
        <v>1168</v>
      </c>
      <c r="P2935" t="s">
        <v>1170</v>
      </c>
    </row>
    <row r="2936" spans="1:16" x14ac:dyDescent="0.25">
      <c r="A2936" t="s">
        <v>5991</v>
      </c>
      <c r="B2936" t="s">
        <v>5990</v>
      </c>
      <c r="C2936" t="s">
        <v>1165</v>
      </c>
      <c r="D2936" t="s">
        <v>1027</v>
      </c>
      <c r="E2936">
        <v>63774</v>
      </c>
      <c r="F2936" t="s">
        <v>1166</v>
      </c>
      <c r="G2936" t="b">
        <v>0</v>
      </c>
      <c r="H2936" t="b">
        <v>0</v>
      </c>
      <c r="I2936" t="s">
        <v>1050</v>
      </c>
      <c r="J2936">
        <v>67</v>
      </c>
      <c r="K2936" t="s">
        <v>1</v>
      </c>
      <c r="L2936" t="s">
        <v>1167</v>
      </c>
      <c r="M2936" t="s">
        <v>1168</v>
      </c>
      <c r="N2936" t="s">
        <v>1169</v>
      </c>
      <c r="O2936" t="s">
        <v>1168</v>
      </c>
      <c r="P2936" t="s">
        <v>1170</v>
      </c>
    </row>
    <row r="2937" spans="1:16" x14ac:dyDescent="0.25">
      <c r="A2937" t="s">
        <v>5992</v>
      </c>
      <c r="B2937" t="s">
        <v>5993</v>
      </c>
      <c r="C2937" t="s">
        <v>1165</v>
      </c>
      <c r="D2937" t="s">
        <v>1027</v>
      </c>
      <c r="E2937">
        <v>63774</v>
      </c>
      <c r="F2937" t="s">
        <v>1166</v>
      </c>
      <c r="G2937" t="b">
        <v>0</v>
      </c>
      <c r="H2937" t="b">
        <v>0</v>
      </c>
      <c r="I2937" t="s">
        <v>1050</v>
      </c>
      <c r="J2937">
        <v>87</v>
      </c>
      <c r="K2937" t="s">
        <v>1</v>
      </c>
      <c r="L2937" t="s">
        <v>1167</v>
      </c>
      <c r="M2937" t="s">
        <v>1168</v>
      </c>
      <c r="N2937" t="s">
        <v>1169</v>
      </c>
      <c r="O2937" t="s">
        <v>1168</v>
      </c>
      <c r="P2937" t="s">
        <v>1170</v>
      </c>
    </row>
    <row r="2938" spans="1:16" x14ac:dyDescent="0.25">
      <c r="A2938" t="s">
        <v>5994</v>
      </c>
      <c r="B2938" t="s">
        <v>5995</v>
      </c>
      <c r="C2938" t="s">
        <v>1335</v>
      </c>
      <c r="D2938" t="s">
        <v>1027</v>
      </c>
      <c r="E2938">
        <v>1459</v>
      </c>
      <c r="F2938" t="s">
        <v>1336</v>
      </c>
      <c r="G2938" t="b">
        <v>0</v>
      </c>
      <c r="H2938" t="b">
        <v>0</v>
      </c>
      <c r="I2938" t="s">
        <v>1050</v>
      </c>
      <c r="J2938">
        <v>42</v>
      </c>
      <c r="K2938" t="s">
        <v>2</v>
      </c>
      <c r="L2938" t="s">
        <v>1549</v>
      </c>
      <c r="M2938" t="s">
        <v>3922</v>
      </c>
      <c r="N2938" t="s">
        <v>3922</v>
      </c>
      <c r="O2938" t="s">
        <v>3922</v>
      </c>
      <c r="P2938" t="s">
        <v>1682</v>
      </c>
    </row>
    <row r="2939" spans="1:16" x14ac:dyDescent="0.25">
      <c r="A2939" t="s">
        <v>5996</v>
      </c>
      <c r="B2939" t="s">
        <v>5995</v>
      </c>
      <c r="C2939" t="s">
        <v>1335</v>
      </c>
      <c r="D2939" t="s">
        <v>1027</v>
      </c>
      <c r="E2939">
        <v>1459</v>
      </c>
      <c r="F2939" t="s">
        <v>1336</v>
      </c>
      <c r="G2939" t="b">
        <v>0</v>
      </c>
      <c r="H2939" t="b">
        <v>0</v>
      </c>
      <c r="I2939" t="s">
        <v>1050</v>
      </c>
      <c r="J2939">
        <v>42</v>
      </c>
      <c r="K2939" t="s">
        <v>2</v>
      </c>
      <c r="L2939" t="s">
        <v>1549</v>
      </c>
      <c r="M2939" t="s">
        <v>3922</v>
      </c>
      <c r="N2939" t="s">
        <v>3922</v>
      </c>
      <c r="O2939" t="s">
        <v>3922</v>
      </c>
      <c r="P2939" t="s">
        <v>1682</v>
      </c>
    </row>
    <row r="2940" spans="1:16" x14ac:dyDescent="0.25">
      <c r="A2940" t="s">
        <v>5997</v>
      </c>
      <c r="B2940" t="s">
        <v>5995</v>
      </c>
      <c r="C2940" t="s">
        <v>1335</v>
      </c>
      <c r="D2940" t="s">
        <v>1027</v>
      </c>
      <c r="E2940">
        <v>1459</v>
      </c>
      <c r="F2940" t="s">
        <v>1336</v>
      </c>
      <c r="G2940" t="b">
        <v>0</v>
      </c>
      <c r="H2940" t="b">
        <v>0</v>
      </c>
      <c r="I2940" t="s">
        <v>1050</v>
      </c>
      <c r="J2940">
        <v>42</v>
      </c>
      <c r="K2940" t="s">
        <v>2</v>
      </c>
      <c r="L2940" t="s">
        <v>1549</v>
      </c>
      <c r="M2940" t="s">
        <v>3922</v>
      </c>
      <c r="N2940" t="s">
        <v>3922</v>
      </c>
      <c r="O2940" t="s">
        <v>3922</v>
      </c>
      <c r="P2940" t="s">
        <v>1682</v>
      </c>
    </row>
    <row r="2941" spans="1:16" x14ac:dyDescent="0.25">
      <c r="A2941" t="s">
        <v>5998</v>
      </c>
      <c r="B2941" t="s">
        <v>5993</v>
      </c>
      <c r="C2941" t="s">
        <v>1165</v>
      </c>
      <c r="D2941" t="s">
        <v>1027</v>
      </c>
      <c r="E2941">
        <v>63774</v>
      </c>
      <c r="F2941" t="s">
        <v>1166</v>
      </c>
      <c r="G2941" t="b">
        <v>0</v>
      </c>
      <c r="H2941" t="b">
        <v>0</v>
      </c>
      <c r="I2941" t="s">
        <v>1050</v>
      </c>
      <c r="J2941">
        <v>87</v>
      </c>
      <c r="K2941" t="s">
        <v>1</v>
      </c>
      <c r="L2941" t="s">
        <v>1167</v>
      </c>
      <c r="M2941" t="s">
        <v>1168</v>
      </c>
      <c r="N2941" t="s">
        <v>1169</v>
      </c>
      <c r="O2941" t="s">
        <v>1168</v>
      </c>
      <c r="P2941" t="s">
        <v>1170</v>
      </c>
    </row>
    <row r="2942" spans="1:16" x14ac:dyDescent="0.25">
      <c r="A2942" t="s">
        <v>5999</v>
      </c>
      <c r="B2942" t="s">
        <v>6000</v>
      </c>
      <c r="C2942" t="s">
        <v>3920</v>
      </c>
      <c r="D2942" t="s">
        <v>1027</v>
      </c>
      <c r="E2942">
        <v>1351</v>
      </c>
      <c r="F2942" t="s">
        <v>3921</v>
      </c>
      <c r="G2942" t="b">
        <v>0</v>
      </c>
      <c r="H2942" t="b">
        <v>0</v>
      </c>
      <c r="I2942" t="s">
        <v>1050</v>
      </c>
      <c r="J2942">
        <v>87</v>
      </c>
      <c r="K2942" t="s">
        <v>2</v>
      </c>
      <c r="L2942" t="s">
        <v>3922</v>
      </c>
      <c r="M2942" t="s">
        <v>1548</v>
      </c>
      <c r="N2942" t="s">
        <v>1548</v>
      </c>
      <c r="O2942" t="s">
        <v>1548</v>
      </c>
      <c r="P2942" t="s">
        <v>1434</v>
      </c>
    </row>
    <row r="2943" spans="1:16" x14ac:dyDescent="0.25">
      <c r="A2943" t="s">
        <v>6001</v>
      </c>
      <c r="B2943" t="s">
        <v>6002</v>
      </c>
      <c r="C2943" t="s">
        <v>1233</v>
      </c>
      <c r="D2943" t="s">
        <v>1027</v>
      </c>
      <c r="E2943">
        <v>63762</v>
      </c>
      <c r="F2943" t="s">
        <v>1234</v>
      </c>
      <c r="G2943" t="b">
        <v>0</v>
      </c>
      <c r="H2943" t="b">
        <v>0</v>
      </c>
      <c r="I2943" t="s">
        <v>1050</v>
      </c>
      <c r="J2943">
        <v>88</v>
      </c>
      <c r="K2943" t="s">
        <v>0</v>
      </c>
      <c r="L2943" t="s">
        <v>1167</v>
      </c>
      <c r="M2943" t="s">
        <v>1168</v>
      </c>
      <c r="N2943" t="s">
        <v>1169</v>
      </c>
      <c r="O2943" t="s">
        <v>1168</v>
      </c>
      <c r="P2943" t="s">
        <v>1235</v>
      </c>
    </row>
    <row r="2944" spans="1:16" x14ac:dyDescent="0.25">
      <c r="A2944" t="s">
        <v>6003</v>
      </c>
      <c r="B2944" t="s">
        <v>6004</v>
      </c>
      <c r="C2944" t="s">
        <v>1233</v>
      </c>
      <c r="D2944" t="s">
        <v>1027</v>
      </c>
      <c r="E2944">
        <v>63762</v>
      </c>
      <c r="F2944" t="s">
        <v>1234</v>
      </c>
      <c r="G2944" t="b">
        <v>0</v>
      </c>
      <c r="H2944" t="b">
        <v>0</v>
      </c>
      <c r="I2944" t="s">
        <v>1050</v>
      </c>
      <c r="J2944">
        <v>88</v>
      </c>
      <c r="K2944" t="s">
        <v>0</v>
      </c>
      <c r="L2944" t="s">
        <v>1167</v>
      </c>
      <c r="M2944" t="s">
        <v>1168</v>
      </c>
      <c r="N2944" t="s">
        <v>1169</v>
      </c>
      <c r="O2944" t="s">
        <v>1168</v>
      </c>
      <c r="P2944" t="s">
        <v>1235</v>
      </c>
    </row>
    <row r="2945" spans="1:16" x14ac:dyDescent="0.25">
      <c r="A2945" t="s">
        <v>6005</v>
      </c>
      <c r="B2945" t="s">
        <v>6006</v>
      </c>
      <c r="C2945" t="s">
        <v>1165</v>
      </c>
      <c r="D2945" t="s">
        <v>1027</v>
      </c>
      <c r="E2945">
        <v>63774</v>
      </c>
      <c r="F2945" t="s">
        <v>1166</v>
      </c>
      <c r="G2945" t="b">
        <v>0</v>
      </c>
      <c r="H2945" t="b">
        <v>0</v>
      </c>
      <c r="I2945" t="s">
        <v>1050</v>
      </c>
      <c r="J2945">
        <v>87</v>
      </c>
      <c r="K2945" t="s">
        <v>1</v>
      </c>
      <c r="L2945" t="s">
        <v>1167</v>
      </c>
      <c r="M2945" t="s">
        <v>1168</v>
      </c>
      <c r="N2945" t="s">
        <v>1169</v>
      </c>
      <c r="O2945" t="s">
        <v>1168</v>
      </c>
      <c r="P2945" t="s">
        <v>1170</v>
      </c>
    </row>
    <row r="2946" spans="1:16" x14ac:dyDescent="0.25">
      <c r="A2946" t="s">
        <v>6007</v>
      </c>
      <c r="B2946" t="s">
        <v>6008</v>
      </c>
      <c r="C2946" t="s">
        <v>1482</v>
      </c>
      <c r="D2946" t="s">
        <v>1027</v>
      </c>
      <c r="E2946">
        <v>1664</v>
      </c>
      <c r="F2946" t="s">
        <v>1483</v>
      </c>
      <c r="G2946" t="b">
        <v>0</v>
      </c>
      <c r="H2946" t="b">
        <v>0</v>
      </c>
      <c r="I2946" t="s">
        <v>1050</v>
      </c>
      <c r="J2946" t="s">
        <v>1053</v>
      </c>
      <c r="K2946" t="s">
        <v>1043</v>
      </c>
    </row>
    <row r="2947" spans="1:16" x14ac:dyDescent="0.25">
      <c r="A2947" t="s">
        <v>6009</v>
      </c>
      <c r="B2947" t="s">
        <v>6010</v>
      </c>
      <c r="C2947" t="s">
        <v>1217</v>
      </c>
      <c r="D2947" t="s">
        <v>1027</v>
      </c>
      <c r="G2947" t="b">
        <v>0</v>
      </c>
      <c r="H2947" t="b">
        <v>0</v>
      </c>
      <c r="I2947" t="s">
        <v>1050</v>
      </c>
      <c r="J2947">
        <v>30</v>
      </c>
      <c r="K2947" t="s">
        <v>0</v>
      </c>
      <c r="L2947" t="s">
        <v>1167</v>
      </c>
      <c r="M2947" t="s">
        <v>1168</v>
      </c>
      <c r="N2947" t="s">
        <v>1169</v>
      </c>
      <c r="O2947" t="s">
        <v>1168</v>
      </c>
      <c r="P2947" t="s">
        <v>1219</v>
      </c>
    </row>
    <row r="2948" spans="1:16" x14ac:dyDescent="0.25">
      <c r="A2948" t="s">
        <v>6011</v>
      </c>
      <c r="B2948" t="s">
        <v>6010</v>
      </c>
      <c r="C2948" t="s">
        <v>1217</v>
      </c>
      <c r="D2948" t="s">
        <v>1027</v>
      </c>
      <c r="G2948" t="b">
        <v>0</v>
      </c>
      <c r="H2948" t="b">
        <v>0</v>
      </c>
      <c r="I2948" t="s">
        <v>1050</v>
      </c>
      <c r="J2948">
        <v>30</v>
      </c>
      <c r="K2948" t="s">
        <v>0</v>
      </c>
      <c r="L2948" t="s">
        <v>1167</v>
      </c>
      <c r="M2948" t="s">
        <v>1168</v>
      </c>
      <c r="N2948" t="s">
        <v>1169</v>
      </c>
      <c r="O2948" t="s">
        <v>1168</v>
      </c>
      <c r="P2948" t="s">
        <v>1219</v>
      </c>
    </row>
    <row r="2949" spans="1:16" x14ac:dyDescent="0.25">
      <c r="A2949" t="s">
        <v>6012</v>
      </c>
      <c r="B2949" t="s">
        <v>6013</v>
      </c>
      <c r="C2949" t="s">
        <v>1233</v>
      </c>
      <c r="D2949" t="s">
        <v>1027</v>
      </c>
      <c r="E2949">
        <v>63762</v>
      </c>
      <c r="F2949" t="s">
        <v>1234</v>
      </c>
      <c r="G2949" t="b">
        <v>0</v>
      </c>
      <c r="H2949" t="b">
        <v>0</v>
      </c>
      <c r="I2949" t="s">
        <v>1050</v>
      </c>
      <c r="J2949">
        <v>88</v>
      </c>
      <c r="K2949" t="s">
        <v>0</v>
      </c>
      <c r="L2949" t="s">
        <v>1167</v>
      </c>
      <c r="M2949" t="s">
        <v>1168</v>
      </c>
      <c r="N2949" t="s">
        <v>1169</v>
      </c>
      <c r="O2949" t="s">
        <v>1168</v>
      </c>
      <c r="P2949" t="s">
        <v>1235</v>
      </c>
    </row>
    <row r="2950" spans="1:16" x14ac:dyDescent="0.25">
      <c r="A2950" t="s">
        <v>6014</v>
      </c>
      <c r="B2950" t="s">
        <v>6015</v>
      </c>
      <c r="C2950" t="s">
        <v>1233</v>
      </c>
      <c r="D2950" t="s">
        <v>1027</v>
      </c>
      <c r="E2950">
        <v>63762</v>
      </c>
      <c r="F2950" t="s">
        <v>1234</v>
      </c>
      <c r="G2950" t="b">
        <v>0</v>
      </c>
      <c r="H2950" t="b">
        <v>0</v>
      </c>
      <c r="I2950" t="s">
        <v>1050</v>
      </c>
      <c r="J2950">
        <v>88</v>
      </c>
      <c r="K2950" t="s">
        <v>0</v>
      </c>
      <c r="L2950" t="s">
        <v>1167</v>
      </c>
      <c r="M2950" t="s">
        <v>1168</v>
      </c>
      <c r="N2950" t="s">
        <v>1169</v>
      </c>
      <c r="O2950" t="s">
        <v>1168</v>
      </c>
      <c r="P2950" t="s">
        <v>1235</v>
      </c>
    </row>
    <row r="2951" spans="1:16" x14ac:dyDescent="0.25">
      <c r="A2951" t="s">
        <v>6016</v>
      </c>
      <c r="B2951" t="s">
        <v>6017</v>
      </c>
      <c r="C2951" t="s">
        <v>1233</v>
      </c>
      <c r="D2951" t="s">
        <v>1027</v>
      </c>
      <c r="E2951">
        <v>63762</v>
      </c>
      <c r="F2951" t="s">
        <v>1234</v>
      </c>
      <c r="G2951" t="b">
        <v>0</v>
      </c>
      <c r="H2951" t="b">
        <v>0</v>
      </c>
      <c r="I2951" t="s">
        <v>1050</v>
      </c>
      <c r="J2951">
        <v>88</v>
      </c>
      <c r="K2951" t="s">
        <v>0</v>
      </c>
      <c r="L2951" t="s">
        <v>1167</v>
      </c>
      <c r="M2951" t="s">
        <v>1168</v>
      </c>
      <c r="N2951" t="s">
        <v>1169</v>
      </c>
      <c r="O2951" t="s">
        <v>1168</v>
      </c>
      <c r="P2951" t="s">
        <v>1235</v>
      </c>
    </row>
    <row r="2952" spans="1:16" x14ac:dyDescent="0.25">
      <c r="A2952" t="s">
        <v>6018</v>
      </c>
      <c r="B2952" t="s">
        <v>6019</v>
      </c>
      <c r="C2952" t="s">
        <v>1233</v>
      </c>
      <c r="D2952" t="s">
        <v>1027</v>
      </c>
      <c r="E2952">
        <v>63762</v>
      </c>
      <c r="F2952" t="s">
        <v>1234</v>
      </c>
      <c r="G2952" t="b">
        <v>0</v>
      </c>
      <c r="H2952" t="b">
        <v>0</v>
      </c>
      <c r="I2952" t="s">
        <v>1050</v>
      </c>
      <c r="J2952">
        <v>88</v>
      </c>
      <c r="K2952" t="s">
        <v>0</v>
      </c>
      <c r="L2952" t="s">
        <v>1167</v>
      </c>
      <c r="M2952" t="s">
        <v>1168</v>
      </c>
      <c r="N2952" t="s">
        <v>1169</v>
      </c>
      <c r="O2952" t="s">
        <v>1168</v>
      </c>
      <c r="P2952" t="s">
        <v>1235</v>
      </c>
    </row>
    <row r="2953" spans="1:16" x14ac:dyDescent="0.25">
      <c r="A2953" t="s">
        <v>6020</v>
      </c>
      <c r="B2953" t="s">
        <v>6021</v>
      </c>
      <c r="C2953" t="s">
        <v>1233</v>
      </c>
      <c r="D2953" t="s">
        <v>1027</v>
      </c>
      <c r="E2953">
        <v>63762</v>
      </c>
      <c r="F2953" t="s">
        <v>1234</v>
      </c>
      <c r="G2953" t="b">
        <v>0</v>
      </c>
      <c r="H2953" t="b">
        <v>0</v>
      </c>
      <c r="I2953" t="s">
        <v>1050</v>
      </c>
      <c r="J2953">
        <v>88</v>
      </c>
      <c r="K2953" t="s">
        <v>0</v>
      </c>
      <c r="L2953" t="s">
        <v>1167</v>
      </c>
      <c r="M2953" t="s">
        <v>1168</v>
      </c>
      <c r="N2953" t="s">
        <v>1169</v>
      </c>
      <c r="O2953" t="s">
        <v>1168</v>
      </c>
      <c r="P2953" t="s">
        <v>1235</v>
      </c>
    </row>
    <row r="2954" spans="1:16" x14ac:dyDescent="0.25">
      <c r="A2954" t="s">
        <v>6022</v>
      </c>
      <c r="B2954" t="s">
        <v>6023</v>
      </c>
      <c r="C2954" t="s">
        <v>1233</v>
      </c>
      <c r="D2954" t="s">
        <v>1027</v>
      </c>
      <c r="E2954">
        <v>63762</v>
      </c>
      <c r="F2954" t="s">
        <v>1234</v>
      </c>
      <c r="G2954" t="b">
        <v>0</v>
      </c>
      <c r="H2954" t="b">
        <v>0</v>
      </c>
      <c r="I2954" t="s">
        <v>1050</v>
      </c>
      <c r="J2954">
        <v>88</v>
      </c>
      <c r="K2954" t="s">
        <v>0</v>
      </c>
      <c r="L2954" t="s">
        <v>1167</v>
      </c>
      <c r="M2954" t="s">
        <v>1168</v>
      </c>
      <c r="N2954" t="s">
        <v>1169</v>
      </c>
      <c r="O2954" t="s">
        <v>1168</v>
      </c>
      <c r="P2954" t="s">
        <v>1235</v>
      </c>
    </row>
    <row r="2955" spans="1:16" x14ac:dyDescent="0.25">
      <c r="A2955" t="s">
        <v>6024</v>
      </c>
      <c r="B2955" t="s">
        <v>6025</v>
      </c>
      <c r="C2955" t="s">
        <v>1233</v>
      </c>
      <c r="D2955" t="s">
        <v>1027</v>
      </c>
      <c r="E2955">
        <v>63762</v>
      </c>
      <c r="F2955" t="s">
        <v>1234</v>
      </c>
      <c r="G2955" t="b">
        <v>0</v>
      </c>
      <c r="H2955" t="b">
        <v>0</v>
      </c>
      <c r="I2955" t="s">
        <v>1050</v>
      </c>
      <c r="J2955">
        <v>88</v>
      </c>
      <c r="K2955" t="s">
        <v>0</v>
      </c>
      <c r="L2955" t="s">
        <v>1167</v>
      </c>
      <c r="M2955" t="s">
        <v>1168</v>
      </c>
      <c r="N2955" t="s">
        <v>1169</v>
      </c>
      <c r="O2955" t="s">
        <v>1168</v>
      </c>
      <c r="P2955" t="s">
        <v>1235</v>
      </c>
    </row>
    <row r="2956" spans="1:16" x14ac:dyDescent="0.25">
      <c r="A2956" t="s">
        <v>6026</v>
      </c>
      <c r="B2956" t="s">
        <v>6027</v>
      </c>
      <c r="C2956" t="s">
        <v>1233</v>
      </c>
      <c r="D2956" t="s">
        <v>1027</v>
      </c>
      <c r="E2956">
        <v>63762</v>
      </c>
      <c r="F2956" t="s">
        <v>1234</v>
      </c>
      <c r="G2956" t="b">
        <v>0</v>
      </c>
      <c r="H2956" t="b">
        <v>0</v>
      </c>
      <c r="I2956" t="s">
        <v>1050</v>
      </c>
      <c r="J2956">
        <v>88</v>
      </c>
      <c r="K2956" t="s">
        <v>0</v>
      </c>
      <c r="L2956" t="s">
        <v>1167</v>
      </c>
      <c r="M2956" t="s">
        <v>1168</v>
      </c>
      <c r="N2956" t="s">
        <v>1169</v>
      </c>
      <c r="O2956" t="s">
        <v>1168</v>
      </c>
      <c r="P2956" t="s">
        <v>1235</v>
      </c>
    </row>
    <row r="2957" spans="1:16" x14ac:dyDescent="0.25">
      <c r="A2957" t="s">
        <v>6028</v>
      </c>
      <c r="B2957" t="s">
        <v>6029</v>
      </c>
      <c r="C2957" t="s">
        <v>1233</v>
      </c>
      <c r="D2957" t="s">
        <v>1027</v>
      </c>
      <c r="E2957">
        <v>63762</v>
      </c>
      <c r="F2957" t="s">
        <v>1234</v>
      </c>
      <c r="G2957" t="b">
        <v>0</v>
      </c>
      <c r="H2957" t="b">
        <v>0</v>
      </c>
      <c r="I2957" t="s">
        <v>1050</v>
      </c>
      <c r="J2957">
        <v>88</v>
      </c>
      <c r="K2957" t="s">
        <v>0</v>
      </c>
      <c r="L2957" t="s">
        <v>1167</v>
      </c>
      <c r="M2957" t="s">
        <v>1168</v>
      </c>
      <c r="N2957" t="s">
        <v>1169</v>
      </c>
      <c r="O2957" t="s">
        <v>1168</v>
      </c>
      <c r="P2957" t="s">
        <v>1235</v>
      </c>
    </row>
    <row r="2958" spans="1:16" x14ac:dyDescent="0.25">
      <c r="A2958" t="s">
        <v>6030</v>
      </c>
      <c r="B2958" t="s">
        <v>6031</v>
      </c>
      <c r="C2958" t="s">
        <v>1233</v>
      </c>
      <c r="D2958" t="s">
        <v>1027</v>
      </c>
      <c r="E2958">
        <v>63762</v>
      </c>
      <c r="F2958" t="s">
        <v>1234</v>
      </c>
      <c r="G2958" t="b">
        <v>0</v>
      </c>
      <c r="H2958" t="b">
        <v>0</v>
      </c>
      <c r="I2958" t="s">
        <v>1050</v>
      </c>
      <c r="J2958">
        <v>88</v>
      </c>
      <c r="K2958" t="s">
        <v>0</v>
      </c>
      <c r="L2958" t="s">
        <v>1167</v>
      </c>
      <c r="M2958" t="s">
        <v>1168</v>
      </c>
      <c r="N2958" t="s">
        <v>1169</v>
      </c>
      <c r="O2958" t="s">
        <v>1168</v>
      </c>
      <c r="P2958" t="s">
        <v>1235</v>
      </c>
    </row>
    <row r="2959" spans="1:16" x14ac:dyDescent="0.25">
      <c r="A2959" t="s">
        <v>6032</v>
      </c>
      <c r="B2959" t="s">
        <v>6033</v>
      </c>
      <c r="C2959" t="s">
        <v>1233</v>
      </c>
      <c r="D2959" t="s">
        <v>1027</v>
      </c>
      <c r="E2959">
        <v>63762</v>
      </c>
      <c r="F2959" t="s">
        <v>1234</v>
      </c>
      <c r="G2959" t="b">
        <v>0</v>
      </c>
      <c r="H2959" t="b">
        <v>0</v>
      </c>
      <c r="I2959" t="s">
        <v>1050</v>
      </c>
      <c r="J2959">
        <v>88</v>
      </c>
      <c r="K2959" t="s">
        <v>0</v>
      </c>
      <c r="L2959" t="s">
        <v>1167</v>
      </c>
      <c r="M2959" t="s">
        <v>1168</v>
      </c>
      <c r="N2959" t="s">
        <v>1169</v>
      </c>
      <c r="O2959" t="s">
        <v>1168</v>
      </c>
      <c r="P2959" t="s">
        <v>1235</v>
      </c>
    </row>
    <row r="2960" spans="1:16" x14ac:dyDescent="0.25">
      <c r="A2960" t="s">
        <v>6034</v>
      </c>
      <c r="B2960" t="s">
        <v>6035</v>
      </c>
      <c r="C2960" t="s">
        <v>1233</v>
      </c>
      <c r="D2960" t="s">
        <v>1027</v>
      </c>
      <c r="E2960">
        <v>63762</v>
      </c>
      <c r="F2960" t="s">
        <v>1234</v>
      </c>
      <c r="G2960" t="b">
        <v>0</v>
      </c>
      <c r="H2960" t="b">
        <v>0</v>
      </c>
      <c r="I2960" t="s">
        <v>1050</v>
      </c>
      <c r="J2960">
        <v>88</v>
      </c>
      <c r="K2960" t="s">
        <v>0</v>
      </c>
      <c r="L2960" t="s">
        <v>1167</v>
      </c>
      <c r="M2960" t="s">
        <v>1168</v>
      </c>
      <c r="N2960" t="s">
        <v>1169</v>
      </c>
      <c r="O2960" t="s">
        <v>1168</v>
      </c>
      <c r="P2960" t="s">
        <v>1235</v>
      </c>
    </row>
    <row r="2961" spans="1:16" x14ac:dyDescent="0.25">
      <c r="A2961" t="s">
        <v>6036</v>
      </c>
      <c r="B2961" t="s">
        <v>6037</v>
      </c>
      <c r="C2961" t="s">
        <v>1233</v>
      </c>
      <c r="D2961" t="s">
        <v>1027</v>
      </c>
      <c r="E2961">
        <v>63762</v>
      </c>
      <c r="F2961" t="s">
        <v>1234</v>
      </c>
      <c r="G2961" t="b">
        <v>0</v>
      </c>
      <c r="H2961" t="b">
        <v>0</v>
      </c>
      <c r="I2961" t="s">
        <v>1050</v>
      </c>
      <c r="J2961">
        <v>88</v>
      </c>
      <c r="K2961" t="s">
        <v>0</v>
      </c>
      <c r="L2961" t="s">
        <v>1167</v>
      </c>
      <c r="M2961" t="s">
        <v>1168</v>
      </c>
      <c r="N2961" t="s">
        <v>1169</v>
      </c>
      <c r="O2961" t="s">
        <v>1168</v>
      </c>
      <c r="P2961" t="s">
        <v>1235</v>
      </c>
    </row>
    <row r="2962" spans="1:16" x14ac:dyDescent="0.25">
      <c r="A2962" t="s">
        <v>6038</v>
      </c>
      <c r="B2962" t="s">
        <v>6039</v>
      </c>
      <c r="C2962" t="s">
        <v>1233</v>
      </c>
      <c r="D2962" t="s">
        <v>1027</v>
      </c>
      <c r="E2962">
        <v>63762</v>
      </c>
      <c r="F2962" t="s">
        <v>1234</v>
      </c>
      <c r="G2962" t="b">
        <v>0</v>
      </c>
      <c r="H2962" t="b">
        <v>0</v>
      </c>
      <c r="I2962" t="s">
        <v>1050</v>
      </c>
      <c r="J2962">
        <v>88</v>
      </c>
      <c r="K2962" t="s">
        <v>0</v>
      </c>
      <c r="L2962" t="s">
        <v>1167</v>
      </c>
      <c r="M2962" t="s">
        <v>1168</v>
      </c>
      <c r="N2962" t="s">
        <v>1169</v>
      </c>
      <c r="O2962" t="s">
        <v>1168</v>
      </c>
      <c r="P2962" t="s">
        <v>1235</v>
      </c>
    </row>
    <row r="2963" spans="1:16" x14ac:dyDescent="0.25">
      <c r="A2963" t="s">
        <v>6040</v>
      </c>
      <c r="B2963" t="s">
        <v>6013</v>
      </c>
      <c r="C2963" t="s">
        <v>1233</v>
      </c>
      <c r="D2963" t="s">
        <v>1027</v>
      </c>
      <c r="E2963">
        <v>63762</v>
      </c>
      <c r="F2963" t="s">
        <v>1234</v>
      </c>
      <c r="G2963" t="b">
        <v>0</v>
      </c>
      <c r="H2963" t="b">
        <v>0</v>
      </c>
      <c r="I2963" t="s">
        <v>1050</v>
      </c>
      <c r="J2963">
        <v>88</v>
      </c>
      <c r="K2963" t="s">
        <v>0</v>
      </c>
      <c r="L2963" t="s">
        <v>1167</v>
      </c>
      <c r="M2963" t="s">
        <v>1168</v>
      </c>
      <c r="N2963" t="s">
        <v>1169</v>
      </c>
      <c r="O2963" t="s">
        <v>1168</v>
      </c>
      <c r="P2963" t="s">
        <v>1235</v>
      </c>
    </row>
    <row r="2964" spans="1:16" x14ac:dyDescent="0.25">
      <c r="A2964" t="s">
        <v>6041</v>
      </c>
      <c r="B2964" t="s">
        <v>6015</v>
      </c>
      <c r="C2964" t="s">
        <v>1233</v>
      </c>
      <c r="D2964" t="s">
        <v>1027</v>
      </c>
      <c r="E2964">
        <v>63762</v>
      </c>
      <c r="F2964" t="s">
        <v>1234</v>
      </c>
      <c r="G2964" t="b">
        <v>0</v>
      </c>
      <c r="H2964" t="b">
        <v>0</v>
      </c>
      <c r="I2964" t="s">
        <v>1050</v>
      </c>
      <c r="J2964">
        <v>88</v>
      </c>
      <c r="K2964" t="s">
        <v>0</v>
      </c>
      <c r="L2964" t="s">
        <v>1167</v>
      </c>
      <c r="M2964" t="s">
        <v>1168</v>
      </c>
      <c r="N2964" t="s">
        <v>1169</v>
      </c>
      <c r="O2964" t="s">
        <v>1168</v>
      </c>
      <c r="P2964" t="s">
        <v>1235</v>
      </c>
    </row>
    <row r="2965" spans="1:16" x14ac:dyDescent="0.25">
      <c r="A2965" t="s">
        <v>6042</v>
      </c>
      <c r="B2965" t="s">
        <v>6017</v>
      </c>
      <c r="C2965" t="s">
        <v>1233</v>
      </c>
      <c r="D2965" t="s">
        <v>1027</v>
      </c>
      <c r="E2965">
        <v>63762</v>
      </c>
      <c r="F2965" t="s">
        <v>1234</v>
      </c>
      <c r="G2965" t="b">
        <v>0</v>
      </c>
      <c r="H2965" t="b">
        <v>0</v>
      </c>
      <c r="I2965" t="s">
        <v>1050</v>
      </c>
      <c r="J2965">
        <v>88</v>
      </c>
      <c r="K2965" t="s">
        <v>0</v>
      </c>
      <c r="L2965" t="s">
        <v>1167</v>
      </c>
      <c r="M2965" t="s">
        <v>1168</v>
      </c>
      <c r="N2965" t="s">
        <v>1169</v>
      </c>
      <c r="O2965" t="s">
        <v>1168</v>
      </c>
      <c r="P2965" t="s">
        <v>1235</v>
      </c>
    </row>
    <row r="2966" spans="1:16" x14ac:dyDescent="0.25">
      <c r="A2966" t="s">
        <v>6043</v>
      </c>
      <c r="B2966" t="s">
        <v>6019</v>
      </c>
      <c r="C2966" t="s">
        <v>1233</v>
      </c>
      <c r="D2966" t="s">
        <v>1027</v>
      </c>
      <c r="E2966">
        <v>63762</v>
      </c>
      <c r="F2966" t="s">
        <v>1234</v>
      </c>
      <c r="G2966" t="b">
        <v>0</v>
      </c>
      <c r="H2966" t="b">
        <v>0</v>
      </c>
      <c r="I2966" t="s">
        <v>1050</v>
      </c>
      <c r="J2966">
        <v>88</v>
      </c>
      <c r="K2966" t="s">
        <v>0</v>
      </c>
      <c r="L2966" t="s">
        <v>1167</v>
      </c>
      <c r="M2966" t="s">
        <v>1168</v>
      </c>
      <c r="N2966" t="s">
        <v>1169</v>
      </c>
      <c r="O2966" t="s">
        <v>1168</v>
      </c>
      <c r="P2966" t="s">
        <v>1235</v>
      </c>
    </row>
    <row r="2967" spans="1:16" x14ac:dyDescent="0.25">
      <c r="A2967" t="s">
        <v>6044</v>
      </c>
      <c r="B2967" t="s">
        <v>6021</v>
      </c>
      <c r="C2967" t="s">
        <v>1233</v>
      </c>
      <c r="D2967" t="s">
        <v>1027</v>
      </c>
      <c r="E2967">
        <v>63762</v>
      </c>
      <c r="F2967" t="s">
        <v>1234</v>
      </c>
      <c r="G2967" t="b">
        <v>0</v>
      </c>
      <c r="H2967" t="b">
        <v>0</v>
      </c>
      <c r="I2967" t="s">
        <v>1050</v>
      </c>
      <c r="J2967">
        <v>88</v>
      </c>
      <c r="K2967" t="s">
        <v>0</v>
      </c>
      <c r="L2967" t="s">
        <v>1167</v>
      </c>
      <c r="M2967" t="s">
        <v>1168</v>
      </c>
      <c r="N2967" t="s">
        <v>1169</v>
      </c>
      <c r="O2967" t="s">
        <v>1168</v>
      </c>
      <c r="P2967" t="s">
        <v>1235</v>
      </c>
    </row>
    <row r="2968" spans="1:16" x14ac:dyDescent="0.25">
      <c r="A2968" t="s">
        <v>6045</v>
      </c>
      <c r="B2968" t="s">
        <v>6023</v>
      </c>
      <c r="C2968" t="s">
        <v>1233</v>
      </c>
      <c r="D2968" t="s">
        <v>1027</v>
      </c>
      <c r="E2968">
        <v>63762</v>
      </c>
      <c r="F2968" t="s">
        <v>1234</v>
      </c>
      <c r="G2968" t="b">
        <v>0</v>
      </c>
      <c r="H2968" t="b">
        <v>0</v>
      </c>
      <c r="I2968" t="s">
        <v>1050</v>
      </c>
      <c r="J2968">
        <v>88</v>
      </c>
      <c r="K2968" t="s">
        <v>0</v>
      </c>
      <c r="L2968" t="s">
        <v>1167</v>
      </c>
      <c r="M2968" t="s">
        <v>1168</v>
      </c>
      <c r="N2968" t="s">
        <v>1169</v>
      </c>
      <c r="O2968" t="s">
        <v>1168</v>
      </c>
      <c r="P2968" t="s">
        <v>1235</v>
      </c>
    </row>
    <row r="2969" spans="1:16" x14ac:dyDescent="0.25">
      <c r="A2969" t="s">
        <v>6046</v>
      </c>
      <c r="B2969" t="s">
        <v>6025</v>
      </c>
      <c r="C2969" t="s">
        <v>1233</v>
      </c>
      <c r="D2969" t="s">
        <v>1027</v>
      </c>
      <c r="E2969">
        <v>63762</v>
      </c>
      <c r="F2969" t="s">
        <v>1234</v>
      </c>
      <c r="G2969" t="b">
        <v>0</v>
      </c>
      <c r="H2969" t="b">
        <v>0</v>
      </c>
      <c r="I2969" t="s">
        <v>1050</v>
      </c>
      <c r="J2969">
        <v>88</v>
      </c>
      <c r="K2969" t="s">
        <v>0</v>
      </c>
      <c r="L2969" t="s">
        <v>1167</v>
      </c>
      <c r="M2969" t="s">
        <v>1168</v>
      </c>
      <c r="N2969" t="s">
        <v>1169</v>
      </c>
      <c r="O2969" t="s">
        <v>1168</v>
      </c>
      <c r="P2969" t="s">
        <v>1235</v>
      </c>
    </row>
    <row r="2970" spans="1:16" x14ac:dyDescent="0.25">
      <c r="A2970" t="s">
        <v>6047</v>
      </c>
      <c r="B2970" t="s">
        <v>6027</v>
      </c>
      <c r="C2970" t="s">
        <v>1233</v>
      </c>
      <c r="D2970" t="s">
        <v>1027</v>
      </c>
      <c r="E2970">
        <v>63762</v>
      </c>
      <c r="F2970" t="s">
        <v>1234</v>
      </c>
      <c r="G2970" t="b">
        <v>0</v>
      </c>
      <c r="H2970" t="b">
        <v>0</v>
      </c>
      <c r="I2970" t="s">
        <v>1050</v>
      </c>
      <c r="J2970">
        <v>88</v>
      </c>
      <c r="K2970" t="s">
        <v>0</v>
      </c>
      <c r="L2970" t="s">
        <v>1167</v>
      </c>
      <c r="M2970" t="s">
        <v>1168</v>
      </c>
      <c r="N2970" t="s">
        <v>1169</v>
      </c>
      <c r="O2970" t="s">
        <v>1168</v>
      </c>
      <c r="P2970" t="s">
        <v>1235</v>
      </c>
    </row>
    <row r="2971" spans="1:16" x14ac:dyDescent="0.25">
      <c r="A2971" t="s">
        <v>6048</v>
      </c>
      <c r="B2971" t="s">
        <v>6029</v>
      </c>
      <c r="C2971" t="s">
        <v>1233</v>
      </c>
      <c r="D2971" t="s">
        <v>1027</v>
      </c>
      <c r="E2971">
        <v>63762</v>
      </c>
      <c r="F2971" t="s">
        <v>1234</v>
      </c>
      <c r="G2971" t="b">
        <v>0</v>
      </c>
      <c r="H2971" t="b">
        <v>0</v>
      </c>
      <c r="I2971" t="s">
        <v>1050</v>
      </c>
      <c r="J2971">
        <v>88</v>
      </c>
      <c r="K2971" t="s">
        <v>0</v>
      </c>
      <c r="L2971" t="s">
        <v>1167</v>
      </c>
      <c r="M2971" t="s">
        <v>1168</v>
      </c>
      <c r="N2971" t="s">
        <v>1169</v>
      </c>
      <c r="O2971" t="s">
        <v>1168</v>
      </c>
      <c r="P2971" t="s">
        <v>1235</v>
      </c>
    </row>
    <row r="2972" spans="1:16" x14ac:dyDescent="0.25">
      <c r="A2972" t="s">
        <v>6049</v>
      </c>
      <c r="B2972" t="s">
        <v>6031</v>
      </c>
      <c r="C2972" t="s">
        <v>1233</v>
      </c>
      <c r="D2972" t="s">
        <v>1027</v>
      </c>
      <c r="E2972">
        <v>63762</v>
      </c>
      <c r="F2972" t="s">
        <v>1234</v>
      </c>
      <c r="G2972" t="b">
        <v>0</v>
      </c>
      <c r="H2972" t="b">
        <v>0</v>
      </c>
      <c r="I2972" t="s">
        <v>1050</v>
      </c>
      <c r="J2972">
        <v>88</v>
      </c>
      <c r="K2972" t="s">
        <v>0</v>
      </c>
      <c r="L2972" t="s">
        <v>1167</v>
      </c>
      <c r="M2972" t="s">
        <v>1168</v>
      </c>
      <c r="N2972" t="s">
        <v>1169</v>
      </c>
      <c r="O2972" t="s">
        <v>1168</v>
      </c>
      <c r="P2972" t="s">
        <v>1235</v>
      </c>
    </row>
    <row r="2973" spans="1:16" x14ac:dyDescent="0.25">
      <c r="A2973" t="s">
        <v>6050</v>
      </c>
      <c r="B2973" t="s">
        <v>6033</v>
      </c>
      <c r="C2973" t="s">
        <v>1233</v>
      </c>
      <c r="D2973" t="s">
        <v>1027</v>
      </c>
      <c r="E2973">
        <v>63762</v>
      </c>
      <c r="F2973" t="s">
        <v>1234</v>
      </c>
      <c r="G2973" t="b">
        <v>0</v>
      </c>
      <c r="H2973" t="b">
        <v>0</v>
      </c>
      <c r="I2973" t="s">
        <v>1050</v>
      </c>
      <c r="J2973">
        <v>88</v>
      </c>
      <c r="K2973" t="s">
        <v>0</v>
      </c>
      <c r="L2973" t="s">
        <v>1167</v>
      </c>
      <c r="M2973" t="s">
        <v>1168</v>
      </c>
      <c r="N2973" t="s">
        <v>1169</v>
      </c>
      <c r="O2973" t="s">
        <v>1168</v>
      </c>
      <c r="P2973" t="s">
        <v>1235</v>
      </c>
    </row>
    <row r="2974" spans="1:16" x14ac:dyDescent="0.25">
      <c r="A2974" t="s">
        <v>6051</v>
      </c>
      <c r="B2974" t="s">
        <v>6035</v>
      </c>
      <c r="C2974" t="s">
        <v>1233</v>
      </c>
      <c r="D2974" t="s">
        <v>1027</v>
      </c>
      <c r="E2974">
        <v>63762</v>
      </c>
      <c r="F2974" t="s">
        <v>1234</v>
      </c>
      <c r="G2974" t="b">
        <v>0</v>
      </c>
      <c r="H2974" t="b">
        <v>0</v>
      </c>
      <c r="I2974" t="s">
        <v>1050</v>
      </c>
      <c r="J2974">
        <v>88</v>
      </c>
      <c r="K2974" t="s">
        <v>0</v>
      </c>
      <c r="L2974" t="s">
        <v>1167</v>
      </c>
      <c r="M2974" t="s">
        <v>1168</v>
      </c>
      <c r="N2974" t="s">
        <v>1169</v>
      </c>
      <c r="O2974" t="s">
        <v>1168</v>
      </c>
      <c r="P2974" t="s">
        <v>1235</v>
      </c>
    </row>
    <row r="2975" spans="1:16" x14ac:dyDescent="0.25">
      <c r="A2975" t="s">
        <v>6052</v>
      </c>
      <c r="B2975" t="s">
        <v>6037</v>
      </c>
      <c r="C2975" t="s">
        <v>1233</v>
      </c>
      <c r="D2975" t="s">
        <v>1027</v>
      </c>
      <c r="E2975">
        <v>63762</v>
      </c>
      <c r="F2975" t="s">
        <v>1234</v>
      </c>
      <c r="G2975" t="b">
        <v>0</v>
      </c>
      <c r="H2975" t="b">
        <v>0</v>
      </c>
      <c r="I2975" t="s">
        <v>1050</v>
      </c>
      <c r="J2975">
        <v>88</v>
      </c>
      <c r="K2975" t="s">
        <v>0</v>
      </c>
      <c r="L2975" t="s">
        <v>1167</v>
      </c>
      <c r="M2975" t="s">
        <v>1168</v>
      </c>
      <c r="N2975" t="s">
        <v>1169</v>
      </c>
      <c r="O2975" t="s">
        <v>1168</v>
      </c>
      <c r="P2975" t="s">
        <v>1235</v>
      </c>
    </row>
    <row r="2976" spans="1:16" x14ac:dyDescent="0.25">
      <c r="A2976" t="s">
        <v>6053</v>
      </c>
      <c r="B2976" t="s">
        <v>6039</v>
      </c>
      <c r="C2976" t="s">
        <v>1233</v>
      </c>
      <c r="D2976" t="s">
        <v>1027</v>
      </c>
      <c r="E2976">
        <v>63762</v>
      </c>
      <c r="F2976" t="s">
        <v>1234</v>
      </c>
      <c r="G2976" t="b">
        <v>0</v>
      </c>
      <c r="H2976" t="b">
        <v>0</v>
      </c>
      <c r="I2976" t="s">
        <v>1050</v>
      </c>
      <c r="J2976">
        <v>88</v>
      </c>
      <c r="K2976" t="s">
        <v>0</v>
      </c>
      <c r="L2976" t="s">
        <v>1167</v>
      </c>
      <c r="M2976" t="s">
        <v>1168</v>
      </c>
      <c r="N2976" t="s">
        <v>1169</v>
      </c>
      <c r="O2976" t="s">
        <v>1168</v>
      </c>
      <c r="P2976" t="s">
        <v>1235</v>
      </c>
    </row>
    <row r="2977" spans="1:16" x14ac:dyDescent="0.25">
      <c r="A2977" t="s">
        <v>6054</v>
      </c>
      <c r="B2977" t="s">
        <v>6055</v>
      </c>
      <c r="C2977" t="s">
        <v>1233</v>
      </c>
      <c r="D2977" t="s">
        <v>1027</v>
      </c>
      <c r="E2977">
        <v>63762</v>
      </c>
      <c r="F2977" t="s">
        <v>1234</v>
      </c>
      <c r="G2977" t="b">
        <v>0</v>
      </c>
      <c r="H2977" t="b">
        <v>0</v>
      </c>
      <c r="I2977" t="s">
        <v>1050</v>
      </c>
      <c r="J2977">
        <v>88</v>
      </c>
      <c r="K2977" t="s">
        <v>0</v>
      </c>
      <c r="L2977" t="s">
        <v>1167</v>
      </c>
      <c r="M2977" t="s">
        <v>1168</v>
      </c>
      <c r="N2977" t="s">
        <v>1169</v>
      </c>
      <c r="O2977" t="s">
        <v>1168</v>
      </c>
      <c r="P2977" t="s">
        <v>1235</v>
      </c>
    </row>
    <row r="2978" spans="1:16" x14ac:dyDescent="0.25">
      <c r="A2978" t="s">
        <v>6056</v>
      </c>
      <c r="B2978" t="s">
        <v>6013</v>
      </c>
      <c r="C2978" t="s">
        <v>1233</v>
      </c>
      <c r="D2978" t="s">
        <v>1027</v>
      </c>
      <c r="E2978">
        <v>63762</v>
      </c>
      <c r="F2978" t="s">
        <v>1234</v>
      </c>
      <c r="G2978" t="b">
        <v>0</v>
      </c>
      <c r="H2978" t="b">
        <v>0</v>
      </c>
      <c r="I2978" t="s">
        <v>1050</v>
      </c>
      <c r="J2978">
        <v>88</v>
      </c>
      <c r="K2978" t="s">
        <v>0</v>
      </c>
      <c r="L2978" t="s">
        <v>1167</v>
      </c>
      <c r="M2978" t="s">
        <v>1168</v>
      </c>
      <c r="N2978" t="s">
        <v>1169</v>
      </c>
      <c r="O2978" t="s">
        <v>1168</v>
      </c>
      <c r="P2978" t="s">
        <v>1235</v>
      </c>
    </row>
    <row r="2979" spans="1:16" x14ac:dyDescent="0.25">
      <c r="A2979" t="s">
        <v>6057</v>
      </c>
      <c r="B2979" t="s">
        <v>6058</v>
      </c>
      <c r="C2979" t="s">
        <v>1233</v>
      </c>
      <c r="D2979" t="s">
        <v>1027</v>
      </c>
      <c r="E2979">
        <v>63762</v>
      </c>
      <c r="F2979" t="s">
        <v>1234</v>
      </c>
      <c r="G2979" t="b">
        <v>0</v>
      </c>
      <c r="H2979" t="b">
        <v>0</v>
      </c>
      <c r="I2979" t="s">
        <v>1050</v>
      </c>
      <c r="J2979">
        <v>88</v>
      </c>
      <c r="K2979" t="s">
        <v>0</v>
      </c>
      <c r="L2979" t="s">
        <v>1167</v>
      </c>
      <c r="M2979" t="s">
        <v>1168</v>
      </c>
      <c r="N2979" t="s">
        <v>1169</v>
      </c>
      <c r="O2979" t="s">
        <v>1168</v>
      </c>
      <c r="P2979" t="s">
        <v>1235</v>
      </c>
    </row>
    <row r="2980" spans="1:16" x14ac:dyDescent="0.25">
      <c r="A2980" t="s">
        <v>6059</v>
      </c>
      <c r="B2980" t="s">
        <v>6060</v>
      </c>
      <c r="C2980" t="s">
        <v>1233</v>
      </c>
      <c r="D2980" t="s">
        <v>1027</v>
      </c>
      <c r="E2980">
        <v>63762</v>
      </c>
      <c r="F2980" t="s">
        <v>1234</v>
      </c>
      <c r="G2980" t="b">
        <v>0</v>
      </c>
      <c r="H2980" t="b">
        <v>0</v>
      </c>
      <c r="I2980" t="s">
        <v>1050</v>
      </c>
      <c r="J2980">
        <v>88</v>
      </c>
      <c r="K2980" t="s">
        <v>0</v>
      </c>
      <c r="L2980" t="s">
        <v>1167</v>
      </c>
      <c r="M2980" t="s">
        <v>1168</v>
      </c>
      <c r="N2980" t="s">
        <v>1169</v>
      </c>
      <c r="O2980" t="s">
        <v>1168</v>
      </c>
      <c r="P2980" t="s">
        <v>1235</v>
      </c>
    </row>
    <row r="2981" spans="1:16" x14ac:dyDescent="0.25">
      <c r="A2981" t="s">
        <v>6061</v>
      </c>
      <c r="B2981" t="s">
        <v>6062</v>
      </c>
      <c r="C2981" t="s">
        <v>1233</v>
      </c>
      <c r="D2981" t="s">
        <v>1027</v>
      </c>
      <c r="E2981">
        <v>63762</v>
      </c>
      <c r="F2981" t="s">
        <v>1234</v>
      </c>
      <c r="G2981" t="b">
        <v>0</v>
      </c>
      <c r="H2981" t="b">
        <v>0</v>
      </c>
      <c r="I2981" t="s">
        <v>1050</v>
      </c>
      <c r="J2981">
        <v>88</v>
      </c>
      <c r="K2981" t="s">
        <v>0</v>
      </c>
      <c r="L2981" t="s">
        <v>1167</v>
      </c>
      <c r="M2981" t="s">
        <v>1168</v>
      </c>
      <c r="N2981" t="s">
        <v>1169</v>
      </c>
      <c r="O2981" t="s">
        <v>1168</v>
      </c>
      <c r="P2981" t="s">
        <v>1235</v>
      </c>
    </row>
    <row r="2982" spans="1:16" x14ac:dyDescent="0.25">
      <c r="A2982" t="s">
        <v>6063</v>
      </c>
      <c r="B2982" t="s">
        <v>6064</v>
      </c>
      <c r="C2982" t="s">
        <v>1233</v>
      </c>
      <c r="D2982" t="s">
        <v>1027</v>
      </c>
      <c r="E2982">
        <v>63762</v>
      </c>
      <c r="F2982" t="s">
        <v>1234</v>
      </c>
      <c r="G2982" t="b">
        <v>0</v>
      </c>
      <c r="H2982" t="b">
        <v>0</v>
      </c>
      <c r="I2982" t="s">
        <v>1050</v>
      </c>
      <c r="J2982">
        <v>88</v>
      </c>
      <c r="K2982" t="s">
        <v>0</v>
      </c>
      <c r="L2982" t="s">
        <v>1167</v>
      </c>
      <c r="M2982" t="s">
        <v>1168</v>
      </c>
      <c r="N2982" t="s">
        <v>1169</v>
      </c>
      <c r="O2982" t="s">
        <v>1168</v>
      </c>
      <c r="P2982" t="s">
        <v>1235</v>
      </c>
    </row>
    <row r="2983" spans="1:16" x14ac:dyDescent="0.25">
      <c r="A2983" t="s">
        <v>6065</v>
      </c>
      <c r="B2983" t="s">
        <v>6066</v>
      </c>
      <c r="C2983" t="s">
        <v>1233</v>
      </c>
      <c r="D2983" t="s">
        <v>1027</v>
      </c>
      <c r="E2983">
        <v>63762</v>
      </c>
      <c r="F2983" t="s">
        <v>1234</v>
      </c>
      <c r="G2983" t="b">
        <v>0</v>
      </c>
      <c r="H2983" t="b">
        <v>0</v>
      </c>
      <c r="I2983" t="s">
        <v>1050</v>
      </c>
      <c r="J2983">
        <v>88</v>
      </c>
      <c r="K2983" t="s">
        <v>0</v>
      </c>
      <c r="L2983" t="s">
        <v>1167</v>
      </c>
      <c r="M2983" t="s">
        <v>1168</v>
      </c>
      <c r="N2983" t="s">
        <v>1169</v>
      </c>
      <c r="O2983" t="s">
        <v>1168</v>
      </c>
      <c r="P2983" t="s">
        <v>1235</v>
      </c>
    </row>
    <row r="2984" spans="1:16" x14ac:dyDescent="0.25">
      <c r="A2984" t="s">
        <v>6067</v>
      </c>
      <c r="B2984" t="s">
        <v>6068</v>
      </c>
      <c r="C2984" t="s">
        <v>1233</v>
      </c>
      <c r="D2984" t="s">
        <v>1027</v>
      </c>
      <c r="E2984">
        <v>63762</v>
      </c>
      <c r="F2984" t="s">
        <v>1234</v>
      </c>
      <c r="G2984" t="b">
        <v>0</v>
      </c>
      <c r="H2984" t="b">
        <v>0</v>
      </c>
      <c r="I2984" t="s">
        <v>1050</v>
      </c>
      <c r="J2984">
        <v>88</v>
      </c>
      <c r="K2984" t="s">
        <v>0</v>
      </c>
      <c r="L2984" t="s">
        <v>1167</v>
      </c>
      <c r="M2984" t="s">
        <v>1168</v>
      </c>
      <c r="N2984" t="s">
        <v>1169</v>
      </c>
      <c r="O2984" t="s">
        <v>1168</v>
      </c>
      <c r="P2984" t="s">
        <v>1235</v>
      </c>
    </row>
    <row r="2985" spans="1:16" x14ac:dyDescent="0.25">
      <c r="A2985" t="s">
        <v>6069</v>
      </c>
      <c r="B2985" t="s">
        <v>6070</v>
      </c>
      <c r="C2985" t="s">
        <v>1233</v>
      </c>
      <c r="D2985" t="s">
        <v>1027</v>
      </c>
      <c r="E2985">
        <v>63762</v>
      </c>
      <c r="F2985" t="s">
        <v>1234</v>
      </c>
      <c r="G2985" t="b">
        <v>0</v>
      </c>
      <c r="H2985" t="b">
        <v>0</v>
      </c>
      <c r="I2985" t="s">
        <v>1050</v>
      </c>
      <c r="J2985">
        <v>88</v>
      </c>
      <c r="K2985" t="s">
        <v>0</v>
      </c>
      <c r="L2985" t="s">
        <v>1167</v>
      </c>
      <c r="M2985" t="s">
        <v>1168</v>
      </c>
      <c r="N2985" t="s">
        <v>1169</v>
      </c>
      <c r="O2985" t="s">
        <v>1168</v>
      </c>
      <c r="P2985" t="s">
        <v>1235</v>
      </c>
    </row>
    <row r="2986" spans="1:16" x14ac:dyDescent="0.25">
      <c r="A2986" t="s">
        <v>6071</v>
      </c>
      <c r="B2986" t="s">
        <v>6072</v>
      </c>
      <c r="C2986" t="s">
        <v>1233</v>
      </c>
      <c r="D2986" t="s">
        <v>1027</v>
      </c>
      <c r="E2986">
        <v>63762</v>
      </c>
      <c r="F2986" t="s">
        <v>1234</v>
      </c>
      <c r="G2986" t="b">
        <v>0</v>
      </c>
      <c r="H2986" t="b">
        <v>0</v>
      </c>
      <c r="I2986" t="s">
        <v>1050</v>
      </c>
      <c r="J2986">
        <v>88</v>
      </c>
      <c r="K2986" t="s">
        <v>0</v>
      </c>
      <c r="L2986" t="s">
        <v>1167</v>
      </c>
      <c r="M2986" t="s">
        <v>1168</v>
      </c>
      <c r="N2986" t="s">
        <v>1169</v>
      </c>
      <c r="O2986" t="s">
        <v>1168</v>
      </c>
      <c r="P2986" t="s">
        <v>1235</v>
      </c>
    </row>
    <row r="2987" spans="1:16" x14ac:dyDescent="0.25">
      <c r="A2987" t="s">
        <v>6073</v>
      </c>
      <c r="B2987" t="s">
        <v>6074</v>
      </c>
      <c r="C2987" t="s">
        <v>1233</v>
      </c>
      <c r="D2987" t="s">
        <v>1027</v>
      </c>
      <c r="E2987">
        <v>63762</v>
      </c>
      <c r="F2987" t="s">
        <v>1234</v>
      </c>
      <c r="G2987" t="b">
        <v>0</v>
      </c>
      <c r="H2987" t="b">
        <v>0</v>
      </c>
      <c r="I2987" t="s">
        <v>1050</v>
      </c>
      <c r="J2987">
        <v>88</v>
      </c>
      <c r="K2987" t="s">
        <v>0</v>
      </c>
      <c r="L2987" t="s">
        <v>1167</v>
      </c>
      <c r="M2987" t="s">
        <v>1168</v>
      </c>
      <c r="N2987" t="s">
        <v>1169</v>
      </c>
      <c r="O2987" t="s">
        <v>1168</v>
      </c>
      <c r="P2987" t="s">
        <v>1235</v>
      </c>
    </row>
    <row r="2988" spans="1:16" x14ac:dyDescent="0.25">
      <c r="A2988" t="s">
        <v>6075</v>
      </c>
      <c r="B2988" t="s">
        <v>6076</v>
      </c>
      <c r="C2988" t="s">
        <v>1233</v>
      </c>
      <c r="D2988" t="s">
        <v>1027</v>
      </c>
      <c r="E2988">
        <v>63762</v>
      </c>
      <c r="F2988" t="s">
        <v>1234</v>
      </c>
      <c r="G2988" t="b">
        <v>0</v>
      </c>
      <c r="H2988" t="b">
        <v>0</v>
      </c>
      <c r="I2988" t="s">
        <v>1050</v>
      </c>
      <c r="J2988">
        <v>88</v>
      </c>
      <c r="K2988" t="s">
        <v>0</v>
      </c>
      <c r="L2988" t="s">
        <v>1167</v>
      </c>
      <c r="M2988" t="s">
        <v>1168</v>
      </c>
      <c r="N2988" t="s">
        <v>1169</v>
      </c>
      <c r="O2988" t="s">
        <v>1168</v>
      </c>
      <c r="P2988" t="s">
        <v>1235</v>
      </c>
    </row>
    <row r="2989" spans="1:16" x14ac:dyDescent="0.25">
      <c r="A2989" t="s">
        <v>6077</v>
      </c>
      <c r="B2989" t="s">
        <v>6078</v>
      </c>
      <c r="C2989" t="s">
        <v>1233</v>
      </c>
      <c r="D2989" t="s">
        <v>1027</v>
      </c>
      <c r="E2989">
        <v>63762</v>
      </c>
      <c r="F2989" t="s">
        <v>1234</v>
      </c>
      <c r="G2989" t="b">
        <v>0</v>
      </c>
      <c r="H2989" t="b">
        <v>0</v>
      </c>
      <c r="I2989" t="s">
        <v>1050</v>
      </c>
      <c r="J2989">
        <v>88</v>
      </c>
      <c r="K2989" t="s">
        <v>0</v>
      </c>
      <c r="L2989" t="s">
        <v>1167</v>
      </c>
      <c r="M2989" t="s">
        <v>1168</v>
      </c>
      <c r="N2989" t="s">
        <v>1169</v>
      </c>
      <c r="O2989" t="s">
        <v>1168</v>
      </c>
      <c r="P2989" t="s">
        <v>1235</v>
      </c>
    </row>
    <row r="2990" spans="1:16" x14ac:dyDescent="0.25">
      <c r="A2990" t="s">
        <v>6079</v>
      </c>
      <c r="B2990" t="s">
        <v>6080</v>
      </c>
      <c r="C2990" t="s">
        <v>1233</v>
      </c>
      <c r="D2990" t="s">
        <v>1027</v>
      </c>
      <c r="E2990">
        <v>63762</v>
      </c>
      <c r="F2990" t="s">
        <v>1234</v>
      </c>
      <c r="G2990" t="b">
        <v>0</v>
      </c>
      <c r="H2990" t="b">
        <v>0</v>
      </c>
      <c r="I2990" t="s">
        <v>1050</v>
      </c>
      <c r="J2990">
        <v>88</v>
      </c>
      <c r="K2990" t="s">
        <v>0</v>
      </c>
      <c r="L2990" t="s">
        <v>1167</v>
      </c>
      <c r="M2990" t="s">
        <v>1168</v>
      </c>
      <c r="N2990" t="s">
        <v>1169</v>
      </c>
      <c r="O2990" t="s">
        <v>1168</v>
      </c>
      <c r="P2990" t="s">
        <v>1235</v>
      </c>
    </row>
    <row r="2991" spans="1:16" x14ac:dyDescent="0.25">
      <c r="A2991" t="s">
        <v>6081</v>
      </c>
      <c r="B2991" t="s">
        <v>6019</v>
      </c>
      <c r="C2991" t="s">
        <v>1233</v>
      </c>
      <c r="D2991" t="s">
        <v>1027</v>
      </c>
      <c r="E2991">
        <v>63762</v>
      </c>
      <c r="F2991" t="s">
        <v>1234</v>
      </c>
      <c r="G2991" t="b">
        <v>0</v>
      </c>
      <c r="H2991" t="b">
        <v>0</v>
      </c>
      <c r="I2991" t="s">
        <v>1050</v>
      </c>
      <c r="J2991">
        <v>88</v>
      </c>
      <c r="K2991" t="s">
        <v>0</v>
      </c>
      <c r="L2991" t="s">
        <v>1167</v>
      </c>
      <c r="M2991" t="s">
        <v>1168</v>
      </c>
      <c r="N2991" t="s">
        <v>1169</v>
      </c>
      <c r="O2991" t="s">
        <v>1168</v>
      </c>
      <c r="P2991" t="s">
        <v>1235</v>
      </c>
    </row>
    <row r="2992" spans="1:16" x14ac:dyDescent="0.25">
      <c r="A2992" t="s">
        <v>6082</v>
      </c>
      <c r="B2992" t="s">
        <v>6021</v>
      </c>
      <c r="C2992" t="s">
        <v>1233</v>
      </c>
      <c r="D2992" t="s">
        <v>1027</v>
      </c>
      <c r="E2992">
        <v>63762</v>
      </c>
      <c r="F2992" t="s">
        <v>1234</v>
      </c>
      <c r="G2992" t="b">
        <v>0</v>
      </c>
      <c r="H2992" t="b">
        <v>0</v>
      </c>
      <c r="I2992" t="s">
        <v>1050</v>
      </c>
      <c r="J2992">
        <v>88</v>
      </c>
      <c r="K2992" t="s">
        <v>0</v>
      </c>
      <c r="L2992" t="s">
        <v>1167</v>
      </c>
      <c r="M2992" t="s">
        <v>1168</v>
      </c>
      <c r="N2992" t="s">
        <v>1169</v>
      </c>
      <c r="O2992" t="s">
        <v>1168</v>
      </c>
      <c r="P2992" t="s">
        <v>1235</v>
      </c>
    </row>
    <row r="2993" spans="1:16" x14ac:dyDescent="0.25">
      <c r="A2993" t="s">
        <v>6083</v>
      </c>
      <c r="B2993" t="s">
        <v>6023</v>
      </c>
      <c r="C2993" t="s">
        <v>1233</v>
      </c>
      <c r="D2993" t="s">
        <v>1027</v>
      </c>
      <c r="E2993">
        <v>63762</v>
      </c>
      <c r="F2993" t="s">
        <v>1234</v>
      </c>
      <c r="G2993" t="b">
        <v>0</v>
      </c>
      <c r="H2993" t="b">
        <v>0</v>
      </c>
      <c r="I2993" t="s">
        <v>1050</v>
      </c>
      <c r="J2993">
        <v>88</v>
      </c>
      <c r="K2993" t="s">
        <v>0</v>
      </c>
      <c r="L2993" t="s">
        <v>1167</v>
      </c>
      <c r="M2993" t="s">
        <v>1168</v>
      </c>
      <c r="N2993" t="s">
        <v>1169</v>
      </c>
      <c r="O2993" t="s">
        <v>1168</v>
      </c>
      <c r="P2993" t="s">
        <v>1235</v>
      </c>
    </row>
    <row r="2994" spans="1:16" x14ac:dyDescent="0.25">
      <c r="A2994" t="s">
        <v>6084</v>
      </c>
      <c r="B2994" t="s">
        <v>6055</v>
      </c>
      <c r="C2994" t="s">
        <v>1233</v>
      </c>
      <c r="D2994" t="s">
        <v>1027</v>
      </c>
      <c r="E2994">
        <v>63762</v>
      </c>
      <c r="F2994" t="s">
        <v>1234</v>
      </c>
      <c r="G2994" t="b">
        <v>0</v>
      </c>
      <c r="H2994" t="b">
        <v>0</v>
      </c>
      <c r="I2994" t="s">
        <v>1050</v>
      </c>
      <c r="J2994">
        <v>88</v>
      </c>
      <c r="K2994" t="s">
        <v>0</v>
      </c>
      <c r="L2994" t="s">
        <v>1167</v>
      </c>
      <c r="M2994" t="s">
        <v>1168</v>
      </c>
      <c r="N2994" t="s">
        <v>1169</v>
      </c>
      <c r="O2994" t="s">
        <v>1168</v>
      </c>
      <c r="P2994" t="s">
        <v>1235</v>
      </c>
    </row>
    <row r="2995" spans="1:16" x14ac:dyDescent="0.25">
      <c r="A2995" t="s">
        <v>6085</v>
      </c>
      <c r="B2995" t="s">
        <v>6013</v>
      </c>
      <c r="C2995" t="s">
        <v>1233</v>
      </c>
      <c r="D2995" t="s">
        <v>1027</v>
      </c>
      <c r="E2995">
        <v>63762</v>
      </c>
      <c r="F2995" t="s">
        <v>1234</v>
      </c>
      <c r="G2995" t="b">
        <v>0</v>
      </c>
      <c r="H2995" t="b">
        <v>0</v>
      </c>
      <c r="I2995" t="s">
        <v>1050</v>
      </c>
      <c r="J2995">
        <v>88</v>
      </c>
      <c r="K2995" t="s">
        <v>0</v>
      </c>
      <c r="L2995" t="s">
        <v>1167</v>
      </c>
      <c r="M2995" t="s">
        <v>1168</v>
      </c>
      <c r="N2995" t="s">
        <v>1169</v>
      </c>
      <c r="O2995" t="s">
        <v>1168</v>
      </c>
      <c r="P2995" t="s">
        <v>1235</v>
      </c>
    </row>
    <row r="2996" spans="1:16" x14ac:dyDescent="0.25">
      <c r="A2996" t="s">
        <v>6086</v>
      </c>
      <c r="B2996" t="s">
        <v>6058</v>
      </c>
      <c r="C2996" t="s">
        <v>1233</v>
      </c>
      <c r="D2996" t="s">
        <v>1027</v>
      </c>
      <c r="E2996">
        <v>63762</v>
      </c>
      <c r="F2996" t="s">
        <v>1234</v>
      </c>
      <c r="G2996" t="b">
        <v>0</v>
      </c>
      <c r="H2996" t="b">
        <v>0</v>
      </c>
      <c r="I2996" t="s">
        <v>1050</v>
      </c>
      <c r="J2996">
        <v>88</v>
      </c>
      <c r="K2996" t="s">
        <v>0</v>
      </c>
      <c r="L2996" t="s">
        <v>1167</v>
      </c>
      <c r="M2996" t="s">
        <v>1168</v>
      </c>
      <c r="N2996" t="s">
        <v>1169</v>
      </c>
      <c r="O2996" t="s">
        <v>1168</v>
      </c>
      <c r="P2996" t="s">
        <v>1235</v>
      </c>
    </row>
    <row r="2997" spans="1:16" x14ac:dyDescent="0.25">
      <c r="A2997" t="s">
        <v>6087</v>
      </c>
      <c r="B2997" t="s">
        <v>6060</v>
      </c>
      <c r="C2997" t="s">
        <v>1233</v>
      </c>
      <c r="D2997" t="s">
        <v>1027</v>
      </c>
      <c r="E2997">
        <v>63762</v>
      </c>
      <c r="F2997" t="s">
        <v>1234</v>
      </c>
      <c r="G2997" t="b">
        <v>0</v>
      </c>
      <c r="H2997" t="b">
        <v>0</v>
      </c>
      <c r="I2997" t="s">
        <v>1050</v>
      </c>
      <c r="J2997">
        <v>88</v>
      </c>
      <c r="K2997" t="s">
        <v>0</v>
      </c>
      <c r="L2997" t="s">
        <v>1167</v>
      </c>
      <c r="M2997" t="s">
        <v>1168</v>
      </c>
      <c r="N2997" t="s">
        <v>1169</v>
      </c>
      <c r="O2997" t="s">
        <v>1168</v>
      </c>
      <c r="P2997" t="s">
        <v>1235</v>
      </c>
    </row>
    <row r="2998" spans="1:16" x14ac:dyDescent="0.25">
      <c r="A2998" t="s">
        <v>6088</v>
      </c>
      <c r="B2998" t="s">
        <v>6062</v>
      </c>
      <c r="C2998" t="s">
        <v>1233</v>
      </c>
      <c r="D2998" t="s">
        <v>1027</v>
      </c>
      <c r="E2998">
        <v>63762</v>
      </c>
      <c r="F2998" t="s">
        <v>1234</v>
      </c>
      <c r="G2998" t="b">
        <v>0</v>
      </c>
      <c r="H2998" t="b">
        <v>0</v>
      </c>
      <c r="I2998" t="s">
        <v>1050</v>
      </c>
      <c r="J2998">
        <v>88</v>
      </c>
      <c r="K2998" t="s">
        <v>0</v>
      </c>
      <c r="L2998" t="s">
        <v>1167</v>
      </c>
      <c r="M2998" t="s">
        <v>1168</v>
      </c>
      <c r="N2998" t="s">
        <v>1169</v>
      </c>
      <c r="O2998" t="s">
        <v>1168</v>
      </c>
      <c r="P2998" t="s">
        <v>1235</v>
      </c>
    </row>
    <row r="2999" spans="1:16" x14ac:dyDescent="0.25">
      <c r="A2999" t="s">
        <v>6089</v>
      </c>
      <c r="B2999" t="s">
        <v>6064</v>
      </c>
      <c r="C2999" t="s">
        <v>1233</v>
      </c>
      <c r="D2999" t="s">
        <v>1027</v>
      </c>
      <c r="E2999">
        <v>63762</v>
      </c>
      <c r="F2999" t="s">
        <v>1234</v>
      </c>
      <c r="G2999" t="b">
        <v>0</v>
      </c>
      <c r="H2999" t="b">
        <v>0</v>
      </c>
      <c r="I2999" t="s">
        <v>1050</v>
      </c>
      <c r="J2999">
        <v>88</v>
      </c>
      <c r="K2999" t="s">
        <v>0</v>
      </c>
      <c r="L2999" t="s">
        <v>1167</v>
      </c>
      <c r="M2999" t="s">
        <v>1168</v>
      </c>
      <c r="N2999" t="s">
        <v>1169</v>
      </c>
      <c r="O2999" t="s">
        <v>1168</v>
      </c>
      <c r="P2999" t="s">
        <v>1235</v>
      </c>
    </row>
    <row r="3000" spans="1:16" x14ac:dyDescent="0.25">
      <c r="A3000" t="s">
        <v>6090</v>
      </c>
      <c r="B3000" t="s">
        <v>6066</v>
      </c>
      <c r="C3000" t="s">
        <v>1233</v>
      </c>
      <c r="D3000" t="s">
        <v>1027</v>
      </c>
      <c r="E3000">
        <v>63762</v>
      </c>
      <c r="F3000" t="s">
        <v>1234</v>
      </c>
      <c r="G3000" t="b">
        <v>0</v>
      </c>
      <c r="H3000" t="b">
        <v>0</v>
      </c>
      <c r="I3000" t="s">
        <v>1050</v>
      </c>
      <c r="J3000">
        <v>88</v>
      </c>
      <c r="K3000" t="s">
        <v>0</v>
      </c>
      <c r="L3000" t="s">
        <v>1167</v>
      </c>
      <c r="M3000" t="s">
        <v>1168</v>
      </c>
      <c r="N3000" t="s">
        <v>1169</v>
      </c>
      <c r="O3000" t="s">
        <v>1168</v>
      </c>
      <c r="P3000" t="s">
        <v>1235</v>
      </c>
    </row>
    <row r="3001" spans="1:16" x14ac:dyDescent="0.25">
      <c r="A3001" t="s">
        <v>6091</v>
      </c>
      <c r="B3001" t="s">
        <v>6068</v>
      </c>
      <c r="C3001" t="s">
        <v>1233</v>
      </c>
      <c r="D3001" t="s">
        <v>1027</v>
      </c>
      <c r="E3001">
        <v>63762</v>
      </c>
      <c r="F3001" t="s">
        <v>1234</v>
      </c>
      <c r="G3001" t="b">
        <v>0</v>
      </c>
      <c r="H3001" t="b">
        <v>0</v>
      </c>
      <c r="I3001" t="s">
        <v>1050</v>
      </c>
      <c r="J3001">
        <v>88</v>
      </c>
      <c r="K3001" t="s">
        <v>0</v>
      </c>
      <c r="L3001" t="s">
        <v>1167</v>
      </c>
      <c r="M3001" t="s">
        <v>1168</v>
      </c>
      <c r="N3001" t="s">
        <v>1169</v>
      </c>
      <c r="O3001" t="s">
        <v>1168</v>
      </c>
      <c r="P3001" t="s">
        <v>1235</v>
      </c>
    </row>
    <row r="3002" spans="1:16" x14ac:dyDescent="0.25">
      <c r="A3002" t="s">
        <v>6092</v>
      </c>
      <c r="B3002" t="s">
        <v>6070</v>
      </c>
      <c r="C3002" t="s">
        <v>1233</v>
      </c>
      <c r="D3002" t="s">
        <v>1027</v>
      </c>
      <c r="E3002">
        <v>63762</v>
      </c>
      <c r="F3002" t="s">
        <v>1234</v>
      </c>
      <c r="G3002" t="b">
        <v>0</v>
      </c>
      <c r="H3002" t="b">
        <v>0</v>
      </c>
      <c r="I3002" t="s">
        <v>1050</v>
      </c>
      <c r="J3002">
        <v>88</v>
      </c>
      <c r="K3002" t="s">
        <v>0</v>
      </c>
      <c r="L3002" t="s">
        <v>1167</v>
      </c>
      <c r="M3002" t="s">
        <v>1168</v>
      </c>
      <c r="N3002" t="s">
        <v>1169</v>
      </c>
      <c r="O3002" t="s">
        <v>1168</v>
      </c>
      <c r="P3002" t="s">
        <v>1235</v>
      </c>
    </row>
    <row r="3003" spans="1:16" x14ac:dyDescent="0.25">
      <c r="A3003" t="s">
        <v>6093</v>
      </c>
      <c r="B3003" t="s">
        <v>6072</v>
      </c>
      <c r="C3003" t="s">
        <v>1233</v>
      </c>
      <c r="D3003" t="s">
        <v>1027</v>
      </c>
      <c r="E3003">
        <v>63762</v>
      </c>
      <c r="F3003" t="s">
        <v>1234</v>
      </c>
      <c r="G3003" t="b">
        <v>0</v>
      </c>
      <c r="H3003" t="b">
        <v>0</v>
      </c>
      <c r="I3003" t="s">
        <v>1050</v>
      </c>
      <c r="J3003">
        <v>88</v>
      </c>
      <c r="K3003" t="s">
        <v>0</v>
      </c>
      <c r="L3003" t="s">
        <v>1167</v>
      </c>
      <c r="M3003" t="s">
        <v>1168</v>
      </c>
      <c r="N3003" t="s">
        <v>1169</v>
      </c>
      <c r="O3003" t="s">
        <v>1168</v>
      </c>
      <c r="P3003" t="s">
        <v>1235</v>
      </c>
    </row>
    <row r="3004" spans="1:16" x14ac:dyDescent="0.25">
      <c r="A3004" t="s">
        <v>6094</v>
      </c>
      <c r="B3004" t="s">
        <v>6074</v>
      </c>
      <c r="C3004" t="s">
        <v>1233</v>
      </c>
      <c r="D3004" t="s">
        <v>1027</v>
      </c>
      <c r="E3004">
        <v>63762</v>
      </c>
      <c r="F3004" t="s">
        <v>1234</v>
      </c>
      <c r="G3004" t="b">
        <v>0</v>
      </c>
      <c r="H3004" t="b">
        <v>0</v>
      </c>
      <c r="I3004" t="s">
        <v>1050</v>
      </c>
      <c r="J3004">
        <v>88</v>
      </c>
      <c r="K3004" t="s">
        <v>0</v>
      </c>
      <c r="L3004" t="s">
        <v>1167</v>
      </c>
      <c r="M3004" t="s">
        <v>1168</v>
      </c>
      <c r="N3004" t="s">
        <v>1169</v>
      </c>
      <c r="O3004" t="s">
        <v>1168</v>
      </c>
      <c r="P3004" t="s">
        <v>1235</v>
      </c>
    </row>
    <row r="3005" spans="1:16" x14ac:dyDescent="0.25">
      <c r="A3005" t="s">
        <v>6095</v>
      </c>
      <c r="B3005" t="s">
        <v>6076</v>
      </c>
      <c r="C3005" t="s">
        <v>1233</v>
      </c>
      <c r="D3005" t="s">
        <v>1027</v>
      </c>
      <c r="E3005">
        <v>63762</v>
      </c>
      <c r="F3005" t="s">
        <v>1234</v>
      </c>
      <c r="G3005" t="b">
        <v>0</v>
      </c>
      <c r="H3005" t="b">
        <v>0</v>
      </c>
      <c r="I3005" t="s">
        <v>1050</v>
      </c>
      <c r="J3005">
        <v>88</v>
      </c>
      <c r="K3005" t="s">
        <v>0</v>
      </c>
      <c r="L3005" t="s">
        <v>1167</v>
      </c>
      <c r="M3005" t="s">
        <v>1168</v>
      </c>
      <c r="N3005" t="s">
        <v>1169</v>
      </c>
      <c r="O3005" t="s">
        <v>1168</v>
      </c>
      <c r="P3005" t="s">
        <v>1235</v>
      </c>
    </row>
    <row r="3006" spans="1:16" x14ac:dyDescent="0.25">
      <c r="A3006" t="s">
        <v>6096</v>
      </c>
      <c r="B3006" t="s">
        <v>6078</v>
      </c>
      <c r="C3006" t="s">
        <v>1233</v>
      </c>
      <c r="D3006" t="s">
        <v>1027</v>
      </c>
      <c r="E3006">
        <v>63762</v>
      </c>
      <c r="F3006" t="s">
        <v>1234</v>
      </c>
      <c r="G3006" t="b">
        <v>0</v>
      </c>
      <c r="H3006" t="b">
        <v>0</v>
      </c>
      <c r="I3006" t="s">
        <v>1050</v>
      </c>
      <c r="J3006">
        <v>88</v>
      </c>
      <c r="K3006" t="s">
        <v>0</v>
      </c>
      <c r="L3006" t="s">
        <v>1167</v>
      </c>
      <c r="M3006" t="s">
        <v>1168</v>
      </c>
      <c r="N3006" t="s">
        <v>1169</v>
      </c>
      <c r="O3006" t="s">
        <v>1168</v>
      </c>
      <c r="P3006" t="s">
        <v>1235</v>
      </c>
    </row>
    <row r="3007" spans="1:16" x14ac:dyDescent="0.25">
      <c r="A3007" t="s">
        <v>6097</v>
      </c>
      <c r="B3007" t="s">
        <v>6080</v>
      </c>
      <c r="C3007" t="s">
        <v>1233</v>
      </c>
      <c r="D3007" t="s">
        <v>1027</v>
      </c>
      <c r="E3007">
        <v>63762</v>
      </c>
      <c r="F3007" t="s">
        <v>1234</v>
      </c>
      <c r="G3007" t="b">
        <v>0</v>
      </c>
      <c r="H3007" t="b">
        <v>0</v>
      </c>
      <c r="I3007" t="s">
        <v>1050</v>
      </c>
      <c r="J3007">
        <v>88</v>
      </c>
      <c r="K3007" t="s">
        <v>0</v>
      </c>
      <c r="L3007" t="s">
        <v>1167</v>
      </c>
      <c r="M3007" t="s">
        <v>1168</v>
      </c>
      <c r="N3007" t="s">
        <v>1169</v>
      </c>
      <c r="O3007" t="s">
        <v>1168</v>
      </c>
      <c r="P3007" t="s">
        <v>1235</v>
      </c>
    </row>
    <row r="3008" spans="1:16" x14ac:dyDescent="0.25">
      <c r="A3008" t="s">
        <v>6098</v>
      </c>
      <c r="B3008" t="s">
        <v>6019</v>
      </c>
      <c r="C3008" t="s">
        <v>1233</v>
      </c>
      <c r="D3008" t="s">
        <v>1027</v>
      </c>
      <c r="E3008">
        <v>63762</v>
      </c>
      <c r="F3008" t="s">
        <v>1234</v>
      </c>
      <c r="G3008" t="b">
        <v>0</v>
      </c>
      <c r="H3008" t="b">
        <v>0</v>
      </c>
      <c r="I3008" t="s">
        <v>1050</v>
      </c>
      <c r="J3008">
        <v>88</v>
      </c>
      <c r="K3008" t="s">
        <v>0</v>
      </c>
      <c r="L3008" t="s">
        <v>1167</v>
      </c>
      <c r="M3008" t="s">
        <v>1168</v>
      </c>
      <c r="N3008" t="s">
        <v>1169</v>
      </c>
      <c r="O3008" t="s">
        <v>1168</v>
      </c>
      <c r="P3008" t="s">
        <v>1235</v>
      </c>
    </row>
    <row r="3009" spans="1:16" x14ac:dyDescent="0.25">
      <c r="A3009" t="s">
        <v>6099</v>
      </c>
      <c r="B3009" t="s">
        <v>6021</v>
      </c>
      <c r="C3009" t="s">
        <v>1233</v>
      </c>
      <c r="D3009" t="s">
        <v>1027</v>
      </c>
      <c r="E3009">
        <v>63762</v>
      </c>
      <c r="F3009" t="s">
        <v>1234</v>
      </c>
      <c r="G3009" t="b">
        <v>0</v>
      </c>
      <c r="H3009" t="b">
        <v>0</v>
      </c>
      <c r="I3009" t="s">
        <v>1050</v>
      </c>
      <c r="J3009">
        <v>88</v>
      </c>
      <c r="K3009" t="s">
        <v>0</v>
      </c>
      <c r="L3009" t="s">
        <v>1167</v>
      </c>
      <c r="M3009" t="s">
        <v>1168</v>
      </c>
      <c r="N3009" t="s">
        <v>1169</v>
      </c>
      <c r="O3009" t="s">
        <v>1168</v>
      </c>
      <c r="P3009" t="s">
        <v>1235</v>
      </c>
    </row>
    <row r="3010" spans="1:16" x14ac:dyDescent="0.25">
      <c r="A3010" t="s">
        <v>6100</v>
      </c>
      <c r="B3010" t="s">
        <v>6023</v>
      </c>
      <c r="C3010" t="s">
        <v>1233</v>
      </c>
      <c r="D3010" t="s">
        <v>1027</v>
      </c>
      <c r="E3010">
        <v>63762</v>
      </c>
      <c r="F3010" t="s">
        <v>1234</v>
      </c>
      <c r="G3010" t="b">
        <v>0</v>
      </c>
      <c r="H3010" t="b">
        <v>0</v>
      </c>
      <c r="I3010" t="s">
        <v>1050</v>
      </c>
      <c r="J3010">
        <v>88</v>
      </c>
      <c r="K3010" t="s">
        <v>0</v>
      </c>
      <c r="L3010" t="s">
        <v>1167</v>
      </c>
      <c r="M3010" t="s">
        <v>1168</v>
      </c>
      <c r="N3010" t="s">
        <v>1169</v>
      </c>
      <c r="O3010" t="s">
        <v>1168</v>
      </c>
      <c r="P3010" t="s">
        <v>1235</v>
      </c>
    </row>
    <row r="3011" spans="1:16" x14ac:dyDescent="0.25">
      <c r="A3011" t="s">
        <v>6101</v>
      </c>
      <c r="B3011" t="s">
        <v>6055</v>
      </c>
      <c r="C3011" t="s">
        <v>1233</v>
      </c>
      <c r="D3011" t="s">
        <v>1027</v>
      </c>
      <c r="E3011">
        <v>63762</v>
      </c>
      <c r="F3011" t="s">
        <v>1234</v>
      </c>
      <c r="G3011" t="b">
        <v>0</v>
      </c>
      <c r="H3011" t="b">
        <v>0</v>
      </c>
      <c r="I3011" t="s">
        <v>1050</v>
      </c>
      <c r="J3011">
        <v>88</v>
      </c>
      <c r="K3011" t="s">
        <v>0</v>
      </c>
      <c r="L3011" t="s">
        <v>1167</v>
      </c>
      <c r="M3011" t="s">
        <v>1168</v>
      </c>
      <c r="N3011" t="s">
        <v>1169</v>
      </c>
      <c r="O3011" t="s">
        <v>1168</v>
      </c>
      <c r="P3011" t="s">
        <v>1235</v>
      </c>
    </row>
    <row r="3012" spans="1:16" x14ac:dyDescent="0.25">
      <c r="A3012" t="s">
        <v>6102</v>
      </c>
      <c r="B3012" t="s">
        <v>6013</v>
      </c>
      <c r="C3012" t="s">
        <v>1233</v>
      </c>
      <c r="D3012" t="s">
        <v>1027</v>
      </c>
      <c r="E3012">
        <v>63762</v>
      </c>
      <c r="F3012" t="s">
        <v>1234</v>
      </c>
      <c r="G3012" t="b">
        <v>0</v>
      </c>
      <c r="H3012" t="b">
        <v>0</v>
      </c>
      <c r="I3012" t="s">
        <v>1050</v>
      </c>
      <c r="J3012">
        <v>88</v>
      </c>
      <c r="K3012" t="s">
        <v>0</v>
      </c>
      <c r="L3012" t="s">
        <v>1167</v>
      </c>
      <c r="M3012" t="s">
        <v>1168</v>
      </c>
      <c r="N3012" t="s">
        <v>1169</v>
      </c>
      <c r="O3012" t="s">
        <v>1168</v>
      </c>
      <c r="P3012" t="s">
        <v>1235</v>
      </c>
    </row>
    <row r="3013" spans="1:16" x14ac:dyDescent="0.25">
      <c r="A3013" t="s">
        <v>6103</v>
      </c>
      <c r="B3013" t="s">
        <v>6015</v>
      </c>
      <c r="C3013" t="s">
        <v>1233</v>
      </c>
      <c r="D3013" t="s">
        <v>1027</v>
      </c>
      <c r="E3013">
        <v>63762</v>
      </c>
      <c r="F3013" t="s">
        <v>1234</v>
      </c>
      <c r="G3013" t="b">
        <v>0</v>
      </c>
      <c r="H3013" t="b">
        <v>0</v>
      </c>
      <c r="I3013" t="s">
        <v>1050</v>
      </c>
      <c r="J3013">
        <v>88</v>
      </c>
      <c r="K3013" t="s">
        <v>0</v>
      </c>
      <c r="L3013" t="s">
        <v>1167</v>
      </c>
      <c r="M3013" t="s">
        <v>1168</v>
      </c>
      <c r="N3013" t="s">
        <v>1169</v>
      </c>
      <c r="O3013" t="s">
        <v>1168</v>
      </c>
      <c r="P3013" t="s">
        <v>1235</v>
      </c>
    </row>
    <row r="3014" spans="1:16" x14ac:dyDescent="0.25">
      <c r="A3014" t="s">
        <v>6104</v>
      </c>
      <c r="B3014" t="s">
        <v>6017</v>
      </c>
      <c r="C3014" t="s">
        <v>1233</v>
      </c>
      <c r="D3014" t="s">
        <v>1027</v>
      </c>
      <c r="E3014">
        <v>63762</v>
      </c>
      <c r="F3014" t="s">
        <v>1234</v>
      </c>
      <c r="G3014" t="b">
        <v>0</v>
      </c>
      <c r="H3014" t="b">
        <v>0</v>
      </c>
      <c r="I3014" t="s">
        <v>1050</v>
      </c>
      <c r="J3014">
        <v>88</v>
      </c>
      <c r="K3014" t="s">
        <v>0</v>
      </c>
      <c r="L3014" t="s">
        <v>1167</v>
      </c>
      <c r="M3014" t="s">
        <v>1168</v>
      </c>
      <c r="N3014" t="s">
        <v>1169</v>
      </c>
      <c r="O3014" t="s">
        <v>1168</v>
      </c>
      <c r="P3014" t="s">
        <v>1235</v>
      </c>
    </row>
    <row r="3015" spans="1:16" x14ac:dyDescent="0.25">
      <c r="A3015" t="s">
        <v>6105</v>
      </c>
      <c r="B3015" t="s">
        <v>6106</v>
      </c>
      <c r="C3015" t="s">
        <v>1233</v>
      </c>
      <c r="D3015" t="s">
        <v>1027</v>
      </c>
      <c r="E3015">
        <v>63762</v>
      </c>
      <c r="F3015" t="s">
        <v>1234</v>
      </c>
      <c r="G3015" t="b">
        <v>0</v>
      </c>
      <c r="H3015" t="b">
        <v>0</v>
      </c>
      <c r="I3015" t="s">
        <v>1050</v>
      </c>
      <c r="J3015">
        <v>88</v>
      </c>
      <c r="K3015" t="s">
        <v>0</v>
      </c>
      <c r="L3015" t="s">
        <v>1167</v>
      </c>
      <c r="M3015" t="s">
        <v>1168</v>
      </c>
      <c r="N3015" t="s">
        <v>1169</v>
      </c>
      <c r="O3015" t="s">
        <v>1168</v>
      </c>
      <c r="P3015" t="s">
        <v>1235</v>
      </c>
    </row>
    <row r="3016" spans="1:16" x14ac:dyDescent="0.25">
      <c r="A3016" t="s">
        <v>6107</v>
      </c>
      <c r="B3016" t="s">
        <v>6108</v>
      </c>
      <c r="C3016" t="s">
        <v>1233</v>
      </c>
      <c r="D3016" t="s">
        <v>1027</v>
      </c>
      <c r="E3016">
        <v>63762</v>
      </c>
      <c r="F3016" t="s">
        <v>1234</v>
      </c>
      <c r="G3016" t="b">
        <v>0</v>
      </c>
      <c r="H3016" t="b">
        <v>0</v>
      </c>
      <c r="I3016" t="s">
        <v>1050</v>
      </c>
      <c r="J3016">
        <v>88</v>
      </c>
      <c r="K3016" t="s">
        <v>0</v>
      </c>
      <c r="L3016" t="s">
        <v>1167</v>
      </c>
      <c r="M3016" t="s">
        <v>1168</v>
      </c>
      <c r="N3016" t="s">
        <v>1169</v>
      </c>
      <c r="O3016" t="s">
        <v>1168</v>
      </c>
      <c r="P3016" t="s">
        <v>1235</v>
      </c>
    </row>
    <row r="3017" spans="1:16" x14ac:dyDescent="0.25">
      <c r="A3017" t="s">
        <v>6109</v>
      </c>
      <c r="B3017" t="s">
        <v>6110</v>
      </c>
      <c r="C3017" t="s">
        <v>1233</v>
      </c>
      <c r="D3017" t="s">
        <v>1027</v>
      </c>
      <c r="E3017">
        <v>63762</v>
      </c>
      <c r="F3017" t="s">
        <v>1234</v>
      </c>
      <c r="G3017" t="b">
        <v>0</v>
      </c>
      <c r="H3017" t="b">
        <v>0</v>
      </c>
      <c r="I3017" t="s">
        <v>1050</v>
      </c>
      <c r="J3017">
        <v>88</v>
      </c>
      <c r="K3017" t="s">
        <v>0</v>
      </c>
      <c r="L3017" t="s">
        <v>1167</v>
      </c>
      <c r="M3017" t="s">
        <v>1168</v>
      </c>
      <c r="N3017" t="s">
        <v>1169</v>
      </c>
      <c r="O3017" t="s">
        <v>1168</v>
      </c>
      <c r="P3017" t="s">
        <v>1235</v>
      </c>
    </row>
    <row r="3018" spans="1:16" x14ac:dyDescent="0.25">
      <c r="A3018" t="s">
        <v>6111</v>
      </c>
      <c r="B3018" t="s">
        <v>6112</v>
      </c>
      <c r="C3018" t="s">
        <v>1233</v>
      </c>
      <c r="D3018" t="s">
        <v>1027</v>
      </c>
      <c r="E3018">
        <v>63762</v>
      </c>
      <c r="F3018" t="s">
        <v>1234</v>
      </c>
      <c r="G3018" t="b">
        <v>0</v>
      </c>
      <c r="H3018" t="b">
        <v>0</v>
      </c>
      <c r="I3018" t="s">
        <v>1050</v>
      </c>
      <c r="J3018">
        <v>88</v>
      </c>
      <c r="K3018" t="s">
        <v>0</v>
      </c>
      <c r="L3018" t="s">
        <v>1167</v>
      </c>
      <c r="M3018" t="s">
        <v>1168</v>
      </c>
      <c r="N3018" t="s">
        <v>1169</v>
      </c>
      <c r="O3018" t="s">
        <v>1168</v>
      </c>
      <c r="P3018" t="s">
        <v>1235</v>
      </c>
    </row>
    <row r="3019" spans="1:16" x14ac:dyDescent="0.25">
      <c r="A3019" t="s">
        <v>6113</v>
      </c>
      <c r="B3019" t="s">
        <v>6114</v>
      </c>
      <c r="C3019" t="s">
        <v>1233</v>
      </c>
      <c r="D3019" t="s">
        <v>1027</v>
      </c>
      <c r="E3019">
        <v>63762</v>
      </c>
      <c r="F3019" t="s">
        <v>1234</v>
      </c>
      <c r="G3019" t="b">
        <v>0</v>
      </c>
      <c r="H3019" t="b">
        <v>0</v>
      </c>
      <c r="I3019" t="s">
        <v>1050</v>
      </c>
      <c r="J3019">
        <v>88</v>
      </c>
      <c r="K3019" t="s">
        <v>0</v>
      </c>
      <c r="L3019" t="s">
        <v>1167</v>
      </c>
      <c r="M3019" t="s">
        <v>1168</v>
      </c>
      <c r="N3019" t="s">
        <v>1169</v>
      </c>
      <c r="O3019" t="s">
        <v>1168</v>
      </c>
      <c r="P3019" t="s">
        <v>1235</v>
      </c>
    </row>
    <row r="3020" spans="1:16" x14ac:dyDescent="0.25">
      <c r="A3020" t="s">
        <v>6115</v>
      </c>
      <c r="B3020" t="s">
        <v>6116</v>
      </c>
      <c r="C3020" t="s">
        <v>1233</v>
      </c>
      <c r="D3020" t="s">
        <v>1027</v>
      </c>
      <c r="E3020">
        <v>63762</v>
      </c>
      <c r="F3020" t="s">
        <v>1234</v>
      </c>
      <c r="G3020" t="b">
        <v>0</v>
      </c>
      <c r="H3020" t="b">
        <v>0</v>
      </c>
      <c r="I3020" t="s">
        <v>1050</v>
      </c>
      <c r="J3020">
        <v>88</v>
      </c>
      <c r="K3020" t="s">
        <v>0</v>
      </c>
      <c r="L3020" t="s">
        <v>1167</v>
      </c>
      <c r="M3020" t="s">
        <v>1168</v>
      </c>
      <c r="N3020" t="s">
        <v>1169</v>
      </c>
      <c r="O3020" t="s">
        <v>1168</v>
      </c>
      <c r="P3020" t="s">
        <v>1235</v>
      </c>
    </row>
    <row r="3021" spans="1:16" x14ac:dyDescent="0.25">
      <c r="A3021" t="s">
        <v>6117</v>
      </c>
      <c r="B3021" t="s">
        <v>6062</v>
      </c>
      <c r="C3021" t="s">
        <v>1233</v>
      </c>
      <c r="D3021" t="s">
        <v>1027</v>
      </c>
      <c r="E3021">
        <v>63762</v>
      </c>
      <c r="F3021" t="s">
        <v>1234</v>
      </c>
      <c r="G3021" t="b">
        <v>0</v>
      </c>
      <c r="H3021" t="b">
        <v>0</v>
      </c>
      <c r="I3021" t="s">
        <v>1050</v>
      </c>
      <c r="J3021">
        <v>88</v>
      </c>
      <c r="K3021" t="s">
        <v>0</v>
      </c>
      <c r="L3021" t="s">
        <v>1167</v>
      </c>
      <c r="M3021" t="s">
        <v>1168</v>
      </c>
      <c r="N3021" t="s">
        <v>1169</v>
      </c>
      <c r="O3021" t="s">
        <v>1168</v>
      </c>
      <c r="P3021" t="s">
        <v>1235</v>
      </c>
    </row>
    <row r="3022" spans="1:16" x14ac:dyDescent="0.25">
      <c r="A3022" t="s">
        <v>6118</v>
      </c>
      <c r="B3022" t="s">
        <v>6074</v>
      </c>
      <c r="C3022" t="s">
        <v>1233</v>
      </c>
      <c r="D3022" t="s">
        <v>1027</v>
      </c>
      <c r="E3022">
        <v>63762</v>
      </c>
      <c r="F3022" t="s">
        <v>1234</v>
      </c>
      <c r="G3022" t="b">
        <v>0</v>
      </c>
      <c r="H3022" t="b">
        <v>0</v>
      </c>
      <c r="I3022" t="s">
        <v>1050</v>
      </c>
      <c r="J3022">
        <v>88</v>
      </c>
      <c r="K3022" t="s">
        <v>0</v>
      </c>
      <c r="L3022" t="s">
        <v>1167</v>
      </c>
      <c r="M3022" t="s">
        <v>1168</v>
      </c>
      <c r="N3022" t="s">
        <v>1169</v>
      </c>
      <c r="O3022" t="s">
        <v>1168</v>
      </c>
      <c r="P3022" t="s">
        <v>1235</v>
      </c>
    </row>
    <row r="3023" spans="1:16" x14ac:dyDescent="0.25">
      <c r="A3023" t="s">
        <v>6119</v>
      </c>
      <c r="B3023" t="s">
        <v>6019</v>
      </c>
      <c r="C3023" t="s">
        <v>1233</v>
      </c>
      <c r="D3023" t="s">
        <v>1027</v>
      </c>
      <c r="E3023">
        <v>63762</v>
      </c>
      <c r="F3023" t="s">
        <v>1234</v>
      </c>
      <c r="G3023" t="b">
        <v>0</v>
      </c>
      <c r="H3023" t="b">
        <v>0</v>
      </c>
      <c r="I3023" t="s">
        <v>1050</v>
      </c>
      <c r="J3023">
        <v>88</v>
      </c>
      <c r="K3023" t="s">
        <v>0</v>
      </c>
      <c r="L3023" t="s">
        <v>1167</v>
      </c>
      <c r="M3023" t="s">
        <v>1168</v>
      </c>
      <c r="N3023" t="s">
        <v>1169</v>
      </c>
      <c r="O3023" t="s">
        <v>1168</v>
      </c>
      <c r="P3023" t="s">
        <v>1235</v>
      </c>
    </row>
    <row r="3024" spans="1:16" x14ac:dyDescent="0.25">
      <c r="A3024" t="s">
        <v>6120</v>
      </c>
      <c r="B3024" t="s">
        <v>6021</v>
      </c>
      <c r="C3024" t="s">
        <v>1233</v>
      </c>
      <c r="D3024" t="s">
        <v>1027</v>
      </c>
      <c r="E3024">
        <v>63762</v>
      </c>
      <c r="F3024" t="s">
        <v>1234</v>
      </c>
      <c r="G3024" t="b">
        <v>0</v>
      </c>
      <c r="H3024" t="b">
        <v>0</v>
      </c>
      <c r="I3024" t="s">
        <v>1050</v>
      </c>
      <c r="J3024">
        <v>88</v>
      </c>
      <c r="K3024" t="s">
        <v>0</v>
      </c>
      <c r="L3024" t="s">
        <v>1167</v>
      </c>
      <c r="M3024" t="s">
        <v>1168</v>
      </c>
      <c r="N3024" t="s">
        <v>1169</v>
      </c>
      <c r="O3024" t="s">
        <v>1168</v>
      </c>
      <c r="P3024" t="s">
        <v>1235</v>
      </c>
    </row>
    <row r="3025" spans="1:16" x14ac:dyDescent="0.25">
      <c r="A3025" t="s">
        <v>6121</v>
      </c>
      <c r="B3025" t="s">
        <v>6023</v>
      </c>
      <c r="C3025" t="s">
        <v>1233</v>
      </c>
      <c r="D3025" t="s">
        <v>1027</v>
      </c>
      <c r="E3025">
        <v>63762</v>
      </c>
      <c r="F3025" t="s">
        <v>1234</v>
      </c>
      <c r="G3025" t="b">
        <v>0</v>
      </c>
      <c r="H3025" t="b">
        <v>0</v>
      </c>
      <c r="I3025" t="s">
        <v>1050</v>
      </c>
      <c r="J3025">
        <v>88</v>
      </c>
      <c r="K3025" t="s">
        <v>0</v>
      </c>
      <c r="L3025" t="s">
        <v>1167</v>
      </c>
      <c r="M3025" t="s">
        <v>1168</v>
      </c>
      <c r="N3025" t="s">
        <v>1169</v>
      </c>
      <c r="O3025" t="s">
        <v>1168</v>
      </c>
      <c r="P3025" t="s">
        <v>1235</v>
      </c>
    </row>
    <row r="3026" spans="1:16" x14ac:dyDescent="0.25">
      <c r="A3026" t="s">
        <v>6122</v>
      </c>
      <c r="B3026" t="s">
        <v>6025</v>
      </c>
      <c r="C3026" t="s">
        <v>1233</v>
      </c>
      <c r="D3026" t="s">
        <v>1027</v>
      </c>
      <c r="E3026">
        <v>63762</v>
      </c>
      <c r="F3026" t="s">
        <v>1234</v>
      </c>
      <c r="G3026" t="b">
        <v>0</v>
      </c>
      <c r="H3026" t="b">
        <v>0</v>
      </c>
      <c r="I3026" t="s">
        <v>1050</v>
      </c>
      <c r="J3026">
        <v>88</v>
      </c>
      <c r="K3026" t="s">
        <v>0</v>
      </c>
      <c r="L3026" t="s">
        <v>1167</v>
      </c>
      <c r="M3026" t="s">
        <v>1168</v>
      </c>
      <c r="N3026" t="s">
        <v>1169</v>
      </c>
      <c r="O3026" t="s">
        <v>1168</v>
      </c>
      <c r="P3026" t="s">
        <v>1235</v>
      </c>
    </row>
    <row r="3027" spans="1:16" x14ac:dyDescent="0.25">
      <c r="A3027" t="s">
        <v>6123</v>
      </c>
      <c r="B3027" t="s">
        <v>6027</v>
      </c>
      <c r="C3027" t="s">
        <v>1233</v>
      </c>
      <c r="D3027" t="s">
        <v>1027</v>
      </c>
      <c r="E3027">
        <v>63762</v>
      </c>
      <c r="F3027" t="s">
        <v>1234</v>
      </c>
      <c r="G3027" t="b">
        <v>0</v>
      </c>
      <c r="H3027" t="b">
        <v>0</v>
      </c>
      <c r="I3027" t="s">
        <v>1050</v>
      </c>
      <c r="J3027">
        <v>88</v>
      </c>
      <c r="K3027" t="s">
        <v>0</v>
      </c>
      <c r="L3027" t="s">
        <v>1167</v>
      </c>
      <c r="M3027" t="s">
        <v>1168</v>
      </c>
      <c r="N3027" t="s">
        <v>1169</v>
      </c>
      <c r="O3027" t="s">
        <v>1168</v>
      </c>
      <c r="P3027" t="s">
        <v>1235</v>
      </c>
    </row>
    <row r="3028" spans="1:16" x14ac:dyDescent="0.25">
      <c r="A3028" t="s">
        <v>6124</v>
      </c>
      <c r="B3028" t="s">
        <v>6029</v>
      </c>
      <c r="C3028" t="s">
        <v>1233</v>
      </c>
      <c r="D3028" t="s">
        <v>1027</v>
      </c>
      <c r="E3028">
        <v>63762</v>
      </c>
      <c r="F3028" t="s">
        <v>1234</v>
      </c>
      <c r="G3028" t="b">
        <v>0</v>
      </c>
      <c r="H3028" t="b">
        <v>0</v>
      </c>
      <c r="I3028" t="s">
        <v>1050</v>
      </c>
      <c r="J3028">
        <v>88</v>
      </c>
      <c r="K3028" t="s">
        <v>0</v>
      </c>
      <c r="L3028" t="s">
        <v>1167</v>
      </c>
      <c r="M3028" t="s">
        <v>1168</v>
      </c>
      <c r="N3028" t="s">
        <v>1169</v>
      </c>
      <c r="O3028" t="s">
        <v>1168</v>
      </c>
      <c r="P3028" t="s">
        <v>1235</v>
      </c>
    </row>
    <row r="3029" spans="1:16" x14ac:dyDescent="0.25">
      <c r="A3029" t="s">
        <v>6125</v>
      </c>
      <c r="B3029" t="s">
        <v>6031</v>
      </c>
      <c r="C3029" t="s">
        <v>1233</v>
      </c>
      <c r="D3029" t="s">
        <v>1027</v>
      </c>
      <c r="E3029">
        <v>63762</v>
      </c>
      <c r="F3029" t="s">
        <v>1234</v>
      </c>
      <c r="G3029" t="b">
        <v>0</v>
      </c>
      <c r="H3029" t="b">
        <v>0</v>
      </c>
      <c r="I3029" t="s">
        <v>1050</v>
      </c>
      <c r="J3029">
        <v>88</v>
      </c>
      <c r="K3029" t="s">
        <v>0</v>
      </c>
      <c r="L3029" t="s">
        <v>1167</v>
      </c>
      <c r="M3029" t="s">
        <v>1168</v>
      </c>
      <c r="N3029" t="s">
        <v>1169</v>
      </c>
      <c r="O3029" t="s">
        <v>1168</v>
      </c>
      <c r="P3029" t="s">
        <v>1235</v>
      </c>
    </row>
    <row r="3030" spans="1:16" x14ac:dyDescent="0.25">
      <c r="A3030" t="s">
        <v>6126</v>
      </c>
      <c r="B3030" t="s">
        <v>6035</v>
      </c>
      <c r="C3030" t="s">
        <v>1233</v>
      </c>
      <c r="D3030" t="s">
        <v>1027</v>
      </c>
      <c r="E3030">
        <v>63762</v>
      </c>
      <c r="F3030" t="s">
        <v>1234</v>
      </c>
      <c r="G3030" t="b">
        <v>0</v>
      </c>
      <c r="H3030" t="b">
        <v>0</v>
      </c>
      <c r="I3030" t="s">
        <v>1050</v>
      </c>
      <c r="J3030">
        <v>88</v>
      </c>
      <c r="K3030" t="s">
        <v>0</v>
      </c>
      <c r="L3030" t="s">
        <v>1167</v>
      </c>
      <c r="M3030" t="s">
        <v>1168</v>
      </c>
      <c r="N3030" t="s">
        <v>1169</v>
      </c>
      <c r="O3030" t="s">
        <v>1168</v>
      </c>
      <c r="P3030" t="s">
        <v>1235</v>
      </c>
    </row>
    <row r="3031" spans="1:16" x14ac:dyDescent="0.25">
      <c r="A3031" t="s">
        <v>6127</v>
      </c>
      <c r="B3031" t="s">
        <v>6037</v>
      </c>
      <c r="C3031" t="s">
        <v>1233</v>
      </c>
      <c r="D3031" t="s">
        <v>1027</v>
      </c>
      <c r="E3031">
        <v>63762</v>
      </c>
      <c r="F3031" t="s">
        <v>1234</v>
      </c>
      <c r="G3031" t="b">
        <v>0</v>
      </c>
      <c r="H3031" t="b">
        <v>0</v>
      </c>
      <c r="I3031" t="s">
        <v>1050</v>
      </c>
      <c r="J3031">
        <v>88</v>
      </c>
      <c r="K3031" t="s">
        <v>0</v>
      </c>
      <c r="L3031" t="s">
        <v>1167</v>
      </c>
      <c r="M3031" t="s">
        <v>1168</v>
      </c>
      <c r="N3031" t="s">
        <v>1169</v>
      </c>
      <c r="O3031" t="s">
        <v>1168</v>
      </c>
      <c r="P3031" t="s">
        <v>1235</v>
      </c>
    </row>
    <row r="3032" spans="1:16" x14ac:dyDescent="0.25">
      <c r="A3032" t="s">
        <v>6128</v>
      </c>
      <c r="B3032" t="s">
        <v>6039</v>
      </c>
      <c r="C3032" t="s">
        <v>1233</v>
      </c>
      <c r="D3032" t="s">
        <v>1027</v>
      </c>
      <c r="E3032">
        <v>63762</v>
      </c>
      <c r="F3032" t="s">
        <v>1234</v>
      </c>
      <c r="G3032" t="b">
        <v>0</v>
      </c>
      <c r="H3032" t="b">
        <v>0</v>
      </c>
      <c r="I3032" t="s">
        <v>1050</v>
      </c>
      <c r="J3032">
        <v>88</v>
      </c>
      <c r="K3032" t="s">
        <v>0</v>
      </c>
      <c r="L3032" t="s">
        <v>1167</v>
      </c>
      <c r="M3032" t="s">
        <v>1168</v>
      </c>
      <c r="N3032" t="s">
        <v>1169</v>
      </c>
      <c r="O3032" t="s">
        <v>1168</v>
      </c>
      <c r="P3032" t="s">
        <v>1235</v>
      </c>
    </row>
    <row r="3033" spans="1:16" x14ac:dyDescent="0.25">
      <c r="A3033" t="s">
        <v>6129</v>
      </c>
      <c r="B3033" t="s">
        <v>6130</v>
      </c>
      <c r="C3033" t="s">
        <v>1233</v>
      </c>
      <c r="D3033" t="s">
        <v>1027</v>
      </c>
      <c r="E3033">
        <v>63762</v>
      </c>
      <c r="F3033" t="s">
        <v>1234</v>
      </c>
      <c r="G3033" t="b">
        <v>0</v>
      </c>
      <c r="H3033" t="b">
        <v>0</v>
      </c>
      <c r="I3033" t="s">
        <v>1050</v>
      </c>
      <c r="J3033">
        <v>88</v>
      </c>
      <c r="K3033" t="s">
        <v>0</v>
      </c>
      <c r="L3033" t="s">
        <v>1167</v>
      </c>
      <c r="M3033" t="s">
        <v>1168</v>
      </c>
      <c r="N3033" t="s">
        <v>1169</v>
      </c>
      <c r="O3033" t="s">
        <v>1168</v>
      </c>
      <c r="P3033" t="s">
        <v>1235</v>
      </c>
    </row>
    <row r="3034" spans="1:16" x14ac:dyDescent="0.25">
      <c r="A3034" t="s">
        <v>6131</v>
      </c>
      <c r="B3034" t="s">
        <v>6132</v>
      </c>
      <c r="C3034" t="s">
        <v>1233</v>
      </c>
      <c r="D3034" t="s">
        <v>1027</v>
      </c>
      <c r="E3034">
        <v>63762</v>
      </c>
      <c r="F3034" t="s">
        <v>1234</v>
      </c>
      <c r="G3034" t="b">
        <v>0</v>
      </c>
      <c r="H3034" t="b">
        <v>0</v>
      </c>
      <c r="I3034" t="s">
        <v>1050</v>
      </c>
      <c r="J3034">
        <v>88</v>
      </c>
      <c r="K3034" t="s">
        <v>0</v>
      </c>
      <c r="L3034" t="s">
        <v>1167</v>
      </c>
      <c r="M3034" t="s">
        <v>1168</v>
      </c>
      <c r="N3034" t="s">
        <v>1169</v>
      </c>
      <c r="O3034" t="s">
        <v>1168</v>
      </c>
      <c r="P3034" t="s">
        <v>1235</v>
      </c>
    </row>
    <row r="3035" spans="1:16" x14ac:dyDescent="0.25">
      <c r="A3035" t="s">
        <v>6133</v>
      </c>
      <c r="B3035" t="s">
        <v>6134</v>
      </c>
      <c r="C3035" t="s">
        <v>1233</v>
      </c>
      <c r="D3035" t="s">
        <v>1027</v>
      </c>
      <c r="E3035">
        <v>63762</v>
      </c>
      <c r="F3035" t="s">
        <v>1234</v>
      </c>
      <c r="G3035" t="b">
        <v>0</v>
      </c>
      <c r="H3035" t="b">
        <v>0</v>
      </c>
      <c r="I3035" t="s">
        <v>1050</v>
      </c>
      <c r="J3035">
        <v>88</v>
      </c>
      <c r="K3035" t="s">
        <v>0</v>
      </c>
      <c r="L3035" t="s">
        <v>1167</v>
      </c>
      <c r="M3035" t="s">
        <v>1168</v>
      </c>
      <c r="N3035" t="s">
        <v>1169</v>
      </c>
      <c r="O3035" t="s">
        <v>1168</v>
      </c>
      <c r="P3035" t="s">
        <v>1235</v>
      </c>
    </row>
    <row r="3036" spans="1:16" x14ac:dyDescent="0.25">
      <c r="A3036" t="s">
        <v>6135</v>
      </c>
      <c r="B3036" t="s">
        <v>6136</v>
      </c>
      <c r="C3036" t="s">
        <v>1233</v>
      </c>
      <c r="D3036" t="s">
        <v>1027</v>
      </c>
      <c r="E3036">
        <v>63762</v>
      </c>
      <c r="F3036" t="s">
        <v>1234</v>
      </c>
      <c r="G3036" t="b">
        <v>0</v>
      </c>
      <c r="H3036" t="b">
        <v>0</v>
      </c>
      <c r="I3036" t="s">
        <v>1050</v>
      </c>
      <c r="J3036">
        <v>88</v>
      </c>
      <c r="K3036" t="s">
        <v>0</v>
      </c>
      <c r="L3036" t="s">
        <v>1167</v>
      </c>
      <c r="M3036" t="s">
        <v>1168</v>
      </c>
      <c r="N3036" t="s">
        <v>1169</v>
      </c>
      <c r="O3036" t="s">
        <v>1168</v>
      </c>
      <c r="P3036" t="s">
        <v>1235</v>
      </c>
    </row>
    <row r="3037" spans="1:16" x14ac:dyDescent="0.25">
      <c r="A3037" t="s">
        <v>6137</v>
      </c>
      <c r="B3037" t="s">
        <v>6138</v>
      </c>
      <c r="C3037" t="s">
        <v>1233</v>
      </c>
      <c r="D3037" t="s">
        <v>1027</v>
      </c>
      <c r="E3037">
        <v>63762</v>
      </c>
      <c r="F3037" t="s">
        <v>1234</v>
      </c>
      <c r="G3037" t="b">
        <v>0</v>
      </c>
      <c r="H3037" t="b">
        <v>0</v>
      </c>
      <c r="I3037" t="s">
        <v>1050</v>
      </c>
      <c r="J3037">
        <v>88</v>
      </c>
      <c r="K3037" t="s">
        <v>0</v>
      </c>
      <c r="L3037" t="s">
        <v>1167</v>
      </c>
      <c r="M3037" t="s">
        <v>1168</v>
      </c>
      <c r="N3037" t="s">
        <v>1169</v>
      </c>
      <c r="O3037" t="s">
        <v>1168</v>
      </c>
      <c r="P3037" t="s">
        <v>1235</v>
      </c>
    </row>
    <row r="3038" spans="1:16" x14ac:dyDescent="0.25">
      <c r="A3038" t="s">
        <v>6139</v>
      </c>
      <c r="B3038" t="s">
        <v>6140</v>
      </c>
      <c r="C3038" t="s">
        <v>1233</v>
      </c>
      <c r="D3038" t="s">
        <v>1027</v>
      </c>
      <c r="E3038">
        <v>63762</v>
      </c>
      <c r="F3038" t="s">
        <v>1234</v>
      </c>
      <c r="G3038" t="b">
        <v>0</v>
      </c>
      <c r="H3038" t="b">
        <v>0</v>
      </c>
      <c r="I3038" t="s">
        <v>1050</v>
      </c>
      <c r="J3038">
        <v>88</v>
      </c>
      <c r="K3038" t="s">
        <v>0</v>
      </c>
      <c r="L3038" t="s">
        <v>1167</v>
      </c>
      <c r="M3038" t="s">
        <v>1168</v>
      </c>
      <c r="N3038" t="s">
        <v>1169</v>
      </c>
      <c r="O3038" t="s">
        <v>1168</v>
      </c>
      <c r="P3038" t="s">
        <v>1235</v>
      </c>
    </row>
    <row r="3039" spans="1:16" x14ac:dyDescent="0.25">
      <c r="A3039" t="s">
        <v>6141</v>
      </c>
      <c r="B3039" t="s">
        <v>6142</v>
      </c>
      <c r="C3039" t="s">
        <v>1233</v>
      </c>
      <c r="D3039" t="s">
        <v>1027</v>
      </c>
      <c r="E3039">
        <v>63762</v>
      </c>
      <c r="F3039" t="s">
        <v>1234</v>
      </c>
      <c r="G3039" t="b">
        <v>0</v>
      </c>
      <c r="H3039" t="b">
        <v>0</v>
      </c>
      <c r="I3039" t="s">
        <v>1050</v>
      </c>
      <c r="J3039">
        <v>88</v>
      </c>
      <c r="K3039" t="s">
        <v>0</v>
      </c>
      <c r="L3039" t="s">
        <v>1167</v>
      </c>
      <c r="M3039" t="s">
        <v>1168</v>
      </c>
      <c r="N3039" t="s">
        <v>1169</v>
      </c>
      <c r="O3039" t="s">
        <v>1168</v>
      </c>
      <c r="P3039" t="s">
        <v>1235</v>
      </c>
    </row>
    <row r="3040" spans="1:16" x14ac:dyDescent="0.25">
      <c r="A3040" t="s">
        <v>6143</v>
      </c>
      <c r="B3040" t="s">
        <v>6144</v>
      </c>
      <c r="C3040" t="s">
        <v>1233</v>
      </c>
      <c r="D3040" t="s">
        <v>1027</v>
      </c>
      <c r="E3040">
        <v>63762</v>
      </c>
      <c r="F3040" t="s">
        <v>1234</v>
      </c>
      <c r="G3040" t="b">
        <v>0</v>
      </c>
      <c r="H3040" t="b">
        <v>0</v>
      </c>
      <c r="I3040" t="s">
        <v>1050</v>
      </c>
      <c r="J3040">
        <v>88</v>
      </c>
      <c r="K3040" t="s">
        <v>0</v>
      </c>
      <c r="L3040" t="s">
        <v>1167</v>
      </c>
      <c r="M3040" t="s">
        <v>1168</v>
      </c>
      <c r="N3040" t="s">
        <v>1169</v>
      </c>
      <c r="O3040" t="s">
        <v>1168</v>
      </c>
      <c r="P3040" t="s">
        <v>1235</v>
      </c>
    </row>
    <row r="3041" spans="1:16" x14ac:dyDescent="0.25">
      <c r="A3041" t="s">
        <v>6145</v>
      </c>
      <c r="B3041" t="s">
        <v>6146</v>
      </c>
      <c r="C3041" t="s">
        <v>1233</v>
      </c>
      <c r="D3041" t="s">
        <v>1027</v>
      </c>
      <c r="E3041">
        <v>63762</v>
      </c>
      <c r="F3041" t="s">
        <v>1234</v>
      </c>
      <c r="G3041" t="b">
        <v>0</v>
      </c>
      <c r="H3041" t="b">
        <v>0</v>
      </c>
      <c r="I3041" t="s">
        <v>1050</v>
      </c>
      <c r="J3041">
        <v>88</v>
      </c>
      <c r="K3041" t="s">
        <v>0</v>
      </c>
      <c r="L3041" t="s">
        <v>1167</v>
      </c>
      <c r="M3041" t="s">
        <v>1168</v>
      </c>
      <c r="N3041" t="s">
        <v>1169</v>
      </c>
      <c r="O3041" t="s">
        <v>1168</v>
      </c>
      <c r="P3041" t="s">
        <v>1235</v>
      </c>
    </row>
    <row r="3042" spans="1:16" x14ac:dyDescent="0.25">
      <c r="A3042" t="s">
        <v>6147</v>
      </c>
      <c r="B3042" t="s">
        <v>6148</v>
      </c>
      <c r="C3042" t="s">
        <v>1233</v>
      </c>
      <c r="D3042" t="s">
        <v>1027</v>
      </c>
      <c r="E3042">
        <v>63762</v>
      </c>
      <c r="F3042" t="s">
        <v>1234</v>
      </c>
      <c r="G3042" t="b">
        <v>0</v>
      </c>
      <c r="H3042" t="b">
        <v>0</v>
      </c>
      <c r="I3042" t="s">
        <v>1050</v>
      </c>
      <c r="J3042">
        <v>88</v>
      </c>
      <c r="K3042" t="s">
        <v>0</v>
      </c>
      <c r="L3042" t="s">
        <v>1167</v>
      </c>
      <c r="M3042" t="s">
        <v>1168</v>
      </c>
      <c r="N3042" t="s">
        <v>1169</v>
      </c>
      <c r="O3042" t="s">
        <v>1168</v>
      </c>
      <c r="P3042" t="s">
        <v>1235</v>
      </c>
    </row>
    <row r="3043" spans="1:16" x14ac:dyDescent="0.25">
      <c r="A3043" t="s">
        <v>6149</v>
      </c>
      <c r="B3043" t="s">
        <v>6150</v>
      </c>
      <c r="C3043" t="s">
        <v>1233</v>
      </c>
      <c r="D3043" t="s">
        <v>1027</v>
      </c>
      <c r="E3043">
        <v>63762</v>
      </c>
      <c r="F3043" t="s">
        <v>1234</v>
      </c>
      <c r="G3043" t="b">
        <v>0</v>
      </c>
      <c r="H3043" t="b">
        <v>0</v>
      </c>
      <c r="I3043" t="s">
        <v>1050</v>
      </c>
      <c r="J3043">
        <v>88</v>
      </c>
      <c r="K3043" t="s">
        <v>0</v>
      </c>
      <c r="L3043" t="s">
        <v>1167</v>
      </c>
      <c r="M3043" t="s">
        <v>1168</v>
      </c>
      <c r="N3043" t="s">
        <v>1169</v>
      </c>
      <c r="O3043" t="s">
        <v>1168</v>
      </c>
      <c r="P3043" t="s">
        <v>1235</v>
      </c>
    </row>
    <row r="3044" spans="1:16" x14ac:dyDescent="0.25">
      <c r="A3044" t="s">
        <v>6151</v>
      </c>
      <c r="B3044" t="s">
        <v>6152</v>
      </c>
      <c r="C3044" t="s">
        <v>1233</v>
      </c>
      <c r="D3044" t="s">
        <v>1027</v>
      </c>
      <c r="E3044">
        <v>63762</v>
      </c>
      <c r="F3044" t="s">
        <v>1234</v>
      </c>
      <c r="G3044" t="b">
        <v>0</v>
      </c>
      <c r="H3044" t="b">
        <v>0</v>
      </c>
      <c r="I3044" t="s">
        <v>1050</v>
      </c>
      <c r="J3044">
        <v>88</v>
      </c>
      <c r="K3044" t="s">
        <v>0</v>
      </c>
      <c r="L3044" t="s">
        <v>1167</v>
      </c>
      <c r="M3044" t="s">
        <v>1168</v>
      </c>
      <c r="N3044" t="s">
        <v>1169</v>
      </c>
      <c r="O3044" t="s">
        <v>1168</v>
      </c>
      <c r="P3044" t="s">
        <v>1235</v>
      </c>
    </row>
    <row r="3045" spans="1:16" x14ac:dyDescent="0.25">
      <c r="A3045" t="s">
        <v>6153</v>
      </c>
      <c r="B3045" t="s">
        <v>6154</v>
      </c>
      <c r="C3045" t="s">
        <v>1233</v>
      </c>
      <c r="D3045" t="s">
        <v>1027</v>
      </c>
      <c r="E3045">
        <v>63762</v>
      </c>
      <c r="F3045" t="s">
        <v>1234</v>
      </c>
      <c r="G3045" t="b">
        <v>0</v>
      </c>
      <c r="H3045" t="b">
        <v>0</v>
      </c>
      <c r="I3045" t="s">
        <v>1050</v>
      </c>
      <c r="J3045">
        <v>88</v>
      </c>
      <c r="K3045" t="s">
        <v>0</v>
      </c>
      <c r="L3045" t="s">
        <v>1167</v>
      </c>
      <c r="M3045" t="s">
        <v>1168</v>
      </c>
      <c r="N3045" t="s">
        <v>1169</v>
      </c>
      <c r="O3045" t="s">
        <v>1168</v>
      </c>
      <c r="P3045" t="s">
        <v>1235</v>
      </c>
    </row>
    <row r="3046" spans="1:16" x14ac:dyDescent="0.25">
      <c r="A3046" t="s">
        <v>6155</v>
      </c>
      <c r="B3046" t="s">
        <v>6156</v>
      </c>
      <c r="C3046" t="s">
        <v>1233</v>
      </c>
      <c r="D3046" t="s">
        <v>1027</v>
      </c>
      <c r="E3046">
        <v>63762</v>
      </c>
      <c r="F3046" t="s">
        <v>1234</v>
      </c>
      <c r="G3046" t="b">
        <v>0</v>
      </c>
      <c r="H3046" t="b">
        <v>0</v>
      </c>
      <c r="I3046" t="s">
        <v>1050</v>
      </c>
      <c r="J3046">
        <v>88</v>
      </c>
      <c r="K3046" t="s">
        <v>0</v>
      </c>
      <c r="L3046" t="s">
        <v>1167</v>
      </c>
      <c r="M3046" t="s">
        <v>1168</v>
      </c>
      <c r="N3046" t="s">
        <v>1169</v>
      </c>
      <c r="O3046" t="s">
        <v>1168</v>
      </c>
      <c r="P3046" t="s">
        <v>1235</v>
      </c>
    </row>
    <row r="3047" spans="1:16" x14ac:dyDescent="0.25">
      <c r="A3047" t="s">
        <v>6157</v>
      </c>
      <c r="B3047" t="s">
        <v>6158</v>
      </c>
      <c r="C3047" t="s">
        <v>1233</v>
      </c>
      <c r="D3047" t="s">
        <v>1027</v>
      </c>
      <c r="E3047">
        <v>63762</v>
      </c>
      <c r="F3047" t="s">
        <v>1234</v>
      </c>
      <c r="G3047" t="b">
        <v>0</v>
      </c>
      <c r="H3047" t="b">
        <v>0</v>
      </c>
      <c r="I3047" t="s">
        <v>1050</v>
      </c>
      <c r="J3047">
        <v>88</v>
      </c>
      <c r="K3047" t="s">
        <v>0</v>
      </c>
      <c r="L3047" t="s">
        <v>1167</v>
      </c>
      <c r="M3047" t="s">
        <v>1168</v>
      </c>
      <c r="N3047" t="s">
        <v>1169</v>
      </c>
      <c r="O3047" t="s">
        <v>1168</v>
      </c>
      <c r="P3047" t="s">
        <v>1235</v>
      </c>
    </row>
    <row r="3048" spans="1:16" x14ac:dyDescent="0.25">
      <c r="A3048" t="s">
        <v>6159</v>
      </c>
      <c r="B3048" t="s">
        <v>6160</v>
      </c>
      <c r="C3048" t="s">
        <v>1233</v>
      </c>
      <c r="D3048" t="s">
        <v>1027</v>
      </c>
      <c r="E3048">
        <v>63762</v>
      </c>
      <c r="F3048" t="s">
        <v>1234</v>
      </c>
      <c r="G3048" t="b">
        <v>0</v>
      </c>
      <c r="H3048" t="b">
        <v>0</v>
      </c>
      <c r="I3048" t="s">
        <v>1050</v>
      </c>
      <c r="J3048">
        <v>88</v>
      </c>
      <c r="K3048" t="s">
        <v>0</v>
      </c>
      <c r="L3048" t="s">
        <v>1167</v>
      </c>
      <c r="M3048" t="s">
        <v>1168</v>
      </c>
      <c r="N3048" t="s">
        <v>1169</v>
      </c>
      <c r="O3048" t="s">
        <v>1168</v>
      </c>
      <c r="P3048" t="s">
        <v>1235</v>
      </c>
    </row>
    <row r="3049" spans="1:16" x14ac:dyDescent="0.25">
      <c r="A3049" t="s">
        <v>6161</v>
      </c>
      <c r="B3049" t="s">
        <v>6162</v>
      </c>
      <c r="C3049" t="s">
        <v>1233</v>
      </c>
      <c r="D3049" t="s">
        <v>1027</v>
      </c>
      <c r="E3049">
        <v>63762</v>
      </c>
      <c r="F3049" t="s">
        <v>1234</v>
      </c>
      <c r="G3049" t="b">
        <v>0</v>
      </c>
      <c r="H3049" t="b">
        <v>0</v>
      </c>
      <c r="I3049" t="s">
        <v>1050</v>
      </c>
      <c r="J3049">
        <v>88</v>
      </c>
      <c r="K3049" t="s">
        <v>0</v>
      </c>
      <c r="L3049" t="s">
        <v>1167</v>
      </c>
      <c r="M3049" t="s">
        <v>1168</v>
      </c>
      <c r="N3049" t="s">
        <v>1169</v>
      </c>
      <c r="O3049" t="s">
        <v>1168</v>
      </c>
      <c r="P3049" t="s">
        <v>1235</v>
      </c>
    </row>
    <row r="3050" spans="1:16" x14ac:dyDescent="0.25">
      <c r="A3050" t="s">
        <v>6163</v>
      </c>
      <c r="B3050" t="s">
        <v>6164</v>
      </c>
      <c r="C3050" t="s">
        <v>1233</v>
      </c>
      <c r="D3050" t="s">
        <v>1027</v>
      </c>
      <c r="E3050">
        <v>63762</v>
      </c>
      <c r="F3050" t="s">
        <v>1234</v>
      </c>
      <c r="G3050" t="b">
        <v>0</v>
      </c>
      <c r="H3050" t="b">
        <v>0</v>
      </c>
      <c r="I3050" t="s">
        <v>1050</v>
      </c>
      <c r="J3050">
        <v>88</v>
      </c>
      <c r="K3050" t="s">
        <v>0</v>
      </c>
      <c r="L3050" t="s">
        <v>1167</v>
      </c>
      <c r="M3050" t="s">
        <v>1168</v>
      </c>
      <c r="N3050" t="s">
        <v>1169</v>
      </c>
      <c r="O3050" t="s">
        <v>1168</v>
      </c>
      <c r="P3050" t="s">
        <v>1235</v>
      </c>
    </row>
    <row r="3051" spans="1:16" x14ac:dyDescent="0.25">
      <c r="A3051" t="s">
        <v>6165</v>
      </c>
      <c r="B3051" t="s">
        <v>6166</v>
      </c>
      <c r="C3051" t="s">
        <v>1233</v>
      </c>
      <c r="D3051" t="s">
        <v>1027</v>
      </c>
      <c r="E3051">
        <v>63762</v>
      </c>
      <c r="F3051" t="s">
        <v>1234</v>
      </c>
      <c r="G3051" t="b">
        <v>0</v>
      </c>
      <c r="H3051" t="b">
        <v>0</v>
      </c>
      <c r="I3051" t="s">
        <v>1050</v>
      </c>
      <c r="J3051">
        <v>88</v>
      </c>
      <c r="K3051" t="s">
        <v>0</v>
      </c>
      <c r="L3051" t="s">
        <v>1167</v>
      </c>
      <c r="M3051" t="s">
        <v>1168</v>
      </c>
      <c r="N3051" t="s">
        <v>1169</v>
      </c>
      <c r="O3051" t="s">
        <v>1168</v>
      </c>
      <c r="P3051" t="s">
        <v>1235</v>
      </c>
    </row>
    <row r="3052" spans="1:16" x14ac:dyDescent="0.25">
      <c r="A3052" t="s">
        <v>6167</v>
      </c>
      <c r="B3052" t="s">
        <v>6168</v>
      </c>
      <c r="C3052" t="s">
        <v>1233</v>
      </c>
      <c r="D3052" t="s">
        <v>1027</v>
      </c>
      <c r="E3052">
        <v>63762</v>
      </c>
      <c r="F3052" t="s">
        <v>1234</v>
      </c>
      <c r="G3052" t="b">
        <v>0</v>
      </c>
      <c r="H3052" t="b">
        <v>0</v>
      </c>
      <c r="I3052" t="s">
        <v>1050</v>
      </c>
      <c r="J3052">
        <v>88</v>
      </c>
      <c r="K3052" t="s">
        <v>0</v>
      </c>
      <c r="L3052" t="s">
        <v>1167</v>
      </c>
      <c r="M3052" t="s">
        <v>1168</v>
      </c>
      <c r="N3052" t="s">
        <v>1169</v>
      </c>
      <c r="O3052" t="s">
        <v>1168</v>
      </c>
      <c r="P3052" t="s">
        <v>1235</v>
      </c>
    </row>
    <row r="3053" spans="1:16" x14ac:dyDescent="0.25">
      <c r="A3053" t="s">
        <v>6169</v>
      </c>
      <c r="B3053" t="s">
        <v>6170</v>
      </c>
      <c r="C3053" t="s">
        <v>1233</v>
      </c>
      <c r="D3053" t="s">
        <v>1027</v>
      </c>
      <c r="E3053">
        <v>63762</v>
      </c>
      <c r="F3053" t="s">
        <v>1234</v>
      </c>
      <c r="G3053" t="b">
        <v>0</v>
      </c>
      <c r="H3053" t="b">
        <v>0</v>
      </c>
      <c r="I3053" t="s">
        <v>1050</v>
      </c>
      <c r="J3053">
        <v>88</v>
      </c>
      <c r="K3053" t="s">
        <v>0</v>
      </c>
      <c r="L3053" t="s">
        <v>1167</v>
      </c>
      <c r="M3053" t="s">
        <v>1168</v>
      </c>
      <c r="N3053" t="s">
        <v>1169</v>
      </c>
      <c r="O3053" t="s">
        <v>1168</v>
      </c>
      <c r="P3053" t="s">
        <v>1235</v>
      </c>
    </row>
    <row r="3054" spans="1:16" x14ac:dyDescent="0.25">
      <c r="A3054" t="s">
        <v>6171</v>
      </c>
      <c r="B3054" t="s">
        <v>6172</v>
      </c>
      <c r="C3054" t="s">
        <v>1233</v>
      </c>
      <c r="D3054" t="s">
        <v>1027</v>
      </c>
      <c r="E3054">
        <v>63762</v>
      </c>
      <c r="F3054" t="s">
        <v>1234</v>
      </c>
      <c r="G3054" t="b">
        <v>0</v>
      </c>
      <c r="H3054" t="b">
        <v>0</v>
      </c>
      <c r="I3054" t="s">
        <v>1050</v>
      </c>
      <c r="J3054">
        <v>88</v>
      </c>
      <c r="K3054" t="s">
        <v>0</v>
      </c>
      <c r="L3054" t="s">
        <v>1167</v>
      </c>
      <c r="M3054" t="s">
        <v>1168</v>
      </c>
      <c r="N3054" t="s">
        <v>1169</v>
      </c>
      <c r="O3054" t="s">
        <v>1168</v>
      </c>
      <c r="P3054" t="s">
        <v>1235</v>
      </c>
    </row>
    <row r="3055" spans="1:16" x14ac:dyDescent="0.25">
      <c r="A3055" t="s">
        <v>6173</v>
      </c>
      <c r="B3055" t="s">
        <v>6055</v>
      </c>
      <c r="C3055" t="s">
        <v>1233</v>
      </c>
      <c r="D3055" t="s">
        <v>1027</v>
      </c>
      <c r="E3055">
        <v>63762</v>
      </c>
      <c r="F3055" t="s">
        <v>1234</v>
      </c>
      <c r="G3055" t="b">
        <v>0</v>
      </c>
      <c r="H3055" t="b">
        <v>0</v>
      </c>
      <c r="I3055" t="s">
        <v>1050</v>
      </c>
      <c r="J3055">
        <v>88</v>
      </c>
      <c r="K3055" t="s">
        <v>0</v>
      </c>
      <c r="L3055" t="s">
        <v>1167</v>
      </c>
      <c r="M3055" t="s">
        <v>1168</v>
      </c>
      <c r="N3055" t="s">
        <v>1169</v>
      </c>
      <c r="O3055" t="s">
        <v>1168</v>
      </c>
      <c r="P3055" t="s">
        <v>1235</v>
      </c>
    </row>
    <row r="3056" spans="1:16" x14ac:dyDescent="0.25">
      <c r="A3056" t="s">
        <v>6174</v>
      </c>
      <c r="B3056" t="s">
        <v>6013</v>
      </c>
      <c r="C3056" t="s">
        <v>1233</v>
      </c>
      <c r="D3056" t="s">
        <v>1027</v>
      </c>
      <c r="E3056">
        <v>63762</v>
      </c>
      <c r="F3056" t="s">
        <v>1234</v>
      </c>
      <c r="G3056" t="b">
        <v>0</v>
      </c>
      <c r="H3056" t="b">
        <v>0</v>
      </c>
      <c r="I3056" t="s">
        <v>1050</v>
      </c>
      <c r="J3056">
        <v>88</v>
      </c>
      <c r="K3056" t="s">
        <v>0</v>
      </c>
      <c r="L3056" t="s">
        <v>1167</v>
      </c>
      <c r="M3056" t="s">
        <v>1168</v>
      </c>
      <c r="N3056" t="s">
        <v>1169</v>
      </c>
      <c r="O3056" t="s">
        <v>1168</v>
      </c>
      <c r="P3056" t="s">
        <v>1235</v>
      </c>
    </row>
    <row r="3057" spans="1:16" x14ac:dyDescent="0.25">
      <c r="A3057" t="s">
        <v>6175</v>
      </c>
      <c r="B3057" t="s">
        <v>6015</v>
      </c>
      <c r="C3057" t="s">
        <v>1233</v>
      </c>
      <c r="D3057" t="s">
        <v>1027</v>
      </c>
      <c r="E3057">
        <v>63762</v>
      </c>
      <c r="F3057" t="s">
        <v>1234</v>
      </c>
      <c r="G3057" t="b">
        <v>0</v>
      </c>
      <c r="H3057" t="b">
        <v>0</v>
      </c>
      <c r="I3057" t="s">
        <v>1050</v>
      </c>
      <c r="J3057">
        <v>88</v>
      </c>
      <c r="K3057" t="s">
        <v>0</v>
      </c>
      <c r="L3057" t="s">
        <v>1167</v>
      </c>
      <c r="M3057" t="s">
        <v>1168</v>
      </c>
      <c r="N3057" t="s">
        <v>1169</v>
      </c>
      <c r="O3057" t="s">
        <v>1168</v>
      </c>
      <c r="P3057" t="s">
        <v>1235</v>
      </c>
    </row>
    <row r="3058" spans="1:16" x14ac:dyDescent="0.25">
      <c r="A3058" t="s">
        <v>6176</v>
      </c>
      <c r="B3058" t="s">
        <v>6017</v>
      </c>
      <c r="C3058" t="s">
        <v>1233</v>
      </c>
      <c r="D3058" t="s">
        <v>1027</v>
      </c>
      <c r="E3058">
        <v>63762</v>
      </c>
      <c r="F3058" t="s">
        <v>1234</v>
      </c>
      <c r="G3058" t="b">
        <v>0</v>
      </c>
      <c r="H3058" t="b">
        <v>0</v>
      </c>
      <c r="I3058" t="s">
        <v>1050</v>
      </c>
      <c r="J3058">
        <v>88</v>
      </c>
      <c r="K3058" t="s">
        <v>0</v>
      </c>
      <c r="L3058" t="s">
        <v>1167</v>
      </c>
      <c r="M3058" t="s">
        <v>1168</v>
      </c>
      <c r="N3058" t="s">
        <v>1169</v>
      </c>
      <c r="O3058" t="s">
        <v>1168</v>
      </c>
      <c r="P3058" t="s">
        <v>1235</v>
      </c>
    </row>
    <row r="3059" spans="1:16" x14ac:dyDescent="0.25">
      <c r="A3059" t="s">
        <v>6177</v>
      </c>
      <c r="B3059" t="s">
        <v>6106</v>
      </c>
      <c r="C3059" t="s">
        <v>1233</v>
      </c>
      <c r="D3059" t="s">
        <v>1027</v>
      </c>
      <c r="E3059">
        <v>63762</v>
      </c>
      <c r="F3059" t="s">
        <v>1234</v>
      </c>
      <c r="G3059" t="b">
        <v>0</v>
      </c>
      <c r="H3059" t="b">
        <v>0</v>
      </c>
      <c r="I3059" t="s">
        <v>1050</v>
      </c>
      <c r="J3059">
        <v>88</v>
      </c>
      <c r="K3059" t="s">
        <v>0</v>
      </c>
      <c r="L3059" t="s">
        <v>1167</v>
      </c>
      <c r="M3059" t="s">
        <v>1168</v>
      </c>
      <c r="N3059" t="s">
        <v>1169</v>
      </c>
      <c r="O3059" t="s">
        <v>1168</v>
      </c>
      <c r="P3059" t="s">
        <v>1235</v>
      </c>
    </row>
    <row r="3060" spans="1:16" x14ac:dyDescent="0.25">
      <c r="A3060" t="s">
        <v>6178</v>
      </c>
      <c r="B3060" t="s">
        <v>6108</v>
      </c>
      <c r="C3060" t="s">
        <v>1233</v>
      </c>
      <c r="D3060" t="s">
        <v>1027</v>
      </c>
      <c r="E3060">
        <v>63762</v>
      </c>
      <c r="F3060" t="s">
        <v>1234</v>
      </c>
      <c r="G3060" t="b">
        <v>0</v>
      </c>
      <c r="H3060" t="b">
        <v>0</v>
      </c>
      <c r="I3060" t="s">
        <v>1050</v>
      </c>
      <c r="J3060">
        <v>88</v>
      </c>
      <c r="K3060" t="s">
        <v>0</v>
      </c>
      <c r="L3060" t="s">
        <v>1167</v>
      </c>
      <c r="M3060" t="s">
        <v>1168</v>
      </c>
      <c r="N3060" t="s">
        <v>1169</v>
      </c>
      <c r="O3060" t="s">
        <v>1168</v>
      </c>
      <c r="P3060" t="s">
        <v>1235</v>
      </c>
    </row>
    <row r="3061" spans="1:16" x14ac:dyDescent="0.25">
      <c r="A3061" t="s">
        <v>6179</v>
      </c>
      <c r="B3061" t="s">
        <v>6110</v>
      </c>
      <c r="C3061" t="s">
        <v>1233</v>
      </c>
      <c r="D3061" t="s">
        <v>1027</v>
      </c>
      <c r="E3061">
        <v>63762</v>
      </c>
      <c r="F3061" t="s">
        <v>1234</v>
      </c>
      <c r="G3061" t="b">
        <v>0</v>
      </c>
      <c r="H3061" t="b">
        <v>0</v>
      </c>
      <c r="I3061" t="s">
        <v>1050</v>
      </c>
      <c r="J3061">
        <v>88</v>
      </c>
      <c r="K3061" t="s">
        <v>0</v>
      </c>
      <c r="L3061" t="s">
        <v>1167</v>
      </c>
      <c r="M3061" t="s">
        <v>1168</v>
      </c>
      <c r="N3061" t="s">
        <v>1169</v>
      </c>
      <c r="O3061" t="s">
        <v>1168</v>
      </c>
      <c r="P3061" t="s">
        <v>1235</v>
      </c>
    </row>
    <row r="3062" spans="1:16" x14ac:dyDescent="0.25">
      <c r="A3062" t="s">
        <v>6180</v>
      </c>
      <c r="B3062" t="s">
        <v>6112</v>
      </c>
      <c r="C3062" t="s">
        <v>1233</v>
      </c>
      <c r="D3062" t="s">
        <v>1027</v>
      </c>
      <c r="E3062">
        <v>63762</v>
      </c>
      <c r="F3062" t="s">
        <v>1234</v>
      </c>
      <c r="G3062" t="b">
        <v>0</v>
      </c>
      <c r="H3062" t="b">
        <v>0</v>
      </c>
      <c r="I3062" t="s">
        <v>1050</v>
      </c>
      <c r="J3062">
        <v>88</v>
      </c>
      <c r="K3062" t="s">
        <v>0</v>
      </c>
      <c r="L3062" t="s">
        <v>1167</v>
      </c>
      <c r="M3062" t="s">
        <v>1168</v>
      </c>
      <c r="N3062" t="s">
        <v>1169</v>
      </c>
      <c r="O3062" t="s">
        <v>1168</v>
      </c>
      <c r="P3062" t="s">
        <v>1235</v>
      </c>
    </row>
    <row r="3063" spans="1:16" x14ac:dyDescent="0.25">
      <c r="A3063" t="s">
        <v>6181</v>
      </c>
      <c r="B3063" t="s">
        <v>6114</v>
      </c>
      <c r="C3063" t="s">
        <v>1233</v>
      </c>
      <c r="D3063" t="s">
        <v>1027</v>
      </c>
      <c r="E3063">
        <v>63762</v>
      </c>
      <c r="F3063" t="s">
        <v>1234</v>
      </c>
      <c r="G3063" t="b">
        <v>0</v>
      </c>
      <c r="H3063" t="b">
        <v>0</v>
      </c>
      <c r="I3063" t="s">
        <v>1050</v>
      </c>
      <c r="J3063">
        <v>88</v>
      </c>
      <c r="K3063" t="s">
        <v>0</v>
      </c>
      <c r="L3063" t="s">
        <v>1167</v>
      </c>
      <c r="M3063" t="s">
        <v>1168</v>
      </c>
      <c r="N3063" t="s">
        <v>1169</v>
      </c>
      <c r="O3063" t="s">
        <v>1168</v>
      </c>
      <c r="P3063" t="s">
        <v>1235</v>
      </c>
    </row>
    <row r="3064" spans="1:16" x14ac:dyDescent="0.25">
      <c r="A3064" t="s">
        <v>6182</v>
      </c>
      <c r="B3064" t="s">
        <v>6116</v>
      </c>
      <c r="C3064" t="s">
        <v>1233</v>
      </c>
      <c r="D3064" t="s">
        <v>1027</v>
      </c>
      <c r="E3064">
        <v>63762</v>
      </c>
      <c r="F3064" t="s">
        <v>1234</v>
      </c>
      <c r="G3064" t="b">
        <v>0</v>
      </c>
      <c r="H3064" t="b">
        <v>0</v>
      </c>
      <c r="I3064" t="s">
        <v>1050</v>
      </c>
      <c r="J3064">
        <v>88</v>
      </c>
      <c r="K3064" t="s">
        <v>0</v>
      </c>
      <c r="L3064" t="s">
        <v>1167</v>
      </c>
      <c r="M3064" t="s">
        <v>1168</v>
      </c>
      <c r="N3064" t="s">
        <v>1169</v>
      </c>
      <c r="O3064" t="s">
        <v>1168</v>
      </c>
      <c r="P3064" t="s">
        <v>1235</v>
      </c>
    </row>
    <row r="3065" spans="1:16" x14ac:dyDescent="0.25">
      <c r="A3065" t="s">
        <v>6183</v>
      </c>
      <c r="B3065" t="s">
        <v>6062</v>
      </c>
      <c r="C3065" t="s">
        <v>1233</v>
      </c>
      <c r="D3065" t="s">
        <v>1027</v>
      </c>
      <c r="E3065">
        <v>63762</v>
      </c>
      <c r="F3065" t="s">
        <v>1234</v>
      </c>
      <c r="G3065" t="b">
        <v>0</v>
      </c>
      <c r="H3065" t="b">
        <v>0</v>
      </c>
      <c r="I3065" t="s">
        <v>1050</v>
      </c>
      <c r="J3065">
        <v>88</v>
      </c>
      <c r="K3065" t="s">
        <v>0</v>
      </c>
      <c r="L3065" t="s">
        <v>1167</v>
      </c>
      <c r="M3065" t="s">
        <v>1168</v>
      </c>
      <c r="N3065" t="s">
        <v>1169</v>
      </c>
      <c r="O3065" t="s">
        <v>1168</v>
      </c>
      <c r="P3065" t="s">
        <v>1235</v>
      </c>
    </row>
    <row r="3066" spans="1:16" x14ac:dyDescent="0.25">
      <c r="A3066" t="s">
        <v>6184</v>
      </c>
      <c r="B3066" t="s">
        <v>6068</v>
      </c>
      <c r="C3066" t="s">
        <v>1233</v>
      </c>
      <c r="D3066" t="s">
        <v>1027</v>
      </c>
      <c r="E3066">
        <v>63762</v>
      </c>
      <c r="F3066" t="s">
        <v>1234</v>
      </c>
      <c r="G3066" t="b">
        <v>0</v>
      </c>
      <c r="H3066" t="b">
        <v>0</v>
      </c>
      <c r="I3066" t="s">
        <v>1050</v>
      </c>
      <c r="J3066">
        <v>88</v>
      </c>
      <c r="K3066" t="s">
        <v>0</v>
      </c>
      <c r="L3066" t="s">
        <v>1167</v>
      </c>
      <c r="M3066" t="s">
        <v>1168</v>
      </c>
      <c r="N3066" t="s">
        <v>1169</v>
      </c>
      <c r="O3066" t="s">
        <v>1168</v>
      </c>
      <c r="P3066" t="s">
        <v>1235</v>
      </c>
    </row>
    <row r="3067" spans="1:16" x14ac:dyDescent="0.25">
      <c r="A3067" t="s">
        <v>6185</v>
      </c>
      <c r="B3067" t="s">
        <v>6070</v>
      </c>
      <c r="C3067" t="s">
        <v>1233</v>
      </c>
      <c r="D3067" t="s">
        <v>1027</v>
      </c>
      <c r="E3067">
        <v>63762</v>
      </c>
      <c r="F3067" t="s">
        <v>1234</v>
      </c>
      <c r="G3067" t="b">
        <v>0</v>
      </c>
      <c r="H3067" t="b">
        <v>0</v>
      </c>
      <c r="I3067" t="s">
        <v>1050</v>
      </c>
      <c r="J3067">
        <v>88</v>
      </c>
      <c r="K3067" t="s">
        <v>0</v>
      </c>
      <c r="L3067" t="s">
        <v>1167</v>
      </c>
      <c r="M3067" t="s">
        <v>1168</v>
      </c>
      <c r="N3067" t="s">
        <v>1169</v>
      </c>
      <c r="O3067" t="s">
        <v>1168</v>
      </c>
      <c r="P3067" t="s">
        <v>1235</v>
      </c>
    </row>
    <row r="3068" spans="1:16" x14ac:dyDescent="0.25">
      <c r="A3068" t="s">
        <v>6186</v>
      </c>
      <c r="B3068" t="s">
        <v>6072</v>
      </c>
      <c r="C3068" t="s">
        <v>1233</v>
      </c>
      <c r="D3068" t="s">
        <v>1027</v>
      </c>
      <c r="E3068">
        <v>63762</v>
      </c>
      <c r="F3068" t="s">
        <v>1234</v>
      </c>
      <c r="G3068" t="b">
        <v>0</v>
      </c>
      <c r="H3068" t="b">
        <v>0</v>
      </c>
      <c r="I3068" t="s">
        <v>1050</v>
      </c>
      <c r="J3068">
        <v>88</v>
      </c>
      <c r="K3068" t="s">
        <v>0</v>
      </c>
      <c r="L3068" t="s">
        <v>1167</v>
      </c>
      <c r="M3068" t="s">
        <v>1168</v>
      </c>
      <c r="N3068" t="s">
        <v>1169</v>
      </c>
      <c r="O3068" t="s">
        <v>1168</v>
      </c>
      <c r="P3068" t="s">
        <v>1235</v>
      </c>
    </row>
    <row r="3069" spans="1:16" x14ac:dyDescent="0.25">
      <c r="A3069" t="s">
        <v>6187</v>
      </c>
      <c r="B3069" t="s">
        <v>6074</v>
      </c>
      <c r="C3069" t="s">
        <v>1233</v>
      </c>
      <c r="D3069" t="s">
        <v>1027</v>
      </c>
      <c r="E3069">
        <v>63762</v>
      </c>
      <c r="F3069" t="s">
        <v>1234</v>
      </c>
      <c r="G3069" t="b">
        <v>0</v>
      </c>
      <c r="H3069" t="b">
        <v>0</v>
      </c>
      <c r="I3069" t="s">
        <v>1050</v>
      </c>
      <c r="J3069">
        <v>88</v>
      </c>
      <c r="K3069" t="s">
        <v>0</v>
      </c>
      <c r="L3069" t="s">
        <v>1167</v>
      </c>
      <c r="M3069" t="s">
        <v>1168</v>
      </c>
      <c r="N3069" t="s">
        <v>1169</v>
      </c>
      <c r="O3069" t="s">
        <v>1168</v>
      </c>
      <c r="P3069" t="s">
        <v>1235</v>
      </c>
    </row>
    <row r="3070" spans="1:16" x14ac:dyDescent="0.25">
      <c r="A3070" t="s">
        <v>6188</v>
      </c>
      <c r="B3070" t="s">
        <v>6019</v>
      </c>
      <c r="C3070" t="s">
        <v>1233</v>
      </c>
      <c r="D3070" t="s">
        <v>1027</v>
      </c>
      <c r="E3070">
        <v>63762</v>
      </c>
      <c r="F3070" t="s">
        <v>1234</v>
      </c>
      <c r="G3070" t="b">
        <v>0</v>
      </c>
      <c r="H3070" t="b">
        <v>0</v>
      </c>
      <c r="I3070" t="s">
        <v>1050</v>
      </c>
      <c r="J3070">
        <v>88</v>
      </c>
      <c r="K3070" t="s">
        <v>0</v>
      </c>
      <c r="L3070" t="s">
        <v>1167</v>
      </c>
      <c r="M3070" t="s">
        <v>1168</v>
      </c>
      <c r="N3070" t="s">
        <v>1169</v>
      </c>
      <c r="O3070" t="s">
        <v>1168</v>
      </c>
      <c r="P3070" t="s">
        <v>1235</v>
      </c>
    </row>
    <row r="3071" spans="1:16" x14ac:dyDescent="0.25">
      <c r="A3071" t="s">
        <v>6189</v>
      </c>
      <c r="B3071" t="s">
        <v>6021</v>
      </c>
      <c r="C3071" t="s">
        <v>1233</v>
      </c>
      <c r="D3071" t="s">
        <v>1027</v>
      </c>
      <c r="E3071">
        <v>63762</v>
      </c>
      <c r="F3071" t="s">
        <v>1234</v>
      </c>
      <c r="G3071" t="b">
        <v>0</v>
      </c>
      <c r="H3071" t="b">
        <v>0</v>
      </c>
      <c r="I3071" t="s">
        <v>1050</v>
      </c>
      <c r="J3071">
        <v>88</v>
      </c>
      <c r="K3071" t="s">
        <v>0</v>
      </c>
      <c r="L3071" t="s">
        <v>1167</v>
      </c>
      <c r="M3071" t="s">
        <v>1168</v>
      </c>
      <c r="N3071" t="s">
        <v>1169</v>
      </c>
      <c r="O3071" t="s">
        <v>1168</v>
      </c>
      <c r="P3071" t="s">
        <v>1235</v>
      </c>
    </row>
    <row r="3072" spans="1:16" x14ac:dyDescent="0.25">
      <c r="A3072" t="s">
        <v>6190</v>
      </c>
      <c r="B3072" t="s">
        <v>6023</v>
      </c>
      <c r="C3072" t="s">
        <v>1233</v>
      </c>
      <c r="D3072" t="s">
        <v>1027</v>
      </c>
      <c r="E3072">
        <v>63762</v>
      </c>
      <c r="F3072" t="s">
        <v>1234</v>
      </c>
      <c r="G3072" t="b">
        <v>0</v>
      </c>
      <c r="H3072" t="b">
        <v>0</v>
      </c>
      <c r="I3072" t="s">
        <v>1050</v>
      </c>
      <c r="J3072">
        <v>88</v>
      </c>
      <c r="K3072" t="s">
        <v>0</v>
      </c>
      <c r="L3072" t="s">
        <v>1167</v>
      </c>
      <c r="M3072" t="s">
        <v>1168</v>
      </c>
      <c r="N3072" t="s">
        <v>1169</v>
      </c>
      <c r="O3072" t="s">
        <v>1168</v>
      </c>
      <c r="P3072" t="s">
        <v>1235</v>
      </c>
    </row>
    <row r="3073" spans="1:16" x14ac:dyDescent="0.25">
      <c r="A3073" t="s">
        <v>6191</v>
      </c>
      <c r="B3073" t="s">
        <v>6025</v>
      </c>
      <c r="C3073" t="s">
        <v>1233</v>
      </c>
      <c r="D3073" t="s">
        <v>1027</v>
      </c>
      <c r="E3073">
        <v>63762</v>
      </c>
      <c r="F3073" t="s">
        <v>1234</v>
      </c>
      <c r="G3073" t="b">
        <v>0</v>
      </c>
      <c r="H3073" t="b">
        <v>0</v>
      </c>
      <c r="I3073" t="s">
        <v>1050</v>
      </c>
      <c r="J3073">
        <v>88</v>
      </c>
      <c r="K3073" t="s">
        <v>0</v>
      </c>
      <c r="L3073" t="s">
        <v>1167</v>
      </c>
      <c r="M3073" t="s">
        <v>1168</v>
      </c>
      <c r="N3073" t="s">
        <v>1169</v>
      </c>
      <c r="O3073" t="s">
        <v>1168</v>
      </c>
      <c r="P3073" t="s">
        <v>1235</v>
      </c>
    </row>
    <row r="3074" spans="1:16" x14ac:dyDescent="0.25">
      <c r="A3074" t="s">
        <v>6192</v>
      </c>
      <c r="B3074" t="s">
        <v>6027</v>
      </c>
      <c r="C3074" t="s">
        <v>1233</v>
      </c>
      <c r="D3074" t="s">
        <v>1027</v>
      </c>
      <c r="E3074">
        <v>63762</v>
      </c>
      <c r="F3074" t="s">
        <v>1234</v>
      </c>
      <c r="G3074" t="b">
        <v>0</v>
      </c>
      <c r="H3074" t="b">
        <v>0</v>
      </c>
      <c r="I3074" t="s">
        <v>1050</v>
      </c>
      <c r="J3074">
        <v>88</v>
      </c>
      <c r="K3074" t="s">
        <v>0</v>
      </c>
      <c r="L3074" t="s">
        <v>1167</v>
      </c>
      <c r="M3074" t="s">
        <v>1168</v>
      </c>
      <c r="N3074" t="s">
        <v>1169</v>
      </c>
      <c r="O3074" t="s">
        <v>1168</v>
      </c>
      <c r="P3074" t="s">
        <v>1235</v>
      </c>
    </row>
    <row r="3075" spans="1:16" x14ac:dyDescent="0.25">
      <c r="A3075" t="s">
        <v>6193</v>
      </c>
      <c r="B3075" t="s">
        <v>6029</v>
      </c>
      <c r="C3075" t="s">
        <v>1233</v>
      </c>
      <c r="D3075" t="s">
        <v>1027</v>
      </c>
      <c r="E3075">
        <v>63762</v>
      </c>
      <c r="F3075" t="s">
        <v>1234</v>
      </c>
      <c r="G3075" t="b">
        <v>0</v>
      </c>
      <c r="H3075" t="b">
        <v>0</v>
      </c>
      <c r="I3075" t="s">
        <v>1050</v>
      </c>
      <c r="J3075">
        <v>88</v>
      </c>
      <c r="K3075" t="s">
        <v>0</v>
      </c>
      <c r="L3075" t="s">
        <v>1167</v>
      </c>
      <c r="M3075" t="s">
        <v>1168</v>
      </c>
      <c r="N3075" t="s">
        <v>1169</v>
      </c>
      <c r="O3075" t="s">
        <v>1168</v>
      </c>
      <c r="P3075" t="s">
        <v>1235</v>
      </c>
    </row>
    <row r="3076" spans="1:16" x14ac:dyDescent="0.25">
      <c r="A3076" t="s">
        <v>6194</v>
      </c>
      <c r="B3076" t="s">
        <v>6031</v>
      </c>
      <c r="C3076" t="s">
        <v>1233</v>
      </c>
      <c r="D3076" t="s">
        <v>1027</v>
      </c>
      <c r="E3076">
        <v>63762</v>
      </c>
      <c r="F3076" t="s">
        <v>1234</v>
      </c>
      <c r="G3076" t="b">
        <v>0</v>
      </c>
      <c r="H3076" t="b">
        <v>0</v>
      </c>
      <c r="I3076" t="s">
        <v>1050</v>
      </c>
      <c r="J3076">
        <v>88</v>
      </c>
      <c r="K3076" t="s">
        <v>0</v>
      </c>
      <c r="L3076" t="s">
        <v>1167</v>
      </c>
      <c r="M3076" t="s">
        <v>1168</v>
      </c>
      <c r="N3076" t="s">
        <v>1169</v>
      </c>
      <c r="O3076" t="s">
        <v>1168</v>
      </c>
      <c r="P3076" t="s">
        <v>1235</v>
      </c>
    </row>
    <row r="3077" spans="1:16" x14ac:dyDescent="0.25">
      <c r="A3077" t="s">
        <v>6195</v>
      </c>
      <c r="B3077" t="s">
        <v>6035</v>
      </c>
      <c r="C3077" t="s">
        <v>1233</v>
      </c>
      <c r="D3077" t="s">
        <v>1027</v>
      </c>
      <c r="E3077">
        <v>63762</v>
      </c>
      <c r="F3077" t="s">
        <v>1234</v>
      </c>
      <c r="G3077" t="b">
        <v>0</v>
      </c>
      <c r="H3077" t="b">
        <v>0</v>
      </c>
      <c r="I3077" t="s">
        <v>1050</v>
      </c>
      <c r="J3077">
        <v>88</v>
      </c>
      <c r="K3077" t="s">
        <v>0</v>
      </c>
      <c r="L3077" t="s">
        <v>1167</v>
      </c>
      <c r="M3077" t="s">
        <v>1168</v>
      </c>
      <c r="N3077" t="s">
        <v>1169</v>
      </c>
      <c r="O3077" t="s">
        <v>1168</v>
      </c>
      <c r="P3077" t="s">
        <v>1235</v>
      </c>
    </row>
    <row r="3078" spans="1:16" x14ac:dyDescent="0.25">
      <c r="A3078" t="s">
        <v>6196</v>
      </c>
      <c r="B3078" t="s">
        <v>6037</v>
      </c>
      <c r="C3078" t="s">
        <v>1233</v>
      </c>
      <c r="D3078" t="s">
        <v>1027</v>
      </c>
      <c r="E3078">
        <v>63762</v>
      </c>
      <c r="F3078" t="s">
        <v>1234</v>
      </c>
      <c r="G3078" t="b">
        <v>0</v>
      </c>
      <c r="H3078" t="b">
        <v>0</v>
      </c>
      <c r="I3078" t="s">
        <v>1050</v>
      </c>
      <c r="J3078">
        <v>88</v>
      </c>
      <c r="K3078" t="s">
        <v>0</v>
      </c>
      <c r="L3078" t="s">
        <v>1167</v>
      </c>
      <c r="M3078" t="s">
        <v>1168</v>
      </c>
      <c r="N3078" t="s">
        <v>1169</v>
      </c>
      <c r="O3078" t="s">
        <v>1168</v>
      </c>
      <c r="P3078" t="s">
        <v>1235</v>
      </c>
    </row>
    <row r="3079" spans="1:16" x14ac:dyDescent="0.25">
      <c r="A3079" t="s">
        <v>6197</v>
      </c>
      <c r="B3079" t="s">
        <v>6039</v>
      </c>
      <c r="C3079" t="s">
        <v>1233</v>
      </c>
      <c r="D3079" t="s">
        <v>1027</v>
      </c>
      <c r="E3079">
        <v>63762</v>
      </c>
      <c r="F3079" t="s">
        <v>1234</v>
      </c>
      <c r="G3079" t="b">
        <v>0</v>
      </c>
      <c r="H3079" t="b">
        <v>0</v>
      </c>
      <c r="I3079" t="s">
        <v>1050</v>
      </c>
      <c r="J3079">
        <v>88</v>
      </c>
      <c r="K3079" t="s">
        <v>0</v>
      </c>
      <c r="L3079" t="s">
        <v>1167</v>
      </c>
      <c r="M3079" t="s">
        <v>1168</v>
      </c>
      <c r="N3079" t="s">
        <v>1169</v>
      </c>
      <c r="O3079" t="s">
        <v>1168</v>
      </c>
      <c r="P3079" t="s">
        <v>1235</v>
      </c>
    </row>
    <row r="3080" spans="1:16" x14ac:dyDescent="0.25">
      <c r="A3080" t="s">
        <v>6198</v>
      </c>
      <c r="B3080" t="s">
        <v>6199</v>
      </c>
      <c r="C3080" t="s">
        <v>1233</v>
      </c>
      <c r="D3080" t="s">
        <v>1027</v>
      </c>
      <c r="E3080">
        <v>63762</v>
      </c>
      <c r="F3080" t="s">
        <v>1234</v>
      </c>
      <c r="G3080" t="b">
        <v>0</v>
      </c>
      <c r="H3080" t="b">
        <v>0</v>
      </c>
      <c r="I3080" t="s">
        <v>1050</v>
      </c>
      <c r="J3080">
        <v>88</v>
      </c>
      <c r="K3080" t="s">
        <v>0</v>
      </c>
      <c r="L3080" t="s">
        <v>1167</v>
      </c>
      <c r="M3080" t="s">
        <v>1168</v>
      </c>
      <c r="N3080" t="s">
        <v>1169</v>
      </c>
      <c r="O3080" t="s">
        <v>1168</v>
      </c>
      <c r="P3080" t="s">
        <v>1235</v>
      </c>
    </row>
    <row r="3081" spans="1:16" x14ac:dyDescent="0.25">
      <c r="A3081" t="s">
        <v>6200</v>
      </c>
      <c r="B3081" t="s">
        <v>6201</v>
      </c>
      <c r="C3081" t="s">
        <v>1233</v>
      </c>
      <c r="D3081" t="s">
        <v>1027</v>
      </c>
      <c r="E3081">
        <v>63762</v>
      </c>
      <c r="F3081" t="s">
        <v>1234</v>
      </c>
      <c r="G3081" t="b">
        <v>0</v>
      </c>
      <c r="H3081" t="b">
        <v>0</v>
      </c>
      <c r="I3081" t="s">
        <v>1050</v>
      </c>
      <c r="J3081">
        <v>88</v>
      </c>
      <c r="K3081" t="s">
        <v>0</v>
      </c>
      <c r="L3081" t="s">
        <v>1167</v>
      </c>
      <c r="M3081" t="s">
        <v>1168</v>
      </c>
      <c r="N3081" t="s">
        <v>1169</v>
      </c>
      <c r="O3081" t="s">
        <v>1168</v>
      </c>
      <c r="P3081" t="s">
        <v>1235</v>
      </c>
    </row>
    <row r="3082" spans="1:16" x14ac:dyDescent="0.25">
      <c r="A3082" t="s">
        <v>6202</v>
      </c>
      <c r="B3082" t="s">
        <v>6203</v>
      </c>
      <c r="C3082" t="s">
        <v>1233</v>
      </c>
      <c r="D3082" t="s">
        <v>1027</v>
      </c>
      <c r="E3082">
        <v>63762</v>
      </c>
      <c r="F3082" t="s">
        <v>1234</v>
      </c>
      <c r="G3082" t="b">
        <v>0</v>
      </c>
      <c r="H3082" t="b">
        <v>0</v>
      </c>
      <c r="I3082" t="s">
        <v>1050</v>
      </c>
      <c r="J3082">
        <v>88</v>
      </c>
      <c r="K3082" t="s">
        <v>0</v>
      </c>
      <c r="L3082" t="s">
        <v>1167</v>
      </c>
      <c r="M3082" t="s">
        <v>1168</v>
      </c>
      <c r="N3082" t="s">
        <v>1169</v>
      </c>
      <c r="O3082" t="s">
        <v>1168</v>
      </c>
      <c r="P3082" t="s">
        <v>1235</v>
      </c>
    </row>
    <row r="3083" spans="1:16" x14ac:dyDescent="0.25">
      <c r="A3083" t="s">
        <v>6204</v>
      </c>
      <c r="B3083" t="s">
        <v>6205</v>
      </c>
      <c r="C3083" t="s">
        <v>1233</v>
      </c>
      <c r="D3083" t="s">
        <v>1027</v>
      </c>
      <c r="E3083">
        <v>63762</v>
      </c>
      <c r="F3083" t="s">
        <v>1234</v>
      </c>
      <c r="G3083" t="b">
        <v>0</v>
      </c>
      <c r="H3083" t="b">
        <v>0</v>
      </c>
      <c r="I3083" t="s">
        <v>1050</v>
      </c>
      <c r="J3083">
        <v>88</v>
      </c>
      <c r="K3083" t="s">
        <v>0</v>
      </c>
      <c r="L3083" t="s">
        <v>1167</v>
      </c>
      <c r="M3083" t="s">
        <v>1168</v>
      </c>
      <c r="N3083" t="s">
        <v>1169</v>
      </c>
      <c r="O3083" t="s">
        <v>1168</v>
      </c>
      <c r="P3083" t="s">
        <v>1235</v>
      </c>
    </row>
    <row r="3084" spans="1:16" x14ac:dyDescent="0.25">
      <c r="A3084" t="s">
        <v>6206</v>
      </c>
      <c r="B3084" t="s">
        <v>6207</v>
      </c>
      <c r="C3084" t="s">
        <v>1233</v>
      </c>
      <c r="D3084" t="s">
        <v>1027</v>
      </c>
      <c r="E3084">
        <v>63762</v>
      </c>
      <c r="F3084" t="s">
        <v>1234</v>
      </c>
      <c r="G3084" t="b">
        <v>0</v>
      </c>
      <c r="H3084" t="b">
        <v>0</v>
      </c>
      <c r="I3084" t="s">
        <v>1050</v>
      </c>
      <c r="J3084">
        <v>88</v>
      </c>
      <c r="K3084" t="s">
        <v>0</v>
      </c>
      <c r="L3084" t="s">
        <v>1167</v>
      </c>
      <c r="M3084" t="s">
        <v>1168</v>
      </c>
      <c r="N3084" t="s">
        <v>1169</v>
      </c>
      <c r="O3084" t="s">
        <v>1168</v>
      </c>
      <c r="P3084" t="s">
        <v>1235</v>
      </c>
    </row>
    <row r="3085" spans="1:16" x14ac:dyDescent="0.25">
      <c r="A3085" t="s">
        <v>6208</v>
      </c>
      <c r="B3085" t="s">
        <v>6136</v>
      </c>
      <c r="C3085" t="s">
        <v>1233</v>
      </c>
      <c r="D3085" t="s">
        <v>1027</v>
      </c>
      <c r="E3085">
        <v>63762</v>
      </c>
      <c r="F3085" t="s">
        <v>1234</v>
      </c>
      <c r="G3085" t="b">
        <v>0</v>
      </c>
      <c r="H3085" t="b">
        <v>0</v>
      </c>
      <c r="I3085" t="s">
        <v>1050</v>
      </c>
      <c r="J3085">
        <v>88</v>
      </c>
      <c r="K3085" t="s">
        <v>0</v>
      </c>
      <c r="L3085" t="s">
        <v>1167</v>
      </c>
      <c r="M3085" t="s">
        <v>1168</v>
      </c>
      <c r="N3085" t="s">
        <v>1169</v>
      </c>
      <c r="O3085" t="s">
        <v>1168</v>
      </c>
      <c r="P3085" t="s">
        <v>1235</v>
      </c>
    </row>
    <row r="3086" spans="1:16" x14ac:dyDescent="0.25">
      <c r="A3086" t="s">
        <v>6209</v>
      </c>
      <c r="B3086" t="s">
        <v>6138</v>
      </c>
      <c r="C3086" t="s">
        <v>1233</v>
      </c>
      <c r="D3086" t="s">
        <v>1027</v>
      </c>
      <c r="E3086">
        <v>63762</v>
      </c>
      <c r="F3086" t="s">
        <v>1234</v>
      </c>
      <c r="G3086" t="b">
        <v>0</v>
      </c>
      <c r="H3086" t="b">
        <v>0</v>
      </c>
      <c r="I3086" t="s">
        <v>1050</v>
      </c>
      <c r="J3086">
        <v>88</v>
      </c>
      <c r="K3086" t="s">
        <v>0</v>
      </c>
      <c r="L3086" t="s">
        <v>1167</v>
      </c>
      <c r="M3086" t="s">
        <v>1168</v>
      </c>
      <c r="N3086" t="s">
        <v>1169</v>
      </c>
      <c r="O3086" t="s">
        <v>1168</v>
      </c>
      <c r="P3086" t="s">
        <v>1235</v>
      </c>
    </row>
    <row r="3087" spans="1:16" x14ac:dyDescent="0.25">
      <c r="A3087" t="s">
        <v>6210</v>
      </c>
      <c r="B3087" t="s">
        <v>6140</v>
      </c>
      <c r="C3087" t="s">
        <v>1233</v>
      </c>
      <c r="D3087" t="s">
        <v>1027</v>
      </c>
      <c r="E3087">
        <v>63762</v>
      </c>
      <c r="F3087" t="s">
        <v>1234</v>
      </c>
      <c r="G3087" t="b">
        <v>0</v>
      </c>
      <c r="H3087" t="b">
        <v>0</v>
      </c>
      <c r="I3087" t="s">
        <v>1050</v>
      </c>
      <c r="J3087">
        <v>88</v>
      </c>
      <c r="K3087" t="s">
        <v>0</v>
      </c>
      <c r="L3087" t="s">
        <v>1167</v>
      </c>
      <c r="M3087" t="s">
        <v>1168</v>
      </c>
      <c r="N3087" t="s">
        <v>1169</v>
      </c>
      <c r="O3087" t="s">
        <v>1168</v>
      </c>
      <c r="P3087" t="s">
        <v>1235</v>
      </c>
    </row>
    <row r="3088" spans="1:16" x14ac:dyDescent="0.25">
      <c r="A3088" t="s">
        <v>6211</v>
      </c>
      <c r="B3088" t="s">
        <v>6142</v>
      </c>
      <c r="C3088" t="s">
        <v>1233</v>
      </c>
      <c r="D3088" t="s">
        <v>1027</v>
      </c>
      <c r="E3088">
        <v>63762</v>
      </c>
      <c r="F3088" t="s">
        <v>1234</v>
      </c>
      <c r="G3088" t="b">
        <v>0</v>
      </c>
      <c r="H3088" t="b">
        <v>0</v>
      </c>
      <c r="I3088" t="s">
        <v>1050</v>
      </c>
      <c r="J3088">
        <v>88</v>
      </c>
      <c r="K3088" t="s">
        <v>0</v>
      </c>
      <c r="L3088" t="s">
        <v>1167</v>
      </c>
      <c r="M3088" t="s">
        <v>1168</v>
      </c>
      <c r="N3088" t="s">
        <v>1169</v>
      </c>
      <c r="O3088" t="s">
        <v>1168</v>
      </c>
      <c r="P3088" t="s">
        <v>1235</v>
      </c>
    </row>
    <row r="3089" spans="1:16" x14ac:dyDescent="0.25">
      <c r="A3089" t="s">
        <v>6212</v>
      </c>
      <c r="B3089" t="s">
        <v>6144</v>
      </c>
      <c r="C3089" t="s">
        <v>1233</v>
      </c>
      <c r="D3089" t="s">
        <v>1027</v>
      </c>
      <c r="E3089">
        <v>63762</v>
      </c>
      <c r="F3089" t="s">
        <v>1234</v>
      </c>
      <c r="G3089" t="b">
        <v>0</v>
      </c>
      <c r="H3089" t="b">
        <v>0</v>
      </c>
      <c r="I3089" t="s">
        <v>1050</v>
      </c>
      <c r="J3089">
        <v>88</v>
      </c>
      <c r="K3089" t="s">
        <v>0</v>
      </c>
      <c r="L3089" t="s">
        <v>1167</v>
      </c>
      <c r="M3089" t="s">
        <v>1168</v>
      </c>
      <c r="N3089" t="s">
        <v>1169</v>
      </c>
      <c r="O3089" t="s">
        <v>1168</v>
      </c>
      <c r="P3089" t="s">
        <v>1235</v>
      </c>
    </row>
    <row r="3090" spans="1:16" x14ac:dyDescent="0.25">
      <c r="A3090" t="s">
        <v>6213</v>
      </c>
      <c r="B3090" t="s">
        <v>6146</v>
      </c>
      <c r="C3090" t="s">
        <v>1233</v>
      </c>
      <c r="D3090" t="s">
        <v>1027</v>
      </c>
      <c r="E3090">
        <v>63762</v>
      </c>
      <c r="F3090" t="s">
        <v>1234</v>
      </c>
      <c r="G3090" t="b">
        <v>0</v>
      </c>
      <c r="H3090" t="b">
        <v>0</v>
      </c>
      <c r="I3090" t="s">
        <v>1050</v>
      </c>
      <c r="J3090">
        <v>88</v>
      </c>
      <c r="K3090" t="s">
        <v>0</v>
      </c>
      <c r="L3090" t="s">
        <v>1167</v>
      </c>
      <c r="M3090" t="s">
        <v>1168</v>
      </c>
      <c r="N3090" t="s">
        <v>1169</v>
      </c>
      <c r="O3090" t="s">
        <v>1168</v>
      </c>
      <c r="P3090" t="s">
        <v>1235</v>
      </c>
    </row>
    <row r="3091" spans="1:16" x14ac:dyDescent="0.25">
      <c r="A3091" t="s">
        <v>6214</v>
      </c>
      <c r="B3091" t="s">
        <v>6148</v>
      </c>
      <c r="C3091" t="s">
        <v>1233</v>
      </c>
      <c r="D3091" t="s">
        <v>1027</v>
      </c>
      <c r="E3091">
        <v>63762</v>
      </c>
      <c r="F3091" t="s">
        <v>1234</v>
      </c>
      <c r="G3091" t="b">
        <v>0</v>
      </c>
      <c r="H3091" t="b">
        <v>0</v>
      </c>
      <c r="I3091" t="s">
        <v>1050</v>
      </c>
      <c r="J3091">
        <v>88</v>
      </c>
      <c r="K3091" t="s">
        <v>0</v>
      </c>
      <c r="L3091" t="s">
        <v>1167</v>
      </c>
      <c r="M3091" t="s">
        <v>1168</v>
      </c>
      <c r="N3091" t="s">
        <v>1169</v>
      </c>
      <c r="O3091" t="s">
        <v>1168</v>
      </c>
      <c r="P3091" t="s">
        <v>1235</v>
      </c>
    </row>
    <row r="3092" spans="1:16" x14ac:dyDescent="0.25">
      <c r="A3092" t="s">
        <v>6215</v>
      </c>
      <c r="B3092" t="s">
        <v>6150</v>
      </c>
      <c r="C3092" t="s">
        <v>1233</v>
      </c>
      <c r="D3092" t="s">
        <v>1027</v>
      </c>
      <c r="E3092">
        <v>63762</v>
      </c>
      <c r="F3092" t="s">
        <v>1234</v>
      </c>
      <c r="G3092" t="b">
        <v>0</v>
      </c>
      <c r="H3092" t="b">
        <v>0</v>
      </c>
      <c r="I3092" t="s">
        <v>1050</v>
      </c>
      <c r="J3092">
        <v>88</v>
      </c>
      <c r="K3092" t="s">
        <v>0</v>
      </c>
      <c r="L3092" t="s">
        <v>1167</v>
      </c>
      <c r="M3092" t="s">
        <v>1168</v>
      </c>
      <c r="N3092" t="s">
        <v>1169</v>
      </c>
      <c r="O3092" t="s">
        <v>1168</v>
      </c>
      <c r="P3092" t="s">
        <v>1235</v>
      </c>
    </row>
    <row r="3093" spans="1:16" x14ac:dyDescent="0.25">
      <c r="A3093" t="s">
        <v>6216</v>
      </c>
      <c r="B3093" t="s">
        <v>6152</v>
      </c>
      <c r="C3093" t="s">
        <v>1233</v>
      </c>
      <c r="D3093" t="s">
        <v>1027</v>
      </c>
      <c r="E3093">
        <v>63762</v>
      </c>
      <c r="F3093" t="s">
        <v>1234</v>
      </c>
      <c r="G3093" t="b">
        <v>0</v>
      </c>
      <c r="H3093" t="b">
        <v>0</v>
      </c>
      <c r="I3093" t="s">
        <v>1050</v>
      </c>
      <c r="J3093">
        <v>88</v>
      </c>
      <c r="K3093" t="s">
        <v>0</v>
      </c>
      <c r="L3093" t="s">
        <v>1167</v>
      </c>
      <c r="M3093" t="s">
        <v>1168</v>
      </c>
      <c r="N3093" t="s">
        <v>1169</v>
      </c>
      <c r="O3093" t="s">
        <v>1168</v>
      </c>
      <c r="P3093" t="s">
        <v>1235</v>
      </c>
    </row>
    <row r="3094" spans="1:16" x14ac:dyDescent="0.25">
      <c r="A3094" t="s">
        <v>6217</v>
      </c>
      <c r="B3094" t="s">
        <v>6154</v>
      </c>
      <c r="C3094" t="s">
        <v>1233</v>
      </c>
      <c r="D3094" t="s">
        <v>1027</v>
      </c>
      <c r="E3094">
        <v>63762</v>
      </c>
      <c r="F3094" t="s">
        <v>1234</v>
      </c>
      <c r="G3094" t="b">
        <v>0</v>
      </c>
      <c r="H3094" t="b">
        <v>0</v>
      </c>
      <c r="I3094" t="s">
        <v>1050</v>
      </c>
      <c r="J3094">
        <v>88</v>
      </c>
      <c r="K3094" t="s">
        <v>0</v>
      </c>
      <c r="L3094" t="s">
        <v>1167</v>
      </c>
      <c r="M3094" t="s">
        <v>1168</v>
      </c>
      <c r="N3094" t="s">
        <v>1169</v>
      </c>
      <c r="O3094" t="s">
        <v>1168</v>
      </c>
      <c r="P3094" t="s">
        <v>1235</v>
      </c>
    </row>
    <row r="3095" spans="1:16" x14ac:dyDescent="0.25">
      <c r="A3095" t="s">
        <v>6218</v>
      </c>
      <c r="B3095" t="s">
        <v>6156</v>
      </c>
      <c r="C3095" t="s">
        <v>1233</v>
      </c>
      <c r="D3095" t="s">
        <v>1027</v>
      </c>
      <c r="E3095">
        <v>63762</v>
      </c>
      <c r="F3095" t="s">
        <v>1234</v>
      </c>
      <c r="G3095" t="b">
        <v>0</v>
      </c>
      <c r="H3095" t="b">
        <v>0</v>
      </c>
      <c r="I3095" t="s">
        <v>1050</v>
      </c>
      <c r="J3095">
        <v>88</v>
      </c>
      <c r="K3095" t="s">
        <v>0</v>
      </c>
      <c r="L3095" t="s">
        <v>1167</v>
      </c>
      <c r="M3095" t="s">
        <v>1168</v>
      </c>
      <c r="N3095" t="s">
        <v>1169</v>
      </c>
      <c r="O3095" t="s">
        <v>1168</v>
      </c>
      <c r="P3095" t="s">
        <v>1235</v>
      </c>
    </row>
    <row r="3096" spans="1:16" x14ac:dyDescent="0.25">
      <c r="A3096" t="s">
        <v>6219</v>
      </c>
      <c r="B3096" t="s">
        <v>6158</v>
      </c>
      <c r="C3096" t="s">
        <v>1233</v>
      </c>
      <c r="D3096" t="s">
        <v>1027</v>
      </c>
      <c r="E3096">
        <v>63762</v>
      </c>
      <c r="F3096" t="s">
        <v>1234</v>
      </c>
      <c r="G3096" t="b">
        <v>0</v>
      </c>
      <c r="H3096" t="b">
        <v>0</v>
      </c>
      <c r="I3096" t="s">
        <v>1050</v>
      </c>
      <c r="J3096">
        <v>88</v>
      </c>
      <c r="K3096" t="s">
        <v>0</v>
      </c>
      <c r="L3096" t="s">
        <v>1167</v>
      </c>
      <c r="M3096" t="s">
        <v>1168</v>
      </c>
      <c r="N3096" t="s">
        <v>1169</v>
      </c>
      <c r="O3096" t="s">
        <v>1168</v>
      </c>
      <c r="P3096" t="s">
        <v>1235</v>
      </c>
    </row>
    <row r="3097" spans="1:16" x14ac:dyDescent="0.25">
      <c r="A3097" t="s">
        <v>6220</v>
      </c>
      <c r="B3097" t="s">
        <v>6160</v>
      </c>
      <c r="C3097" t="s">
        <v>1233</v>
      </c>
      <c r="D3097" t="s">
        <v>1027</v>
      </c>
      <c r="E3097">
        <v>63762</v>
      </c>
      <c r="F3097" t="s">
        <v>1234</v>
      </c>
      <c r="G3097" t="b">
        <v>0</v>
      </c>
      <c r="H3097" t="b">
        <v>0</v>
      </c>
      <c r="I3097" t="s">
        <v>1050</v>
      </c>
      <c r="J3097">
        <v>88</v>
      </c>
      <c r="K3097" t="s">
        <v>0</v>
      </c>
      <c r="L3097" t="s">
        <v>1167</v>
      </c>
      <c r="M3097" t="s">
        <v>1168</v>
      </c>
      <c r="N3097" t="s">
        <v>1169</v>
      </c>
      <c r="O3097" t="s">
        <v>1168</v>
      </c>
      <c r="P3097" t="s">
        <v>1235</v>
      </c>
    </row>
    <row r="3098" spans="1:16" x14ac:dyDescent="0.25">
      <c r="A3098" t="s">
        <v>6221</v>
      </c>
      <c r="B3098" t="s">
        <v>6162</v>
      </c>
      <c r="C3098" t="s">
        <v>1233</v>
      </c>
      <c r="D3098" t="s">
        <v>1027</v>
      </c>
      <c r="E3098">
        <v>63762</v>
      </c>
      <c r="F3098" t="s">
        <v>1234</v>
      </c>
      <c r="G3098" t="b">
        <v>0</v>
      </c>
      <c r="H3098" t="b">
        <v>0</v>
      </c>
      <c r="I3098" t="s">
        <v>1050</v>
      </c>
      <c r="J3098">
        <v>88</v>
      </c>
      <c r="K3098" t="s">
        <v>0</v>
      </c>
      <c r="L3098" t="s">
        <v>1167</v>
      </c>
      <c r="M3098" t="s">
        <v>1168</v>
      </c>
      <c r="N3098" t="s">
        <v>1169</v>
      </c>
      <c r="O3098" t="s">
        <v>1168</v>
      </c>
      <c r="P3098" t="s">
        <v>1235</v>
      </c>
    </row>
    <row r="3099" spans="1:16" x14ac:dyDescent="0.25">
      <c r="A3099" t="s">
        <v>6222</v>
      </c>
      <c r="B3099" t="s">
        <v>6164</v>
      </c>
      <c r="C3099" t="s">
        <v>1233</v>
      </c>
      <c r="D3099" t="s">
        <v>1027</v>
      </c>
      <c r="E3099">
        <v>63762</v>
      </c>
      <c r="F3099" t="s">
        <v>1234</v>
      </c>
      <c r="G3099" t="b">
        <v>0</v>
      </c>
      <c r="H3099" t="b">
        <v>0</v>
      </c>
      <c r="I3099" t="s">
        <v>1050</v>
      </c>
      <c r="J3099">
        <v>88</v>
      </c>
      <c r="K3099" t="s">
        <v>0</v>
      </c>
      <c r="L3099" t="s">
        <v>1167</v>
      </c>
      <c r="M3099" t="s">
        <v>1168</v>
      </c>
      <c r="N3099" t="s">
        <v>1169</v>
      </c>
      <c r="O3099" t="s">
        <v>1168</v>
      </c>
      <c r="P3099" t="s">
        <v>1235</v>
      </c>
    </row>
    <row r="3100" spans="1:16" x14ac:dyDescent="0.25">
      <c r="A3100" t="s">
        <v>6223</v>
      </c>
      <c r="B3100" t="s">
        <v>6166</v>
      </c>
      <c r="C3100" t="s">
        <v>1233</v>
      </c>
      <c r="D3100" t="s">
        <v>1027</v>
      </c>
      <c r="E3100">
        <v>63762</v>
      </c>
      <c r="F3100" t="s">
        <v>1234</v>
      </c>
      <c r="G3100" t="b">
        <v>0</v>
      </c>
      <c r="H3100" t="b">
        <v>0</v>
      </c>
      <c r="I3100" t="s">
        <v>1050</v>
      </c>
      <c r="J3100">
        <v>88</v>
      </c>
      <c r="K3100" t="s">
        <v>0</v>
      </c>
      <c r="L3100" t="s">
        <v>1167</v>
      </c>
      <c r="M3100" t="s">
        <v>1168</v>
      </c>
      <c r="N3100" t="s">
        <v>1169</v>
      </c>
      <c r="O3100" t="s">
        <v>1168</v>
      </c>
      <c r="P3100" t="s">
        <v>1235</v>
      </c>
    </row>
    <row r="3101" spans="1:16" x14ac:dyDescent="0.25">
      <c r="A3101" t="s">
        <v>6224</v>
      </c>
      <c r="B3101" t="s">
        <v>6168</v>
      </c>
      <c r="C3101" t="s">
        <v>1233</v>
      </c>
      <c r="D3101" t="s">
        <v>1027</v>
      </c>
      <c r="E3101">
        <v>63762</v>
      </c>
      <c r="F3101" t="s">
        <v>1234</v>
      </c>
      <c r="G3101" t="b">
        <v>0</v>
      </c>
      <c r="H3101" t="b">
        <v>0</v>
      </c>
      <c r="I3101" t="s">
        <v>1050</v>
      </c>
      <c r="J3101">
        <v>88</v>
      </c>
      <c r="K3101" t="s">
        <v>0</v>
      </c>
      <c r="L3101" t="s">
        <v>1167</v>
      </c>
      <c r="M3101" t="s">
        <v>1168</v>
      </c>
      <c r="N3101" t="s">
        <v>1169</v>
      </c>
      <c r="O3101" t="s">
        <v>1168</v>
      </c>
      <c r="P3101" t="s">
        <v>1235</v>
      </c>
    </row>
    <row r="3102" spans="1:16" x14ac:dyDescent="0.25">
      <c r="A3102" t="s">
        <v>6225</v>
      </c>
      <c r="B3102" t="s">
        <v>6226</v>
      </c>
      <c r="C3102" t="s">
        <v>1233</v>
      </c>
      <c r="D3102" t="s">
        <v>1027</v>
      </c>
      <c r="E3102">
        <v>63762</v>
      </c>
      <c r="F3102" t="s">
        <v>1234</v>
      </c>
      <c r="G3102" t="b">
        <v>0</v>
      </c>
      <c r="H3102" t="b">
        <v>0</v>
      </c>
      <c r="I3102" t="s">
        <v>1050</v>
      </c>
      <c r="J3102">
        <v>88</v>
      </c>
      <c r="K3102" t="s">
        <v>0</v>
      </c>
      <c r="L3102" t="s">
        <v>1167</v>
      </c>
      <c r="M3102" t="s">
        <v>1168</v>
      </c>
      <c r="N3102" t="s">
        <v>1169</v>
      </c>
      <c r="O3102" t="s">
        <v>1168</v>
      </c>
      <c r="P3102" t="s">
        <v>1235</v>
      </c>
    </row>
    <row r="3103" spans="1:16" x14ac:dyDescent="0.25">
      <c r="A3103" t="s">
        <v>6227</v>
      </c>
      <c r="B3103" t="s">
        <v>6170</v>
      </c>
      <c r="C3103" t="s">
        <v>1233</v>
      </c>
      <c r="D3103" t="s">
        <v>1027</v>
      </c>
      <c r="E3103">
        <v>63762</v>
      </c>
      <c r="F3103" t="s">
        <v>1234</v>
      </c>
      <c r="G3103" t="b">
        <v>0</v>
      </c>
      <c r="H3103" t="b">
        <v>0</v>
      </c>
      <c r="I3103" t="s">
        <v>1050</v>
      </c>
      <c r="J3103">
        <v>88</v>
      </c>
      <c r="K3103" t="s">
        <v>0</v>
      </c>
      <c r="L3103" t="s">
        <v>1167</v>
      </c>
      <c r="M3103" t="s">
        <v>1168</v>
      </c>
      <c r="N3103" t="s">
        <v>1169</v>
      </c>
      <c r="O3103" t="s">
        <v>1168</v>
      </c>
      <c r="P3103" t="s">
        <v>1235</v>
      </c>
    </row>
    <row r="3104" spans="1:16" x14ac:dyDescent="0.25">
      <c r="A3104" t="s">
        <v>6228</v>
      </c>
      <c r="B3104" t="s">
        <v>6172</v>
      </c>
      <c r="C3104" t="s">
        <v>1233</v>
      </c>
      <c r="D3104" t="s">
        <v>1027</v>
      </c>
      <c r="E3104">
        <v>63762</v>
      </c>
      <c r="F3104" t="s">
        <v>1234</v>
      </c>
      <c r="G3104" t="b">
        <v>0</v>
      </c>
      <c r="H3104" t="b">
        <v>0</v>
      </c>
      <c r="I3104" t="s">
        <v>1050</v>
      </c>
      <c r="J3104">
        <v>88</v>
      </c>
      <c r="K3104" t="s">
        <v>0</v>
      </c>
      <c r="L3104" t="s">
        <v>1167</v>
      </c>
      <c r="M3104" t="s">
        <v>1168</v>
      </c>
      <c r="N3104" t="s">
        <v>1169</v>
      </c>
      <c r="O3104" t="s">
        <v>1168</v>
      </c>
      <c r="P3104" t="s">
        <v>1235</v>
      </c>
    </row>
    <row r="3105" spans="1:16" x14ac:dyDescent="0.25">
      <c r="A3105" t="s">
        <v>6229</v>
      </c>
      <c r="B3105" t="s">
        <v>6058</v>
      </c>
      <c r="C3105" t="s">
        <v>1233</v>
      </c>
      <c r="D3105" t="s">
        <v>1027</v>
      </c>
      <c r="E3105">
        <v>63762</v>
      </c>
      <c r="F3105" t="s">
        <v>1234</v>
      </c>
      <c r="G3105" t="b">
        <v>0</v>
      </c>
      <c r="H3105" t="b">
        <v>0</v>
      </c>
      <c r="I3105" t="s">
        <v>1050</v>
      </c>
      <c r="J3105">
        <v>88</v>
      </c>
      <c r="K3105" t="s">
        <v>0</v>
      </c>
      <c r="L3105" t="s">
        <v>1167</v>
      </c>
      <c r="M3105" t="s">
        <v>1168</v>
      </c>
      <c r="N3105" t="s">
        <v>1169</v>
      </c>
      <c r="O3105" t="s">
        <v>1168</v>
      </c>
      <c r="P3105" t="s">
        <v>1235</v>
      </c>
    </row>
    <row r="3106" spans="1:16" x14ac:dyDescent="0.25">
      <c r="A3106" t="s">
        <v>6230</v>
      </c>
      <c r="B3106" t="s">
        <v>6060</v>
      </c>
      <c r="C3106" t="s">
        <v>1233</v>
      </c>
      <c r="D3106" t="s">
        <v>1027</v>
      </c>
      <c r="E3106">
        <v>63762</v>
      </c>
      <c r="F3106" t="s">
        <v>1234</v>
      </c>
      <c r="G3106" t="b">
        <v>0</v>
      </c>
      <c r="H3106" t="b">
        <v>0</v>
      </c>
      <c r="I3106" t="s">
        <v>1050</v>
      </c>
      <c r="J3106">
        <v>88</v>
      </c>
      <c r="K3106" t="s">
        <v>0</v>
      </c>
      <c r="L3106" t="s">
        <v>1167</v>
      </c>
      <c r="M3106" t="s">
        <v>1168</v>
      </c>
      <c r="N3106" t="s">
        <v>1169</v>
      </c>
      <c r="O3106" t="s">
        <v>1168</v>
      </c>
      <c r="P3106" t="s">
        <v>1235</v>
      </c>
    </row>
    <row r="3107" spans="1:16" x14ac:dyDescent="0.25">
      <c r="A3107" t="s">
        <v>6231</v>
      </c>
      <c r="B3107" t="s">
        <v>6232</v>
      </c>
      <c r="C3107" t="s">
        <v>1233</v>
      </c>
      <c r="D3107" t="s">
        <v>1027</v>
      </c>
      <c r="E3107">
        <v>63762</v>
      </c>
      <c r="F3107" t="s">
        <v>1234</v>
      </c>
      <c r="G3107" t="b">
        <v>0</v>
      </c>
      <c r="H3107" t="b">
        <v>0</v>
      </c>
      <c r="I3107" t="s">
        <v>1050</v>
      </c>
      <c r="J3107">
        <v>88</v>
      </c>
      <c r="K3107" t="s">
        <v>0</v>
      </c>
      <c r="L3107" t="s">
        <v>1167</v>
      </c>
      <c r="M3107" t="s">
        <v>1168</v>
      </c>
      <c r="N3107" t="s">
        <v>1169</v>
      </c>
      <c r="O3107" t="s">
        <v>1168</v>
      </c>
      <c r="P3107" t="s">
        <v>1235</v>
      </c>
    </row>
    <row r="3108" spans="1:16" x14ac:dyDescent="0.25">
      <c r="A3108" t="s">
        <v>6233</v>
      </c>
      <c r="B3108" t="s">
        <v>6234</v>
      </c>
      <c r="C3108" t="s">
        <v>1233</v>
      </c>
      <c r="D3108" t="s">
        <v>1027</v>
      </c>
      <c r="E3108">
        <v>63762</v>
      </c>
      <c r="F3108" t="s">
        <v>1234</v>
      </c>
      <c r="G3108" t="b">
        <v>0</v>
      </c>
      <c r="H3108" t="b">
        <v>0</v>
      </c>
      <c r="I3108" t="s">
        <v>1050</v>
      </c>
      <c r="J3108">
        <v>88</v>
      </c>
      <c r="K3108" t="s">
        <v>0</v>
      </c>
      <c r="L3108" t="s">
        <v>1167</v>
      </c>
      <c r="M3108" t="s">
        <v>1168</v>
      </c>
      <c r="N3108" t="s">
        <v>1169</v>
      </c>
      <c r="O3108" t="s">
        <v>1168</v>
      </c>
      <c r="P3108" t="s">
        <v>1235</v>
      </c>
    </row>
    <row r="3109" spans="1:16" x14ac:dyDescent="0.25">
      <c r="A3109" t="s">
        <v>6235</v>
      </c>
      <c r="B3109" t="s">
        <v>6058</v>
      </c>
      <c r="C3109" t="s">
        <v>1233</v>
      </c>
      <c r="D3109" t="s">
        <v>1027</v>
      </c>
      <c r="E3109">
        <v>63762</v>
      </c>
      <c r="F3109" t="s">
        <v>1234</v>
      </c>
      <c r="G3109" t="b">
        <v>0</v>
      </c>
      <c r="H3109" t="b">
        <v>0</v>
      </c>
      <c r="I3109" t="s">
        <v>1050</v>
      </c>
      <c r="J3109">
        <v>88</v>
      </c>
      <c r="K3109" t="s">
        <v>0</v>
      </c>
      <c r="L3109" t="s">
        <v>1167</v>
      </c>
      <c r="M3109" t="s">
        <v>1168</v>
      </c>
      <c r="N3109" t="s">
        <v>1169</v>
      </c>
      <c r="O3109" t="s">
        <v>1168</v>
      </c>
      <c r="P3109" t="s">
        <v>1235</v>
      </c>
    </row>
    <row r="3110" spans="1:16" x14ac:dyDescent="0.25">
      <c r="A3110" t="s">
        <v>6236</v>
      </c>
      <c r="B3110" t="s">
        <v>6060</v>
      </c>
      <c r="C3110" t="s">
        <v>1233</v>
      </c>
      <c r="D3110" t="s">
        <v>1027</v>
      </c>
      <c r="E3110">
        <v>63762</v>
      </c>
      <c r="F3110" t="s">
        <v>1234</v>
      </c>
      <c r="G3110" t="b">
        <v>0</v>
      </c>
      <c r="H3110" t="b">
        <v>0</v>
      </c>
      <c r="I3110" t="s">
        <v>1050</v>
      </c>
      <c r="J3110">
        <v>88</v>
      </c>
      <c r="K3110" t="s">
        <v>0</v>
      </c>
      <c r="L3110" t="s">
        <v>1167</v>
      </c>
      <c r="M3110" t="s">
        <v>1168</v>
      </c>
      <c r="N3110" t="s">
        <v>1169</v>
      </c>
      <c r="O3110" t="s">
        <v>1168</v>
      </c>
      <c r="P3110" t="s">
        <v>1235</v>
      </c>
    </row>
    <row r="3111" spans="1:16" x14ac:dyDescent="0.25">
      <c r="A3111" t="s">
        <v>6237</v>
      </c>
      <c r="B3111" t="s">
        <v>6232</v>
      </c>
      <c r="C3111" t="s">
        <v>1233</v>
      </c>
      <c r="D3111" t="s">
        <v>1027</v>
      </c>
      <c r="E3111">
        <v>63762</v>
      </c>
      <c r="F3111" t="s">
        <v>1234</v>
      </c>
      <c r="G3111" t="b">
        <v>0</v>
      </c>
      <c r="H3111" t="b">
        <v>0</v>
      </c>
      <c r="I3111" t="s">
        <v>1050</v>
      </c>
      <c r="J3111">
        <v>88</v>
      </c>
      <c r="K3111" t="s">
        <v>0</v>
      </c>
      <c r="L3111" t="s">
        <v>1167</v>
      </c>
      <c r="M3111" t="s">
        <v>1168</v>
      </c>
      <c r="N3111" t="s">
        <v>1169</v>
      </c>
      <c r="O3111" t="s">
        <v>1168</v>
      </c>
      <c r="P3111" t="s">
        <v>1235</v>
      </c>
    </row>
    <row r="3112" spans="1:16" x14ac:dyDescent="0.25">
      <c r="A3112" t="s">
        <v>6238</v>
      </c>
      <c r="B3112" t="s">
        <v>6234</v>
      </c>
      <c r="C3112" t="s">
        <v>1233</v>
      </c>
      <c r="D3112" t="s">
        <v>1027</v>
      </c>
      <c r="E3112">
        <v>63762</v>
      </c>
      <c r="F3112" t="s">
        <v>1234</v>
      </c>
      <c r="G3112" t="b">
        <v>0</v>
      </c>
      <c r="H3112" t="b">
        <v>0</v>
      </c>
      <c r="I3112" t="s">
        <v>1050</v>
      </c>
      <c r="J3112">
        <v>88</v>
      </c>
      <c r="K3112" t="s">
        <v>0</v>
      </c>
      <c r="L3112" t="s">
        <v>1167</v>
      </c>
      <c r="M3112" t="s">
        <v>1168</v>
      </c>
      <c r="N3112" t="s">
        <v>1169</v>
      </c>
      <c r="O3112" t="s">
        <v>1168</v>
      </c>
      <c r="P3112" t="s">
        <v>1235</v>
      </c>
    </row>
    <row r="3113" spans="1:16" x14ac:dyDescent="0.25">
      <c r="A3113" t="s">
        <v>6239</v>
      </c>
      <c r="B3113" t="s">
        <v>6013</v>
      </c>
      <c r="C3113" t="s">
        <v>1233</v>
      </c>
      <c r="D3113" t="s">
        <v>1027</v>
      </c>
      <c r="E3113">
        <v>63762</v>
      </c>
      <c r="F3113" t="s">
        <v>1234</v>
      </c>
      <c r="G3113" t="b">
        <v>0</v>
      </c>
      <c r="H3113" t="b">
        <v>0</v>
      </c>
      <c r="I3113" t="s">
        <v>1050</v>
      </c>
      <c r="J3113">
        <v>88</v>
      </c>
      <c r="K3113" t="s">
        <v>0</v>
      </c>
      <c r="L3113" t="s">
        <v>1167</v>
      </c>
      <c r="M3113" t="s">
        <v>1168</v>
      </c>
      <c r="N3113" t="s">
        <v>1169</v>
      </c>
      <c r="O3113" t="s">
        <v>1168</v>
      </c>
      <c r="P3113" t="s">
        <v>1235</v>
      </c>
    </row>
    <row r="3114" spans="1:16" x14ac:dyDescent="0.25">
      <c r="A3114" t="s">
        <v>6240</v>
      </c>
      <c r="B3114" t="s">
        <v>6015</v>
      </c>
      <c r="C3114" t="s">
        <v>1233</v>
      </c>
      <c r="D3114" t="s">
        <v>1027</v>
      </c>
      <c r="E3114">
        <v>63762</v>
      </c>
      <c r="F3114" t="s">
        <v>1234</v>
      </c>
      <c r="G3114" t="b">
        <v>0</v>
      </c>
      <c r="H3114" t="b">
        <v>0</v>
      </c>
      <c r="I3114" t="s">
        <v>1050</v>
      </c>
      <c r="J3114">
        <v>88</v>
      </c>
      <c r="K3114" t="s">
        <v>0</v>
      </c>
      <c r="L3114" t="s">
        <v>1167</v>
      </c>
      <c r="M3114" t="s">
        <v>1168</v>
      </c>
      <c r="N3114" t="s">
        <v>1169</v>
      </c>
      <c r="O3114" t="s">
        <v>1168</v>
      </c>
      <c r="P3114" t="s">
        <v>1235</v>
      </c>
    </row>
    <row r="3115" spans="1:16" x14ac:dyDescent="0.25">
      <c r="A3115" t="s">
        <v>6241</v>
      </c>
      <c r="B3115" t="s">
        <v>6013</v>
      </c>
      <c r="C3115" t="s">
        <v>1233</v>
      </c>
      <c r="D3115" t="s">
        <v>1027</v>
      </c>
      <c r="E3115">
        <v>63762</v>
      </c>
      <c r="F3115" t="s">
        <v>1234</v>
      </c>
      <c r="G3115" t="b">
        <v>0</v>
      </c>
      <c r="H3115" t="b">
        <v>0</v>
      </c>
      <c r="I3115" t="s">
        <v>1050</v>
      </c>
      <c r="J3115">
        <v>91</v>
      </c>
      <c r="K3115" t="s">
        <v>0</v>
      </c>
      <c r="L3115" t="s">
        <v>1167</v>
      </c>
      <c r="M3115" t="s">
        <v>1168</v>
      </c>
      <c r="N3115" t="s">
        <v>1169</v>
      </c>
      <c r="O3115" t="s">
        <v>1168</v>
      </c>
      <c r="P3115" t="s">
        <v>1235</v>
      </c>
    </row>
    <row r="3116" spans="1:16" x14ac:dyDescent="0.25">
      <c r="A3116" t="s">
        <v>6242</v>
      </c>
      <c r="B3116" t="s">
        <v>6015</v>
      </c>
      <c r="C3116" t="s">
        <v>1233</v>
      </c>
      <c r="D3116" t="s">
        <v>1027</v>
      </c>
      <c r="E3116">
        <v>63762</v>
      </c>
      <c r="F3116" t="s">
        <v>1234</v>
      </c>
      <c r="G3116" t="b">
        <v>0</v>
      </c>
      <c r="H3116" t="b">
        <v>0</v>
      </c>
      <c r="I3116" t="s">
        <v>1050</v>
      </c>
      <c r="J3116">
        <v>91</v>
      </c>
      <c r="K3116" t="s">
        <v>0</v>
      </c>
      <c r="L3116" t="s">
        <v>1167</v>
      </c>
      <c r="M3116" t="s">
        <v>1168</v>
      </c>
      <c r="N3116" t="s">
        <v>1169</v>
      </c>
      <c r="O3116" t="s">
        <v>1168</v>
      </c>
      <c r="P3116" t="s">
        <v>1235</v>
      </c>
    </row>
    <row r="3117" spans="1:16" x14ac:dyDescent="0.25">
      <c r="A3117" t="s">
        <v>6243</v>
      </c>
      <c r="B3117" t="s">
        <v>6017</v>
      </c>
      <c r="C3117" t="s">
        <v>1233</v>
      </c>
      <c r="D3117" t="s">
        <v>1027</v>
      </c>
      <c r="E3117">
        <v>63762</v>
      </c>
      <c r="F3117" t="s">
        <v>1234</v>
      </c>
      <c r="G3117" t="b">
        <v>0</v>
      </c>
      <c r="H3117" t="b">
        <v>0</v>
      </c>
      <c r="I3117" t="s">
        <v>1050</v>
      </c>
      <c r="J3117">
        <v>91</v>
      </c>
      <c r="K3117" t="s">
        <v>0</v>
      </c>
      <c r="L3117" t="s">
        <v>1167</v>
      </c>
      <c r="M3117" t="s">
        <v>1168</v>
      </c>
      <c r="N3117" t="s">
        <v>1169</v>
      </c>
      <c r="O3117" t="s">
        <v>1168</v>
      </c>
      <c r="P3117" t="s">
        <v>1235</v>
      </c>
    </row>
    <row r="3118" spans="1:16" x14ac:dyDescent="0.25">
      <c r="A3118" t="s">
        <v>6244</v>
      </c>
      <c r="B3118" t="s">
        <v>6106</v>
      </c>
      <c r="C3118" t="s">
        <v>1233</v>
      </c>
      <c r="D3118" t="s">
        <v>1027</v>
      </c>
      <c r="E3118">
        <v>63762</v>
      </c>
      <c r="F3118" t="s">
        <v>1234</v>
      </c>
      <c r="G3118" t="b">
        <v>0</v>
      </c>
      <c r="H3118" t="b">
        <v>0</v>
      </c>
      <c r="I3118" t="s">
        <v>1050</v>
      </c>
      <c r="J3118">
        <v>91</v>
      </c>
      <c r="K3118" t="s">
        <v>0</v>
      </c>
      <c r="L3118" t="s">
        <v>1167</v>
      </c>
      <c r="M3118" t="s">
        <v>1168</v>
      </c>
      <c r="N3118" t="s">
        <v>1169</v>
      </c>
      <c r="O3118" t="s">
        <v>1168</v>
      </c>
      <c r="P3118" t="s">
        <v>1235</v>
      </c>
    </row>
    <row r="3119" spans="1:16" x14ac:dyDescent="0.25">
      <c r="A3119" t="s">
        <v>6245</v>
      </c>
      <c r="B3119" t="s">
        <v>6013</v>
      </c>
      <c r="C3119" t="s">
        <v>1233</v>
      </c>
      <c r="D3119" t="s">
        <v>1027</v>
      </c>
      <c r="E3119">
        <v>63762</v>
      </c>
      <c r="F3119" t="s">
        <v>1234</v>
      </c>
      <c r="G3119" t="b">
        <v>0</v>
      </c>
      <c r="H3119" t="b">
        <v>0</v>
      </c>
      <c r="I3119" t="s">
        <v>1050</v>
      </c>
      <c r="J3119">
        <v>91</v>
      </c>
      <c r="K3119" t="s">
        <v>0</v>
      </c>
      <c r="L3119" t="s">
        <v>1167</v>
      </c>
      <c r="M3119" t="s">
        <v>1168</v>
      </c>
      <c r="N3119" t="s">
        <v>1169</v>
      </c>
      <c r="O3119" t="s">
        <v>1168</v>
      </c>
      <c r="P3119" t="s">
        <v>1235</v>
      </c>
    </row>
    <row r="3120" spans="1:16" x14ac:dyDescent="0.25">
      <c r="A3120" t="s">
        <v>6246</v>
      </c>
      <c r="B3120" t="s">
        <v>6015</v>
      </c>
      <c r="C3120" t="s">
        <v>1233</v>
      </c>
      <c r="D3120" t="s">
        <v>1027</v>
      </c>
      <c r="E3120">
        <v>63762</v>
      </c>
      <c r="F3120" t="s">
        <v>1234</v>
      </c>
      <c r="G3120" t="b">
        <v>0</v>
      </c>
      <c r="H3120" t="b">
        <v>0</v>
      </c>
      <c r="I3120" t="s">
        <v>1050</v>
      </c>
      <c r="J3120">
        <v>91</v>
      </c>
      <c r="K3120" t="s">
        <v>0</v>
      </c>
      <c r="L3120" t="s">
        <v>1167</v>
      </c>
      <c r="M3120" t="s">
        <v>1168</v>
      </c>
      <c r="N3120" t="s">
        <v>1169</v>
      </c>
      <c r="O3120" t="s">
        <v>1168</v>
      </c>
      <c r="P3120" t="s">
        <v>1235</v>
      </c>
    </row>
    <row r="3121" spans="1:16" x14ac:dyDescent="0.25">
      <c r="A3121" t="s">
        <v>6247</v>
      </c>
      <c r="B3121" t="s">
        <v>6017</v>
      </c>
      <c r="C3121" t="s">
        <v>1233</v>
      </c>
      <c r="D3121" t="s">
        <v>1027</v>
      </c>
      <c r="E3121">
        <v>63762</v>
      </c>
      <c r="F3121" t="s">
        <v>1234</v>
      </c>
      <c r="G3121" t="b">
        <v>0</v>
      </c>
      <c r="H3121" t="b">
        <v>0</v>
      </c>
      <c r="I3121" t="s">
        <v>1050</v>
      </c>
      <c r="J3121">
        <v>91</v>
      </c>
      <c r="K3121" t="s">
        <v>0</v>
      </c>
      <c r="L3121" t="s">
        <v>1167</v>
      </c>
      <c r="M3121" t="s">
        <v>1168</v>
      </c>
      <c r="N3121" t="s">
        <v>1169</v>
      </c>
      <c r="O3121" t="s">
        <v>1168</v>
      </c>
      <c r="P3121" t="s">
        <v>1235</v>
      </c>
    </row>
    <row r="3122" spans="1:16" x14ac:dyDescent="0.25">
      <c r="A3122" t="s">
        <v>6248</v>
      </c>
      <c r="B3122" t="s">
        <v>6106</v>
      </c>
      <c r="C3122" t="s">
        <v>1233</v>
      </c>
      <c r="D3122" t="s">
        <v>1027</v>
      </c>
      <c r="E3122">
        <v>63762</v>
      </c>
      <c r="F3122" t="s">
        <v>1234</v>
      </c>
      <c r="G3122" t="b">
        <v>0</v>
      </c>
      <c r="H3122" t="b">
        <v>0</v>
      </c>
      <c r="I3122" t="s">
        <v>1050</v>
      </c>
      <c r="J3122">
        <v>91</v>
      </c>
      <c r="K3122" t="s">
        <v>0</v>
      </c>
      <c r="L3122" t="s">
        <v>1167</v>
      </c>
      <c r="M3122" t="s">
        <v>1168</v>
      </c>
      <c r="N3122" t="s">
        <v>1169</v>
      </c>
      <c r="O3122" t="s">
        <v>1168</v>
      </c>
      <c r="P3122" t="s">
        <v>1235</v>
      </c>
    </row>
    <row r="3123" spans="1:16" x14ac:dyDescent="0.25">
      <c r="A3123" t="s">
        <v>6249</v>
      </c>
      <c r="B3123" t="s">
        <v>6013</v>
      </c>
      <c r="C3123" t="s">
        <v>1233</v>
      </c>
      <c r="D3123" t="s">
        <v>1027</v>
      </c>
      <c r="E3123">
        <v>63762</v>
      </c>
      <c r="F3123" t="s">
        <v>1234</v>
      </c>
      <c r="G3123" t="b">
        <v>0</v>
      </c>
      <c r="H3123" t="b">
        <v>0</v>
      </c>
      <c r="I3123" t="s">
        <v>1050</v>
      </c>
      <c r="J3123">
        <v>91</v>
      </c>
      <c r="K3123" t="s">
        <v>0</v>
      </c>
      <c r="L3123" t="s">
        <v>1167</v>
      </c>
      <c r="M3123" t="s">
        <v>1168</v>
      </c>
      <c r="N3123" t="s">
        <v>1169</v>
      </c>
      <c r="O3123" t="s">
        <v>1168</v>
      </c>
      <c r="P3123" t="s">
        <v>1235</v>
      </c>
    </row>
    <row r="3124" spans="1:16" x14ac:dyDescent="0.25">
      <c r="A3124" t="s">
        <v>6250</v>
      </c>
      <c r="B3124" t="s">
        <v>6015</v>
      </c>
      <c r="C3124" t="s">
        <v>1233</v>
      </c>
      <c r="D3124" t="s">
        <v>1027</v>
      </c>
      <c r="E3124">
        <v>63762</v>
      </c>
      <c r="F3124" t="s">
        <v>1234</v>
      </c>
      <c r="G3124" t="b">
        <v>0</v>
      </c>
      <c r="H3124" t="b">
        <v>0</v>
      </c>
      <c r="I3124" t="s">
        <v>1050</v>
      </c>
      <c r="J3124">
        <v>91</v>
      </c>
      <c r="K3124" t="s">
        <v>0</v>
      </c>
      <c r="L3124" t="s">
        <v>1167</v>
      </c>
      <c r="M3124" t="s">
        <v>1168</v>
      </c>
      <c r="N3124" t="s">
        <v>1169</v>
      </c>
      <c r="O3124" t="s">
        <v>1168</v>
      </c>
      <c r="P3124" t="s">
        <v>1235</v>
      </c>
    </row>
    <row r="3125" spans="1:16" x14ac:dyDescent="0.25">
      <c r="A3125" t="s">
        <v>6251</v>
      </c>
      <c r="B3125" t="s">
        <v>6017</v>
      </c>
      <c r="C3125" t="s">
        <v>1233</v>
      </c>
      <c r="D3125" t="s">
        <v>1027</v>
      </c>
      <c r="E3125">
        <v>63762</v>
      </c>
      <c r="F3125" t="s">
        <v>1234</v>
      </c>
      <c r="G3125" t="b">
        <v>0</v>
      </c>
      <c r="H3125" t="b">
        <v>0</v>
      </c>
      <c r="I3125" t="s">
        <v>1050</v>
      </c>
      <c r="J3125">
        <v>91</v>
      </c>
      <c r="K3125" t="s">
        <v>0</v>
      </c>
      <c r="L3125" t="s">
        <v>1167</v>
      </c>
      <c r="M3125" t="s">
        <v>1168</v>
      </c>
      <c r="N3125" t="s">
        <v>1169</v>
      </c>
      <c r="O3125" t="s">
        <v>1168</v>
      </c>
      <c r="P3125" t="s">
        <v>1235</v>
      </c>
    </row>
    <row r="3126" spans="1:16" x14ac:dyDescent="0.25">
      <c r="A3126" t="s">
        <v>6252</v>
      </c>
      <c r="B3126" t="s">
        <v>6106</v>
      </c>
      <c r="C3126" t="s">
        <v>1233</v>
      </c>
      <c r="D3126" t="s">
        <v>1027</v>
      </c>
      <c r="E3126">
        <v>63762</v>
      </c>
      <c r="F3126" t="s">
        <v>1234</v>
      </c>
      <c r="G3126" t="b">
        <v>0</v>
      </c>
      <c r="H3126" t="b">
        <v>0</v>
      </c>
      <c r="I3126" t="s">
        <v>1050</v>
      </c>
      <c r="J3126">
        <v>91</v>
      </c>
      <c r="K3126" t="s">
        <v>0</v>
      </c>
      <c r="L3126" t="s">
        <v>1167</v>
      </c>
      <c r="M3126" t="s">
        <v>1168</v>
      </c>
      <c r="N3126" t="s">
        <v>1169</v>
      </c>
      <c r="O3126" t="s">
        <v>1168</v>
      </c>
      <c r="P3126" t="s">
        <v>1235</v>
      </c>
    </row>
    <row r="3127" spans="1:16" x14ac:dyDescent="0.25">
      <c r="A3127" t="s">
        <v>6253</v>
      </c>
      <c r="B3127" t="s">
        <v>6013</v>
      </c>
      <c r="C3127" t="s">
        <v>1233</v>
      </c>
      <c r="D3127" t="s">
        <v>1027</v>
      </c>
      <c r="E3127">
        <v>63762</v>
      </c>
      <c r="F3127" t="s">
        <v>1234</v>
      </c>
      <c r="G3127" t="b">
        <v>0</v>
      </c>
      <c r="H3127" t="b">
        <v>0</v>
      </c>
      <c r="I3127" t="s">
        <v>1050</v>
      </c>
      <c r="J3127">
        <v>91</v>
      </c>
      <c r="K3127" t="s">
        <v>0</v>
      </c>
      <c r="L3127" t="s">
        <v>1167</v>
      </c>
      <c r="M3127" t="s">
        <v>1168</v>
      </c>
      <c r="N3127" t="s">
        <v>1169</v>
      </c>
      <c r="O3127" t="s">
        <v>1168</v>
      </c>
      <c r="P3127" t="s">
        <v>1235</v>
      </c>
    </row>
    <row r="3128" spans="1:16" x14ac:dyDescent="0.25">
      <c r="A3128" t="s">
        <v>6254</v>
      </c>
      <c r="B3128" t="s">
        <v>6015</v>
      </c>
      <c r="C3128" t="s">
        <v>1233</v>
      </c>
      <c r="D3128" t="s">
        <v>1027</v>
      </c>
      <c r="E3128">
        <v>63762</v>
      </c>
      <c r="F3128" t="s">
        <v>1234</v>
      </c>
      <c r="G3128" t="b">
        <v>0</v>
      </c>
      <c r="H3128" t="b">
        <v>0</v>
      </c>
      <c r="I3128" t="s">
        <v>1050</v>
      </c>
      <c r="J3128">
        <v>91</v>
      </c>
      <c r="K3128" t="s">
        <v>0</v>
      </c>
      <c r="L3128" t="s">
        <v>1167</v>
      </c>
      <c r="M3128" t="s">
        <v>1168</v>
      </c>
      <c r="N3128" t="s">
        <v>1169</v>
      </c>
      <c r="O3128" t="s">
        <v>1168</v>
      </c>
      <c r="P3128" t="s">
        <v>1235</v>
      </c>
    </row>
    <row r="3129" spans="1:16" x14ac:dyDescent="0.25">
      <c r="A3129" t="s">
        <v>6255</v>
      </c>
      <c r="B3129" t="s">
        <v>6017</v>
      </c>
      <c r="C3129" t="s">
        <v>1233</v>
      </c>
      <c r="D3129" t="s">
        <v>1027</v>
      </c>
      <c r="E3129">
        <v>63762</v>
      </c>
      <c r="F3129" t="s">
        <v>1234</v>
      </c>
      <c r="G3129" t="b">
        <v>0</v>
      </c>
      <c r="H3129" t="b">
        <v>0</v>
      </c>
      <c r="I3129" t="s">
        <v>1050</v>
      </c>
      <c r="J3129">
        <v>91</v>
      </c>
      <c r="K3129" t="s">
        <v>0</v>
      </c>
      <c r="L3129" t="s">
        <v>1167</v>
      </c>
      <c r="M3129" t="s">
        <v>1168</v>
      </c>
      <c r="N3129" t="s">
        <v>1169</v>
      </c>
      <c r="O3129" t="s">
        <v>1168</v>
      </c>
      <c r="P3129" t="s">
        <v>1235</v>
      </c>
    </row>
    <row r="3130" spans="1:16" x14ac:dyDescent="0.25">
      <c r="A3130" t="s">
        <v>6256</v>
      </c>
      <c r="B3130" t="s">
        <v>6106</v>
      </c>
      <c r="C3130" t="s">
        <v>1233</v>
      </c>
      <c r="D3130" t="s">
        <v>1027</v>
      </c>
      <c r="E3130">
        <v>63762</v>
      </c>
      <c r="F3130" t="s">
        <v>1234</v>
      </c>
      <c r="G3130" t="b">
        <v>0</v>
      </c>
      <c r="H3130" t="b">
        <v>0</v>
      </c>
      <c r="I3130" t="s">
        <v>1050</v>
      </c>
      <c r="J3130">
        <v>91</v>
      </c>
      <c r="K3130" t="s">
        <v>0</v>
      </c>
      <c r="L3130" t="s">
        <v>1167</v>
      </c>
      <c r="M3130" t="s">
        <v>1168</v>
      </c>
      <c r="N3130" t="s">
        <v>1169</v>
      </c>
      <c r="O3130" t="s">
        <v>1168</v>
      </c>
      <c r="P3130" t="s">
        <v>1235</v>
      </c>
    </row>
    <row r="3131" spans="1:16" x14ac:dyDescent="0.25">
      <c r="A3131" t="s">
        <v>6257</v>
      </c>
      <c r="B3131" t="s">
        <v>6258</v>
      </c>
      <c r="C3131" t="s">
        <v>1233</v>
      </c>
      <c r="D3131" t="s">
        <v>1027</v>
      </c>
      <c r="E3131">
        <v>63762</v>
      </c>
      <c r="F3131" t="s">
        <v>1234</v>
      </c>
      <c r="G3131" t="b">
        <v>0</v>
      </c>
      <c r="H3131" t="b">
        <v>0</v>
      </c>
      <c r="I3131" t="s">
        <v>1050</v>
      </c>
      <c r="J3131">
        <v>88</v>
      </c>
      <c r="K3131" t="s">
        <v>0</v>
      </c>
      <c r="L3131" t="s">
        <v>1167</v>
      </c>
      <c r="M3131" t="s">
        <v>1168</v>
      </c>
      <c r="N3131" t="s">
        <v>1169</v>
      </c>
      <c r="O3131" t="s">
        <v>1168</v>
      </c>
      <c r="P3131" t="s">
        <v>1235</v>
      </c>
    </row>
    <row r="3132" spans="1:16" x14ac:dyDescent="0.25">
      <c r="A3132" t="s">
        <v>6259</v>
      </c>
      <c r="B3132" t="s">
        <v>6112</v>
      </c>
      <c r="C3132" t="s">
        <v>1233</v>
      </c>
      <c r="D3132" t="s">
        <v>1027</v>
      </c>
      <c r="E3132">
        <v>63762</v>
      </c>
      <c r="F3132" t="s">
        <v>1234</v>
      </c>
      <c r="G3132" t="b">
        <v>0</v>
      </c>
      <c r="H3132" t="b">
        <v>0</v>
      </c>
      <c r="I3132" t="s">
        <v>1050</v>
      </c>
      <c r="J3132">
        <v>88</v>
      </c>
      <c r="K3132" t="s">
        <v>0</v>
      </c>
      <c r="L3132" t="s">
        <v>1167</v>
      </c>
      <c r="M3132" t="s">
        <v>1168</v>
      </c>
      <c r="N3132" t="s">
        <v>1169</v>
      </c>
      <c r="O3132" t="s">
        <v>1168</v>
      </c>
      <c r="P3132" t="s">
        <v>1235</v>
      </c>
    </row>
    <row r="3133" spans="1:16" x14ac:dyDescent="0.25">
      <c r="A3133" t="s">
        <v>6260</v>
      </c>
      <c r="B3133" t="s">
        <v>6114</v>
      </c>
      <c r="C3133" t="s">
        <v>1233</v>
      </c>
      <c r="D3133" t="s">
        <v>1027</v>
      </c>
      <c r="E3133">
        <v>63762</v>
      </c>
      <c r="F3133" t="s">
        <v>1234</v>
      </c>
      <c r="G3133" t="b">
        <v>0</v>
      </c>
      <c r="H3133" t="b">
        <v>0</v>
      </c>
      <c r="I3133" t="s">
        <v>1050</v>
      </c>
      <c r="J3133">
        <v>88</v>
      </c>
      <c r="K3133" t="s">
        <v>0</v>
      </c>
      <c r="L3133" t="s">
        <v>1167</v>
      </c>
      <c r="M3133" t="s">
        <v>1168</v>
      </c>
      <c r="N3133" t="s">
        <v>1169</v>
      </c>
      <c r="O3133" t="s">
        <v>1168</v>
      </c>
      <c r="P3133" t="s">
        <v>1235</v>
      </c>
    </row>
    <row r="3134" spans="1:16" x14ac:dyDescent="0.25">
      <c r="A3134" t="s">
        <v>6261</v>
      </c>
      <c r="B3134" t="s">
        <v>6116</v>
      </c>
      <c r="C3134" t="s">
        <v>1233</v>
      </c>
      <c r="D3134" t="s">
        <v>1027</v>
      </c>
      <c r="E3134">
        <v>63762</v>
      </c>
      <c r="F3134" t="s">
        <v>1234</v>
      </c>
      <c r="G3134" t="b">
        <v>0</v>
      </c>
      <c r="H3134" t="b">
        <v>0</v>
      </c>
      <c r="I3134" t="s">
        <v>1050</v>
      </c>
      <c r="J3134">
        <v>88</v>
      </c>
      <c r="K3134" t="s">
        <v>0</v>
      </c>
      <c r="L3134" t="s">
        <v>1167</v>
      </c>
      <c r="M3134" t="s">
        <v>1168</v>
      </c>
      <c r="N3134" t="s">
        <v>1169</v>
      </c>
      <c r="O3134" t="s">
        <v>1168</v>
      </c>
      <c r="P3134" t="s">
        <v>1235</v>
      </c>
    </row>
    <row r="3135" spans="1:16" x14ac:dyDescent="0.25">
      <c r="A3135" t="s">
        <v>6262</v>
      </c>
      <c r="B3135" t="s">
        <v>6062</v>
      </c>
      <c r="C3135" t="s">
        <v>1233</v>
      </c>
      <c r="D3135" t="s">
        <v>1027</v>
      </c>
      <c r="E3135">
        <v>63762</v>
      </c>
      <c r="F3135" t="s">
        <v>1234</v>
      </c>
      <c r="G3135" t="b">
        <v>0</v>
      </c>
      <c r="H3135" t="b">
        <v>0</v>
      </c>
      <c r="I3135" t="s">
        <v>1050</v>
      </c>
      <c r="J3135">
        <v>88</v>
      </c>
      <c r="K3135" t="s">
        <v>0</v>
      </c>
      <c r="L3135" t="s">
        <v>1167</v>
      </c>
      <c r="M3135" t="s">
        <v>1168</v>
      </c>
      <c r="N3135" t="s">
        <v>1169</v>
      </c>
      <c r="O3135" t="s">
        <v>1168</v>
      </c>
      <c r="P3135" t="s">
        <v>1235</v>
      </c>
    </row>
    <row r="3136" spans="1:16" x14ac:dyDescent="0.25">
      <c r="A3136" t="s">
        <v>6263</v>
      </c>
      <c r="B3136" t="s">
        <v>6264</v>
      </c>
      <c r="C3136" t="s">
        <v>1233</v>
      </c>
      <c r="D3136" t="s">
        <v>1027</v>
      </c>
      <c r="E3136">
        <v>63762</v>
      </c>
      <c r="F3136" t="s">
        <v>1234</v>
      </c>
      <c r="G3136" t="b">
        <v>0</v>
      </c>
      <c r="H3136" t="b">
        <v>0</v>
      </c>
      <c r="I3136" t="s">
        <v>1050</v>
      </c>
      <c r="J3136">
        <v>88</v>
      </c>
      <c r="K3136" t="s">
        <v>0</v>
      </c>
      <c r="L3136" t="s">
        <v>1167</v>
      </c>
      <c r="M3136" t="s">
        <v>1168</v>
      </c>
      <c r="N3136" t="s">
        <v>1169</v>
      </c>
      <c r="O3136" t="s">
        <v>1168</v>
      </c>
      <c r="P3136" t="s">
        <v>1235</v>
      </c>
    </row>
    <row r="3137" spans="1:16" x14ac:dyDescent="0.25">
      <c r="A3137" t="s">
        <v>6265</v>
      </c>
      <c r="B3137" t="s">
        <v>6266</v>
      </c>
      <c r="C3137" t="s">
        <v>1233</v>
      </c>
      <c r="D3137" t="s">
        <v>1027</v>
      </c>
      <c r="E3137">
        <v>63762</v>
      </c>
      <c r="F3137" t="s">
        <v>1234</v>
      </c>
      <c r="G3137" t="b">
        <v>0</v>
      </c>
      <c r="H3137" t="b">
        <v>0</v>
      </c>
      <c r="I3137" t="s">
        <v>1050</v>
      </c>
      <c r="J3137">
        <v>88</v>
      </c>
      <c r="K3137" t="s">
        <v>0</v>
      </c>
      <c r="L3137" t="s">
        <v>1167</v>
      </c>
      <c r="M3137" t="s">
        <v>1168</v>
      </c>
      <c r="N3137" t="s">
        <v>1169</v>
      </c>
      <c r="O3137" t="s">
        <v>1168</v>
      </c>
      <c r="P3137" t="s">
        <v>1235</v>
      </c>
    </row>
    <row r="3138" spans="1:16" x14ac:dyDescent="0.25">
      <c r="A3138" t="s">
        <v>6267</v>
      </c>
      <c r="B3138" t="s">
        <v>6268</v>
      </c>
      <c r="C3138" t="s">
        <v>1233</v>
      </c>
      <c r="D3138" t="s">
        <v>1027</v>
      </c>
      <c r="E3138">
        <v>63762</v>
      </c>
      <c r="F3138" t="s">
        <v>1234</v>
      </c>
      <c r="G3138" t="b">
        <v>0</v>
      </c>
      <c r="H3138" t="b">
        <v>0</v>
      </c>
      <c r="I3138" t="s">
        <v>1050</v>
      </c>
      <c r="J3138">
        <v>88</v>
      </c>
      <c r="K3138" t="s">
        <v>0</v>
      </c>
      <c r="L3138" t="s">
        <v>1167</v>
      </c>
      <c r="M3138" t="s">
        <v>1168</v>
      </c>
      <c r="N3138" t="s">
        <v>1169</v>
      </c>
      <c r="O3138" t="s">
        <v>1168</v>
      </c>
      <c r="P3138" t="s">
        <v>1235</v>
      </c>
    </row>
    <row r="3139" spans="1:16" x14ac:dyDescent="0.25">
      <c r="A3139" t="s">
        <v>6269</v>
      </c>
      <c r="B3139" t="s">
        <v>6264</v>
      </c>
      <c r="C3139" t="s">
        <v>1233</v>
      </c>
      <c r="D3139" t="s">
        <v>1027</v>
      </c>
      <c r="E3139">
        <v>63762</v>
      </c>
      <c r="F3139" t="s">
        <v>1234</v>
      </c>
      <c r="G3139" t="b">
        <v>0</v>
      </c>
      <c r="H3139" t="b">
        <v>0</v>
      </c>
      <c r="I3139" t="s">
        <v>1050</v>
      </c>
      <c r="J3139">
        <v>88</v>
      </c>
      <c r="K3139" t="s">
        <v>0</v>
      </c>
      <c r="L3139" t="s">
        <v>1167</v>
      </c>
      <c r="M3139" t="s">
        <v>1168</v>
      </c>
      <c r="N3139" t="s">
        <v>1169</v>
      </c>
      <c r="O3139" t="s">
        <v>1168</v>
      </c>
      <c r="P3139" t="s">
        <v>1235</v>
      </c>
    </row>
    <row r="3140" spans="1:16" x14ac:dyDescent="0.25">
      <c r="A3140" t="s">
        <v>6270</v>
      </c>
      <c r="B3140" t="s">
        <v>6266</v>
      </c>
      <c r="C3140" t="s">
        <v>1233</v>
      </c>
      <c r="D3140" t="s">
        <v>1027</v>
      </c>
      <c r="E3140">
        <v>63762</v>
      </c>
      <c r="F3140" t="s">
        <v>1234</v>
      </c>
      <c r="G3140" t="b">
        <v>0</v>
      </c>
      <c r="H3140" t="b">
        <v>0</v>
      </c>
      <c r="I3140" t="s">
        <v>1050</v>
      </c>
      <c r="J3140">
        <v>88</v>
      </c>
      <c r="K3140" t="s">
        <v>0</v>
      </c>
      <c r="L3140" t="s">
        <v>1167</v>
      </c>
      <c r="M3140" t="s">
        <v>1168</v>
      </c>
      <c r="N3140" t="s">
        <v>1169</v>
      </c>
      <c r="O3140" t="s">
        <v>1168</v>
      </c>
      <c r="P3140" t="s">
        <v>1235</v>
      </c>
    </row>
    <row r="3141" spans="1:16" x14ac:dyDescent="0.25">
      <c r="A3141" t="s">
        <v>6271</v>
      </c>
      <c r="B3141" t="s">
        <v>6268</v>
      </c>
      <c r="C3141" t="s">
        <v>1233</v>
      </c>
      <c r="D3141" t="s">
        <v>1027</v>
      </c>
      <c r="E3141">
        <v>63762</v>
      </c>
      <c r="F3141" t="s">
        <v>1234</v>
      </c>
      <c r="G3141" t="b">
        <v>0</v>
      </c>
      <c r="H3141" t="b">
        <v>0</v>
      </c>
      <c r="I3141" t="s">
        <v>1050</v>
      </c>
      <c r="J3141">
        <v>88</v>
      </c>
      <c r="K3141" t="s">
        <v>0</v>
      </c>
      <c r="L3141" t="s">
        <v>1167</v>
      </c>
      <c r="M3141" t="s">
        <v>1168</v>
      </c>
      <c r="N3141" t="s">
        <v>1169</v>
      </c>
      <c r="O3141" t="s">
        <v>1168</v>
      </c>
      <c r="P3141" t="s">
        <v>1235</v>
      </c>
    </row>
    <row r="3142" spans="1:16" x14ac:dyDescent="0.25">
      <c r="A3142" t="s">
        <v>6272</v>
      </c>
      <c r="B3142" t="s">
        <v>6234</v>
      </c>
      <c r="C3142" t="s">
        <v>1233</v>
      </c>
      <c r="D3142" t="s">
        <v>1027</v>
      </c>
      <c r="E3142">
        <v>63762</v>
      </c>
      <c r="F3142" t="s">
        <v>1234</v>
      </c>
      <c r="G3142" t="b">
        <v>0</v>
      </c>
      <c r="H3142" t="b">
        <v>0</v>
      </c>
      <c r="I3142" t="s">
        <v>1050</v>
      </c>
      <c r="J3142">
        <v>88</v>
      </c>
      <c r="K3142" t="s">
        <v>0</v>
      </c>
      <c r="L3142" t="s">
        <v>1167</v>
      </c>
      <c r="M3142" t="s">
        <v>1168</v>
      </c>
      <c r="N3142" t="s">
        <v>1169</v>
      </c>
      <c r="O3142" t="s">
        <v>1168</v>
      </c>
      <c r="P3142" t="s">
        <v>1235</v>
      </c>
    </row>
    <row r="3143" spans="1:16" x14ac:dyDescent="0.25">
      <c r="A3143" t="s">
        <v>6273</v>
      </c>
      <c r="B3143" t="s">
        <v>6274</v>
      </c>
      <c r="C3143" t="s">
        <v>1233</v>
      </c>
      <c r="D3143" t="s">
        <v>1027</v>
      </c>
      <c r="E3143">
        <v>63762</v>
      </c>
      <c r="F3143" t="s">
        <v>1234</v>
      </c>
      <c r="G3143" t="b">
        <v>0</v>
      </c>
      <c r="H3143" t="b">
        <v>0</v>
      </c>
      <c r="I3143" t="s">
        <v>1050</v>
      </c>
      <c r="J3143">
        <v>88</v>
      </c>
      <c r="K3143" t="s">
        <v>0</v>
      </c>
      <c r="L3143" t="s">
        <v>1167</v>
      </c>
      <c r="M3143" t="s">
        <v>1168</v>
      </c>
      <c r="N3143" t="s">
        <v>1169</v>
      </c>
      <c r="O3143" t="s">
        <v>1168</v>
      </c>
      <c r="P3143" t="s">
        <v>1235</v>
      </c>
    </row>
    <row r="3144" spans="1:16" x14ac:dyDescent="0.25">
      <c r="A3144" t="s">
        <v>6275</v>
      </c>
      <c r="B3144" t="s">
        <v>6276</v>
      </c>
      <c r="C3144" t="s">
        <v>1233</v>
      </c>
      <c r="D3144" t="s">
        <v>1027</v>
      </c>
      <c r="E3144">
        <v>63762</v>
      </c>
      <c r="F3144" t="s">
        <v>1234</v>
      </c>
      <c r="G3144" t="b">
        <v>0</v>
      </c>
      <c r="H3144" t="b">
        <v>0</v>
      </c>
      <c r="I3144" t="s">
        <v>1050</v>
      </c>
      <c r="J3144">
        <v>88</v>
      </c>
      <c r="K3144" t="s">
        <v>0</v>
      </c>
      <c r="L3144" t="s">
        <v>1167</v>
      </c>
      <c r="M3144" t="s">
        <v>1168</v>
      </c>
      <c r="N3144" t="s">
        <v>1169</v>
      </c>
      <c r="O3144" t="s">
        <v>1168</v>
      </c>
      <c r="P3144" t="s">
        <v>1235</v>
      </c>
    </row>
    <row r="3145" spans="1:16" x14ac:dyDescent="0.25">
      <c r="A3145" t="s">
        <v>6277</v>
      </c>
      <c r="B3145" t="s">
        <v>6278</v>
      </c>
      <c r="C3145" t="s">
        <v>1233</v>
      </c>
      <c r="D3145" t="s">
        <v>1027</v>
      </c>
      <c r="E3145">
        <v>63762</v>
      </c>
      <c r="F3145" t="s">
        <v>1234</v>
      </c>
      <c r="G3145" t="b">
        <v>0</v>
      </c>
      <c r="H3145" t="b">
        <v>0</v>
      </c>
      <c r="I3145" t="s">
        <v>1050</v>
      </c>
      <c r="J3145">
        <v>88</v>
      </c>
      <c r="K3145" t="s">
        <v>0</v>
      </c>
      <c r="L3145" t="s">
        <v>1167</v>
      </c>
      <c r="M3145" t="s">
        <v>1168</v>
      </c>
      <c r="N3145" t="s">
        <v>1169</v>
      </c>
      <c r="O3145" t="s">
        <v>1168</v>
      </c>
      <c r="P3145" t="s">
        <v>1235</v>
      </c>
    </row>
    <row r="3146" spans="1:16" x14ac:dyDescent="0.25">
      <c r="A3146" t="s">
        <v>6279</v>
      </c>
      <c r="B3146" t="s">
        <v>6258</v>
      </c>
      <c r="C3146" t="s">
        <v>1233</v>
      </c>
      <c r="D3146" t="s">
        <v>1027</v>
      </c>
      <c r="E3146">
        <v>63762</v>
      </c>
      <c r="F3146" t="s">
        <v>1234</v>
      </c>
      <c r="G3146" t="b">
        <v>0</v>
      </c>
      <c r="H3146" t="b">
        <v>0</v>
      </c>
      <c r="I3146" t="s">
        <v>1050</v>
      </c>
      <c r="J3146">
        <v>88</v>
      </c>
      <c r="K3146" t="s">
        <v>0</v>
      </c>
      <c r="L3146" t="s">
        <v>1167</v>
      </c>
      <c r="M3146" t="s">
        <v>1168</v>
      </c>
      <c r="N3146" t="s">
        <v>1169</v>
      </c>
      <c r="O3146" t="s">
        <v>1168</v>
      </c>
      <c r="P3146" t="s">
        <v>1235</v>
      </c>
    </row>
    <row r="3147" spans="1:16" x14ac:dyDescent="0.25">
      <c r="A3147" t="s">
        <v>6280</v>
      </c>
      <c r="B3147" t="s">
        <v>6112</v>
      </c>
      <c r="C3147" t="s">
        <v>1233</v>
      </c>
      <c r="D3147" t="s">
        <v>1027</v>
      </c>
      <c r="E3147">
        <v>63762</v>
      </c>
      <c r="F3147" t="s">
        <v>1234</v>
      </c>
      <c r="G3147" t="b">
        <v>0</v>
      </c>
      <c r="H3147" t="b">
        <v>0</v>
      </c>
      <c r="I3147" t="s">
        <v>1050</v>
      </c>
      <c r="J3147">
        <v>88</v>
      </c>
      <c r="K3147" t="s">
        <v>0</v>
      </c>
      <c r="L3147" t="s">
        <v>1167</v>
      </c>
      <c r="M3147" t="s">
        <v>1168</v>
      </c>
      <c r="N3147" t="s">
        <v>1169</v>
      </c>
      <c r="O3147" t="s">
        <v>1168</v>
      </c>
      <c r="P3147" t="s">
        <v>1235</v>
      </c>
    </row>
    <row r="3148" spans="1:16" x14ac:dyDescent="0.25">
      <c r="A3148" t="s">
        <v>6281</v>
      </c>
      <c r="B3148" t="s">
        <v>6114</v>
      </c>
      <c r="C3148" t="s">
        <v>1233</v>
      </c>
      <c r="D3148" t="s">
        <v>1027</v>
      </c>
      <c r="E3148">
        <v>63762</v>
      </c>
      <c r="F3148" t="s">
        <v>1234</v>
      </c>
      <c r="G3148" t="b">
        <v>0</v>
      </c>
      <c r="H3148" t="b">
        <v>0</v>
      </c>
      <c r="I3148" t="s">
        <v>1050</v>
      </c>
      <c r="J3148">
        <v>88</v>
      </c>
      <c r="K3148" t="s">
        <v>0</v>
      </c>
      <c r="L3148" t="s">
        <v>1167</v>
      </c>
      <c r="M3148" t="s">
        <v>1168</v>
      </c>
      <c r="N3148" t="s">
        <v>1169</v>
      </c>
      <c r="O3148" t="s">
        <v>1168</v>
      </c>
      <c r="P3148" t="s">
        <v>1235</v>
      </c>
    </row>
    <row r="3149" spans="1:16" x14ac:dyDescent="0.25">
      <c r="A3149" t="s">
        <v>6282</v>
      </c>
      <c r="B3149" t="s">
        <v>6116</v>
      </c>
      <c r="C3149" t="s">
        <v>1233</v>
      </c>
      <c r="D3149" t="s">
        <v>1027</v>
      </c>
      <c r="E3149">
        <v>63762</v>
      </c>
      <c r="F3149" t="s">
        <v>1234</v>
      </c>
      <c r="G3149" t="b">
        <v>0</v>
      </c>
      <c r="H3149" t="b">
        <v>0</v>
      </c>
      <c r="I3149" t="s">
        <v>1050</v>
      </c>
      <c r="J3149">
        <v>88</v>
      </c>
      <c r="K3149" t="s">
        <v>0</v>
      </c>
      <c r="L3149" t="s">
        <v>1167</v>
      </c>
      <c r="M3149" t="s">
        <v>1168</v>
      </c>
      <c r="N3149" t="s">
        <v>1169</v>
      </c>
      <c r="O3149" t="s">
        <v>1168</v>
      </c>
      <c r="P3149" t="s">
        <v>1235</v>
      </c>
    </row>
    <row r="3150" spans="1:16" x14ac:dyDescent="0.25">
      <c r="A3150" t="s">
        <v>6283</v>
      </c>
      <c r="B3150" t="s">
        <v>6062</v>
      </c>
      <c r="C3150" t="s">
        <v>1233</v>
      </c>
      <c r="D3150" t="s">
        <v>1027</v>
      </c>
      <c r="E3150">
        <v>63762</v>
      </c>
      <c r="F3150" t="s">
        <v>1234</v>
      </c>
      <c r="G3150" t="b">
        <v>0</v>
      </c>
      <c r="H3150" t="b">
        <v>0</v>
      </c>
      <c r="I3150" t="s">
        <v>1050</v>
      </c>
      <c r="J3150">
        <v>88</v>
      </c>
      <c r="K3150" t="s">
        <v>0</v>
      </c>
      <c r="L3150" t="s">
        <v>1167</v>
      </c>
      <c r="M3150" t="s">
        <v>1168</v>
      </c>
      <c r="N3150" t="s">
        <v>1169</v>
      </c>
      <c r="O3150" t="s">
        <v>1168</v>
      </c>
      <c r="P3150" t="s">
        <v>1235</v>
      </c>
    </row>
    <row r="3151" spans="1:16" x14ac:dyDescent="0.25">
      <c r="A3151" t="s">
        <v>6284</v>
      </c>
      <c r="B3151" t="s">
        <v>6264</v>
      </c>
      <c r="C3151" t="s">
        <v>1233</v>
      </c>
      <c r="D3151" t="s">
        <v>1027</v>
      </c>
      <c r="E3151">
        <v>63762</v>
      </c>
      <c r="F3151" t="s">
        <v>1234</v>
      </c>
      <c r="G3151" t="b">
        <v>0</v>
      </c>
      <c r="H3151" t="b">
        <v>0</v>
      </c>
      <c r="I3151" t="s">
        <v>1050</v>
      </c>
      <c r="J3151">
        <v>88</v>
      </c>
      <c r="K3151" t="s">
        <v>0</v>
      </c>
      <c r="L3151" t="s">
        <v>1167</v>
      </c>
      <c r="M3151" t="s">
        <v>1168</v>
      </c>
      <c r="N3151" t="s">
        <v>1169</v>
      </c>
      <c r="O3151" t="s">
        <v>1168</v>
      </c>
      <c r="P3151" t="s">
        <v>1235</v>
      </c>
    </row>
    <row r="3152" spans="1:16" x14ac:dyDescent="0.25">
      <c r="A3152" t="s">
        <v>6285</v>
      </c>
      <c r="B3152" t="s">
        <v>6266</v>
      </c>
      <c r="C3152" t="s">
        <v>1233</v>
      </c>
      <c r="D3152" t="s">
        <v>1027</v>
      </c>
      <c r="E3152">
        <v>63762</v>
      </c>
      <c r="F3152" t="s">
        <v>1234</v>
      </c>
      <c r="G3152" t="b">
        <v>0</v>
      </c>
      <c r="H3152" t="b">
        <v>0</v>
      </c>
      <c r="I3152" t="s">
        <v>1050</v>
      </c>
      <c r="J3152">
        <v>88</v>
      </c>
      <c r="K3152" t="s">
        <v>0</v>
      </c>
      <c r="L3152" t="s">
        <v>1167</v>
      </c>
      <c r="M3152" t="s">
        <v>1168</v>
      </c>
      <c r="N3152" t="s">
        <v>1169</v>
      </c>
      <c r="O3152" t="s">
        <v>1168</v>
      </c>
      <c r="P3152" t="s">
        <v>1235</v>
      </c>
    </row>
    <row r="3153" spans="1:16" x14ac:dyDescent="0.25">
      <c r="A3153" t="s">
        <v>6286</v>
      </c>
      <c r="B3153" t="s">
        <v>6268</v>
      </c>
      <c r="C3153" t="s">
        <v>1233</v>
      </c>
      <c r="D3153" t="s">
        <v>1027</v>
      </c>
      <c r="E3153">
        <v>63762</v>
      </c>
      <c r="F3153" t="s">
        <v>1234</v>
      </c>
      <c r="G3153" t="b">
        <v>0</v>
      </c>
      <c r="H3153" t="b">
        <v>0</v>
      </c>
      <c r="I3153" t="s">
        <v>1050</v>
      </c>
      <c r="J3153">
        <v>88</v>
      </c>
      <c r="K3153" t="s">
        <v>0</v>
      </c>
      <c r="L3153" t="s">
        <v>1167</v>
      </c>
      <c r="M3153" t="s">
        <v>1168</v>
      </c>
      <c r="N3153" t="s">
        <v>1169</v>
      </c>
      <c r="O3153" t="s">
        <v>1168</v>
      </c>
      <c r="P3153" t="s">
        <v>1235</v>
      </c>
    </row>
    <row r="3154" spans="1:16" x14ac:dyDescent="0.25">
      <c r="A3154" t="s">
        <v>6287</v>
      </c>
      <c r="B3154" t="s">
        <v>6258</v>
      </c>
      <c r="C3154" t="s">
        <v>1233</v>
      </c>
      <c r="D3154" t="s">
        <v>1027</v>
      </c>
      <c r="E3154">
        <v>63762</v>
      </c>
      <c r="F3154" t="s">
        <v>1234</v>
      </c>
      <c r="G3154" t="b">
        <v>0</v>
      </c>
      <c r="H3154" t="b">
        <v>0</v>
      </c>
      <c r="I3154" t="s">
        <v>1050</v>
      </c>
      <c r="J3154">
        <v>88</v>
      </c>
      <c r="K3154" t="s">
        <v>0</v>
      </c>
      <c r="L3154" t="s">
        <v>1167</v>
      </c>
      <c r="M3154" t="s">
        <v>1168</v>
      </c>
      <c r="N3154" t="s">
        <v>1169</v>
      </c>
      <c r="O3154" t="s">
        <v>1168</v>
      </c>
      <c r="P3154" t="s">
        <v>1235</v>
      </c>
    </row>
    <row r="3155" spans="1:16" x14ac:dyDescent="0.25">
      <c r="A3155" t="s">
        <v>6288</v>
      </c>
      <c r="B3155" t="s">
        <v>6112</v>
      </c>
      <c r="C3155" t="s">
        <v>1233</v>
      </c>
      <c r="D3155" t="s">
        <v>1027</v>
      </c>
      <c r="E3155">
        <v>63762</v>
      </c>
      <c r="F3155" t="s">
        <v>1234</v>
      </c>
      <c r="G3155" t="b">
        <v>0</v>
      </c>
      <c r="H3155" t="b">
        <v>0</v>
      </c>
      <c r="I3155" t="s">
        <v>1050</v>
      </c>
      <c r="J3155">
        <v>88</v>
      </c>
      <c r="K3155" t="s">
        <v>0</v>
      </c>
      <c r="L3155" t="s">
        <v>1167</v>
      </c>
      <c r="M3155" t="s">
        <v>1168</v>
      </c>
      <c r="N3155" t="s">
        <v>1169</v>
      </c>
      <c r="O3155" t="s">
        <v>1168</v>
      </c>
      <c r="P3155" t="s">
        <v>1235</v>
      </c>
    </row>
    <row r="3156" spans="1:16" x14ac:dyDescent="0.25">
      <c r="A3156" t="s">
        <v>6289</v>
      </c>
      <c r="B3156" t="s">
        <v>6114</v>
      </c>
      <c r="C3156" t="s">
        <v>1233</v>
      </c>
      <c r="D3156" t="s">
        <v>1027</v>
      </c>
      <c r="E3156">
        <v>63762</v>
      </c>
      <c r="F3156" t="s">
        <v>1234</v>
      </c>
      <c r="G3156" t="b">
        <v>0</v>
      </c>
      <c r="H3156" t="b">
        <v>0</v>
      </c>
      <c r="I3156" t="s">
        <v>1050</v>
      </c>
      <c r="J3156">
        <v>88</v>
      </c>
      <c r="K3156" t="s">
        <v>0</v>
      </c>
      <c r="L3156" t="s">
        <v>1167</v>
      </c>
      <c r="M3156" t="s">
        <v>1168</v>
      </c>
      <c r="N3156" t="s">
        <v>1169</v>
      </c>
      <c r="O3156" t="s">
        <v>1168</v>
      </c>
      <c r="P3156" t="s">
        <v>1235</v>
      </c>
    </row>
    <row r="3157" spans="1:16" x14ac:dyDescent="0.25">
      <c r="A3157" t="s">
        <v>6290</v>
      </c>
      <c r="B3157" t="s">
        <v>6116</v>
      </c>
      <c r="C3157" t="s">
        <v>1233</v>
      </c>
      <c r="D3157" t="s">
        <v>1027</v>
      </c>
      <c r="E3157">
        <v>63762</v>
      </c>
      <c r="F3157" t="s">
        <v>1234</v>
      </c>
      <c r="G3157" t="b">
        <v>0</v>
      </c>
      <c r="H3157" t="b">
        <v>0</v>
      </c>
      <c r="I3157" t="s">
        <v>1050</v>
      </c>
      <c r="J3157">
        <v>88</v>
      </c>
      <c r="K3157" t="s">
        <v>0</v>
      </c>
      <c r="L3157" t="s">
        <v>1167</v>
      </c>
      <c r="M3157" t="s">
        <v>1168</v>
      </c>
      <c r="N3157" t="s">
        <v>1169</v>
      </c>
      <c r="O3157" t="s">
        <v>1168</v>
      </c>
      <c r="P3157" t="s">
        <v>1235</v>
      </c>
    </row>
    <row r="3158" spans="1:16" x14ac:dyDescent="0.25">
      <c r="A3158" t="s">
        <v>6291</v>
      </c>
      <c r="B3158" t="s">
        <v>6062</v>
      </c>
      <c r="C3158" t="s">
        <v>1233</v>
      </c>
      <c r="D3158" t="s">
        <v>1027</v>
      </c>
      <c r="E3158">
        <v>63762</v>
      </c>
      <c r="F3158" t="s">
        <v>1234</v>
      </c>
      <c r="G3158" t="b">
        <v>0</v>
      </c>
      <c r="H3158" t="b">
        <v>0</v>
      </c>
      <c r="I3158" t="s">
        <v>1050</v>
      </c>
      <c r="J3158">
        <v>88</v>
      </c>
      <c r="K3158" t="s">
        <v>0</v>
      </c>
      <c r="L3158" t="s">
        <v>1167</v>
      </c>
      <c r="M3158" t="s">
        <v>1168</v>
      </c>
      <c r="N3158" t="s">
        <v>1169</v>
      </c>
      <c r="O3158" t="s">
        <v>1168</v>
      </c>
      <c r="P3158" t="s">
        <v>1235</v>
      </c>
    </row>
    <row r="3159" spans="1:16" x14ac:dyDescent="0.25">
      <c r="A3159" t="s">
        <v>6292</v>
      </c>
      <c r="B3159" t="s">
        <v>6264</v>
      </c>
      <c r="C3159" t="s">
        <v>1233</v>
      </c>
      <c r="D3159" t="s">
        <v>1027</v>
      </c>
      <c r="E3159">
        <v>63762</v>
      </c>
      <c r="F3159" t="s">
        <v>1234</v>
      </c>
      <c r="G3159" t="b">
        <v>0</v>
      </c>
      <c r="H3159" t="b">
        <v>0</v>
      </c>
      <c r="I3159" t="s">
        <v>1050</v>
      </c>
      <c r="J3159">
        <v>88</v>
      </c>
      <c r="K3159" t="s">
        <v>0</v>
      </c>
      <c r="L3159" t="s">
        <v>1167</v>
      </c>
      <c r="M3159" t="s">
        <v>1168</v>
      </c>
      <c r="N3159" t="s">
        <v>1169</v>
      </c>
      <c r="O3159" t="s">
        <v>1168</v>
      </c>
      <c r="P3159" t="s">
        <v>1235</v>
      </c>
    </row>
    <row r="3160" spans="1:16" x14ac:dyDescent="0.25">
      <c r="A3160" t="s">
        <v>6293</v>
      </c>
      <c r="B3160" t="s">
        <v>6266</v>
      </c>
      <c r="C3160" t="s">
        <v>1233</v>
      </c>
      <c r="D3160" t="s">
        <v>1027</v>
      </c>
      <c r="E3160">
        <v>63762</v>
      </c>
      <c r="F3160" t="s">
        <v>1234</v>
      </c>
      <c r="G3160" t="b">
        <v>0</v>
      </c>
      <c r="H3160" t="b">
        <v>0</v>
      </c>
      <c r="I3160" t="s">
        <v>1050</v>
      </c>
      <c r="J3160">
        <v>88</v>
      </c>
      <c r="K3160" t="s">
        <v>0</v>
      </c>
      <c r="L3160" t="s">
        <v>1167</v>
      </c>
      <c r="M3160" t="s">
        <v>1168</v>
      </c>
      <c r="N3160" t="s">
        <v>1169</v>
      </c>
      <c r="O3160" t="s">
        <v>1168</v>
      </c>
      <c r="P3160" t="s">
        <v>1235</v>
      </c>
    </row>
    <row r="3161" spans="1:16" x14ac:dyDescent="0.25">
      <c r="A3161" t="s">
        <v>6294</v>
      </c>
      <c r="B3161" t="s">
        <v>6268</v>
      </c>
      <c r="C3161" t="s">
        <v>1233</v>
      </c>
      <c r="D3161" t="s">
        <v>1027</v>
      </c>
      <c r="E3161">
        <v>63762</v>
      </c>
      <c r="F3161" t="s">
        <v>1234</v>
      </c>
      <c r="G3161" t="b">
        <v>0</v>
      </c>
      <c r="H3161" t="b">
        <v>0</v>
      </c>
      <c r="I3161" t="s">
        <v>1050</v>
      </c>
      <c r="J3161">
        <v>88</v>
      </c>
      <c r="K3161" t="s">
        <v>0</v>
      </c>
      <c r="L3161" t="s">
        <v>1167</v>
      </c>
      <c r="M3161" t="s">
        <v>1168</v>
      </c>
      <c r="N3161" t="s">
        <v>1169</v>
      </c>
      <c r="O3161" t="s">
        <v>1168</v>
      </c>
      <c r="P3161" t="s">
        <v>1235</v>
      </c>
    </row>
    <row r="3162" spans="1:16" x14ac:dyDescent="0.25">
      <c r="A3162" t="s">
        <v>6295</v>
      </c>
      <c r="B3162" t="s">
        <v>6232</v>
      </c>
      <c r="C3162" t="s">
        <v>1233</v>
      </c>
      <c r="D3162" t="s">
        <v>1027</v>
      </c>
      <c r="E3162">
        <v>63762</v>
      </c>
      <c r="F3162" t="s">
        <v>1234</v>
      </c>
      <c r="G3162" t="b">
        <v>0</v>
      </c>
      <c r="H3162" t="b">
        <v>0</v>
      </c>
      <c r="I3162" t="s">
        <v>1050</v>
      </c>
      <c r="J3162">
        <v>88</v>
      </c>
      <c r="K3162" t="s">
        <v>0</v>
      </c>
      <c r="L3162" t="s">
        <v>1167</v>
      </c>
      <c r="M3162" t="s">
        <v>1168</v>
      </c>
      <c r="N3162" t="s">
        <v>1169</v>
      </c>
      <c r="O3162" t="s">
        <v>1168</v>
      </c>
      <c r="P3162" t="s">
        <v>1235</v>
      </c>
    </row>
    <row r="3163" spans="1:16" x14ac:dyDescent="0.25">
      <c r="A3163" t="s">
        <v>6296</v>
      </c>
      <c r="B3163" t="s">
        <v>6234</v>
      </c>
      <c r="C3163" t="s">
        <v>1233</v>
      </c>
      <c r="D3163" t="s">
        <v>1027</v>
      </c>
      <c r="E3163">
        <v>63762</v>
      </c>
      <c r="F3163" t="s">
        <v>1234</v>
      </c>
      <c r="G3163" t="b">
        <v>0</v>
      </c>
      <c r="H3163" t="b">
        <v>0</v>
      </c>
      <c r="I3163" t="s">
        <v>1050</v>
      </c>
      <c r="J3163">
        <v>88</v>
      </c>
      <c r="K3163" t="s">
        <v>0</v>
      </c>
      <c r="L3163" t="s">
        <v>1167</v>
      </c>
      <c r="M3163" t="s">
        <v>1168</v>
      </c>
      <c r="N3163" t="s">
        <v>1169</v>
      </c>
      <c r="O3163" t="s">
        <v>1168</v>
      </c>
      <c r="P3163" t="s">
        <v>1235</v>
      </c>
    </row>
    <row r="3164" spans="1:16" x14ac:dyDescent="0.25">
      <c r="A3164" t="s">
        <v>6297</v>
      </c>
      <c r="B3164" t="s">
        <v>6274</v>
      </c>
      <c r="C3164" t="s">
        <v>1233</v>
      </c>
      <c r="D3164" t="s">
        <v>1027</v>
      </c>
      <c r="E3164">
        <v>63762</v>
      </c>
      <c r="F3164" t="s">
        <v>1234</v>
      </c>
      <c r="G3164" t="b">
        <v>0</v>
      </c>
      <c r="H3164" t="b">
        <v>0</v>
      </c>
      <c r="I3164" t="s">
        <v>1050</v>
      </c>
      <c r="J3164">
        <v>88</v>
      </c>
      <c r="K3164" t="s">
        <v>0</v>
      </c>
      <c r="L3164" t="s">
        <v>1167</v>
      </c>
      <c r="M3164" t="s">
        <v>1168</v>
      </c>
      <c r="N3164" t="s">
        <v>1169</v>
      </c>
      <c r="O3164" t="s">
        <v>1168</v>
      </c>
      <c r="P3164" t="s">
        <v>1235</v>
      </c>
    </row>
    <row r="3165" spans="1:16" x14ac:dyDescent="0.25">
      <c r="A3165" t="s">
        <v>6298</v>
      </c>
      <c r="B3165" t="s">
        <v>6276</v>
      </c>
      <c r="C3165" t="s">
        <v>1233</v>
      </c>
      <c r="D3165" t="s">
        <v>1027</v>
      </c>
      <c r="E3165">
        <v>63762</v>
      </c>
      <c r="F3165" t="s">
        <v>1234</v>
      </c>
      <c r="G3165" t="b">
        <v>0</v>
      </c>
      <c r="H3165" t="b">
        <v>0</v>
      </c>
      <c r="I3165" t="s">
        <v>1050</v>
      </c>
      <c r="J3165">
        <v>88</v>
      </c>
      <c r="K3165" t="s">
        <v>0</v>
      </c>
      <c r="L3165" t="s">
        <v>1167</v>
      </c>
      <c r="M3165" t="s">
        <v>1168</v>
      </c>
      <c r="N3165" t="s">
        <v>1169</v>
      </c>
      <c r="O3165" t="s">
        <v>1168</v>
      </c>
      <c r="P3165" t="s">
        <v>1235</v>
      </c>
    </row>
    <row r="3166" spans="1:16" x14ac:dyDescent="0.25">
      <c r="A3166" t="s">
        <v>6299</v>
      </c>
      <c r="B3166" t="s">
        <v>6278</v>
      </c>
      <c r="C3166" t="s">
        <v>1233</v>
      </c>
      <c r="D3166" t="s">
        <v>1027</v>
      </c>
      <c r="E3166">
        <v>63762</v>
      </c>
      <c r="F3166" t="s">
        <v>1234</v>
      </c>
      <c r="G3166" t="b">
        <v>0</v>
      </c>
      <c r="H3166" t="b">
        <v>0</v>
      </c>
      <c r="I3166" t="s">
        <v>1050</v>
      </c>
      <c r="J3166">
        <v>88</v>
      </c>
      <c r="K3166" t="s">
        <v>0</v>
      </c>
      <c r="L3166" t="s">
        <v>1167</v>
      </c>
      <c r="M3166" t="s">
        <v>1168</v>
      </c>
      <c r="N3166" t="s">
        <v>1169</v>
      </c>
      <c r="O3166" t="s">
        <v>1168</v>
      </c>
      <c r="P3166" t="s">
        <v>1235</v>
      </c>
    </row>
    <row r="3167" spans="1:16" x14ac:dyDescent="0.25">
      <c r="A3167" t="s">
        <v>6300</v>
      </c>
      <c r="B3167" t="s">
        <v>6258</v>
      </c>
      <c r="C3167" t="s">
        <v>1233</v>
      </c>
      <c r="D3167" t="s">
        <v>1027</v>
      </c>
      <c r="E3167">
        <v>63762</v>
      </c>
      <c r="F3167" t="s">
        <v>1234</v>
      </c>
      <c r="G3167" t="b">
        <v>0</v>
      </c>
      <c r="H3167" t="b">
        <v>0</v>
      </c>
      <c r="I3167" t="s">
        <v>1050</v>
      </c>
      <c r="J3167">
        <v>88</v>
      </c>
      <c r="K3167" t="s">
        <v>0</v>
      </c>
      <c r="L3167" t="s">
        <v>1167</v>
      </c>
      <c r="M3167" t="s">
        <v>1168</v>
      </c>
      <c r="N3167" t="s">
        <v>1169</v>
      </c>
      <c r="O3167" t="s">
        <v>1168</v>
      </c>
      <c r="P3167" t="s">
        <v>1235</v>
      </c>
    </row>
    <row r="3168" spans="1:16" x14ac:dyDescent="0.25">
      <c r="A3168" t="s">
        <v>6301</v>
      </c>
      <c r="B3168" t="s">
        <v>6112</v>
      </c>
      <c r="C3168" t="s">
        <v>1233</v>
      </c>
      <c r="D3168" t="s">
        <v>1027</v>
      </c>
      <c r="E3168">
        <v>63762</v>
      </c>
      <c r="F3168" t="s">
        <v>1234</v>
      </c>
      <c r="G3168" t="b">
        <v>0</v>
      </c>
      <c r="H3168" t="b">
        <v>0</v>
      </c>
      <c r="I3168" t="s">
        <v>1050</v>
      </c>
      <c r="J3168">
        <v>88</v>
      </c>
      <c r="K3168" t="s">
        <v>0</v>
      </c>
      <c r="L3168" t="s">
        <v>1167</v>
      </c>
      <c r="M3168" t="s">
        <v>1168</v>
      </c>
      <c r="N3168" t="s">
        <v>1169</v>
      </c>
      <c r="O3168" t="s">
        <v>1168</v>
      </c>
      <c r="P3168" t="s">
        <v>1235</v>
      </c>
    </row>
    <row r="3169" spans="1:16" x14ac:dyDescent="0.25">
      <c r="A3169" t="s">
        <v>6302</v>
      </c>
      <c r="B3169" t="s">
        <v>6114</v>
      </c>
      <c r="C3169" t="s">
        <v>1233</v>
      </c>
      <c r="D3169" t="s">
        <v>1027</v>
      </c>
      <c r="E3169">
        <v>63762</v>
      </c>
      <c r="F3169" t="s">
        <v>1234</v>
      </c>
      <c r="G3169" t="b">
        <v>0</v>
      </c>
      <c r="H3169" t="b">
        <v>0</v>
      </c>
      <c r="I3169" t="s">
        <v>1050</v>
      </c>
      <c r="J3169">
        <v>88</v>
      </c>
      <c r="K3169" t="s">
        <v>0</v>
      </c>
      <c r="L3169" t="s">
        <v>1167</v>
      </c>
      <c r="M3169" t="s">
        <v>1168</v>
      </c>
      <c r="N3169" t="s">
        <v>1169</v>
      </c>
      <c r="O3169" t="s">
        <v>1168</v>
      </c>
      <c r="P3169" t="s">
        <v>1235</v>
      </c>
    </row>
    <row r="3170" spans="1:16" x14ac:dyDescent="0.25">
      <c r="A3170" t="s">
        <v>6303</v>
      </c>
      <c r="B3170" t="s">
        <v>6116</v>
      </c>
      <c r="C3170" t="s">
        <v>1233</v>
      </c>
      <c r="D3170" t="s">
        <v>1027</v>
      </c>
      <c r="E3170">
        <v>63762</v>
      </c>
      <c r="F3170" t="s">
        <v>1234</v>
      </c>
      <c r="G3170" t="b">
        <v>0</v>
      </c>
      <c r="H3170" t="b">
        <v>0</v>
      </c>
      <c r="I3170" t="s">
        <v>1050</v>
      </c>
      <c r="J3170">
        <v>88</v>
      </c>
      <c r="K3170" t="s">
        <v>0</v>
      </c>
      <c r="L3170" t="s">
        <v>1167</v>
      </c>
      <c r="M3170" t="s">
        <v>1168</v>
      </c>
      <c r="N3170" t="s">
        <v>1169</v>
      </c>
      <c r="O3170" t="s">
        <v>1168</v>
      </c>
      <c r="P3170" t="s">
        <v>1235</v>
      </c>
    </row>
    <row r="3171" spans="1:16" x14ac:dyDescent="0.25">
      <c r="A3171" t="s">
        <v>6304</v>
      </c>
      <c r="B3171" t="s">
        <v>6062</v>
      </c>
      <c r="C3171" t="s">
        <v>1233</v>
      </c>
      <c r="D3171" t="s">
        <v>1027</v>
      </c>
      <c r="E3171">
        <v>63762</v>
      </c>
      <c r="F3171" t="s">
        <v>1234</v>
      </c>
      <c r="G3171" t="b">
        <v>0</v>
      </c>
      <c r="H3171" t="b">
        <v>0</v>
      </c>
      <c r="I3171" t="s">
        <v>1050</v>
      </c>
      <c r="J3171">
        <v>88</v>
      </c>
      <c r="K3171" t="s">
        <v>0</v>
      </c>
      <c r="L3171" t="s">
        <v>1167</v>
      </c>
      <c r="M3171" t="s">
        <v>1168</v>
      </c>
      <c r="N3171" t="s">
        <v>1169</v>
      </c>
      <c r="O3171" t="s">
        <v>1168</v>
      </c>
      <c r="P3171" t="s">
        <v>1235</v>
      </c>
    </row>
    <row r="3172" spans="1:16" x14ac:dyDescent="0.25">
      <c r="A3172" t="s">
        <v>6305</v>
      </c>
      <c r="B3172" t="s">
        <v>6264</v>
      </c>
      <c r="C3172" t="s">
        <v>1233</v>
      </c>
      <c r="D3172" t="s">
        <v>1027</v>
      </c>
      <c r="E3172">
        <v>63762</v>
      </c>
      <c r="F3172" t="s">
        <v>1234</v>
      </c>
      <c r="G3172" t="b">
        <v>0</v>
      </c>
      <c r="H3172" t="b">
        <v>0</v>
      </c>
      <c r="I3172" t="s">
        <v>1050</v>
      </c>
      <c r="J3172">
        <v>88</v>
      </c>
      <c r="K3172" t="s">
        <v>0</v>
      </c>
      <c r="L3172" t="s">
        <v>1167</v>
      </c>
      <c r="M3172" t="s">
        <v>1168</v>
      </c>
      <c r="N3172" t="s">
        <v>1169</v>
      </c>
      <c r="O3172" t="s">
        <v>1168</v>
      </c>
      <c r="P3172" t="s">
        <v>1235</v>
      </c>
    </row>
    <row r="3173" spans="1:16" x14ac:dyDescent="0.25">
      <c r="A3173" t="s">
        <v>6306</v>
      </c>
      <c r="B3173" t="s">
        <v>6266</v>
      </c>
      <c r="C3173" t="s">
        <v>1233</v>
      </c>
      <c r="D3173" t="s">
        <v>1027</v>
      </c>
      <c r="E3173">
        <v>63762</v>
      </c>
      <c r="F3173" t="s">
        <v>1234</v>
      </c>
      <c r="G3173" t="b">
        <v>0</v>
      </c>
      <c r="H3173" t="b">
        <v>0</v>
      </c>
      <c r="I3173" t="s">
        <v>1050</v>
      </c>
      <c r="J3173">
        <v>88</v>
      </c>
      <c r="K3173" t="s">
        <v>0</v>
      </c>
      <c r="L3173" t="s">
        <v>1167</v>
      </c>
      <c r="M3173" t="s">
        <v>1168</v>
      </c>
      <c r="N3173" t="s">
        <v>1169</v>
      </c>
      <c r="O3173" t="s">
        <v>1168</v>
      </c>
      <c r="P3173" t="s">
        <v>1235</v>
      </c>
    </row>
    <row r="3174" spans="1:16" x14ac:dyDescent="0.25">
      <c r="A3174" t="s">
        <v>6307</v>
      </c>
      <c r="B3174" t="s">
        <v>6268</v>
      </c>
      <c r="C3174" t="s">
        <v>1233</v>
      </c>
      <c r="D3174" t="s">
        <v>1027</v>
      </c>
      <c r="E3174">
        <v>63762</v>
      </c>
      <c r="F3174" t="s">
        <v>1234</v>
      </c>
      <c r="G3174" t="b">
        <v>0</v>
      </c>
      <c r="H3174" t="b">
        <v>0</v>
      </c>
      <c r="I3174" t="s">
        <v>1050</v>
      </c>
      <c r="J3174">
        <v>88</v>
      </c>
      <c r="K3174" t="s">
        <v>0</v>
      </c>
      <c r="L3174" t="s">
        <v>1167</v>
      </c>
      <c r="M3174" t="s">
        <v>1168</v>
      </c>
      <c r="N3174" t="s">
        <v>1169</v>
      </c>
      <c r="O3174" t="s">
        <v>1168</v>
      </c>
      <c r="P3174" t="s">
        <v>1235</v>
      </c>
    </row>
    <row r="3175" spans="1:16" x14ac:dyDescent="0.25">
      <c r="A3175" t="s">
        <v>6308</v>
      </c>
      <c r="B3175" t="s">
        <v>6112</v>
      </c>
      <c r="C3175" t="s">
        <v>1233</v>
      </c>
      <c r="D3175" t="s">
        <v>1027</v>
      </c>
      <c r="E3175">
        <v>63762</v>
      </c>
      <c r="F3175" t="s">
        <v>1234</v>
      </c>
      <c r="G3175" t="b">
        <v>0</v>
      </c>
      <c r="H3175" t="b">
        <v>0</v>
      </c>
      <c r="I3175" t="s">
        <v>1050</v>
      </c>
      <c r="J3175">
        <v>88</v>
      </c>
      <c r="K3175" t="s">
        <v>0</v>
      </c>
      <c r="L3175" t="s">
        <v>1167</v>
      </c>
      <c r="M3175" t="s">
        <v>1168</v>
      </c>
      <c r="N3175" t="s">
        <v>1169</v>
      </c>
      <c r="O3175" t="s">
        <v>1168</v>
      </c>
      <c r="P3175" t="s">
        <v>1235</v>
      </c>
    </row>
    <row r="3176" spans="1:16" x14ac:dyDescent="0.25">
      <c r="A3176" t="s">
        <v>6309</v>
      </c>
      <c r="B3176" t="s">
        <v>6114</v>
      </c>
      <c r="C3176" t="s">
        <v>1233</v>
      </c>
      <c r="D3176" t="s">
        <v>1027</v>
      </c>
      <c r="E3176">
        <v>63762</v>
      </c>
      <c r="F3176" t="s">
        <v>1234</v>
      </c>
      <c r="G3176" t="b">
        <v>0</v>
      </c>
      <c r="H3176" t="b">
        <v>0</v>
      </c>
      <c r="I3176" t="s">
        <v>1050</v>
      </c>
      <c r="J3176">
        <v>88</v>
      </c>
      <c r="K3176" t="s">
        <v>0</v>
      </c>
      <c r="L3176" t="s">
        <v>1167</v>
      </c>
      <c r="M3176" t="s">
        <v>1168</v>
      </c>
      <c r="N3176" t="s">
        <v>1169</v>
      </c>
      <c r="O3176" t="s">
        <v>1168</v>
      </c>
      <c r="P3176" t="s">
        <v>1235</v>
      </c>
    </row>
    <row r="3177" spans="1:16" x14ac:dyDescent="0.25">
      <c r="A3177" t="s">
        <v>6310</v>
      </c>
      <c r="B3177" t="s">
        <v>6116</v>
      </c>
      <c r="C3177" t="s">
        <v>1233</v>
      </c>
      <c r="D3177" t="s">
        <v>1027</v>
      </c>
      <c r="E3177">
        <v>63762</v>
      </c>
      <c r="F3177" t="s">
        <v>1234</v>
      </c>
      <c r="G3177" t="b">
        <v>0</v>
      </c>
      <c r="H3177" t="b">
        <v>0</v>
      </c>
      <c r="I3177" t="s">
        <v>1050</v>
      </c>
      <c r="J3177">
        <v>88</v>
      </c>
      <c r="K3177" t="s">
        <v>0</v>
      </c>
      <c r="L3177" t="s">
        <v>1167</v>
      </c>
      <c r="M3177" t="s">
        <v>1168</v>
      </c>
      <c r="N3177" t="s">
        <v>1169</v>
      </c>
      <c r="O3177" t="s">
        <v>1168</v>
      </c>
      <c r="P3177" t="s">
        <v>1235</v>
      </c>
    </row>
    <row r="3178" spans="1:16" x14ac:dyDescent="0.25">
      <c r="A3178" t="s">
        <v>6311</v>
      </c>
      <c r="B3178" t="s">
        <v>6062</v>
      </c>
      <c r="C3178" t="s">
        <v>1233</v>
      </c>
      <c r="D3178" t="s">
        <v>1027</v>
      </c>
      <c r="E3178">
        <v>63762</v>
      </c>
      <c r="F3178" t="s">
        <v>1234</v>
      </c>
      <c r="G3178" t="b">
        <v>0</v>
      </c>
      <c r="H3178" t="b">
        <v>0</v>
      </c>
      <c r="I3178" t="s">
        <v>1050</v>
      </c>
      <c r="J3178">
        <v>88</v>
      </c>
      <c r="K3178" t="s">
        <v>0</v>
      </c>
      <c r="L3178" t="s">
        <v>1167</v>
      </c>
      <c r="M3178" t="s">
        <v>1168</v>
      </c>
      <c r="N3178" t="s">
        <v>1169</v>
      </c>
      <c r="O3178" t="s">
        <v>1168</v>
      </c>
      <c r="P3178" t="s">
        <v>1235</v>
      </c>
    </row>
    <row r="3179" spans="1:16" x14ac:dyDescent="0.25">
      <c r="A3179" t="s">
        <v>6312</v>
      </c>
      <c r="B3179" t="s">
        <v>6264</v>
      </c>
      <c r="C3179" t="s">
        <v>1233</v>
      </c>
      <c r="D3179" t="s">
        <v>1027</v>
      </c>
      <c r="E3179">
        <v>63762</v>
      </c>
      <c r="F3179" t="s">
        <v>1234</v>
      </c>
      <c r="G3179" t="b">
        <v>0</v>
      </c>
      <c r="H3179" t="b">
        <v>0</v>
      </c>
      <c r="I3179" t="s">
        <v>1050</v>
      </c>
      <c r="J3179">
        <v>88</v>
      </c>
      <c r="K3179" t="s">
        <v>0</v>
      </c>
      <c r="L3179" t="s">
        <v>1167</v>
      </c>
      <c r="M3179" t="s">
        <v>1168</v>
      </c>
      <c r="N3179" t="s">
        <v>1169</v>
      </c>
      <c r="O3179" t="s">
        <v>1168</v>
      </c>
      <c r="P3179" t="s">
        <v>1235</v>
      </c>
    </row>
    <row r="3180" spans="1:16" x14ac:dyDescent="0.25">
      <c r="A3180" t="s">
        <v>6313</v>
      </c>
      <c r="B3180" t="s">
        <v>6266</v>
      </c>
      <c r="C3180" t="s">
        <v>1233</v>
      </c>
      <c r="D3180" t="s">
        <v>1027</v>
      </c>
      <c r="E3180">
        <v>63762</v>
      </c>
      <c r="F3180" t="s">
        <v>1234</v>
      </c>
      <c r="G3180" t="b">
        <v>0</v>
      </c>
      <c r="H3180" t="b">
        <v>0</v>
      </c>
      <c r="I3180" t="s">
        <v>1050</v>
      </c>
      <c r="J3180">
        <v>88</v>
      </c>
      <c r="K3180" t="s">
        <v>0</v>
      </c>
      <c r="L3180" t="s">
        <v>1167</v>
      </c>
      <c r="M3180" t="s">
        <v>1168</v>
      </c>
      <c r="N3180" t="s">
        <v>1169</v>
      </c>
      <c r="O3180" t="s">
        <v>1168</v>
      </c>
      <c r="P3180" t="s">
        <v>1235</v>
      </c>
    </row>
    <row r="3181" spans="1:16" x14ac:dyDescent="0.25">
      <c r="A3181" t="s">
        <v>6314</v>
      </c>
      <c r="B3181" t="s">
        <v>6268</v>
      </c>
      <c r="C3181" t="s">
        <v>1233</v>
      </c>
      <c r="D3181" t="s">
        <v>1027</v>
      </c>
      <c r="E3181">
        <v>63762</v>
      </c>
      <c r="F3181" t="s">
        <v>1234</v>
      </c>
      <c r="G3181" t="b">
        <v>0</v>
      </c>
      <c r="H3181" t="b">
        <v>0</v>
      </c>
      <c r="I3181" t="s">
        <v>1050</v>
      </c>
      <c r="J3181">
        <v>88</v>
      </c>
      <c r="K3181" t="s">
        <v>0</v>
      </c>
      <c r="L3181" t="s">
        <v>1167</v>
      </c>
      <c r="M3181" t="s">
        <v>1168</v>
      </c>
      <c r="N3181" t="s">
        <v>1169</v>
      </c>
      <c r="O3181" t="s">
        <v>1168</v>
      </c>
      <c r="P3181" t="s">
        <v>1235</v>
      </c>
    </row>
    <row r="3182" spans="1:16" x14ac:dyDescent="0.25">
      <c r="A3182" t="s">
        <v>6315</v>
      </c>
      <c r="B3182" t="s">
        <v>6316</v>
      </c>
      <c r="C3182" t="s">
        <v>1233</v>
      </c>
      <c r="D3182" t="s">
        <v>1027</v>
      </c>
      <c r="E3182">
        <v>63762</v>
      </c>
      <c r="F3182" t="s">
        <v>1234</v>
      </c>
      <c r="G3182" t="b">
        <v>0</v>
      </c>
      <c r="H3182" t="b">
        <v>0</v>
      </c>
      <c r="I3182" t="s">
        <v>1050</v>
      </c>
      <c r="J3182">
        <v>88</v>
      </c>
      <c r="K3182" t="s">
        <v>0</v>
      </c>
      <c r="L3182" t="s">
        <v>1167</v>
      </c>
      <c r="M3182" t="s">
        <v>1168</v>
      </c>
      <c r="N3182" t="s">
        <v>1169</v>
      </c>
      <c r="O3182" t="s">
        <v>1168</v>
      </c>
      <c r="P3182" t="s">
        <v>1235</v>
      </c>
    </row>
    <row r="3183" spans="1:16" x14ac:dyDescent="0.25">
      <c r="A3183" t="s">
        <v>6317</v>
      </c>
      <c r="B3183" t="s">
        <v>6318</v>
      </c>
      <c r="C3183" t="s">
        <v>1233</v>
      </c>
      <c r="D3183" t="s">
        <v>1027</v>
      </c>
      <c r="E3183">
        <v>63762</v>
      </c>
      <c r="F3183" t="s">
        <v>1234</v>
      </c>
      <c r="G3183" t="b">
        <v>0</v>
      </c>
      <c r="H3183" t="b">
        <v>0</v>
      </c>
      <c r="I3183" t="s">
        <v>1050</v>
      </c>
      <c r="J3183">
        <v>88</v>
      </c>
      <c r="K3183" t="s">
        <v>0</v>
      </c>
      <c r="L3183" t="s">
        <v>1167</v>
      </c>
      <c r="M3183" t="s">
        <v>1168</v>
      </c>
      <c r="N3183" t="s">
        <v>1169</v>
      </c>
      <c r="O3183" t="s">
        <v>1168</v>
      </c>
      <c r="P3183" t="s">
        <v>1235</v>
      </c>
    </row>
    <row r="3184" spans="1:16" x14ac:dyDescent="0.25">
      <c r="A3184" t="s">
        <v>6319</v>
      </c>
      <c r="B3184" t="s">
        <v>6320</v>
      </c>
      <c r="C3184" t="s">
        <v>1233</v>
      </c>
      <c r="D3184" t="s">
        <v>1027</v>
      </c>
      <c r="E3184">
        <v>63762</v>
      </c>
      <c r="F3184" t="s">
        <v>1234</v>
      </c>
      <c r="G3184" t="b">
        <v>0</v>
      </c>
      <c r="H3184" t="b">
        <v>0</v>
      </c>
      <c r="I3184" t="s">
        <v>1050</v>
      </c>
      <c r="J3184">
        <v>88</v>
      </c>
      <c r="K3184" t="s">
        <v>0</v>
      </c>
      <c r="L3184" t="s">
        <v>1167</v>
      </c>
      <c r="M3184" t="s">
        <v>1168</v>
      </c>
      <c r="N3184" t="s">
        <v>1169</v>
      </c>
      <c r="O3184" t="s">
        <v>1168</v>
      </c>
      <c r="P3184" t="s">
        <v>1235</v>
      </c>
    </row>
    <row r="3185" spans="1:16" x14ac:dyDescent="0.25">
      <c r="A3185" t="s">
        <v>6321</v>
      </c>
      <c r="B3185" t="s">
        <v>6322</v>
      </c>
      <c r="C3185" t="s">
        <v>1233</v>
      </c>
      <c r="D3185" t="s">
        <v>1027</v>
      </c>
      <c r="E3185">
        <v>63762</v>
      </c>
      <c r="F3185" t="s">
        <v>1234</v>
      </c>
      <c r="G3185" t="b">
        <v>0</v>
      </c>
      <c r="H3185" t="b">
        <v>0</v>
      </c>
      <c r="I3185" t="s">
        <v>1050</v>
      </c>
      <c r="J3185">
        <v>88</v>
      </c>
      <c r="K3185" t="s">
        <v>0</v>
      </c>
      <c r="L3185" t="s">
        <v>1167</v>
      </c>
      <c r="M3185" t="s">
        <v>1168</v>
      </c>
      <c r="N3185" t="s">
        <v>1169</v>
      </c>
      <c r="O3185" t="s">
        <v>1168</v>
      </c>
      <c r="P3185" t="s">
        <v>1235</v>
      </c>
    </row>
    <row r="3186" spans="1:16" x14ac:dyDescent="0.25">
      <c r="A3186" t="s">
        <v>6323</v>
      </c>
      <c r="B3186" t="s">
        <v>6324</v>
      </c>
      <c r="C3186" t="s">
        <v>1233</v>
      </c>
      <c r="D3186" t="s">
        <v>1027</v>
      </c>
      <c r="E3186">
        <v>63762</v>
      </c>
      <c r="F3186" t="s">
        <v>1234</v>
      </c>
      <c r="G3186" t="b">
        <v>0</v>
      </c>
      <c r="H3186" t="b">
        <v>0</v>
      </c>
      <c r="I3186" t="s">
        <v>1050</v>
      </c>
      <c r="J3186">
        <v>88</v>
      </c>
      <c r="K3186" t="s">
        <v>0</v>
      </c>
      <c r="L3186" t="s">
        <v>1167</v>
      </c>
      <c r="M3186" t="s">
        <v>1168</v>
      </c>
      <c r="N3186" t="s">
        <v>1169</v>
      </c>
      <c r="O3186" t="s">
        <v>1168</v>
      </c>
      <c r="P3186" t="s">
        <v>1235</v>
      </c>
    </row>
    <row r="3187" spans="1:16" x14ac:dyDescent="0.25">
      <c r="A3187" t="s">
        <v>6325</v>
      </c>
      <c r="B3187" t="s">
        <v>6326</v>
      </c>
      <c r="C3187" t="s">
        <v>1233</v>
      </c>
      <c r="D3187" t="s">
        <v>1027</v>
      </c>
      <c r="E3187">
        <v>63762</v>
      </c>
      <c r="F3187" t="s">
        <v>1234</v>
      </c>
      <c r="G3187" t="b">
        <v>0</v>
      </c>
      <c r="H3187" t="b">
        <v>0</v>
      </c>
      <c r="I3187" t="s">
        <v>1050</v>
      </c>
      <c r="J3187">
        <v>89</v>
      </c>
      <c r="K3187" t="s">
        <v>0</v>
      </c>
      <c r="L3187" t="s">
        <v>1167</v>
      </c>
      <c r="M3187" t="s">
        <v>1168</v>
      </c>
      <c r="N3187" t="s">
        <v>1169</v>
      </c>
      <c r="O3187" t="s">
        <v>1168</v>
      </c>
      <c r="P3187" t="s">
        <v>1235</v>
      </c>
    </row>
    <row r="3188" spans="1:16" x14ac:dyDescent="0.25">
      <c r="A3188" t="s">
        <v>6327</v>
      </c>
      <c r="B3188" t="s">
        <v>6328</v>
      </c>
      <c r="C3188" t="s">
        <v>1233</v>
      </c>
      <c r="D3188" t="s">
        <v>1027</v>
      </c>
      <c r="E3188">
        <v>63762</v>
      </c>
      <c r="F3188" t="s">
        <v>1234</v>
      </c>
      <c r="G3188" t="b">
        <v>0</v>
      </c>
      <c r="H3188" t="b">
        <v>0</v>
      </c>
      <c r="I3188" t="s">
        <v>1050</v>
      </c>
      <c r="J3188">
        <v>89</v>
      </c>
      <c r="K3188" t="s">
        <v>0</v>
      </c>
      <c r="L3188" t="s">
        <v>1167</v>
      </c>
      <c r="M3188" t="s">
        <v>1168</v>
      </c>
      <c r="N3188" t="s">
        <v>1169</v>
      </c>
      <c r="O3188" t="s">
        <v>1168</v>
      </c>
      <c r="P3188" t="s">
        <v>1235</v>
      </c>
    </row>
    <row r="3189" spans="1:16" x14ac:dyDescent="0.25">
      <c r="A3189" t="s">
        <v>6329</v>
      </c>
      <c r="B3189" t="s">
        <v>6330</v>
      </c>
      <c r="C3189" t="s">
        <v>1233</v>
      </c>
      <c r="D3189" t="s">
        <v>1027</v>
      </c>
      <c r="E3189">
        <v>63762</v>
      </c>
      <c r="F3189" t="s">
        <v>1234</v>
      </c>
      <c r="G3189" t="b">
        <v>0</v>
      </c>
      <c r="H3189" t="b">
        <v>0</v>
      </c>
      <c r="I3189" t="s">
        <v>1050</v>
      </c>
      <c r="J3189">
        <v>89</v>
      </c>
      <c r="K3189" t="s">
        <v>0</v>
      </c>
      <c r="L3189" t="s">
        <v>1167</v>
      </c>
      <c r="M3189" t="s">
        <v>1168</v>
      </c>
      <c r="N3189" t="s">
        <v>1169</v>
      </c>
      <c r="O3189" t="s">
        <v>1168</v>
      </c>
      <c r="P3189" t="s">
        <v>1235</v>
      </c>
    </row>
    <row r="3190" spans="1:16" x14ac:dyDescent="0.25">
      <c r="A3190" t="s">
        <v>6331</v>
      </c>
      <c r="B3190" t="s">
        <v>6332</v>
      </c>
      <c r="C3190" t="s">
        <v>1233</v>
      </c>
      <c r="D3190" t="s">
        <v>1027</v>
      </c>
      <c r="E3190">
        <v>63762</v>
      </c>
      <c r="F3190" t="s">
        <v>1234</v>
      </c>
      <c r="G3190" t="b">
        <v>0</v>
      </c>
      <c r="H3190" t="b">
        <v>0</v>
      </c>
      <c r="I3190" t="s">
        <v>1050</v>
      </c>
      <c r="J3190">
        <v>89</v>
      </c>
      <c r="K3190" t="s">
        <v>0</v>
      </c>
      <c r="L3190" t="s">
        <v>1167</v>
      </c>
      <c r="M3190" t="s">
        <v>1168</v>
      </c>
      <c r="N3190" t="s">
        <v>1169</v>
      </c>
      <c r="O3190" t="s">
        <v>1168</v>
      </c>
      <c r="P3190" t="s">
        <v>1235</v>
      </c>
    </row>
    <row r="3191" spans="1:16" x14ac:dyDescent="0.25">
      <c r="A3191" t="s">
        <v>6333</v>
      </c>
      <c r="B3191" t="s">
        <v>6334</v>
      </c>
      <c r="C3191" t="s">
        <v>1233</v>
      </c>
      <c r="D3191" t="s">
        <v>1027</v>
      </c>
      <c r="E3191">
        <v>63762</v>
      </c>
      <c r="F3191" t="s">
        <v>1234</v>
      </c>
      <c r="G3191" t="b">
        <v>0</v>
      </c>
      <c r="H3191" t="b">
        <v>0</v>
      </c>
      <c r="I3191" t="s">
        <v>1050</v>
      </c>
      <c r="J3191">
        <v>89</v>
      </c>
      <c r="K3191" t="s">
        <v>0</v>
      </c>
      <c r="L3191" t="s">
        <v>1167</v>
      </c>
      <c r="M3191" t="s">
        <v>1168</v>
      </c>
      <c r="N3191" t="s">
        <v>1169</v>
      </c>
      <c r="O3191" t="s">
        <v>1168</v>
      </c>
      <c r="P3191" t="s">
        <v>1235</v>
      </c>
    </row>
    <row r="3192" spans="1:16" x14ac:dyDescent="0.25">
      <c r="A3192" t="s">
        <v>6335</v>
      </c>
      <c r="B3192" t="s">
        <v>6336</v>
      </c>
      <c r="C3192" t="s">
        <v>1233</v>
      </c>
      <c r="D3192" t="s">
        <v>1027</v>
      </c>
      <c r="E3192">
        <v>63762</v>
      </c>
      <c r="F3192" t="s">
        <v>1234</v>
      </c>
      <c r="G3192" t="b">
        <v>0</v>
      </c>
      <c r="H3192" t="b">
        <v>0</v>
      </c>
      <c r="I3192" t="s">
        <v>1050</v>
      </c>
      <c r="J3192">
        <v>89</v>
      </c>
      <c r="K3192" t="s">
        <v>0</v>
      </c>
      <c r="L3192" t="s">
        <v>1167</v>
      </c>
      <c r="M3192" t="s">
        <v>1168</v>
      </c>
      <c r="N3192" t="s">
        <v>1169</v>
      </c>
      <c r="O3192" t="s">
        <v>1168</v>
      </c>
      <c r="P3192" t="s">
        <v>1235</v>
      </c>
    </row>
    <row r="3193" spans="1:16" x14ac:dyDescent="0.25">
      <c r="A3193" t="s">
        <v>6337</v>
      </c>
      <c r="B3193" t="s">
        <v>6338</v>
      </c>
      <c r="C3193" t="s">
        <v>1233</v>
      </c>
      <c r="D3193" t="s">
        <v>1027</v>
      </c>
      <c r="E3193">
        <v>63762</v>
      </c>
      <c r="F3193" t="s">
        <v>1234</v>
      </c>
      <c r="G3193" t="b">
        <v>0</v>
      </c>
      <c r="H3193" t="b">
        <v>0</v>
      </c>
      <c r="I3193" t="s">
        <v>1050</v>
      </c>
      <c r="J3193">
        <v>89</v>
      </c>
      <c r="K3193" t="s">
        <v>0</v>
      </c>
      <c r="L3193" t="s">
        <v>1167</v>
      </c>
      <c r="M3193" t="s">
        <v>1168</v>
      </c>
      <c r="N3193" t="s">
        <v>1169</v>
      </c>
      <c r="O3193" t="s">
        <v>1168</v>
      </c>
      <c r="P3193" t="s">
        <v>1235</v>
      </c>
    </row>
    <row r="3194" spans="1:16" x14ac:dyDescent="0.25">
      <c r="A3194" t="s">
        <v>6339</v>
      </c>
      <c r="B3194" t="s">
        <v>6340</v>
      </c>
      <c r="C3194" t="s">
        <v>1233</v>
      </c>
      <c r="D3194" t="s">
        <v>1027</v>
      </c>
      <c r="E3194">
        <v>63762</v>
      </c>
      <c r="F3194" t="s">
        <v>1234</v>
      </c>
      <c r="G3194" t="b">
        <v>0</v>
      </c>
      <c r="H3194" t="b">
        <v>0</v>
      </c>
      <c r="I3194" t="s">
        <v>1050</v>
      </c>
      <c r="J3194">
        <v>89</v>
      </c>
      <c r="K3194" t="s">
        <v>0</v>
      </c>
      <c r="L3194" t="s">
        <v>1167</v>
      </c>
      <c r="M3194" t="s">
        <v>1168</v>
      </c>
      <c r="N3194" t="s">
        <v>1169</v>
      </c>
      <c r="O3194" t="s">
        <v>1168</v>
      </c>
      <c r="P3194" t="s">
        <v>1235</v>
      </c>
    </row>
    <row r="3195" spans="1:16" x14ac:dyDescent="0.25">
      <c r="A3195" t="s">
        <v>6341</v>
      </c>
      <c r="B3195" t="s">
        <v>6342</v>
      </c>
      <c r="C3195" t="s">
        <v>1233</v>
      </c>
      <c r="D3195" t="s">
        <v>1027</v>
      </c>
      <c r="E3195">
        <v>63762</v>
      </c>
      <c r="F3195" t="s">
        <v>1234</v>
      </c>
      <c r="G3195" t="b">
        <v>0</v>
      </c>
      <c r="H3195" t="b">
        <v>0</v>
      </c>
      <c r="I3195" t="s">
        <v>1050</v>
      </c>
      <c r="J3195">
        <v>89</v>
      </c>
      <c r="K3195" t="s">
        <v>0</v>
      </c>
      <c r="L3195" t="s">
        <v>1167</v>
      </c>
      <c r="M3195" t="s">
        <v>1168</v>
      </c>
      <c r="N3195" t="s">
        <v>1169</v>
      </c>
      <c r="O3195" t="s">
        <v>1168</v>
      </c>
      <c r="P3195" t="s">
        <v>1235</v>
      </c>
    </row>
    <row r="3196" spans="1:16" x14ac:dyDescent="0.25">
      <c r="A3196" t="s">
        <v>6343</v>
      </c>
      <c r="B3196" t="s">
        <v>6328</v>
      </c>
      <c r="C3196" t="s">
        <v>1233</v>
      </c>
      <c r="D3196" t="s">
        <v>1027</v>
      </c>
      <c r="E3196">
        <v>63762</v>
      </c>
      <c r="F3196" t="s">
        <v>1234</v>
      </c>
      <c r="G3196" t="b">
        <v>0</v>
      </c>
      <c r="H3196" t="b">
        <v>0</v>
      </c>
      <c r="I3196" t="s">
        <v>1050</v>
      </c>
      <c r="J3196">
        <v>89</v>
      </c>
      <c r="K3196" t="s">
        <v>0</v>
      </c>
      <c r="L3196" t="s">
        <v>1167</v>
      </c>
      <c r="M3196" t="s">
        <v>1168</v>
      </c>
      <c r="N3196" t="s">
        <v>1169</v>
      </c>
      <c r="O3196" t="s">
        <v>1168</v>
      </c>
      <c r="P3196" t="s">
        <v>1235</v>
      </c>
    </row>
    <row r="3197" spans="1:16" x14ac:dyDescent="0.25">
      <c r="A3197" t="s">
        <v>6344</v>
      </c>
      <c r="B3197" t="s">
        <v>6330</v>
      </c>
      <c r="C3197" t="s">
        <v>1233</v>
      </c>
      <c r="D3197" t="s">
        <v>1027</v>
      </c>
      <c r="E3197">
        <v>63762</v>
      </c>
      <c r="F3197" t="s">
        <v>1234</v>
      </c>
      <c r="G3197" t="b">
        <v>0</v>
      </c>
      <c r="H3197" t="b">
        <v>0</v>
      </c>
      <c r="I3197" t="s">
        <v>1050</v>
      </c>
      <c r="J3197">
        <v>89</v>
      </c>
      <c r="K3197" t="s">
        <v>0</v>
      </c>
      <c r="L3197" t="s">
        <v>1167</v>
      </c>
      <c r="M3197" t="s">
        <v>1168</v>
      </c>
      <c r="N3197" t="s">
        <v>1169</v>
      </c>
      <c r="O3197" t="s">
        <v>1168</v>
      </c>
      <c r="P3197" t="s">
        <v>1235</v>
      </c>
    </row>
    <row r="3198" spans="1:16" x14ac:dyDescent="0.25">
      <c r="A3198" t="s">
        <v>6345</v>
      </c>
      <c r="B3198" t="s">
        <v>6332</v>
      </c>
      <c r="C3198" t="s">
        <v>1233</v>
      </c>
      <c r="D3198" t="s">
        <v>1027</v>
      </c>
      <c r="E3198">
        <v>63762</v>
      </c>
      <c r="F3198" t="s">
        <v>1234</v>
      </c>
      <c r="G3198" t="b">
        <v>0</v>
      </c>
      <c r="H3198" t="b">
        <v>0</v>
      </c>
      <c r="I3198" t="s">
        <v>1050</v>
      </c>
      <c r="J3198">
        <v>89</v>
      </c>
      <c r="K3198" t="s">
        <v>0</v>
      </c>
      <c r="L3198" t="s">
        <v>1167</v>
      </c>
      <c r="M3198" t="s">
        <v>1168</v>
      </c>
      <c r="N3198" t="s">
        <v>1169</v>
      </c>
      <c r="O3198" t="s">
        <v>1168</v>
      </c>
      <c r="P3198" t="s">
        <v>1235</v>
      </c>
    </row>
    <row r="3199" spans="1:16" x14ac:dyDescent="0.25">
      <c r="A3199" t="s">
        <v>6346</v>
      </c>
      <c r="B3199" t="s">
        <v>6334</v>
      </c>
      <c r="C3199" t="s">
        <v>1233</v>
      </c>
      <c r="D3199" t="s">
        <v>1027</v>
      </c>
      <c r="E3199">
        <v>63762</v>
      </c>
      <c r="F3199" t="s">
        <v>1234</v>
      </c>
      <c r="G3199" t="b">
        <v>0</v>
      </c>
      <c r="H3199" t="b">
        <v>0</v>
      </c>
      <c r="I3199" t="s">
        <v>1050</v>
      </c>
      <c r="J3199">
        <v>89</v>
      </c>
      <c r="K3199" t="s">
        <v>0</v>
      </c>
      <c r="L3199" t="s">
        <v>1167</v>
      </c>
      <c r="M3199" t="s">
        <v>1168</v>
      </c>
      <c r="N3199" t="s">
        <v>1169</v>
      </c>
      <c r="O3199" t="s">
        <v>1168</v>
      </c>
      <c r="P3199" t="s">
        <v>1235</v>
      </c>
    </row>
    <row r="3200" spans="1:16" x14ac:dyDescent="0.25">
      <c r="A3200" t="s">
        <v>6347</v>
      </c>
      <c r="B3200" t="s">
        <v>6336</v>
      </c>
      <c r="C3200" t="s">
        <v>1233</v>
      </c>
      <c r="D3200" t="s">
        <v>1027</v>
      </c>
      <c r="E3200">
        <v>63762</v>
      </c>
      <c r="F3200" t="s">
        <v>1234</v>
      </c>
      <c r="G3200" t="b">
        <v>0</v>
      </c>
      <c r="H3200" t="b">
        <v>0</v>
      </c>
      <c r="I3200" t="s">
        <v>1050</v>
      </c>
      <c r="J3200">
        <v>89</v>
      </c>
      <c r="K3200" t="s">
        <v>0</v>
      </c>
      <c r="L3200" t="s">
        <v>1167</v>
      </c>
      <c r="M3200" t="s">
        <v>1168</v>
      </c>
      <c r="N3200" t="s">
        <v>1169</v>
      </c>
      <c r="O3200" t="s">
        <v>1168</v>
      </c>
      <c r="P3200" t="s">
        <v>1235</v>
      </c>
    </row>
    <row r="3201" spans="1:16" x14ac:dyDescent="0.25">
      <c r="A3201" t="s">
        <v>6348</v>
      </c>
      <c r="B3201" t="s">
        <v>6338</v>
      </c>
      <c r="C3201" t="s">
        <v>1233</v>
      </c>
      <c r="D3201" t="s">
        <v>1027</v>
      </c>
      <c r="E3201">
        <v>63762</v>
      </c>
      <c r="F3201" t="s">
        <v>1234</v>
      </c>
      <c r="G3201" t="b">
        <v>0</v>
      </c>
      <c r="H3201" t="b">
        <v>0</v>
      </c>
      <c r="I3201" t="s">
        <v>1050</v>
      </c>
      <c r="J3201">
        <v>89</v>
      </c>
      <c r="K3201" t="s">
        <v>0</v>
      </c>
      <c r="L3201" t="s">
        <v>1167</v>
      </c>
      <c r="M3201" t="s">
        <v>1168</v>
      </c>
      <c r="N3201" t="s">
        <v>1169</v>
      </c>
      <c r="O3201" t="s">
        <v>1168</v>
      </c>
      <c r="P3201" t="s">
        <v>1235</v>
      </c>
    </row>
    <row r="3202" spans="1:16" x14ac:dyDescent="0.25">
      <c r="A3202" t="s">
        <v>6349</v>
      </c>
      <c r="B3202" t="s">
        <v>6340</v>
      </c>
      <c r="C3202" t="s">
        <v>1233</v>
      </c>
      <c r="D3202" t="s">
        <v>1027</v>
      </c>
      <c r="E3202">
        <v>63762</v>
      </c>
      <c r="F3202" t="s">
        <v>1234</v>
      </c>
      <c r="G3202" t="b">
        <v>0</v>
      </c>
      <c r="H3202" t="b">
        <v>0</v>
      </c>
      <c r="I3202" t="s">
        <v>1050</v>
      </c>
      <c r="J3202">
        <v>89</v>
      </c>
      <c r="K3202" t="s">
        <v>0</v>
      </c>
      <c r="L3202" t="s">
        <v>1167</v>
      </c>
      <c r="M3202" t="s">
        <v>1168</v>
      </c>
      <c r="N3202" t="s">
        <v>1169</v>
      </c>
      <c r="O3202" t="s">
        <v>1168</v>
      </c>
      <c r="P3202" t="s">
        <v>1235</v>
      </c>
    </row>
    <row r="3203" spans="1:16" x14ac:dyDescent="0.25">
      <c r="A3203" t="s">
        <v>6350</v>
      </c>
      <c r="B3203" t="s">
        <v>6342</v>
      </c>
      <c r="C3203" t="s">
        <v>1233</v>
      </c>
      <c r="D3203" t="s">
        <v>1027</v>
      </c>
      <c r="E3203">
        <v>63762</v>
      </c>
      <c r="F3203" t="s">
        <v>1234</v>
      </c>
      <c r="G3203" t="b">
        <v>0</v>
      </c>
      <c r="H3203" t="b">
        <v>0</v>
      </c>
      <c r="I3203" t="s">
        <v>1050</v>
      </c>
      <c r="J3203">
        <v>89</v>
      </c>
      <c r="K3203" t="s">
        <v>0</v>
      </c>
      <c r="L3203" t="s">
        <v>1167</v>
      </c>
      <c r="M3203" t="s">
        <v>1168</v>
      </c>
      <c r="N3203" t="s">
        <v>1169</v>
      </c>
      <c r="O3203" t="s">
        <v>1168</v>
      </c>
      <c r="P3203" t="s">
        <v>1235</v>
      </c>
    </row>
    <row r="3204" spans="1:16" x14ac:dyDescent="0.25">
      <c r="A3204" t="s">
        <v>6351</v>
      </c>
      <c r="B3204" t="s">
        <v>6326</v>
      </c>
      <c r="C3204" t="s">
        <v>1233</v>
      </c>
      <c r="D3204" t="s">
        <v>1027</v>
      </c>
      <c r="E3204">
        <v>63762</v>
      </c>
      <c r="F3204" t="s">
        <v>1234</v>
      </c>
      <c r="G3204" t="b">
        <v>0</v>
      </c>
      <c r="H3204" t="b">
        <v>0</v>
      </c>
      <c r="I3204" t="s">
        <v>1050</v>
      </c>
      <c r="J3204">
        <v>89</v>
      </c>
      <c r="K3204" t="s">
        <v>0</v>
      </c>
      <c r="L3204" t="s">
        <v>1167</v>
      </c>
      <c r="M3204" t="s">
        <v>1168</v>
      </c>
      <c r="N3204" t="s">
        <v>1169</v>
      </c>
      <c r="O3204" t="s">
        <v>1168</v>
      </c>
      <c r="P3204" t="s">
        <v>1235</v>
      </c>
    </row>
    <row r="3205" spans="1:16" x14ac:dyDescent="0.25">
      <c r="A3205" t="s">
        <v>6352</v>
      </c>
      <c r="B3205" t="s">
        <v>6328</v>
      </c>
      <c r="C3205" t="s">
        <v>1233</v>
      </c>
      <c r="D3205" t="s">
        <v>1027</v>
      </c>
      <c r="E3205">
        <v>63762</v>
      </c>
      <c r="F3205" t="s">
        <v>1234</v>
      </c>
      <c r="G3205" t="b">
        <v>0</v>
      </c>
      <c r="H3205" t="b">
        <v>0</v>
      </c>
      <c r="I3205" t="s">
        <v>1050</v>
      </c>
      <c r="J3205">
        <v>89</v>
      </c>
      <c r="K3205" t="s">
        <v>0</v>
      </c>
      <c r="L3205" t="s">
        <v>1167</v>
      </c>
      <c r="M3205" t="s">
        <v>1168</v>
      </c>
      <c r="N3205" t="s">
        <v>1169</v>
      </c>
      <c r="O3205" t="s">
        <v>1168</v>
      </c>
      <c r="P3205" t="s">
        <v>1235</v>
      </c>
    </row>
    <row r="3206" spans="1:16" x14ac:dyDescent="0.25">
      <c r="A3206" t="s">
        <v>6353</v>
      </c>
      <c r="B3206" t="s">
        <v>6330</v>
      </c>
      <c r="C3206" t="s">
        <v>1233</v>
      </c>
      <c r="D3206" t="s">
        <v>1027</v>
      </c>
      <c r="E3206">
        <v>63762</v>
      </c>
      <c r="F3206" t="s">
        <v>1234</v>
      </c>
      <c r="G3206" t="b">
        <v>0</v>
      </c>
      <c r="H3206" t="b">
        <v>0</v>
      </c>
      <c r="I3206" t="s">
        <v>1050</v>
      </c>
      <c r="J3206">
        <v>89</v>
      </c>
      <c r="K3206" t="s">
        <v>0</v>
      </c>
      <c r="L3206" t="s">
        <v>1167</v>
      </c>
      <c r="M3206" t="s">
        <v>1168</v>
      </c>
      <c r="N3206" t="s">
        <v>1169</v>
      </c>
      <c r="O3206" t="s">
        <v>1168</v>
      </c>
      <c r="P3206" t="s">
        <v>1235</v>
      </c>
    </row>
    <row r="3207" spans="1:16" x14ac:dyDescent="0.25">
      <c r="A3207" t="s">
        <v>6354</v>
      </c>
      <c r="B3207" t="s">
        <v>6332</v>
      </c>
      <c r="C3207" t="s">
        <v>1233</v>
      </c>
      <c r="D3207" t="s">
        <v>1027</v>
      </c>
      <c r="E3207">
        <v>63762</v>
      </c>
      <c r="F3207" t="s">
        <v>1234</v>
      </c>
      <c r="G3207" t="b">
        <v>0</v>
      </c>
      <c r="H3207" t="b">
        <v>0</v>
      </c>
      <c r="I3207" t="s">
        <v>1050</v>
      </c>
      <c r="J3207">
        <v>89</v>
      </c>
      <c r="K3207" t="s">
        <v>0</v>
      </c>
      <c r="L3207" t="s">
        <v>1167</v>
      </c>
      <c r="M3207" t="s">
        <v>1168</v>
      </c>
      <c r="N3207" t="s">
        <v>1169</v>
      </c>
      <c r="O3207" t="s">
        <v>1168</v>
      </c>
      <c r="P3207" t="s">
        <v>1235</v>
      </c>
    </row>
    <row r="3208" spans="1:16" x14ac:dyDescent="0.25">
      <c r="A3208" t="s">
        <v>6355</v>
      </c>
      <c r="B3208" t="s">
        <v>6334</v>
      </c>
      <c r="C3208" t="s">
        <v>1233</v>
      </c>
      <c r="D3208" t="s">
        <v>1027</v>
      </c>
      <c r="E3208">
        <v>63762</v>
      </c>
      <c r="F3208" t="s">
        <v>1234</v>
      </c>
      <c r="G3208" t="b">
        <v>0</v>
      </c>
      <c r="H3208" t="b">
        <v>0</v>
      </c>
      <c r="I3208" t="s">
        <v>1050</v>
      </c>
      <c r="J3208">
        <v>89</v>
      </c>
      <c r="K3208" t="s">
        <v>0</v>
      </c>
      <c r="L3208" t="s">
        <v>1167</v>
      </c>
      <c r="M3208" t="s">
        <v>1168</v>
      </c>
      <c r="N3208" t="s">
        <v>1169</v>
      </c>
      <c r="O3208" t="s">
        <v>1168</v>
      </c>
      <c r="P3208" t="s">
        <v>1235</v>
      </c>
    </row>
    <row r="3209" spans="1:16" x14ac:dyDescent="0.25">
      <c r="A3209" t="s">
        <v>6356</v>
      </c>
      <c r="B3209" t="s">
        <v>6336</v>
      </c>
      <c r="C3209" t="s">
        <v>1233</v>
      </c>
      <c r="D3209" t="s">
        <v>1027</v>
      </c>
      <c r="E3209">
        <v>63762</v>
      </c>
      <c r="F3209" t="s">
        <v>1234</v>
      </c>
      <c r="G3209" t="b">
        <v>0</v>
      </c>
      <c r="H3209" t="b">
        <v>0</v>
      </c>
      <c r="I3209" t="s">
        <v>1050</v>
      </c>
      <c r="J3209">
        <v>89</v>
      </c>
      <c r="K3209" t="s">
        <v>0</v>
      </c>
      <c r="L3209" t="s">
        <v>1167</v>
      </c>
      <c r="M3209" t="s">
        <v>1168</v>
      </c>
      <c r="N3209" t="s">
        <v>1169</v>
      </c>
      <c r="O3209" t="s">
        <v>1168</v>
      </c>
      <c r="P3209" t="s">
        <v>1235</v>
      </c>
    </row>
    <row r="3210" spans="1:16" x14ac:dyDescent="0.25">
      <c r="A3210" t="s">
        <v>6357</v>
      </c>
      <c r="B3210" t="s">
        <v>6338</v>
      </c>
      <c r="C3210" t="s">
        <v>1233</v>
      </c>
      <c r="D3210" t="s">
        <v>1027</v>
      </c>
      <c r="E3210">
        <v>63762</v>
      </c>
      <c r="F3210" t="s">
        <v>1234</v>
      </c>
      <c r="G3210" t="b">
        <v>0</v>
      </c>
      <c r="H3210" t="b">
        <v>0</v>
      </c>
      <c r="I3210" t="s">
        <v>1050</v>
      </c>
      <c r="J3210">
        <v>89</v>
      </c>
      <c r="K3210" t="s">
        <v>0</v>
      </c>
      <c r="L3210" t="s">
        <v>1167</v>
      </c>
      <c r="M3210" t="s">
        <v>1168</v>
      </c>
      <c r="N3210" t="s">
        <v>1169</v>
      </c>
      <c r="O3210" t="s">
        <v>1168</v>
      </c>
      <c r="P3210" t="s">
        <v>1235</v>
      </c>
    </row>
    <row r="3211" spans="1:16" x14ac:dyDescent="0.25">
      <c r="A3211" t="s">
        <v>6358</v>
      </c>
      <c r="B3211" t="s">
        <v>6340</v>
      </c>
      <c r="C3211" t="s">
        <v>1233</v>
      </c>
      <c r="D3211" t="s">
        <v>1027</v>
      </c>
      <c r="E3211">
        <v>63762</v>
      </c>
      <c r="F3211" t="s">
        <v>1234</v>
      </c>
      <c r="G3211" t="b">
        <v>0</v>
      </c>
      <c r="H3211" t="b">
        <v>0</v>
      </c>
      <c r="I3211" t="s">
        <v>1050</v>
      </c>
      <c r="J3211">
        <v>89</v>
      </c>
      <c r="K3211" t="s">
        <v>0</v>
      </c>
      <c r="L3211" t="s">
        <v>1167</v>
      </c>
      <c r="M3211" t="s">
        <v>1168</v>
      </c>
      <c r="N3211" t="s">
        <v>1169</v>
      </c>
      <c r="O3211" t="s">
        <v>1168</v>
      </c>
      <c r="P3211" t="s">
        <v>1235</v>
      </c>
    </row>
    <row r="3212" spans="1:16" x14ac:dyDescent="0.25">
      <c r="A3212" t="s">
        <v>6359</v>
      </c>
      <c r="B3212" t="s">
        <v>6342</v>
      </c>
      <c r="C3212" t="s">
        <v>1233</v>
      </c>
      <c r="D3212" t="s">
        <v>1027</v>
      </c>
      <c r="E3212">
        <v>63762</v>
      </c>
      <c r="F3212" t="s">
        <v>1234</v>
      </c>
      <c r="G3212" t="b">
        <v>0</v>
      </c>
      <c r="H3212" t="b">
        <v>0</v>
      </c>
      <c r="I3212" t="s">
        <v>1050</v>
      </c>
      <c r="J3212">
        <v>89</v>
      </c>
      <c r="K3212" t="s">
        <v>0</v>
      </c>
      <c r="L3212" t="s">
        <v>1167</v>
      </c>
      <c r="M3212" t="s">
        <v>1168</v>
      </c>
      <c r="N3212" t="s">
        <v>1169</v>
      </c>
      <c r="O3212" t="s">
        <v>1168</v>
      </c>
      <c r="P3212" t="s">
        <v>1235</v>
      </c>
    </row>
    <row r="3213" spans="1:16" x14ac:dyDescent="0.25">
      <c r="A3213" t="s">
        <v>6360</v>
      </c>
      <c r="B3213" t="s">
        <v>6328</v>
      </c>
      <c r="C3213" t="s">
        <v>1233</v>
      </c>
      <c r="D3213" t="s">
        <v>1027</v>
      </c>
      <c r="E3213">
        <v>63762</v>
      </c>
      <c r="F3213" t="s">
        <v>1234</v>
      </c>
      <c r="G3213" t="b">
        <v>0</v>
      </c>
      <c r="H3213" t="b">
        <v>0</v>
      </c>
      <c r="I3213" t="s">
        <v>1050</v>
      </c>
      <c r="J3213">
        <v>89</v>
      </c>
      <c r="K3213" t="s">
        <v>0</v>
      </c>
      <c r="L3213" t="s">
        <v>1167</v>
      </c>
      <c r="M3213" t="s">
        <v>1168</v>
      </c>
      <c r="N3213" t="s">
        <v>1169</v>
      </c>
      <c r="O3213" t="s">
        <v>1168</v>
      </c>
      <c r="P3213" t="s">
        <v>1235</v>
      </c>
    </row>
    <row r="3214" spans="1:16" x14ac:dyDescent="0.25">
      <c r="A3214" t="s">
        <v>6361</v>
      </c>
      <c r="B3214" t="s">
        <v>6330</v>
      </c>
      <c r="C3214" t="s">
        <v>1233</v>
      </c>
      <c r="D3214" t="s">
        <v>1027</v>
      </c>
      <c r="E3214">
        <v>63762</v>
      </c>
      <c r="F3214" t="s">
        <v>1234</v>
      </c>
      <c r="G3214" t="b">
        <v>0</v>
      </c>
      <c r="H3214" t="b">
        <v>0</v>
      </c>
      <c r="I3214" t="s">
        <v>1050</v>
      </c>
      <c r="J3214">
        <v>89</v>
      </c>
      <c r="K3214" t="s">
        <v>0</v>
      </c>
      <c r="L3214" t="s">
        <v>1167</v>
      </c>
      <c r="M3214" t="s">
        <v>1168</v>
      </c>
      <c r="N3214" t="s">
        <v>1169</v>
      </c>
      <c r="O3214" t="s">
        <v>1168</v>
      </c>
      <c r="P3214" t="s">
        <v>1235</v>
      </c>
    </row>
    <row r="3215" spans="1:16" x14ac:dyDescent="0.25">
      <c r="A3215" t="s">
        <v>6362</v>
      </c>
      <c r="B3215" t="s">
        <v>6332</v>
      </c>
      <c r="C3215" t="s">
        <v>1233</v>
      </c>
      <c r="D3215" t="s">
        <v>1027</v>
      </c>
      <c r="E3215">
        <v>63762</v>
      </c>
      <c r="F3215" t="s">
        <v>1234</v>
      </c>
      <c r="G3215" t="b">
        <v>0</v>
      </c>
      <c r="H3215" t="b">
        <v>0</v>
      </c>
      <c r="I3215" t="s">
        <v>1050</v>
      </c>
      <c r="J3215">
        <v>89</v>
      </c>
      <c r="K3215" t="s">
        <v>0</v>
      </c>
      <c r="L3215" t="s">
        <v>1167</v>
      </c>
      <c r="M3215" t="s">
        <v>1168</v>
      </c>
      <c r="N3215" t="s">
        <v>1169</v>
      </c>
      <c r="O3215" t="s">
        <v>1168</v>
      </c>
      <c r="P3215" t="s">
        <v>1235</v>
      </c>
    </row>
    <row r="3216" spans="1:16" x14ac:dyDescent="0.25">
      <c r="A3216" t="s">
        <v>6363</v>
      </c>
      <c r="B3216" t="s">
        <v>6334</v>
      </c>
      <c r="C3216" t="s">
        <v>1233</v>
      </c>
      <c r="D3216" t="s">
        <v>1027</v>
      </c>
      <c r="E3216">
        <v>63762</v>
      </c>
      <c r="F3216" t="s">
        <v>1234</v>
      </c>
      <c r="G3216" t="b">
        <v>0</v>
      </c>
      <c r="H3216" t="b">
        <v>0</v>
      </c>
      <c r="I3216" t="s">
        <v>1050</v>
      </c>
      <c r="J3216">
        <v>89</v>
      </c>
      <c r="K3216" t="s">
        <v>0</v>
      </c>
      <c r="L3216" t="s">
        <v>1167</v>
      </c>
      <c r="M3216" t="s">
        <v>1168</v>
      </c>
      <c r="N3216" t="s">
        <v>1169</v>
      </c>
      <c r="O3216" t="s">
        <v>1168</v>
      </c>
      <c r="P3216" t="s">
        <v>1235</v>
      </c>
    </row>
    <row r="3217" spans="1:16" x14ac:dyDescent="0.25">
      <c r="A3217" t="s">
        <v>6364</v>
      </c>
      <c r="B3217" t="s">
        <v>6336</v>
      </c>
      <c r="C3217" t="s">
        <v>1233</v>
      </c>
      <c r="D3217" t="s">
        <v>1027</v>
      </c>
      <c r="E3217">
        <v>63762</v>
      </c>
      <c r="F3217" t="s">
        <v>1234</v>
      </c>
      <c r="G3217" t="b">
        <v>0</v>
      </c>
      <c r="H3217" t="b">
        <v>0</v>
      </c>
      <c r="I3217" t="s">
        <v>1050</v>
      </c>
      <c r="J3217">
        <v>89</v>
      </c>
      <c r="K3217" t="s">
        <v>0</v>
      </c>
      <c r="L3217" t="s">
        <v>1167</v>
      </c>
      <c r="M3217" t="s">
        <v>1168</v>
      </c>
      <c r="N3217" t="s">
        <v>1169</v>
      </c>
      <c r="O3217" t="s">
        <v>1168</v>
      </c>
      <c r="P3217" t="s">
        <v>1235</v>
      </c>
    </row>
    <row r="3218" spans="1:16" x14ac:dyDescent="0.25">
      <c r="A3218" t="s">
        <v>6365</v>
      </c>
      <c r="B3218" t="s">
        <v>6338</v>
      </c>
      <c r="C3218" t="s">
        <v>1233</v>
      </c>
      <c r="D3218" t="s">
        <v>1027</v>
      </c>
      <c r="E3218">
        <v>63762</v>
      </c>
      <c r="F3218" t="s">
        <v>1234</v>
      </c>
      <c r="G3218" t="b">
        <v>0</v>
      </c>
      <c r="H3218" t="b">
        <v>0</v>
      </c>
      <c r="I3218" t="s">
        <v>1050</v>
      </c>
      <c r="J3218">
        <v>89</v>
      </c>
      <c r="K3218" t="s">
        <v>0</v>
      </c>
      <c r="L3218" t="s">
        <v>1167</v>
      </c>
      <c r="M3218" t="s">
        <v>1168</v>
      </c>
      <c r="N3218" t="s">
        <v>1169</v>
      </c>
      <c r="O3218" t="s">
        <v>1168</v>
      </c>
      <c r="P3218" t="s">
        <v>1235</v>
      </c>
    </row>
    <row r="3219" spans="1:16" x14ac:dyDescent="0.25">
      <c r="A3219" t="s">
        <v>6366</v>
      </c>
      <c r="B3219" t="s">
        <v>6340</v>
      </c>
      <c r="C3219" t="s">
        <v>1233</v>
      </c>
      <c r="D3219" t="s">
        <v>1027</v>
      </c>
      <c r="E3219">
        <v>63762</v>
      </c>
      <c r="F3219" t="s">
        <v>1234</v>
      </c>
      <c r="G3219" t="b">
        <v>0</v>
      </c>
      <c r="H3219" t="b">
        <v>0</v>
      </c>
      <c r="I3219" t="s">
        <v>1050</v>
      </c>
      <c r="J3219">
        <v>89</v>
      </c>
      <c r="K3219" t="s">
        <v>0</v>
      </c>
      <c r="L3219" t="s">
        <v>1167</v>
      </c>
      <c r="M3219" t="s">
        <v>1168</v>
      </c>
      <c r="N3219" t="s">
        <v>1169</v>
      </c>
      <c r="O3219" t="s">
        <v>1168</v>
      </c>
      <c r="P3219" t="s">
        <v>1235</v>
      </c>
    </row>
    <row r="3220" spans="1:16" x14ac:dyDescent="0.25">
      <c r="A3220" t="s">
        <v>6367</v>
      </c>
      <c r="B3220" t="s">
        <v>6342</v>
      </c>
      <c r="C3220" t="s">
        <v>1233</v>
      </c>
      <c r="D3220" t="s">
        <v>1027</v>
      </c>
      <c r="E3220">
        <v>63762</v>
      </c>
      <c r="F3220" t="s">
        <v>1234</v>
      </c>
      <c r="G3220" t="b">
        <v>0</v>
      </c>
      <c r="H3220" t="b">
        <v>0</v>
      </c>
      <c r="I3220" t="s">
        <v>1050</v>
      </c>
      <c r="J3220">
        <v>89</v>
      </c>
      <c r="K3220" t="s">
        <v>0</v>
      </c>
      <c r="L3220" t="s">
        <v>1167</v>
      </c>
      <c r="M3220" t="s">
        <v>1168</v>
      </c>
      <c r="N3220" t="s">
        <v>1169</v>
      </c>
      <c r="O3220" t="s">
        <v>1168</v>
      </c>
      <c r="P3220" t="s">
        <v>1235</v>
      </c>
    </row>
    <row r="3221" spans="1:16" x14ac:dyDescent="0.25">
      <c r="A3221" t="s">
        <v>6368</v>
      </c>
      <c r="B3221" t="s">
        <v>6330</v>
      </c>
      <c r="C3221" t="s">
        <v>1233</v>
      </c>
      <c r="D3221" t="s">
        <v>1027</v>
      </c>
      <c r="E3221">
        <v>63762</v>
      </c>
      <c r="F3221" t="s">
        <v>1234</v>
      </c>
      <c r="G3221" t="b">
        <v>0</v>
      </c>
      <c r="H3221" t="b">
        <v>0</v>
      </c>
      <c r="I3221" t="s">
        <v>1050</v>
      </c>
      <c r="J3221">
        <v>89</v>
      </c>
      <c r="K3221" t="s">
        <v>0</v>
      </c>
      <c r="L3221" t="s">
        <v>1167</v>
      </c>
      <c r="M3221" t="s">
        <v>1168</v>
      </c>
      <c r="N3221" t="s">
        <v>1169</v>
      </c>
      <c r="O3221" t="s">
        <v>1168</v>
      </c>
      <c r="P3221" t="s">
        <v>1235</v>
      </c>
    </row>
    <row r="3222" spans="1:16" x14ac:dyDescent="0.25">
      <c r="A3222" t="s">
        <v>6369</v>
      </c>
      <c r="B3222" t="s">
        <v>6332</v>
      </c>
      <c r="C3222" t="s">
        <v>1233</v>
      </c>
      <c r="D3222" t="s">
        <v>1027</v>
      </c>
      <c r="E3222">
        <v>63762</v>
      </c>
      <c r="F3222" t="s">
        <v>1234</v>
      </c>
      <c r="G3222" t="b">
        <v>0</v>
      </c>
      <c r="H3222" t="b">
        <v>0</v>
      </c>
      <c r="I3222" t="s">
        <v>1050</v>
      </c>
      <c r="J3222">
        <v>89</v>
      </c>
      <c r="K3222" t="s">
        <v>0</v>
      </c>
      <c r="L3222" t="s">
        <v>1167</v>
      </c>
      <c r="M3222" t="s">
        <v>1168</v>
      </c>
      <c r="N3222" t="s">
        <v>1169</v>
      </c>
      <c r="O3222" t="s">
        <v>1168</v>
      </c>
      <c r="P3222" t="s">
        <v>1235</v>
      </c>
    </row>
    <row r="3223" spans="1:16" x14ac:dyDescent="0.25">
      <c r="A3223" t="s">
        <v>6370</v>
      </c>
      <c r="B3223" t="s">
        <v>6334</v>
      </c>
      <c r="C3223" t="s">
        <v>1233</v>
      </c>
      <c r="D3223" t="s">
        <v>1027</v>
      </c>
      <c r="E3223">
        <v>63762</v>
      </c>
      <c r="F3223" t="s">
        <v>1234</v>
      </c>
      <c r="G3223" t="b">
        <v>0</v>
      </c>
      <c r="H3223" t="b">
        <v>0</v>
      </c>
      <c r="I3223" t="s">
        <v>1050</v>
      </c>
      <c r="J3223">
        <v>89</v>
      </c>
      <c r="K3223" t="s">
        <v>0</v>
      </c>
      <c r="L3223" t="s">
        <v>1167</v>
      </c>
      <c r="M3223" t="s">
        <v>1168</v>
      </c>
      <c r="N3223" t="s">
        <v>1169</v>
      </c>
      <c r="O3223" t="s">
        <v>1168</v>
      </c>
      <c r="P3223" t="s">
        <v>1235</v>
      </c>
    </row>
    <row r="3224" spans="1:16" x14ac:dyDescent="0.25">
      <c r="A3224" t="s">
        <v>6371</v>
      </c>
      <c r="B3224" t="s">
        <v>6336</v>
      </c>
      <c r="C3224" t="s">
        <v>1233</v>
      </c>
      <c r="D3224" t="s">
        <v>1027</v>
      </c>
      <c r="E3224">
        <v>63762</v>
      </c>
      <c r="F3224" t="s">
        <v>1234</v>
      </c>
      <c r="G3224" t="b">
        <v>0</v>
      </c>
      <c r="H3224" t="b">
        <v>0</v>
      </c>
      <c r="I3224" t="s">
        <v>1050</v>
      </c>
      <c r="J3224">
        <v>89</v>
      </c>
      <c r="K3224" t="s">
        <v>0</v>
      </c>
      <c r="L3224" t="s">
        <v>1167</v>
      </c>
      <c r="M3224" t="s">
        <v>1168</v>
      </c>
      <c r="N3224" t="s">
        <v>1169</v>
      </c>
      <c r="O3224" t="s">
        <v>1168</v>
      </c>
      <c r="P3224" t="s">
        <v>1235</v>
      </c>
    </row>
    <row r="3225" spans="1:16" x14ac:dyDescent="0.25">
      <c r="A3225" t="s">
        <v>6372</v>
      </c>
      <c r="B3225" t="s">
        <v>6338</v>
      </c>
      <c r="C3225" t="s">
        <v>1233</v>
      </c>
      <c r="D3225" t="s">
        <v>1027</v>
      </c>
      <c r="E3225">
        <v>63762</v>
      </c>
      <c r="F3225" t="s">
        <v>1234</v>
      </c>
      <c r="G3225" t="b">
        <v>0</v>
      </c>
      <c r="H3225" t="b">
        <v>0</v>
      </c>
      <c r="I3225" t="s">
        <v>1050</v>
      </c>
      <c r="J3225">
        <v>89</v>
      </c>
      <c r="K3225" t="s">
        <v>0</v>
      </c>
      <c r="L3225" t="s">
        <v>1167</v>
      </c>
      <c r="M3225" t="s">
        <v>1168</v>
      </c>
      <c r="N3225" t="s">
        <v>1169</v>
      </c>
      <c r="O3225" t="s">
        <v>1168</v>
      </c>
      <c r="P3225" t="s">
        <v>1235</v>
      </c>
    </row>
    <row r="3226" spans="1:16" x14ac:dyDescent="0.25">
      <c r="A3226" t="s">
        <v>6373</v>
      </c>
      <c r="B3226" t="s">
        <v>6340</v>
      </c>
      <c r="C3226" t="s">
        <v>1233</v>
      </c>
      <c r="D3226" t="s">
        <v>1027</v>
      </c>
      <c r="E3226">
        <v>63762</v>
      </c>
      <c r="F3226" t="s">
        <v>1234</v>
      </c>
      <c r="G3226" t="b">
        <v>0</v>
      </c>
      <c r="H3226" t="b">
        <v>0</v>
      </c>
      <c r="I3226" t="s">
        <v>1050</v>
      </c>
      <c r="J3226">
        <v>89</v>
      </c>
      <c r="K3226" t="s">
        <v>0</v>
      </c>
      <c r="L3226" t="s">
        <v>1167</v>
      </c>
      <c r="M3226" t="s">
        <v>1168</v>
      </c>
      <c r="N3226" t="s">
        <v>1169</v>
      </c>
      <c r="O3226" t="s">
        <v>1168</v>
      </c>
      <c r="P3226" t="s">
        <v>1235</v>
      </c>
    </row>
    <row r="3227" spans="1:16" x14ac:dyDescent="0.25">
      <c r="A3227" t="s">
        <v>6374</v>
      </c>
      <c r="B3227" t="s">
        <v>6342</v>
      </c>
      <c r="C3227" t="s">
        <v>1233</v>
      </c>
      <c r="D3227" t="s">
        <v>1027</v>
      </c>
      <c r="E3227">
        <v>63762</v>
      </c>
      <c r="F3227" t="s">
        <v>1234</v>
      </c>
      <c r="G3227" t="b">
        <v>0</v>
      </c>
      <c r="H3227" t="b">
        <v>0</v>
      </c>
      <c r="I3227" t="s">
        <v>1050</v>
      </c>
      <c r="J3227">
        <v>89</v>
      </c>
      <c r="K3227" t="s">
        <v>0</v>
      </c>
      <c r="L3227" t="s">
        <v>1167</v>
      </c>
      <c r="M3227" t="s">
        <v>1168</v>
      </c>
      <c r="N3227" t="s">
        <v>1169</v>
      </c>
      <c r="O3227" t="s">
        <v>1168</v>
      </c>
      <c r="P3227" t="s">
        <v>1235</v>
      </c>
    </row>
    <row r="3228" spans="1:16" x14ac:dyDescent="0.25">
      <c r="A3228" t="s">
        <v>6375</v>
      </c>
      <c r="B3228" t="s">
        <v>6328</v>
      </c>
      <c r="C3228" t="s">
        <v>1233</v>
      </c>
      <c r="D3228" t="s">
        <v>1027</v>
      </c>
      <c r="E3228">
        <v>63762</v>
      </c>
      <c r="F3228" t="s">
        <v>1234</v>
      </c>
      <c r="G3228" t="b">
        <v>0</v>
      </c>
      <c r="H3228" t="b">
        <v>0</v>
      </c>
      <c r="I3228" t="s">
        <v>1050</v>
      </c>
      <c r="J3228">
        <v>85</v>
      </c>
      <c r="K3228" t="s">
        <v>0</v>
      </c>
      <c r="L3228" t="s">
        <v>1167</v>
      </c>
      <c r="M3228" t="s">
        <v>1168</v>
      </c>
      <c r="N3228" t="s">
        <v>1169</v>
      </c>
      <c r="O3228" t="s">
        <v>1168</v>
      </c>
      <c r="P3228" t="s">
        <v>1235</v>
      </c>
    </row>
    <row r="3229" spans="1:16" x14ac:dyDescent="0.25">
      <c r="A3229" t="s">
        <v>6376</v>
      </c>
      <c r="B3229" t="s">
        <v>6330</v>
      </c>
      <c r="C3229" t="s">
        <v>1233</v>
      </c>
      <c r="D3229" t="s">
        <v>1027</v>
      </c>
      <c r="E3229">
        <v>63762</v>
      </c>
      <c r="F3229" t="s">
        <v>1234</v>
      </c>
      <c r="G3229" t="b">
        <v>0</v>
      </c>
      <c r="H3229" t="b">
        <v>0</v>
      </c>
      <c r="I3229" t="s">
        <v>1050</v>
      </c>
      <c r="J3229">
        <v>85</v>
      </c>
      <c r="K3229" t="s">
        <v>0</v>
      </c>
      <c r="L3229" t="s">
        <v>1167</v>
      </c>
      <c r="M3229" t="s">
        <v>1168</v>
      </c>
      <c r="N3229" t="s">
        <v>1169</v>
      </c>
      <c r="O3229" t="s">
        <v>1168</v>
      </c>
      <c r="P3229" t="s">
        <v>1235</v>
      </c>
    </row>
    <row r="3230" spans="1:16" x14ac:dyDescent="0.25">
      <c r="A3230" t="s">
        <v>6377</v>
      </c>
      <c r="B3230" t="s">
        <v>6332</v>
      </c>
      <c r="C3230" t="s">
        <v>1233</v>
      </c>
      <c r="D3230" t="s">
        <v>1027</v>
      </c>
      <c r="E3230">
        <v>63762</v>
      </c>
      <c r="F3230" t="s">
        <v>1234</v>
      </c>
      <c r="G3230" t="b">
        <v>0</v>
      </c>
      <c r="H3230" t="b">
        <v>0</v>
      </c>
      <c r="I3230" t="s">
        <v>1050</v>
      </c>
      <c r="J3230">
        <v>85</v>
      </c>
      <c r="K3230" t="s">
        <v>0</v>
      </c>
      <c r="L3230" t="s">
        <v>1167</v>
      </c>
      <c r="M3230" t="s">
        <v>1168</v>
      </c>
      <c r="N3230" t="s">
        <v>1169</v>
      </c>
      <c r="O3230" t="s">
        <v>1168</v>
      </c>
      <c r="P3230" t="s">
        <v>1235</v>
      </c>
    </row>
    <row r="3231" spans="1:16" x14ac:dyDescent="0.25">
      <c r="A3231" t="s">
        <v>6378</v>
      </c>
      <c r="B3231" t="s">
        <v>6334</v>
      </c>
      <c r="C3231" t="s">
        <v>1233</v>
      </c>
      <c r="D3231" t="s">
        <v>1027</v>
      </c>
      <c r="E3231">
        <v>63762</v>
      </c>
      <c r="F3231" t="s">
        <v>1234</v>
      </c>
      <c r="G3231" t="b">
        <v>0</v>
      </c>
      <c r="H3231" t="b">
        <v>0</v>
      </c>
      <c r="I3231" t="s">
        <v>1050</v>
      </c>
      <c r="J3231">
        <v>85</v>
      </c>
      <c r="K3231" t="s">
        <v>0</v>
      </c>
      <c r="L3231" t="s">
        <v>1167</v>
      </c>
      <c r="M3231" t="s">
        <v>1168</v>
      </c>
      <c r="N3231" t="s">
        <v>1169</v>
      </c>
      <c r="O3231" t="s">
        <v>1168</v>
      </c>
      <c r="P3231" t="s">
        <v>1235</v>
      </c>
    </row>
    <row r="3232" spans="1:16" x14ac:dyDescent="0.25">
      <c r="A3232" t="s">
        <v>6379</v>
      </c>
      <c r="B3232" t="s">
        <v>6336</v>
      </c>
      <c r="C3232" t="s">
        <v>1233</v>
      </c>
      <c r="D3232" t="s">
        <v>1027</v>
      </c>
      <c r="E3232">
        <v>63762</v>
      </c>
      <c r="F3232" t="s">
        <v>1234</v>
      </c>
      <c r="G3232" t="b">
        <v>0</v>
      </c>
      <c r="H3232" t="b">
        <v>0</v>
      </c>
      <c r="I3232" t="s">
        <v>1050</v>
      </c>
      <c r="J3232">
        <v>85</v>
      </c>
      <c r="K3232" t="s">
        <v>0</v>
      </c>
      <c r="L3232" t="s">
        <v>1167</v>
      </c>
      <c r="M3232" t="s">
        <v>1168</v>
      </c>
      <c r="N3232" t="s">
        <v>1169</v>
      </c>
      <c r="O3232" t="s">
        <v>1168</v>
      </c>
      <c r="P3232" t="s">
        <v>1235</v>
      </c>
    </row>
    <row r="3233" spans="1:16" x14ac:dyDescent="0.25">
      <c r="A3233" t="s">
        <v>6380</v>
      </c>
      <c r="B3233" t="s">
        <v>6338</v>
      </c>
      <c r="C3233" t="s">
        <v>1233</v>
      </c>
      <c r="D3233" t="s">
        <v>1027</v>
      </c>
      <c r="E3233">
        <v>63762</v>
      </c>
      <c r="F3233" t="s">
        <v>1234</v>
      </c>
      <c r="G3233" t="b">
        <v>0</v>
      </c>
      <c r="H3233" t="b">
        <v>0</v>
      </c>
      <c r="I3233" t="s">
        <v>1050</v>
      </c>
      <c r="J3233">
        <v>85</v>
      </c>
      <c r="K3233" t="s">
        <v>0</v>
      </c>
      <c r="L3233" t="s">
        <v>1167</v>
      </c>
      <c r="M3233" t="s">
        <v>1168</v>
      </c>
      <c r="N3233" t="s">
        <v>1169</v>
      </c>
      <c r="O3233" t="s">
        <v>1168</v>
      </c>
      <c r="P3233" t="s">
        <v>1235</v>
      </c>
    </row>
    <row r="3234" spans="1:16" x14ac:dyDescent="0.25">
      <c r="A3234" t="s">
        <v>6381</v>
      </c>
      <c r="B3234" t="s">
        <v>6340</v>
      </c>
      <c r="C3234" t="s">
        <v>1233</v>
      </c>
      <c r="D3234" t="s">
        <v>1027</v>
      </c>
      <c r="E3234">
        <v>63762</v>
      </c>
      <c r="F3234" t="s">
        <v>1234</v>
      </c>
      <c r="G3234" t="b">
        <v>0</v>
      </c>
      <c r="H3234" t="b">
        <v>0</v>
      </c>
      <c r="I3234" t="s">
        <v>1050</v>
      </c>
      <c r="J3234">
        <v>85</v>
      </c>
      <c r="K3234" t="s">
        <v>0</v>
      </c>
      <c r="L3234" t="s">
        <v>1167</v>
      </c>
      <c r="M3234" t="s">
        <v>1168</v>
      </c>
      <c r="N3234" t="s">
        <v>1169</v>
      </c>
      <c r="O3234" t="s">
        <v>1168</v>
      </c>
      <c r="P3234" t="s">
        <v>1235</v>
      </c>
    </row>
    <row r="3235" spans="1:16" x14ac:dyDescent="0.25">
      <c r="A3235" t="s">
        <v>6382</v>
      </c>
      <c r="B3235" t="s">
        <v>6342</v>
      </c>
      <c r="C3235" t="s">
        <v>1233</v>
      </c>
      <c r="D3235" t="s">
        <v>1027</v>
      </c>
      <c r="E3235">
        <v>63762</v>
      </c>
      <c r="F3235" t="s">
        <v>1234</v>
      </c>
      <c r="G3235" t="b">
        <v>0</v>
      </c>
      <c r="H3235" t="b">
        <v>0</v>
      </c>
      <c r="I3235" t="s">
        <v>1050</v>
      </c>
      <c r="J3235">
        <v>85</v>
      </c>
      <c r="K3235" t="s">
        <v>0</v>
      </c>
      <c r="L3235" t="s">
        <v>1167</v>
      </c>
      <c r="M3235" t="s">
        <v>1168</v>
      </c>
      <c r="N3235" t="s">
        <v>1169</v>
      </c>
      <c r="O3235" t="s">
        <v>1168</v>
      </c>
      <c r="P3235" t="s">
        <v>1235</v>
      </c>
    </row>
    <row r="3236" spans="1:16" x14ac:dyDescent="0.25">
      <c r="A3236" t="s">
        <v>6383</v>
      </c>
      <c r="B3236" t="s">
        <v>6330</v>
      </c>
      <c r="C3236" t="s">
        <v>1233</v>
      </c>
      <c r="D3236" t="s">
        <v>1027</v>
      </c>
      <c r="E3236">
        <v>63762</v>
      </c>
      <c r="F3236" t="s">
        <v>1234</v>
      </c>
      <c r="G3236" t="b">
        <v>0</v>
      </c>
      <c r="H3236" t="b">
        <v>0</v>
      </c>
      <c r="I3236" t="s">
        <v>1050</v>
      </c>
      <c r="J3236">
        <v>85</v>
      </c>
      <c r="K3236" t="s">
        <v>0</v>
      </c>
      <c r="L3236" t="s">
        <v>1167</v>
      </c>
      <c r="M3236" t="s">
        <v>1168</v>
      </c>
      <c r="N3236" t="s">
        <v>1169</v>
      </c>
      <c r="O3236" t="s">
        <v>1168</v>
      </c>
      <c r="P3236" t="s">
        <v>1235</v>
      </c>
    </row>
    <row r="3237" spans="1:16" x14ac:dyDescent="0.25">
      <c r="A3237" t="s">
        <v>6384</v>
      </c>
      <c r="B3237" t="s">
        <v>6332</v>
      </c>
      <c r="C3237" t="s">
        <v>1233</v>
      </c>
      <c r="D3237" t="s">
        <v>1027</v>
      </c>
      <c r="E3237">
        <v>63762</v>
      </c>
      <c r="F3237" t="s">
        <v>1234</v>
      </c>
      <c r="G3237" t="b">
        <v>0</v>
      </c>
      <c r="H3237" t="b">
        <v>0</v>
      </c>
      <c r="I3237" t="s">
        <v>1050</v>
      </c>
      <c r="J3237">
        <v>85</v>
      </c>
      <c r="K3237" t="s">
        <v>0</v>
      </c>
      <c r="L3237" t="s">
        <v>1167</v>
      </c>
      <c r="M3237" t="s">
        <v>1168</v>
      </c>
      <c r="N3237" t="s">
        <v>1169</v>
      </c>
      <c r="O3237" t="s">
        <v>1168</v>
      </c>
      <c r="P3237" t="s">
        <v>1235</v>
      </c>
    </row>
    <row r="3238" spans="1:16" x14ac:dyDescent="0.25">
      <c r="A3238" t="s">
        <v>6385</v>
      </c>
      <c r="B3238" t="s">
        <v>6334</v>
      </c>
      <c r="C3238" t="s">
        <v>1233</v>
      </c>
      <c r="D3238" t="s">
        <v>1027</v>
      </c>
      <c r="E3238">
        <v>63762</v>
      </c>
      <c r="F3238" t="s">
        <v>1234</v>
      </c>
      <c r="G3238" t="b">
        <v>0</v>
      </c>
      <c r="H3238" t="b">
        <v>0</v>
      </c>
      <c r="I3238" t="s">
        <v>1050</v>
      </c>
      <c r="J3238">
        <v>85</v>
      </c>
      <c r="K3238" t="s">
        <v>0</v>
      </c>
      <c r="L3238" t="s">
        <v>1167</v>
      </c>
      <c r="M3238" t="s">
        <v>1168</v>
      </c>
      <c r="N3238" t="s">
        <v>1169</v>
      </c>
      <c r="O3238" t="s">
        <v>1168</v>
      </c>
      <c r="P3238" t="s">
        <v>1235</v>
      </c>
    </row>
    <row r="3239" spans="1:16" x14ac:dyDescent="0.25">
      <c r="A3239" t="s">
        <v>6386</v>
      </c>
      <c r="B3239" t="s">
        <v>6336</v>
      </c>
      <c r="C3239" t="s">
        <v>1233</v>
      </c>
      <c r="D3239" t="s">
        <v>1027</v>
      </c>
      <c r="E3239">
        <v>63762</v>
      </c>
      <c r="F3239" t="s">
        <v>1234</v>
      </c>
      <c r="G3239" t="b">
        <v>0</v>
      </c>
      <c r="H3239" t="b">
        <v>0</v>
      </c>
      <c r="I3239" t="s">
        <v>1050</v>
      </c>
      <c r="J3239">
        <v>85</v>
      </c>
      <c r="K3239" t="s">
        <v>0</v>
      </c>
      <c r="L3239" t="s">
        <v>1167</v>
      </c>
      <c r="M3239" t="s">
        <v>1168</v>
      </c>
      <c r="N3239" t="s">
        <v>1169</v>
      </c>
      <c r="O3239" t="s">
        <v>1168</v>
      </c>
      <c r="P3239" t="s">
        <v>1235</v>
      </c>
    </row>
    <row r="3240" spans="1:16" x14ac:dyDescent="0.25">
      <c r="A3240" t="s">
        <v>6387</v>
      </c>
      <c r="B3240" t="s">
        <v>6338</v>
      </c>
      <c r="C3240" t="s">
        <v>1233</v>
      </c>
      <c r="D3240" t="s">
        <v>1027</v>
      </c>
      <c r="E3240">
        <v>63762</v>
      </c>
      <c r="F3240" t="s">
        <v>1234</v>
      </c>
      <c r="G3240" t="b">
        <v>0</v>
      </c>
      <c r="H3240" t="b">
        <v>0</v>
      </c>
      <c r="I3240" t="s">
        <v>1050</v>
      </c>
      <c r="J3240">
        <v>85</v>
      </c>
      <c r="K3240" t="s">
        <v>0</v>
      </c>
      <c r="L3240" t="s">
        <v>1167</v>
      </c>
      <c r="M3240" t="s">
        <v>1168</v>
      </c>
      <c r="N3240" t="s">
        <v>1169</v>
      </c>
      <c r="O3240" t="s">
        <v>1168</v>
      </c>
      <c r="P3240" t="s">
        <v>1235</v>
      </c>
    </row>
    <row r="3241" spans="1:16" x14ac:dyDescent="0.25">
      <c r="A3241" t="s">
        <v>6388</v>
      </c>
      <c r="B3241" t="s">
        <v>6340</v>
      </c>
      <c r="C3241" t="s">
        <v>1233</v>
      </c>
      <c r="D3241" t="s">
        <v>1027</v>
      </c>
      <c r="E3241">
        <v>63762</v>
      </c>
      <c r="F3241" t="s">
        <v>1234</v>
      </c>
      <c r="G3241" t="b">
        <v>0</v>
      </c>
      <c r="H3241" t="b">
        <v>0</v>
      </c>
      <c r="I3241" t="s">
        <v>1050</v>
      </c>
      <c r="J3241">
        <v>85</v>
      </c>
      <c r="K3241" t="s">
        <v>0</v>
      </c>
      <c r="L3241" t="s">
        <v>1167</v>
      </c>
      <c r="M3241" t="s">
        <v>1168</v>
      </c>
      <c r="N3241" t="s">
        <v>1169</v>
      </c>
      <c r="O3241" t="s">
        <v>1168</v>
      </c>
      <c r="P3241" t="s">
        <v>1235</v>
      </c>
    </row>
    <row r="3242" spans="1:16" x14ac:dyDescent="0.25">
      <c r="A3242" t="s">
        <v>6389</v>
      </c>
      <c r="B3242" t="s">
        <v>6342</v>
      </c>
      <c r="C3242" t="s">
        <v>1233</v>
      </c>
      <c r="D3242" t="s">
        <v>1027</v>
      </c>
      <c r="E3242">
        <v>63762</v>
      </c>
      <c r="F3242" t="s">
        <v>1234</v>
      </c>
      <c r="G3242" t="b">
        <v>0</v>
      </c>
      <c r="H3242" t="b">
        <v>0</v>
      </c>
      <c r="I3242" t="s">
        <v>1050</v>
      </c>
      <c r="J3242">
        <v>85</v>
      </c>
      <c r="K3242" t="s">
        <v>0</v>
      </c>
      <c r="L3242" t="s">
        <v>1167</v>
      </c>
      <c r="M3242" t="s">
        <v>1168</v>
      </c>
      <c r="N3242" t="s">
        <v>1169</v>
      </c>
      <c r="O3242" t="s">
        <v>1168</v>
      </c>
      <c r="P3242" t="s">
        <v>1235</v>
      </c>
    </row>
    <row r="3243" spans="1:16" x14ac:dyDescent="0.25">
      <c r="A3243" t="s">
        <v>6390</v>
      </c>
      <c r="B3243" t="s">
        <v>6328</v>
      </c>
      <c r="C3243" t="s">
        <v>1233</v>
      </c>
      <c r="D3243" t="s">
        <v>1027</v>
      </c>
      <c r="E3243">
        <v>63762</v>
      </c>
      <c r="F3243" t="s">
        <v>1234</v>
      </c>
      <c r="G3243" t="b">
        <v>0</v>
      </c>
      <c r="H3243" t="b">
        <v>0</v>
      </c>
      <c r="I3243" t="s">
        <v>1050</v>
      </c>
      <c r="J3243">
        <v>85</v>
      </c>
      <c r="K3243" t="s">
        <v>0</v>
      </c>
      <c r="L3243" t="s">
        <v>1167</v>
      </c>
      <c r="M3243" t="s">
        <v>1168</v>
      </c>
      <c r="N3243" t="s">
        <v>1169</v>
      </c>
      <c r="O3243" t="s">
        <v>1168</v>
      </c>
      <c r="P3243" t="s">
        <v>1235</v>
      </c>
    </row>
    <row r="3244" spans="1:16" x14ac:dyDescent="0.25">
      <c r="A3244" t="s">
        <v>6391</v>
      </c>
      <c r="B3244" t="s">
        <v>6330</v>
      </c>
      <c r="C3244" t="s">
        <v>1233</v>
      </c>
      <c r="D3244" t="s">
        <v>1027</v>
      </c>
      <c r="E3244">
        <v>63762</v>
      </c>
      <c r="F3244" t="s">
        <v>1234</v>
      </c>
      <c r="G3244" t="b">
        <v>0</v>
      </c>
      <c r="H3244" t="b">
        <v>0</v>
      </c>
      <c r="I3244" t="s">
        <v>1050</v>
      </c>
      <c r="J3244">
        <v>85</v>
      </c>
      <c r="K3244" t="s">
        <v>0</v>
      </c>
      <c r="L3244" t="s">
        <v>1167</v>
      </c>
      <c r="M3244" t="s">
        <v>1168</v>
      </c>
      <c r="N3244" t="s">
        <v>1169</v>
      </c>
      <c r="O3244" t="s">
        <v>1168</v>
      </c>
      <c r="P3244" t="s">
        <v>1235</v>
      </c>
    </row>
    <row r="3245" spans="1:16" x14ac:dyDescent="0.25">
      <c r="A3245" t="s">
        <v>6392</v>
      </c>
      <c r="B3245" t="s">
        <v>6332</v>
      </c>
      <c r="C3245" t="s">
        <v>1233</v>
      </c>
      <c r="D3245" t="s">
        <v>1027</v>
      </c>
      <c r="E3245">
        <v>63762</v>
      </c>
      <c r="F3245" t="s">
        <v>1234</v>
      </c>
      <c r="G3245" t="b">
        <v>0</v>
      </c>
      <c r="H3245" t="b">
        <v>0</v>
      </c>
      <c r="I3245" t="s">
        <v>1050</v>
      </c>
      <c r="J3245">
        <v>85</v>
      </c>
      <c r="K3245" t="s">
        <v>0</v>
      </c>
      <c r="L3245" t="s">
        <v>1167</v>
      </c>
      <c r="M3245" t="s">
        <v>1168</v>
      </c>
      <c r="N3245" t="s">
        <v>1169</v>
      </c>
      <c r="O3245" t="s">
        <v>1168</v>
      </c>
      <c r="P3245" t="s">
        <v>1235</v>
      </c>
    </row>
    <row r="3246" spans="1:16" x14ac:dyDescent="0.25">
      <c r="A3246" t="s">
        <v>6393</v>
      </c>
      <c r="B3246" t="s">
        <v>6334</v>
      </c>
      <c r="C3246" t="s">
        <v>1233</v>
      </c>
      <c r="D3246" t="s">
        <v>1027</v>
      </c>
      <c r="E3246">
        <v>63762</v>
      </c>
      <c r="F3246" t="s">
        <v>1234</v>
      </c>
      <c r="G3246" t="b">
        <v>0</v>
      </c>
      <c r="H3246" t="b">
        <v>0</v>
      </c>
      <c r="I3246" t="s">
        <v>1050</v>
      </c>
      <c r="J3246">
        <v>85</v>
      </c>
      <c r="K3246" t="s">
        <v>0</v>
      </c>
      <c r="L3246" t="s">
        <v>1167</v>
      </c>
      <c r="M3246" t="s">
        <v>1168</v>
      </c>
      <c r="N3246" t="s">
        <v>1169</v>
      </c>
      <c r="O3246" t="s">
        <v>1168</v>
      </c>
      <c r="P3246" t="s">
        <v>1235</v>
      </c>
    </row>
    <row r="3247" spans="1:16" x14ac:dyDescent="0.25">
      <c r="A3247" t="s">
        <v>6394</v>
      </c>
      <c r="B3247" t="s">
        <v>6336</v>
      </c>
      <c r="C3247" t="s">
        <v>1233</v>
      </c>
      <c r="D3247" t="s">
        <v>1027</v>
      </c>
      <c r="E3247">
        <v>63762</v>
      </c>
      <c r="F3247" t="s">
        <v>1234</v>
      </c>
      <c r="G3247" t="b">
        <v>0</v>
      </c>
      <c r="H3247" t="b">
        <v>0</v>
      </c>
      <c r="I3247" t="s">
        <v>1050</v>
      </c>
      <c r="J3247">
        <v>85</v>
      </c>
      <c r="K3247" t="s">
        <v>0</v>
      </c>
      <c r="L3247" t="s">
        <v>1167</v>
      </c>
      <c r="M3247" t="s">
        <v>1168</v>
      </c>
      <c r="N3247" t="s">
        <v>1169</v>
      </c>
      <c r="O3247" t="s">
        <v>1168</v>
      </c>
      <c r="P3247" t="s">
        <v>1235</v>
      </c>
    </row>
    <row r="3248" spans="1:16" x14ac:dyDescent="0.25">
      <c r="A3248" t="s">
        <v>6395</v>
      </c>
      <c r="B3248" t="s">
        <v>6338</v>
      </c>
      <c r="C3248" t="s">
        <v>1233</v>
      </c>
      <c r="D3248" t="s">
        <v>1027</v>
      </c>
      <c r="E3248">
        <v>63762</v>
      </c>
      <c r="F3248" t="s">
        <v>1234</v>
      </c>
      <c r="G3248" t="b">
        <v>0</v>
      </c>
      <c r="H3248" t="b">
        <v>0</v>
      </c>
      <c r="I3248" t="s">
        <v>1050</v>
      </c>
      <c r="J3248">
        <v>85</v>
      </c>
      <c r="K3248" t="s">
        <v>0</v>
      </c>
      <c r="L3248" t="s">
        <v>1167</v>
      </c>
      <c r="M3248" t="s">
        <v>1168</v>
      </c>
      <c r="N3248" t="s">
        <v>1169</v>
      </c>
      <c r="O3248" t="s">
        <v>1168</v>
      </c>
      <c r="P3248" t="s">
        <v>1235</v>
      </c>
    </row>
    <row r="3249" spans="1:16" x14ac:dyDescent="0.25">
      <c r="A3249" t="s">
        <v>6396</v>
      </c>
      <c r="B3249" t="s">
        <v>6340</v>
      </c>
      <c r="C3249" t="s">
        <v>1233</v>
      </c>
      <c r="D3249" t="s">
        <v>1027</v>
      </c>
      <c r="E3249">
        <v>63762</v>
      </c>
      <c r="F3249" t="s">
        <v>1234</v>
      </c>
      <c r="G3249" t="b">
        <v>0</v>
      </c>
      <c r="H3249" t="b">
        <v>0</v>
      </c>
      <c r="I3249" t="s">
        <v>1050</v>
      </c>
      <c r="J3249">
        <v>85</v>
      </c>
      <c r="K3249" t="s">
        <v>0</v>
      </c>
      <c r="L3249" t="s">
        <v>1167</v>
      </c>
      <c r="M3249" t="s">
        <v>1168</v>
      </c>
      <c r="N3249" t="s">
        <v>1169</v>
      </c>
      <c r="O3249" t="s">
        <v>1168</v>
      </c>
      <c r="P3249" t="s">
        <v>1235</v>
      </c>
    </row>
    <row r="3250" spans="1:16" x14ac:dyDescent="0.25">
      <c r="A3250" t="s">
        <v>6397</v>
      </c>
      <c r="B3250" t="s">
        <v>6342</v>
      </c>
      <c r="C3250" t="s">
        <v>1233</v>
      </c>
      <c r="D3250" t="s">
        <v>1027</v>
      </c>
      <c r="E3250">
        <v>63762</v>
      </c>
      <c r="F3250" t="s">
        <v>1234</v>
      </c>
      <c r="G3250" t="b">
        <v>0</v>
      </c>
      <c r="H3250" t="b">
        <v>0</v>
      </c>
      <c r="I3250" t="s">
        <v>1050</v>
      </c>
      <c r="J3250">
        <v>85</v>
      </c>
      <c r="K3250" t="s">
        <v>0</v>
      </c>
      <c r="L3250" t="s">
        <v>1167</v>
      </c>
      <c r="M3250" t="s">
        <v>1168</v>
      </c>
      <c r="N3250" t="s">
        <v>1169</v>
      </c>
      <c r="O3250" t="s">
        <v>1168</v>
      </c>
      <c r="P3250" t="s">
        <v>1235</v>
      </c>
    </row>
    <row r="3251" spans="1:16" x14ac:dyDescent="0.25">
      <c r="A3251" t="s">
        <v>6398</v>
      </c>
      <c r="B3251" t="s">
        <v>6334</v>
      </c>
      <c r="C3251" t="s">
        <v>1233</v>
      </c>
      <c r="D3251" t="s">
        <v>1027</v>
      </c>
      <c r="E3251">
        <v>63762</v>
      </c>
      <c r="F3251" t="s">
        <v>1234</v>
      </c>
      <c r="G3251" t="b">
        <v>0</v>
      </c>
      <c r="H3251" t="b">
        <v>0</v>
      </c>
      <c r="I3251" t="s">
        <v>1050</v>
      </c>
      <c r="J3251">
        <v>91</v>
      </c>
      <c r="K3251" t="s">
        <v>0</v>
      </c>
      <c r="L3251" t="s">
        <v>1167</v>
      </c>
      <c r="M3251" t="s">
        <v>1168</v>
      </c>
      <c r="N3251" t="s">
        <v>1169</v>
      </c>
      <c r="O3251" t="s">
        <v>1168</v>
      </c>
      <c r="P3251" t="s">
        <v>1235</v>
      </c>
    </row>
    <row r="3252" spans="1:16" x14ac:dyDescent="0.25">
      <c r="A3252" t="s">
        <v>6399</v>
      </c>
      <c r="B3252" t="s">
        <v>6336</v>
      </c>
      <c r="C3252" t="s">
        <v>1233</v>
      </c>
      <c r="D3252" t="s">
        <v>1027</v>
      </c>
      <c r="E3252">
        <v>63762</v>
      </c>
      <c r="F3252" t="s">
        <v>1234</v>
      </c>
      <c r="G3252" t="b">
        <v>0</v>
      </c>
      <c r="H3252" t="b">
        <v>0</v>
      </c>
      <c r="I3252" t="s">
        <v>1050</v>
      </c>
      <c r="J3252">
        <v>91</v>
      </c>
      <c r="K3252" t="s">
        <v>0</v>
      </c>
      <c r="L3252" t="s">
        <v>1167</v>
      </c>
      <c r="M3252" t="s">
        <v>1168</v>
      </c>
      <c r="N3252" t="s">
        <v>1169</v>
      </c>
      <c r="O3252" t="s">
        <v>1168</v>
      </c>
      <c r="P3252" t="s">
        <v>1235</v>
      </c>
    </row>
    <row r="3253" spans="1:16" x14ac:dyDescent="0.25">
      <c r="A3253" t="s">
        <v>6400</v>
      </c>
      <c r="B3253" t="s">
        <v>6338</v>
      </c>
      <c r="C3253" t="s">
        <v>1233</v>
      </c>
      <c r="D3253" t="s">
        <v>1027</v>
      </c>
      <c r="E3253">
        <v>63762</v>
      </c>
      <c r="F3253" t="s">
        <v>1234</v>
      </c>
      <c r="G3253" t="b">
        <v>0</v>
      </c>
      <c r="H3253" t="b">
        <v>0</v>
      </c>
      <c r="I3253" t="s">
        <v>1050</v>
      </c>
      <c r="J3253">
        <v>91</v>
      </c>
      <c r="K3253" t="s">
        <v>0</v>
      </c>
      <c r="L3253" t="s">
        <v>1167</v>
      </c>
      <c r="M3253" t="s">
        <v>1168</v>
      </c>
      <c r="N3253" t="s">
        <v>1169</v>
      </c>
      <c r="O3253" t="s">
        <v>1168</v>
      </c>
      <c r="P3253" t="s">
        <v>1235</v>
      </c>
    </row>
    <row r="3254" spans="1:16" x14ac:dyDescent="0.25">
      <c r="A3254" t="s">
        <v>6401</v>
      </c>
      <c r="B3254" t="s">
        <v>6340</v>
      </c>
      <c r="C3254" t="s">
        <v>1233</v>
      </c>
      <c r="D3254" t="s">
        <v>1027</v>
      </c>
      <c r="E3254">
        <v>63762</v>
      </c>
      <c r="F3254" t="s">
        <v>1234</v>
      </c>
      <c r="G3254" t="b">
        <v>0</v>
      </c>
      <c r="H3254" t="b">
        <v>0</v>
      </c>
      <c r="I3254" t="s">
        <v>1050</v>
      </c>
      <c r="J3254">
        <v>91</v>
      </c>
      <c r="K3254" t="s">
        <v>0</v>
      </c>
      <c r="L3254" t="s">
        <v>1167</v>
      </c>
      <c r="M3254" t="s">
        <v>1168</v>
      </c>
      <c r="N3254" t="s">
        <v>1169</v>
      </c>
      <c r="O3254" t="s">
        <v>1168</v>
      </c>
      <c r="P3254" t="s">
        <v>1235</v>
      </c>
    </row>
    <row r="3255" spans="1:16" x14ac:dyDescent="0.25">
      <c r="A3255" t="s">
        <v>6402</v>
      </c>
      <c r="B3255" t="s">
        <v>6342</v>
      </c>
      <c r="C3255" t="s">
        <v>1233</v>
      </c>
      <c r="D3255" t="s">
        <v>1027</v>
      </c>
      <c r="E3255">
        <v>63762</v>
      </c>
      <c r="F3255" t="s">
        <v>1234</v>
      </c>
      <c r="G3255" t="b">
        <v>0</v>
      </c>
      <c r="H3255" t="b">
        <v>0</v>
      </c>
      <c r="I3255" t="s">
        <v>1050</v>
      </c>
      <c r="J3255">
        <v>91</v>
      </c>
      <c r="K3255" t="s">
        <v>0</v>
      </c>
      <c r="L3255" t="s">
        <v>1167</v>
      </c>
      <c r="M3255" t="s">
        <v>1168</v>
      </c>
      <c r="N3255" t="s">
        <v>1169</v>
      </c>
      <c r="O3255" t="s">
        <v>1168</v>
      </c>
      <c r="P3255" t="s">
        <v>1235</v>
      </c>
    </row>
    <row r="3256" spans="1:16" x14ac:dyDescent="0.25">
      <c r="A3256" t="s">
        <v>6403</v>
      </c>
      <c r="B3256" t="s">
        <v>6334</v>
      </c>
      <c r="C3256" t="s">
        <v>1233</v>
      </c>
      <c r="D3256" t="s">
        <v>1027</v>
      </c>
      <c r="E3256">
        <v>63762</v>
      </c>
      <c r="F3256" t="s">
        <v>1234</v>
      </c>
      <c r="G3256" t="b">
        <v>0</v>
      </c>
      <c r="H3256" t="b">
        <v>0</v>
      </c>
      <c r="I3256" t="s">
        <v>1050</v>
      </c>
      <c r="J3256">
        <v>91</v>
      </c>
      <c r="K3256" t="s">
        <v>0</v>
      </c>
      <c r="L3256" t="s">
        <v>1167</v>
      </c>
      <c r="M3256" t="s">
        <v>1168</v>
      </c>
      <c r="N3256" t="s">
        <v>1169</v>
      </c>
      <c r="O3256" t="s">
        <v>1168</v>
      </c>
      <c r="P3256" t="s">
        <v>1235</v>
      </c>
    </row>
    <row r="3257" spans="1:16" x14ac:dyDescent="0.25">
      <c r="A3257" t="s">
        <v>6404</v>
      </c>
      <c r="B3257" t="s">
        <v>6336</v>
      </c>
      <c r="C3257" t="s">
        <v>1233</v>
      </c>
      <c r="D3257" t="s">
        <v>1027</v>
      </c>
      <c r="E3257">
        <v>63762</v>
      </c>
      <c r="F3257" t="s">
        <v>1234</v>
      </c>
      <c r="G3257" t="b">
        <v>0</v>
      </c>
      <c r="H3257" t="b">
        <v>0</v>
      </c>
      <c r="I3257" t="s">
        <v>1050</v>
      </c>
      <c r="J3257">
        <v>91</v>
      </c>
      <c r="K3257" t="s">
        <v>0</v>
      </c>
      <c r="L3257" t="s">
        <v>1167</v>
      </c>
      <c r="M3257" t="s">
        <v>1168</v>
      </c>
      <c r="N3257" t="s">
        <v>1169</v>
      </c>
      <c r="O3257" t="s">
        <v>1168</v>
      </c>
      <c r="P3257" t="s">
        <v>1235</v>
      </c>
    </row>
    <row r="3258" spans="1:16" x14ac:dyDescent="0.25">
      <c r="A3258" t="s">
        <v>6405</v>
      </c>
      <c r="B3258" t="s">
        <v>6338</v>
      </c>
      <c r="C3258" t="s">
        <v>1233</v>
      </c>
      <c r="D3258" t="s">
        <v>1027</v>
      </c>
      <c r="E3258">
        <v>63762</v>
      </c>
      <c r="F3258" t="s">
        <v>1234</v>
      </c>
      <c r="G3258" t="b">
        <v>0</v>
      </c>
      <c r="H3258" t="b">
        <v>0</v>
      </c>
      <c r="I3258" t="s">
        <v>1050</v>
      </c>
      <c r="J3258">
        <v>91</v>
      </c>
      <c r="K3258" t="s">
        <v>0</v>
      </c>
      <c r="L3258" t="s">
        <v>1167</v>
      </c>
      <c r="M3258" t="s">
        <v>1168</v>
      </c>
      <c r="N3258" t="s">
        <v>1169</v>
      </c>
      <c r="O3258" t="s">
        <v>1168</v>
      </c>
      <c r="P3258" t="s">
        <v>1235</v>
      </c>
    </row>
    <row r="3259" spans="1:16" x14ac:dyDescent="0.25">
      <c r="A3259" t="s">
        <v>6406</v>
      </c>
      <c r="B3259" t="s">
        <v>6340</v>
      </c>
      <c r="C3259" t="s">
        <v>1233</v>
      </c>
      <c r="D3259" t="s">
        <v>1027</v>
      </c>
      <c r="E3259">
        <v>63762</v>
      </c>
      <c r="F3259" t="s">
        <v>1234</v>
      </c>
      <c r="G3259" t="b">
        <v>0</v>
      </c>
      <c r="H3259" t="b">
        <v>0</v>
      </c>
      <c r="I3259" t="s">
        <v>1050</v>
      </c>
      <c r="J3259">
        <v>91</v>
      </c>
      <c r="K3259" t="s">
        <v>0</v>
      </c>
      <c r="L3259" t="s">
        <v>1167</v>
      </c>
      <c r="M3259" t="s">
        <v>1168</v>
      </c>
      <c r="N3259" t="s">
        <v>1169</v>
      </c>
      <c r="O3259" t="s">
        <v>1168</v>
      </c>
      <c r="P3259" t="s">
        <v>1235</v>
      </c>
    </row>
    <row r="3260" spans="1:16" x14ac:dyDescent="0.25">
      <c r="A3260" t="s">
        <v>6407</v>
      </c>
      <c r="B3260" t="s">
        <v>6342</v>
      </c>
      <c r="C3260" t="s">
        <v>1233</v>
      </c>
      <c r="D3260" t="s">
        <v>1027</v>
      </c>
      <c r="E3260">
        <v>63762</v>
      </c>
      <c r="F3260" t="s">
        <v>1234</v>
      </c>
      <c r="G3260" t="b">
        <v>0</v>
      </c>
      <c r="H3260" t="b">
        <v>0</v>
      </c>
      <c r="I3260" t="s">
        <v>1050</v>
      </c>
      <c r="J3260">
        <v>91</v>
      </c>
      <c r="K3260" t="s">
        <v>0</v>
      </c>
      <c r="L3260" t="s">
        <v>1167</v>
      </c>
      <c r="M3260" t="s">
        <v>1168</v>
      </c>
      <c r="N3260" t="s">
        <v>1169</v>
      </c>
      <c r="O3260" t="s">
        <v>1168</v>
      </c>
      <c r="P3260" t="s">
        <v>1235</v>
      </c>
    </row>
    <row r="3261" spans="1:16" x14ac:dyDescent="0.25">
      <c r="A3261" t="s">
        <v>6408</v>
      </c>
      <c r="B3261" t="s">
        <v>6334</v>
      </c>
      <c r="C3261" t="s">
        <v>1233</v>
      </c>
      <c r="D3261" t="s">
        <v>1027</v>
      </c>
      <c r="E3261">
        <v>63762</v>
      </c>
      <c r="F3261" t="s">
        <v>1234</v>
      </c>
      <c r="G3261" t="b">
        <v>0</v>
      </c>
      <c r="H3261" t="b">
        <v>0</v>
      </c>
      <c r="I3261" t="s">
        <v>1050</v>
      </c>
      <c r="J3261">
        <v>91</v>
      </c>
      <c r="K3261" t="s">
        <v>0</v>
      </c>
      <c r="L3261" t="s">
        <v>1167</v>
      </c>
      <c r="M3261" t="s">
        <v>1168</v>
      </c>
      <c r="N3261" t="s">
        <v>1169</v>
      </c>
      <c r="O3261" t="s">
        <v>1168</v>
      </c>
      <c r="P3261" t="s">
        <v>1235</v>
      </c>
    </row>
    <row r="3262" spans="1:16" x14ac:dyDescent="0.25">
      <c r="A3262" t="s">
        <v>6409</v>
      </c>
      <c r="B3262" t="s">
        <v>6336</v>
      </c>
      <c r="C3262" t="s">
        <v>1233</v>
      </c>
      <c r="D3262" t="s">
        <v>1027</v>
      </c>
      <c r="E3262">
        <v>63762</v>
      </c>
      <c r="F3262" t="s">
        <v>1234</v>
      </c>
      <c r="G3262" t="b">
        <v>0</v>
      </c>
      <c r="H3262" t="b">
        <v>0</v>
      </c>
      <c r="I3262" t="s">
        <v>1050</v>
      </c>
      <c r="J3262">
        <v>91</v>
      </c>
      <c r="K3262" t="s">
        <v>0</v>
      </c>
      <c r="L3262" t="s">
        <v>1167</v>
      </c>
      <c r="M3262" t="s">
        <v>1168</v>
      </c>
      <c r="N3262" t="s">
        <v>1169</v>
      </c>
      <c r="O3262" t="s">
        <v>1168</v>
      </c>
      <c r="P3262" t="s">
        <v>1235</v>
      </c>
    </row>
    <row r="3263" spans="1:16" x14ac:dyDescent="0.25">
      <c r="A3263" t="s">
        <v>6410</v>
      </c>
      <c r="B3263" t="s">
        <v>6338</v>
      </c>
      <c r="C3263" t="s">
        <v>1233</v>
      </c>
      <c r="D3263" t="s">
        <v>1027</v>
      </c>
      <c r="E3263">
        <v>63762</v>
      </c>
      <c r="F3263" t="s">
        <v>1234</v>
      </c>
      <c r="G3263" t="b">
        <v>0</v>
      </c>
      <c r="H3263" t="b">
        <v>0</v>
      </c>
      <c r="I3263" t="s">
        <v>1050</v>
      </c>
      <c r="J3263">
        <v>91</v>
      </c>
      <c r="K3263" t="s">
        <v>0</v>
      </c>
      <c r="L3263" t="s">
        <v>1167</v>
      </c>
      <c r="M3263" t="s">
        <v>1168</v>
      </c>
      <c r="N3263" t="s">
        <v>1169</v>
      </c>
      <c r="O3263" t="s">
        <v>1168</v>
      </c>
      <c r="P3263" t="s">
        <v>1235</v>
      </c>
    </row>
    <row r="3264" spans="1:16" x14ac:dyDescent="0.25">
      <c r="A3264" t="s">
        <v>6411</v>
      </c>
      <c r="B3264" t="s">
        <v>6340</v>
      </c>
      <c r="C3264" t="s">
        <v>1233</v>
      </c>
      <c r="D3264" t="s">
        <v>1027</v>
      </c>
      <c r="E3264">
        <v>63762</v>
      </c>
      <c r="F3264" t="s">
        <v>1234</v>
      </c>
      <c r="G3264" t="b">
        <v>0</v>
      </c>
      <c r="H3264" t="b">
        <v>0</v>
      </c>
      <c r="I3264" t="s">
        <v>1050</v>
      </c>
      <c r="J3264">
        <v>91</v>
      </c>
      <c r="K3264" t="s">
        <v>0</v>
      </c>
      <c r="L3264" t="s">
        <v>1167</v>
      </c>
      <c r="M3264" t="s">
        <v>1168</v>
      </c>
      <c r="N3264" t="s">
        <v>1169</v>
      </c>
      <c r="O3264" t="s">
        <v>1168</v>
      </c>
      <c r="P3264" t="s">
        <v>1235</v>
      </c>
    </row>
    <row r="3265" spans="1:16" x14ac:dyDescent="0.25">
      <c r="A3265" t="s">
        <v>6412</v>
      </c>
      <c r="B3265" t="s">
        <v>6342</v>
      </c>
      <c r="C3265" t="s">
        <v>1233</v>
      </c>
      <c r="D3265" t="s">
        <v>1027</v>
      </c>
      <c r="E3265">
        <v>63762</v>
      </c>
      <c r="F3265" t="s">
        <v>1234</v>
      </c>
      <c r="G3265" t="b">
        <v>0</v>
      </c>
      <c r="H3265" t="b">
        <v>0</v>
      </c>
      <c r="I3265" t="s">
        <v>1050</v>
      </c>
      <c r="J3265">
        <v>91</v>
      </c>
      <c r="K3265" t="s">
        <v>0</v>
      </c>
      <c r="L3265" t="s">
        <v>1167</v>
      </c>
      <c r="M3265" t="s">
        <v>1168</v>
      </c>
      <c r="N3265" t="s">
        <v>1169</v>
      </c>
      <c r="O3265" t="s">
        <v>1168</v>
      </c>
      <c r="P3265" t="s">
        <v>1235</v>
      </c>
    </row>
    <row r="3266" spans="1:16" x14ac:dyDescent="0.25">
      <c r="A3266" t="s">
        <v>6413</v>
      </c>
      <c r="B3266" t="s">
        <v>6334</v>
      </c>
      <c r="C3266" t="s">
        <v>1233</v>
      </c>
      <c r="D3266" t="s">
        <v>1027</v>
      </c>
      <c r="E3266">
        <v>63762</v>
      </c>
      <c r="F3266" t="s">
        <v>1234</v>
      </c>
      <c r="G3266" t="b">
        <v>0</v>
      </c>
      <c r="H3266" t="b">
        <v>0</v>
      </c>
      <c r="I3266" t="s">
        <v>1050</v>
      </c>
      <c r="J3266">
        <v>91</v>
      </c>
      <c r="K3266" t="s">
        <v>0</v>
      </c>
      <c r="L3266" t="s">
        <v>1167</v>
      </c>
      <c r="M3266" t="s">
        <v>1168</v>
      </c>
      <c r="N3266" t="s">
        <v>1169</v>
      </c>
      <c r="O3266" t="s">
        <v>1168</v>
      </c>
      <c r="P3266" t="s">
        <v>1235</v>
      </c>
    </row>
    <row r="3267" spans="1:16" x14ac:dyDescent="0.25">
      <c r="A3267" t="s">
        <v>6414</v>
      </c>
      <c r="B3267" t="s">
        <v>6336</v>
      </c>
      <c r="C3267" t="s">
        <v>1233</v>
      </c>
      <c r="D3267" t="s">
        <v>1027</v>
      </c>
      <c r="E3267">
        <v>63762</v>
      </c>
      <c r="F3267" t="s">
        <v>1234</v>
      </c>
      <c r="G3267" t="b">
        <v>0</v>
      </c>
      <c r="H3267" t="b">
        <v>0</v>
      </c>
      <c r="I3267" t="s">
        <v>1050</v>
      </c>
      <c r="J3267">
        <v>91</v>
      </c>
      <c r="K3267" t="s">
        <v>0</v>
      </c>
      <c r="L3267" t="s">
        <v>1167</v>
      </c>
      <c r="M3267" t="s">
        <v>1168</v>
      </c>
      <c r="N3267" t="s">
        <v>1169</v>
      </c>
      <c r="O3267" t="s">
        <v>1168</v>
      </c>
      <c r="P3267" t="s">
        <v>1235</v>
      </c>
    </row>
    <row r="3268" spans="1:16" x14ac:dyDescent="0.25">
      <c r="A3268" t="s">
        <v>6415</v>
      </c>
      <c r="B3268" t="s">
        <v>6338</v>
      </c>
      <c r="C3268" t="s">
        <v>1233</v>
      </c>
      <c r="D3268" t="s">
        <v>1027</v>
      </c>
      <c r="E3268">
        <v>63762</v>
      </c>
      <c r="F3268" t="s">
        <v>1234</v>
      </c>
      <c r="G3268" t="b">
        <v>0</v>
      </c>
      <c r="H3268" t="b">
        <v>0</v>
      </c>
      <c r="I3268" t="s">
        <v>1050</v>
      </c>
      <c r="J3268">
        <v>91</v>
      </c>
      <c r="K3268" t="s">
        <v>0</v>
      </c>
      <c r="L3268" t="s">
        <v>1167</v>
      </c>
      <c r="M3268" t="s">
        <v>1168</v>
      </c>
      <c r="N3268" t="s">
        <v>1169</v>
      </c>
      <c r="O3268" t="s">
        <v>1168</v>
      </c>
      <c r="P3268" t="s">
        <v>1235</v>
      </c>
    </row>
    <row r="3269" spans="1:16" x14ac:dyDescent="0.25">
      <c r="A3269" t="s">
        <v>6416</v>
      </c>
      <c r="B3269" t="s">
        <v>6340</v>
      </c>
      <c r="C3269" t="s">
        <v>1233</v>
      </c>
      <c r="D3269" t="s">
        <v>1027</v>
      </c>
      <c r="E3269">
        <v>63762</v>
      </c>
      <c r="F3269" t="s">
        <v>1234</v>
      </c>
      <c r="G3269" t="b">
        <v>0</v>
      </c>
      <c r="H3269" t="b">
        <v>0</v>
      </c>
      <c r="I3269" t="s">
        <v>1050</v>
      </c>
      <c r="J3269">
        <v>91</v>
      </c>
      <c r="K3269" t="s">
        <v>0</v>
      </c>
      <c r="L3269" t="s">
        <v>1167</v>
      </c>
      <c r="M3269" t="s">
        <v>1168</v>
      </c>
      <c r="N3269" t="s">
        <v>1169</v>
      </c>
      <c r="O3269" t="s">
        <v>1168</v>
      </c>
      <c r="P3269" t="s">
        <v>1235</v>
      </c>
    </row>
    <row r="3270" spans="1:16" x14ac:dyDescent="0.25">
      <c r="A3270" t="s">
        <v>6417</v>
      </c>
      <c r="B3270" t="s">
        <v>6342</v>
      </c>
      <c r="C3270" t="s">
        <v>1233</v>
      </c>
      <c r="D3270" t="s">
        <v>1027</v>
      </c>
      <c r="E3270">
        <v>63762</v>
      </c>
      <c r="F3270" t="s">
        <v>1234</v>
      </c>
      <c r="G3270" t="b">
        <v>0</v>
      </c>
      <c r="H3270" t="b">
        <v>0</v>
      </c>
      <c r="I3270" t="s">
        <v>1050</v>
      </c>
      <c r="J3270">
        <v>91</v>
      </c>
      <c r="K3270" t="s">
        <v>0</v>
      </c>
      <c r="L3270" t="s">
        <v>1167</v>
      </c>
      <c r="M3270" t="s">
        <v>1168</v>
      </c>
      <c r="N3270" t="s">
        <v>1169</v>
      </c>
      <c r="O3270" t="s">
        <v>1168</v>
      </c>
      <c r="P3270" t="s">
        <v>1235</v>
      </c>
    </row>
    <row r="3271" spans="1:16" x14ac:dyDescent="0.25">
      <c r="A3271" t="s">
        <v>6418</v>
      </c>
      <c r="B3271" t="s">
        <v>6419</v>
      </c>
      <c r="C3271" t="s">
        <v>1335</v>
      </c>
      <c r="D3271" t="s">
        <v>1027</v>
      </c>
      <c r="E3271">
        <v>1459</v>
      </c>
      <c r="F3271" t="s">
        <v>1336</v>
      </c>
      <c r="G3271" t="b">
        <v>0</v>
      </c>
      <c r="H3271" t="b">
        <v>0</v>
      </c>
      <c r="I3271" t="s">
        <v>1050</v>
      </c>
      <c r="J3271" t="s">
        <v>1053</v>
      </c>
      <c r="K3271" t="s">
        <v>1043</v>
      </c>
    </row>
    <row r="3272" spans="1:16" x14ac:dyDescent="0.25">
      <c r="A3272" t="s">
        <v>6420</v>
      </c>
      <c r="B3272" t="s">
        <v>6419</v>
      </c>
      <c r="C3272" t="s">
        <v>1335</v>
      </c>
      <c r="D3272" t="s">
        <v>1027</v>
      </c>
      <c r="E3272">
        <v>1459</v>
      </c>
      <c r="F3272" t="s">
        <v>1336</v>
      </c>
      <c r="G3272" t="b">
        <v>0</v>
      </c>
      <c r="H3272" t="b">
        <v>0</v>
      </c>
      <c r="I3272" t="s">
        <v>1050</v>
      </c>
      <c r="J3272" t="s">
        <v>1053</v>
      </c>
      <c r="K3272" t="s">
        <v>1043</v>
      </c>
    </row>
    <row r="3273" spans="1:16" x14ac:dyDescent="0.25">
      <c r="A3273" t="s">
        <v>6421</v>
      </c>
      <c r="B3273" t="s">
        <v>6419</v>
      </c>
      <c r="C3273" t="s">
        <v>1335</v>
      </c>
      <c r="D3273" t="s">
        <v>1027</v>
      </c>
      <c r="E3273">
        <v>1459</v>
      </c>
      <c r="F3273" t="s">
        <v>1336</v>
      </c>
      <c r="G3273" t="b">
        <v>0</v>
      </c>
      <c r="H3273" t="b">
        <v>0</v>
      </c>
      <c r="I3273" t="s">
        <v>1050</v>
      </c>
      <c r="J3273" t="s">
        <v>1053</v>
      </c>
      <c r="K3273" t="s">
        <v>1043</v>
      </c>
    </row>
    <row r="3274" spans="1:16" x14ac:dyDescent="0.25">
      <c r="A3274" t="s">
        <v>6422</v>
      </c>
      <c r="B3274" t="s">
        <v>6419</v>
      </c>
      <c r="C3274" t="s">
        <v>1335</v>
      </c>
      <c r="D3274" t="s">
        <v>1027</v>
      </c>
      <c r="E3274">
        <v>1459</v>
      </c>
      <c r="F3274" t="s">
        <v>1336</v>
      </c>
      <c r="G3274" t="b">
        <v>0</v>
      </c>
      <c r="H3274" t="b">
        <v>0</v>
      </c>
      <c r="I3274" t="s">
        <v>1050</v>
      </c>
      <c r="J3274" t="s">
        <v>1053</v>
      </c>
      <c r="K3274" t="s">
        <v>1043</v>
      </c>
    </row>
    <row r="3275" spans="1:16" x14ac:dyDescent="0.25">
      <c r="A3275" t="s">
        <v>6423</v>
      </c>
      <c r="B3275" t="s">
        <v>6419</v>
      </c>
      <c r="C3275" t="s">
        <v>1335</v>
      </c>
      <c r="D3275" t="s">
        <v>1027</v>
      </c>
      <c r="E3275">
        <v>1459</v>
      </c>
      <c r="F3275" t="s">
        <v>1336</v>
      </c>
      <c r="G3275" t="b">
        <v>0</v>
      </c>
      <c r="H3275" t="b">
        <v>0</v>
      </c>
      <c r="I3275" t="s">
        <v>1050</v>
      </c>
      <c r="J3275" t="s">
        <v>1053</v>
      </c>
      <c r="K3275" t="s">
        <v>1043</v>
      </c>
    </row>
    <row r="3276" spans="1:16" x14ac:dyDescent="0.25">
      <c r="A3276" t="s">
        <v>6424</v>
      </c>
      <c r="B3276" t="s">
        <v>6419</v>
      </c>
      <c r="C3276" t="s">
        <v>1335</v>
      </c>
      <c r="D3276" t="s">
        <v>1027</v>
      </c>
      <c r="E3276">
        <v>1459</v>
      </c>
      <c r="F3276" t="s">
        <v>1336</v>
      </c>
      <c r="G3276" t="b">
        <v>0</v>
      </c>
      <c r="H3276" t="b">
        <v>0</v>
      </c>
      <c r="I3276" t="s">
        <v>1050</v>
      </c>
      <c r="J3276" t="s">
        <v>1053</v>
      </c>
      <c r="K3276" t="s">
        <v>1043</v>
      </c>
    </row>
    <row r="3277" spans="1:16" x14ac:dyDescent="0.25">
      <c r="A3277" t="s">
        <v>6425</v>
      </c>
      <c r="B3277" t="s">
        <v>6419</v>
      </c>
      <c r="C3277" t="s">
        <v>1335</v>
      </c>
      <c r="D3277" t="s">
        <v>1027</v>
      </c>
      <c r="E3277">
        <v>1459</v>
      </c>
      <c r="F3277" t="s">
        <v>1336</v>
      </c>
      <c r="G3277" t="b">
        <v>0</v>
      </c>
      <c r="H3277" t="b">
        <v>0</v>
      </c>
      <c r="I3277" t="s">
        <v>1050</v>
      </c>
      <c r="J3277" t="s">
        <v>1053</v>
      </c>
      <c r="K3277" t="s">
        <v>1043</v>
      </c>
    </row>
    <row r="3278" spans="1:16" x14ac:dyDescent="0.25">
      <c r="A3278" t="s">
        <v>6426</v>
      </c>
      <c r="B3278" t="s">
        <v>6419</v>
      </c>
      <c r="C3278" t="s">
        <v>1335</v>
      </c>
      <c r="D3278" t="s">
        <v>1027</v>
      </c>
      <c r="E3278">
        <v>1459</v>
      </c>
      <c r="F3278" t="s">
        <v>1336</v>
      </c>
      <c r="G3278" t="b">
        <v>0</v>
      </c>
      <c r="H3278" t="b">
        <v>0</v>
      </c>
      <c r="I3278" t="s">
        <v>1050</v>
      </c>
      <c r="J3278" t="s">
        <v>1053</v>
      </c>
      <c r="K3278" t="s">
        <v>1043</v>
      </c>
    </row>
    <row r="3279" spans="1:16" x14ac:dyDescent="0.25">
      <c r="A3279" t="s">
        <v>6427</v>
      </c>
      <c r="B3279" t="s">
        <v>6419</v>
      </c>
      <c r="C3279" t="s">
        <v>1335</v>
      </c>
      <c r="D3279" t="s">
        <v>1027</v>
      </c>
      <c r="E3279">
        <v>1459</v>
      </c>
      <c r="F3279" t="s">
        <v>1336</v>
      </c>
      <c r="G3279" t="b">
        <v>0</v>
      </c>
      <c r="H3279" t="b">
        <v>0</v>
      </c>
      <c r="I3279" t="s">
        <v>1050</v>
      </c>
      <c r="J3279" t="s">
        <v>1053</v>
      </c>
      <c r="K3279" t="s">
        <v>1043</v>
      </c>
    </row>
    <row r="3280" spans="1:16" x14ac:dyDescent="0.25">
      <c r="A3280" t="s">
        <v>6428</v>
      </c>
      <c r="B3280" t="s">
        <v>6429</v>
      </c>
      <c r="C3280" t="s">
        <v>3920</v>
      </c>
      <c r="D3280" t="s">
        <v>1027</v>
      </c>
      <c r="E3280">
        <v>1351</v>
      </c>
      <c r="F3280" t="s">
        <v>3921</v>
      </c>
      <c r="G3280" t="b">
        <v>0</v>
      </c>
      <c r="H3280" t="b">
        <v>0</v>
      </c>
      <c r="I3280" t="s">
        <v>1050</v>
      </c>
      <c r="J3280">
        <v>93</v>
      </c>
      <c r="K3280" t="s">
        <v>2</v>
      </c>
      <c r="L3280" t="s">
        <v>3922</v>
      </c>
      <c r="M3280" t="s">
        <v>1548</v>
      </c>
      <c r="N3280" t="s">
        <v>1548</v>
      </c>
      <c r="O3280" t="s">
        <v>1548</v>
      </c>
      <c r="P3280" t="s">
        <v>1434</v>
      </c>
    </row>
    <row r="3281" spans="1:16" x14ac:dyDescent="0.25">
      <c r="A3281" t="s">
        <v>6430</v>
      </c>
      <c r="B3281" t="s">
        <v>6431</v>
      </c>
      <c r="C3281" t="s">
        <v>1217</v>
      </c>
      <c r="D3281" t="s">
        <v>1027</v>
      </c>
      <c r="E3281">
        <v>1450</v>
      </c>
      <c r="F3281" t="s">
        <v>1218</v>
      </c>
      <c r="G3281" t="b">
        <v>0</v>
      </c>
      <c r="H3281" t="b">
        <v>0</v>
      </c>
      <c r="I3281" t="s">
        <v>1050</v>
      </c>
      <c r="J3281">
        <v>87</v>
      </c>
      <c r="K3281" t="s">
        <v>0</v>
      </c>
      <c r="L3281" t="s">
        <v>1167</v>
      </c>
      <c r="M3281" t="s">
        <v>1168</v>
      </c>
      <c r="N3281" t="s">
        <v>1169</v>
      </c>
      <c r="O3281" t="s">
        <v>1168</v>
      </c>
      <c r="P3281" t="s">
        <v>1219</v>
      </c>
    </row>
    <row r="3282" spans="1:16" x14ac:dyDescent="0.25">
      <c r="A3282" t="s">
        <v>6432</v>
      </c>
      <c r="B3282" t="s">
        <v>6431</v>
      </c>
      <c r="C3282" t="s">
        <v>1217</v>
      </c>
      <c r="D3282" t="s">
        <v>1027</v>
      </c>
      <c r="E3282">
        <v>1450</v>
      </c>
      <c r="F3282" t="s">
        <v>1218</v>
      </c>
      <c r="G3282" t="b">
        <v>0</v>
      </c>
      <c r="H3282" t="b">
        <v>0</v>
      </c>
      <c r="I3282" t="s">
        <v>1050</v>
      </c>
      <c r="J3282">
        <v>87</v>
      </c>
      <c r="K3282" t="s">
        <v>0</v>
      </c>
      <c r="L3282" t="s">
        <v>1167</v>
      </c>
      <c r="M3282" t="s">
        <v>1168</v>
      </c>
      <c r="N3282" t="s">
        <v>1169</v>
      </c>
      <c r="O3282" t="s">
        <v>1168</v>
      </c>
      <c r="P3282" t="s">
        <v>1219</v>
      </c>
    </row>
    <row r="3283" spans="1:16" x14ac:dyDescent="0.25">
      <c r="A3283" t="s">
        <v>6433</v>
      </c>
      <c r="B3283" t="s">
        <v>6434</v>
      </c>
      <c r="C3283" t="s">
        <v>1211</v>
      </c>
      <c r="D3283" t="s">
        <v>1027</v>
      </c>
      <c r="E3283">
        <v>1383</v>
      </c>
      <c r="F3283" t="s">
        <v>1212</v>
      </c>
      <c r="G3283" t="b">
        <v>0</v>
      </c>
      <c r="H3283" t="b">
        <v>0</v>
      </c>
      <c r="I3283" t="s">
        <v>1050</v>
      </c>
      <c r="J3283" t="s">
        <v>1053</v>
      </c>
      <c r="K3283" t="s">
        <v>1043</v>
      </c>
    </row>
    <row r="3284" spans="1:16" x14ac:dyDescent="0.25">
      <c r="A3284" t="s">
        <v>6435</v>
      </c>
      <c r="B3284" t="s">
        <v>6434</v>
      </c>
      <c r="C3284" t="s">
        <v>1211</v>
      </c>
      <c r="D3284" t="s">
        <v>1027</v>
      </c>
      <c r="E3284">
        <v>1383</v>
      </c>
      <c r="F3284" t="s">
        <v>1212</v>
      </c>
      <c r="G3284" t="b">
        <v>0</v>
      </c>
      <c r="H3284" t="b">
        <v>0</v>
      </c>
      <c r="I3284" t="s">
        <v>1050</v>
      </c>
      <c r="J3284" t="s">
        <v>1053</v>
      </c>
      <c r="K3284" t="s">
        <v>1043</v>
      </c>
    </row>
    <row r="3285" spans="1:16" x14ac:dyDescent="0.25">
      <c r="A3285" t="s">
        <v>6436</v>
      </c>
      <c r="B3285" t="s">
        <v>6437</v>
      </c>
      <c r="C3285" t="s">
        <v>1165</v>
      </c>
      <c r="D3285" t="s">
        <v>1027</v>
      </c>
      <c r="E3285">
        <v>63774</v>
      </c>
      <c r="F3285" t="s">
        <v>1166</v>
      </c>
      <c r="G3285" t="b">
        <v>0</v>
      </c>
      <c r="H3285" t="b">
        <v>0</v>
      </c>
      <c r="I3285" t="s">
        <v>1050</v>
      </c>
      <c r="J3285" t="s">
        <v>1053</v>
      </c>
      <c r="K3285" t="s">
        <v>1043</v>
      </c>
    </row>
    <row r="3286" spans="1:16" x14ac:dyDescent="0.25">
      <c r="A3286" t="s">
        <v>6438</v>
      </c>
      <c r="B3286" t="s">
        <v>6437</v>
      </c>
      <c r="C3286" t="s">
        <v>1165</v>
      </c>
      <c r="D3286" t="s">
        <v>1027</v>
      </c>
      <c r="E3286">
        <v>63774</v>
      </c>
      <c r="F3286" t="s">
        <v>1166</v>
      </c>
      <c r="G3286" t="b">
        <v>0</v>
      </c>
      <c r="H3286" t="b">
        <v>0</v>
      </c>
      <c r="I3286" t="s">
        <v>1050</v>
      </c>
      <c r="J3286" t="s">
        <v>1053</v>
      </c>
      <c r="K3286" t="s">
        <v>1043</v>
      </c>
    </row>
    <row r="3287" spans="1:16" x14ac:dyDescent="0.25">
      <c r="A3287" t="s">
        <v>6439</v>
      </c>
      <c r="B3287" t="s">
        <v>6437</v>
      </c>
      <c r="C3287" t="s">
        <v>1165</v>
      </c>
      <c r="D3287" t="s">
        <v>1027</v>
      </c>
      <c r="E3287">
        <v>63774</v>
      </c>
      <c r="F3287" t="s">
        <v>1166</v>
      </c>
      <c r="G3287" t="b">
        <v>0</v>
      </c>
      <c r="H3287" t="b">
        <v>0</v>
      </c>
      <c r="I3287" t="s">
        <v>1050</v>
      </c>
      <c r="J3287" t="s">
        <v>1053</v>
      </c>
      <c r="K3287" t="s">
        <v>1043</v>
      </c>
    </row>
    <row r="3288" spans="1:16" x14ac:dyDescent="0.25">
      <c r="A3288" t="s">
        <v>6440</v>
      </c>
      <c r="B3288" t="s">
        <v>6441</v>
      </c>
      <c r="C3288" t="s">
        <v>1678</v>
      </c>
      <c r="D3288" t="s">
        <v>1027</v>
      </c>
      <c r="E3288">
        <v>63786</v>
      </c>
      <c r="F3288" t="s">
        <v>1679</v>
      </c>
      <c r="G3288" t="b">
        <v>0</v>
      </c>
      <c r="H3288" t="b">
        <v>0</v>
      </c>
      <c r="I3288" t="s">
        <v>1050</v>
      </c>
      <c r="K3288" t="s">
        <v>1043</v>
      </c>
    </row>
    <row r="3289" spans="1:16" x14ac:dyDescent="0.25">
      <c r="A3289" t="s">
        <v>6442</v>
      </c>
      <c r="B3289" t="s">
        <v>6441</v>
      </c>
      <c r="C3289" t="s">
        <v>1678</v>
      </c>
      <c r="D3289" t="s">
        <v>1027</v>
      </c>
      <c r="E3289">
        <v>63786</v>
      </c>
      <c r="F3289" t="s">
        <v>1679</v>
      </c>
      <c r="G3289" t="b">
        <v>0</v>
      </c>
      <c r="H3289" t="b">
        <v>0</v>
      </c>
      <c r="I3289" t="s">
        <v>1050</v>
      </c>
      <c r="K3289" t="s">
        <v>1043</v>
      </c>
    </row>
    <row r="3290" spans="1:16" x14ac:dyDescent="0.25">
      <c r="A3290" t="s">
        <v>6443</v>
      </c>
      <c r="B3290" t="s">
        <v>4113</v>
      </c>
      <c r="C3290" t="s">
        <v>1750</v>
      </c>
      <c r="D3290" t="s">
        <v>1027</v>
      </c>
      <c r="E3290">
        <v>1494</v>
      </c>
      <c r="F3290" t="s">
        <v>1751</v>
      </c>
      <c r="G3290" t="b">
        <v>0</v>
      </c>
      <c r="H3290" t="b">
        <v>0</v>
      </c>
      <c r="I3290" t="s">
        <v>1050</v>
      </c>
      <c r="K3290" t="s">
        <v>1043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P1778"/>
  <sheetViews>
    <sheetView workbookViewId="0"/>
  </sheetViews>
  <sheetFormatPr defaultRowHeight="15" x14ac:dyDescent="0.25"/>
  <sheetData>
    <row r="1" spans="1:16" x14ac:dyDescent="0.25">
      <c r="A1" t="s">
        <v>1101</v>
      </c>
      <c r="B1" t="s">
        <v>1102</v>
      </c>
      <c r="C1" t="s">
        <v>599</v>
      </c>
      <c r="D1" t="s">
        <v>1103</v>
      </c>
      <c r="E1" t="s">
        <v>1104</v>
      </c>
      <c r="F1" t="s">
        <v>1105</v>
      </c>
      <c r="G1" t="s">
        <v>1106</v>
      </c>
      <c r="H1" t="s">
        <v>1107</v>
      </c>
      <c r="I1" t="s">
        <v>1108</v>
      </c>
      <c r="J1" t="s">
        <v>1109</v>
      </c>
      <c r="K1" t="s">
        <v>126</v>
      </c>
      <c r="L1" t="s">
        <v>1110</v>
      </c>
      <c r="M1" t="s">
        <v>1111</v>
      </c>
      <c r="N1" t="s">
        <v>1112</v>
      </c>
      <c r="O1" t="s">
        <v>1113</v>
      </c>
      <c r="P1" t="s">
        <v>1114</v>
      </c>
    </row>
    <row r="2" spans="1:16" ht="409.5" x14ac:dyDescent="0.25">
      <c r="A2" t="s">
        <v>6444</v>
      </c>
      <c r="B2" t="s">
        <v>6445</v>
      </c>
      <c r="C2" t="s">
        <v>6446</v>
      </c>
      <c r="D2" t="s">
        <v>1027</v>
      </c>
      <c r="E2">
        <v>1402</v>
      </c>
      <c r="F2" t="s">
        <v>6447</v>
      </c>
      <c r="G2" t="b">
        <v>0</v>
      </c>
      <c r="H2" t="b">
        <v>0</v>
      </c>
      <c r="I2" t="s">
        <v>1051</v>
      </c>
      <c r="J2">
        <v>91</v>
      </c>
      <c r="K2" t="s">
        <v>0</v>
      </c>
      <c r="L2" t="s">
        <v>3000</v>
      </c>
      <c r="M2" t="s">
        <v>1548</v>
      </c>
      <c r="N2" t="s">
        <v>1548</v>
      </c>
      <c r="O2" t="s">
        <v>1548</v>
      </c>
      <c r="P2" s="36" t="s">
        <v>6448</v>
      </c>
    </row>
    <row r="3" spans="1:16" ht="409.5" x14ac:dyDescent="0.25">
      <c r="A3" t="s">
        <v>6449</v>
      </c>
      <c r="B3" t="s">
        <v>6450</v>
      </c>
      <c r="C3" t="s">
        <v>6446</v>
      </c>
      <c r="D3" t="s">
        <v>1027</v>
      </c>
      <c r="E3">
        <v>1402</v>
      </c>
      <c r="F3" t="s">
        <v>6447</v>
      </c>
      <c r="G3" t="b">
        <v>0</v>
      </c>
      <c r="H3" t="b">
        <v>0</v>
      </c>
      <c r="I3" t="s">
        <v>1051</v>
      </c>
      <c r="J3">
        <v>91</v>
      </c>
      <c r="K3" t="s">
        <v>0</v>
      </c>
      <c r="L3" t="s">
        <v>3000</v>
      </c>
      <c r="M3" t="s">
        <v>1548</v>
      </c>
      <c r="N3" t="s">
        <v>1548</v>
      </c>
      <c r="O3" t="s">
        <v>1548</v>
      </c>
      <c r="P3" s="36" t="s">
        <v>6448</v>
      </c>
    </row>
    <row r="4" spans="1:16" ht="409.5" x14ac:dyDescent="0.25">
      <c r="A4" t="s">
        <v>6451</v>
      </c>
      <c r="B4" t="s">
        <v>6452</v>
      </c>
      <c r="C4" t="s">
        <v>6446</v>
      </c>
      <c r="D4" t="s">
        <v>1027</v>
      </c>
      <c r="E4">
        <v>1402</v>
      </c>
      <c r="F4" t="s">
        <v>6447</v>
      </c>
      <c r="G4" t="b">
        <v>0</v>
      </c>
      <c r="H4" t="b">
        <v>0</v>
      </c>
      <c r="I4" t="s">
        <v>1051</v>
      </c>
      <c r="J4">
        <v>91</v>
      </c>
      <c r="K4" t="s">
        <v>0</v>
      </c>
      <c r="L4" t="s">
        <v>3000</v>
      </c>
      <c r="M4" t="s">
        <v>1548</v>
      </c>
      <c r="N4" t="s">
        <v>1548</v>
      </c>
      <c r="O4" t="s">
        <v>1548</v>
      </c>
      <c r="P4" s="36" t="s">
        <v>6448</v>
      </c>
    </row>
    <row r="5" spans="1:16" ht="409.5" x14ac:dyDescent="0.25">
      <c r="A5" t="s">
        <v>6453</v>
      </c>
      <c r="B5" t="s">
        <v>6454</v>
      </c>
      <c r="C5" t="s">
        <v>6446</v>
      </c>
      <c r="D5" t="s">
        <v>1027</v>
      </c>
      <c r="E5">
        <v>1402</v>
      </c>
      <c r="F5" t="s">
        <v>6447</v>
      </c>
      <c r="G5" t="b">
        <v>0</v>
      </c>
      <c r="H5" t="b">
        <v>0</v>
      </c>
      <c r="I5" t="s">
        <v>1051</v>
      </c>
      <c r="J5">
        <v>91</v>
      </c>
      <c r="K5" t="s">
        <v>0</v>
      </c>
      <c r="L5" t="s">
        <v>3000</v>
      </c>
      <c r="M5" t="s">
        <v>1548</v>
      </c>
      <c r="N5" t="s">
        <v>1548</v>
      </c>
      <c r="O5" t="s">
        <v>1548</v>
      </c>
      <c r="P5" s="36" t="s">
        <v>6448</v>
      </c>
    </row>
    <row r="6" spans="1:16" ht="409.5" x14ac:dyDescent="0.25">
      <c r="A6" t="s">
        <v>6455</v>
      </c>
      <c r="B6" t="s">
        <v>6445</v>
      </c>
      <c r="C6" t="s">
        <v>6446</v>
      </c>
      <c r="D6" t="s">
        <v>1027</v>
      </c>
      <c r="E6">
        <v>1402</v>
      </c>
      <c r="F6" t="s">
        <v>6447</v>
      </c>
      <c r="G6" t="b">
        <v>0</v>
      </c>
      <c r="H6" t="b">
        <v>0</v>
      </c>
      <c r="I6" t="s">
        <v>1051</v>
      </c>
      <c r="J6">
        <v>91</v>
      </c>
      <c r="K6" t="s">
        <v>0</v>
      </c>
      <c r="L6" t="s">
        <v>3000</v>
      </c>
      <c r="M6" t="s">
        <v>1548</v>
      </c>
      <c r="N6" t="s">
        <v>1548</v>
      </c>
      <c r="O6" t="s">
        <v>1548</v>
      </c>
      <c r="P6" s="36" t="s">
        <v>6448</v>
      </c>
    </row>
    <row r="7" spans="1:16" ht="409.5" x14ac:dyDescent="0.25">
      <c r="A7" t="s">
        <v>6456</v>
      </c>
      <c r="B7" t="s">
        <v>6450</v>
      </c>
      <c r="C7" t="s">
        <v>6446</v>
      </c>
      <c r="D7" t="s">
        <v>1027</v>
      </c>
      <c r="E7">
        <v>1402</v>
      </c>
      <c r="F7" t="s">
        <v>6447</v>
      </c>
      <c r="G7" t="b">
        <v>0</v>
      </c>
      <c r="H7" t="b">
        <v>0</v>
      </c>
      <c r="I7" t="s">
        <v>1051</v>
      </c>
      <c r="J7">
        <v>91</v>
      </c>
      <c r="K7" t="s">
        <v>0</v>
      </c>
      <c r="L7" t="s">
        <v>3000</v>
      </c>
      <c r="M7" t="s">
        <v>1548</v>
      </c>
      <c r="N7" t="s">
        <v>1548</v>
      </c>
      <c r="O7" t="s">
        <v>1548</v>
      </c>
      <c r="P7" s="36" t="s">
        <v>6448</v>
      </c>
    </row>
    <row r="8" spans="1:16" ht="409.5" x14ac:dyDescent="0.25">
      <c r="A8" t="s">
        <v>6457</v>
      </c>
      <c r="B8" t="s">
        <v>6452</v>
      </c>
      <c r="C8" t="s">
        <v>6446</v>
      </c>
      <c r="D8" t="s">
        <v>1027</v>
      </c>
      <c r="E8">
        <v>1402</v>
      </c>
      <c r="F8" t="s">
        <v>6447</v>
      </c>
      <c r="G8" t="b">
        <v>0</v>
      </c>
      <c r="H8" t="b">
        <v>0</v>
      </c>
      <c r="I8" t="s">
        <v>1051</v>
      </c>
      <c r="J8">
        <v>91</v>
      </c>
      <c r="K8" t="s">
        <v>0</v>
      </c>
      <c r="L8" t="s">
        <v>3000</v>
      </c>
      <c r="M8" t="s">
        <v>1548</v>
      </c>
      <c r="N8" t="s">
        <v>1548</v>
      </c>
      <c r="O8" t="s">
        <v>1548</v>
      </c>
      <c r="P8" s="36" t="s">
        <v>6448</v>
      </c>
    </row>
    <row r="9" spans="1:16" ht="409.5" x14ac:dyDescent="0.25">
      <c r="A9" t="s">
        <v>6458</v>
      </c>
      <c r="B9" t="s">
        <v>6454</v>
      </c>
      <c r="C9" t="s">
        <v>6446</v>
      </c>
      <c r="D9" t="s">
        <v>1027</v>
      </c>
      <c r="E9">
        <v>1402</v>
      </c>
      <c r="F9" t="s">
        <v>6447</v>
      </c>
      <c r="G9" t="b">
        <v>0</v>
      </c>
      <c r="H9" t="b">
        <v>0</v>
      </c>
      <c r="I9" t="s">
        <v>1051</v>
      </c>
      <c r="J9">
        <v>91</v>
      </c>
      <c r="K9" t="s">
        <v>0</v>
      </c>
      <c r="L9" t="s">
        <v>3000</v>
      </c>
      <c r="M9" t="s">
        <v>1548</v>
      </c>
      <c r="N9" t="s">
        <v>1548</v>
      </c>
      <c r="O9" t="s">
        <v>1548</v>
      </c>
      <c r="P9" s="36" t="s">
        <v>6448</v>
      </c>
    </row>
    <row r="10" spans="1:16" ht="409.5" x14ac:dyDescent="0.25">
      <c r="A10" t="s">
        <v>6459</v>
      </c>
      <c r="B10" t="s">
        <v>6460</v>
      </c>
      <c r="C10" t="s">
        <v>6446</v>
      </c>
      <c r="D10" t="s">
        <v>1027</v>
      </c>
      <c r="E10">
        <v>1402</v>
      </c>
      <c r="F10" t="s">
        <v>6447</v>
      </c>
      <c r="G10" t="b">
        <v>0</v>
      </c>
      <c r="H10" t="b">
        <v>0</v>
      </c>
      <c r="I10" t="s">
        <v>1051</v>
      </c>
      <c r="J10">
        <v>91</v>
      </c>
      <c r="K10" t="s">
        <v>0</v>
      </c>
      <c r="L10" t="s">
        <v>3000</v>
      </c>
      <c r="M10" t="s">
        <v>1548</v>
      </c>
      <c r="N10" t="s">
        <v>1548</v>
      </c>
      <c r="O10" t="s">
        <v>1548</v>
      </c>
      <c r="P10" s="36" t="s">
        <v>6448</v>
      </c>
    </row>
    <row r="11" spans="1:16" ht="409.5" x14ac:dyDescent="0.25">
      <c r="A11" t="s">
        <v>6461</v>
      </c>
      <c r="B11" t="s">
        <v>6462</v>
      </c>
      <c r="C11" t="s">
        <v>6446</v>
      </c>
      <c r="D11" t="s">
        <v>1027</v>
      </c>
      <c r="E11">
        <v>1402</v>
      </c>
      <c r="F11" t="s">
        <v>6447</v>
      </c>
      <c r="G11" t="b">
        <v>0</v>
      </c>
      <c r="H11" t="b">
        <v>0</v>
      </c>
      <c r="I11" t="s">
        <v>1051</v>
      </c>
      <c r="J11">
        <v>91</v>
      </c>
      <c r="K11" t="s">
        <v>0</v>
      </c>
      <c r="L11" t="s">
        <v>3000</v>
      </c>
      <c r="M11" t="s">
        <v>1548</v>
      </c>
      <c r="N11" t="s">
        <v>1548</v>
      </c>
      <c r="O11" t="s">
        <v>1548</v>
      </c>
      <c r="P11" s="36" t="s">
        <v>6448</v>
      </c>
    </row>
    <row r="12" spans="1:16" ht="409.5" x14ac:dyDescent="0.25">
      <c r="A12" t="s">
        <v>6463</v>
      </c>
      <c r="B12" t="s">
        <v>6464</v>
      </c>
      <c r="C12" t="s">
        <v>6446</v>
      </c>
      <c r="D12" t="s">
        <v>1027</v>
      </c>
      <c r="E12">
        <v>1402</v>
      </c>
      <c r="F12" t="s">
        <v>6447</v>
      </c>
      <c r="G12" t="b">
        <v>0</v>
      </c>
      <c r="H12" t="b">
        <v>0</v>
      </c>
      <c r="I12" t="s">
        <v>1051</v>
      </c>
      <c r="J12">
        <v>91</v>
      </c>
      <c r="K12" t="s">
        <v>0</v>
      </c>
      <c r="L12" t="s">
        <v>3000</v>
      </c>
      <c r="M12" t="s">
        <v>1548</v>
      </c>
      <c r="N12" t="s">
        <v>1548</v>
      </c>
      <c r="O12" t="s">
        <v>1548</v>
      </c>
      <c r="P12" s="36" t="s">
        <v>6448</v>
      </c>
    </row>
    <row r="13" spans="1:16" ht="409.5" x14ac:dyDescent="0.25">
      <c r="A13" t="s">
        <v>6465</v>
      </c>
      <c r="B13" t="s">
        <v>6466</v>
      </c>
      <c r="C13" t="s">
        <v>6446</v>
      </c>
      <c r="D13" t="s">
        <v>1027</v>
      </c>
      <c r="E13">
        <v>1402</v>
      </c>
      <c r="F13" t="s">
        <v>6447</v>
      </c>
      <c r="G13" t="b">
        <v>0</v>
      </c>
      <c r="H13" t="b">
        <v>0</v>
      </c>
      <c r="I13" t="s">
        <v>1051</v>
      </c>
      <c r="J13">
        <v>91</v>
      </c>
      <c r="K13" t="s">
        <v>0</v>
      </c>
      <c r="L13" t="s">
        <v>3000</v>
      </c>
      <c r="M13" t="s">
        <v>1548</v>
      </c>
      <c r="N13" t="s">
        <v>1548</v>
      </c>
      <c r="O13" t="s">
        <v>1548</v>
      </c>
      <c r="P13" s="36" t="s">
        <v>6448</v>
      </c>
    </row>
    <row r="14" spans="1:16" ht="409.5" x14ac:dyDescent="0.25">
      <c r="A14" t="s">
        <v>6467</v>
      </c>
      <c r="B14" t="s">
        <v>6460</v>
      </c>
      <c r="C14" t="s">
        <v>6446</v>
      </c>
      <c r="D14" t="s">
        <v>1027</v>
      </c>
      <c r="E14">
        <v>1402</v>
      </c>
      <c r="F14" t="s">
        <v>6447</v>
      </c>
      <c r="G14" t="b">
        <v>0</v>
      </c>
      <c r="H14" t="b">
        <v>0</v>
      </c>
      <c r="I14" t="s">
        <v>1051</v>
      </c>
      <c r="J14">
        <v>91</v>
      </c>
      <c r="K14" t="s">
        <v>0</v>
      </c>
      <c r="L14" t="s">
        <v>3000</v>
      </c>
      <c r="M14" t="s">
        <v>1548</v>
      </c>
      <c r="N14" t="s">
        <v>1548</v>
      </c>
      <c r="O14" t="s">
        <v>1548</v>
      </c>
      <c r="P14" s="36" t="s">
        <v>6448</v>
      </c>
    </row>
    <row r="15" spans="1:16" ht="409.5" x14ac:dyDescent="0.25">
      <c r="A15" t="s">
        <v>6468</v>
      </c>
      <c r="B15" t="s">
        <v>6462</v>
      </c>
      <c r="C15" t="s">
        <v>6446</v>
      </c>
      <c r="D15" t="s">
        <v>1027</v>
      </c>
      <c r="E15">
        <v>1402</v>
      </c>
      <c r="F15" t="s">
        <v>6447</v>
      </c>
      <c r="G15" t="b">
        <v>0</v>
      </c>
      <c r="H15" t="b">
        <v>0</v>
      </c>
      <c r="I15" t="s">
        <v>1051</v>
      </c>
      <c r="J15">
        <v>91</v>
      </c>
      <c r="K15" t="s">
        <v>0</v>
      </c>
      <c r="L15" t="s">
        <v>3000</v>
      </c>
      <c r="M15" t="s">
        <v>1548</v>
      </c>
      <c r="N15" t="s">
        <v>1548</v>
      </c>
      <c r="O15" t="s">
        <v>1548</v>
      </c>
      <c r="P15" s="36" t="s">
        <v>6448</v>
      </c>
    </row>
    <row r="16" spans="1:16" ht="409.5" x14ac:dyDescent="0.25">
      <c r="A16" t="s">
        <v>6469</v>
      </c>
      <c r="B16" t="s">
        <v>6464</v>
      </c>
      <c r="C16" t="s">
        <v>6446</v>
      </c>
      <c r="D16" t="s">
        <v>1027</v>
      </c>
      <c r="E16">
        <v>1402</v>
      </c>
      <c r="F16" t="s">
        <v>6447</v>
      </c>
      <c r="G16" t="b">
        <v>0</v>
      </c>
      <c r="H16" t="b">
        <v>0</v>
      </c>
      <c r="I16" t="s">
        <v>1051</v>
      </c>
      <c r="J16">
        <v>91</v>
      </c>
      <c r="K16" t="s">
        <v>0</v>
      </c>
      <c r="L16" t="s">
        <v>3000</v>
      </c>
      <c r="M16" t="s">
        <v>1548</v>
      </c>
      <c r="N16" t="s">
        <v>1548</v>
      </c>
      <c r="O16" t="s">
        <v>1548</v>
      </c>
      <c r="P16" s="36" t="s">
        <v>6448</v>
      </c>
    </row>
    <row r="17" spans="1:16" ht="409.5" x14ac:dyDescent="0.25">
      <c r="A17" t="s">
        <v>6470</v>
      </c>
      <c r="B17" t="s">
        <v>6466</v>
      </c>
      <c r="C17" t="s">
        <v>6446</v>
      </c>
      <c r="D17" t="s">
        <v>1027</v>
      </c>
      <c r="E17">
        <v>1402</v>
      </c>
      <c r="F17" t="s">
        <v>6447</v>
      </c>
      <c r="G17" t="b">
        <v>0</v>
      </c>
      <c r="H17" t="b">
        <v>0</v>
      </c>
      <c r="I17" t="s">
        <v>1051</v>
      </c>
      <c r="J17">
        <v>91</v>
      </c>
      <c r="K17" t="s">
        <v>0</v>
      </c>
      <c r="L17" t="s">
        <v>3000</v>
      </c>
      <c r="M17" t="s">
        <v>1548</v>
      </c>
      <c r="N17" t="s">
        <v>1548</v>
      </c>
      <c r="O17" t="s">
        <v>1548</v>
      </c>
      <c r="P17" s="36" t="s">
        <v>6448</v>
      </c>
    </row>
    <row r="18" spans="1:16" ht="409.5" x14ac:dyDescent="0.25">
      <c r="A18" t="s">
        <v>6471</v>
      </c>
      <c r="B18" t="s">
        <v>6472</v>
      </c>
      <c r="C18" t="s">
        <v>6473</v>
      </c>
      <c r="D18" t="s">
        <v>1027</v>
      </c>
      <c r="E18">
        <v>33419</v>
      </c>
      <c r="F18" t="s">
        <v>6474</v>
      </c>
      <c r="G18" t="b">
        <v>0</v>
      </c>
      <c r="H18" t="b">
        <v>0</v>
      </c>
      <c r="I18" t="s">
        <v>1051</v>
      </c>
      <c r="J18">
        <v>91</v>
      </c>
      <c r="K18" t="s">
        <v>0</v>
      </c>
      <c r="L18" t="s">
        <v>3000</v>
      </c>
      <c r="M18" t="s">
        <v>1548</v>
      </c>
      <c r="N18" t="s">
        <v>1548</v>
      </c>
      <c r="O18" t="s">
        <v>1548</v>
      </c>
      <c r="P18" s="36" t="s">
        <v>6448</v>
      </c>
    </row>
    <row r="19" spans="1:16" ht="409.5" x14ac:dyDescent="0.25">
      <c r="A19" t="s">
        <v>6475</v>
      </c>
      <c r="B19" t="s">
        <v>6476</v>
      </c>
      <c r="C19" t="s">
        <v>6473</v>
      </c>
      <c r="D19" t="s">
        <v>1027</v>
      </c>
      <c r="E19">
        <v>33419</v>
      </c>
      <c r="F19" t="s">
        <v>6474</v>
      </c>
      <c r="G19" t="b">
        <v>0</v>
      </c>
      <c r="H19" t="b">
        <v>0</v>
      </c>
      <c r="I19" t="s">
        <v>1051</v>
      </c>
      <c r="J19">
        <v>91</v>
      </c>
      <c r="K19" t="s">
        <v>0</v>
      </c>
      <c r="L19" t="s">
        <v>3000</v>
      </c>
      <c r="M19" t="s">
        <v>1548</v>
      </c>
      <c r="N19" t="s">
        <v>1548</v>
      </c>
      <c r="O19" t="s">
        <v>1548</v>
      </c>
      <c r="P19" s="36" t="s">
        <v>6448</v>
      </c>
    </row>
    <row r="20" spans="1:16" ht="409.5" x14ac:dyDescent="0.25">
      <c r="A20" t="s">
        <v>6477</v>
      </c>
      <c r="B20" t="s">
        <v>6478</v>
      </c>
      <c r="C20" t="s">
        <v>6473</v>
      </c>
      <c r="D20" t="s">
        <v>1027</v>
      </c>
      <c r="E20">
        <v>33419</v>
      </c>
      <c r="F20" t="s">
        <v>6474</v>
      </c>
      <c r="G20" t="b">
        <v>0</v>
      </c>
      <c r="H20" t="b">
        <v>0</v>
      </c>
      <c r="I20" t="s">
        <v>1051</v>
      </c>
      <c r="J20">
        <v>91</v>
      </c>
      <c r="K20" t="s">
        <v>0</v>
      </c>
      <c r="L20" t="s">
        <v>3000</v>
      </c>
      <c r="M20" t="s">
        <v>1548</v>
      </c>
      <c r="N20" t="s">
        <v>1548</v>
      </c>
      <c r="O20" t="s">
        <v>1548</v>
      </c>
      <c r="P20" s="36" t="s">
        <v>6448</v>
      </c>
    </row>
    <row r="21" spans="1:16" ht="409.5" x14ac:dyDescent="0.25">
      <c r="A21" t="s">
        <v>6479</v>
      </c>
      <c r="B21" t="s">
        <v>6480</v>
      </c>
      <c r="C21" t="s">
        <v>6473</v>
      </c>
      <c r="D21" t="s">
        <v>1027</v>
      </c>
      <c r="E21">
        <v>33419</v>
      </c>
      <c r="F21" t="s">
        <v>6474</v>
      </c>
      <c r="G21" t="b">
        <v>0</v>
      </c>
      <c r="H21" t="b">
        <v>0</v>
      </c>
      <c r="I21" t="s">
        <v>1051</v>
      </c>
      <c r="J21">
        <v>91</v>
      </c>
      <c r="K21" t="s">
        <v>0</v>
      </c>
      <c r="L21" t="s">
        <v>3000</v>
      </c>
      <c r="M21" t="s">
        <v>1548</v>
      </c>
      <c r="N21" t="s">
        <v>1548</v>
      </c>
      <c r="O21" t="s">
        <v>1548</v>
      </c>
      <c r="P21" s="36" t="s">
        <v>6448</v>
      </c>
    </row>
    <row r="22" spans="1:16" ht="409.5" x14ac:dyDescent="0.25">
      <c r="A22" t="s">
        <v>6481</v>
      </c>
      <c r="B22" t="s">
        <v>6472</v>
      </c>
      <c r="C22" t="s">
        <v>6473</v>
      </c>
      <c r="D22" t="s">
        <v>1027</v>
      </c>
      <c r="E22">
        <v>33419</v>
      </c>
      <c r="F22" t="s">
        <v>6474</v>
      </c>
      <c r="G22" t="b">
        <v>0</v>
      </c>
      <c r="H22" t="b">
        <v>0</v>
      </c>
      <c r="I22" t="s">
        <v>1051</v>
      </c>
      <c r="J22">
        <v>91</v>
      </c>
      <c r="K22" t="s">
        <v>0</v>
      </c>
      <c r="L22" t="s">
        <v>3000</v>
      </c>
      <c r="M22" t="s">
        <v>1548</v>
      </c>
      <c r="N22" t="s">
        <v>1548</v>
      </c>
      <c r="O22" t="s">
        <v>1548</v>
      </c>
      <c r="P22" s="36" t="s">
        <v>6448</v>
      </c>
    </row>
    <row r="23" spans="1:16" ht="409.5" x14ac:dyDescent="0.25">
      <c r="A23" t="s">
        <v>6482</v>
      </c>
      <c r="B23" t="s">
        <v>6476</v>
      </c>
      <c r="C23" t="s">
        <v>6473</v>
      </c>
      <c r="D23" t="s">
        <v>1027</v>
      </c>
      <c r="E23">
        <v>33419</v>
      </c>
      <c r="F23" t="s">
        <v>6474</v>
      </c>
      <c r="G23" t="b">
        <v>0</v>
      </c>
      <c r="H23" t="b">
        <v>0</v>
      </c>
      <c r="I23" t="s">
        <v>1051</v>
      </c>
      <c r="J23">
        <v>91</v>
      </c>
      <c r="K23" t="s">
        <v>0</v>
      </c>
      <c r="L23" t="s">
        <v>3000</v>
      </c>
      <c r="M23" t="s">
        <v>1548</v>
      </c>
      <c r="N23" t="s">
        <v>1548</v>
      </c>
      <c r="O23" t="s">
        <v>1548</v>
      </c>
      <c r="P23" s="36" t="s">
        <v>6448</v>
      </c>
    </row>
    <row r="24" spans="1:16" ht="409.5" x14ac:dyDescent="0.25">
      <c r="A24" t="s">
        <v>6483</v>
      </c>
      <c r="B24" t="s">
        <v>6478</v>
      </c>
      <c r="C24" t="s">
        <v>6473</v>
      </c>
      <c r="D24" t="s">
        <v>1027</v>
      </c>
      <c r="E24">
        <v>33419</v>
      </c>
      <c r="F24" t="s">
        <v>6474</v>
      </c>
      <c r="G24" t="b">
        <v>0</v>
      </c>
      <c r="H24" t="b">
        <v>0</v>
      </c>
      <c r="I24" t="s">
        <v>1051</v>
      </c>
      <c r="J24">
        <v>91</v>
      </c>
      <c r="K24" t="s">
        <v>0</v>
      </c>
      <c r="L24" t="s">
        <v>3000</v>
      </c>
      <c r="M24" t="s">
        <v>1548</v>
      </c>
      <c r="N24" t="s">
        <v>1548</v>
      </c>
      <c r="O24" t="s">
        <v>1548</v>
      </c>
      <c r="P24" s="36" t="s">
        <v>6448</v>
      </c>
    </row>
    <row r="25" spans="1:16" ht="409.5" x14ac:dyDescent="0.25">
      <c r="A25" t="s">
        <v>6484</v>
      </c>
      <c r="B25" t="s">
        <v>6480</v>
      </c>
      <c r="C25" t="s">
        <v>6473</v>
      </c>
      <c r="D25" t="s">
        <v>1027</v>
      </c>
      <c r="E25">
        <v>33419</v>
      </c>
      <c r="F25" t="s">
        <v>6474</v>
      </c>
      <c r="G25" t="b">
        <v>0</v>
      </c>
      <c r="H25" t="b">
        <v>0</v>
      </c>
      <c r="I25" t="s">
        <v>1051</v>
      </c>
      <c r="J25">
        <v>91</v>
      </c>
      <c r="K25" t="s">
        <v>0</v>
      </c>
      <c r="L25" t="s">
        <v>3000</v>
      </c>
      <c r="M25" t="s">
        <v>1548</v>
      </c>
      <c r="N25" t="s">
        <v>1548</v>
      </c>
      <c r="O25" t="s">
        <v>1548</v>
      </c>
      <c r="P25" s="36" t="s">
        <v>6448</v>
      </c>
    </row>
    <row r="26" spans="1:16" ht="409.5" x14ac:dyDescent="0.25">
      <c r="A26" t="s">
        <v>6485</v>
      </c>
      <c r="B26" t="s">
        <v>6472</v>
      </c>
      <c r="C26" t="s">
        <v>6473</v>
      </c>
      <c r="D26" t="s">
        <v>1027</v>
      </c>
      <c r="E26">
        <v>33419</v>
      </c>
      <c r="F26" t="s">
        <v>6474</v>
      </c>
      <c r="G26" t="b">
        <v>0</v>
      </c>
      <c r="H26" t="b">
        <v>0</v>
      </c>
      <c r="I26" t="s">
        <v>1051</v>
      </c>
      <c r="J26">
        <v>91</v>
      </c>
      <c r="K26" t="s">
        <v>0</v>
      </c>
      <c r="L26" t="s">
        <v>3000</v>
      </c>
      <c r="M26" t="s">
        <v>1548</v>
      </c>
      <c r="N26" t="s">
        <v>1548</v>
      </c>
      <c r="O26" t="s">
        <v>1548</v>
      </c>
      <c r="P26" s="36" t="s">
        <v>6448</v>
      </c>
    </row>
    <row r="27" spans="1:16" ht="409.5" x14ac:dyDescent="0.25">
      <c r="A27" t="s">
        <v>6486</v>
      </c>
      <c r="B27" t="s">
        <v>6476</v>
      </c>
      <c r="C27" t="s">
        <v>6473</v>
      </c>
      <c r="D27" t="s">
        <v>1027</v>
      </c>
      <c r="E27">
        <v>33419</v>
      </c>
      <c r="F27" t="s">
        <v>6474</v>
      </c>
      <c r="G27" t="b">
        <v>0</v>
      </c>
      <c r="H27" t="b">
        <v>0</v>
      </c>
      <c r="I27" t="s">
        <v>1051</v>
      </c>
      <c r="J27">
        <v>91</v>
      </c>
      <c r="K27" t="s">
        <v>0</v>
      </c>
      <c r="L27" t="s">
        <v>3000</v>
      </c>
      <c r="M27" t="s">
        <v>1548</v>
      </c>
      <c r="N27" t="s">
        <v>1548</v>
      </c>
      <c r="O27" t="s">
        <v>1548</v>
      </c>
      <c r="P27" s="36" t="s">
        <v>6448</v>
      </c>
    </row>
    <row r="28" spans="1:16" ht="409.5" x14ac:dyDescent="0.25">
      <c r="A28" t="s">
        <v>6487</v>
      </c>
      <c r="B28" t="s">
        <v>6478</v>
      </c>
      <c r="C28" t="s">
        <v>6473</v>
      </c>
      <c r="D28" t="s">
        <v>1027</v>
      </c>
      <c r="E28">
        <v>33419</v>
      </c>
      <c r="F28" t="s">
        <v>6474</v>
      </c>
      <c r="G28" t="b">
        <v>0</v>
      </c>
      <c r="H28" t="b">
        <v>0</v>
      </c>
      <c r="I28" t="s">
        <v>1051</v>
      </c>
      <c r="J28">
        <v>91</v>
      </c>
      <c r="K28" t="s">
        <v>0</v>
      </c>
      <c r="L28" t="s">
        <v>3000</v>
      </c>
      <c r="M28" t="s">
        <v>1548</v>
      </c>
      <c r="N28" t="s">
        <v>1548</v>
      </c>
      <c r="O28" t="s">
        <v>1548</v>
      </c>
      <c r="P28" s="36" t="s">
        <v>6448</v>
      </c>
    </row>
    <row r="29" spans="1:16" ht="409.5" x14ac:dyDescent="0.25">
      <c r="A29" t="s">
        <v>6488</v>
      </c>
      <c r="B29" t="s">
        <v>6480</v>
      </c>
      <c r="C29" t="s">
        <v>6473</v>
      </c>
      <c r="D29" t="s">
        <v>1027</v>
      </c>
      <c r="E29">
        <v>33419</v>
      </c>
      <c r="F29" t="s">
        <v>6474</v>
      </c>
      <c r="G29" t="b">
        <v>0</v>
      </c>
      <c r="H29" t="b">
        <v>0</v>
      </c>
      <c r="I29" t="s">
        <v>1051</v>
      </c>
      <c r="J29">
        <v>91</v>
      </c>
      <c r="K29" t="s">
        <v>0</v>
      </c>
      <c r="L29" t="s">
        <v>3000</v>
      </c>
      <c r="M29" t="s">
        <v>1548</v>
      </c>
      <c r="N29" t="s">
        <v>1548</v>
      </c>
      <c r="O29" t="s">
        <v>1548</v>
      </c>
      <c r="P29" s="36" t="s">
        <v>6448</v>
      </c>
    </row>
    <row r="30" spans="1:16" ht="409.5" x14ac:dyDescent="0.25">
      <c r="A30" t="s">
        <v>6489</v>
      </c>
      <c r="B30" t="s">
        <v>6490</v>
      </c>
      <c r="C30" t="s">
        <v>6446</v>
      </c>
      <c r="D30" t="s">
        <v>1027</v>
      </c>
      <c r="E30">
        <v>1402</v>
      </c>
      <c r="F30" t="s">
        <v>6447</v>
      </c>
      <c r="G30" t="b">
        <v>0</v>
      </c>
      <c r="H30" t="b">
        <v>0</v>
      </c>
      <c r="I30" t="s">
        <v>1051</v>
      </c>
      <c r="J30">
        <v>91</v>
      </c>
      <c r="K30" t="s">
        <v>0</v>
      </c>
      <c r="L30" t="s">
        <v>3000</v>
      </c>
      <c r="M30" t="s">
        <v>1548</v>
      </c>
      <c r="N30" t="s">
        <v>1548</v>
      </c>
      <c r="O30" t="s">
        <v>1548</v>
      </c>
      <c r="P30" s="36" t="s">
        <v>6448</v>
      </c>
    </row>
    <row r="31" spans="1:16" ht="409.5" x14ac:dyDescent="0.25">
      <c r="A31" t="s">
        <v>6491</v>
      </c>
      <c r="B31" t="s">
        <v>6492</v>
      </c>
      <c r="C31" t="s">
        <v>6446</v>
      </c>
      <c r="D31" t="s">
        <v>1027</v>
      </c>
      <c r="E31">
        <v>1402</v>
      </c>
      <c r="F31" t="s">
        <v>6447</v>
      </c>
      <c r="G31" t="b">
        <v>0</v>
      </c>
      <c r="H31" t="b">
        <v>0</v>
      </c>
      <c r="I31" t="s">
        <v>1051</v>
      </c>
      <c r="J31">
        <v>91</v>
      </c>
      <c r="K31" t="s">
        <v>0</v>
      </c>
      <c r="L31" t="s">
        <v>3000</v>
      </c>
      <c r="M31" t="s">
        <v>1548</v>
      </c>
      <c r="N31" t="s">
        <v>1548</v>
      </c>
      <c r="O31" t="s">
        <v>1548</v>
      </c>
      <c r="P31" s="36" t="s">
        <v>6448</v>
      </c>
    </row>
    <row r="32" spans="1:16" ht="409.5" x14ac:dyDescent="0.25">
      <c r="A32" t="s">
        <v>6493</v>
      </c>
      <c r="B32" t="s">
        <v>6494</v>
      </c>
      <c r="C32" t="s">
        <v>6446</v>
      </c>
      <c r="D32" t="s">
        <v>1027</v>
      </c>
      <c r="E32">
        <v>1402</v>
      </c>
      <c r="F32" t="s">
        <v>6447</v>
      </c>
      <c r="G32" t="b">
        <v>0</v>
      </c>
      <c r="H32" t="b">
        <v>0</v>
      </c>
      <c r="I32" t="s">
        <v>1051</v>
      </c>
      <c r="J32">
        <v>91</v>
      </c>
      <c r="K32" t="s">
        <v>0</v>
      </c>
      <c r="L32" t="s">
        <v>3000</v>
      </c>
      <c r="M32" t="s">
        <v>1548</v>
      </c>
      <c r="N32" t="s">
        <v>1548</v>
      </c>
      <c r="O32" t="s">
        <v>1548</v>
      </c>
      <c r="P32" s="36" t="s">
        <v>6448</v>
      </c>
    </row>
    <row r="33" spans="1:16" ht="409.5" x14ac:dyDescent="0.25">
      <c r="A33" t="s">
        <v>6495</v>
      </c>
      <c r="B33" t="s">
        <v>6496</v>
      </c>
      <c r="C33" t="s">
        <v>6446</v>
      </c>
      <c r="D33" t="s">
        <v>1027</v>
      </c>
      <c r="E33">
        <v>1402</v>
      </c>
      <c r="F33" t="s">
        <v>6447</v>
      </c>
      <c r="G33" t="b">
        <v>0</v>
      </c>
      <c r="H33" t="b">
        <v>0</v>
      </c>
      <c r="I33" t="s">
        <v>1051</v>
      </c>
      <c r="J33">
        <v>91</v>
      </c>
      <c r="K33" t="s">
        <v>0</v>
      </c>
      <c r="L33" t="s">
        <v>3000</v>
      </c>
      <c r="M33" t="s">
        <v>1548</v>
      </c>
      <c r="N33" t="s">
        <v>1548</v>
      </c>
      <c r="O33" t="s">
        <v>1548</v>
      </c>
      <c r="P33" s="36" t="s">
        <v>6448</v>
      </c>
    </row>
    <row r="34" spans="1:16" ht="409.5" x14ac:dyDescent="0.25">
      <c r="A34" t="s">
        <v>6497</v>
      </c>
      <c r="B34" t="s">
        <v>6490</v>
      </c>
      <c r="C34" t="s">
        <v>6446</v>
      </c>
      <c r="D34" t="s">
        <v>1027</v>
      </c>
      <c r="E34">
        <v>1402</v>
      </c>
      <c r="F34" t="s">
        <v>6447</v>
      </c>
      <c r="G34" t="b">
        <v>0</v>
      </c>
      <c r="H34" t="b">
        <v>0</v>
      </c>
      <c r="I34" t="s">
        <v>1051</v>
      </c>
      <c r="J34">
        <v>91</v>
      </c>
      <c r="K34" t="s">
        <v>0</v>
      </c>
      <c r="L34" t="s">
        <v>3000</v>
      </c>
      <c r="M34" t="s">
        <v>1548</v>
      </c>
      <c r="N34" t="s">
        <v>1548</v>
      </c>
      <c r="O34" t="s">
        <v>1548</v>
      </c>
      <c r="P34" s="36" t="s">
        <v>6448</v>
      </c>
    </row>
    <row r="35" spans="1:16" ht="409.5" x14ac:dyDescent="0.25">
      <c r="A35" t="s">
        <v>6498</v>
      </c>
      <c r="B35" t="s">
        <v>6492</v>
      </c>
      <c r="C35" t="s">
        <v>6446</v>
      </c>
      <c r="D35" t="s">
        <v>1027</v>
      </c>
      <c r="E35">
        <v>1402</v>
      </c>
      <c r="F35" t="s">
        <v>6447</v>
      </c>
      <c r="G35" t="b">
        <v>0</v>
      </c>
      <c r="H35" t="b">
        <v>0</v>
      </c>
      <c r="I35" t="s">
        <v>1051</v>
      </c>
      <c r="J35">
        <v>91</v>
      </c>
      <c r="K35" t="s">
        <v>0</v>
      </c>
      <c r="L35" t="s">
        <v>3000</v>
      </c>
      <c r="M35" t="s">
        <v>1548</v>
      </c>
      <c r="N35" t="s">
        <v>1548</v>
      </c>
      <c r="O35" t="s">
        <v>1548</v>
      </c>
      <c r="P35" s="36" t="s">
        <v>6448</v>
      </c>
    </row>
    <row r="36" spans="1:16" ht="409.5" x14ac:dyDescent="0.25">
      <c r="A36" t="s">
        <v>6499</v>
      </c>
      <c r="B36" t="s">
        <v>6494</v>
      </c>
      <c r="C36" t="s">
        <v>6446</v>
      </c>
      <c r="D36" t="s">
        <v>1027</v>
      </c>
      <c r="E36">
        <v>1402</v>
      </c>
      <c r="F36" t="s">
        <v>6447</v>
      </c>
      <c r="G36" t="b">
        <v>0</v>
      </c>
      <c r="H36" t="b">
        <v>0</v>
      </c>
      <c r="I36" t="s">
        <v>1051</v>
      </c>
      <c r="J36">
        <v>91</v>
      </c>
      <c r="K36" t="s">
        <v>0</v>
      </c>
      <c r="L36" t="s">
        <v>3000</v>
      </c>
      <c r="M36" t="s">
        <v>1548</v>
      </c>
      <c r="N36" t="s">
        <v>1548</v>
      </c>
      <c r="O36" t="s">
        <v>1548</v>
      </c>
      <c r="P36" s="36" t="s">
        <v>6448</v>
      </c>
    </row>
    <row r="37" spans="1:16" ht="409.5" x14ac:dyDescent="0.25">
      <c r="A37" t="s">
        <v>6500</v>
      </c>
      <c r="B37" t="s">
        <v>6496</v>
      </c>
      <c r="C37" t="s">
        <v>6446</v>
      </c>
      <c r="D37" t="s">
        <v>1027</v>
      </c>
      <c r="E37">
        <v>1402</v>
      </c>
      <c r="F37" t="s">
        <v>6447</v>
      </c>
      <c r="G37" t="b">
        <v>0</v>
      </c>
      <c r="H37" t="b">
        <v>0</v>
      </c>
      <c r="I37" t="s">
        <v>1051</v>
      </c>
      <c r="J37">
        <v>91</v>
      </c>
      <c r="K37" t="s">
        <v>0</v>
      </c>
      <c r="L37" t="s">
        <v>3000</v>
      </c>
      <c r="M37" t="s">
        <v>1548</v>
      </c>
      <c r="N37" t="s">
        <v>1548</v>
      </c>
      <c r="O37" t="s">
        <v>1548</v>
      </c>
      <c r="P37" s="36" t="s">
        <v>6448</v>
      </c>
    </row>
    <row r="38" spans="1:16" ht="409.5" x14ac:dyDescent="0.25">
      <c r="A38" t="s">
        <v>6501</v>
      </c>
      <c r="B38" t="s">
        <v>6502</v>
      </c>
      <c r="C38" t="s">
        <v>6503</v>
      </c>
      <c r="D38" t="s">
        <v>1027</v>
      </c>
      <c r="E38">
        <v>1488</v>
      </c>
      <c r="F38" t="s">
        <v>6504</v>
      </c>
      <c r="G38" t="b">
        <v>0</v>
      </c>
      <c r="H38" t="b">
        <v>0</v>
      </c>
      <c r="I38" t="s">
        <v>1051</v>
      </c>
      <c r="J38">
        <v>91</v>
      </c>
      <c r="K38" t="s">
        <v>0</v>
      </c>
      <c r="L38" t="s">
        <v>3000</v>
      </c>
      <c r="M38" t="s">
        <v>1548</v>
      </c>
      <c r="N38" t="s">
        <v>1548</v>
      </c>
      <c r="O38" t="s">
        <v>1548</v>
      </c>
      <c r="P38" s="36" t="s">
        <v>6505</v>
      </c>
    </row>
    <row r="39" spans="1:16" ht="409.5" x14ac:dyDescent="0.25">
      <c r="A39" t="s">
        <v>6506</v>
      </c>
      <c r="B39" t="s">
        <v>6507</v>
      </c>
      <c r="C39" t="s">
        <v>6503</v>
      </c>
      <c r="D39" t="s">
        <v>1027</v>
      </c>
      <c r="E39">
        <v>1488</v>
      </c>
      <c r="F39" t="s">
        <v>6504</v>
      </c>
      <c r="G39" t="b">
        <v>0</v>
      </c>
      <c r="H39" t="b">
        <v>0</v>
      </c>
      <c r="I39" t="s">
        <v>1051</v>
      </c>
      <c r="J39">
        <v>91</v>
      </c>
      <c r="K39" t="s">
        <v>0</v>
      </c>
      <c r="L39" t="s">
        <v>3000</v>
      </c>
      <c r="M39" t="s">
        <v>1548</v>
      </c>
      <c r="N39" t="s">
        <v>1548</v>
      </c>
      <c r="O39" t="s">
        <v>1548</v>
      </c>
      <c r="P39" s="36" t="s">
        <v>6505</v>
      </c>
    </row>
    <row r="40" spans="1:16" ht="409.5" x14ac:dyDescent="0.25">
      <c r="A40" t="s">
        <v>6508</v>
      </c>
      <c r="B40" t="s">
        <v>6509</v>
      </c>
      <c r="C40" t="s">
        <v>6503</v>
      </c>
      <c r="D40" t="s">
        <v>1027</v>
      </c>
      <c r="E40">
        <v>1488</v>
      </c>
      <c r="F40" t="s">
        <v>6504</v>
      </c>
      <c r="G40" t="b">
        <v>0</v>
      </c>
      <c r="H40" t="b">
        <v>0</v>
      </c>
      <c r="I40" t="s">
        <v>1051</v>
      </c>
      <c r="J40">
        <v>91</v>
      </c>
      <c r="K40" t="s">
        <v>0</v>
      </c>
      <c r="L40" t="s">
        <v>3000</v>
      </c>
      <c r="M40" t="s">
        <v>1548</v>
      </c>
      <c r="N40" t="s">
        <v>1548</v>
      </c>
      <c r="O40" t="s">
        <v>1548</v>
      </c>
      <c r="P40" s="36" t="s">
        <v>6505</v>
      </c>
    </row>
    <row r="41" spans="1:16" ht="409.5" x14ac:dyDescent="0.25">
      <c r="A41" t="s">
        <v>6510</v>
      </c>
      <c r="B41" t="s">
        <v>6511</v>
      </c>
      <c r="C41" t="s">
        <v>6503</v>
      </c>
      <c r="D41" t="s">
        <v>1027</v>
      </c>
      <c r="E41">
        <v>1488</v>
      </c>
      <c r="F41" t="s">
        <v>6504</v>
      </c>
      <c r="G41" t="b">
        <v>0</v>
      </c>
      <c r="H41" t="b">
        <v>0</v>
      </c>
      <c r="I41" t="s">
        <v>1051</v>
      </c>
      <c r="J41">
        <v>91</v>
      </c>
      <c r="K41" t="s">
        <v>0</v>
      </c>
      <c r="L41" t="s">
        <v>3000</v>
      </c>
      <c r="M41" t="s">
        <v>1548</v>
      </c>
      <c r="N41" t="s">
        <v>1548</v>
      </c>
      <c r="O41" t="s">
        <v>1548</v>
      </c>
      <c r="P41" s="36" t="s">
        <v>6505</v>
      </c>
    </row>
    <row r="42" spans="1:16" ht="409.5" x14ac:dyDescent="0.25">
      <c r="A42" t="s">
        <v>6512</v>
      </c>
      <c r="B42" t="s">
        <v>6502</v>
      </c>
      <c r="C42" t="s">
        <v>6503</v>
      </c>
      <c r="D42" t="s">
        <v>1027</v>
      </c>
      <c r="E42">
        <v>1488</v>
      </c>
      <c r="F42" t="s">
        <v>6504</v>
      </c>
      <c r="G42" t="b">
        <v>0</v>
      </c>
      <c r="H42" t="b">
        <v>0</v>
      </c>
      <c r="I42" t="s">
        <v>1051</v>
      </c>
      <c r="J42">
        <v>91</v>
      </c>
      <c r="K42" t="s">
        <v>0</v>
      </c>
      <c r="L42" t="s">
        <v>3000</v>
      </c>
      <c r="M42" t="s">
        <v>1548</v>
      </c>
      <c r="N42" t="s">
        <v>1548</v>
      </c>
      <c r="O42" t="s">
        <v>1548</v>
      </c>
      <c r="P42" s="36" t="s">
        <v>6505</v>
      </c>
    </row>
    <row r="43" spans="1:16" ht="409.5" x14ac:dyDescent="0.25">
      <c r="A43" t="s">
        <v>6513</v>
      </c>
      <c r="B43" t="s">
        <v>6507</v>
      </c>
      <c r="C43" t="s">
        <v>6503</v>
      </c>
      <c r="D43" t="s">
        <v>1027</v>
      </c>
      <c r="E43">
        <v>1488</v>
      </c>
      <c r="F43" t="s">
        <v>6504</v>
      </c>
      <c r="G43" t="b">
        <v>0</v>
      </c>
      <c r="H43" t="b">
        <v>0</v>
      </c>
      <c r="I43" t="s">
        <v>1051</v>
      </c>
      <c r="J43">
        <v>91</v>
      </c>
      <c r="K43" t="s">
        <v>0</v>
      </c>
      <c r="L43" t="s">
        <v>3000</v>
      </c>
      <c r="M43" t="s">
        <v>1548</v>
      </c>
      <c r="N43" t="s">
        <v>1548</v>
      </c>
      <c r="O43" t="s">
        <v>1548</v>
      </c>
      <c r="P43" s="36" t="s">
        <v>6505</v>
      </c>
    </row>
    <row r="44" spans="1:16" ht="409.5" x14ac:dyDescent="0.25">
      <c r="A44" t="s">
        <v>6514</v>
      </c>
      <c r="B44" t="s">
        <v>6509</v>
      </c>
      <c r="C44" t="s">
        <v>6503</v>
      </c>
      <c r="D44" t="s">
        <v>1027</v>
      </c>
      <c r="E44">
        <v>1488</v>
      </c>
      <c r="F44" t="s">
        <v>6504</v>
      </c>
      <c r="G44" t="b">
        <v>0</v>
      </c>
      <c r="H44" t="b">
        <v>0</v>
      </c>
      <c r="I44" t="s">
        <v>1051</v>
      </c>
      <c r="J44">
        <v>91</v>
      </c>
      <c r="K44" t="s">
        <v>0</v>
      </c>
      <c r="L44" t="s">
        <v>3000</v>
      </c>
      <c r="M44" t="s">
        <v>1548</v>
      </c>
      <c r="N44" t="s">
        <v>1548</v>
      </c>
      <c r="O44" t="s">
        <v>1548</v>
      </c>
      <c r="P44" s="36" t="s">
        <v>6505</v>
      </c>
    </row>
    <row r="45" spans="1:16" ht="409.5" x14ac:dyDescent="0.25">
      <c r="A45" t="s">
        <v>6515</v>
      </c>
      <c r="B45" t="s">
        <v>6511</v>
      </c>
      <c r="C45" t="s">
        <v>6503</v>
      </c>
      <c r="D45" t="s">
        <v>1027</v>
      </c>
      <c r="E45">
        <v>1488</v>
      </c>
      <c r="F45" t="s">
        <v>6504</v>
      </c>
      <c r="G45" t="b">
        <v>0</v>
      </c>
      <c r="H45" t="b">
        <v>0</v>
      </c>
      <c r="I45" t="s">
        <v>1051</v>
      </c>
      <c r="J45">
        <v>91</v>
      </c>
      <c r="K45" t="s">
        <v>0</v>
      </c>
      <c r="L45" t="s">
        <v>3000</v>
      </c>
      <c r="M45" t="s">
        <v>1548</v>
      </c>
      <c r="N45" t="s">
        <v>1548</v>
      </c>
      <c r="O45" t="s">
        <v>1548</v>
      </c>
      <c r="P45" s="36" t="s">
        <v>6505</v>
      </c>
    </row>
    <row r="46" spans="1:16" ht="409.5" x14ac:dyDescent="0.25">
      <c r="A46" t="s">
        <v>6516</v>
      </c>
      <c r="B46" t="s">
        <v>6517</v>
      </c>
      <c r="C46" t="s">
        <v>6446</v>
      </c>
      <c r="D46" t="s">
        <v>1075</v>
      </c>
      <c r="E46">
        <v>1402</v>
      </c>
      <c r="F46" t="s">
        <v>6447</v>
      </c>
      <c r="G46" t="b">
        <v>0</v>
      </c>
      <c r="H46" t="b">
        <v>0</v>
      </c>
      <c r="I46" t="s">
        <v>1051</v>
      </c>
      <c r="J46">
        <v>78</v>
      </c>
      <c r="K46" t="s">
        <v>0</v>
      </c>
      <c r="L46" t="s">
        <v>3000</v>
      </c>
      <c r="M46" t="s">
        <v>1548</v>
      </c>
      <c r="N46" t="s">
        <v>1548</v>
      </c>
      <c r="O46" t="s">
        <v>1548</v>
      </c>
      <c r="P46" s="36" t="s">
        <v>6448</v>
      </c>
    </row>
    <row r="47" spans="1:16" ht="409.5" x14ac:dyDescent="0.25">
      <c r="A47" t="s">
        <v>6518</v>
      </c>
      <c r="B47" t="s">
        <v>6517</v>
      </c>
      <c r="C47" t="s">
        <v>6446</v>
      </c>
      <c r="D47" t="s">
        <v>1027</v>
      </c>
      <c r="E47">
        <v>1402</v>
      </c>
      <c r="F47" t="s">
        <v>6447</v>
      </c>
      <c r="G47" t="b">
        <v>0</v>
      </c>
      <c r="H47" t="b">
        <v>0</v>
      </c>
      <c r="I47" t="s">
        <v>1051</v>
      </c>
      <c r="J47">
        <v>78</v>
      </c>
      <c r="K47" t="s">
        <v>0</v>
      </c>
      <c r="L47" t="s">
        <v>3000</v>
      </c>
      <c r="M47" t="s">
        <v>1548</v>
      </c>
      <c r="N47" t="s">
        <v>1548</v>
      </c>
      <c r="O47" t="s">
        <v>1548</v>
      </c>
      <c r="P47" s="36" t="s">
        <v>6448</v>
      </c>
    </row>
    <row r="48" spans="1:16" ht="409.5" x14ac:dyDescent="0.25">
      <c r="A48" t="s">
        <v>6519</v>
      </c>
      <c r="B48" t="s">
        <v>6517</v>
      </c>
      <c r="C48" t="s">
        <v>6446</v>
      </c>
      <c r="D48" t="s">
        <v>1027</v>
      </c>
      <c r="E48">
        <v>1402</v>
      </c>
      <c r="F48" t="s">
        <v>6447</v>
      </c>
      <c r="G48" t="b">
        <v>0</v>
      </c>
      <c r="H48" t="b">
        <v>0</v>
      </c>
      <c r="I48" t="s">
        <v>1051</v>
      </c>
      <c r="J48">
        <v>78</v>
      </c>
      <c r="K48" t="s">
        <v>0</v>
      </c>
      <c r="L48" t="s">
        <v>3000</v>
      </c>
      <c r="M48" t="s">
        <v>1548</v>
      </c>
      <c r="N48" t="s">
        <v>1548</v>
      </c>
      <c r="O48" t="s">
        <v>1548</v>
      </c>
      <c r="P48" s="36" t="s">
        <v>6448</v>
      </c>
    </row>
    <row r="49" spans="1:16" x14ac:dyDescent="0.25">
      <c r="A49" t="s">
        <v>6520</v>
      </c>
      <c r="B49" t="s">
        <v>6521</v>
      </c>
      <c r="C49" t="s">
        <v>1335</v>
      </c>
      <c r="D49" t="s">
        <v>1027</v>
      </c>
      <c r="E49">
        <v>1459</v>
      </c>
      <c r="F49" t="s">
        <v>1336</v>
      </c>
      <c r="G49" t="b">
        <v>0</v>
      </c>
      <c r="H49" t="b">
        <v>0</v>
      </c>
      <c r="I49" t="s">
        <v>1051</v>
      </c>
      <c r="J49">
        <v>21</v>
      </c>
      <c r="K49" t="s">
        <v>2</v>
      </c>
      <c r="L49" t="s">
        <v>1549</v>
      </c>
      <c r="M49" t="s">
        <v>3922</v>
      </c>
      <c r="N49" t="s">
        <v>3922</v>
      </c>
      <c r="O49" t="s">
        <v>3922</v>
      </c>
      <c r="P49" t="s">
        <v>1682</v>
      </c>
    </row>
    <row r="50" spans="1:16" x14ac:dyDescent="0.25">
      <c r="A50" t="s">
        <v>6522</v>
      </c>
      <c r="B50" t="s">
        <v>6521</v>
      </c>
      <c r="C50" t="s">
        <v>1335</v>
      </c>
      <c r="D50" t="s">
        <v>1027</v>
      </c>
      <c r="E50">
        <v>1459</v>
      </c>
      <c r="F50" t="s">
        <v>1336</v>
      </c>
      <c r="G50" t="b">
        <v>0</v>
      </c>
      <c r="H50" t="b">
        <v>0</v>
      </c>
      <c r="I50" t="s">
        <v>1051</v>
      </c>
      <c r="J50">
        <v>21</v>
      </c>
      <c r="K50" t="s">
        <v>2</v>
      </c>
      <c r="L50" t="s">
        <v>1549</v>
      </c>
      <c r="M50" t="s">
        <v>3922</v>
      </c>
      <c r="N50" t="s">
        <v>3922</v>
      </c>
      <c r="O50" t="s">
        <v>3922</v>
      </c>
      <c r="P50" t="s">
        <v>1682</v>
      </c>
    </row>
    <row r="51" spans="1:16" x14ac:dyDescent="0.25">
      <c r="A51" t="s">
        <v>6523</v>
      </c>
      <c r="B51" t="s">
        <v>6521</v>
      </c>
      <c r="C51" t="s">
        <v>1335</v>
      </c>
      <c r="D51" t="s">
        <v>1027</v>
      </c>
      <c r="E51">
        <v>1459</v>
      </c>
      <c r="F51" t="s">
        <v>1336</v>
      </c>
      <c r="G51" t="b">
        <v>0</v>
      </c>
      <c r="H51" t="b">
        <v>0</v>
      </c>
      <c r="I51" t="s">
        <v>1051</v>
      </c>
      <c r="J51">
        <v>21</v>
      </c>
      <c r="K51" t="s">
        <v>2</v>
      </c>
      <c r="L51" t="s">
        <v>1549</v>
      </c>
      <c r="M51" t="s">
        <v>3922</v>
      </c>
      <c r="N51" t="s">
        <v>3922</v>
      </c>
      <c r="O51" t="s">
        <v>3922</v>
      </c>
      <c r="P51" t="s">
        <v>1682</v>
      </c>
    </row>
    <row r="52" spans="1:16" x14ac:dyDescent="0.25">
      <c r="A52" t="s">
        <v>6524</v>
      </c>
      <c r="B52" t="s">
        <v>6521</v>
      </c>
      <c r="C52" t="s">
        <v>1335</v>
      </c>
      <c r="D52" t="s">
        <v>1027</v>
      </c>
      <c r="E52">
        <v>1459</v>
      </c>
      <c r="F52" t="s">
        <v>1336</v>
      </c>
      <c r="G52" t="b">
        <v>0</v>
      </c>
      <c r="H52" t="b">
        <v>0</v>
      </c>
      <c r="I52" t="s">
        <v>1051</v>
      </c>
      <c r="J52">
        <v>21</v>
      </c>
      <c r="K52" t="s">
        <v>2</v>
      </c>
      <c r="L52" t="s">
        <v>1549</v>
      </c>
      <c r="M52" t="s">
        <v>3922</v>
      </c>
      <c r="N52" t="s">
        <v>3922</v>
      </c>
      <c r="O52" t="s">
        <v>3922</v>
      </c>
      <c r="P52" t="s">
        <v>1682</v>
      </c>
    </row>
    <row r="53" spans="1:16" x14ac:dyDescent="0.25">
      <c r="A53" t="s">
        <v>6525</v>
      </c>
      <c r="B53" t="s">
        <v>6521</v>
      </c>
      <c r="C53" t="s">
        <v>1335</v>
      </c>
      <c r="D53" t="s">
        <v>1027</v>
      </c>
      <c r="E53">
        <v>1459</v>
      </c>
      <c r="F53" t="s">
        <v>1336</v>
      </c>
      <c r="G53" t="b">
        <v>0</v>
      </c>
      <c r="H53" t="b">
        <v>0</v>
      </c>
      <c r="I53" t="s">
        <v>1051</v>
      </c>
      <c r="J53">
        <v>21</v>
      </c>
      <c r="K53" t="s">
        <v>2</v>
      </c>
      <c r="L53" t="s">
        <v>1549</v>
      </c>
      <c r="M53" t="s">
        <v>3922</v>
      </c>
      <c r="N53" t="s">
        <v>3922</v>
      </c>
      <c r="O53" t="s">
        <v>3922</v>
      </c>
      <c r="P53" t="s">
        <v>1682</v>
      </c>
    </row>
    <row r="54" spans="1:16" x14ac:dyDescent="0.25">
      <c r="A54" t="s">
        <v>6526</v>
      </c>
      <c r="B54" t="s">
        <v>6521</v>
      </c>
      <c r="C54" t="s">
        <v>1335</v>
      </c>
      <c r="D54" t="s">
        <v>1027</v>
      </c>
      <c r="E54">
        <v>1459</v>
      </c>
      <c r="F54" t="s">
        <v>1336</v>
      </c>
      <c r="G54" t="b">
        <v>0</v>
      </c>
      <c r="H54" t="b">
        <v>0</v>
      </c>
      <c r="I54" t="s">
        <v>1051</v>
      </c>
      <c r="J54">
        <v>21</v>
      </c>
      <c r="K54" t="s">
        <v>2</v>
      </c>
      <c r="L54" t="s">
        <v>1549</v>
      </c>
      <c r="M54" t="s">
        <v>3922</v>
      </c>
      <c r="N54" t="s">
        <v>3922</v>
      </c>
      <c r="O54" t="s">
        <v>3922</v>
      </c>
      <c r="P54" t="s">
        <v>1682</v>
      </c>
    </row>
    <row r="55" spans="1:16" x14ac:dyDescent="0.25">
      <c r="A55" t="s">
        <v>6527</v>
      </c>
      <c r="B55" t="s">
        <v>6521</v>
      </c>
      <c r="C55" t="s">
        <v>1335</v>
      </c>
      <c r="D55" t="s">
        <v>1027</v>
      </c>
      <c r="E55">
        <v>1459</v>
      </c>
      <c r="F55" t="s">
        <v>1336</v>
      </c>
      <c r="G55" t="b">
        <v>0</v>
      </c>
      <c r="H55" t="b">
        <v>0</v>
      </c>
      <c r="I55" t="s">
        <v>1051</v>
      </c>
      <c r="J55">
        <v>21</v>
      </c>
      <c r="K55" t="s">
        <v>2</v>
      </c>
      <c r="L55" t="s">
        <v>1549</v>
      </c>
      <c r="M55" t="s">
        <v>3922</v>
      </c>
      <c r="N55" t="s">
        <v>3922</v>
      </c>
      <c r="O55" t="s">
        <v>3922</v>
      </c>
      <c r="P55" t="s">
        <v>1682</v>
      </c>
    </row>
    <row r="56" spans="1:16" x14ac:dyDescent="0.25">
      <c r="A56" t="s">
        <v>6528</v>
      </c>
      <c r="B56" t="s">
        <v>6521</v>
      </c>
      <c r="C56" t="s">
        <v>1335</v>
      </c>
      <c r="D56" t="s">
        <v>1027</v>
      </c>
      <c r="E56">
        <v>1459</v>
      </c>
      <c r="F56" t="s">
        <v>1336</v>
      </c>
      <c r="G56" t="b">
        <v>0</v>
      </c>
      <c r="H56" t="b">
        <v>0</v>
      </c>
      <c r="I56" t="s">
        <v>1051</v>
      </c>
      <c r="J56">
        <v>21</v>
      </c>
      <c r="K56" t="s">
        <v>2</v>
      </c>
      <c r="L56" t="s">
        <v>1549</v>
      </c>
      <c r="M56" t="s">
        <v>3922</v>
      </c>
      <c r="N56" t="s">
        <v>3922</v>
      </c>
      <c r="O56" t="s">
        <v>3922</v>
      </c>
      <c r="P56" t="s">
        <v>1682</v>
      </c>
    </row>
    <row r="57" spans="1:16" x14ac:dyDescent="0.25">
      <c r="A57" t="s">
        <v>6529</v>
      </c>
      <c r="B57" t="s">
        <v>6521</v>
      </c>
      <c r="C57" t="s">
        <v>1335</v>
      </c>
      <c r="D57" t="s">
        <v>1027</v>
      </c>
      <c r="E57">
        <v>1459</v>
      </c>
      <c r="F57" t="s">
        <v>1336</v>
      </c>
      <c r="G57" t="b">
        <v>0</v>
      </c>
      <c r="H57" t="b">
        <v>0</v>
      </c>
      <c r="I57" t="s">
        <v>1051</v>
      </c>
      <c r="J57">
        <v>21</v>
      </c>
      <c r="K57" t="s">
        <v>2</v>
      </c>
      <c r="L57" t="s">
        <v>1549</v>
      </c>
      <c r="M57" t="s">
        <v>3922</v>
      </c>
      <c r="N57" t="s">
        <v>3922</v>
      </c>
      <c r="O57" t="s">
        <v>3922</v>
      </c>
      <c r="P57" t="s">
        <v>1682</v>
      </c>
    </row>
    <row r="58" spans="1:16" x14ac:dyDescent="0.25">
      <c r="A58" t="s">
        <v>6530</v>
      </c>
      <c r="B58" t="s">
        <v>6521</v>
      </c>
      <c r="C58" t="s">
        <v>1335</v>
      </c>
      <c r="D58" t="s">
        <v>1027</v>
      </c>
      <c r="E58">
        <v>1459</v>
      </c>
      <c r="F58" t="s">
        <v>1336</v>
      </c>
      <c r="G58" t="b">
        <v>0</v>
      </c>
      <c r="H58" t="b">
        <v>0</v>
      </c>
      <c r="I58" t="s">
        <v>1051</v>
      </c>
      <c r="J58">
        <v>78</v>
      </c>
      <c r="K58" t="s">
        <v>2</v>
      </c>
      <c r="L58" t="s">
        <v>1549</v>
      </c>
      <c r="M58" t="s">
        <v>3922</v>
      </c>
      <c r="N58" t="s">
        <v>3922</v>
      </c>
      <c r="O58" t="s">
        <v>3922</v>
      </c>
      <c r="P58" t="s">
        <v>1682</v>
      </c>
    </row>
    <row r="59" spans="1:16" x14ac:dyDescent="0.25">
      <c r="A59" t="s">
        <v>6531</v>
      </c>
      <c r="B59" t="s">
        <v>6521</v>
      </c>
      <c r="C59" t="s">
        <v>1335</v>
      </c>
      <c r="D59" t="s">
        <v>1027</v>
      </c>
      <c r="E59">
        <v>1459</v>
      </c>
      <c r="F59" t="s">
        <v>1336</v>
      </c>
      <c r="G59" t="b">
        <v>0</v>
      </c>
      <c r="H59" t="b">
        <v>0</v>
      </c>
      <c r="I59" t="s">
        <v>1051</v>
      </c>
      <c r="J59">
        <v>78</v>
      </c>
      <c r="K59" t="s">
        <v>2</v>
      </c>
      <c r="L59" t="s">
        <v>1549</v>
      </c>
      <c r="M59" t="s">
        <v>3922</v>
      </c>
      <c r="N59" t="s">
        <v>3922</v>
      </c>
      <c r="O59" t="s">
        <v>3922</v>
      </c>
      <c r="P59" t="s">
        <v>1682</v>
      </c>
    </row>
    <row r="60" spans="1:16" x14ac:dyDescent="0.25">
      <c r="A60" t="s">
        <v>6532</v>
      </c>
      <c r="B60" t="s">
        <v>6521</v>
      </c>
      <c r="C60" t="s">
        <v>1335</v>
      </c>
      <c r="D60" t="s">
        <v>1027</v>
      </c>
      <c r="E60">
        <v>1459</v>
      </c>
      <c r="F60" t="s">
        <v>1336</v>
      </c>
      <c r="G60" t="b">
        <v>0</v>
      </c>
      <c r="H60" t="b">
        <v>0</v>
      </c>
      <c r="I60" t="s">
        <v>1051</v>
      </c>
      <c r="J60">
        <v>78</v>
      </c>
      <c r="K60" t="s">
        <v>2</v>
      </c>
      <c r="L60" t="s">
        <v>1549</v>
      </c>
      <c r="M60" t="s">
        <v>3922</v>
      </c>
      <c r="N60" t="s">
        <v>3922</v>
      </c>
      <c r="O60" t="s">
        <v>3922</v>
      </c>
      <c r="P60" t="s">
        <v>1682</v>
      </c>
    </row>
    <row r="61" spans="1:16" x14ac:dyDescent="0.25">
      <c r="A61" t="s">
        <v>6533</v>
      </c>
      <c r="B61" t="s">
        <v>6521</v>
      </c>
      <c r="C61" t="s">
        <v>1335</v>
      </c>
      <c r="D61" t="s">
        <v>1027</v>
      </c>
      <c r="E61">
        <v>1459</v>
      </c>
      <c r="F61" t="s">
        <v>1336</v>
      </c>
      <c r="G61" t="b">
        <v>0</v>
      </c>
      <c r="H61" t="b">
        <v>0</v>
      </c>
      <c r="I61" t="s">
        <v>1051</v>
      </c>
      <c r="J61">
        <v>78</v>
      </c>
      <c r="K61" t="s">
        <v>2</v>
      </c>
      <c r="L61" t="s">
        <v>1549</v>
      </c>
      <c r="M61" t="s">
        <v>3922</v>
      </c>
      <c r="N61" t="s">
        <v>3922</v>
      </c>
      <c r="O61" t="s">
        <v>3922</v>
      </c>
      <c r="P61" t="s">
        <v>1682</v>
      </c>
    </row>
    <row r="62" spans="1:16" x14ac:dyDescent="0.25">
      <c r="A62" t="s">
        <v>6534</v>
      </c>
      <c r="B62" t="s">
        <v>6521</v>
      </c>
      <c r="C62" t="s">
        <v>1335</v>
      </c>
      <c r="D62" t="s">
        <v>1027</v>
      </c>
      <c r="E62">
        <v>1459</v>
      </c>
      <c r="F62" t="s">
        <v>1336</v>
      </c>
      <c r="G62" t="b">
        <v>0</v>
      </c>
      <c r="H62" t="b">
        <v>0</v>
      </c>
      <c r="I62" t="s">
        <v>1051</v>
      </c>
      <c r="J62">
        <v>78</v>
      </c>
      <c r="K62" t="s">
        <v>2</v>
      </c>
      <c r="L62" t="s">
        <v>1549</v>
      </c>
      <c r="M62" t="s">
        <v>3922</v>
      </c>
      <c r="N62" t="s">
        <v>3922</v>
      </c>
      <c r="O62" t="s">
        <v>3922</v>
      </c>
      <c r="P62" t="s">
        <v>1682</v>
      </c>
    </row>
    <row r="63" spans="1:16" x14ac:dyDescent="0.25">
      <c r="A63" t="s">
        <v>6535</v>
      </c>
      <c r="B63" t="s">
        <v>6521</v>
      </c>
      <c r="C63" t="s">
        <v>1335</v>
      </c>
      <c r="D63" t="s">
        <v>1027</v>
      </c>
      <c r="E63">
        <v>1459</v>
      </c>
      <c r="F63" t="s">
        <v>1336</v>
      </c>
      <c r="G63" t="b">
        <v>0</v>
      </c>
      <c r="H63" t="b">
        <v>0</v>
      </c>
      <c r="I63" t="s">
        <v>1051</v>
      </c>
      <c r="J63">
        <v>78</v>
      </c>
      <c r="K63" t="s">
        <v>2</v>
      </c>
      <c r="L63" t="s">
        <v>1549</v>
      </c>
      <c r="M63" t="s">
        <v>3922</v>
      </c>
      <c r="N63" t="s">
        <v>3922</v>
      </c>
      <c r="O63" t="s">
        <v>3922</v>
      </c>
      <c r="P63" t="s">
        <v>1682</v>
      </c>
    </row>
    <row r="64" spans="1:16" x14ac:dyDescent="0.25">
      <c r="A64" t="s">
        <v>6536</v>
      </c>
      <c r="B64" t="s">
        <v>6521</v>
      </c>
      <c r="C64" t="s">
        <v>1335</v>
      </c>
      <c r="D64" t="s">
        <v>1027</v>
      </c>
      <c r="E64">
        <v>1459</v>
      </c>
      <c r="F64" t="s">
        <v>1336</v>
      </c>
      <c r="G64" t="b">
        <v>0</v>
      </c>
      <c r="H64" t="b">
        <v>0</v>
      </c>
      <c r="I64" t="s">
        <v>1051</v>
      </c>
      <c r="J64">
        <v>78</v>
      </c>
      <c r="K64" t="s">
        <v>2</v>
      </c>
      <c r="L64" t="s">
        <v>1549</v>
      </c>
      <c r="M64" t="s">
        <v>3922</v>
      </c>
      <c r="N64" t="s">
        <v>3922</v>
      </c>
      <c r="O64" t="s">
        <v>3922</v>
      </c>
      <c r="P64" t="s">
        <v>1682</v>
      </c>
    </row>
    <row r="65" spans="1:16" x14ac:dyDescent="0.25">
      <c r="A65" t="s">
        <v>6537</v>
      </c>
      <c r="B65" t="s">
        <v>6521</v>
      </c>
      <c r="C65" t="s">
        <v>1335</v>
      </c>
      <c r="D65" t="s">
        <v>1027</v>
      </c>
      <c r="E65">
        <v>1459</v>
      </c>
      <c r="F65" t="s">
        <v>1336</v>
      </c>
      <c r="G65" t="b">
        <v>0</v>
      </c>
      <c r="H65" t="b">
        <v>0</v>
      </c>
      <c r="I65" t="s">
        <v>1051</v>
      </c>
      <c r="J65">
        <v>78</v>
      </c>
      <c r="K65" t="s">
        <v>2</v>
      </c>
      <c r="L65" t="s">
        <v>1549</v>
      </c>
      <c r="M65" t="s">
        <v>3922</v>
      </c>
      <c r="N65" t="s">
        <v>3922</v>
      </c>
      <c r="O65" t="s">
        <v>3922</v>
      </c>
      <c r="P65" t="s">
        <v>1682</v>
      </c>
    </row>
    <row r="66" spans="1:16" x14ac:dyDescent="0.25">
      <c r="A66" t="s">
        <v>6538</v>
      </c>
      <c r="B66" t="s">
        <v>6521</v>
      </c>
      <c r="C66" t="s">
        <v>1335</v>
      </c>
      <c r="D66" t="s">
        <v>1027</v>
      </c>
      <c r="E66">
        <v>1459</v>
      </c>
      <c r="F66" t="s">
        <v>1336</v>
      </c>
      <c r="G66" t="b">
        <v>0</v>
      </c>
      <c r="H66" t="b">
        <v>0</v>
      </c>
      <c r="I66" t="s">
        <v>1051</v>
      </c>
      <c r="J66">
        <v>78</v>
      </c>
      <c r="K66" t="s">
        <v>2</v>
      </c>
      <c r="L66" t="s">
        <v>1549</v>
      </c>
      <c r="M66" t="s">
        <v>3922</v>
      </c>
      <c r="N66" t="s">
        <v>3922</v>
      </c>
      <c r="O66" t="s">
        <v>3922</v>
      </c>
      <c r="P66" t="s">
        <v>1682</v>
      </c>
    </row>
    <row r="67" spans="1:16" x14ac:dyDescent="0.25">
      <c r="A67" t="s">
        <v>6539</v>
      </c>
      <c r="B67" t="s">
        <v>6521</v>
      </c>
      <c r="C67" t="s">
        <v>1335</v>
      </c>
      <c r="D67" t="s">
        <v>1027</v>
      </c>
      <c r="E67">
        <v>1459</v>
      </c>
      <c r="F67" t="s">
        <v>1336</v>
      </c>
      <c r="G67" t="b">
        <v>0</v>
      </c>
      <c r="H67" t="b">
        <v>0</v>
      </c>
      <c r="I67" t="s">
        <v>1051</v>
      </c>
      <c r="J67">
        <v>78</v>
      </c>
      <c r="K67" t="s">
        <v>2</v>
      </c>
      <c r="L67" t="s">
        <v>1549</v>
      </c>
      <c r="M67" t="s">
        <v>3922</v>
      </c>
      <c r="N67" t="s">
        <v>3922</v>
      </c>
      <c r="O67" t="s">
        <v>3922</v>
      </c>
      <c r="P67" t="s">
        <v>1682</v>
      </c>
    </row>
    <row r="68" spans="1:16" x14ac:dyDescent="0.25">
      <c r="A68" t="s">
        <v>6540</v>
      </c>
      <c r="B68" t="s">
        <v>6521</v>
      </c>
      <c r="C68" t="s">
        <v>1335</v>
      </c>
      <c r="D68" t="s">
        <v>1027</v>
      </c>
      <c r="E68">
        <v>1459</v>
      </c>
      <c r="F68" t="s">
        <v>1336</v>
      </c>
      <c r="G68" t="b">
        <v>0</v>
      </c>
      <c r="H68" t="b">
        <v>0</v>
      </c>
      <c r="I68" t="s">
        <v>1051</v>
      </c>
      <c r="J68">
        <v>78</v>
      </c>
      <c r="K68" t="s">
        <v>2</v>
      </c>
      <c r="L68" t="s">
        <v>1549</v>
      </c>
      <c r="M68" t="s">
        <v>3922</v>
      </c>
      <c r="N68" t="s">
        <v>3922</v>
      </c>
      <c r="O68" t="s">
        <v>3922</v>
      </c>
      <c r="P68" t="s">
        <v>1682</v>
      </c>
    </row>
    <row r="69" spans="1:16" ht="409.5" x14ac:dyDescent="0.25">
      <c r="A69" t="s">
        <v>6541</v>
      </c>
      <c r="B69" t="s">
        <v>6542</v>
      </c>
      <c r="C69" t="s">
        <v>6446</v>
      </c>
      <c r="D69" t="s">
        <v>1027</v>
      </c>
      <c r="E69">
        <v>1402</v>
      </c>
      <c r="F69" t="s">
        <v>6447</v>
      </c>
      <c r="G69" t="b">
        <v>0</v>
      </c>
      <c r="H69" t="b">
        <v>0</v>
      </c>
      <c r="I69" t="s">
        <v>1051</v>
      </c>
      <c r="J69">
        <v>78</v>
      </c>
      <c r="K69" t="s">
        <v>0</v>
      </c>
      <c r="L69" t="s">
        <v>3000</v>
      </c>
      <c r="M69" t="s">
        <v>1548</v>
      </c>
      <c r="N69" t="s">
        <v>1548</v>
      </c>
      <c r="O69" t="s">
        <v>1548</v>
      </c>
      <c r="P69" s="36" t="s">
        <v>6448</v>
      </c>
    </row>
    <row r="70" spans="1:16" x14ac:dyDescent="0.25">
      <c r="A70" t="s">
        <v>6543</v>
      </c>
      <c r="B70" t="s">
        <v>6544</v>
      </c>
      <c r="C70" t="s">
        <v>1335</v>
      </c>
      <c r="D70" t="s">
        <v>1027</v>
      </c>
      <c r="E70">
        <v>1459</v>
      </c>
      <c r="F70" t="s">
        <v>1336</v>
      </c>
      <c r="G70" t="b">
        <v>0</v>
      </c>
      <c r="H70" t="b">
        <v>0</v>
      </c>
      <c r="I70" t="s">
        <v>1051</v>
      </c>
      <c r="J70">
        <v>21</v>
      </c>
      <c r="K70" t="s">
        <v>2</v>
      </c>
      <c r="L70" t="s">
        <v>1549</v>
      </c>
      <c r="M70" t="s">
        <v>3922</v>
      </c>
      <c r="N70" t="s">
        <v>3922</v>
      </c>
      <c r="O70" t="s">
        <v>3922</v>
      </c>
      <c r="P70" t="s">
        <v>1682</v>
      </c>
    </row>
    <row r="71" spans="1:16" x14ac:dyDescent="0.25">
      <c r="A71" t="s">
        <v>6545</v>
      </c>
      <c r="B71" t="s">
        <v>6544</v>
      </c>
      <c r="C71" t="s">
        <v>1335</v>
      </c>
      <c r="D71" t="s">
        <v>1027</v>
      </c>
      <c r="E71">
        <v>1459</v>
      </c>
      <c r="F71" t="s">
        <v>1336</v>
      </c>
      <c r="G71" t="b">
        <v>0</v>
      </c>
      <c r="H71" t="b">
        <v>0</v>
      </c>
      <c r="I71" t="s">
        <v>1051</v>
      </c>
      <c r="J71">
        <v>21</v>
      </c>
      <c r="K71" t="s">
        <v>2</v>
      </c>
      <c r="L71" t="s">
        <v>1549</v>
      </c>
      <c r="M71" t="s">
        <v>3922</v>
      </c>
      <c r="N71" t="s">
        <v>3922</v>
      </c>
      <c r="O71" t="s">
        <v>3922</v>
      </c>
      <c r="P71" t="s">
        <v>1682</v>
      </c>
    </row>
    <row r="72" spans="1:16" x14ac:dyDescent="0.25">
      <c r="A72" t="s">
        <v>6546</v>
      </c>
      <c r="B72" t="s">
        <v>6544</v>
      </c>
      <c r="C72" t="s">
        <v>1335</v>
      </c>
      <c r="D72" t="s">
        <v>1027</v>
      </c>
      <c r="E72">
        <v>1459</v>
      </c>
      <c r="F72" t="s">
        <v>1336</v>
      </c>
      <c r="G72" t="b">
        <v>0</v>
      </c>
      <c r="H72" t="b">
        <v>0</v>
      </c>
      <c r="I72" t="s">
        <v>1051</v>
      </c>
      <c r="J72">
        <v>21</v>
      </c>
      <c r="K72" t="s">
        <v>2</v>
      </c>
      <c r="L72" t="s">
        <v>1549</v>
      </c>
      <c r="M72" t="s">
        <v>3922</v>
      </c>
      <c r="N72" t="s">
        <v>3922</v>
      </c>
      <c r="O72" t="s">
        <v>3922</v>
      </c>
      <c r="P72" t="s">
        <v>1682</v>
      </c>
    </row>
    <row r="73" spans="1:16" x14ac:dyDescent="0.25">
      <c r="A73" t="s">
        <v>6547</v>
      </c>
      <c r="B73" t="s">
        <v>6544</v>
      </c>
      <c r="C73" t="s">
        <v>1335</v>
      </c>
      <c r="D73" t="s">
        <v>1027</v>
      </c>
      <c r="E73">
        <v>1459</v>
      </c>
      <c r="F73" t="s">
        <v>1336</v>
      </c>
      <c r="G73" t="b">
        <v>0</v>
      </c>
      <c r="H73" t="b">
        <v>0</v>
      </c>
      <c r="I73" t="s">
        <v>1051</v>
      </c>
      <c r="J73">
        <v>21</v>
      </c>
      <c r="K73" t="s">
        <v>2</v>
      </c>
      <c r="L73" t="s">
        <v>1549</v>
      </c>
      <c r="M73" t="s">
        <v>3922</v>
      </c>
      <c r="N73" t="s">
        <v>3922</v>
      </c>
      <c r="O73" t="s">
        <v>3922</v>
      </c>
      <c r="P73" t="s">
        <v>1682</v>
      </c>
    </row>
    <row r="74" spans="1:16" x14ac:dyDescent="0.25">
      <c r="A74" t="s">
        <v>6548</v>
      </c>
      <c r="B74" t="s">
        <v>6544</v>
      </c>
      <c r="C74" t="s">
        <v>1335</v>
      </c>
      <c r="D74" t="s">
        <v>1027</v>
      </c>
      <c r="E74">
        <v>1459</v>
      </c>
      <c r="F74" t="s">
        <v>1336</v>
      </c>
      <c r="G74" t="b">
        <v>0</v>
      </c>
      <c r="H74" t="b">
        <v>0</v>
      </c>
      <c r="I74" t="s">
        <v>1051</v>
      </c>
      <c r="J74">
        <v>21</v>
      </c>
      <c r="K74" t="s">
        <v>2</v>
      </c>
      <c r="L74" t="s">
        <v>1549</v>
      </c>
      <c r="M74" t="s">
        <v>3922</v>
      </c>
      <c r="N74" t="s">
        <v>3922</v>
      </c>
      <c r="O74" t="s">
        <v>3922</v>
      </c>
      <c r="P74" t="s">
        <v>1682</v>
      </c>
    </row>
    <row r="75" spans="1:16" x14ac:dyDescent="0.25">
      <c r="A75" t="s">
        <v>6549</v>
      </c>
      <c r="B75" t="s">
        <v>6544</v>
      </c>
      <c r="C75" t="s">
        <v>1335</v>
      </c>
      <c r="D75" t="s">
        <v>1027</v>
      </c>
      <c r="E75">
        <v>1459</v>
      </c>
      <c r="F75" t="s">
        <v>1336</v>
      </c>
      <c r="G75" t="b">
        <v>0</v>
      </c>
      <c r="H75" t="b">
        <v>0</v>
      </c>
      <c r="I75" t="s">
        <v>1051</v>
      </c>
      <c r="J75">
        <v>21</v>
      </c>
      <c r="K75" t="s">
        <v>2</v>
      </c>
      <c r="L75" t="s">
        <v>1549</v>
      </c>
      <c r="M75" t="s">
        <v>3922</v>
      </c>
      <c r="N75" t="s">
        <v>3922</v>
      </c>
      <c r="O75" t="s">
        <v>3922</v>
      </c>
      <c r="P75" t="s">
        <v>1682</v>
      </c>
    </row>
    <row r="76" spans="1:16" x14ac:dyDescent="0.25">
      <c r="A76" t="s">
        <v>6550</v>
      </c>
      <c r="B76" t="s">
        <v>6544</v>
      </c>
      <c r="C76" t="s">
        <v>1335</v>
      </c>
      <c r="D76" t="s">
        <v>1027</v>
      </c>
      <c r="E76">
        <v>1459</v>
      </c>
      <c r="F76" t="s">
        <v>1336</v>
      </c>
      <c r="G76" t="b">
        <v>0</v>
      </c>
      <c r="H76" t="b">
        <v>0</v>
      </c>
      <c r="I76" t="s">
        <v>1051</v>
      </c>
      <c r="J76">
        <v>21</v>
      </c>
      <c r="K76" t="s">
        <v>2</v>
      </c>
      <c r="L76" t="s">
        <v>1549</v>
      </c>
      <c r="M76" t="s">
        <v>3922</v>
      </c>
      <c r="N76" t="s">
        <v>3922</v>
      </c>
      <c r="O76" t="s">
        <v>3922</v>
      </c>
      <c r="P76" t="s">
        <v>1682</v>
      </c>
    </row>
    <row r="77" spans="1:16" x14ac:dyDescent="0.25">
      <c r="A77" t="s">
        <v>6551</v>
      </c>
      <c r="B77" t="s">
        <v>6544</v>
      </c>
      <c r="C77" t="s">
        <v>1335</v>
      </c>
      <c r="D77" t="s">
        <v>1027</v>
      </c>
      <c r="E77">
        <v>1459</v>
      </c>
      <c r="F77" t="s">
        <v>1336</v>
      </c>
      <c r="G77" t="b">
        <v>0</v>
      </c>
      <c r="H77" t="b">
        <v>0</v>
      </c>
      <c r="I77" t="s">
        <v>1051</v>
      </c>
      <c r="J77">
        <v>21</v>
      </c>
      <c r="K77" t="s">
        <v>2</v>
      </c>
      <c r="L77" t="s">
        <v>1549</v>
      </c>
      <c r="M77" t="s">
        <v>3922</v>
      </c>
      <c r="N77" t="s">
        <v>3922</v>
      </c>
      <c r="O77" t="s">
        <v>3922</v>
      </c>
      <c r="P77" t="s">
        <v>1682</v>
      </c>
    </row>
    <row r="78" spans="1:16" x14ac:dyDescent="0.25">
      <c r="A78" t="s">
        <v>6552</v>
      </c>
      <c r="B78" t="s">
        <v>6544</v>
      </c>
      <c r="C78" t="s">
        <v>1335</v>
      </c>
      <c r="D78" t="s">
        <v>1027</v>
      </c>
      <c r="E78">
        <v>1459</v>
      </c>
      <c r="F78" t="s">
        <v>1336</v>
      </c>
      <c r="G78" t="b">
        <v>0</v>
      </c>
      <c r="H78" t="b">
        <v>0</v>
      </c>
      <c r="I78" t="s">
        <v>1051</v>
      </c>
      <c r="J78">
        <v>21</v>
      </c>
      <c r="K78" t="s">
        <v>2</v>
      </c>
      <c r="L78" t="s">
        <v>1549</v>
      </c>
      <c r="M78" t="s">
        <v>3922</v>
      </c>
      <c r="N78" t="s">
        <v>3922</v>
      </c>
      <c r="O78" t="s">
        <v>3922</v>
      </c>
      <c r="P78" t="s">
        <v>1682</v>
      </c>
    </row>
    <row r="79" spans="1:16" x14ac:dyDescent="0.25">
      <c r="A79" t="s">
        <v>6553</v>
      </c>
      <c r="B79" t="s">
        <v>6544</v>
      </c>
      <c r="C79" t="s">
        <v>1335</v>
      </c>
      <c r="D79" t="s">
        <v>1027</v>
      </c>
      <c r="E79">
        <v>1459</v>
      </c>
      <c r="F79" t="s">
        <v>1336</v>
      </c>
      <c r="G79" t="b">
        <v>0</v>
      </c>
      <c r="H79" t="b">
        <v>0</v>
      </c>
      <c r="I79" t="s">
        <v>1051</v>
      </c>
      <c r="J79">
        <v>21</v>
      </c>
      <c r="K79" t="s">
        <v>2</v>
      </c>
      <c r="L79" t="s">
        <v>1549</v>
      </c>
      <c r="M79" t="s">
        <v>3922</v>
      </c>
      <c r="N79" t="s">
        <v>3922</v>
      </c>
      <c r="O79" t="s">
        <v>3922</v>
      </c>
      <c r="P79" t="s">
        <v>1682</v>
      </c>
    </row>
    <row r="80" spans="1:16" x14ac:dyDescent="0.25">
      <c r="A80" t="s">
        <v>6554</v>
      </c>
      <c r="B80" t="s">
        <v>6544</v>
      </c>
      <c r="C80" t="s">
        <v>1335</v>
      </c>
      <c r="D80" t="s">
        <v>1027</v>
      </c>
      <c r="E80">
        <v>1459</v>
      </c>
      <c r="F80" t="s">
        <v>1336</v>
      </c>
      <c r="G80" t="b">
        <v>0</v>
      </c>
      <c r="H80" t="b">
        <v>0</v>
      </c>
      <c r="I80" t="s">
        <v>1051</v>
      </c>
      <c r="J80">
        <v>21</v>
      </c>
      <c r="K80" t="s">
        <v>2</v>
      </c>
      <c r="L80" t="s">
        <v>1549</v>
      </c>
      <c r="M80" t="s">
        <v>3922</v>
      </c>
      <c r="N80" t="s">
        <v>3922</v>
      </c>
      <c r="O80" t="s">
        <v>3922</v>
      </c>
      <c r="P80" t="s">
        <v>1682</v>
      </c>
    </row>
    <row r="81" spans="1:16" x14ac:dyDescent="0.25">
      <c r="A81" t="s">
        <v>6555</v>
      </c>
      <c r="B81" t="s">
        <v>6544</v>
      </c>
      <c r="C81" t="s">
        <v>1335</v>
      </c>
      <c r="D81" t="s">
        <v>1027</v>
      </c>
      <c r="E81">
        <v>1459</v>
      </c>
      <c r="F81" t="s">
        <v>1336</v>
      </c>
      <c r="G81" t="b">
        <v>0</v>
      </c>
      <c r="H81" t="b">
        <v>0</v>
      </c>
      <c r="I81" t="s">
        <v>1051</v>
      </c>
      <c r="J81">
        <v>21</v>
      </c>
      <c r="K81" t="s">
        <v>2</v>
      </c>
      <c r="L81" t="s">
        <v>1549</v>
      </c>
      <c r="M81" t="s">
        <v>3922</v>
      </c>
      <c r="N81" t="s">
        <v>3922</v>
      </c>
      <c r="O81" t="s">
        <v>3922</v>
      </c>
      <c r="P81" t="s">
        <v>1682</v>
      </c>
    </row>
    <row r="82" spans="1:16" x14ac:dyDescent="0.25">
      <c r="A82" t="s">
        <v>6556</v>
      </c>
      <c r="B82" t="s">
        <v>6544</v>
      </c>
      <c r="C82" t="s">
        <v>1335</v>
      </c>
      <c r="D82" t="s">
        <v>1027</v>
      </c>
      <c r="E82">
        <v>1459</v>
      </c>
      <c r="F82" t="s">
        <v>1336</v>
      </c>
      <c r="G82" t="b">
        <v>0</v>
      </c>
      <c r="H82" t="b">
        <v>0</v>
      </c>
      <c r="I82" t="s">
        <v>1051</v>
      </c>
      <c r="J82">
        <v>21</v>
      </c>
      <c r="K82" t="s">
        <v>2</v>
      </c>
      <c r="L82" t="s">
        <v>1549</v>
      </c>
      <c r="M82" t="s">
        <v>3922</v>
      </c>
      <c r="N82" t="s">
        <v>3922</v>
      </c>
      <c r="O82" t="s">
        <v>3922</v>
      </c>
      <c r="P82" t="s">
        <v>1682</v>
      </c>
    </row>
    <row r="83" spans="1:16" x14ac:dyDescent="0.25">
      <c r="A83" t="s">
        <v>6557</v>
      </c>
      <c r="B83" t="s">
        <v>6544</v>
      </c>
      <c r="C83" t="s">
        <v>1335</v>
      </c>
      <c r="D83" t="s">
        <v>1027</v>
      </c>
      <c r="E83">
        <v>1459</v>
      </c>
      <c r="F83" t="s">
        <v>1336</v>
      </c>
      <c r="G83" t="b">
        <v>0</v>
      </c>
      <c r="H83" t="b">
        <v>0</v>
      </c>
      <c r="I83" t="s">
        <v>1051</v>
      </c>
      <c r="J83">
        <v>21</v>
      </c>
      <c r="K83" t="s">
        <v>2</v>
      </c>
      <c r="L83" t="s">
        <v>1549</v>
      </c>
      <c r="M83" t="s">
        <v>3922</v>
      </c>
      <c r="N83" t="s">
        <v>3922</v>
      </c>
      <c r="O83" t="s">
        <v>3922</v>
      </c>
      <c r="P83" t="s">
        <v>1682</v>
      </c>
    </row>
    <row r="84" spans="1:16" x14ac:dyDescent="0.25">
      <c r="A84" t="s">
        <v>6558</v>
      </c>
      <c r="B84" t="s">
        <v>6544</v>
      </c>
      <c r="C84" t="s">
        <v>1335</v>
      </c>
      <c r="D84" t="s">
        <v>1027</v>
      </c>
      <c r="E84">
        <v>1459</v>
      </c>
      <c r="F84" t="s">
        <v>1336</v>
      </c>
      <c r="G84" t="b">
        <v>0</v>
      </c>
      <c r="H84" t="b">
        <v>0</v>
      </c>
      <c r="I84" t="s">
        <v>1051</v>
      </c>
      <c r="J84">
        <v>21</v>
      </c>
      <c r="K84" t="s">
        <v>2</v>
      </c>
      <c r="L84" t="s">
        <v>1549</v>
      </c>
      <c r="M84" t="s">
        <v>3922</v>
      </c>
      <c r="N84" t="s">
        <v>3922</v>
      </c>
      <c r="O84" t="s">
        <v>3922</v>
      </c>
      <c r="P84" t="s">
        <v>1682</v>
      </c>
    </row>
    <row r="85" spans="1:16" x14ac:dyDescent="0.25">
      <c r="A85" t="s">
        <v>6559</v>
      </c>
      <c r="B85" t="s">
        <v>6544</v>
      </c>
      <c r="C85" t="s">
        <v>1335</v>
      </c>
      <c r="D85" t="s">
        <v>1027</v>
      </c>
      <c r="E85">
        <v>1459</v>
      </c>
      <c r="F85" t="s">
        <v>1336</v>
      </c>
      <c r="G85" t="b">
        <v>0</v>
      </c>
      <c r="H85" t="b">
        <v>0</v>
      </c>
      <c r="I85" t="s">
        <v>1051</v>
      </c>
      <c r="J85">
        <v>21</v>
      </c>
      <c r="K85" t="s">
        <v>2</v>
      </c>
      <c r="L85" t="s">
        <v>1549</v>
      </c>
      <c r="M85" t="s">
        <v>3922</v>
      </c>
      <c r="N85" t="s">
        <v>3922</v>
      </c>
      <c r="O85" t="s">
        <v>3922</v>
      </c>
      <c r="P85" t="s">
        <v>1682</v>
      </c>
    </row>
    <row r="86" spans="1:16" x14ac:dyDescent="0.25">
      <c r="A86" t="s">
        <v>6560</v>
      </c>
      <c r="B86" t="s">
        <v>6544</v>
      </c>
      <c r="C86" t="s">
        <v>1335</v>
      </c>
      <c r="D86" t="s">
        <v>1027</v>
      </c>
      <c r="E86">
        <v>1459</v>
      </c>
      <c r="F86" t="s">
        <v>1336</v>
      </c>
      <c r="G86" t="b">
        <v>0</v>
      </c>
      <c r="H86" t="b">
        <v>0</v>
      </c>
      <c r="I86" t="s">
        <v>1051</v>
      </c>
      <c r="J86">
        <v>21</v>
      </c>
      <c r="K86" t="s">
        <v>2</v>
      </c>
      <c r="L86" t="s">
        <v>1549</v>
      </c>
      <c r="M86" t="s">
        <v>3922</v>
      </c>
      <c r="N86" t="s">
        <v>3922</v>
      </c>
      <c r="O86" t="s">
        <v>3922</v>
      </c>
      <c r="P86" t="s">
        <v>1682</v>
      </c>
    </row>
    <row r="87" spans="1:16" x14ac:dyDescent="0.25">
      <c r="A87" t="s">
        <v>6561</v>
      </c>
      <c r="B87" t="s">
        <v>6544</v>
      </c>
      <c r="C87" t="s">
        <v>1335</v>
      </c>
      <c r="D87" t="s">
        <v>1027</v>
      </c>
      <c r="E87">
        <v>1459</v>
      </c>
      <c r="F87" t="s">
        <v>1336</v>
      </c>
      <c r="G87" t="b">
        <v>0</v>
      </c>
      <c r="H87" t="b">
        <v>0</v>
      </c>
      <c r="I87" t="s">
        <v>1051</v>
      </c>
      <c r="J87">
        <v>21</v>
      </c>
      <c r="K87" t="s">
        <v>2</v>
      </c>
      <c r="L87" t="s">
        <v>1549</v>
      </c>
      <c r="M87" t="s">
        <v>3922</v>
      </c>
      <c r="N87" t="s">
        <v>3922</v>
      </c>
      <c r="O87" t="s">
        <v>3922</v>
      </c>
      <c r="P87" t="s">
        <v>1682</v>
      </c>
    </row>
    <row r="88" spans="1:16" x14ac:dyDescent="0.25">
      <c r="A88" t="s">
        <v>6562</v>
      </c>
      <c r="B88" t="s">
        <v>6544</v>
      </c>
      <c r="C88" t="s">
        <v>1335</v>
      </c>
      <c r="D88" t="s">
        <v>1027</v>
      </c>
      <c r="E88">
        <v>1459</v>
      </c>
      <c r="F88" t="s">
        <v>1336</v>
      </c>
      <c r="G88" t="b">
        <v>0</v>
      </c>
      <c r="H88" t="b">
        <v>0</v>
      </c>
      <c r="I88" t="s">
        <v>1051</v>
      </c>
      <c r="J88">
        <v>21</v>
      </c>
      <c r="K88" t="s">
        <v>2</v>
      </c>
      <c r="L88" t="s">
        <v>1549</v>
      </c>
      <c r="M88" t="s">
        <v>3922</v>
      </c>
      <c r="N88" t="s">
        <v>3922</v>
      </c>
      <c r="O88" t="s">
        <v>3922</v>
      </c>
      <c r="P88" t="s">
        <v>1682</v>
      </c>
    </row>
    <row r="89" spans="1:16" x14ac:dyDescent="0.25">
      <c r="A89" t="s">
        <v>6563</v>
      </c>
      <c r="B89" t="s">
        <v>6544</v>
      </c>
      <c r="C89" t="s">
        <v>1335</v>
      </c>
      <c r="D89" t="s">
        <v>1027</v>
      </c>
      <c r="E89">
        <v>1459</v>
      </c>
      <c r="F89" t="s">
        <v>1336</v>
      </c>
      <c r="G89" t="b">
        <v>0</v>
      </c>
      <c r="H89" t="b">
        <v>0</v>
      </c>
      <c r="I89" t="s">
        <v>1051</v>
      </c>
      <c r="J89">
        <v>21</v>
      </c>
      <c r="K89" t="s">
        <v>2</v>
      </c>
      <c r="L89" t="s">
        <v>1549</v>
      </c>
      <c r="M89" t="s">
        <v>3922</v>
      </c>
      <c r="N89" t="s">
        <v>3922</v>
      </c>
      <c r="O89" t="s">
        <v>3922</v>
      </c>
      <c r="P89" t="s">
        <v>1682</v>
      </c>
    </row>
    <row r="90" spans="1:16" x14ac:dyDescent="0.25">
      <c r="A90" t="s">
        <v>6564</v>
      </c>
      <c r="B90" t="s">
        <v>6544</v>
      </c>
      <c r="C90" t="s">
        <v>1335</v>
      </c>
      <c r="D90" t="s">
        <v>1027</v>
      </c>
      <c r="E90">
        <v>1459</v>
      </c>
      <c r="F90" t="s">
        <v>1336</v>
      </c>
      <c r="G90" t="b">
        <v>0</v>
      </c>
      <c r="H90" t="b">
        <v>0</v>
      </c>
      <c r="I90" t="s">
        <v>1051</v>
      </c>
      <c r="J90">
        <v>21</v>
      </c>
      <c r="K90" t="s">
        <v>2</v>
      </c>
      <c r="L90" t="s">
        <v>1549</v>
      </c>
      <c r="M90" t="s">
        <v>3922</v>
      </c>
      <c r="N90" t="s">
        <v>3922</v>
      </c>
      <c r="O90" t="s">
        <v>3922</v>
      </c>
      <c r="P90" t="s">
        <v>1682</v>
      </c>
    </row>
    <row r="91" spans="1:16" x14ac:dyDescent="0.25">
      <c r="A91" t="s">
        <v>6565</v>
      </c>
      <c r="B91" t="s">
        <v>6544</v>
      </c>
      <c r="C91" t="s">
        <v>1335</v>
      </c>
      <c r="D91" t="s">
        <v>1027</v>
      </c>
      <c r="E91">
        <v>1459</v>
      </c>
      <c r="F91" t="s">
        <v>1336</v>
      </c>
      <c r="G91" t="b">
        <v>0</v>
      </c>
      <c r="H91" t="b">
        <v>0</v>
      </c>
      <c r="I91" t="s">
        <v>1051</v>
      </c>
      <c r="J91">
        <v>24</v>
      </c>
      <c r="K91" t="s">
        <v>2</v>
      </c>
      <c r="L91" t="s">
        <v>1549</v>
      </c>
      <c r="M91" t="s">
        <v>3922</v>
      </c>
      <c r="N91" t="s">
        <v>3922</v>
      </c>
      <c r="O91" t="s">
        <v>3922</v>
      </c>
      <c r="P91" t="s">
        <v>1682</v>
      </c>
    </row>
    <row r="92" spans="1:16" x14ac:dyDescent="0.25">
      <c r="A92" t="s">
        <v>6566</v>
      </c>
      <c r="B92" t="s">
        <v>6544</v>
      </c>
      <c r="C92" t="s">
        <v>1335</v>
      </c>
      <c r="D92" t="s">
        <v>1027</v>
      </c>
      <c r="E92">
        <v>1459</v>
      </c>
      <c r="F92" t="s">
        <v>1336</v>
      </c>
      <c r="G92" t="b">
        <v>0</v>
      </c>
      <c r="H92" t="b">
        <v>0</v>
      </c>
      <c r="I92" t="s">
        <v>1051</v>
      </c>
      <c r="J92">
        <v>24</v>
      </c>
      <c r="K92" t="s">
        <v>2</v>
      </c>
      <c r="L92" t="s">
        <v>1549</v>
      </c>
      <c r="M92" t="s">
        <v>3922</v>
      </c>
      <c r="N92" t="s">
        <v>3922</v>
      </c>
      <c r="O92" t="s">
        <v>3922</v>
      </c>
      <c r="P92" t="s">
        <v>1682</v>
      </c>
    </row>
    <row r="93" spans="1:16" x14ac:dyDescent="0.25">
      <c r="A93" t="s">
        <v>6567</v>
      </c>
      <c r="B93" t="s">
        <v>6544</v>
      </c>
      <c r="C93" t="s">
        <v>1335</v>
      </c>
      <c r="D93" t="s">
        <v>1027</v>
      </c>
      <c r="E93">
        <v>1459</v>
      </c>
      <c r="F93" t="s">
        <v>1336</v>
      </c>
      <c r="G93" t="b">
        <v>0</v>
      </c>
      <c r="H93" t="b">
        <v>0</v>
      </c>
      <c r="I93" t="s">
        <v>1051</v>
      </c>
      <c r="J93">
        <v>24</v>
      </c>
      <c r="K93" t="s">
        <v>2</v>
      </c>
      <c r="L93" t="s">
        <v>1549</v>
      </c>
      <c r="M93" t="s">
        <v>3922</v>
      </c>
      <c r="N93" t="s">
        <v>3922</v>
      </c>
      <c r="O93" t="s">
        <v>3922</v>
      </c>
      <c r="P93" t="s">
        <v>1682</v>
      </c>
    </row>
    <row r="94" spans="1:16" x14ac:dyDescent="0.25">
      <c r="A94" t="s">
        <v>6568</v>
      </c>
      <c r="B94" t="s">
        <v>6544</v>
      </c>
      <c r="C94" t="s">
        <v>1335</v>
      </c>
      <c r="D94" t="s">
        <v>1027</v>
      </c>
      <c r="E94">
        <v>1459</v>
      </c>
      <c r="F94" t="s">
        <v>1336</v>
      </c>
      <c r="G94" t="b">
        <v>0</v>
      </c>
      <c r="H94" t="b">
        <v>0</v>
      </c>
      <c r="I94" t="s">
        <v>1051</v>
      </c>
      <c r="J94">
        <v>24</v>
      </c>
      <c r="K94" t="s">
        <v>2</v>
      </c>
      <c r="L94" t="s">
        <v>1549</v>
      </c>
      <c r="M94" t="s">
        <v>3922</v>
      </c>
      <c r="N94" t="s">
        <v>3922</v>
      </c>
      <c r="O94" t="s">
        <v>3922</v>
      </c>
      <c r="P94" t="s">
        <v>1682</v>
      </c>
    </row>
    <row r="95" spans="1:16" x14ac:dyDescent="0.25">
      <c r="A95" t="s">
        <v>6569</v>
      </c>
      <c r="B95" t="s">
        <v>6544</v>
      </c>
      <c r="C95" t="s">
        <v>1335</v>
      </c>
      <c r="D95" t="s">
        <v>1027</v>
      </c>
      <c r="E95">
        <v>1459</v>
      </c>
      <c r="F95" t="s">
        <v>1336</v>
      </c>
      <c r="G95" t="b">
        <v>0</v>
      </c>
      <c r="H95" t="b">
        <v>0</v>
      </c>
      <c r="I95" t="s">
        <v>1051</v>
      </c>
      <c r="J95">
        <v>24</v>
      </c>
      <c r="K95" t="s">
        <v>2</v>
      </c>
      <c r="L95" t="s">
        <v>1549</v>
      </c>
      <c r="M95" t="s">
        <v>3922</v>
      </c>
      <c r="N95" t="s">
        <v>3922</v>
      </c>
      <c r="O95" t="s">
        <v>3922</v>
      </c>
      <c r="P95" t="s">
        <v>1682</v>
      </c>
    </row>
    <row r="96" spans="1:16" x14ac:dyDescent="0.25">
      <c r="A96" t="s">
        <v>6570</v>
      </c>
      <c r="B96" t="s">
        <v>6544</v>
      </c>
      <c r="C96" t="s">
        <v>1335</v>
      </c>
      <c r="D96" t="s">
        <v>1027</v>
      </c>
      <c r="E96">
        <v>1459</v>
      </c>
      <c r="F96" t="s">
        <v>1336</v>
      </c>
      <c r="G96" t="b">
        <v>0</v>
      </c>
      <c r="H96" t="b">
        <v>0</v>
      </c>
      <c r="I96" t="s">
        <v>1051</v>
      </c>
      <c r="J96">
        <v>24</v>
      </c>
      <c r="K96" t="s">
        <v>2</v>
      </c>
      <c r="L96" t="s">
        <v>1549</v>
      </c>
      <c r="M96" t="s">
        <v>3922</v>
      </c>
      <c r="N96" t="s">
        <v>3922</v>
      </c>
      <c r="O96" t="s">
        <v>3922</v>
      </c>
      <c r="P96" t="s">
        <v>1682</v>
      </c>
    </row>
    <row r="97" spans="1:16" x14ac:dyDescent="0.25">
      <c r="A97" t="s">
        <v>6571</v>
      </c>
      <c r="B97" t="s">
        <v>6544</v>
      </c>
      <c r="C97" t="s">
        <v>1335</v>
      </c>
      <c r="D97" t="s">
        <v>1027</v>
      </c>
      <c r="E97">
        <v>1459</v>
      </c>
      <c r="F97" t="s">
        <v>1336</v>
      </c>
      <c r="G97" t="b">
        <v>0</v>
      </c>
      <c r="H97" t="b">
        <v>0</v>
      </c>
      <c r="I97" t="s">
        <v>1051</v>
      </c>
      <c r="J97">
        <v>24</v>
      </c>
      <c r="K97" t="s">
        <v>2</v>
      </c>
      <c r="L97" t="s">
        <v>1549</v>
      </c>
      <c r="M97" t="s">
        <v>3922</v>
      </c>
      <c r="N97" t="s">
        <v>3922</v>
      </c>
      <c r="O97" t="s">
        <v>3922</v>
      </c>
      <c r="P97" t="s">
        <v>1682</v>
      </c>
    </row>
    <row r="98" spans="1:16" x14ac:dyDescent="0.25">
      <c r="A98" t="s">
        <v>6572</v>
      </c>
      <c r="B98" t="s">
        <v>6544</v>
      </c>
      <c r="C98" t="s">
        <v>1335</v>
      </c>
      <c r="D98" t="s">
        <v>1075</v>
      </c>
      <c r="E98">
        <v>1459</v>
      </c>
      <c r="F98" t="s">
        <v>1336</v>
      </c>
      <c r="G98" t="b">
        <v>0</v>
      </c>
      <c r="H98" t="b">
        <v>0</v>
      </c>
      <c r="I98" t="s">
        <v>1051</v>
      </c>
      <c r="J98">
        <v>21</v>
      </c>
      <c r="K98" t="s">
        <v>2</v>
      </c>
      <c r="L98" t="s">
        <v>1549</v>
      </c>
      <c r="M98" t="s">
        <v>3922</v>
      </c>
      <c r="N98" t="s">
        <v>3922</v>
      </c>
      <c r="O98" t="s">
        <v>3922</v>
      </c>
      <c r="P98" t="s">
        <v>1682</v>
      </c>
    </row>
    <row r="99" spans="1:16" x14ac:dyDescent="0.25">
      <c r="A99" t="s">
        <v>6573</v>
      </c>
      <c r="B99" t="s">
        <v>6544</v>
      </c>
      <c r="C99" t="s">
        <v>1335</v>
      </c>
      <c r="D99" t="s">
        <v>1075</v>
      </c>
      <c r="E99">
        <v>1459</v>
      </c>
      <c r="F99" t="s">
        <v>1336</v>
      </c>
      <c r="G99" t="b">
        <v>0</v>
      </c>
      <c r="H99" t="b">
        <v>0</v>
      </c>
      <c r="I99" t="s">
        <v>1051</v>
      </c>
      <c r="J99">
        <v>21</v>
      </c>
      <c r="K99" t="s">
        <v>2</v>
      </c>
      <c r="L99" t="s">
        <v>1549</v>
      </c>
      <c r="M99" t="s">
        <v>3922</v>
      </c>
      <c r="N99" t="s">
        <v>3922</v>
      </c>
      <c r="O99" t="s">
        <v>3922</v>
      </c>
      <c r="P99" t="s">
        <v>1682</v>
      </c>
    </row>
    <row r="100" spans="1:16" x14ac:dyDescent="0.25">
      <c r="A100" t="s">
        <v>6574</v>
      </c>
      <c r="B100" t="s">
        <v>6544</v>
      </c>
      <c r="C100" t="s">
        <v>1335</v>
      </c>
      <c r="D100" t="s">
        <v>1075</v>
      </c>
      <c r="E100">
        <v>1459</v>
      </c>
      <c r="F100" t="s">
        <v>1336</v>
      </c>
      <c r="G100" t="b">
        <v>0</v>
      </c>
      <c r="H100" t="b">
        <v>0</v>
      </c>
      <c r="I100" t="s">
        <v>1051</v>
      </c>
      <c r="J100">
        <v>24</v>
      </c>
      <c r="K100" t="s">
        <v>2</v>
      </c>
      <c r="L100" t="s">
        <v>1549</v>
      </c>
      <c r="M100" t="s">
        <v>3922</v>
      </c>
      <c r="N100" t="s">
        <v>3922</v>
      </c>
      <c r="O100" t="s">
        <v>3922</v>
      </c>
      <c r="P100" t="s">
        <v>1682</v>
      </c>
    </row>
    <row r="101" spans="1:16" x14ac:dyDescent="0.25">
      <c r="A101" t="s">
        <v>6575</v>
      </c>
      <c r="B101" t="s">
        <v>6544</v>
      </c>
      <c r="C101" t="s">
        <v>1335</v>
      </c>
      <c r="D101" t="s">
        <v>1075</v>
      </c>
      <c r="E101">
        <v>1459</v>
      </c>
      <c r="F101" t="s">
        <v>1336</v>
      </c>
      <c r="G101" t="b">
        <v>0</v>
      </c>
      <c r="H101" t="b">
        <v>0</v>
      </c>
      <c r="I101" t="s">
        <v>1051</v>
      </c>
      <c r="J101">
        <v>24</v>
      </c>
      <c r="K101" t="s">
        <v>2</v>
      </c>
      <c r="L101" t="s">
        <v>1549</v>
      </c>
      <c r="M101" t="s">
        <v>3922</v>
      </c>
      <c r="N101" t="s">
        <v>3922</v>
      </c>
      <c r="O101" t="s">
        <v>3922</v>
      </c>
      <c r="P101" t="s">
        <v>1682</v>
      </c>
    </row>
    <row r="102" spans="1:16" ht="409.5" x14ac:dyDescent="0.25">
      <c r="A102" t="s">
        <v>6576</v>
      </c>
      <c r="B102" t="s">
        <v>6577</v>
      </c>
      <c r="C102" t="s">
        <v>6446</v>
      </c>
      <c r="D102" t="s">
        <v>1027</v>
      </c>
      <c r="E102">
        <v>1402</v>
      </c>
      <c r="F102" t="s">
        <v>6447</v>
      </c>
      <c r="G102" t="b">
        <v>0</v>
      </c>
      <c r="H102" t="b">
        <v>0</v>
      </c>
      <c r="I102" t="s">
        <v>1051</v>
      </c>
      <c r="J102">
        <v>78</v>
      </c>
      <c r="K102" t="s">
        <v>0</v>
      </c>
      <c r="L102" t="s">
        <v>3000</v>
      </c>
      <c r="M102" t="s">
        <v>1548</v>
      </c>
      <c r="N102" t="s">
        <v>1548</v>
      </c>
      <c r="O102" t="s">
        <v>1548</v>
      </c>
      <c r="P102" s="36" t="s">
        <v>6448</v>
      </c>
    </row>
    <row r="103" spans="1:16" ht="409.5" x14ac:dyDescent="0.25">
      <c r="A103" t="s">
        <v>6578</v>
      </c>
      <c r="B103" t="s">
        <v>6577</v>
      </c>
      <c r="C103" t="s">
        <v>6446</v>
      </c>
      <c r="D103" t="s">
        <v>1027</v>
      </c>
      <c r="E103">
        <v>1402</v>
      </c>
      <c r="F103" t="s">
        <v>6447</v>
      </c>
      <c r="G103" t="b">
        <v>0</v>
      </c>
      <c r="H103" t="b">
        <v>0</v>
      </c>
      <c r="I103" t="s">
        <v>1051</v>
      </c>
      <c r="J103">
        <v>78</v>
      </c>
      <c r="K103" t="s">
        <v>0</v>
      </c>
      <c r="L103" t="s">
        <v>3000</v>
      </c>
      <c r="M103" t="s">
        <v>1548</v>
      </c>
      <c r="N103" t="s">
        <v>1548</v>
      </c>
      <c r="O103" t="s">
        <v>1548</v>
      </c>
      <c r="P103" s="36" t="s">
        <v>6448</v>
      </c>
    </row>
    <row r="104" spans="1:16" ht="409.5" x14ac:dyDescent="0.25">
      <c r="A104" t="s">
        <v>6579</v>
      </c>
      <c r="B104" t="s">
        <v>6577</v>
      </c>
      <c r="C104" t="s">
        <v>6446</v>
      </c>
      <c r="D104" t="s">
        <v>1027</v>
      </c>
      <c r="E104">
        <v>1402</v>
      </c>
      <c r="F104" t="s">
        <v>6447</v>
      </c>
      <c r="G104" t="b">
        <v>0</v>
      </c>
      <c r="H104" t="b">
        <v>0</v>
      </c>
      <c r="I104" t="s">
        <v>1051</v>
      </c>
      <c r="J104">
        <v>78</v>
      </c>
      <c r="K104" t="s">
        <v>0</v>
      </c>
      <c r="L104" t="s">
        <v>3000</v>
      </c>
      <c r="M104" t="s">
        <v>1548</v>
      </c>
      <c r="N104" t="s">
        <v>1548</v>
      </c>
      <c r="O104" t="s">
        <v>1548</v>
      </c>
      <c r="P104" s="36" t="s">
        <v>6448</v>
      </c>
    </row>
    <row r="105" spans="1:16" ht="409.5" x14ac:dyDescent="0.25">
      <c r="A105" t="s">
        <v>6580</v>
      </c>
      <c r="B105" t="s">
        <v>6577</v>
      </c>
      <c r="C105" t="s">
        <v>6446</v>
      </c>
      <c r="D105" t="s">
        <v>1027</v>
      </c>
      <c r="E105">
        <v>1402</v>
      </c>
      <c r="F105" t="s">
        <v>6447</v>
      </c>
      <c r="G105" t="b">
        <v>0</v>
      </c>
      <c r="H105" t="b">
        <v>0</v>
      </c>
      <c r="I105" t="s">
        <v>1051</v>
      </c>
      <c r="J105">
        <v>78</v>
      </c>
      <c r="K105" t="s">
        <v>0</v>
      </c>
      <c r="L105" t="s">
        <v>3000</v>
      </c>
      <c r="M105" t="s">
        <v>1548</v>
      </c>
      <c r="N105" t="s">
        <v>1548</v>
      </c>
      <c r="O105" t="s">
        <v>1548</v>
      </c>
      <c r="P105" s="36" t="s">
        <v>6448</v>
      </c>
    </row>
    <row r="106" spans="1:16" x14ac:dyDescent="0.25">
      <c r="A106" t="s">
        <v>6581</v>
      </c>
      <c r="B106" t="s">
        <v>6582</v>
      </c>
      <c r="C106" t="s">
        <v>1335</v>
      </c>
      <c r="D106" t="s">
        <v>1027</v>
      </c>
      <c r="E106">
        <v>1459</v>
      </c>
      <c r="F106" t="s">
        <v>1336</v>
      </c>
      <c r="G106" t="b">
        <v>0</v>
      </c>
      <c r="H106" t="b">
        <v>0</v>
      </c>
      <c r="I106" t="s">
        <v>1051</v>
      </c>
      <c r="J106">
        <v>78</v>
      </c>
      <c r="K106" t="s">
        <v>2</v>
      </c>
      <c r="L106" t="s">
        <v>1549</v>
      </c>
      <c r="M106" t="s">
        <v>3922</v>
      </c>
      <c r="N106" t="s">
        <v>3922</v>
      </c>
      <c r="O106" t="s">
        <v>3922</v>
      </c>
      <c r="P106" t="s">
        <v>1682</v>
      </c>
    </row>
    <row r="107" spans="1:16" x14ac:dyDescent="0.25">
      <c r="A107" t="s">
        <v>6583</v>
      </c>
      <c r="B107" t="s">
        <v>6582</v>
      </c>
      <c r="C107" t="s">
        <v>1335</v>
      </c>
      <c r="D107" t="s">
        <v>1027</v>
      </c>
      <c r="E107">
        <v>1459</v>
      </c>
      <c r="F107" t="s">
        <v>1336</v>
      </c>
      <c r="G107" t="b">
        <v>0</v>
      </c>
      <c r="H107" t="b">
        <v>0</v>
      </c>
      <c r="I107" t="s">
        <v>1051</v>
      </c>
      <c r="J107">
        <v>78</v>
      </c>
      <c r="K107" t="s">
        <v>2</v>
      </c>
      <c r="L107" t="s">
        <v>1549</v>
      </c>
      <c r="M107" t="s">
        <v>3922</v>
      </c>
      <c r="N107" t="s">
        <v>3922</v>
      </c>
      <c r="O107" t="s">
        <v>3922</v>
      </c>
      <c r="P107" t="s">
        <v>1682</v>
      </c>
    </row>
    <row r="108" spans="1:16" x14ac:dyDescent="0.25">
      <c r="A108" t="s">
        <v>6584</v>
      </c>
      <c r="B108" t="s">
        <v>6582</v>
      </c>
      <c r="C108" t="s">
        <v>1335</v>
      </c>
      <c r="D108" t="s">
        <v>1027</v>
      </c>
      <c r="E108">
        <v>1459</v>
      </c>
      <c r="F108" t="s">
        <v>1336</v>
      </c>
      <c r="G108" t="b">
        <v>0</v>
      </c>
      <c r="H108" t="b">
        <v>0</v>
      </c>
      <c r="I108" t="s">
        <v>1051</v>
      </c>
      <c r="J108">
        <v>78</v>
      </c>
      <c r="K108" t="s">
        <v>2</v>
      </c>
      <c r="L108" t="s">
        <v>1549</v>
      </c>
      <c r="M108" t="s">
        <v>3922</v>
      </c>
      <c r="N108" t="s">
        <v>3922</v>
      </c>
      <c r="O108" t="s">
        <v>3922</v>
      </c>
      <c r="P108" t="s">
        <v>1682</v>
      </c>
    </row>
    <row r="109" spans="1:16" ht="409.5" x14ac:dyDescent="0.25">
      <c r="A109" t="s">
        <v>6585</v>
      </c>
      <c r="B109" t="s">
        <v>6586</v>
      </c>
      <c r="C109" t="s">
        <v>6446</v>
      </c>
      <c r="D109" t="s">
        <v>1027</v>
      </c>
      <c r="E109">
        <v>1402</v>
      </c>
      <c r="F109" t="s">
        <v>6447</v>
      </c>
      <c r="G109" t="b">
        <v>0</v>
      </c>
      <c r="H109" t="b">
        <v>0</v>
      </c>
      <c r="I109" t="s">
        <v>1051</v>
      </c>
      <c r="J109">
        <v>78</v>
      </c>
      <c r="K109" t="s">
        <v>0</v>
      </c>
      <c r="L109" t="s">
        <v>3000</v>
      </c>
      <c r="M109" t="s">
        <v>1548</v>
      </c>
      <c r="N109" t="s">
        <v>1548</v>
      </c>
      <c r="O109" t="s">
        <v>1548</v>
      </c>
      <c r="P109" s="36" t="s">
        <v>6448</v>
      </c>
    </row>
    <row r="110" spans="1:16" ht="409.5" x14ac:dyDescent="0.25">
      <c r="A110" t="s">
        <v>6587</v>
      </c>
      <c r="B110" t="s">
        <v>6586</v>
      </c>
      <c r="C110" t="s">
        <v>6446</v>
      </c>
      <c r="D110" t="s">
        <v>1027</v>
      </c>
      <c r="E110">
        <v>1402</v>
      </c>
      <c r="F110" t="s">
        <v>6447</v>
      </c>
      <c r="G110" t="b">
        <v>0</v>
      </c>
      <c r="H110" t="b">
        <v>0</v>
      </c>
      <c r="I110" t="s">
        <v>1051</v>
      </c>
      <c r="J110">
        <v>78</v>
      </c>
      <c r="K110" t="s">
        <v>0</v>
      </c>
      <c r="L110" t="s">
        <v>3000</v>
      </c>
      <c r="M110" t="s">
        <v>1548</v>
      </c>
      <c r="N110" t="s">
        <v>1548</v>
      </c>
      <c r="O110" t="s">
        <v>1548</v>
      </c>
      <c r="P110" s="36" t="s">
        <v>6448</v>
      </c>
    </row>
    <row r="111" spans="1:16" ht="409.5" x14ac:dyDescent="0.25">
      <c r="A111" t="s">
        <v>6588</v>
      </c>
      <c r="B111" t="s">
        <v>6586</v>
      </c>
      <c r="C111" t="s">
        <v>6446</v>
      </c>
      <c r="D111" t="s">
        <v>1027</v>
      </c>
      <c r="E111">
        <v>1402</v>
      </c>
      <c r="F111" t="s">
        <v>6447</v>
      </c>
      <c r="G111" t="b">
        <v>0</v>
      </c>
      <c r="H111" t="b">
        <v>0</v>
      </c>
      <c r="I111" t="s">
        <v>1051</v>
      </c>
      <c r="J111">
        <v>78</v>
      </c>
      <c r="K111" t="s">
        <v>0</v>
      </c>
      <c r="L111" t="s">
        <v>3000</v>
      </c>
      <c r="M111" t="s">
        <v>1548</v>
      </c>
      <c r="N111" t="s">
        <v>1548</v>
      </c>
      <c r="O111" t="s">
        <v>1548</v>
      </c>
      <c r="P111" s="36" t="s">
        <v>6448</v>
      </c>
    </row>
    <row r="112" spans="1:16" ht="409.5" x14ac:dyDescent="0.25">
      <c r="A112" t="s">
        <v>6589</v>
      </c>
      <c r="B112" t="s">
        <v>6586</v>
      </c>
      <c r="C112" t="s">
        <v>6446</v>
      </c>
      <c r="D112" t="s">
        <v>1027</v>
      </c>
      <c r="E112">
        <v>1402</v>
      </c>
      <c r="F112" t="s">
        <v>6447</v>
      </c>
      <c r="G112" t="b">
        <v>0</v>
      </c>
      <c r="H112" t="b">
        <v>0</v>
      </c>
      <c r="I112" t="s">
        <v>1051</v>
      </c>
      <c r="J112">
        <v>78</v>
      </c>
      <c r="K112" t="s">
        <v>0</v>
      </c>
      <c r="L112" t="s">
        <v>3000</v>
      </c>
      <c r="M112" t="s">
        <v>1548</v>
      </c>
      <c r="N112" t="s">
        <v>1548</v>
      </c>
      <c r="O112" t="s">
        <v>1548</v>
      </c>
      <c r="P112" s="36" t="s">
        <v>6448</v>
      </c>
    </row>
    <row r="113" spans="1:16" ht="409.5" x14ac:dyDescent="0.25">
      <c r="A113" t="s">
        <v>6590</v>
      </c>
      <c r="B113" t="s">
        <v>6586</v>
      </c>
      <c r="C113" t="s">
        <v>6446</v>
      </c>
      <c r="D113" t="s">
        <v>1027</v>
      </c>
      <c r="E113">
        <v>1402</v>
      </c>
      <c r="F113" t="s">
        <v>6447</v>
      </c>
      <c r="G113" t="b">
        <v>0</v>
      </c>
      <c r="H113" t="b">
        <v>0</v>
      </c>
      <c r="I113" t="s">
        <v>1051</v>
      </c>
      <c r="J113">
        <v>78</v>
      </c>
      <c r="K113" t="s">
        <v>0</v>
      </c>
      <c r="L113" t="s">
        <v>3000</v>
      </c>
      <c r="M113" t="s">
        <v>1548</v>
      </c>
      <c r="N113" t="s">
        <v>1548</v>
      </c>
      <c r="O113" t="s">
        <v>1548</v>
      </c>
      <c r="P113" s="36" t="s">
        <v>6448</v>
      </c>
    </row>
    <row r="114" spans="1:16" ht="409.5" x14ac:dyDescent="0.25">
      <c r="A114" t="s">
        <v>6591</v>
      </c>
      <c r="B114" t="s">
        <v>6586</v>
      </c>
      <c r="C114" t="s">
        <v>6446</v>
      </c>
      <c r="D114" t="s">
        <v>1027</v>
      </c>
      <c r="E114">
        <v>1402</v>
      </c>
      <c r="F114" t="s">
        <v>6447</v>
      </c>
      <c r="G114" t="b">
        <v>0</v>
      </c>
      <c r="H114" t="b">
        <v>0</v>
      </c>
      <c r="I114" t="s">
        <v>1051</v>
      </c>
      <c r="J114">
        <v>78</v>
      </c>
      <c r="K114" t="s">
        <v>0</v>
      </c>
      <c r="L114" t="s">
        <v>3000</v>
      </c>
      <c r="M114" t="s">
        <v>1548</v>
      </c>
      <c r="N114" t="s">
        <v>1548</v>
      </c>
      <c r="O114" t="s">
        <v>1548</v>
      </c>
      <c r="P114" s="36" t="s">
        <v>6448</v>
      </c>
    </row>
    <row r="115" spans="1:16" ht="409.5" x14ac:dyDescent="0.25">
      <c r="A115" t="s">
        <v>6592</v>
      </c>
      <c r="B115" t="s">
        <v>6586</v>
      </c>
      <c r="C115" t="s">
        <v>6446</v>
      </c>
      <c r="D115" t="s">
        <v>1027</v>
      </c>
      <c r="E115">
        <v>1402</v>
      </c>
      <c r="F115" t="s">
        <v>6447</v>
      </c>
      <c r="G115" t="b">
        <v>0</v>
      </c>
      <c r="H115" t="b">
        <v>0</v>
      </c>
      <c r="I115" t="s">
        <v>1051</v>
      </c>
      <c r="J115">
        <v>78</v>
      </c>
      <c r="K115" t="s">
        <v>0</v>
      </c>
      <c r="L115" t="s">
        <v>3000</v>
      </c>
      <c r="M115" t="s">
        <v>1548</v>
      </c>
      <c r="N115" t="s">
        <v>1548</v>
      </c>
      <c r="O115" t="s">
        <v>1548</v>
      </c>
      <c r="P115" s="36" t="s">
        <v>6448</v>
      </c>
    </row>
    <row r="116" spans="1:16" ht="409.5" x14ac:dyDescent="0.25">
      <c r="A116" t="s">
        <v>6593</v>
      </c>
      <c r="B116" t="s">
        <v>6586</v>
      </c>
      <c r="C116" t="s">
        <v>6446</v>
      </c>
      <c r="D116" t="s">
        <v>1027</v>
      </c>
      <c r="E116">
        <v>1402</v>
      </c>
      <c r="F116" t="s">
        <v>6447</v>
      </c>
      <c r="G116" t="b">
        <v>0</v>
      </c>
      <c r="H116" t="b">
        <v>0</v>
      </c>
      <c r="I116" t="s">
        <v>1051</v>
      </c>
      <c r="J116">
        <v>78</v>
      </c>
      <c r="K116" t="s">
        <v>0</v>
      </c>
      <c r="L116" t="s">
        <v>3000</v>
      </c>
      <c r="M116" t="s">
        <v>1548</v>
      </c>
      <c r="N116" t="s">
        <v>1548</v>
      </c>
      <c r="O116" t="s">
        <v>1548</v>
      </c>
      <c r="P116" s="36" t="s">
        <v>6448</v>
      </c>
    </row>
    <row r="117" spans="1:16" ht="409.5" x14ac:dyDescent="0.25">
      <c r="A117" t="s">
        <v>6594</v>
      </c>
      <c r="B117" t="s">
        <v>6586</v>
      </c>
      <c r="C117" t="s">
        <v>6446</v>
      </c>
      <c r="D117" t="s">
        <v>1027</v>
      </c>
      <c r="E117">
        <v>1402</v>
      </c>
      <c r="F117" t="s">
        <v>6447</v>
      </c>
      <c r="G117" t="b">
        <v>0</v>
      </c>
      <c r="H117" t="b">
        <v>0</v>
      </c>
      <c r="I117" t="s">
        <v>1051</v>
      </c>
      <c r="J117">
        <v>78</v>
      </c>
      <c r="K117" t="s">
        <v>0</v>
      </c>
      <c r="L117" t="s">
        <v>3000</v>
      </c>
      <c r="M117" t="s">
        <v>1548</v>
      </c>
      <c r="N117" t="s">
        <v>1548</v>
      </c>
      <c r="O117" t="s">
        <v>1548</v>
      </c>
      <c r="P117" s="36" t="s">
        <v>6448</v>
      </c>
    </row>
    <row r="118" spans="1:16" ht="409.5" x14ac:dyDescent="0.25">
      <c r="A118" t="s">
        <v>6595</v>
      </c>
      <c r="B118" t="s">
        <v>6586</v>
      </c>
      <c r="C118" t="s">
        <v>6446</v>
      </c>
      <c r="D118" t="s">
        <v>1027</v>
      </c>
      <c r="E118">
        <v>1402</v>
      </c>
      <c r="F118" t="s">
        <v>6447</v>
      </c>
      <c r="G118" t="b">
        <v>0</v>
      </c>
      <c r="H118" t="b">
        <v>0</v>
      </c>
      <c r="I118" t="s">
        <v>1051</v>
      </c>
      <c r="J118">
        <v>78</v>
      </c>
      <c r="K118" t="s">
        <v>0</v>
      </c>
      <c r="L118" t="s">
        <v>3000</v>
      </c>
      <c r="M118" t="s">
        <v>1548</v>
      </c>
      <c r="N118" t="s">
        <v>1548</v>
      </c>
      <c r="O118" t="s">
        <v>1548</v>
      </c>
      <c r="P118" s="36" t="s">
        <v>6448</v>
      </c>
    </row>
    <row r="119" spans="1:16" ht="409.5" x14ac:dyDescent="0.25">
      <c r="A119" t="s">
        <v>6596</v>
      </c>
      <c r="B119" t="s">
        <v>6597</v>
      </c>
      <c r="C119" t="s">
        <v>6446</v>
      </c>
      <c r="D119" t="s">
        <v>1027</v>
      </c>
      <c r="E119">
        <v>1402</v>
      </c>
      <c r="F119" t="s">
        <v>6447</v>
      </c>
      <c r="G119" t="b">
        <v>0</v>
      </c>
      <c r="H119" t="b">
        <v>0</v>
      </c>
      <c r="I119" t="s">
        <v>1051</v>
      </c>
      <c r="J119">
        <v>78</v>
      </c>
      <c r="K119" t="s">
        <v>0</v>
      </c>
      <c r="L119" t="s">
        <v>3000</v>
      </c>
      <c r="M119" t="s">
        <v>1548</v>
      </c>
      <c r="N119" t="s">
        <v>1548</v>
      </c>
      <c r="O119" t="s">
        <v>1548</v>
      </c>
      <c r="P119" s="36" t="s">
        <v>6448</v>
      </c>
    </row>
    <row r="120" spans="1:16" ht="409.5" x14ac:dyDescent="0.25">
      <c r="A120" t="s">
        <v>6598</v>
      </c>
      <c r="B120" t="s">
        <v>6597</v>
      </c>
      <c r="C120" t="s">
        <v>6446</v>
      </c>
      <c r="D120" t="s">
        <v>1027</v>
      </c>
      <c r="E120">
        <v>1402</v>
      </c>
      <c r="F120" t="s">
        <v>6447</v>
      </c>
      <c r="G120" t="b">
        <v>0</v>
      </c>
      <c r="H120" t="b">
        <v>0</v>
      </c>
      <c r="I120" t="s">
        <v>1051</v>
      </c>
      <c r="J120">
        <v>78</v>
      </c>
      <c r="K120" t="s">
        <v>0</v>
      </c>
      <c r="L120" t="s">
        <v>3000</v>
      </c>
      <c r="M120" t="s">
        <v>1548</v>
      </c>
      <c r="N120" t="s">
        <v>1548</v>
      </c>
      <c r="O120" t="s">
        <v>1548</v>
      </c>
      <c r="P120" s="36" t="s">
        <v>6448</v>
      </c>
    </row>
    <row r="121" spans="1:16" ht="409.5" x14ac:dyDescent="0.25">
      <c r="A121" t="s">
        <v>6599</v>
      </c>
      <c r="B121" t="s">
        <v>6600</v>
      </c>
      <c r="C121" t="s">
        <v>6446</v>
      </c>
      <c r="D121" t="s">
        <v>1027</v>
      </c>
      <c r="E121">
        <v>1402</v>
      </c>
      <c r="F121" t="s">
        <v>6447</v>
      </c>
      <c r="G121" t="b">
        <v>0</v>
      </c>
      <c r="H121" t="b">
        <v>0</v>
      </c>
      <c r="I121" t="s">
        <v>1051</v>
      </c>
      <c r="J121">
        <v>78</v>
      </c>
      <c r="K121" t="s">
        <v>0</v>
      </c>
      <c r="L121" t="s">
        <v>3000</v>
      </c>
      <c r="M121" t="s">
        <v>1548</v>
      </c>
      <c r="N121" t="s">
        <v>1548</v>
      </c>
      <c r="O121" t="s">
        <v>1548</v>
      </c>
      <c r="P121" s="36" t="s">
        <v>6448</v>
      </c>
    </row>
    <row r="122" spans="1:16" ht="409.5" x14ac:dyDescent="0.25">
      <c r="A122" t="s">
        <v>6601</v>
      </c>
      <c r="B122" t="s">
        <v>6600</v>
      </c>
      <c r="C122" t="s">
        <v>6446</v>
      </c>
      <c r="D122" t="s">
        <v>1027</v>
      </c>
      <c r="E122">
        <v>1402</v>
      </c>
      <c r="F122" t="s">
        <v>6447</v>
      </c>
      <c r="G122" t="b">
        <v>0</v>
      </c>
      <c r="H122" t="b">
        <v>0</v>
      </c>
      <c r="I122" t="s">
        <v>1051</v>
      </c>
      <c r="J122">
        <v>78</v>
      </c>
      <c r="K122" t="s">
        <v>0</v>
      </c>
      <c r="L122" t="s">
        <v>3000</v>
      </c>
      <c r="M122" t="s">
        <v>1548</v>
      </c>
      <c r="N122" t="s">
        <v>1548</v>
      </c>
      <c r="O122" t="s">
        <v>1548</v>
      </c>
      <c r="P122" s="36" t="s">
        <v>6448</v>
      </c>
    </row>
    <row r="123" spans="1:16" ht="409.5" x14ac:dyDescent="0.25">
      <c r="A123" t="s">
        <v>6602</v>
      </c>
      <c r="B123" t="s">
        <v>6600</v>
      </c>
      <c r="C123" t="s">
        <v>6446</v>
      </c>
      <c r="D123" t="s">
        <v>1027</v>
      </c>
      <c r="E123">
        <v>1402</v>
      </c>
      <c r="F123" t="s">
        <v>6447</v>
      </c>
      <c r="G123" t="b">
        <v>0</v>
      </c>
      <c r="H123" t="b">
        <v>0</v>
      </c>
      <c r="I123" t="s">
        <v>1051</v>
      </c>
      <c r="J123">
        <v>78</v>
      </c>
      <c r="K123" t="s">
        <v>0</v>
      </c>
      <c r="L123" t="s">
        <v>3000</v>
      </c>
      <c r="M123" t="s">
        <v>1548</v>
      </c>
      <c r="N123" t="s">
        <v>1548</v>
      </c>
      <c r="O123" t="s">
        <v>1548</v>
      </c>
      <c r="P123" s="36" t="s">
        <v>6448</v>
      </c>
    </row>
    <row r="124" spans="1:16" ht="409.5" x14ac:dyDescent="0.25">
      <c r="A124" t="s">
        <v>6603</v>
      </c>
      <c r="B124" t="s">
        <v>6600</v>
      </c>
      <c r="C124" t="s">
        <v>6446</v>
      </c>
      <c r="D124" t="s">
        <v>1027</v>
      </c>
      <c r="E124">
        <v>1402</v>
      </c>
      <c r="F124" t="s">
        <v>6447</v>
      </c>
      <c r="G124" t="b">
        <v>0</v>
      </c>
      <c r="H124" t="b">
        <v>0</v>
      </c>
      <c r="I124" t="s">
        <v>1051</v>
      </c>
      <c r="J124">
        <v>78</v>
      </c>
      <c r="K124" t="s">
        <v>0</v>
      </c>
      <c r="L124" t="s">
        <v>3000</v>
      </c>
      <c r="M124" t="s">
        <v>1548</v>
      </c>
      <c r="N124" t="s">
        <v>1548</v>
      </c>
      <c r="O124" t="s">
        <v>1548</v>
      </c>
      <c r="P124" s="36" t="s">
        <v>6448</v>
      </c>
    </row>
    <row r="125" spans="1:16" ht="409.5" x14ac:dyDescent="0.25">
      <c r="A125" t="s">
        <v>6604</v>
      </c>
      <c r="B125" t="s">
        <v>6605</v>
      </c>
      <c r="C125" t="s">
        <v>6446</v>
      </c>
      <c r="D125" t="s">
        <v>1027</v>
      </c>
      <c r="E125">
        <v>1402</v>
      </c>
      <c r="F125" t="s">
        <v>6606</v>
      </c>
      <c r="G125" t="b">
        <v>0</v>
      </c>
      <c r="H125" t="b">
        <v>0</v>
      </c>
      <c r="I125" t="s">
        <v>1051</v>
      </c>
      <c r="J125">
        <v>78</v>
      </c>
      <c r="K125" t="s">
        <v>0</v>
      </c>
      <c r="L125" t="s">
        <v>3000</v>
      </c>
      <c r="M125" t="s">
        <v>1548</v>
      </c>
      <c r="N125" t="s">
        <v>1548</v>
      </c>
      <c r="O125" t="s">
        <v>1548</v>
      </c>
      <c r="P125" s="36" t="s">
        <v>6448</v>
      </c>
    </row>
    <row r="126" spans="1:16" ht="409.5" x14ac:dyDescent="0.25">
      <c r="A126" t="s">
        <v>6607</v>
      </c>
      <c r="B126" t="s">
        <v>6605</v>
      </c>
      <c r="C126" t="s">
        <v>6446</v>
      </c>
      <c r="D126" t="s">
        <v>1027</v>
      </c>
      <c r="E126">
        <v>1402</v>
      </c>
      <c r="F126" t="s">
        <v>6606</v>
      </c>
      <c r="G126" t="b">
        <v>0</v>
      </c>
      <c r="H126" t="b">
        <v>0</v>
      </c>
      <c r="I126" t="s">
        <v>1051</v>
      </c>
      <c r="J126">
        <v>78</v>
      </c>
      <c r="K126" t="s">
        <v>0</v>
      </c>
      <c r="L126" t="s">
        <v>3000</v>
      </c>
      <c r="M126" t="s">
        <v>1548</v>
      </c>
      <c r="N126" t="s">
        <v>1548</v>
      </c>
      <c r="O126" t="s">
        <v>1548</v>
      </c>
      <c r="P126" s="36" t="s">
        <v>6448</v>
      </c>
    </row>
    <row r="127" spans="1:16" ht="409.5" x14ac:dyDescent="0.25">
      <c r="A127" t="s">
        <v>6608</v>
      </c>
      <c r="B127" t="s">
        <v>6605</v>
      </c>
      <c r="C127" t="s">
        <v>6446</v>
      </c>
      <c r="D127" t="s">
        <v>1027</v>
      </c>
      <c r="E127">
        <v>1402</v>
      </c>
      <c r="F127" t="s">
        <v>6606</v>
      </c>
      <c r="G127" t="b">
        <v>0</v>
      </c>
      <c r="H127" t="b">
        <v>0</v>
      </c>
      <c r="I127" t="s">
        <v>1051</v>
      </c>
      <c r="J127">
        <v>78</v>
      </c>
      <c r="K127" t="s">
        <v>0</v>
      </c>
      <c r="L127" t="s">
        <v>3000</v>
      </c>
      <c r="M127" t="s">
        <v>1548</v>
      </c>
      <c r="N127" t="s">
        <v>1548</v>
      </c>
      <c r="O127" t="s">
        <v>1548</v>
      </c>
      <c r="P127" s="36" t="s">
        <v>6448</v>
      </c>
    </row>
    <row r="128" spans="1:16" ht="409.5" x14ac:dyDescent="0.25">
      <c r="A128" t="s">
        <v>6609</v>
      </c>
      <c r="B128" t="s">
        <v>6605</v>
      </c>
      <c r="C128" t="s">
        <v>6446</v>
      </c>
      <c r="D128" t="s">
        <v>1027</v>
      </c>
      <c r="E128">
        <v>1402</v>
      </c>
      <c r="F128" t="s">
        <v>6606</v>
      </c>
      <c r="G128" t="b">
        <v>0</v>
      </c>
      <c r="H128" t="b">
        <v>0</v>
      </c>
      <c r="I128" t="s">
        <v>1051</v>
      </c>
      <c r="J128">
        <v>78</v>
      </c>
      <c r="K128" t="s">
        <v>0</v>
      </c>
      <c r="L128" t="s">
        <v>3000</v>
      </c>
      <c r="M128" t="s">
        <v>1548</v>
      </c>
      <c r="N128" t="s">
        <v>1548</v>
      </c>
      <c r="O128" t="s">
        <v>1548</v>
      </c>
      <c r="P128" s="36" t="s">
        <v>6448</v>
      </c>
    </row>
    <row r="129" spans="1:16" ht="409.5" x14ac:dyDescent="0.25">
      <c r="A129" t="s">
        <v>6610</v>
      </c>
      <c r="B129" t="s">
        <v>6605</v>
      </c>
      <c r="C129" t="s">
        <v>6446</v>
      </c>
      <c r="D129" t="s">
        <v>1027</v>
      </c>
      <c r="E129">
        <v>1402</v>
      </c>
      <c r="F129" t="s">
        <v>6606</v>
      </c>
      <c r="G129" t="b">
        <v>0</v>
      </c>
      <c r="H129" t="b">
        <v>0</v>
      </c>
      <c r="I129" t="s">
        <v>1051</v>
      </c>
      <c r="J129">
        <v>78</v>
      </c>
      <c r="K129" t="s">
        <v>0</v>
      </c>
      <c r="L129" t="s">
        <v>3000</v>
      </c>
      <c r="M129" t="s">
        <v>1548</v>
      </c>
      <c r="N129" t="s">
        <v>1548</v>
      </c>
      <c r="O129" t="s">
        <v>1548</v>
      </c>
      <c r="P129" s="36" t="s">
        <v>6448</v>
      </c>
    </row>
    <row r="130" spans="1:16" ht="409.5" x14ac:dyDescent="0.25">
      <c r="A130" t="s">
        <v>6611</v>
      </c>
      <c r="B130" t="s">
        <v>6605</v>
      </c>
      <c r="C130" t="s">
        <v>6446</v>
      </c>
      <c r="D130" t="s">
        <v>1027</v>
      </c>
      <c r="E130">
        <v>1402</v>
      </c>
      <c r="F130" t="s">
        <v>6606</v>
      </c>
      <c r="G130" t="b">
        <v>0</v>
      </c>
      <c r="H130" t="b">
        <v>0</v>
      </c>
      <c r="I130" t="s">
        <v>1051</v>
      </c>
      <c r="J130">
        <v>78</v>
      </c>
      <c r="K130" t="s">
        <v>0</v>
      </c>
      <c r="L130" t="s">
        <v>3000</v>
      </c>
      <c r="M130" t="s">
        <v>1548</v>
      </c>
      <c r="N130" t="s">
        <v>1548</v>
      </c>
      <c r="O130" t="s">
        <v>1548</v>
      </c>
      <c r="P130" s="36" t="s">
        <v>6448</v>
      </c>
    </row>
    <row r="131" spans="1:16" ht="409.5" x14ac:dyDescent="0.25">
      <c r="A131" t="s">
        <v>6612</v>
      </c>
      <c r="B131" t="s">
        <v>6605</v>
      </c>
      <c r="C131" t="s">
        <v>6446</v>
      </c>
      <c r="D131" t="s">
        <v>1027</v>
      </c>
      <c r="E131">
        <v>1402</v>
      </c>
      <c r="F131" t="s">
        <v>6606</v>
      </c>
      <c r="G131" t="b">
        <v>0</v>
      </c>
      <c r="H131" t="b">
        <v>0</v>
      </c>
      <c r="I131" t="s">
        <v>1051</v>
      </c>
      <c r="J131">
        <v>78</v>
      </c>
      <c r="K131" t="s">
        <v>0</v>
      </c>
      <c r="L131" t="s">
        <v>3000</v>
      </c>
      <c r="M131" t="s">
        <v>1548</v>
      </c>
      <c r="N131" t="s">
        <v>1548</v>
      </c>
      <c r="O131" t="s">
        <v>1548</v>
      </c>
      <c r="P131" s="36" t="s">
        <v>6448</v>
      </c>
    </row>
    <row r="132" spans="1:16" ht="409.5" x14ac:dyDescent="0.25">
      <c r="A132" t="s">
        <v>6613</v>
      </c>
      <c r="B132" t="s">
        <v>6605</v>
      </c>
      <c r="C132" t="s">
        <v>6446</v>
      </c>
      <c r="D132" t="s">
        <v>1027</v>
      </c>
      <c r="E132">
        <v>1402</v>
      </c>
      <c r="F132" t="s">
        <v>6606</v>
      </c>
      <c r="G132" t="b">
        <v>0</v>
      </c>
      <c r="H132" t="b">
        <v>0</v>
      </c>
      <c r="I132" t="s">
        <v>1051</v>
      </c>
      <c r="J132">
        <v>78</v>
      </c>
      <c r="K132" t="s">
        <v>0</v>
      </c>
      <c r="L132" t="s">
        <v>3000</v>
      </c>
      <c r="M132" t="s">
        <v>1548</v>
      </c>
      <c r="N132" t="s">
        <v>1548</v>
      </c>
      <c r="O132" t="s">
        <v>1548</v>
      </c>
      <c r="P132" s="36" t="s">
        <v>6448</v>
      </c>
    </row>
    <row r="133" spans="1:16" ht="409.5" x14ac:dyDescent="0.25">
      <c r="A133" t="s">
        <v>6614</v>
      </c>
      <c r="B133" t="s">
        <v>6605</v>
      </c>
      <c r="C133" t="s">
        <v>6446</v>
      </c>
      <c r="D133" t="s">
        <v>1027</v>
      </c>
      <c r="E133">
        <v>1402</v>
      </c>
      <c r="F133" t="s">
        <v>6606</v>
      </c>
      <c r="G133" t="b">
        <v>0</v>
      </c>
      <c r="H133" t="b">
        <v>0</v>
      </c>
      <c r="I133" t="s">
        <v>1051</v>
      </c>
      <c r="J133">
        <v>78</v>
      </c>
      <c r="K133" t="s">
        <v>0</v>
      </c>
      <c r="L133" t="s">
        <v>3000</v>
      </c>
      <c r="M133" t="s">
        <v>1548</v>
      </c>
      <c r="N133" t="s">
        <v>1548</v>
      </c>
      <c r="O133" t="s">
        <v>1548</v>
      </c>
      <c r="P133" s="36" t="s">
        <v>6448</v>
      </c>
    </row>
    <row r="134" spans="1:16" ht="409.5" x14ac:dyDescent="0.25">
      <c r="A134" t="s">
        <v>6615</v>
      </c>
      <c r="B134" t="s">
        <v>6605</v>
      </c>
      <c r="C134" t="s">
        <v>6446</v>
      </c>
      <c r="D134" t="s">
        <v>1027</v>
      </c>
      <c r="E134">
        <v>1402</v>
      </c>
      <c r="F134" t="s">
        <v>6606</v>
      </c>
      <c r="G134" t="b">
        <v>0</v>
      </c>
      <c r="H134" t="b">
        <v>0</v>
      </c>
      <c r="I134" t="s">
        <v>1051</v>
      </c>
      <c r="J134">
        <v>78</v>
      </c>
      <c r="K134" t="s">
        <v>0</v>
      </c>
      <c r="L134" t="s">
        <v>3000</v>
      </c>
      <c r="M134" t="s">
        <v>1548</v>
      </c>
      <c r="N134" t="s">
        <v>1548</v>
      </c>
      <c r="O134" t="s">
        <v>1548</v>
      </c>
      <c r="P134" s="36" t="s">
        <v>6448</v>
      </c>
    </row>
    <row r="135" spans="1:16" ht="409.5" x14ac:dyDescent="0.25">
      <c r="A135" t="s">
        <v>6616</v>
      </c>
      <c r="B135" t="s">
        <v>6617</v>
      </c>
      <c r="C135" t="s">
        <v>6503</v>
      </c>
      <c r="D135" t="s">
        <v>1027</v>
      </c>
      <c r="E135">
        <v>1488</v>
      </c>
      <c r="F135" t="s">
        <v>6504</v>
      </c>
      <c r="G135" t="b">
        <v>0</v>
      </c>
      <c r="H135" t="b">
        <v>0</v>
      </c>
      <c r="I135" t="s">
        <v>1051</v>
      </c>
      <c r="J135">
        <v>78</v>
      </c>
      <c r="K135" t="s">
        <v>0</v>
      </c>
      <c r="L135" t="s">
        <v>3000</v>
      </c>
      <c r="M135" t="s">
        <v>1548</v>
      </c>
      <c r="N135" t="s">
        <v>1548</v>
      </c>
      <c r="O135" t="s">
        <v>1548</v>
      </c>
      <c r="P135" s="36" t="s">
        <v>6505</v>
      </c>
    </row>
    <row r="136" spans="1:16" ht="409.5" x14ac:dyDescent="0.25">
      <c r="A136" t="s">
        <v>6618</v>
      </c>
      <c r="B136" t="s">
        <v>6617</v>
      </c>
      <c r="C136" t="s">
        <v>6503</v>
      </c>
      <c r="D136" t="s">
        <v>1027</v>
      </c>
      <c r="E136">
        <v>1488</v>
      </c>
      <c r="F136" t="s">
        <v>6504</v>
      </c>
      <c r="G136" t="b">
        <v>0</v>
      </c>
      <c r="H136" t="b">
        <v>0</v>
      </c>
      <c r="I136" t="s">
        <v>1051</v>
      </c>
      <c r="J136">
        <v>78</v>
      </c>
      <c r="K136" t="s">
        <v>0</v>
      </c>
      <c r="L136" t="s">
        <v>3000</v>
      </c>
      <c r="M136" t="s">
        <v>1548</v>
      </c>
      <c r="N136" t="s">
        <v>1548</v>
      </c>
      <c r="O136" t="s">
        <v>1548</v>
      </c>
      <c r="P136" s="36" t="s">
        <v>6505</v>
      </c>
    </row>
    <row r="137" spans="1:16" ht="409.5" x14ac:dyDescent="0.25">
      <c r="A137" t="s">
        <v>6619</v>
      </c>
      <c r="B137" t="s">
        <v>6617</v>
      </c>
      <c r="C137" t="s">
        <v>6503</v>
      </c>
      <c r="D137" t="s">
        <v>1027</v>
      </c>
      <c r="E137">
        <v>1488</v>
      </c>
      <c r="F137" t="s">
        <v>6504</v>
      </c>
      <c r="G137" t="b">
        <v>0</v>
      </c>
      <c r="H137" t="b">
        <v>0</v>
      </c>
      <c r="I137" t="s">
        <v>1051</v>
      </c>
      <c r="J137">
        <v>78</v>
      </c>
      <c r="K137" t="s">
        <v>0</v>
      </c>
      <c r="L137" t="s">
        <v>3000</v>
      </c>
      <c r="M137" t="s">
        <v>1548</v>
      </c>
      <c r="N137" t="s">
        <v>1548</v>
      </c>
      <c r="O137" t="s">
        <v>1548</v>
      </c>
      <c r="P137" s="36" t="s">
        <v>6505</v>
      </c>
    </row>
    <row r="138" spans="1:16" ht="409.5" x14ac:dyDescent="0.25">
      <c r="A138" t="s">
        <v>6620</v>
      </c>
      <c r="B138" t="s">
        <v>6617</v>
      </c>
      <c r="C138" t="s">
        <v>6503</v>
      </c>
      <c r="D138" t="s">
        <v>1027</v>
      </c>
      <c r="E138">
        <v>1488</v>
      </c>
      <c r="F138" t="s">
        <v>6504</v>
      </c>
      <c r="G138" t="b">
        <v>0</v>
      </c>
      <c r="H138" t="b">
        <v>0</v>
      </c>
      <c r="I138" t="s">
        <v>1051</v>
      </c>
      <c r="J138">
        <v>78</v>
      </c>
      <c r="K138" t="s">
        <v>0</v>
      </c>
      <c r="L138" t="s">
        <v>3000</v>
      </c>
      <c r="M138" t="s">
        <v>1548</v>
      </c>
      <c r="N138" t="s">
        <v>1548</v>
      </c>
      <c r="O138" t="s">
        <v>1548</v>
      </c>
      <c r="P138" s="36" t="s">
        <v>6505</v>
      </c>
    </row>
    <row r="139" spans="1:16" ht="409.5" x14ac:dyDescent="0.25">
      <c r="A139" t="s">
        <v>6621</v>
      </c>
      <c r="B139" t="s">
        <v>6617</v>
      </c>
      <c r="C139" t="s">
        <v>6503</v>
      </c>
      <c r="D139" t="s">
        <v>1027</v>
      </c>
      <c r="E139">
        <v>1488</v>
      </c>
      <c r="F139" t="s">
        <v>6504</v>
      </c>
      <c r="G139" t="b">
        <v>0</v>
      </c>
      <c r="H139" t="b">
        <v>0</v>
      </c>
      <c r="I139" t="s">
        <v>1051</v>
      </c>
      <c r="J139">
        <v>78</v>
      </c>
      <c r="K139" t="s">
        <v>0</v>
      </c>
      <c r="L139" t="s">
        <v>3000</v>
      </c>
      <c r="M139" t="s">
        <v>1548</v>
      </c>
      <c r="N139" t="s">
        <v>1548</v>
      </c>
      <c r="O139" t="s">
        <v>1548</v>
      </c>
      <c r="P139" s="36" t="s">
        <v>6505</v>
      </c>
    </row>
    <row r="140" spans="1:16" ht="409.5" x14ac:dyDescent="0.25">
      <c r="A140" t="s">
        <v>6622</v>
      </c>
      <c r="B140" t="s">
        <v>6617</v>
      </c>
      <c r="C140" t="s">
        <v>6503</v>
      </c>
      <c r="D140" t="s">
        <v>1027</v>
      </c>
      <c r="E140">
        <v>1488</v>
      </c>
      <c r="F140" t="s">
        <v>6504</v>
      </c>
      <c r="G140" t="b">
        <v>0</v>
      </c>
      <c r="H140" t="b">
        <v>0</v>
      </c>
      <c r="I140" t="s">
        <v>1051</v>
      </c>
      <c r="J140">
        <v>78</v>
      </c>
      <c r="K140" t="s">
        <v>0</v>
      </c>
      <c r="L140" t="s">
        <v>3000</v>
      </c>
      <c r="M140" t="s">
        <v>1548</v>
      </c>
      <c r="N140" t="s">
        <v>1548</v>
      </c>
      <c r="O140" t="s">
        <v>1548</v>
      </c>
      <c r="P140" s="36" t="s">
        <v>6505</v>
      </c>
    </row>
    <row r="141" spans="1:16" ht="409.5" x14ac:dyDescent="0.25">
      <c r="A141" t="s">
        <v>6623</v>
      </c>
      <c r="B141" t="s">
        <v>6617</v>
      </c>
      <c r="C141" t="s">
        <v>6503</v>
      </c>
      <c r="D141" t="s">
        <v>1027</v>
      </c>
      <c r="E141">
        <v>1488</v>
      </c>
      <c r="F141" t="s">
        <v>6504</v>
      </c>
      <c r="G141" t="b">
        <v>0</v>
      </c>
      <c r="H141" t="b">
        <v>0</v>
      </c>
      <c r="I141" t="s">
        <v>1051</v>
      </c>
      <c r="J141">
        <v>78</v>
      </c>
      <c r="K141" t="s">
        <v>0</v>
      </c>
      <c r="L141" t="s">
        <v>3000</v>
      </c>
      <c r="M141" t="s">
        <v>1548</v>
      </c>
      <c r="N141" t="s">
        <v>1548</v>
      </c>
      <c r="O141" t="s">
        <v>1548</v>
      </c>
      <c r="P141" s="36" t="s">
        <v>6505</v>
      </c>
    </row>
    <row r="142" spans="1:16" ht="409.5" x14ac:dyDescent="0.25">
      <c r="A142" t="s">
        <v>6624</v>
      </c>
      <c r="B142" t="s">
        <v>6625</v>
      </c>
      <c r="C142" t="s">
        <v>6446</v>
      </c>
      <c r="D142" t="s">
        <v>1027</v>
      </c>
      <c r="E142">
        <v>1402</v>
      </c>
      <c r="F142" t="s">
        <v>6447</v>
      </c>
      <c r="G142" t="b">
        <v>0</v>
      </c>
      <c r="H142" t="b">
        <v>0</v>
      </c>
      <c r="I142" t="s">
        <v>1051</v>
      </c>
      <c r="J142">
        <v>78</v>
      </c>
      <c r="K142" t="s">
        <v>0</v>
      </c>
      <c r="L142" t="s">
        <v>3000</v>
      </c>
      <c r="M142" t="s">
        <v>1548</v>
      </c>
      <c r="N142" t="s">
        <v>1548</v>
      </c>
      <c r="O142" t="s">
        <v>1548</v>
      </c>
      <c r="P142" s="36" t="s">
        <v>6448</v>
      </c>
    </row>
    <row r="143" spans="1:16" ht="409.5" x14ac:dyDescent="0.25">
      <c r="A143" t="s">
        <v>6626</v>
      </c>
      <c r="B143" t="s">
        <v>6625</v>
      </c>
      <c r="C143" t="s">
        <v>6446</v>
      </c>
      <c r="D143" t="s">
        <v>1027</v>
      </c>
      <c r="E143">
        <v>1402</v>
      </c>
      <c r="F143" t="s">
        <v>6447</v>
      </c>
      <c r="G143" t="b">
        <v>0</v>
      </c>
      <c r="H143" t="b">
        <v>0</v>
      </c>
      <c r="I143" t="s">
        <v>1051</v>
      </c>
      <c r="J143">
        <v>78</v>
      </c>
      <c r="K143" t="s">
        <v>0</v>
      </c>
      <c r="L143" t="s">
        <v>3000</v>
      </c>
      <c r="M143" t="s">
        <v>1548</v>
      </c>
      <c r="N143" t="s">
        <v>1548</v>
      </c>
      <c r="O143" t="s">
        <v>1548</v>
      </c>
      <c r="P143" s="36" t="s">
        <v>6448</v>
      </c>
    </row>
    <row r="144" spans="1:16" ht="409.5" x14ac:dyDescent="0.25">
      <c r="A144" t="s">
        <v>6627</v>
      </c>
      <c r="B144" t="s">
        <v>6625</v>
      </c>
      <c r="C144" t="s">
        <v>6446</v>
      </c>
      <c r="D144" t="s">
        <v>1027</v>
      </c>
      <c r="E144">
        <v>1402</v>
      </c>
      <c r="F144" t="s">
        <v>6447</v>
      </c>
      <c r="G144" t="b">
        <v>0</v>
      </c>
      <c r="H144" t="b">
        <v>0</v>
      </c>
      <c r="I144" t="s">
        <v>1051</v>
      </c>
      <c r="J144">
        <v>78</v>
      </c>
      <c r="K144" t="s">
        <v>0</v>
      </c>
      <c r="L144" t="s">
        <v>3000</v>
      </c>
      <c r="M144" t="s">
        <v>1548</v>
      </c>
      <c r="N144" t="s">
        <v>1548</v>
      </c>
      <c r="O144" t="s">
        <v>1548</v>
      </c>
      <c r="P144" s="36" t="s">
        <v>6448</v>
      </c>
    </row>
    <row r="145" spans="1:16" ht="409.5" x14ac:dyDescent="0.25">
      <c r="A145" t="s">
        <v>6628</v>
      </c>
      <c r="B145" t="s">
        <v>6625</v>
      </c>
      <c r="C145" t="s">
        <v>6446</v>
      </c>
      <c r="D145" t="s">
        <v>1027</v>
      </c>
      <c r="E145">
        <v>1402</v>
      </c>
      <c r="F145" t="s">
        <v>6447</v>
      </c>
      <c r="G145" t="b">
        <v>0</v>
      </c>
      <c r="H145" t="b">
        <v>0</v>
      </c>
      <c r="I145" t="s">
        <v>1051</v>
      </c>
      <c r="J145">
        <v>78</v>
      </c>
      <c r="K145" t="s">
        <v>0</v>
      </c>
      <c r="L145" t="s">
        <v>3000</v>
      </c>
      <c r="M145" t="s">
        <v>1548</v>
      </c>
      <c r="N145" t="s">
        <v>1548</v>
      </c>
      <c r="O145" t="s">
        <v>1548</v>
      </c>
      <c r="P145" s="36" t="s">
        <v>6448</v>
      </c>
    </row>
    <row r="146" spans="1:16" ht="409.5" x14ac:dyDescent="0.25">
      <c r="A146" t="s">
        <v>6629</v>
      </c>
      <c r="B146" t="s">
        <v>6625</v>
      </c>
      <c r="C146" t="s">
        <v>6446</v>
      </c>
      <c r="D146" t="s">
        <v>1027</v>
      </c>
      <c r="E146">
        <v>1402</v>
      </c>
      <c r="F146" t="s">
        <v>6447</v>
      </c>
      <c r="G146" t="b">
        <v>0</v>
      </c>
      <c r="H146" t="b">
        <v>0</v>
      </c>
      <c r="I146" t="s">
        <v>1051</v>
      </c>
      <c r="J146">
        <v>78</v>
      </c>
      <c r="K146" t="s">
        <v>0</v>
      </c>
      <c r="L146" t="s">
        <v>3000</v>
      </c>
      <c r="M146" t="s">
        <v>1548</v>
      </c>
      <c r="N146" t="s">
        <v>1548</v>
      </c>
      <c r="O146" t="s">
        <v>1548</v>
      </c>
      <c r="P146" s="36" t="s">
        <v>6448</v>
      </c>
    </row>
    <row r="147" spans="1:16" ht="409.5" x14ac:dyDescent="0.25">
      <c r="A147" t="s">
        <v>6630</v>
      </c>
      <c r="B147" t="s">
        <v>6625</v>
      </c>
      <c r="C147" t="s">
        <v>6446</v>
      </c>
      <c r="D147" t="s">
        <v>1027</v>
      </c>
      <c r="E147">
        <v>1402</v>
      </c>
      <c r="F147" t="s">
        <v>6447</v>
      </c>
      <c r="G147" t="b">
        <v>0</v>
      </c>
      <c r="H147" t="b">
        <v>0</v>
      </c>
      <c r="I147" t="s">
        <v>1051</v>
      </c>
      <c r="J147">
        <v>78</v>
      </c>
      <c r="K147" t="s">
        <v>0</v>
      </c>
      <c r="L147" t="s">
        <v>3000</v>
      </c>
      <c r="M147" t="s">
        <v>1548</v>
      </c>
      <c r="N147" t="s">
        <v>1548</v>
      </c>
      <c r="O147" t="s">
        <v>1548</v>
      </c>
      <c r="P147" s="36" t="s">
        <v>6448</v>
      </c>
    </row>
    <row r="148" spans="1:16" ht="409.5" x14ac:dyDescent="0.25">
      <c r="A148" t="s">
        <v>6631</v>
      </c>
      <c r="B148" t="s">
        <v>6625</v>
      </c>
      <c r="C148" t="s">
        <v>6446</v>
      </c>
      <c r="D148" t="s">
        <v>1027</v>
      </c>
      <c r="E148">
        <v>1402</v>
      </c>
      <c r="F148" t="s">
        <v>6447</v>
      </c>
      <c r="G148" t="b">
        <v>0</v>
      </c>
      <c r="H148" t="b">
        <v>0</v>
      </c>
      <c r="I148" t="s">
        <v>1051</v>
      </c>
      <c r="J148">
        <v>78</v>
      </c>
      <c r="K148" t="s">
        <v>0</v>
      </c>
      <c r="L148" t="s">
        <v>3000</v>
      </c>
      <c r="M148" t="s">
        <v>1548</v>
      </c>
      <c r="N148" t="s">
        <v>1548</v>
      </c>
      <c r="O148" t="s">
        <v>1548</v>
      </c>
      <c r="P148" s="36" t="s">
        <v>6448</v>
      </c>
    </row>
    <row r="149" spans="1:16" ht="409.5" x14ac:dyDescent="0.25">
      <c r="A149" t="s">
        <v>6632</v>
      </c>
      <c r="B149" t="s">
        <v>6625</v>
      </c>
      <c r="C149" t="s">
        <v>6446</v>
      </c>
      <c r="D149" t="s">
        <v>1027</v>
      </c>
      <c r="E149">
        <v>1402</v>
      </c>
      <c r="F149" t="s">
        <v>6447</v>
      </c>
      <c r="G149" t="b">
        <v>0</v>
      </c>
      <c r="H149" t="b">
        <v>0</v>
      </c>
      <c r="I149" t="s">
        <v>1051</v>
      </c>
      <c r="J149">
        <v>78</v>
      </c>
      <c r="K149" t="s">
        <v>0</v>
      </c>
      <c r="L149" t="s">
        <v>3000</v>
      </c>
      <c r="M149" t="s">
        <v>1548</v>
      </c>
      <c r="N149" t="s">
        <v>1548</v>
      </c>
      <c r="O149" t="s">
        <v>1548</v>
      </c>
      <c r="P149" s="36" t="s">
        <v>6448</v>
      </c>
    </row>
    <row r="150" spans="1:16" ht="409.5" x14ac:dyDescent="0.25">
      <c r="A150" t="s">
        <v>6633</v>
      </c>
      <c r="B150" t="s">
        <v>6625</v>
      </c>
      <c r="C150" t="s">
        <v>6446</v>
      </c>
      <c r="D150" t="s">
        <v>1027</v>
      </c>
      <c r="E150">
        <v>1402</v>
      </c>
      <c r="F150" t="s">
        <v>6447</v>
      </c>
      <c r="G150" t="b">
        <v>0</v>
      </c>
      <c r="H150" t="b">
        <v>0</v>
      </c>
      <c r="I150" t="s">
        <v>1051</v>
      </c>
      <c r="J150">
        <v>78</v>
      </c>
      <c r="K150" t="s">
        <v>0</v>
      </c>
      <c r="L150" t="s">
        <v>3000</v>
      </c>
      <c r="M150" t="s">
        <v>1548</v>
      </c>
      <c r="N150" t="s">
        <v>1548</v>
      </c>
      <c r="O150" t="s">
        <v>1548</v>
      </c>
      <c r="P150" s="36" t="s">
        <v>6448</v>
      </c>
    </row>
    <row r="151" spans="1:16" ht="409.5" x14ac:dyDescent="0.25">
      <c r="A151" t="s">
        <v>6634</v>
      </c>
      <c r="B151" t="s">
        <v>6625</v>
      </c>
      <c r="C151" t="s">
        <v>6446</v>
      </c>
      <c r="D151" t="s">
        <v>1027</v>
      </c>
      <c r="E151">
        <v>1402</v>
      </c>
      <c r="F151" t="s">
        <v>6447</v>
      </c>
      <c r="G151" t="b">
        <v>0</v>
      </c>
      <c r="H151" t="b">
        <v>0</v>
      </c>
      <c r="I151" t="s">
        <v>1051</v>
      </c>
      <c r="J151">
        <v>78</v>
      </c>
      <c r="K151" t="s">
        <v>0</v>
      </c>
      <c r="L151" t="s">
        <v>3000</v>
      </c>
      <c r="M151" t="s">
        <v>1548</v>
      </c>
      <c r="N151" t="s">
        <v>1548</v>
      </c>
      <c r="O151" t="s">
        <v>1548</v>
      </c>
      <c r="P151" s="36" t="s">
        <v>6448</v>
      </c>
    </row>
    <row r="152" spans="1:16" ht="409.5" x14ac:dyDescent="0.25">
      <c r="A152" t="s">
        <v>6635</v>
      </c>
      <c r="B152" t="s">
        <v>6636</v>
      </c>
      <c r="C152" t="s">
        <v>6446</v>
      </c>
      <c r="D152" t="s">
        <v>1027</v>
      </c>
      <c r="E152">
        <v>1402</v>
      </c>
      <c r="F152" t="s">
        <v>6606</v>
      </c>
      <c r="G152" t="b">
        <v>0</v>
      </c>
      <c r="H152" t="b">
        <v>0</v>
      </c>
      <c r="I152" t="s">
        <v>1051</v>
      </c>
      <c r="J152">
        <v>78</v>
      </c>
      <c r="K152" t="s">
        <v>0</v>
      </c>
      <c r="L152" t="s">
        <v>3000</v>
      </c>
      <c r="M152" t="s">
        <v>1548</v>
      </c>
      <c r="N152" t="s">
        <v>1548</v>
      </c>
      <c r="O152" t="s">
        <v>1548</v>
      </c>
      <c r="P152" s="36" t="s">
        <v>6448</v>
      </c>
    </row>
    <row r="153" spans="1:16" ht="409.5" x14ac:dyDescent="0.25">
      <c r="A153" t="s">
        <v>6637</v>
      </c>
      <c r="B153" t="s">
        <v>6636</v>
      </c>
      <c r="C153" t="s">
        <v>6446</v>
      </c>
      <c r="D153" t="s">
        <v>1027</v>
      </c>
      <c r="E153">
        <v>1402</v>
      </c>
      <c r="F153" t="s">
        <v>6606</v>
      </c>
      <c r="G153" t="b">
        <v>0</v>
      </c>
      <c r="H153" t="b">
        <v>0</v>
      </c>
      <c r="I153" t="s">
        <v>1051</v>
      </c>
      <c r="J153">
        <v>78</v>
      </c>
      <c r="K153" t="s">
        <v>0</v>
      </c>
      <c r="L153" t="s">
        <v>3000</v>
      </c>
      <c r="M153" t="s">
        <v>1548</v>
      </c>
      <c r="N153" t="s">
        <v>1548</v>
      </c>
      <c r="O153" t="s">
        <v>1548</v>
      </c>
      <c r="P153" s="36" t="s">
        <v>6448</v>
      </c>
    </row>
    <row r="154" spans="1:16" ht="409.5" x14ac:dyDescent="0.25">
      <c r="A154" t="s">
        <v>6638</v>
      </c>
      <c r="B154" t="s">
        <v>6636</v>
      </c>
      <c r="C154" t="s">
        <v>6446</v>
      </c>
      <c r="D154" t="s">
        <v>1027</v>
      </c>
      <c r="E154">
        <v>1402</v>
      </c>
      <c r="F154" t="s">
        <v>6606</v>
      </c>
      <c r="G154" t="b">
        <v>0</v>
      </c>
      <c r="H154" t="b">
        <v>0</v>
      </c>
      <c r="I154" t="s">
        <v>1051</v>
      </c>
      <c r="J154">
        <v>78</v>
      </c>
      <c r="K154" t="s">
        <v>0</v>
      </c>
      <c r="L154" t="s">
        <v>3000</v>
      </c>
      <c r="M154" t="s">
        <v>1548</v>
      </c>
      <c r="N154" t="s">
        <v>1548</v>
      </c>
      <c r="O154" t="s">
        <v>1548</v>
      </c>
      <c r="P154" s="36" t="s">
        <v>6448</v>
      </c>
    </row>
    <row r="155" spans="1:16" ht="409.5" x14ac:dyDescent="0.25">
      <c r="A155" t="s">
        <v>6639</v>
      </c>
      <c r="B155" t="s">
        <v>6636</v>
      </c>
      <c r="C155" t="s">
        <v>6446</v>
      </c>
      <c r="D155" t="s">
        <v>1027</v>
      </c>
      <c r="E155">
        <v>1402</v>
      </c>
      <c r="F155" t="s">
        <v>6606</v>
      </c>
      <c r="G155" t="b">
        <v>0</v>
      </c>
      <c r="H155" t="b">
        <v>0</v>
      </c>
      <c r="I155" t="s">
        <v>1051</v>
      </c>
      <c r="J155">
        <v>78</v>
      </c>
      <c r="K155" t="s">
        <v>0</v>
      </c>
      <c r="L155" t="s">
        <v>3000</v>
      </c>
      <c r="M155" t="s">
        <v>1548</v>
      </c>
      <c r="N155" t="s">
        <v>1548</v>
      </c>
      <c r="O155" t="s">
        <v>1548</v>
      </c>
      <c r="P155" s="36" t="s">
        <v>6448</v>
      </c>
    </row>
    <row r="156" spans="1:16" ht="409.5" x14ac:dyDescent="0.25">
      <c r="A156" t="s">
        <v>6640</v>
      </c>
      <c r="B156" t="s">
        <v>6636</v>
      </c>
      <c r="C156" t="s">
        <v>6446</v>
      </c>
      <c r="D156" t="s">
        <v>1027</v>
      </c>
      <c r="E156">
        <v>1402</v>
      </c>
      <c r="F156" t="s">
        <v>6606</v>
      </c>
      <c r="G156" t="b">
        <v>0</v>
      </c>
      <c r="H156" t="b">
        <v>0</v>
      </c>
      <c r="I156" t="s">
        <v>1051</v>
      </c>
      <c r="J156">
        <v>78</v>
      </c>
      <c r="K156" t="s">
        <v>0</v>
      </c>
      <c r="L156" t="s">
        <v>3000</v>
      </c>
      <c r="M156" t="s">
        <v>1548</v>
      </c>
      <c r="N156" t="s">
        <v>1548</v>
      </c>
      <c r="O156" t="s">
        <v>1548</v>
      </c>
      <c r="P156" s="36" t="s">
        <v>6448</v>
      </c>
    </row>
    <row r="157" spans="1:16" ht="409.5" x14ac:dyDescent="0.25">
      <c r="A157" t="s">
        <v>6641</v>
      </c>
      <c r="B157" t="s">
        <v>6636</v>
      </c>
      <c r="C157" t="s">
        <v>6446</v>
      </c>
      <c r="D157" t="s">
        <v>1027</v>
      </c>
      <c r="E157">
        <v>1402</v>
      </c>
      <c r="F157" t="s">
        <v>6606</v>
      </c>
      <c r="G157" t="b">
        <v>0</v>
      </c>
      <c r="H157" t="b">
        <v>0</v>
      </c>
      <c r="I157" t="s">
        <v>1051</v>
      </c>
      <c r="J157">
        <v>78</v>
      </c>
      <c r="K157" t="s">
        <v>0</v>
      </c>
      <c r="L157" t="s">
        <v>3000</v>
      </c>
      <c r="M157" t="s">
        <v>1548</v>
      </c>
      <c r="N157" t="s">
        <v>1548</v>
      </c>
      <c r="O157" t="s">
        <v>1548</v>
      </c>
      <c r="P157" s="36" t="s">
        <v>6448</v>
      </c>
    </row>
    <row r="158" spans="1:16" ht="409.5" x14ac:dyDescent="0.25">
      <c r="A158" t="s">
        <v>6642</v>
      </c>
      <c r="B158" t="s">
        <v>6636</v>
      </c>
      <c r="C158" t="s">
        <v>6446</v>
      </c>
      <c r="D158" t="s">
        <v>1027</v>
      </c>
      <c r="E158">
        <v>1402</v>
      </c>
      <c r="F158" t="s">
        <v>6606</v>
      </c>
      <c r="G158" t="b">
        <v>0</v>
      </c>
      <c r="H158" t="b">
        <v>0</v>
      </c>
      <c r="I158" t="s">
        <v>1051</v>
      </c>
      <c r="J158">
        <v>78</v>
      </c>
      <c r="K158" t="s">
        <v>0</v>
      </c>
      <c r="L158" t="s">
        <v>3000</v>
      </c>
      <c r="M158" t="s">
        <v>1548</v>
      </c>
      <c r="N158" t="s">
        <v>1548</v>
      </c>
      <c r="O158" t="s">
        <v>1548</v>
      </c>
      <c r="P158" s="36" t="s">
        <v>6448</v>
      </c>
    </row>
    <row r="159" spans="1:16" ht="409.5" x14ac:dyDescent="0.25">
      <c r="A159" t="s">
        <v>6643</v>
      </c>
      <c r="B159" t="s">
        <v>6644</v>
      </c>
      <c r="C159" t="s">
        <v>6645</v>
      </c>
      <c r="D159" t="s">
        <v>1027</v>
      </c>
      <c r="E159">
        <v>33434</v>
      </c>
      <c r="F159" t="s">
        <v>6646</v>
      </c>
      <c r="G159" t="b">
        <v>0</v>
      </c>
      <c r="H159" t="b">
        <v>0</v>
      </c>
      <c r="I159" t="s">
        <v>1051</v>
      </c>
      <c r="J159">
        <v>78</v>
      </c>
      <c r="K159" t="s">
        <v>0</v>
      </c>
      <c r="L159" t="s">
        <v>3000</v>
      </c>
      <c r="M159" t="s">
        <v>1548</v>
      </c>
      <c r="N159" t="s">
        <v>1548</v>
      </c>
      <c r="O159" t="s">
        <v>1548</v>
      </c>
      <c r="P159" s="36" t="s">
        <v>6448</v>
      </c>
    </row>
    <row r="160" spans="1:16" ht="409.5" x14ac:dyDescent="0.25">
      <c r="A160" t="s">
        <v>6647</v>
      </c>
      <c r="B160" t="s">
        <v>6644</v>
      </c>
      <c r="C160" t="s">
        <v>6645</v>
      </c>
      <c r="D160" t="s">
        <v>1027</v>
      </c>
      <c r="E160">
        <v>33434</v>
      </c>
      <c r="F160" t="s">
        <v>6646</v>
      </c>
      <c r="G160" t="b">
        <v>0</v>
      </c>
      <c r="H160" t="b">
        <v>0</v>
      </c>
      <c r="I160" t="s">
        <v>1051</v>
      </c>
      <c r="J160">
        <v>78</v>
      </c>
      <c r="K160" t="s">
        <v>0</v>
      </c>
      <c r="L160" t="s">
        <v>3000</v>
      </c>
      <c r="M160" t="s">
        <v>1548</v>
      </c>
      <c r="N160" t="s">
        <v>1548</v>
      </c>
      <c r="O160" t="s">
        <v>1548</v>
      </c>
      <c r="P160" s="36" t="s">
        <v>6448</v>
      </c>
    </row>
    <row r="161" spans="1:16" ht="409.5" x14ac:dyDescent="0.25">
      <c r="A161" t="s">
        <v>6648</v>
      </c>
      <c r="B161" t="s">
        <v>6644</v>
      </c>
      <c r="C161" t="s">
        <v>6645</v>
      </c>
      <c r="D161" t="s">
        <v>1027</v>
      </c>
      <c r="E161">
        <v>33434</v>
      </c>
      <c r="F161" t="s">
        <v>6646</v>
      </c>
      <c r="G161" t="b">
        <v>0</v>
      </c>
      <c r="H161" t="b">
        <v>0</v>
      </c>
      <c r="I161" t="s">
        <v>1051</v>
      </c>
      <c r="J161">
        <v>78</v>
      </c>
      <c r="K161" t="s">
        <v>0</v>
      </c>
      <c r="L161" t="s">
        <v>3000</v>
      </c>
      <c r="M161" t="s">
        <v>1548</v>
      </c>
      <c r="N161" t="s">
        <v>1548</v>
      </c>
      <c r="O161" t="s">
        <v>1548</v>
      </c>
      <c r="P161" s="36" t="s">
        <v>6448</v>
      </c>
    </row>
    <row r="162" spans="1:16" ht="409.5" x14ac:dyDescent="0.25">
      <c r="A162" t="s">
        <v>6649</v>
      </c>
      <c r="B162" t="s">
        <v>6644</v>
      </c>
      <c r="C162" t="s">
        <v>6645</v>
      </c>
      <c r="D162" t="s">
        <v>1027</v>
      </c>
      <c r="E162">
        <v>33434</v>
      </c>
      <c r="F162" t="s">
        <v>6646</v>
      </c>
      <c r="G162" t="b">
        <v>0</v>
      </c>
      <c r="H162" t="b">
        <v>0</v>
      </c>
      <c r="I162" t="s">
        <v>1051</v>
      </c>
      <c r="J162">
        <v>78</v>
      </c>
      <c r="K162" t="s">
        <v>0</v>
      </c>
      <c r="L162" t="s">
        <v>3000</v>
      </c>
      <c r="M162" t="s">
        <v>1548</v>
      </c>
      <c r="N162" t="s">
        <v>1548</v>
      </c>
      <c r="O162" t="s">
        <v>1548</v>
      </c>
      <c r="P162" s="36" t="s">
        <v>6448</v>
      </c>
    </row>
    <row r="163" spans="1:16" ht="409.5" x14ac:dyDescent="0.25">
      <c r="A163" t="s">
        <v>6650</v>
      </c>
      <c r="B163" t="s">
        <v>6644</v>
      </c>
      <c r="C163" t="s">
        <v>6645</v>
      </c>
      <c r="D163" t="s">
        <v>1027</v>
      </c>
      <c r="E163">
        <v>33434</v>
      </c>
      <c r="F163" t="s">
        <v>6646</v>
      </c>
      <c r="G163" t="b">
        <v>0</v>
      </c>
      <c r="H163" t="b">
        <v>0</v>
      </c>
      <c r="I163" t="s">
        <v>1051</v>
      </c>
      <c r="J163">
        <v>78</v>
      </c>
      <c r="K163" t="s">
        <v>0</v>
      </c>
      <c r="L163" t="s">
        <v>3000</v>
      </c>
      <c r="M163" t="s">
        <v>1548</v>
      </c>
      <c r="N163" t="s">
        <v>1548</v>
      </c>
      <c r="O163" t="s">
        <v>1548</v>
      </c>
      <c r="P163" s="36" t="s">
        <v>6448</v>
      </c>
    </row>
    <row r="164" spans="1:16" ht="409.5" x14ac:dyDescent="0.25">
      <c r="A164" t="s">
        <v>6651</v>
      </c>
      <c r="B164" t="s">
        <v>6652</v>
      </c>
      <c r="C164" t="s">
        <v>6645</v>
      </c>
      <c r="D164" t="s">
        <v>1027</v>
      </c>
      <c r="E164">
        <v>33434</v>
      </c>
      <c r="F164" t="s">
        <v>6646</v>
      </c>
      <c r="G164" t="b">
        <v>0</v>
      </c>
      <c r="H164" t="b">
        <v>0</v>
      </c>
      <c r="I164" t="s">
        <v>1051</v>
      </c>
      <c r="J164">
        <v>78</v>
      </c>
      <c r="K164" t="s">
        <v>0</v>
      </c>
      <c r="L164" t="s">
        <v>3000</v>
      </c>
      <c r="M164" t="s">
        <v>1548</v>
      </c>
      <c r="N164" t="s">
        <v>1548</v>
      </c>
      <c r="O164" t="s">
        <v>1548</v>
      </c>
      <c r="P164" s="36" t="s">
        <v>6448</v>
      </c>
    </row>
    <row r="165" spans="1:16" ht="409.5" x14ac:dyDescent="0.25">
      <c r="A165" t="s">
        <v>6653</v>
      </c>
      <c r="B165" t="s">
        <v>6652</v>
      </c>
      <c r="C165" t="s">
        <v>6645</v>
      </c>
      <c r="D165" t="s">
        <v>1027</v>
      </c>
      <c r="E165">
        <v>33434</v>
      </c>
      <c r="F165" t="s">
        <v>6646</v>
      </c>
      <c r="G165" t="b">
        <v>0</v>
      </c>
      <c r="H165" t="b">
        <v>0</v>
      </c>
      <c r="I165" t="s">
        <v>1051</v>
      </c>
      <c r="J165">
        <v>78</v>
      </c>
      <c r="K165" t="s">
        <v>0</v>
      </c>
      <c r="L165" t="s">
        <v>3000</v>
      </c>
      <c r="M165" t="s">
        <v>1548</v>
      </c>
      <c r="N165" t="s">
        <v>1548</v>
      </c>
      <c r="O165" t="s">
        <v>1548</v>
      </c>
      <c r="P165" s="36" t="s">
        <v>6448</v>
      </c>
    </row>
    <row r="166" spans="1:16" ht="409.5" x14ac:dyDescent="0.25">
      <c r="A166" t="s">
        <v>6654</v>
      </c>
      <c r="B166" t="s">
        <v>6652</v>
      </c>
      <c r="C166" t="s">
        <v>6645</v>
      </c>
      <c r="D166" t="s">
        <v>1027</v>
      </c>
      <c r="E166">
        <v>33434</v>
      </c>
      <c r="F166" t="s">
        <v>6646</v>
      </c>
      <c r="G166" t="b">
        <v>0</v>
      </c>
      <c r="H166" t="b">
        <v>0</v>
      </c>
      <c r="I166" t="s">
        <v>1051</v>
      </c>
      <c r="J166">
        <v>78</v>
      </c>
      <c r="K166" t="s">
        <v>0</v>
      </c>
      <c r="L166" t="s">
        <v>3000</v>
      </c>
      <c r="M166" t="s">
        <v>1548</v>
      </c>
      <c r="N166" t="s">
        <v>1548</v>
      </c>
      <c r="O166" t="s">
        <v>1548</v>
      </c>
      <c r="P166" s="36" t="s">
        <v>6448</v>
      </c>
    </row>
    <row r="167" spans="1:16" ht="409.5" x14ac:dyDescent="0.25">
      <c r="A167" t="s">
        <v>6655</v>
      </c>
      <c r="B167" t="s">
        <v>6652</v>
      </c>
      <c r="C167" t="s">
        <v>6645</v>
      </c>
      <c r="D167" t="s">
        <v>1027</v>
      </c>
      <c r="E167">
        <v>33434</v>
      </c>
      <c r="F167" t="s">
        <v>6646</v>
      </c>
      <c r="G167" t="b">
        <v>0</v>
      </c>
      <c r="H167" t="b">
        <v>0</v>
      </c>
      <c r="I167" t="s">
        <v>1051</v>
      </c>
      <c r="J167">
        <v>78</v>
      </c>
      <c r="K167" t="s">
        <v>0</v>
      </c>
      <c r="L167" t="s">
        <v>3000</v>
      </c>
      <c r="M167" t="s">
        <v>1548</v>
      </c>
      <c r="N167" t="s">
        <v>1548</v>
      </c>
      <c r="O167" t="s">
        <v>1548</v>
      </c>
      <c r="P167" s="36" t="s">
        <v>6448</v>
      </c>
    </row>
    <row r="168" spans="1:16" ht="409.5" x14ac:dyDescent="0.25">
      <c r="A168" t="s">
        <v>6656</v>
      </c>
      <c r="B168" t="s">
        <v>6652</v>
      </c>
      <c r="C168" t="s">
        <v>6645</v>
      </c>
      <c r="D168" t="s">
        <v>1027</v>
      </c>
      <c r="E168">
        <v>33434</v>
      </c>
      <c r="F168" t="s">
        <v>6646</v>
      </c>
      <c r="G168" t="b">
        <v>0</v>
      </c>
      <c r="H168" t="b">
        <v>0</v>
      </c>
      <c r="I168" t="s">
        <v>1051</v>
      </c>
      <c r="J168">
        <v>78</v>
      </c>
      <c r="K168" t="s">
        <v>0</v>
      </c>
      <c r="L168" t="s">
        <v>3000</v>
      </c>
      <c r="M168" t="s">
        <v>1548</v>
      </c>
      <c r="N168" t="s">
        <v>1548</v>
      </c>
      <c r="O168" t="s">
        <v>1548</v>
      </c>
      <c r="P168" s="36" t="s">
        <v>6448</v>
      </c>
    </row>
    <row r="169" spans="1:16" x14ac:dyDescent="0.25">
      <c r="A169" t="s">
        <v>6657</v>
      </c>
      <c r="B169" t="s">
        <v>6658</v>
      </c>
      <c r="C169" t="s">
        <v>1335</v>
      </c>
      <c r="D169" t="s">
        <v>1027</v>
      </c>
      <c r="E169">
        <v>1459</v>
      </c>
      <c r="F169" t="s">
        <v>1336</v>
      </c>
      <c r="G169" t="b">
        <v>0</v>
      </c>
      <c r="H169" t="b">
        <v>0</v>
      </c>
      <c r="I169" t="s">
        <v>1051</v>
      </c>
      <c r="J169">
        <v>78</v>
      </c>
      <c r="K169" t="s">
        <v>2</v>
      </c>
      <c r="L169" t="s">
        <v>1549</v>
      </c>
      <c r="M169" t="s">
        <v>3922</v>
      </c>
      <c r="N169" t="s">
        <v>3922</v>
      </c>
      <c r="O169" t="s">
        <v>3922</v>
      </c>
      <c r="P169" t="s">
        <v>1682</v>
      </c>
    </row>
    <row r="170" spans="1:16" ht="409.5" x14ac:dyDescent="0.25">
      <c r="A170" t="s">
        <v>6659</v>
      </c>
      <c r="B170" t="s">
        <v>6660</v>
      </c>
      <c r="C170" t="s">
        <v>6446</v>
      </c>
      <c r="D170" t="s">
        <v>1027</v>
      </c>
      <c r="E170">
        <v>1402</v>
      </c>
      <c r="F170" t="s">
        <v>6447</v>
      </c>
      <c r="G170" t="b">
        <v>0</v>
      </c>
      <c r="H170" t="b">
        <v>0</v>
      </c>
      <c r="I170" t="s">
        <v>1051</v>
      </c>
      <c r="J170">
        <v>78</v>
      </c>
      <c r="K170" t="s">
        <v>0</v>
      </c>
      <c r="L170" t="s">
        <v>3000</v>
      </c>
      <c r="M170" t="s">
        <v>1548</v>
      </c>
      <c r="N170" t="s">
        <v>1548</v>
      </c>
      <c r="O170" t="s">
        <v>1548</v>
      </c>
      <c r="P170" s="36" t="s">
        <v>6448</v>
      </c>
    </row>
    <row r="171" spans="1:16" ht="409.5" x14ac:dyDescent="0.25">
      <c r="A171" t="s">
        <v>6661</v>
      </c>
      <c r="B171" t="s">
        <v>6660</v>
      </c>
      <c r="C171" t="s">
        <v>6446</v>
      </c>
      <c r="D171" t="s">
        <v>1027</v>
      </c>
      <c r="E171">
        <v>1402</v>
      </c>
      <c r="F171" t="s">
        <v>6447</v>
      </c>
      <c r="G171" t="b">
        <v>0</v>
      </c>
      <c r="H171" t="b">
        <v>0</v>
      </c>
      <c r="I171" t="s">
        <v>1051</v>
      </c>
      <c r="J171">
        <v>78</v>
      </c>
      <c r="K171" t="s">
        <v>0</v>
      </c>
      <c r="L171" t="s">
        <v>3000</v>
      </c>
      <c r="M171" t="s">
        <v>1548</v>
      </c>
      <c r="N171" t="s">
        <v>1548</v>
      </c>
      <c r="O171" t="s">
        <v>1548</v>
      </c>
      <c r="P171" s="36" t="s">
        <v>6448</v>
      </c>
    </row>
    <row r="172" spans="1:16" ht="409.5" x14ac:dyDescent="0.25">
      <c r="A172" t="s">
        <v>6662</v>
      </c>
      <c r="B172" t="s">
        <v>6660</v>
      </c>
      <c r="C172" t="s">
        <v>6446</v>
      </c>
      <c r="D172" t="s">
        <v>1027</v>
      </c>
      <c r="E172">
        <v>1402</v>
      </c>
      <c r="F172" t="s">
        <v>6447</v>
      </c>
      <c r="G172" t="b">
        <v>0</v>
      </c>
      <c r="H172" t="b">
        <v>0</v>
      </c>
      <c r="I172" t="s">
        <v>1051</v>
      </c>
      <c r="J172">
        <v>78</v>
      </c>
      <c r="K172" t="s">
        <v>0</v>
      </c>
      <c r="L172" t="s">
        <v>3000</v>
      </c>
      <c r="M172" t="s">
        <v>1548</v>
      </c>
      <c r="N172" t="s">
        <v>1548</v>
      </c>
      <c r="O172" t="s">
        <v>1548</v>
      </c>
      <c r="P172" s="36" t="s">
        <v>6448</v>
      </c>
    </row>
    <row r="173" spans="1:16" ht="409.5" x14ac:dyDescent="0.25">
      <c r="A173" t="s">
        <v>6663</v>
      </c>
      <c r="B173" t="s">
        <v>6660</v>
      </c>
      <c r="C173" t="s">
        <v>6446</v>
      </c>
      <c r="D173" t="s">
        <v>1027</v>
      </c>
      <c r="E173">
        <v>1402</v>
      </c>
      <c r="F173" t="s">
        <v>6447</v>
      </c>
      <c r="G173" t="b">
        <v>0</v>
      </c>
      <c r="H173" t="b">
        <v>0</v>
      </c>
      <c r="I173" t="s">
        <v>1051</v>
      </c>
      <c r="J173">
        <v>78</v>
      </c>
      <c r="K173" t="s">
        <v>0</v>
      </c>
      <c r="L173" t="s">
        <v>3000</v>
      </c>
      <c r="M173" t="s">
        <v>1548</v>
      </c>
      <c r="N173" t="s">
        <v>1548</v>
      </c>
      <c r="O173" t="s">
        <v>1548</v>
      </c>
      <c r="P173" s="36" t="s">
        <v>6448</v>
      </c>
    </row>
    <row r="174" spans="1:16" ht="409.5" x14ac:dyDescent="0.25">
      <c r="A174" t="s">
        <v>6664</v>
      </c>
      <c r="B174" t="s">
        <v>6660</v>
      </c>
      <c r="C174" t="s">
        <v>6446</v>
      </c>
      <c r="D174" t="s">
        <v>1027</v>
      </c>
      <c r="E174">
        <v>1402</v>
      </c>
      <c r="F174" t="s">
        <v>6447</v>
      </c>
      <c r="G174" t="b">
        <v>0</v>
      </c>
      <c r="H174" t="b">
        <v>0</v>
      </c>
      <c r="I174" t="s">
        <v>1051</v>
      </c>
      <c r="J174">
        <v>78</v>
      </c>
      <c r="K174" t="s">
        <v>0</v>
      </c>
      <c r="L174" t="s">
        <v>3000</v>
      </c>
      <c r="M174" t="s">
        <v>1548</v>
      </c>
      <c r="N174" t="s">
        <v>1548</v>
      </c>
      <c r="O174" t="s">
        <v>1548</v>
      </c>
      <c r="P174" s="36" t="s">
        <v>6448</v>
      </c>
    </row>
    <row r="175" spans="1:16" ht="409.5" x14ac:dyDescent="0.25">
      <c r="A175" t="s">
        <v>6665</v>
      </c>
      <c r="B175" t="s">
        <v>6660</v>
      </c>
      <c r="C175" t="s">
        <v>6446</v>
      </c>
      <c r="D175" t="s">
        <v>1027</v>
      </c>
      <c r="E175">
        <v>1402</v>
      </c>
      <c r="F175" t="s">
        <v>6447</v>
      </c>
      <c r="G175" t="b">
        <v>0</v>
      </c>
      <c r="H175" t="b">
        <v>0</v>
      </c>
      <c r="I175" t="s">
        <v>1051</v>
      </c>
      <c r="J175">
        <v>78</v>
      </c>
      <c r="K175" t="s">
        <v>0</v>
      </c>
      <c r="L175" t="s">
        <v>3000</v>
      </c>
      <c r="M175" t="s">
        <v>1548</v>
      </c>
      <c r="N175" t="s">
        <v>1548</v>
      </c>
      <c r="O175" t="s">
        <v>1548</v>
      </c>
      <c r="P175" s="36" t="s">
        <v>6448</v>
      </c>
    </row>
    <row r="176" spans="1:16" ht="409.5" x14ac:dyDescent="0.25">
      <c r="A176" t="s">
        <v>6666</v>
      </c>
      <c r="B176" t="s">
        <v>6660</v>
      </c>
      <c r="C176" t="s">
        <v>6446</v>
      </c>
      <c r="D176" t="s">
        <v>1027</v>
      </c>
      <c r="E176">
        <v>1402</v>
      </c>
      <c r="F176" t="s">
        <v>6447</v>
      </c>
      <c r="G176" t="b">
        <v>0</v>
      </c>
      <c r="H176" t="b">
        <v>0</v>
      </c>
      <c r="I176" t="s">
        <v>1051</v>
      </c>
      <c r="J176">
        <v>78</v>
      </c>
      <c r="K176" t="s">
        <v>0</v>
      </c>
      <c r="L176" t="s">
        <v>3000</v>
      </c>
      <c r="M176" t="s">
        <v>1548</v>
      </c>
      <c r="N176" t="s">
        <v>1548</v>
      </c>
      <c r="O176" t="s">
        <v>1548</v>
      </c>
      <c r="P176" s="36" t="s">
        <v>6448</v>
      </c>
    </row>
    <row r="177" spans="1:16" ht="409.5" x14ac:dyDescent="0.25">
      <c r="A177" t="s">
        <v>6667</v>
      </c>
      <c r="B177" t="s">
        <v>6660</v>
      </c>
      <c r="C177" t="s">
        <v>6446</v>
      </c>
      <c r="D177" t="s">
        <v>1027</v>
      </c>
      <c r="E177">
        <v>1402</v>
      </c>
      <c r="F177" t="s">
        <v>6447</v>
      </c>
      <c r="G177" t="b">
        <v>0</v>
      </c>
      <c r="H177" t="b">
        <v>0</v>
      </c>
      <c r="I177" t="s">
        <v>1051</v>
      </c>
      <c r="J177">
        <v>78</v>
      </c>
      <c r="K177" t="s">
        <v>0</v>
      </c>
      <c r="L177" t="s">
        <v>3000</v>
      </c>
      <c r="M177" t="s">
        <v>1548</v>
      </c>
      <c r="N177" t="s">
        <v>1548</v>
      </c>
      <c r="O177" t="s">
        <v>1548</v>
      </c>
      <c r="P177" s="36" t="s">
        <v>6448</v>
      </c>
    </row>
    <row r="178" spans="1:16" ht="409.5" x14ac:dyDescent="0.25">
      <c r="A178" t="s">
        <v>6668</v>
      </c>
      <c r="B178" t="s">
        <v>6660</v>
      </c>
      <c r="C178" t="s">
        <v>6446</v>
      </c>
      <c r="D178" t="s">
        <v>1027</v>
      </c>
      <c r="E178">
        <v>1402</v>
      </c>
      <c r="F178" t="s">
        <v>6447</v>
      </c>
      <c r="G178" t="b">
        <v>0</v>
      </c>
      <c r="H178" t="b">
        <v>0</v>
      </c>
      <c r="I178" t="s">
        <v>1051</v>
      </c>
      <c r="J178">
        <v>78</v>
      </c>
      <c r="K178" t="s">
        <v>0</v>
      </c>
      <c r="L178" t="s">
        <v>3000</v>
      </c>
      <c r="M178" t="s">
        <v>1548</v>
      </c>
      <c r="N178" t="s">
        <v>1548</v>
      </c>
      <c r="O178" t="s">
        <v>1548</v>
      </c>
      <c r="P178" s="36" t="s">
        <v>6448</v>
      </c>
    </row>
    <row r="179" spans="1:16" ht="409.5" x14ac:dyDescent="0.25">
      <c r="A179" t="s">
        <v>6669</v>
      </c>
      <c r="B179" t="s">
        <v>6660</v>
      </c>
      <c r="C179" t="s">
        <v>6446</v>
      </c>
      <c r="D179" t="s">
        <v>1027</v>
      </c>
      <c r="E179">
        <v>1402</v>
      </c>
      <c r="F179" t="s">
        <v>6447</v>
      </c>
      <c r="G179" t="b">
        <v>0</v>
      </c>
      <c r="H179" t="b">
        <v>0</v>
      </c>
      <c r="I179" t="s">
        <v>1051</v>
      </c>
      <c r="J179">
        <v>78</v>
      </c>
      <c r="K179" t="s">
        <v>0</v>
      </c>
      <c r="L179" t="s">
        <v>3000</v>
      </c>
      <c r="M179" t="s">
        <v>1548</v>
      </c>
      <c r="N179" t="s">
        <v>1548</v>
      </c>
      <c r="O179" t="s">
        <v>1548</v>
      </c>
      <c r="P179" s="36" t="s">
        <v>6448</v>
      </c>
    </row>
    <row r="180" spans="1:16" ht="409.5" x14ac:dyDescent="0.25">
      <c r="A180" t="s">
        <v>6670</v>
      </c>
      <c r="B180" t="s">
        <v>6660</v>
      </c>
      <c r="C180" t="s">
        <v>6446</v>
      </c>
      <c r="D180" t="s">
        <v>1027</v>
      </c>
      <c r="E180">
        <v>1402</v>
      </c>
      <c r="F180" t="s">
        <v>6447</v>
      </c>
      <c r="G180" t="b">
        <v>0</v>
      </c>
      <c r="H180" t="b">
        <v>0</v>
      </c>
      <c r="I180" t="s">
        <v>1051</v>
      </c>
      <c r="J180">
        <v>78</v>
      </c>
      <c r="K180" t="s">
        <v>0</v>
      </c>
      <c r="L180" t="s">
        <v>3000</v>
      </c>
      <c r="M180" t="s">
        <v>1548</v>
      </c>
      <c r="N180" t="s">
        <v>1548</v>
      </c>
      <c r="O180" t="s">
        <v>1548</v>
      </c>
      <c r="P180" s="36" t="s">
        <v>6448</v>
      </c>
    </row>
    <row r="181" spans="1:16" ht="409.5" x14ac:dyDescent="0.25">
      <c r="A181" t="s">
        <v>6671</v>
      </c>
      <c r="B181" t="s">
        <v>6660</v>
      </c>
      <c r="C181" t="s">
        <v>6446</v>
      </c>
      <c r="D181" t="s">
        <v>1027</v>
      </c>
      <c r="E181">
        <v>1402</v>
      </c>
      <c r="F181" t="s">
        <v>6447</v>
      </c>
      <c r="G181" t="b">
        <v>0</v>
      </c>
      <c r="H181" t="b">
        <v>0</v>
      </c>
      <c r="I181" t="s">
        <v>1051</v>
      </c>
      <c r="J181">
        <v>78</v>
      </c>
      <c r="K181" t="s">
        <v>0</v>
      </c>
      <c r="L181" t="s">
        <v>3000</v>
      </c>
      <c r="M181" t="s">
        <v>1548</v>
      </c>
      <c r="N181" t="s">
        <v>1548</v>
      </c>
      <c r="O181" t="s">
        <v>1548</v>
      </c>
      <c r="P181" s="36" t="s">
        <v>6448</v>
      </c>
    </row>
    <row r="182" spans="1:16" ht="409.5" x14ac:dyDescent="0.25">
      <c r="A182" t="s">
        <v>6672</v>
      </c>
      <c r="B182" t="s">
        <v>6673</v>
      </c>
      <c r="C182" t="s">
        <v>6446</v>
      </c>
      <c r="D182" t="s">
        <v>1027</v>
      </c>
      <c r="E182">
        <v>1402</v>
      </c>
      <c r="F182" t="s">
        <v>6447</v>
      </c>
      <c r="G182" t="b">
        <v>0</v>
      </c>
      <c r="H182" t="b">
        <v>0</v>
      </c>
      <c r="I182" t="s">
        <v>1051</v>
      </c>
      <c r="J182">
        <v>78</v>
      </c>
      <c r="K182" t="s">
        <v>0</v>
      </c>
      <c r="L182" t="s">
        <v>3000</v>
      </c>
      <c r="M182" t="s">
        <v>1548</v>
      </c>
      <c r="N182" t="s">
        <v>1548</v>
      </c>
      <c r="O182" t="s">
        <v>1548</v>
      </c>
      <c r="P182" s="36" t="s">
        <v>6448</v>
      </c>
    </row>
    <row r="183" spans="1:16" ht="409.5" x14ac:dyDescent="0.25">
      <c r="A183" t="s">
        <v>6674</v>
      </c>
      <c r="B183" t="s">
        <v>6673</v>
      </c>
      <c r="C183" t="s">
        <v>6446</v>
      </c>
      <c r="D183" t="s">
        <v>1027</v>
      </c>
      <c r="E183">
        <v>1402</v>
      </c>
      <c r="F183" t="s">
        <v>6447</v>
      </c>
      <c r="G183" t="b">
        <v>0</v>
      </c>
      <c r="H183" t="b">
        <v>0</v>
      </c>
      <c r="I183" t="s">
        <v>1051</v>
      </c>
      <c r="J183">
        <v>78</v>
      </c>
      <c r="K183" t="s">
        <v>0</v>
      </c>
      <c r="L183" t="s">
        <v>3000</v>
      </c>
      <c r="M183" t="s">
        <v>1548</v>
      </c>
      <c r="N183" t="s">
        <v>1548</v>
      </c>
      <c r="O183" t="s">
        <v>1548</v>
      </c>
      <c r="P183" s="36" t="s">
        <v>6448</v>
      </c>
    </row>
    <row r="184" spans="1:16" ht="409.5" x14ac:dyDescent="0.25">
      <c r="A184" t="s">
        <v>6675</v>
      </c>
      <c r="B184" t="s">
        <v>6673</v>
      </c>
      <c r="C184" t="s">
        <v>6446</v>
      </c>
      <c r="D184" t="s">
        <v>1027</v>
      </c>
      <c r="E184">
        <v>1402</v>
      </c>
      <c r="F184" t="s">
        <v>6447</v>
      </c>
      <c r="G184" t="b">
        <v>0</v>
      </c>
      <c r="H184" t="b">
        <v>0</v>
      </c>
      <c r="I184" t="s">
        <v>1051</v>
      </c>
      <c r="J184">
        <v>78</v>
      </c>
      <c r="K184" t="s">
        <v>0</v>
      </c>
      <c r="L184" t="s">
        <v>3000</v>
      </c>
      <c r="M184" t="s">
        <v>1548</v>
      </c>
      <c r="N184" t="s">
        <v>1548</v>
      </c>
      <c r="O184" t="s">
        <v>1548</v>
      </c>
      <c r="P184" s="36" t="s">
        <v>6448</v>
      </c>
    </row>
    <row r="185" spans="1:16" ht="409.5" x14ac:dyDescent="0.25">
      <c r="A185" t="s">
        <v>6676</v>
      </c>
      <c r="B185" t="s">
        <v>6673</v>
      </c>
      <c r="C185" t="s">
        <v>6446</v>
      </c>
      <c r="D185" t="s">
        <v>1027</v>
      </c>
      <c r="E185">
        <v>1402</v>
      </c>
      <c r="F185" t="s">
        <v>6447</v>
      </c>
      <c r="G185" t="b">
        <v>0</v>
      </c>
      <c r="H185" t="b">
        <v>0</v>
      </c>
      <c r="I185" t="s">
        <v>1051</v>
      </c>
      <c r="J185">
        <v>78</v>
      </c>
      <c r="K185" t="s">
        <v>0</v>
      </c>
      <c r="L185" t="s">
        <v>3000</v>
      </c>
      <c r="M185" t="s">
        <v>1548</v>
      </c>
      <c r="N185" t="s">
        <v>1548</v>
      </c>
      <c r="O185" t="s">
        <v>1548</v>
      </c>
      <c r="P185" s="36" t="s">
        <v>6448</v>
      </c>
    </row>
    <row r="186" spans="1:16" ht="409.5" x14ac:dyDescent="0.25">
      <c r="A186" t="s">
        <v>6677</v>
      </c>
      <c r="B186" t="s">
        <v>6673</v>
      </c>
      <c r="C186" t="s">
        <v>6446</v>
      </c>
      <c r="D186" t="s">
        <v>1027</v>
      </c>
      <c r="E186">
        <v>1402</v>
      </c>
      <c r="F186" t="s">
        <v>6447</v>
      </c>
      <c r="G186" t="b">
        <v>0</v>
      </c>
      <c r="H186" t="b">
        <v>0</v>
      </c>
      <c r="I186" t="s">
        <v>1051</v>
      </c>
      <c r="J186">
        <v>78</v>
      </c>
      <c r="K186" t="s">
        <v>0</v>
      </c>
      <c r="L186" t="s">
        <v>3000</v>
      </c>
      <c r="M186" t="s">
        <v>1548</v>
      </c>
      <c r="N186" t="s">
        <v>1548</v>
      </c>
      <c r="O186" t="s">
        <v>1548</v>
      </c>
      <c r="P186" s="36" t="s">
        <v>6448</v>
      </c>
    </row>
    <row r="187" spans="1:16" ht="409.5" x14ac:dyDescent="0.25">
      <c r="A187" t="s">
        <v>6678</v>
      </c>
      <c r="B187" t="s">
        <v>6679</v>
      </c>
      <c r="C187" t="s">
        <v>6446</v>
      </c>
      <c r="D187" t="s">
        <v>1027</v>
      </c>
      <c r="E187">
        <v>1402</v>
      </c>
      <c r="F187" t="s">
        <v>6447</v>
      </c>
      <c r="G187" t="b">
        <v>0</v>
      </c>
      <c r="H187" t="b">
        <v>0</v>
      </c>
      <c r="I187" t="s">
        <v>1051</v>
      </c>
      <c r="J187">
        <v>78</v>
      </c>
      <c r="K187" t="s">
        <v>0</v>
      </c>
      <c r="L187" t="s">
        <v>3000</v>
      </c>
      <c r="M187" t="s">
        <v>1548</v>
      </c>
      <c r="N187" t="s">
        <v>1548</v>
      </c>
      <c r="O187" t="s">
        <v>1548</v>
      </c>
      <c r="P187" s="36" t="s">
        <v>6448</v>
      </c>
    </row>
    <row r="188" spans="1:16" ht="409.5" x14ac:dyDescent="0.25">
      <c r="A188" t="s">
        <v>6680</v>
      </c>
      <c r="B188" t="s">
        <v>6679</v>
      </c>
      <c r="C188" t="s">
        <v>6446</v>
      </c>
      <c r="D188" t="s">
        <v>1027</v>
      </c>
      <c r="E188">
        <v>1402</v>
      </c>
      <c r="F188" t="s">
        <v>6447</v>
      </c>
      <c r="G188" t="b">
        <v>0</v>
      </c>
      <c r="H188" t="b">
        <v>0</v>
      </c>
      <c r="I188" t="s">
        <v>1051</v>
      </c>
      <c r="J188">
        <v>78</v>
      </c>
      <c r="K188" t="s">
        <v>0</v>
      </c>
      <c r="L188" t="s">
        <v>3000</v>
      </c>
      <c r="M188" t="s">
        <v>1548</v>
      </c>
      <c r="N188" t="s">
        <v>1548</v>
      </c>
      <c r="O188" t="s">
        <v>1548</v>
      </c>
      <c r="P188" s="36" t="s">
        <v>6448</v>
      </c>
    </row>
    <row r="189" spans="1:16" ht="409.5" x14ac:dyDescent="0.25">
      <c r="A189" t="s">
        <v>6681</v>
      </c>
      <c r="B189" t="s">
        <v>6679</v>
      </c>
      <c r="C189" t="s">
        <v>6446</v>
      </c>
      <c r="D189" t="s">
        <v>1027</v>
      </c>
      <c r="E189">
        <v>1402</v>
      </c>
      <c r="F189" t="s">
        <v>6447</v>
      </c>
      <c r="G189" t="b">
        <v>0</v>
      </c>
      <c r="H189" t="b">
        <v>0</v>
      </c>
      <c r="I189" t="s">
        <v>1051</v>
      </c>
      <c r="J189">
        <v>78</v>
      </c>
      <c r="K189" t="s">
        <v>0</v>
      </c>
      <c r="L189" t="s">
        <v>3000</v>
      </c>
      <c r="M189" t="s">
        <v>1548</v>
      </c>
      <c r="N189" t="s">
        <v>1548</v>
      </c>
      <c r="O189" t="s">
        <v>1548</v>
      </c>
      <c r="P189" s="36" t="s">
        <v>6448</v>
      </c>
    </row>
    <row r="190" spans="1:16" ht="409.5" x14ac:dyDescent="0.25">
      <c r="A190" t="s">
        <v>6682</v>
      </c>
      <c r="B190" t="s">
        <v>6679</v>
      </c>
      <c r="C190" t="s">
        <v>6446</v>
      </c>
      <c r="D190" t="s">
        <v>1027</v>
      </c>
      <c r="E190">
        <v>1402</v>
      </c>
      <c r="F190" t="s">
        <v>6447</v>
      </c>
      <c r="G190" t="b">
        <v>0</v>
      </c>
      <c r="H190" t="b">
        <v>0</v>
      </c>
      <c r="I190" t="s">
        <v>1051</v>
      </c>
      <c r="J190">
        <v>78</v>
      </c>
      <c r="K190" t="s">
        <v>0</v>
      </c>
      <c r="L190" t="s">
        <v>3000</v>
      </c>
      <c r="M190" t="s">
        <v>1548</v>
      </c>
      <c r="N190" t="s">
        <v>1548</v>
      </c>
      <c r="O190" t="s">
        <v>1548</v>
      </c>
      <c r="P190" s="36" t="s">
        <v>6448</v>
      </c>
    </row>
    <row r="191" spans="1:16" ht="409.5" x14ac:dyDescent="0.25">
      <c r="A191" t="s">
        <v>6683</v>
      </c>
      <c r="B191" t="s">
        <v>6679</v>
      </c>
      <c r="C191" t="s">
        <v>6446</v>
      </c>
      <c r="D191" t="s">
        <v>1027</v>
      </c>
      <c r="E191">
        <v>1402</v>
      </c>
      <c r="F191" t="s">
        <v>6447</v>
      </c>
      <c r="G191" t="b">
        <v>0</v>
      </c>
      <c r="H191" t="b">
        <v>0</v>
      </c>
      <c r="I191" t="s">
        <v>1051</v>
      </c>
      <c r="J191">
        <v>78</v>
      </c>
      <c r="K191" t="s">
        <v>0</v>
      </c>
      <c r="L191" t="s">
        <v>3000</v>
      </c>
      <c r="M191" t="s">
        <v>1548</v>
      </c>
      <c r="N191" t="s">
        <v>1548</v>
      </c>
      <c r="O191" t="s">
        <v>1548</v>
      </c>
      <c r="P191" s="36" t="s">
        <v>6448</v>
      </c>
    </row>
    <row r="192" spans="1:16" ht="409.5" x14ac:dyDescent="0.25">
      <c r="A192" t="s">
        <v>6684</v>
      </c>
      <c r="B192" t="s">
        <v>6679</v>
      </c>
      <c r="C192" t="s">
        <v>6446</v>
      </c>
      <c r="D192" t="s">
        <v>1027</v>
      </c>
      <c r="E192">
        <v>1402</v>
      </c>
      <c r="F192" t="s">
        <v>6447</v>
      </c>
      <c r="G192" t="b">
        <v>0</v>
      </c>
      <c r="H192" t="b">
        <v>0</v>
      </c>
      <c r="I192" t="s">
        <v>1051</v>
      </c>
      <c r="J192">
        <v>78</v>
      </c>
      <c r="K192" t="s">
        <v>0</v>
      </c>
      <c r="L192" t="s">
        <v>3000</v>
      </c>
      <c r="M192" t="s">
        <v>1548</v>
      </c>
      <c r="N192" t="s">
        <v>1548</v>
      </c>
      <c r="O192" t="s">
        <v>1548</v>
      </c>
      <c r="P192" s="36" t="s">
        <v>6448</v>
      </c>
    </row>
    <row r="193" spans="1:16" ht="409.5" x14ac:dyDescent="0.25">
      <c r="A193" t="s">
        <v>6685</v>
      </c>
      <c r="B193" t="s">
        <v>6679</v>
      </c>
      <c r="C193" t="s">
        <v>6446</v>
      </c>
      <c r="D193" t="s">
        <v>1027</v>
      </c>
      <c r="E193">
        <v>1402</v>
      </c>
      <c r="F193" t="s">
        <v>6447</v>
      </c>
      <c r="G193" t="b">
        <v>0</v>
      </c>
      <c r="H193" t="b">
        <v>0</v>
      </c>
      <c r="I193" t="s">
        <v>1051</v>
      </c>
      <c r="J193">
        <v>78</v>
      </c>
      <c r="K193" t="s">
        <v>0</v>
      </c>
      <c r="L193" t="s">
        <v>3000</v>
      </c>
      <c r="M193" t="s">
        <v>1548</v>
      </c>
      <c r="N193" t="s">
        <v>1548</v>
      </c>
      <c r="O193" t="s">
        <v>1548</v>
      </c>
      <c r="P193" s="36" t="s">
        <v>6448</v>
      </c>
    </row>
    <row r="194" spans="1:16" ht="409.5" x14ac:dyDescent="0.25">
      <c r="A194" t="s">
        <v>6686</v>
      </c>
      <c r="B194" t="s">
        <v>6679</v>
      </c>
      <c r="C194" t="s">
        <v>6446</v>
      </c>
      <c r="D194" t="s">
        <v>1027</v>
      </c>
      <c r="E194">
        <v>1402</v>
      </c>
      <c r="F194" t="s">
        <v>6447</v>
      </c>
      <c r="G194" t="b">
        <v>0</v>
      </c>
      <c r="H194" t="b">
        <v>0</v>
      </c>
      <c r="I194" t="s">
        <v>1051</v>
      </c>
      <c r="J194">
        <v>78</v>
      </c>
      <c r="K194" t="s">
        <v>0</v>
      </c>
      <c r="L194" t="s">
        <v>3000</v>
      </c>
      <c r="M194" t="s">
        <v>1548</v>
      </c>
      <c r="N194" t="s">
        <v>1548</v>
      </c>
      <c r="O194" t="s">
        <v>1548</v>
      </c>
      <c r="P194" s="36" t="s">
        <v>6448</v>
      </c>
    </row>
    <row r="195" spans="1:16" ht="409.5" x14ac:dyDescent="0.25">
      <c r="A195" t="s">
        <v>6687</v>
      </c>
      <c r="B195" t="s">
        <v>6679</v>
      </c>
      <c r="C195" t="s">
        <v>6446</v>
      </c>
      <c r="D195" t="s">
        <v>1027</v>
      </c>
      <c r="E195">
        <v>1402</v>
      </c>
      <c r="F195" t="s">
        <v>6447</v>
      </c>
      <c r="G195" t="b">
        <v>0</v>
      </c>
      <c r="H195" t="b">
        <v>0</v>
      </c>
      <c r="I195" t="s">
        <v>1051</v>
      </c>
      <c r="J195">
        <v>78</v>
      </c>
      <c r="K195" t="s">
        <v>0</v>
      </c>
      <c r="L195" t="s">
        <v>3000</v>
      </c>
      <c r="M195" t="s">
        <v>1548</v>
      </c>
      <c r="N195" t="s">
        <v>1548</v>
      </c>
      <c r="O195" t="s">
        <v>1548</v>
      </c>
      <c r="P195" s="36" t="s">
        <v>6448</v>
      </c>
    </row>
    <row r="196" spans="1:16" ht="409.5" x14ac:dyDescent="0.25">
      <c r="A196" t="s">
        <v>6688</v>
      </c>
      <c r="B196" t="s">
        <v>6679</v>
      </c>
      <c r="C196" t="s">
        <v>6446</v>
      </c>
      <c r="D196" t="s">
        <v>1027</v>
      </c>
      <c r="E196">
        <v>1402</v>
      </c>
      <c r="F196" t="s">
        <v>6447</v>
      </c>
      <c r="G196" t="b">
        <v>0</v>
      </c>
      <c r="H196" t="b">
        <v>0</v>
      </c>
      <c r="I196" t="s">
        <v>1051</v>
      </c>
      <c r="J196">
        <v>78</v>
      </c>
      <c r="K196" t="s">
        <v>0</v>
      </c>
      <c r="L196" t="s">
        <v>3000</v>
      </c>
      <c r="M196" t="s">
        <v>1548</v>
      </c>
      <c r="N196" t="s">
        <v>1548</v>
      </c>
      <c r="O196" t="s">
        <v>1548</v>
      </c>
      <c r="P196" s="36" t="s">
        <v>6448</v>
      </c>
    </row>
    <row r="197" spans="1:16" ht="409.5" x14ac:dyDescent="0.25">
      <c r="A197" t="s">
        <v>6689</v>
      </c>
      <c r="B197" t="s">
        <v>6679</v>
      </c>
      <c r="C197" t="s">
        <v>6446</v>
      </c>
      <c r="D197" t="s">
        <v>1027</v>
      </c>
      <c r="E197">
        <v>1402</v>
      </c>
      <c r="F197" t="s">
        <v>6447</v>
      </c>
      <c r="G197" t="b">
        <v>0</v>
      </c>
      <c r="H197" t="b">
        <v>0</v>
      </c>
      <c r="I197" t="s">
        <v>1051</v>
      </c>
      <c r="J197">
        <v>78</v>
      </c>
      <c r="K197" t="s">
        <v>0</v>
      </c>
      <c r="L197" t="s">
        <v>3000</v>
      </c>
      <c r="M197" t="s">
        <v>1548</v>
      </c>
      <c r="N197" t="s">
        <v>1548</v>
      </c>
      <c r="O197" t="s">
        <v>1548</v>
      </c>
      <c r="P197" s="36" t="s">
        <v>6448</v>
      </c>
    </row>
    <row r="198" spans="1:16" ht="409.5" x14ac:dyDescent="0.25">
      <c r="A198" t="s">
        <v>6690</v>
      </c>
      <c r="B198" t="s">
        <v>6679</v>
      </c>
      <c r="C198" t="s">
        <v>6446</v>
      </c>
      <c r="D198" t="s">
        <v>1027</v>
      </c>
      <c r="E198">
        <v>1402</v>
      </c>
      <c r="F198" t="s">
        <v>6447</v>
      </c>
      <c r="G198" t="b">
        <v>0</v>
      </c>
      <c r="H198" t="b">
        <v>0</v>
      </c>
      <c r="I198" t="s">
        <v>1051</v>
      </c>
      <c r="J198">
        <v>78</v>
      </c>
      <c r="K198" t="s">
        <v>0</v>
      </c>
      <c r="L198" t="s">
        <v>3000</v>
      </c>
      <c r="M198" t="s">
        <v>1548</v>
      </c>
      <c r="N198" t="s">
        <v>1548</v>
      </c>
      <c r="O198" t="s">
        <v>1548</v>
      </c>
      <c r="P198" s="36" t="s">
        <v>6448</v>
      </c>
    </row>
    <row r="199" spans="1:16" ht="409.5" x14ac:dyDescent="0.25">
      <c r="A199" t="s">
        <v>6691</v>
      </c>
      <c r="B199" t="s">
        <v>6679</v>
      </c>
      <c r="C199" t="s">
        <v>6446</v>
      </c>
      <c r="D199" t="s">
        <v>1027</v>
      </c>
      <c r="E199">
        <v>1402</v>
      </c>
      <c r="F199" t="s">
        <v>6447</v>
      </c>
      <c r="G199" t="b">
        <v>0</v>
      </c>
      <c r="H199" t="b">
        <v>0</v>
      </c>
      <c r="I199" t="s">
        <v>1051</v>
      </c>
      <c r="J199">
        <v>78</v>
      </c>
      <c r="K199" t="s">
        <v>0</v>
      </c>
      <c r="L199" t="s">
        <v>3000</v>
      </c>
      <c r="M199" t="s">
        <v>1548</v>
      </c>
      <c r="N199" t="s">
        <v>1548</v>
      </c>
      <c r="O199" t="s">
        <v>1548</v>
      </c>
      <c r="P199" s="36" t="s">
        <v>6448</v>
      </c>
    </row>
    <row r="200" spans="1:16" x14ac:dyDescent="0.25">
      <c r="A200" t="s">
        <v>6692</v>
      </c>
      <c r="B200" t="s">
        <v>6693</v>
      </c>
      <c r="C200" t="s">
        <v>1335</v>
      </c>
      <c r="D200" t="s">
        <v>1027</v>
      </c>
      <c r="E200">
        <v>1459</v>
      </c>
      <c r="F200" t="s">
        <v>1336</v>
      </c>
      <c r="G200" t="b">
        <v>0</v>
      </c>
      <c r="H200" t="b">
        <v>0</v>
      </c>
      <c r="I200" t="s">
        <v>1051</v>
      </c>
      <c r="J200">
        <v>78</v>
      </c>
      <c r="K200" t="s">
        <v>2</v>
      </c>
      <c r="L200" t="s">
        <v>1549</v>
      </c>
      <c r="M200" t="s">
        <v>3922</v>
      </c>
      <c r="N200" t="s">
        <v>3922</v>
      </c>
      <c r="O200" t="s">
        <v>3922</v>
      </c>
      <c r="P200" t="s">
        <v>1682</v>
      </c>
    </row>
    <row r="201" spans="1:16" x14ac:dyDescent="0.25">
      <c r="A201" t="s">
        <v>6694</v>
      </c>
      <c r="B201" t="s">
        <v>6693</v>
      </c>
      <c r="C201" t="s">
        <v>1335</v>
      </c>
      <c r="D201" t="s">
        <v>1027</v>
      </c>
      <c r="E201">
        <v>1459</v>
      </c>
      <c r="F201" t="s">
        <v>1336</v>
      </c>
      <c r="G201" t="b">
        <v>0</v>
      </c>
      <c r="H201" t="b">
        <v>0</v>
      </c>
      <c r="I201" t="s">
        <v>1051</v>
      </c>
      <c r="J201">
        <v>78</v>
      </c>
      <c r="K201" t="s">
        <v>2</v>
      </c>
      <c r="L201" t="s">
        <v>1549</v>
      </c>
      <c r="M201" t="s">
        <v>3922</v>
      </c>
      <c r="N201" t="s">
        <v>3922</v>
      </c>
      <c r="O201" t="s">
        <v>3922</v>
      </c>
      <c r="P201" t="s">
        <v>1682</v>
      </c>
    </row>
    <row r="202" spans="1:16" x14ac:dyDescent="0.25">
      <c r="A202" t="s">
        <v>6695</v>
      </c>
      <c r="B202" t="s">
        <v>6693</v>
      </c>
      <c r="C202" t="s">
        <v>1335</v>
      </c>
      <c r="D202" t="s">
        <v>1027</v>
      </c>
      <c r="E202">
        <v>1459</v>
      </c>
      <c r="F202" t="s">
        <v>1336</v>
      </c>
      <c r="G202" t="b">
        <v>0</v>
      </c>
      <c r="H202" t="b">
        <v>0</v>
      </c>
      <c r="I202" t="s">
        <v>1051</v>
      </c>
      <c r="J202">
        <v>78</v>
      </c>
      <c r="K202" t="s">
        <v>2</v>
      </c>
      <c r="L202" t="s">
        <v>1549</v>
      </c>
      <c r="M202" t="s">
        <v>3922</v>
      </c>
      <c r="N202" t="s">
        <v>3922</v>
      </c>
      <c r="O202" t="s">
        <v>3922</v>
      </c>
      <c r="P202" t="s">
        <v>1682</v>
      </c>
    </row>
    <row r="203" spans="1:16" x14ac:dyDescent="0.25">
      <c r="A203" t="s">
        <v>6696</v>
      </c>
      <c r="B203" t="s">
        <v>6693</v>
      </c>
      <c r="C203" t="s">
        <v>1335</v>
      </c>
      <c r="D203" t="s">
        <v>1027</v>
      </c>
      <c r="E203">
        <v>1459</v>
      </c>
      <c r="F203" t="s">
        <v>1336</v>
      </c>
      <c r="G203" t="b">
        <v>0</v>
      </c>
      <c r="H203" t="b">
        <v>0</v>
      </c>
      <c r="I203" t="s">
        <v>1051</v>
      </c>
      <c r="J203">
        <v>78</v>
      </c>
      <c r="K203" t="s">
        <v>2</v>
      </c>
      <c r="L203" t="s">
        <v>1549</v>
      </c>
      <c r="M203" t="s">
        <v>3922</v>
      </c>
      <c r="N203" t="s">
        <v>3922</v>
      </c>
      <c r="O203" t="s">
        <v>3922</v>
      </c>
      <c r="P203" t="s">
        <v>1682</v>
      </c>
    </row>
    <row r="204" spans="1:16" x14ac:dyDescent="0.25">
      <c r="A204" t="s">
        <v>6697</v>
      </c>
      <c r="B204" t="s">
        <v>6693</v>
      </c>
      <c r="C204" t="s">
        <v>1335</v>
      </c>
      <c r="D204" t="s">
        <v>1027</v>
      </c>
      <c r="E204">
        <v>1459</v>
      </c>
      <c r="F204" t="s">
        <v>1336</v>
      </c>
      <c r="G204" t="b">
        <v>0</v>
      </c>
      <c r="H204" t="b">
        <v>0</v>
      </c>
      <c r="I204" t="s">
        <v>1051</v>
      </c>
      <c r="J204">
        <v>78</v>
      </c>
      <c r="K204" t="s">
        <v>2</v>
      </c>
      <c r="L204" t="s">
        <v>1549</v>
      </c>
      <c r="M204" t="s">
        <v>3922</v>
      </c>
      <c r="N204" t="s">
        <v>3922</v>
      </c>
      <c r="O204" t="s">
        <v>3922</v>
      </c>
      <c r="P204" t="s">
        <v>1682</v>
      </c>
    </row>
    <row r="205" spans="1:16" x14ac:dyDescent="0.25">
      <c r="A205" t="s">
        <v>6698</v>
      </c>
      <c r="B205" t="s">
        <v>6693</v>
      </c>
      <c r="C205" t="s">
        <v>1335</v>
      </c>
      <c r="D205" t="s">
        <v>1027</v>
      </c>
      <c r="E205">
        <v>1459</v>
      </c>
      <c r="F205" t="s">
        <v>1336</v>
      </c>
      <c r="G205" t="b">
        <v>0</v>
      </c>
      <c r="H205" t="b">
        <v>0</v>
      </c>
      <c r="I205" t="s">
        <v>1051</v>
      </c>
      <c r="J205">
        <v>78</v>
      </c>
      <c r="K205" t="s">
        <v>2</v>
      </c>
      <c r="L205" t="s">
        <v>1549</v>
      </c>
      <c r="M205" t="s">
        <v>3922</v>
      </c>
      <c r="N205" t="s">
        <v>3922</v>
      </c>
      <c r="O205" t="s">
        <v>3922</v>
      </c>
      <c r="P205" t="s">
        <v>1682</v>
      </c>
    </row>
    <row r="206" spans="1:16" x14ac:dyDescent="0.25">
      <c r="A206" t="s">
        <v>6699</v>
      </c>
      <c r="B206" t="s">
        <v>6700</v>
      </c>
      <c r="C206" t="s">
        <v>1335</v>
      </c>
      <c r="D206" t="s">
        <v>1027</v>
      </c>
      <c r="E206">
        <v>1459</v>
      </c>
      <c r="F206" t="s">
        <v>1336</v>
      </c>
      <c r="G206" t="b">
        <v>0</v>
      </c>
      <c r="H206" t="b">
        <v>0</v>
      </c>
      <c r="I206" t="s">
        <v>1051</v>
      </c>
      <c r="J206">
        <v>78</v>
      </c>
      <c r="K206" t="s">
        <v>2</v>
      </c>
      <c r="L206" t="s">
        <v>1549</v>
      </c>
      <c r="M206" t="s">
        <v>3922</v>
      </c>
      <c r="N206" t="s">
        <v>3922</v>
      </c>
      <c r="O206" t="s">
        <v>3922</v>
      </c>
      <c r="P206" t="s">
        <v>1682</v>
      </c>
    </row>
    <row r="207" spans="1:16" x14ac:dyDescent="0.25">
      <c r="A207" t="s">
        <v>6701</v>
      </c>
      <c r="B207" t="s">
        <v>6700</v>
      </c>
      <c r="C207" t="s">
        <v>1335</v>
      </c>
      <c r="D207" t="s">
        <v>1027</v>
      </c>
      <c r="E207">
        <v>1459</v>
      </c>
      <c r="F207" t="s">
        <v>1336</v>
      </c>
      <c r="G207" t="b">
        <v>0</v>
      </c>
      <c r="H207" t="b">
        <v>0</v>
      </c>
      <c r="I207" t="s">
        <v>1051</v>
      </c>
      <c r="J207">
        <v>78</v>
      </c>
      <c r="K207" t="s">
        <v>2</v>
      </c>
      <c r="L207" t="s">
        <v>1549</v>
      </c>
      <c r="M207" t="s">
        <v>3922</v>
      </c>
      <c r="N207" t="s">
        <v>3922</v>
      </c>
      <c r="O207" t="s">
        <v>3922</v>
      </c>
      <c r="P207" t="s">
        <v>1682</v>
      </c>
    </row>
    <row r="208" spans="1:16" x14ac:dyDescent="0.25">
      <c r="A208" t="s">
        <v>6702</v>
      </c>
      <c r="B208" t="s">
        <v>6700</v>
      </c>
      <c r="C208" t="s">
        <v>1335</v>
      </c>
      <c r="D208" t="s">
        <v>1027</v>
      </c>
      <c r="E208">
        <v>1459</v>
      </c>
      <c r="F208" t="s">
        <v>1336</v>
      </c>
      <c r="G208" t="b">
        <v>0</v>
      </c>
      <c r="H208" t="b">
        <v>0</v>
      </c>
      <c r="I208" t="s">
        <v>1051</v>
      </c>
      <c r="J208">
        <v>78</v>
      </c>
      <c r="K208" t="s">
        <v>2</v>
      </c>
      <c r="L208" t="s">
        <v>1549</v>
      </c>
      <c r="M208" t="s">
        <v>3922</v>
      </c>
      <c r="N208" t="s">
        <v>3922</v>
      </c>
      <c r="O208" t="s">
        <v>3922</v>
      </c>
      <c r="P208" t="s">
        <v>1682</v>
      </c>
    </row>
    <row r="209" spans="1:16" x14ac:dyDescent="0.25">
      <c r="A209" t="s">
        <v>6703</v>
      </c>
      <c r="B209" t="s">
        <v>6700</v>
      </c>
      <c r="C209" t="s">
        <v>1335</v>
      </c>
      <c r="D209" t="s">
        <v>1027</v>
      </c>
      <c r="E209">
        <v>1459</v>
      </c>
      <c r="F209" t="s">
        <v>1336</v>
      </c>
      <c r="G209" t="b">
        <v>0</v>
      </c>
      <c r="H209" t="b">
        <v>0</v>
      </c>
      <c r="I209" t="s">
        <v>1051</v>
      </c>
      <c r="J209">
        <v>78</v>
      </c>
      <c r="K209" t="s">
        <v>2</v>
      </c>
      <c r="L209" t="s">
        <v>1549</v>
      </c>
      <c r="M209" t="s">
        <v>3922</v>
      </c>
      <c r="N209" t="s">
        <v>3922</v>
      </c>
      <c r="O209" t="s">
        <v>3922</v>
      </c>
      <c r="P209" t="s">
        <v>1682</v>
      </c>
    </row>
    <row r="210" spans="1:16" ht="409.5" x14ac:dyDescent="0.25">
      <c r="A210" t="s">
        <v>6704</v>
      </c>
      <c r="B210" t="s">
        <v>6705</v>
      </c>
      <c r="C210" t="s">
        <v>6473</v>
      </c>
      <c r="D210" t="s">
        <v>1027</v>
      </c>
      <c r="E210">
        <v>33419</v>
      </c>
      <c r="F210" t="s">
        <v>6474</v>
      </c>
      <c r="G210" t="b">
        <v>0</v>
      </c>
      <c r="H210" t="b">
        <v>0</v>
      </c>
      <c r="I210" t="s">
        <v>1051</v>
      </c>
      <c r="J210">
        <v>78</v>
      </c>
      <c r="K210" t="s">
        <v>0</v>
      </c>
      <c r="L210" t="s">
        <v>3000</v>
      </c>
      <c r="M210" t="s">
        <v>1548</v>
      </c>
      <c r="N210" t="s">
        <v>1548</v>
      </c>
      <c r="O210" t="s">
        <v>1548</v>
      </c>
      <c r="P210" s="36" t="s">
        <v>6448</v>
      </c>
    </row>
    <row r="211" spans="1:16" ht="409.5" x14ac:dyDescent="0.25">
      <c r="A211" t="s">
        <v>6706</v>
      </c>
      <c r="B211" t="s">
        <v>6705</v>
      </c>
      <c r="C211" t="s">
        <v>6473</v>
      </c>
      <c r="D211" t="s">
        <v>1027</v>
      </c>
      <c r="E211">
        <v>33419</v>
      </c>
      <c r="F211" t="s">
        <v>6474</v>
      </c>
      <c r="G211" t="b">
        <v>0</v>
      </c>
      <c r="H211" t="b">
        <v>0</v>
      </c>
      <c r="I211" t="s">
        <v>1051</v>
      </c>
      <c r="J211">
        <v>78</v>
      </c>
      <c r="K211" t="s">
        <v>0</v>
      </c>
      <c r="L211" t="s">
        <v>3000</v>
      </c>
      <c r="M211" t="s">
        <v>1548</v>
      </c>
      <c r="N211" t="s">
        <v>1548</v>
      </c>
      <c r="O211" t="s">
        <v>1548</v>
      </c>
      <c r="P211" s="36" t="s">
        <v>6448</v>
      </c>
    </row>
    <row r="212" spans="1:16" ht="409.5" x14ac:dyDescent="0.25">
      <c r="A212" t="s">
        <v>6707</v>
      </c>
      <c r="B212" t="s">
        <v>6708</v>
      </c>
      <c r="C212" t="s">
        <v>6446</v>
      </c>
      <c r="D212" t="s">
        <v>1027</v>
      </c>
      <c r="E212">
        <v>1402</v>
      </c>
      <c r="F212" t="s">
        <v>6447</v>
      </c>
      <c r="G212" t="b">
        <v>0</v>
      </c>
      <c r="H212" t="b">
        <v>0</v>
      </c>
      <c r="I212" t="s">
        <v>1051</v>
      </c>
      <c r="J212">
        <v>78</v>
      </c>
      <c r="K212" t="s">
        <v>0</v>
      </c>
      <c r="L212" t="s">
        <v>3000</v>
      </c>
      <c r="M212" t="s">
        <v>1548</v>
      </c>
      <c r="N212" t="s">
        <v>1548</v>
      </c>
      <c r="O212" t="s">
        <v>1548</v>
      </c>
      <c r="P212" s="36" t="s">
        <v>6448</v>
      </c>
    </row>
    <row r="213" spans="1:16" ht="409.5" x14ac:dyDescent="0.25">
      <c r="A213" t="s">
        <v>6709</v>
      </c>
      <c r="B213" t="s">
        <v>6708</v>
      </c>
      <c r="C213" t="s">
        <v>6446</v>
      </c>
      <c r="D213" t="s">
        <v>1027</v>
      </c>
      <c r="E213">
        <v>1402</v>
      </c>
      <c r="F213" t="s">
        <v>6447</v>
      </c>
      <c r="G213" t="b">
        <v>0</v>
      </c>
      <c r="H213" t="b">
        <v>0</v>
      </c>
      <c r="I213" t="s">
        <v>1051</v>
      </c>
      <c r="J213">
        <v>78</v>
      </c>
      <c r="K213" t="s">
        <v>0</v>
      </c>
      <c r="L213" t="s">
        <v>3000</v>
      </c>
      <c r="M213" t="s">
        <v>1548</v>
      </c>
      <c r="N213" t="s">
        <v>1548</v>
      </c>
      <c r="O213" t="s">
        <v>1548</v>
      </c>
      <c r="P213" s="36" t="s">
        <v>6448</v>
      </c>
    </row>
    <row r="214" spans="1:16" ht="409.5" x14ac:dyDescent="0.25">
      <c r="A214" t="s">
        <v>6710</v>
      </c>
      <c r="B214" t="s">
        <v>6708</v>
      </c>
      <c r="C214" t="s">
        <v>6446</v>
      </c>
      <c r="D214" t="s">
        <v>1027</v>
      </c>
      <c r="E214">
        <v>1402</v>
      </c>
      <c r="F214" t="s">
        <v>6447</v>
      </c>
      <c r="G214" t="b">
        <v>0</v>
      </c>
      <c r="H214" t="b">
        <v>0</v>
      </c>
      <c r="I214" t="s">
        <v>1051</v>
      </c>
      <c r="J214">
        <v>78</v>
      </c>
      <c r="K214" t="s">
        <v>0</v>
      </c>
      <c r="L214" t="s">
        <v>3000</v>
      </c>
      <c r="M214" t="s">
        <v>1548</v>
      </c>
      <c r="N214" t="s">
        <v>1548</v>
      </c>
      <c r="O214" t="s">
        <v>1548</v>
      </c>
      <c r="P214" s="36" t="s">
        <v>6448</v>
      </c>
    </row>
    <row r="215" spans="1:16" ht="409.5" x14ac:dyDescent="0.25">
      <c r="A215" t="s">
        <v>6711</v>
      </c>
      <c r="B215" t="s">
        <v>6708</v>
      </c>
      <c r="C215" t="s">
        <v>6446</v>
      </c>
      <c r="D215" t="s">
        <v>1027</v>
      </c>
      <c r="E215">
        <v>1402</v>
      </c>
      <c r="F215" t="s">
        <v>6447</v>
      </c>
      <c r="G215" t="b">
        <v>0</v>
      </c>
      <c r="H215" t="b">
        <v>0</v>
      </c>
      <c r="I215" t="s">
        <v>1051</v>
      </c>
      <c r="J215">
        <v>78</v>
      </c>
      <c r="K215" t="s">
        <v>0</v>
      </c>
      <c r="L215" t="s">
        <v>3000</v>
      </c>
      <c r="M215" t="s">
        <v>1548</v>
      </c>
      <c r="N215" t="s">
        <v>1548</v>
      </c>
      <c r="O215" t="s">
        <v>1548</v>
      </c>
      <c r="P215" s="36" t="s">
        <v>6448</v>
      </c>
    </row>
    <row r="216" spans="1:16" ht="409.5" x14ac:dyDescent="0.25">
      <c r="A216" t="s">
        <v>6712</v>
      </c>
      <c r="B216" t="s">
        <v>6708</v>
      </c>
      <c r="C216" t="s">
        <v>6446</v>
      </c>
      <c r="D216" t="s">
        <v>1027</v>
      </c>
      <c r="E216">
        <v>1402</v>
      </c>
      <c r="F216" t="s">
        <v>6447</v>
      </c>
      <c r="G216" t="b">
        <v>0</v>
      </c>
      <c r="H216" t="b">
        <v>0</v>
      </c>
      <c r="I216" t="s">
        <v>1051</v>
      </c>
      <c r="J216">
        <v>78</v>
      </c>
      <c r="K216" t="s">
        <v>0</v>
      </c>
      <c r="L216" t="s">
        <v>3000</v>
      </c>
      <c r="M216" t="s">
        <v>1548</v>
      </c>
      <c r="N216" t="s">
        <v>1548</v>
      </c>
      <c r="O216" t="s">
        <v>1548</v>
      </c>
      <c r="P216" s="36" t="s">
        <v>6448</v>
      </c>
    </row>
    <row r="217" spans="1:16" ht="409.5" x14ac:dyDescent="0.25">
      <c r="A217" t="s">
        <v>6713</v>
      </c>
      <c r="B217" t="s">
        <v>6708</v>
      </c>
      <c r="C217" t="s">
        <v>6446</v>
      </c>
      <c r="D217" t="s">
        <v>1027</v>
      </c>
      <c r="E217">
        <v>1402</v>
      </c>
      <c r="F217" t="s">
        <v>6447</v>
      </c>
      <c r="G217" t="b">
        <v>0</v>
      </c>
      <c r="H217" t="b">
        <v>0</v>
      </c>
      <c r="I217" t="s">
        <v>1051</v>
      </c>
      <c r="J217">
        <v>78</v>
      </c>
      <c r="K217" t="s">
        <v>0</v>
      </c>
      <c r="L217" t="s">
        <v>3000</v>
      </c>
      <c r="M217" t="s">
        <v>1548</v>
      </c>
      <c r="N217" t="s">
        <v>1548</v>
      </c>
      <c r="O217" t="s">
        <v>1548</v>
      </c>
      <c r="P217" s="36" t="s">
        <v>6448</v>
      </c>
    </row>
    <row r="218" spans="1:16" ht="409.5" x14ac:dyDescent="0.25">
      <c r="A218" t="s">
        <v>6714</v>
      </c>
      <c r="B218" t="s">
        <v>6708</v>
      </c>
      <c r="C218" t="s">
        <v>6446</v>
      </c>
      <c r="D218" t="s">
        <v>1027</v>
      </c>
      <c r="E218">
        <v>1402</v>
      </c>
      <c r="F218" t="s">
        <v>6447</v>
      </c>
      <c r="G218" t="b">
        <v>0</v>
      </c>
      <c r="H218" t="b">
        <v>0</v>
      </c>
      <c r="I218" t="s">
        <v>1051</v>
      </c>
      <c r="J218">
        <v>78</v>
      </c>
      <c r="K218" t="s">
        <v>0</v>
      </c>
      <c r="L218" t="s">
        <v>3000</v>
      </c>
      <c r="M218" t="s">
        <v>1548</v>
      </c>
      <c r="N218" t="s">
        <v>1548</v>
      </c>
      <c r="O218" t="s">
        <v>1548</v>
      </c>
      <c r="P218" s="36" t="s">
        <v>6448</v>
      </c>
    </row>
    <row r="219" spans="1:16" ht="409.5" x14ac:dyDescent="0.25">
      <c r="A219" t="s">
        <v>6715</v>
      </c>
      <c r="B219" t="s">
        <v>6708</v>
      </c>
      <c r="C219" t="s">
        <v>6446</v>
      </c>
      <c r="D219" t="s">
        <v>1027</v>
      </c>
      <c r="E219">
        <v>1402</v>
      </c>
      <c r="F219" t="s">
        <v>6447</v>
      </c>
      <c r="G219" t="b">
        <v>0</v>
      </c>
      <c r="H219" t="b">
        <v>0</v>
      </c>
      <c r="I219" t="s">
        <v>1051</v>
      </c>
      <c r="J219">
        <v>78</v>
      </c>
      <c r="K219" t="s">
        <v>0</v>
      </c>
      <c r="L219" t="s">
        <v>3000</v>
      </c>
      <c r="M219" t="s">
        <v>1548</v>
      </c>
      <c r="N219" t="s">
        <v>1548</v>
      </c>
      <c r="O219" t="s">
        <v>1548</v>
      </c>
      <c r="P219" s="36" t="s">
        <v>6448</v>
      </c>
    </row>
    <row r="220" spans="1:16" ht="409.5" x14ac:dyDescent="0.25">
      <c r="A220" t="s">
        <v>6716</v>
      </c>
      <c r="B220" t="s">
        <v>6705</v>
      </c>
      <c r="C220" t="s">
        <v>6473</v>
      </c>
      <c r="D220" t="s">
        <v>1075</v>
      </c>
      <c r="E220">
        <v>33419</v>
      </c>
      <c r="F220" t="s">
        <v>6474</v>
      </c>
      <c r="G220" t="b">
        <v>0</v>
      </c>
      <c r="H220" t="b">
        <v>0</v>
      </c>
      <c r="I220" t="s">
        <v>1051</v>
      </c>
      <c r="J220">
        <v>78</v>
      </c>
      <c r="K220" t="s">
        <v>0</v>
      </c>
      <c r="L220" t="s">
        <v>3000</v>
      </c>
      <c r="M220" t="s">
        <v>1548</v>
      </c>
      <c r="N220" t="s">
        <v>1548</v>
      </c>
      <c r="O220" t="s">
        <v>1548</v>
      </c>
      <c r="P220" s="36" t="s">
        <v>6448</v>
      </c>
    </row>
    <row r="221" spans="1:16" x14ac:dyDescent="0.25">
      <c r="A221" t="s">
        <v>6717</v>
      </c>
      <c r="B221" t="s">
        <v>6718</v>
      </c>
      <c r="C221" t="s">
        <v>1335</v>
      </c>
      <c r="D221" t="s">
        <v>1027</v>
      </c>
      <c r="E221">
        <v>1459</v>
      </c>
      <c r="F221" t="s">
        <v>1336</v>
      </c>
      <c r="G221" t="b">
        <v>0</v>
      </c>
      <c r="H221" t="b">
        <v>0</v>
      </c>
      <c r="I221" t="s">
        <v>1051</v>
      </c>
      <c r="J221">
        <v>78</v>
      </c>
      <c r="K221" t="s">
        <v>2</v>
      </c>
      <c r="L221" t="s">
        <v>1549</v>
      </c>
      <c r="M221" t="s">
        <v>3922</v>
      </c>
      <c r="N221" t="s">
        <v>3922</v>
      </c>
      <c r="O221" t="s">
        <v>3922</v>
      </c>
      <c r="P221" t="s">
        <v>1682</v>
      </c>
    </row>
    <row r="222" spans="1:16" x14ac:dyDescent="0.25">
      <c r="A222" t="s">
        <v>6719</v>
      </c>
      <c r="B222" t="s">
        <v>6718</v>
      </c>
      <c r="C222" t="s">
        <v>1335</v>
      </c>
      <c r="D222" t="s">
        <v>1027</v>
      </c>
      <c r="E222">
        <v>1459</v>
      </c>
      <c r="F222" t="s">
        <v>1336</v>
      </c>
      <c r="G222" t="b">
        <v>0</v>
      </c>
      <c r="H222" t="b">
        <v>0</v>
      </c>
      <c r="I222" t="s">
        <v>1051</v>
      </c>
      <c r="J222">
        <v>78</v>
      </c>
      <c r="K222" t="s">
        <v>2</v>
      </c>
      <c r="L222" t="s">
        <v>1549</v>
      </c>
      <c r="M222" t="s">
        <v>3922</v>
      </c>
      <c r="N222" t="s">
        <v>3922</v>
      </c>
      <c r="O222" t="s">
        <v>3922</v>
      </c>
      <c r="P222" t="s">
        <v>1682</v>
      </c>
    </row>
    <row r="223" spans="1:16" x14ac:dyDescent="0.25">
      <c r="A223" t="s">
        <v>6720</v>
      </c>
      <c r="B223" t="s">
        <v>6718</v>
      </c>
      <c r="C223" t="s">
        <v>1335</v>
      </c>
      <c r="D223" t="s">
        <v>1027</v>
      </c>
      <c r="E223">
        <v>1459</v>
      </c>
      <c r="F223" t="s">
        <v>1336</v>
      </c>
      <c r="G223" t="b">
        <v>0</v>
      </c>
      <c r="H223" t="b">
        <v>0</v>
      </c>
      <c r="I223" t="s">
        <v>1051</v>
      </c>
      <c r="J223">
        <v>78</v>
      </c>
      <c r="K223" t="s">
        <v>2</v>
      </c>
      <c r="L223" t="s">
        <v>1549</v>
      </c>
      <c r="M223" t="s">
        <v>3922</v>
      </c>
      <c r="N223" t="s">
        <v>3922</v>
      </c>
      <c r="O223" t="s">
        <v>3922</v>
      </c>
      <c r="P223" t="s">
        <v>1682</v>
      </c>
    </row>
    <row r="224" spans="1:16" x14ac:dyDescent="0.25">
      <c r="A224" t="s">
        <v>6721</v>
      </c>
      <c r="B224" t="s">
        <v>6718</v>
      </c>
      <c r="C224" t="s">
        <v>1335</v>
      </c>
      <c r="D224" t="s">
        <v>1027</v>
      </c>
      <c r="E224">
        <v>1459</v>
      </c>
      <c r="F224" t="s">
        <v>1336</v>
      </c>
      <c r="G224" t="b">
        <v>0</v>
      </c>
      <c r="H224" t="b">
        <v>0</v>
      </c>
      <c r="I224" t="s">
        <v>1051</v>
      </c>
      <c r="J224">
        <v>78</v>
      </c>
      <c r="K224" t="s">
        <v>2</v>
      </c>
      <c r="L224" t="s">
        <v>1549</v>
      </c>
      <c r="M224" t="s">
        <v>3922</v>
      </c>
      <c r="N224" t="s">
        <v>3922</v>
      </c>
      <c r="O224" t="s">
        <v>3922</v>
      </c>
      <c r="P224" t="s">
        <v>1682</v>
      </c>
    </row>
    <row r="225" spans="1:16" x14ac:dyDescent="0.25">
      <c r="A225" t="s">
        <v>6722</v>
      </c>
      <c r="B225" t="s">
        <v>6723</v>
      </c>
      <c r="C225" t="s">
        <v>1335</v>
      </c>
      <c r="D225" t="s">
        <v>1027</v>
      </c>
      <c r="E225">
        <v>1459</v>
      </c>
      <c r="F225" t="s">
        <v>1336</v>
      </c>
      <c r="G225" t="b">
        <v>0</v>
      </c>
      <c r="H225" t="b">
        <v>0</v>
      </c>
      <c r="I225" t="s">
        <v>1051</v>
      </c>
      <c r="J225">
        <v>42</v>
      </c>
      <c r="K225" t="s">
        <v>2</v>
      </c>
      <c r="L225" t="s">
        <v>1549</v>
      </c>
      <c r="M225" t="s">
        <v>3922</v>
      </c>
      <c r="N225" t="s">
        <v>3922</v>
      </c>
      <c r="O225" t="s">
        <v>3922</v>
      </c>
      <c r="P225" t="s">
        <v>1682</v>
      </c>
    </row>
    <row r="226" spans="1:16" x14ac:dyDescent="0.25">
      <c r="A226" t="s">
        <v>6724</v>
      </c>
      <c r="B226" t="s">
        <v>6725</v>
      </c>
      <c r="C226" t="s">
        <v>1335</v>
      </c>
      <c r="D226" t="s">
        <v>1027</v>
      </c>
      <c r="E226">
        <v>1459</v>
      </c>
      <c r="F226" t="s">
        <v>1336</v>
      </c>
      <c r="G226" t="b">
        <v>0</v>
      </c>
      <c r="H226" t="b">
        <v>0</v>
      </c>
      <c r="I226" t="s">
        <v>1051</v>
      </c>
      <c r="J226">
        <v>44</v>
      </c>
      <c r="K226" t="s">
        <v>2</v>
      </c>
      <c r="L226" t="s">
        <v>1549</v>
      </c>
      <c r="M226" t="s">
        <v>3922</v>
      </c>
      <c r="N226" t="s">
        <v>3922</v>
      </c>
      <c r="O226" t="s">
        <v>3922</v>
      </c>
      <c r="P226" t="s">
        <v>1682</v>
      </c>
    </row>
    <row r="227" spans="1:16" x14ac:dyDescent="0.25">
      <c r="A227" t="s">
        <v>6726</v>
      </c>
      <c r="B227" t="s">
        <v>6725</v>
      </c>
      <c r="C227" t="s">
        <v>1335</v>
      </c>
      <c r="D227" t="s">
        <v>1027</v>
      </c>
      <c r="E227">
        <v>1459</v>
      </c>
      <c r="F227" t="s">
        <v>1336</v>
      </c>
      <c r="G227" t="b">
        <v>0</v>
      </c>
      <c r="H227" t="b">
        <v>0</v>
      </c>
      <c r="I227" t="s">
        <v>1051</v>
      </c>
      <c r="J227">
        <v>20</v>
      </c>
      <c r="K227" t="s">
        <v>2</v>
      </c>
      <c r="L227" t="s">
        <v>1549</v>
      </c>
      <c r="M227" t="s">
        <v>3922</v>
      </c>
      <c r="N227" t="s">
        <v>3922</v>
      </c>
      <c r="O227" t="s">
        <v>3922</v>
      </c>
      <c r="P227" t="s">
        <v>1682</v>
      </c>
    </row>
    <row r="228" spans="1:16" x14ac:dyDescent="0.25">
      <c r="A228" t="s">
        <v>6727</v>
      </c>
      <c r="B228" t="s">
        <v>6725</v>
      </c>
      <c r="C228" t="s">
        <v>1335</v>
      </c>
      <c r="D228" t="s">
        <v>1027</v>
      </c>
      <c r="E228">
        <v>1459</v>
      </c>
      <c r="F228" t="s">
        <v>1336</v>
      </c>
      <c r="G228" t="b">
        <v>0</v>
      </c>
      <c r="H228" t="b">
        <v>0</v>
      </c>
      <c r="I228" t="s">
        <v>1051</v>
      </c>
      <c r="J228">
        <v>47</v>
      </c>
      <c r="K228" t="s">
        <v>2</v>
      </c>
      <c r="L228" t="s">
        <v>1549</v>
      </c>
      <c r="M228" t="s">
        <v>3922</v>
      </c>
      <c r="N228" t="s">
        <v>3922</v>
      </c>
      <c r="O228" t="s">
        <v>3922</v>
      </c>
      <c r="P228" t="s">
        <v>1682</v>
      </c>
    </row>
    <row r="229" spans="1:16" x14ac:dyDescent="0.25">
      <c r="A229" t="s">
        <v>6728</v>
      </c>
      <c r="B229" t="s">
        <v>6725</v>
      </c>
      <c r="C229" t="s">
        <v>1335</v>
      </c>
      <c r="D229" t="s">
        <v>1027</v>
      </c>
      <c r="E229">
        <v>1459</v>
      </c>
      <c r="F229" t="s">
        <v>1336</v>
      </c>
      <c r="G229" t="b">
        <v>0</v>
      </c>
      <c r="H229" t="b">
        <v>0</v>
      </c>
      <c r="I229" t="s">
        <v>1051</v>
      </c>
      <c r="J229">
        <v>47</v>
      </c>
      <c r="K229" t="s">
        <v>2</v>
      </c>
      <c r="L229" t="s">
        <v>1549</v>
      </c>
      <c r="M229" t="s">
        <v>3922</v>
      </c>
      <c r="N229" t="s">
        <v>3922</v>
      </c>
      <c r="O229" t="s">
        <v>3922</v>
      </c>
      <c r="P229" t="s">
        <v>1682</v>
      </c>
    </row>
    <row r="230" spans="1:16" x14ac:dyDescent="0.25">
      <c r="A230" t="s">
        <v>6729</v>
      </c>
      <c r="B230" t="s">
        <v>6725</v>
      </c>
      <c r="C230" t="s">
        <v>1335</v>
      </c>
      <c r="D230" t="s">
        <v>1027</v>
      </c>
      <c r="E230">
        <v>1459</v>
      </c>
      <c r="F230" t="s">
        <v>1336</v>
      </c>
      <c r="G230" t="b">
        <v>0</v>
      </c>
      <c r="H230" t="b">
        <v>0</v>
      </c>
      <c r="I230" t="s">
        <v>1051</v>
      </c>
      <c r="J230">
        <v>42</v>
      </c>
      <c r="K230" t="s">
        <v>2</v>
      </c>
      <c r="L230" t="s">
        <v>1549</v>
      </c>
      <c r="M230" t="s">
        <v>3922</v>
      </c>
      <c r="N230" t="s">
        <v>3922</v>
      </c>
      <c r="O230" t="s">
        <v>3922</v>
      </c>
      <c r="P230" t="s">
        <v>1682</v>
      </c>
    </row>
    <row r="231" spans="1:16" x14ac:dyDescent="0.25">
      <c r="A231" t="s">
        <v>6730</v>
      </c>
      <c r="B231" t="s">
        <v>6731</v>
      </c>
      <c r="C231" t="s">
        <v>1335</v>
      </c>
      <c r="D231" t="s">
        <v>1027</v>
      </c>
      <c r="E231">
        <v>1459</v>
      </c>
      <c r="F231" t="s">
        <v>1336</v>
      </c>
      <c r="G231" t="b">
        <v>0</v>
      </c>
      <c r="H231" t="b">
        <v>0</v>
      </c>
      <c r="I231" t="s">
        <v>1051</v>
      </c>
      <c r="J231">
        <v>81</v>
      </c>
      <c r="K231" t="s">
        <v>2</v>
      </c>
      <c r="L231" t="s">
        <v>1549</v>
      </c>
      <c r="M231" t="s">
        <v>3922</v>
      </c>
      <c r="N231" t="s">
        <v>3922</v>
      </c>
      <c r="O231" t="s">
        <v>3922</v>
      </c>
      <c r="P231" t="s">
        <v>1682</v>
      </c>
    </row>
    <row r="232" spans="1:16" x14ac:dyDescent="0.25">
      <c r="A232" t="s">
        <v>6732</v>
      </c>
      <c r="B232" t="s">
        <v>6731</v>
      </c>
      <c r="C232" t="s">
        <v>1335</v>
      </c>
      <c r="D232" t="s">
        <v>1027</v>
      </c>
      <c r="E232">
        <v>1459</v>
      </c>
      <c r="F232" t="s">
        <v>1336</v>
      </c>
      <c r="G232" t="b">
        <v>0</v>
      </c>
      <c r="H232" t="b">
        <v>0</v>
      </c>
      <c r="I232" t="s">
        <v>1051</v>
      </c>
      <c r="J232">
        <v>81</v>
      </c>
      <c r="K232" t="s">
        <v>2</v>
      </c>
      <c r="L232" t="s">
        <v>1549</v>
      </c>
      <c r="M232" t="s">
        <v>3922</v>
      </c>
      <c r="N232" t="s">
        <v>3922</v>
      </c>
      <c r="O232" t="s">
        <v>3922</v>
      </c>
      <c r="P232" t="s">
        <v>1682</v>
      </c>
    </row>
    <row r="233" spans="1:16" x14ac:dyDescent="0.25">
      <c r="A233" t="s">
        <v>6733</v>
      </c>
      <c r="B233" t="s">
        <v>6731</v>
      </c>
      <c r="C233" t="s">
        <v>1335</v>
      </c>
      <c r="D233" t="s">
        <v>1027</v>
      </c>
      <c r="E233">
        <v>1459</v>
      </c>
      <c r="F233" t="s">
        <v>1336</v>
      </c>
      <c r="G233" t="b">
        <v>0</v>
      </c>
      <c r="H233" t="b">
        <v>0</v>
      </c>
      <c r="I233" t="s">
        <v>1051</v>
      </c>
      <c r="J233">
        <v>81</v>
      </c>
      <c r="K233" t="s">
        <v>2</v>
      </c>
      <c r="L233" t="s">
        <v>1549</v>
      </c>
      <c r="M233" t="s">
        <v>3922</v>
      </c>
      <c r="N233" t="s">
        <v>3922</v>
      </c>
      <c r="O233" t="s">
        <v>3922</v>
      </c>
      <c r="P233" t="s">
        <v>1682</v>
      </c>
    </row>
    <row r="234" spans="1:16" x14ac:dyDescent="0.25">
      <c r="A234" t="s">
        <v>6734</v>
      </c>
      <c r="B234" t="s">
        <v>6735</v>
      </c>
      <c r="C234" t="s">
        <v>1335</v>
      </c>
      <c r="D234" t="s">
        <v>1027</v>
      </c>
      <c r="E234">
        <v>1459</v>
      </c>
      <c r="F234" t="s">
        <v>1336</v>
      </c>
      <c r="G234" t="b">
        <v>0</v>
      </c>
      <c r="H234" t="b">
        <v>0</v>
      </c>
      <c r="I234" t="s">
        <v>1051</v>
      </c>
      <c r="J234">
        <v>81</v>
      </c>
      <c r="K234" t="s">
        <v>2</v>
      </c>
      <c r="L234" t="s">
        <v>1549</v>
      </c>
      <c r="M234" t="s">
        <v>3922</v>
      </c>
      <c r="N234" t="s">
        <v>3922</v>
      </c>
      <c r="O234" t="s">
        <v>3922</v>
      </c>
      <c r="P234" t="s">
        <v>1682</v>
      </c>
    </row>
    <row r="235" spans="1:16" x14ac:dyDescent="0.25">
      <c r="A235" t="s">
        <v>6736</v>
      </c>
      <c r="B235" t="s">
        <v>6735</v>
      </c>
      <c r="C235" t="s">
        <v>1335</v>
      </c>
      <c r="D235" t="s">
        <v>1027</v>
      </c>
      <c r="E235">
        <v>1459</v>
      </c>
      <c r="F235" t="s">
        <v>1336</v>
      </c>
      <c r="G235" t="b">
        <v>0</v>
      </c>
      <c r="H235" t="b">
        <v>0</v>
      </c>
      <c r="I235" t="s">
        <v>1051</v>
      </c>
      <c r="J235">
        <v>81</v>
      </c>
      <c r="K235" t="s">
        <v>2</v>
      </c>
      <c r="L235" t="s">
        <v>1549</v>
      </c>
      <c r="M235" t="s">
        <v>3922</v>
      </c>
      <c r="N235" t="s">
        <v>3922</v>
      </c>
      <c r="O235" t="s">
        <v>3922</v>
      </c>
      <c r="P235" t="s">
        <v>1682</v>
      </c>
    </row>
    <row r="236" spans="1:16" x14ac:dyDescent="0.25">
      <c r="A236" t="s">
        <v>6737</v>
      </c>
      <c r="B236" t="s">
        <v>6738</v>
      </c>
      <c r="C236" t="s">
        <v>1335</v>
      </c>
      <c r="D236" t="s">
        <v>1027</v>
      </c>
      <c r="E236">
        <v>1459</v>
      </c>
      <c r="F236" t="s">
        <v>1336</v>
      </c>
      <c r="G236" t="b">
        <v>0</v>
      </c>
      <c r="H236" t="b">
        <v>0</v>
      </c>
      <c r="I236" t="s">
        <v>1051</v>
      </c>
      <c r="J236">
        <v>42</v>
      </c>
      <c r="K236" t="s">
        <v>2</v>
      </c>
      <c r="L236" t="s">
        <v>1549</v>
      </c>
      <c r="M236" t="s">
        <v>3922</v>
      </c>
      <c r="N236" t="s">
        <v>3922</v>
      </c>
      <c r="O236" t="s">
        <v>3922</v>
      </c>
      <c r="P236" t="s">
        <v>1682</v>
      </c>
    </row>
    <row r="237" spans="1:16" x14ac:dyDescent="0.25">
      <c r="A237" t="s">
        <v>6739</v>
      </c>
      <c r="B237" t="s">
        <v>6738</v>
      </c>
      <c r="C237" t="s">
        <v>1335</v>
      </c>
      <c r="D237" t="s">
        <v>1027</v>
      </c>
      <c r="E237">
        <v>1459</v>
      </c>
      <c r="F237" t="s">
        <v>1336</v>
      </c>
      <c r="G237" t="b">
        <v>0</v>
      </c>
      <c r="H237" t="b">
        <v>0</v>
      </c>
      <c r="I237" t="s">
        <v>1051</v>
      </c>
      <c r="J237">
        <v>42</v>
      </c>
      <c r="K237" t="s">
        <v>2</v>
      </c>
      <c r="L237" t="s">
        <v>1549</v>
      </c>
      <c r="M237" t="s">
        <v>3922</v>
      </c>
      <c r="N237" t="s">
        <v>3922</v>
      </c>
      <c r="O237" t="s">
        <v>3922</v>
      </c>
      <c r="P237" t="s">
        <v>1682</v>
      </c>
    </row>
    <row r="238" spans="1:16" x14ac:dyDescent="0.25">
      <c r="A238" t="s">
        <v>6740</v>
      </c>
      <c r="B238" t="s">
        <v>6723</v>
      </c>
      <c r="C238" t="s">
        <v>1335</v>
      </c>
      <c r="D238" t="s">
        <v>1027</v>
      </c>
      <c r="E238">
        <v>1459</v>
      </c>
      <c r="F238" t="s">
        <v>1336</v>
      </c>
      <c r="G238" t="b">
        <v>0</v>
      </c>
      <c r="H238" t="b">
        <v>0</v>
      </c>
      <c r="I238" t="s">
        <v>1051</v>
      </c>
      <c r="J238">
        <v>28</v>
      </c>
      <c r="K238" t="s">
        <v>2</v>
      </c>
      <c r="L238" t="s">
        <v>1549</v>
      </c>
      <c r="M238" t="s">
        <v>3922</v>
      </c>
      <c r="N238" t="s">
        <v>3922</v>
      </c>
      <c r="O238" t="s">
        <v>3922</v>
      </c>
      <c r="P238" t="s">
        <v>1682</v>
      </c>
    </row>
    <row r="239" spans="1:16" x14ac:dyDescent="0.25">
      <c r="A239" t="s">
        <v>6741</v>
      </c>
      <c r="B239" t="s">
        <v>6723</v>
      </c>
      <c r="C239" t="s">
        <v>1335</v>
      </c>
      <c r="D239" t="s">
        <v>1027</v>
      </c>
      <c r="E239">
        <v>1459</v>
      </c>
      <c r="F239" t="s">
        <v>1336</v>
      </c>
      <c r="G239" t="b">
        <v>0</v>
      </c>
      <c r="H239" t="b">
        <v>0</v>
      </c>
      <c r="I239" t="s">
        <v>1051</v>
      </c>
      <c r="J239">
        <v>28</v>
      </c>
      <c r="K239" t="s">
        <v>2</v>
      </c>
      <c r="L239" t="s">
        <v>1549</v>
      </c>
      <c r="M239" t="s">
        <v>3922</v>
      </c>
      <c r="N239" t="s">
        <v>3922</v>
      </c>
      <c r="O239" t="s">
        <v>3922</v>
      </c>
      <c r="P239" t="s">
        <v>1682</v>
      </c>
    </row>
    <row r="240" spans="1:16" x14ac:dyDescent="0.25">
      <c r="A240" t="s">
        <v>6742</v>
      </c>
      <c r="B240" t="s">
        <v>6725</v>
      </c>
      <c r="C240" t="s">
        <v>1335</v>
      </c>
      <c r="D240" t="s">
        <v>1075</v>
      </c>
      <c r="E240">
        <v>1459</v>
      </c>
      <c r="F240" t="s">
        <v>1336</v>
      </c>
      <c r="G240" t="b">
        <v>0</v>
      </c>
      <c r="H240" t="b">
        <v>0</v>
      </c>
      <c r="I240" t="s">
        <v>1051</v>
      </c>
      <c r="J240">
        <v>42</v>
      </c>
      <c r="K240" t="s">
        <v>2</v>
      </c>
      <c r="L240" t="s">
        <v>1549</v>
      </c>
      <c r="M240" t="s">
        <v>3922</v>
      </c>
      <c r="N240" t="s">
        <v>3922</v>
      </c>
      <c r="O240" t="s">
        <v>3922</v>
      </c>
      <c r="P240" t="s">
        <v>1682</v>
      </c>
    </row>
    <row r="241" spans="1:16" ht="409.5" x14ac:dyDescent="0.25">
      <c r="A241" t="s">
        <v>6743</v>
      </c>
      <c r="B241" t="s">
        <v>6744</v>
      </c>
      <c r="C241" t="s">
        <v>6446</v>
      </c>
      <c r="D241" t="s">
        <v>1075</v>
      </c>
      <c r="E241">
        <v>1402</v>
      </c>
      <c r="F241" t="s">
        <v>6447</v>
      </c>
      <c r="G241" t="b">
        <v>0</v>
      </c>
      <c r="H241" t="b">
        <v>0</v>
      </c>
      <c r="I241" t="s">
        <v>1051</v>
      </c>
      <c r="J241">
        <v>78</v>
      </c>
      <c r="K241" t="s">
        <v>0</v>
      </c>
      <c r="L241" t="s">
        <v>3000</v>
      </c>
      <c r="M241" t="s">
        <v>1548</v>
      </c>
      <c r="N241" t="s">
        <v>1548</v>
      </c>
      <c r="O241" t="s">
        <v>1548</v>
      </c>
      <c r="P241" s="36" t="s">
        <v>6448</v>
      </c>
    </row>
    <row r="242" spans="1:16" ht="409.5" x14ac:dyDescent="0.25">
      <c r="A242" t="s">
        <v>6745</v>
      </c>
      <c r="B242" t="s">
        <v>6744</v>
      </c>
      <c r="C242" t="s">
        <v>6446</v>
      </c>
      <c r="D242" t="s">
        <v>1075</v>
      </c>
      <c r="E242">
        <v>1402</v>
      </c>
      <c r="F242" t="s">
        <v>6447</v>
      </c>
      <c r="G242" t="b">
        <v>0</v>
      </c>
      <c r="H242" t="b">
        <v>0</v>
      </c>
      <c r="I242" t="s">
        <v>1051</v>
      </c>
      <c r="J242">
        <v>78</v>
      </c>
      <c r="K242" t="s">
        <v>0</v>
      </c>
      <c r="L242" t="s">
        <v>3000</v>
      </c>
      <c r="M242" t="s">
        <v>1548</v>
      </c>
      <c r="N242" t="s">
        <v>1548</v>
      </c>
      <c r="O242" t="s">
        <v>1548</v>
      </c>
      <c r="P242" s="36" t="s">
        <v>6448</v>
      </c>
    </row>
    <row r="243" spans="1:16" ht="409.5" x14ac:dyDescent="0.25">
      <c r="A243" t="s">
        <v>6746</v>
      </c>
      <c r="B243" t="s">
        <v>6747</v>
      </c>
      <c r="C243" t="s">
        <v>6446</v>
      </c>
      <c r="D243" t="s">
        <v>1027</v>
      </c>
      <c r="E243">
        <v>1402</v>
      </c>
      <c r="F243" t="s">
        <v>6447</v>
      </c>
      <c r="G243" t="b">
        <v>0</v>
      </c>
      <c r="H243" t="b">
        <v>0</v>
      </c>
      <c r="I243" t="s">
        <v>1051</v>
      </c>
      <c r="J243">
        <v>78</v>
      </c>
      <c r="K243" t="s">
        <v>0</v>
      </c>
      <c r="L243" t="s">
        <v>3000</v>
      </c>
      <c r="M243" t="s">
        <v>1548</v>
      </c>
      <c r="N243" t="s">
        <v>1548</v>
      </c>
      <c r="O243" t="s">
        <v>1548</v>
      </c>
      <c r="P243" s="36" t="s">
        <v>6448</v>
      </c>
    </row>
    <row r="244" spans="1:16" ht="409.5" x14ac:dyDescent="0.25">
      <c r="A244" t="s">
        <v>6748</v>
      </c>
      <c r="B244" t="s">
        <v>6747</v>
      </c>
      <c r="C244" t="s">
        <v>6446</v>
      </c>
      <c r="D244" t="s">
        <v>1027</v>
      </c>
      <c r="E244">
        <v>1402</v>
      </c>
      <c r="F244" t="s">
        <v>6447</v>
      </c>
      <c r="G244" t="b">
        <v>0</v>
      </c>
      <c r="H244" t="b">
        <v>0</v>
      </c>
      <c r="I244" t="s">
        <v>1051</v>
      </c>
      <c r="J244">
        <v>78</v>
      </c>
      <c r="K244" t="s">
        <v>0</v>
      </c>
      <c r="L244" t="s">
        <v>3000</v>
      </c>
      <c r="M244" t="s">
        <v>1548</v>
      </c>
      <c r="N244" t="s">
        <v>1548</v>
      </c>
      <c r="O244" t="s">
        <v>1548</v>
      </c>
      <c r="P244" s="36" t="s">
        <v>6448</v>
      </c>
    </row>
    <row r="245" spans="1:16" ht="409.5" x14ac:dyDescent="0.25">
      <c r="A245" t="s">
        <v>6749</v>
      </c>
      <c r="B245" t="s">
        <v>6747</v>
      </c>
      <c r="C245" t="s">
        <v>6446</v>
      </c>
      <c r="D245" t="s">
        <v>1027</v>
      </c>
      <c r="E245">
        <v>1402</v>
      </c>
      <c r="F245" t="s">
        <v>6447</v>
      </c>
      <c r="G245" t="b">
        <v>0</v>
      </c>
      <c r="H245" t="b">
        <v>0</v>
      </c>
      <c r="I245" t="s">
        <v>1051</v>
      </c>
      <c r="J245">
        <v>78</v>
      </c>
      <c r="K245" t="s">
        <v>0</v>
      </c>
      <c r="L245" t="s">
        <v>3000</v>
      </c>
      <c r="M245" t="s">
        <v>1548</v>
      </c>
      <c r="N245" t="s">
        <v>1548</v>
      </c>
      <c r="O245" t="s">
        <v>1548</v>
      </c>
      <c r="P245" s="36" t="s">
        <v>6448</v>
      </c>
    </row>
    <row r="246" spans="1:16" ht="409.5" x14ac:dyDescent="0.25">
      <c r="A246" t="s">
        <v>6750</v>
      </c>
      <c r="B246" t="s">
        <v>6747</v>
      </c>
      <c r="C246" t="s">
        <v>6446</v>
      </c>
      <c r="D246" t="s">
        <v>1027</v>
      </c>
      <c r="E246">
        <v>1402</v>
      </c>
      <c r="F246" t="s">
        <v>6447</v>
      </c>
      <c r="G246" t="b">
        <v>0</v>
      </c>
      <c r="H246" t="b">
        <v>0</v>
      </c>
      <c r="I246" t="s">
        <v>1051</v>
      </c>
      <c r="J246">
        <v>78</v>
      </c>
      <c r="K246" t="s">
        <v>0</v>
      </c>
      <c r="L246" t="s">
        <v>3000</v>
      </c>
      <c r="M246" t="s">
        <v>1548</v>
      </c>
      <c r="N246" t="s">
        <v>1548</v>
      </c>
      <c r="O246" t="s">
        <v>1548</v>
      </c>
      <c r="P246" s="36" t="s">
        <v>6448</v>
      </c>
    </row>
    <row r="247" spans="1:16" ht="409.5" x14ac:dyDescent="0.25">
      <c r="A247" t="s">
        <v>6751</v>
      </c>
      <c r="B247" t="s">
        <v>6747</v>
      </c>
      <c r="C247" t="s">
        <v>6446</v>
      </c>
      <c r="D247" t="s">
        <v>1027</v>
      </c>
      <c r="E247">
        <v>1402</v>
      </c>
      <c r="F247" t="s">
        <v>6447</v>
      </c>
      <c r="G247" t="b">
        <v>0</v>
      </c>
      <c r="H247" t="b">
        <v>0</v>
      </c>
      <c r="I247" t="s">
        <v>1051</v>
      </c>
      <c r="J247">
        <v>78</v>
      </c>
      <c r="K247" t="s">
        <v>0</v>
      </c>
      <c r="L247" t="s">
        <v>3000</v>
      </c>
      <c r="M247" t="s">
        <v>1548</v>
      </c>
      <c r="N247" t="s">
        <v>1548</v>
      </c>
      <c r="O247" t="s">
        <v>1548</v>
      </c>
      <c r="P247" s="36" t="s">
        <v>6448</v>
      </c>
    </row>
    <row r="248" spans="1:16" ht="409.5" x14ac:dyDescent="0.25">
      <c r="A248" t="s">
        <v>6752</v>
      </c>
      <c r="B248" t="s">
        <v>6747</v>
      </c>
      <c r="C248" t="s">
        <v>6446</v>
      </c>
      <c r="D248" t="s">
        <v>1027</v>
      </c>
      <c r="E248">
        <v>1402</v>
      </c>
      <c r="F248" t="s">
        <v>6447</v>
      </c>
      <c r="G248" t="b">
        <v>0</v>
      </c>
      <c r="H248" t="b">
        <v>0</v>
      </c>
      <c r="I248" t="s">
        <v>1051</v>
      </c>
      <c r="J248">
        <v>78</v>
      </c>
      <c r="K248" t="s">
        <v>0</v>
      </c>
      <c r="L248" t="s">
        <v>3000</v>
      </c>
      <c r="M248" t="s">
        <v>1548</v>
      </c>
      <c r="N248" t="s">
        <v>1548</v>
      </c>
      <c r="O248" t="s">
        <v>1548</v>
      </c>
      <c r="P248" s="36" t="s">
        <v>6448</v>
      </c>
    </row>
    <row r="249" spans="1:16" ht="409.5" x14ac:dyDescent="0.25">
      <c r="A249" t="s">
        <v>6753</v>
      </c>
      <c r="B249" t="s">
        <v>6747</v>
      </c>
      <c r="C249" t="s">
        <v>6446</v>
      </c>
      <c r="D249" t="s">
        <v>1027</v>
      </c>
      <c r="E249">
        <v>1402</v>
      </c>
      <c r="F249" t="s">
        <v>6447</v>
      </c>
      <c r="G249" t="b">
        <v>0</v>
      </c>
      <c r="H249" t="b">
        <v>0</v>
      </c>
      <c r="I249" t="s">
        <v>1051</v>
      </c>
      <c r="J249">
        <v>78</v>
      </c>
      <c r="K249" t="s">
        <v>0</v>
      </c>
      <c r="L249" t="s">
        <v>3000</v>
      </c>
      <c r="M249" t="s">
        <v>1548</v>
      </c>
      <c r="N249" t="s">
        <v>1548</v>
      </c>
      <c r="O249" t="s">
        <v>1548</v>
      </c>
      <c r="P249" s="36" t="s">
        <v>6448</v>
      </c>
    </row>
    <row r="250" spans="1:16" ht="409.5" x14ac:dyDescent="0.25">
      <c r="A250" t="s">
        <v>6754</v>
      </c>
      <c r="B250" t="s">
        <v>6747</v>
      </c>
      <c r="C250" t="s">
        <v>6446</v>
      </c>
      <c r="D250" t="s">
        <v>1027</v>
      </c>
      <c r="E250">
        <v>1402</v>
      </c>
      <c r="F250" t="s">
        <v>6447</v>
      </c>
      <c r="G250" t="b">
        <v>0</v>
      </c>
      <c r="H250" t="b">
        <v>0</v>
      </c>
      <c r="I250" t="s">
        <v>1051</v>
      </c>
      <c r="J250">
        <v>78</v>
      </c>
      <c r="K250" t="s">
        <v>0</v>
      </c>
      <c r="L250" t="s">
        <v>3000</v>
      </c>
      <c r="M250" t="s">
        <v>1548</v>
      </c>
      <c r="N250" t="s">
        <v>1548</v>
      </c>
      <c r="O250" t="s">
        <v>1548</v>
      </c>
      <c r="P250" s="36" t="s">
        <v>6448</v>
      </c>
    </row>
    <row r="251" spans="1:16" ht="409.5" x14ac:dyDescent="0.25">
      <c r="A251" t="s">
        <v>6755</v>
      </c>
      <c r="B251" t="s">
        <v>6747</v>
      </c>
      <c r="C251" t="s">
        <v>6446</v>
      </c>
      <c r="D251" t="s">
        <v>1027</v>
      </c>
      <c r="E251">
        <v>1402</v>
      </c>
      <c r="F251" t="s">
        <v>6447</v>
      </c>
      <c r="G251" t="b">
        <v>0</v>
      </c>
      <c r="H251" t="b">
        <v>0</v>
      </c>
      <c r="I251" t="s">
        <v>1051</v>
      </c>
      <c r="J251">
        <v>78</v>
      </c>
      <c r="K251" t="s">
        <v>0</v>
      </c>
      <c r="L251" t="s">
        <v>3000</v>
      </c>
      <c r="M251" t="s">
        <v>1548</v>
      </c>
      <c r="N251" t="s">
        <v>1548</v>
      </c>
      <c r="O251" t="s">
        <v>1548</v>
      </c>
      <c r="P251" s="36" t="s">
        <v>6448</v>
      </c>
    </row>
    <row r="252" spans="1:16" ht="409.5" x14ac:dyDescent="0.25">
      <c r="A252" t="s">
        <v>6756</v>
      </c>
      <c r="B252" t="s">
        <v>6747</v>
      </c>
      <c r="C252" t="s">
        <v>6446</v>
      </c>
      <c r="D252" t="s">
        <v>1027</v>
      </c>
      <c r="E252">
        <v>1402</v>
      </c>
      <c r="F252" t="s">
        <v>6447</v>
      </c>
      <c r="G252" t="b">
        <v>0</v>
      </c>
      <c r="H252" t="b">
        <v>0</v>
      </c>
      <c r="I252" t="s">
        <v>1051</v>
      </c>
      <c r="J252">
        <v>78</v>
      </c>
      <c r="K252" t="s">
        <v>0</v>
      </c>
      <c r="L252" t="s">
        <v>3000</v>
      </c>
      <c r="M252" t="s">
        <v>1548</v>
      </c>
      <c r="N252" t="s">
        <v>1548</v>
      </c>
      <c r="O252" t="s">
        <v>1548</v>
      </c>
      <c r="P252" s="36" t="s">
        <v>6448</v>
      </c>
    </row>
    <row r="253" spans="1:16" ht="409.5" x14ac:dyDescent="0.25">
      <c r="A253" t="s">
        <v>6757</v>
      </c>
      <c r="B253" t="s">
        <v>6747</v>
      </c>
      <c r="C253" t="s">
        <v>6446</v>
      </c>
      <c r="D253" t="s">
        <v>1027</v>
      </c>
      <c r="E253">
        <v>1402</v>
      </c>
      <c r="F253" t="s">
        <v>6447</v>
      </c>
      <c r="G253" t="b">
        <v>0</v>
      </c>
      <c r="H253" t="b">
        <v>0</v>
      </c>
      <c r="I253" t="s">
        <v>1051</v>
      </c>
      <c r="J253">
        <v>78</v>
      </c>
      <c r="K253" t="s">
        <v>0</v>
      </c>
      <c r="L253" t="s">
        <v>3000</v>
      </c>
      <c r="M253" t="s">
        <v>1548</v>
      </c>
      <c r="N253" t="s">
        <v>1548</v>
      </c>
      <c r="O253" t="s">
        <v>1548</v>
      </c>
      <c r="P253" s="36" t="s">
        <v>6448</v>
      </c>
    </row>
    <row r="254" spans="1:16" ht="409.5" x14ac:dyDescent="0.25">
      <c r="A254" t="s">
        <v>6758</v>
      </c>
      <c r="B254" t="s">
        <v>6747</v>
      </c>
      <c r="C254" t="s">
        <v>6446</v>
      </c>
      <c r="D254" t="s">
        <v>1027</v>
      </c>
      <c r="E254">
        <v>1402</v>
      </c>
      <c r="F254" t="s">
        <v>6447</v>
      </c>
      <c r="G254" t="b">
        <v>0</v>
      </c>
      <c r="H254" t="b">
        <v>0</v>
      </c>
      <c r="I254" t="s">
        <v>1051</v>
      </c>
      <c r="J254">
        <v>78</v>
      </c>
      <c r="K254" t="s">
        <v>0</v>
      </c>
      <c r="L254" t="s">
        <v>3000</v>
      </c>
      <c r="M254" t="s">
        <v>1548</v>
      </c>
      <c r="N254" t="s">
        <v>1548</v>
      </c>
      <c r="O254" t="s">
        <v>1548</v>
      </c>
      <c r="P254" s="36" t="s">
        <v>6448</v>
      </c>
    </row>
    <row r="255" spans="1:16" ht="409.5" x14ac:dyDescent="0.25">
      <c r="A255" t="s">
        <v>6759</v>
      </c>
      <c r="B255" t="s">
        <v>6747</v>
      </c>
      <c r="C255" t="s">
        <v>6446</v>
      </c>
      <c r="D255" t="s">
        <v>1027</v>
      </c>
      <c r="E255">
        <v>1402</v>
      </c>
      <c r="F255" t="s">
        <v>6447</v>
      </c>
      <c r="G255" t="b">
        <v>0</v>
      </c>
      <c r="H255" t="b">
        <v>0</v>
      </c>
      <c r="I255" t="s">
        <v>1051</v>
      </c>
      <c r="J255">
        <v>78</v>
      </c>
      <c r="K255" t="s">
        <v>0</v>
      </c>
      <c r="L255" t="s">
        <v>3000</v>
      </c>
      <c r="M255" t="s">
        <v>1548</v>
      </c>
      <c r="N255" t="s">
        <v>1548</v>
      </c>
      <c r="O255" t="s">
        <v>1548</v>
      </c>
      <c r="P255" s="36" t="s">
        <v>6448</v>
      </c>
    </row>
    <row r="256" spans="1:16" ht="409.5" x14ac:dyDescent="0.25">
      <c r="A256" t="s">
        <v>6760</v>
      </c>
      <c r="B256" t="s">
        <v>6747</v>
      </c>
      <c r="C256" t="s">
        <v>6446</v>
      </c>
      <c r="D256" t="s">
        <v>1027</v>
      </c>
      <c r="E256">
        <v>1402</v>
      </c>
      <c r="F256" t="s">
        <v>6447</v>
      </c>
      <c r="G256" t="b">
        <v>0</v>
      </c>
      <c r="H256" t="b">
        <v>0</v>
      </c>
      <c r="I256" t="s">
        <v>1051</v>
      </c>
      <c r="J256">
        <v>78</v>
      </c>
      <c r="K256" t="s">
        <v>0</v>
      </c>
      <c r="L256" t="s">
        <v>3000</v>
      </c>
      <c r="M256" t="s">
        <v>1548</v>
      </c>
      <c r="N256" t="s">
        <v>1548</v>
      </c>
      <c r="O256" t="s">
        <v>1548</v>
      </c>
      <c r="P256" s="36" t="s">
        <v>6448</v>
      </c>
    </row>
    <row r="257" spans="1:16" ht="409.5" x14ac:dyDescent="0.25">
      <c r="A257" t="s">
        <v>6761</v>
      </c>
      <c r="B257" t="s">
        <v>6747</v>
      </c>
      <c r="C257" t="s">
        <v>6446</v>
      </c>
      <c r="D257" t="s">
        <v>1027</v>
      </c>
      <c r="E257">
        <v>1402</v>
      </c>
      <c r="F257" t="s">
        <v>6447</v>
      </c>
      <c r="G257" t="b">
        <v>0</v>
      </c>
      <c r="H257" t="b">
        <v>0</v>
      </c>
      <c r="I257" t="s">
        <v>1051</v>
      </c>
      <c r="J257">
        <v>78</v>
      </c>
      <c r="K257" t="s">
        <v>0</v>
      </c>
      <c r="L257" t="s">
        <v>3000</v>
      </c>
      <c r="M257" t="s">
        <v>1548</v>
      </c>
      <c r="N257" t="s">
        <v>1548</v>
      </c>
      <c r="O257" t="s">
        <v>1548</v>
      </c>
      <c r="P257" s="36" t="s">
        <v>6448</v>
      </c>
    </row>
    <row r="258" spans="1:16" ht="409.5" x14ac:dyDescent="0.25">
      <c r="A258" t="s">
        <v>6762</v>
      </c>
      <c r="B258" t="s">
        <v>6747</v>
      </c>
      <c r="C258" t="s">
        <v>6446</v>
      </c>
      <c r="D258" t="s">
        <v>1027</v>
      </c>
      <c r="E258">
        <v>1402</v>
      </c>
      <c r="F258" t="s">
        <v>6447</v>
      </c>
      <c r="G258" t="b">
        <v>0</v>
      </c>
      <c r="H258" t="b">
        <v>0</v>
      </c>
      <c r="I258" t="s">
        <v>1051</v>
      </c>
      <c r="J258">
        <v>78</v>
      </c>
      <c r="K258" t="s">
        <v>0</v>
      </c>
      <c r="L258" t="s">
        <v>3000</v>
      </c>
      <c r="M258" t="s">
        <v>1548</v>
      </c>
      <c r="N258" t="s">
        <v>1548</v>
      </c>
      <c r="O258" t="s">
        <v>1548</v>
      </c>
      <c r="P258" s="36" t="s">
        <v>6448</v>
      </c>
    </row>
    <row r="259" spans="1:16" ht="409.5" x14ac:dyDescent="0.25">
      <c r="A259" t="s">
        <v>6763</v>
      </c>
      <c r="B259" t="s">
        <v>6747</v>
      </c>
      <c r="C259" t="s">
        <v>6446</v>
      </c>
      <c r="D259" t="s">
        <v>1027</v>
      </c>
      <c r="E259">
        <v>1402</v>
      </c>
      <c r="F259" t="s">
        <v>6447</v>
      </c>
      <c r="G259" t="b">
        <v>0</v>
      </c>
      <c r="H259" t="b">
        <v>0</v>
      </c>
      <c r="I259" t="s">
        <v>1051</v>
      </c>
      <c r="J259">
        <v>78</v>
      </c>
      <c r="K259" t="s">
        <v>0</v>
      </c>
      <c r="L259" t="s">
        <v>3000</v>
      </c>
      <c r="M259" t="s">
        <v>1548</v>
      </c>
      <c r="N259" t="s">
        <v>1548</v>
      </c>
      <c r="O259" t="s">
        <v>1548</v>
      </c>
      <c r="P259" s="36" t="s">
        <v>6448</v>
      </c>
    </row>
    <row r="260" spans="1:16" ht="409.5" x14ac:dyDescent="0.25">
      <c r="A260" t="s">
        <v>6764</v>
      </c>
      <c r="B260" t="s">
        <v>6747</v>
      </c>
      <c r="C260" t="s">
        <v>6446</v>
      </c>
      <c r="D260" t="s">
        <v>1027</v>
      </c>
      <c r="E260">
        <v>1402</v>
      </c>
      <c r="F260" t="s">
        <v>6447</v>
      </c>
      <c r="G260" t="b">
        <v>0</v>
      </c>
      <c r="H260" t="b">
        <v>0</v>
      </c>
      <c r="I260" t="s">
        <v>1051</v>
      </c>
      <c r="J260">
        <v>78</v>
      </c>
      <c r="K260" t="s">
        <v>0</v>
      </c>
      <c r="L260" t="s">
        <v>3000</v>
      </c>
      <c r="M260" t="s">
        <v>1548</v>
      </c>
      <c r="N260" t="s">
        <v>1548</v>
      </c>
      <c r="O260" t="s">
        <v>1548</v>
      </c>
      <c r="P260" s="36" t="s">
        <v>6448</v>
      </c>
    </row>
    <row r="261" spans="1:16" ht="409.5" x14ac:dyDescent="0.25">
      <c r="A261" t="s">
        <v>6765</v>
      </c>
      <c r="B261" t="s">
        <v>6747</v>
      </c>
      <c r="C261" t="s">
        <v>6446</v>
      </c>
      <c r="D261" t="s">
        <v>1027</v>
      </c>
      <c r="E261">
        <v>1402</v>
      </c>
      <c r="F261" t="s">
        <v>6447</v>
      </c>
      <c r="G261" t="b">
        <v>0</v>
      </c>
      <c r="H261" t="b">
        <v>0</v>
      </c>
      <c r="I261" t="s">
        <v>1051</v>
      </c>
      <c r="J261">
        <v>78</v>
      </c>
      <c r="K261" t="s">
        <v>0</v>
      </c>
      <c r="L261" t="s">
        <v>3000</v>
      </c>
      <c r="M261" t="s">
        <v>1548</v>
      </c>
      <c r="N261" t="s">
        <v>1548</v>
      </c>
      <c r="O261" t="s">
        <v>1548</v>
      </c>
      <c r="P261" s="36" t="s">
        <v>6448</v>
      </c>
    </row>
    <row r="262" spans="1:16" ht="409.5" x14ac:dyDescent="0.25">
      <c r="A262" t="s">
        <v>6766</v>
      </c>
      <c r="B262" t="s">
        <v>6747</v>
      </c>
      <c r="C262" t="s">
        <v>6446</v>
      </c>
      <c r="D262" t="s">
        <v>1027</v>
      </c>
      <c r="E262">
        <v>1402</v>
      </c>
      <c r="F262" t="s">
        <v>6447</v>
      </c>
      <c r="G262" t="b">
        <v>0</v>
      </c>
      <c r="H262" t="b">
        <v>0</v>
      </c>
      <c r="I262" t="s">
        <v>1051</v>
      </c>
      <c r="J262">
        <v>78</v>
      </c>
      <c r="K262" t="s">
        <v>0</v>
      </c>
      <c r="L262" t="s">
        <v>3000</v>
      </c>
      <c r="M262" t="s">
        <v>1548</v>
      </c>
      <c r="N262" t="s">
        <v>1548</v>
      </c>
      <c r="O262" t="s">
        <v>1548</v>
      </c>
      <c r="P262" s="36" t="s">
        <v>6448</v>
      </c>
    </row>
    <row r="263" spans="1:16" ht="409.5" x14ac:dyDescent="0.25">
      <c r="A263" t="s">
        <v>6767</v>
      </c>
      <c r="B263" t="s">
        <v>6744</v>
      </c>
      <c r="C263" t="s">
        <v>6446</v>
      </c>
      <c r="D263" t="s">
        <v>1027</v>
      </c>
      <c r="E263">
        <v>1402</v>
      </c>
      <c r="F263" t="s">
        <v>6447</v>
      </c>
      <c r="G263" t="b">
        <v>0</v>
      </c>
      <c r="H263" t="b">
        <v>0</v>
      </c>
      <c r="I263" t="s">
        <v>1051</v>
      </c>
      <c r="J263">
        <v>78</v>
      </c>
      <c r="K263" t="s">
        <v>0</v>
      </c>
      <c r="L263" t="s">
        <v>3000</v>
      </c>
      <c r="M263" t="s">
        <v>1548</v>
      </c>
      <c r="N263" t="s">
        <v>1548</v>
      </c>
      <c r="O263" t="s">
        <v>1548</v>
      </c>
      <c r="P263" s="36" t="s">
        <v>6448</v>
      </c>
    </row>
    <row r="264" spans="1:16" ht="409.5" x14ac:dyDescent="0.25">
      <c r="A264" t="s">
        <v>6768</v>
      </c>
      <c r="B264" t="s">
        <v>6744</v>
      </c>
      <c r="C264" t="s">
        <v>6446</v>
      </c>
      <c r="D264" t="s">
        <v>1027</v>
      </c>
      <c r="E264">
        <v>1402</v>
      </c>
      <c r="F264" t="s">
        <v>6447</v>
      </c>
      <c r="G264" t="b">
        <v>0</v>
      </c>
      <c r="H264" t="b">
        <v>0</v>
      </c>
      <c r="I264" t="s">
        <v>1051</v>
      </c>
      <c r="J264">
        <v>78</v>
      </c>
      <c r="K264" t="s">
        <v>0</v>
      </c>
      <c r="L264" t="s">
        <v>3000</v>
      </c>
      <c r="M264" t="s">
        <v>1548</v>
      </c>
      <c r="N264" t="s">
        <v>1548</v>
      </c>
      <c r="O264" t="s">
        <v>1548</v>
      </c>
      <c r="P264" s="36" t="s">
        <v>6448</v>
      </c>
    </row>
    <row r="265" spans="1:16" ht="409.5" x14ac:dyDescent="0.25">
      <c r="A265" t="s">
        <v>6769</v>
      </c>
      <c r="B265" t="s">
        <v>6744</v>
      </c>
      <c r="C265" t="s">
        <v>6446</v>
      </c>
      <c r="D265" t="s">
        <v>1027</v>
      </c>
      <c r="E265">
        <v>1402</v>
      </c>
      <c r="F265" t="s">
        <v>6447</v>
      </c>
      <c r="G265" t="b">
        <v>0</v>
      </c>
      <c r="H265" t="b">
        <v>0</v>
      </c>
      <c r="I265" t="s">
        <v>1051</v>
      </c>
      <c r="J265">
        <v>78</v>
      </c>
      <c r="K265" t="s">
        <v>0</v>
      </c>
      <c r="L265" t="s">
        <v>3000</v>
      </c>
      <c r="M265" t="s">
        <v>1548</v>
      </c>
      <c r="N265" t="s">
        <v>1548</v>
      </c>
      <c r="O265" t="s">
        <v>1548</v>
      </c>
      <c r="P265" s="36" t="s">
        <v>6448</v>
      </c>
    </row>
    <row r="266" spans="1:16" ht="409.5" x14ac:dyDescent="0.25">
      <c r="A266" t="s">
        <v>6770</v>
      </c>
      <c r="B266" t="s">
        <v>6744</v>
      </c>
      <c r="C266" t="s">
        <v>6446</v>
      </c>
      <c r="D266" t="s">
        <v>1027</v>
      </c>
      <c r="E266">
        <v>1402</v>
      </c>
      <c r="F266" t="s">
        <v>6447</v>
      </c>
      <c r="G266" t="b">
        <v>0</v>
      </c>
      <c r="H266" t="b">
        <v>0</v>
      </c>
      <c r="I266" t="s">
        <v>1051</v>
      </c>
      <c r="J266">
        <v>78</v>
      </c>
      <c r="K266" t="s">
        <v>0</v>
      </c>
      <c r="L266" t="s">
        <v>3000</v>
      </c>
      <c r="M266" t="s">
        <v>1548</v>
      </c>
      <c r="N266" t="s">
        <v>1548</v>
      </c>
      <c r="O266" t="s">
        <v>1548</v>
      </c>
      <c r="P266" s="36" t="s">
        <v>6448</v>
      </c>
    </row>
    <row r="267" spans="1:16" ht="409.5" x14ac:dyDescent="0.25">
      <c r="A267" t="s">
        <v>6771</v>
      </c>
      <c r="B267" t="s">
        <v>6744</v>
      </c>
      <c r="C267" t="s">
        <v>6446</v>
      </c>
      <c r="D267" t="s">
        <v>1027</v>
      </c>
      <c r="E267">
        <v>1402</v>
      </c>
      <c r="F267" t="s">
        <v>6447</v>
      </c>
      <c r="G267" t="b">
        <v>0</v>
      </c>
      <c r="H267" t="b">
        <v>0</v>
      </c>
      <c r="I267" t="s">
        <v>1051</v>
      </c>
      <c r="J267">
        <v>78</v>
      </c>
      <c r="K267" t="s">
        <v>0</v>
      </c>
      <c r="L267" t="s">
        <v>3000</v>
      </c>
      <c r="M267" t="s">
        <v>1548</v>
      </c>
      <c r="N267" t="s">
        <v>1548</v>
      </c>
      <c r="O267" t="s">
        <v>1548</v>
      </c>
      <c r="P267" s="36" t="s">
        <v>6448</v>
      </c>
    </row>
    <row r="268" spans="1:16" ht="409.5" x14ac:dyDescent="0.25">
      <c r="A268" t="s">
        <v>6772</v>
      </c>
      <c r="B268" t="s">
        <v>6744</v>
      </c>
      <c r="C268" t="s">
        <v>6446</v>
      </c>
      <c r="D268" t="s">
        <v>1027</v>
      </c>
      <c r="E268">
        <v>1402</v>
      </c>
      <c r="F268" t="s">
        <v>6447</v>
      </c>
      <c r="G268" t="b">
        <v>0</v>
      </c>
      <c r="H268" t="b">
        <v>0</v>
      </c>
      <c r="I268" t="s">
        <v>1051</v>
      </c>
      <c r="J268">
        <v>78</v>
      </c>
      <c r="K268" t="s">
        <v>0</v>
      </c>
      <c r="L268" t="s">
        <v>3000</v>
      </c>
      <c r="M268" t="s">
        <v>1548</v>
      </c>
      <c r="N268" t="s">
        <v>1548</v>
      </c>
      <c r="O268" t="s">
        <v>1548</v>
      </c>
      <c r="P268" s="36" t="s">
        <v>6448</v>
      </c>
    </row>
    <row r="269" spans="1:16" ht="409.5" x14ac:dyDescent="0.25">
      <c r="A269" t="s">
        <v>6773</v>
      </c>
      <c r="B269" t="s">
        <v>6744</v>
      </c>
      <c r="C269" t="s">
        <v>6446</v>
      </c>
      <c r="D269" t="s">
        <v>1027</v>
      </c>
      <c r="E269">
        <v>1402</v>
      </c>
      <c r="F269" t="s">
        <v>6447</v>
      </c>
      <c r="G269" t="b">
        <v>0</v>
      </c>
      <c r="H269" t="b">
        <v>0</v>
      </c>
      <c r="I269" t="s">
        <v>1051</v>
      </c>
      <c r="J269">
        <v>78</v>
      </c>
      <c r="K269" t="s">
        <v>0</v>
      </c>
      <c r="L269" t="s">
        <v>3000</v>
      </c>
      <c r="M269" t="s">
        <v>1548</v>
      </c>
      <c r="N269" t="s">
        <v>1548</v>
      </c>
      <c r="O269" t="s">
        <v>1548</v>
      </c>
      <c r="P269" s="36" t="s">
        <v>6448</v>
      </c>
    </row>
    <row r="270" spans="1:16" ht="409.5" x14ac:dyDescent="0.25">
      <c r="A270" t="s">
        <v>6774</v>
      </c>
      <c r="B270" t="s">
        <v>6744</v>
      </c>
      <c r="C270" t="s">
        <v>6446</v>
      </c>
      <c r="D270" t="s">
        <v>1027</v>
      </c>
      <c r="E270">
        <v>1402</v>
      </c>
      <c r="F270" t="s">
        <v>6447</v>
      </c>
      <c r="G270" t="b">
        <v>0</v>
      </c>
      <c r="H270" t="b">
        <v>0</v>
      </c>
      <c r="I270" t="s">
        <v>1051</v>
      </c>
      <c r="J270">
        <v>78</v>
      </c>
      <c r="K270" t="s">
        <v>0</v>
      </c>
      <c r="L270" t="s">
        <v>3000</v>
      </c>
      <c r="M270" t="s">
        <v>1548</v>
      </c>
      <c r="N270" t="s">
        <v>1548</v>
      </c>
      <c r="O270" t="s">
        <v>1548</v>
      </c>
      <c r="P270" s="36" t="s">
        <v>6448</v>
      </c>
    </row>
    <row r="271" spans="1:16" ht="409.5" x14ac:dyDescent="0.25">
      <c r="A271" t="s">
        <v>6775</v>
      </c>
      <c r="B271" t="s">
        <v>6744</v>
      </c>
      <c r="C271" t="s">
        <v>6446</v>
      </c>
      <c r="D271" t="s">
        <v>1027</v>
      </c>
      <c r="E271">
        <v>1402</v>
      </c>
      <c r="F271" t="s">
        <v>6447</v>
      </c>
      <c r="G271" t="b">
        <v>0</v>
      </c>
      <c r="H271" t="b">
        <v>0</v>
      </c>
      <c r="I271" t="s">
        <v>1051</v>
      </c>
      <c r="J271">
        <v>78</v>
      </c>
      <c r="K271" t="s">
        <v>0</v>
      </c>
      <c r="L271" t="s">
        <v>3000</v>
      </c>
      <c r="M271" t="s">
        <v>1548</v>
      </c>
      <c r="N271" t="s">
        <v>1548</v>
      </c>
      <c r="O271" t="s">
        <v>1548</v>
      </c>
      <c r="P271" s="36" t="s">
        <v>6448</v>
      </c>
    </row>
    <row r="272" spans="1:16" ht="409.5" x14ac:dyDescent="0.25">
      <c r="A272" t="s">
        <v>6776</v>
      </c>
      <c r="B272" t="s">
        <v>6744</v>
      </c>
      <c r="C272" t="s">
        <v>6446</v>
      </c>
      <c r="D272" t="s">
        <v>1027</v>
      </c>
      <c r="E272">
        <v>1402</v>
      </c>
      <c r="F272" t="s">
        <v>6447</v>
      </c>
      <c r="G272" t="b">
        <v>0</v>
      </c>
      <c r="H272" t="b">
        <v>0</v>
      </c>
      <c r="I272" t="s">
        <v>1051</v>
      </c>
      <c r="J272">
        <v>78</v>
      </c>
      <c r="K272" t="s">
        <v>0</v>
      </c>
      <c r="L272" t="s">
        <v>3000</v>
      </c>
      <c r="M272" t="s">
        <v>1548</v>
      </c>
      <c r="N272" t="s">
        <v>1548</v>
      </c>
      <c r="O272" t="s">
        <v>1548</v>
      </c>
      <c r="P272" s="36" t="s">
        <v>6448</v>
      </c>
    </row>
    <row r="273" spans="1:16" ht="409.5" x14ac:dyDescent="0.25">
      <c r="A273" t="s">
        <v>6777</v>
      </c>
      <c r="B273" t="s">
        <v>6744</v>
      </c>
      <c r="C273" t="s">
        <v>6446</v>
      </c>
      <c r="D273" t="s">
        <v>1027</v>
      </c>
      <c r="E273">
        <v>1402</v>
      </c>
      <c r="F273" t="s">
        <v>6447</v>
      </c>
      <c r="G273" t="b">
        <v>0</v>
      </c>
      <c r="H273" t="b">
        <v>0</v>
      </c>
      <c r="I273" t="s">
        <v>1051</v>
      </c>
      <c r="J273">
        <v>78</v>
      </c>
      <c r="K273" t="s">
        <v>0</v>
      </c>
      <c r="L273" t="s">
        <v>3000</v>
      </c>
      <c r="M273" t="s">
        <v>1548</v>
      </c>
      <c r="N273" t="s">
        <v>1548</v>
      </c>
      <c r="O273" t="s">
        <v>1548</v>
      </c>
      <c r="P273" s="36" t="s">
        <v>6448</v>
      </c>
    </row>
    <row r="274" spans="1:16" ht="409.5" x14ac:dyDescent="0.25">
      <c r="A274" t="s">
        <v>6778</v>
      </c>
      <c r="B274" t="s">
        <v>6744</v>
      </c>
      <c r="C274" t="s">
        <v>6446</v>
      </c>
      <c r="D274" t="s">
        <v>1027</v>
      </c>
      <c r="E274">
        <v>1402</v>
      </c>
      <c r="F274" t="s">
        <v>6447</v>
      </c>
      <c r="G274" t="b">
        <v>0</v>
      </c>
      <c r="H274" t="b">
        <v>0</v>
      </c>
      <c r="I274" t="s">
        <v>1051</v>
      </c>
      <c r="J274">
        <v>78</v>
      </c>
      <c r="K274" t="s">
        <v>0</v>
      </c>
      <c r="L274" t="s">
        <v>3000</v>
      </c>
      <c r="M274" t="s">
        <v>1548</v>
      </c>
      <c r="N274" t="s">
        <v>1548</v>
      </c>
      <c r="O274" t="s">
        <v>1548</v>
      </c>
      <c r="P274" s="36" t="s">
        <v>6448</v>
      </c>
    </row>
    <row r="275" spans="1:16" ht="409.5" x14ac:dyDescent="0.25">
      <c r="A275" t="s">
        <v>6779</v>
      </c>
      <c r="B275" t="s">
        <v>6744</v>
      </c>
      <c r="C275" t="s">
        <v>6446</v>
      </c>
      <c r="D275" t="s">
        <v>1027</v>
      </c>
      <c r="E275">
        <v>1402</v>
      </c>
      <c r="F275" t="s">
        <v>6447</v>
      </c>
      <c r="G275" t="b">
        <v>0</v>
      </c>
      <c r="H275" t="b">
        <v>0</v>
      </c>
      <c r="I275" t="s">
        <v>1051</v>
      </c>
      <c r="J275">
        <v>78</v>
      </c>
      <c r="K275" t="s">
        <v>0</v>
      </c>
      <c r="L275" t="s">
        <v>3000</v>
      </c>
      <c r="M275" t="s">
        <v>1548</v>
      </c>
      <c r="N275" t="s">
        <v>1548</v>
      </c>
      <c r="O275" t="s">
        <v>1548</v>
      </c>
      <c r="P275" s="36" t="s">
        <v>6448</v>
      </c>
    </row>
    <row r="276" spans="1:16" ht="409.5" x14ac:dyDescent="0.25">
      <c r="A276" t="s">
        <v>6780</v>
      </c>
      <c r="B276" t="s">
        <v>6781</v>
      </c>
      <c r="C276" t="s">
        <v>6446</v>
      </c>
      <c r="D276" t="s">
        <v>1027</v>
      </c>
      <c r="E276">
        <v>1402</v>
      </c>
      <c r="F276" t="s">
        <v>6447</v>
      </c>
      <c r="G276" t="b">
        <v>0</v>
      </c>
      <c r="H276" t="b">
        <v>0</v>
      </c>
      <c r="I276" t="s">
        <v>1051</v>
      </c>
      <c r="J276">
        <v>78</v>
      </c>
      <c r="K276" t="s">
        <v>0</v>
      </c>
      <c r="L276" t="s">
        <v>3000</v>
      </c>
      <c r="M276" t="s">
        <v>1548</v>
      </c>
      <c r="N276" t="s">
        <v>1548</v>
      </c>
      <c r="O276" t="s">
        <v>1548</v>
      </c>
      <c r="P276" s="36" t="s">
        <v>6448</v>
      </c>
    </row>
    <row r="277" spans="1:16" ht="409.5" x14ac:dyDescent="0.25">
      <c r="A277" t="s">
        <v>6782</v>
      </c>
      <c r="B277" t="s">
        <v>6781</v>
      </c>
      <c r="C277" t="s">
        <v>6446</v>
      </c>
      <c r="D277" t="s">
        <v>1027</v>
      </c>
      <c r="E277">
        <v>1402</v>
      </c>
      <c r="F277" t="s">
        <v>6447</v>
      </c>
      <c r="G277" t="b">
        <v>0</v>
      </c>
      <c r="H277" t="b">
        <v>0</v>
      </c>
      <c r="I277" t="s">
        <v>1051</v>
      </c>
      <c r="J277">
        <v>78</v>
      </c>
      <c r="K277" t="s">
        <v>0</v>
      </c>
      <c r="L277" t="s">
        <v>3000</v>
      </c>
      <c r="M277" t="s">
        <v>1548</v>
      </c>
      <c r="N277" t="s">
        <v>1548</v>
      </c>
      <c r="O277" t="s">
        <v>1548</v>
      </c>
      <c r="P277" s="36" t="s">
        <v>6448</v>
      </c>
    </row>
    <row r="278" spans="1:16" ht="409.5" x14ac:dyDescent="0.25">
      <c r="A278" t="s">
        <v>6783</v>
      </c>
      <c r="B278" t="s">
        <v>6781</v>
      </c>
      <c r="C278" t="s">
        <v>6446</v>
      </c>
      <c r="D278" t="s">
        <v>1027</v>
      </c>
      <c r="E278">
        <v>1402</v>
      </c>
      <c r="F278" t="s">
        <v>6447</v>
      </c>
      <c r="G278" t="b">
        <v>0</v>
      </c>
      <c r="H278" t="b">
        <v>0</v>
      </c>
      <c r="I278" t="s">
        <v>1051</v>
      </c>
      <c r="J278">
        <v>78</v>
      </c>
      <c r="K278" t="s">
        <v>0</v>
      </c>
      <c r="L278" t="s">
        <v>3000</v>
      </c>
      <c r="M278" t="s">
        <v>1548</v>
      </c>
      <c r="N278" t="s">
        <v>1548</v>
      </c>
      <c r="O278" t="s">
        <v>1548</v>
      </c>
      <c r="P278" s="36" t="s">
        <v>6448</v>
      </c>
    </row>
    <row r="279" spans="1:16" ht="409.5" x14ac:dyDescent="0.25">
      <c r="A279" t="s">
        <v>6784</v>
      </c>
      <c r="B279" t="s">
        <v>6781</v>
      </c>
      <c r="C279" t="s">
        <v>6446</v>
      </c>
      <c r="D279" t="s">
        <v>1027</v>
      </c>
      <c r="E279">
        <v>1402</v>
      </c>
      <c r="F279" t="s">
        <v>6447</v>
      </c>
      <c r="G279" t="b">
        <v>0</v>
      </c>
      <c r="H279" t="b">
        <v>0</v>
      </c>
      <c r="I279" t="s">
        <v>1051</v>
      </c>
      <c r="J279">
        <v>78</v>
      </c>
      <c r="K279" t="s">
        <v>0</v>
      </c>
      <c r="L279" t="s">
        <v>3000</v>
      </c>
      <c r="M279" t="s">
        <v>1548</v>
      </c>
      <c r="N279" t="s">
        <v>1548</v>
      </c>
      <c r="O279" t="s">
        <v>1548</v>
      </c>
      <c r="P279" s="36" t="s">
        <v>6448</v>
      </c>
    </row>
    <row r="280" spans="1:16" ht="409.5" x14ac:dyDescent="0.25">
      <c r="A280" t="s">
        <v>6785</v>
      </c>
      <c r="B280" t="s">
        <v>6781</v>
      </c>
      <c r="C280" t="s">
        <v>6446</v>
      </c>
      <c r="D280" t="s">
        <v>1027</v>
      </c>
      <c r="E280">
        <v>1402</v>
      </c>
      <c r="F280" t="s">
        <v>6447</v>
      </c>
      <c r="G280" t="b">
        <v>0</v>
      </c>
      <c r="H280" t="b">
        <v>0</v>
      </c>
      <c r="I280" t="s">
        <v>1051</v>
      </c>
      <c r="J280">
        <v>78</v>
      </c>
      <c r="K280" t="s">
        <v>0</v>
      </c>
      <c r="L280" t="s">
        <v>3000</v>
      </c>
      <c r="M280" t="s">
        <v>1548</v>
      </c>
      <c r="N280" t="s">
        <v>1548</v>
      </c>
      <c r="O280" t="s">
        <v>1548</v>
      </c>
      <c r="P280" s="36" t="s">
        <v>6448</v>
      </c>
    </row>
    <row r="281" spans="1:16" ht="409.5" x14ac:dyDescent="0.25">
      <c r="A281" t="s">
        <v>6786</v>
      </c>
      <c r="B281" t="s">
        <v>6781</v>
      </c>
      <c r="C281" t="s">
        <v>6446</v>
      </c>
      <c r="D281" t="s">
        <v>1027</v>
      </c>
      <c r="E281">
        <v>1402</v>
      </c>
      <c r="F281" t="s">
        <v>6447</v>
      </c>
      <c r="G281" t="b">
        <v>0</v>
      </c>
      <c r="H281" t="b">
        <v>0</v>
      </c>
      <c r="I281" t="s">
        <v>1051</v>
      </c>
      <c r="J281">
        <v>78</v>
      </c>
      <c r="K281" t="s">
        <v>0</v>
      </c>
      <c r="L281" t="s">
        <v>3000</v>
      </c>
      <c r="M281" t="s">
        <v>1548</v>
      </c>
      <c r="N281" t="s">
        <v>1548</v>
      </c>
      <c r="O281" t="s">
        <v>1548</v>
      </c>
      <c r="P281" s="36" t="s">
        <v>6448</v>
      </c>
    </row>
    <row r="282" spans="1:16" ht="409.5" x14ac:dyDescent="0.25">
      <c r="A282" t="s">
        <v>6787</v>
      </c>
      <c r="B282" t="s">
        <v>6781</v>
      </c>
      <c r="C282" t="s">
        <v>6446</v>
      </c>
      <c r="D282" t="s">
        <v>1027</v>
      </c>
      <c r="E282">
        <v>1402</v>
      </c>
      <c r="F282" t="s">
        <v>6447</v>
      </c>
      <c r="G282" t="b">
        <v>0</v>
      </c>
      <c r="H282" t="b">
        <v>0</v>
      </c>
      <c r="I282" t="s">
        <v>1051</v>
      </c>
      <c r="J282">
        <v>78</v>
      </c>
      <c r="K282" t="s">
        <v>0</v>
      </c>
      <c r="L282" t="s">
        <v>3000</v>
      </c>
      <c r="M282" t="s">
        <v>1548</v>
      </c>
      <c r="N282" t="s">
        <v>1548</v>
      </c>
      <c r="O282" t="s">
        <v>1548</v>
      </c>
      <c r="P282" s="36" t="s">
        <v>6448</v>
      </c>
    </row>
    <row r="283" spans="1:16" ht="409.5" x14ac:dyDescent="0.25">
      <c r="A283" t="s">
        <v>6788</v>
      </c>
      <c r="B283" t="s">
        <v>6781</v>
      </c>
      <c r="C283" t="s">
        <v>6446</v>
      </c>
      <c r="D283" t="s">
        <v>1027</v>
      </c>
      <c r="E283">
        <v>1402</v>
      </c>
      <c r="F283" t="s">
        <v>6447</v>
      </c>
      <c r="G283" t="b">
        <v>0</v>
      </c>
      <c r="H283" t="b">
        <v>0</v>
      </c>
      <c r="I283" t="s">
        <v>1051</v>
      </c>
      <c r="J283">
        <v>78</v>
      </c>
      <c r="K283" t="s">
        <v>0</v>
      </c>
      <c r="L283" t="s">
        <v>3000</v>
      </c>
      <c r="M283" t="s">
        <v>1548</v>
      </c>
      <c r="N283" t="s">
        <v>1548</v>
      </c>
      <c r="O283" t="s">
        <v>1548</v>
      </c>
      <c r="P283" s="36" t="s">
        <v>6448</v>
      </c>
    </row>
    <row r="284" spans="1:16" x14ac:dyDescent="0.25">
      <c r="A284" t="s">
        <v>6789</v>
      </c>
      <c r="B284" t="s">
        <v>6790</v>
      </c>
      <c r="C284" t="s">
        <v>1335</v>
      </c>
      <c r="D284" t="s">
        <v>1027</v>
      </c>
      <c r="E284">
        <v>1459</v>
      </c>
      <c r="F284" t="s">
        <v>1336</v>
      </c>
      <c r="G284" t="b">
        <v>0</v>
      </c>
      <c r="H284" t="b">
        <v>0</v>
      </c>
      <c r="I284" t="s">
        <v>1051</v>
      </c>
      <c r="J284">
        <v>78</v>
      </c>
      <c r="K284" t="s">
        <v>2</v>
      </c>
      <c r="L284" t="s">
        <v>1549</v>
      </c>
      <c r="M284" t="s">
        <v>3922</v>
      </c>
      <c r="N284" t="s">
        <v>3922</v>
      </c>
      <c r="O284" t="s">
        <v>3922</v>
      </c>
      <c r="P284" t="s">
        <v>1682</v>
      </c>
    </row>
    <row r="285" spans="1:16" x14ac:dyDescent="0.25">
      <c r="A285" t="s">
        <v>6791</v>
      </c>
      <c r="B285" t="s">
        <v>6790</v>
      </c>
      <c r="C285" t="s">
        <v>1335</v>
      </c>
      <c r="D285" t="s">
        <v>1027</v>
      </c>
      <c r="E285">
        <v>1459</v>
      </c>
      <c r="F285" t="s">
        <v>1336</v>
      </c>
      <c r="G285" t="b">
        <v>0</v>
      </c>
      <c r="H285" t="b">
        <v>0</v>
      </c>
      <c r="I285" t="s">
        <v>1051</v>
      </c>
      <c r="J285">
        <v>78</v>
      </c>
      <c r="K285" t="s">
        <v>2</v>
      </c>
      <c r="L285" t="s">
        <v>1549</v>
      </c>
      <c r="M285" t="s">
        <v>3922</v>
      </c>
      <c r="N285" t="s">
        <v>3922</v>
      </c>
      <c r="O285" t="s">
        <v>3922</v>
      </c>
      <c r="P285" t="s">
        <v>1682</v>
      </c>
    </row>
    <row r="286" spans="1:16" x14ac:dyDescent="0.25">
      <c r="A286" t="s">
        <v>6792</v>
      </c>
      <c r="B286" t="s">
        <v>6790</v>
      </c>
      <c r="C286" t="s">
        <v>1335</v>
      </c>
      <c r="D286" t="s">
        <v>1027</v>
      </c>
      <c r="E286">
        <v>1459</v>
      </c>
      <c r="F286" t="s">
        <v>1336</v>
      </c>
      <c r="G286" t="b">
        <v>0</v>
      </c>
      <c r="H286" t="b">
        <v>0</v>
      </c>
      <c r="I286" t="s">
        <v>1051</v>
      </c>
      <c r="J286">
        <v>78</v>
      </c>
      <c r="K286" t="s">
        <v>2</v>
      </c>
      <c r="L286" t="s">
        <v>1549</v>
      </c>
      <c r="M286" t="s">
        <v>3922</v>
      </c>
      <c r="N286" t="s">
        <v>3922</v>
      </c>
      <c r="O286" t="s">
        <v>3922</v>
      </c>
      <c r="P286" t="s">
        <v>1682</v>
      </c>
    </row>
    <row r="287" spans="1:16" x14ac:dyDescent="0.25">
      <c r="A287" t="s">
        <v>6793</v>
      </c>
      <c r="B287" t="s">
        <v>6790</v>
      </c>
      <c r="C287" t="s">
        <v>1335</v>
      </c>
      <c r="D287" t="s">
        <v>1027</v>
      </c>
      <c r="E287">
        <v>1459</v>
      </c>
      <c r="F287" t="s">
        <v>1336</v>
      </c>
      <c r="G287" t="b">
        <v>0</v>
      </c>
      <c r="H287" t="b">
        <v>0</v>
      </c>
      <c r="I287" t="s">
        <v>1051</v>
      </c>
      <c r="J287">
        <v>78</v>
      </c>
      <c r="K287" t="s">
        <v>2</v>
      </c>
      <c r="L287" t="s">
        <v>1549</v>
      </c>
      <c r="M287" t="s">
        <v>3922</v>
      </c>
      <c r="N287" t="s">
        <v>3922</v>
      </c>
      <c r="O287" t="s">
        <v>3922</v>
      </c>
      <c r="P287" t="s">
        <v>1682</v>
      </c>
    </row>
    <row r="288" spans="1:16" x14ac:dyDescent="0.25">
      <c r="A288" t="s">
        <v>6794</v>
      </c>
      <c r="B288" t="s">
        <v>6790</v>
      </c>
      <c r="C288" t="s">
        <v>1335</v>
      </c>
      <c r="D288" t="s">
        <v>1027</v>
      </c>
      <c r="E288">
        <v>1459</v>
      </c>
      <c r="F288" t="s">
        <v>1336</v>
      </c>
      <c r="G288" t="b">
        <v>0</v>
      </c>
      <c r="H288" t="b">
        <v>0</v>
      </c>
      <c r="I288" t="s">
        <v>1051</v>
      </c>
      <c r="J288">
        <v>66</v>
      </c>
      <c r="K288" t="s">
        <v>2</v>
      </c>
      <c r="L288" t="s">
        <v>1549</v>
      </c>
      <c r="M288" t="s">
        <v>3922</v>
      </c>
      <c r="N288" t="s">
        <v>3922</v>
      </c>
      <c r="O288" t="s">
        <v>3922</v>
      </c>
      <c r="P288" t="s">
        <v>1682</v>
      </c>
    </row>
    <row r="289" spans="1:16" x14ac:dyDescent="0.25">
      <c r="A289" t="s">
        <v>6795</v>
      </c>
      <c r="B289" t="s">
        <v>6790</v>
      </c>
      <c r="C289" t="s">
        <v>1335</v>
      </c>
      <c r="D289" t="s">
        <v>1027</v>
      </c>
      <c r="E289">
        <v>1459</v>
      </c>
      <c r="F289" t="s">
        <v>1336</v>
      </c>
      <c r="G289" t="b">
        <v>0</v>
      </c>
      <c r="H289" t="b">
        <v>0</v>
      </c>
      <c r="I289" t="s">
        <v>1051</v>
      </c>
      <c r="J289">
        <v>66</v>
      </c>
      <c r="K289" t="s">
        <v>2</v>
      </c>
      <c r="L289" t="s">
        <v>1549</v>
      </c>
      <c r="M289" t="s">
        <v>3922</v>
      </c>
      <c r="N289" t="s">
        <v>3922</v>
      </c>
      <c r="O289" t="s">
        <v>3922</v>
      </c>
      <c r="P289" t="s">
        <v>1682</v>
      </c>
    </row>
    <row r="290" spans="1:16" x14ac:dyDescent="0.25">
      <c r="A290" t="s">
        <v>6796</v>
      </c>
      <c r="B290" t="s">
        <v>6790</v>
      </c>
      <c r="C290" t="s">
        <v>1335</v>
      </c>
      <c r="D290" t="s">
        <v>1027</v>
      </c>
      <c r="E290">
        <v>1459</v>
      </c>
      <c r="F290" t="s">
        <v>1336</v>
      </c>
      <c r="G290" t="b">
        <v>0</v>
      </c>
      <c r="H290" t="b">
        <v>0</v>
      </c>
      <c r="I290" t="s">
        <v>1051</v>
      </c>
      <c r="J290">
        <v>66</v>
      </c>
      <c r="K290" t="s">
        <v>2</v>
      </c>
      <c r="L290" t="s">
        <v>1549</v>
      </c>
      <c r="M290" t="s">
        <v>3922</v>
      </c>
      <c r="N290" t="s">
        <v>3922</v>
      </c>
      <c r="O290" t="s">
        <v>3922</v>
      </c>
      <c r="P290" t="s">
        <v>1682</v>
      </c>
    </row>
    <row r="291" spans="1:16" x14ac:dyDescent="0.25">
      <c r="A291" t="s">
        <v>6797</v>
      </c>
      <c r="B291" t="s">
        <v>6790</v>
      </c>
      <c r="C291" t="s">
        <v>1335</v>
      </c>
      <c r="D291" t="s">
        <v>1027</v>
      </c>
      <c r="E291">
        <v>1459</v>
      </c>
      <c r="F291" t="s">
        <v>1336</v>
      </c>
      <c r="G291" t="b">
        <v>0</v>
      </c>
      <c r="H291" t="b">
        <v>0</v>
      </c>
      <c r="I291" t="s">
        <v>1051</v>
      </c>
      <c r="J291">
        <v>66</v>
      </c>
      <c r="K291" t="s">
        <v>2</v>
      </c>
      <c r="L291" t="s">
        <v>1549</v>
      </c>
      <c r="M291" t="s">
        <v>3922</v>
      </c>
      <c r="N291" t="s">
        <v>3922</v>
      </c>
      <c r="O291" t="s">
        <v>3922</v>
      </c>
      <c r="P291" t="s">
        <v>1682</v>
      </c>
    </row>
    <row r="292" spans="1:16" x14ac:dyDescent="0.25">
      <c r="A292" t="s">
        <v>6798</v>
      </c>
      <c r="B292" t="s">
        <v>6790</v>
      </c>
      <c r="C292" t="s">
        <v>1335</v>
      </c>
      <c r="D292" t="s">
        <v>1027</v>
      </c>
      <c r="E292">
        <v>1459</v>
      </c>
      <c r="F292" t="s">
        <v>1336</v>
      </c>
      <c r="G292" t="b">
        <v>0</v>
      </c>
      <c r="H292" t="b">
        <v>0</v>
      </c>
      <c r="I292" t="s">
        <v>1051</v>
      </c>
      <c r="J292">
        <v>66</v>
      </c>
      <c r="K292" t="s">
        <v>2</v>
      </c>
      <c r="L292" t="s">
        <v>1549</v>
      </c>
      <c r="M292" t="s">
        <v>3922</v>
      </c>
      <c r="N292" t="s">
        <v>3922</v>
      </c>
      <c r="O292" t="s">
        <v>3922</v>
      </c>
      <c r="P292" t="s">
        <v>1682</v>
      </c>
    </row>
    <row r="293" spans="1:16" x14ac:dyDescent="0.25">
      <c r="A293" t="s">
        <v>6799</v>
      </c>
      <c r="B293" t="s">
        <v>6790</v>
      </c>
      <c r="C293" t="s">
        <v>1335</v>
      </c>
      <c r="D293" t="s">
        <v>1027</v>
      </c>
      <c r="E293">
        <v>1459</v>
      </c>
      <c r="F293" t="s">
        <v>1336</v>
      </c>
      <c r="G293" t="b">
        <v>0</v>
      </c>
      <c r="H293" t="b">
        <v>0</v>
      </c>
      <c r="I293" t="s">
        <v>1051</v>
      </c>
      <c r="J293">
        <v>66</v>
      </c>
      <c r="K293" t="s">
        <v>2</v>
      </c>
      <c r="L293" t="s">
        <v>1549</v>
      </c>
      <c r="M293" t="s">
        <v>3922</v>
      </c>
      <c r="N293" t="s">
        <v>3922</v>
      </c>
      <c r="O293" t="s">
        <v>3922</v>
      </c>
      <c r="P293" t="s">
        <v>1682</v>
      </c>
    </row>
    <row r="294" spans="1:16" x14ac:dyDescent="0.25">
      <c r="A294" t="s">
        <v>6800</v>
      </c>
      <c r="B294" t="s">
        <v>6790</v>
      </c>
      <c r="C294" t="s">
        <v>1335</v>
      </c>
      <c r="D294" t="s">
        <v>1027</v>
      </c>
      <c r="E294">
        <v>1459</v>
      </c>
      <c r="F294" t="s">
        <v>1336</v>
      </c>
      <c r="G294" t="b">
        <v>0</v>
      </c>
      <c r="H294" t="b">
        <v>0</v>
      </c>
      <c r="I294" t="s">
        <v>1051</v>
      </c>
      <c r="J294">
        <v>66</v>
      </c>
      <c r="K294" t="s">
        <v>2</v>
      </c>
      <c r="L294" t="s">
        <v>1549</v>
      </c>
      <c r="M294" t="s">
        <v>3922</v>
      </c>
      <c r="N294" t="s">
        <v>3922</v>
      </c>
      <c r="O294" t="s">
        <v>3922</v>
      </c>
      <c r="P294" t="s">
        <v>1682</v>
      </c>
    </row>
    <row r="295" spans="1:16" x14ac:dyDescent="0.25">
      <c r="A295" t="s">
        <v>6801</v>
      </c>
      <c r="B295" t="s">
        <v>6790</v>
      </c>
      <c r="C295" t="s">
        <v>1335</v>
      </c>
      <c r="D295" t="s">
        <v>1027</v>
      </c>
      <c r="E295">
        <v>1459</v>
      </c>
      <c r="F295" t="s">
        <v>1336</v>
      </c>
      <c r="G295" t="b">
        <v>0</v>
      </c>
      <c r="H295" t="b">
        <v>0</v>
      </c>
      <c r="I295" t="s">
        <v>1051</v>
      </c>
      <c r="J295">
        <v>66</v>
      </c>
      <c r="K295" t="s">
        <v>2</v>
      </c>
      <c r="L295" t="s">
        <v>1549</v>
      </c>
      <c r="M295" t="s">
        <v>3922</v>
      </c>
      <c r="N295" t="s">
        <v>3922</v>
      </c>
      <c r="O295" t="s">
        <v>3922</v>
      </c>
      <c r="P295" t="s">
        <v>1682</v>
      </c>
    </row>
    <row r="296" spans="1:16" ht="409.5" x14ac:dyDescent="0.25">
      <c r="A296" t="s">
        <v>6802</v>
      </c>
      <c r="B296" t="s">
        <v>6803</v>
      </c>
      <c r="C296" t="s">
        <v>6503</v>
      </c>
      <c r="D296" t="s">
        <v>1027</v>
      </c>
      <c r="E296">
        <v>1488</v>
      </c>
      <c r="F296" t="s">
        <v>6504</v>
      </c>
      <c r="G296" t="b">
        <v>0</v>
      </c>
      <c r="H296" t="b">
        <v>0</v>
      </c>
      <c r="I296" t="s">
        <v>1051</v>
      </c>
      <c r="J296">
        <v>78</v>
      </c>
      <c r="K296" t="s">
        <v>0</v>
      </c>
      <c r="L296" t="s">
        <v>3000</v>
      </c>
      <c r="M296" t="s">
        <v>1548</v>
      </c>
      <c r="N296" t="s">
        <v>1548</v>
      </c>
      <c r="O296" t="s">
        <v>1548</v>
      </c>
      <c r="P296" s="36" t="s">
        <v>6505</v>
      </c>
    </row>
    <row r="297" spans="1:16" ht="409.5" x14ac:dyDescent="0.25">
      <c r="A297" t="s">
        <v>6804</v>
      </c>
      <c r="B297" t="s">
        <v>6803</v>
      </c>
      <c r="C297" t="s">
        <v>6503</v>
      </c>
      <c r="D297" t="s">
        <v>1027</v>
      </c>
      <c r="E297">
        <v>1488</v>
      </c>
      <c r="F297" t="s">
        <v>6504</v>
      </c>
      <c r="G297" t="b">
        <v>0</v>
      </c>
      <c r="H297" t="b">
        <v>0</v>
      </c>
      <c r="I297" t="s">
        <v>1051</v>
      </c>
      <c r="J297">
        <v>78</v>
      </c>
      <c r="K297" t="s">
        <v>0</v>
      </c>
      <c r="L297" t="s">
        <v>3000</v>
      </c>
      <c r="M297" t="s">
        <v>1548</v>
      </c>
      <c r="N297" t="s">
        <v>1548</v>
      </c>
      <c r="O297" t="s">
        <v>1548</v>
      </c>
      <c r="P297" s="36" t="s">
        <v>6505</v>
      </c>
    </row>
    <row r="298" spans="1:16" ht="409.5" x14ac:dyDescent="0.25">
      <c r="A298" t="s">
        <v>6805</v>
      </c>
      <c r="B298" t="s">
        <v>6803</v>
      </c>
      <c r="C298" t="s">
        <v>6503</v>
      </c>
      <c r="D298" t="s">
        <v>1027</v>
      </c>
      <c r="E298">
        <v>1488</v>
      </c>
      <c r="F298" t="s">
        <v>6504</v>
      </c>
      <c r="G298" t="b">
        <v>0</v>
      </c>
      <c r="H298" t="b">
        <v>0</v>
      </c>
      <c r="I298" t="s">
        <v>1051</v>
      </c>
      <c r="J298">
        <v>78</v>
      </c>
      <c r="K298" t="s">
        <v>0</v>
      </c>
      <c r="L298" t="s">
        <v>3000</v>
      </c>
      <c r="M298" t="s">
        <v>1548</v>
      </c>
      <c r="N298" t="s">
        <v>1548</v>
      </c>
      <c r="O298" t="s">
        <v>1548</v>
      </c>
      <c r="P298" s="36" t="s">
        <v>6505</v>
      </c>
    </row>
    <row r="299" spans="1:16" ht="409.5" x14ac:dyDescent="0.25">
      <c r="A299" t="s">
        <v>6806</v>
      </c>
      <c r="B299" t="s">
        <v>6803</v>
      </c>
      <c r="C299" t="s">
        <v>6503</v>
      </c>
      <c r="D299" t="s">
        <v>1027</v>
      </c>
      <c r="E299">
        <v>1488</v>
      </c>
      <c r="F299" t="s">
        <v>6504</v>
      </c>
      <c r="G299" t="b">
        <v>0</v>
      </c>
      <c r="H299" t="b">
        <v>0</v>
      </c>
      <c r="I299" t="s">
        <v>1051</v>
      </c>
      <c r="J299">
        <v>78</v>
      </c>
      <c r="K299" t="s">
        <v>0</v>
      </c>
      <c r="L299" t="s">
        <v>3000</v>
      </c>
      <c r="M299" t="s">
        <v>1548</v>
      </c>
      <c r="N299" t="s">
        <v>1548</v>
      </c>
      <c r="O299" t="s">
        <v>1548</v>
      </c>
      <c r="P299" s="36" t="s">
        <v>6505</v>
      </c>
    </row>
    <row r="300" spans="1:16" ht="409.5" x14ac:dyDescent="0.25">
      <c r="A300" t="s">
        <v>6807</v>
      </c>
      <c r="B300" t="s">
        <v>6808</v>
      </c>
      <c r="C300" t="s">
        <v>6446</v>
      </c>
      <c r="D300" t="s">
        <v>1027</v>
      </c>
      <c r="E300">
        <v>1402</v>
      </c>
      <c r="F300" t="s">
        <v>6447</v>
      </c>
      <c r="G300" t="b">
        <v>0</v>
      </c>
      <c r="H300" t="b">
        <v>0</v>
      </c>
      <c r="I300" t="s">
        <v>1051</v>
      </c>
      <c r="J300">
        <v>78</v>
      </c>
      <c r="K300" t="s">
        <v>0</v>
      </c>
      <c r="L300" t="s">
        <v>3000</v>
      </c>
      <c r="M300" t="s">
        <v>1548</v>
      </c>
      <c r="N300" t="s">
        <v>1548</v>
      </c>
      <c r="O300" t="s">
        <v>1548</v>
      </c>
      <c r="P300" s="36" t="s">
        <v>6448</v>
      </c>
    </row>
    <row r="301" spans="1:16" ht="409.5" x14ac:dyDescent="0.25">
      <c r="A301" t="s">
        <v>6809</v>
      </c>
      <c r="B301" t="s">
        <v>6808</v>
      </c>
      <c r="C301" t="s">
        <v>6446</v>
      </c>
      <c r="D301" t="s">
        <v>1027</v>
      </c>
      <c r="E301">
        <v>1402</v>
      </c>
      <c r="F301" t="s">
        <v>6447</v>
      </c>
      <c r="G301" t="b">
        <v>0</v>
      </c>
      <c r="H301" t="b">
        <v>0</v>
      </c>
      <c r="I301" t="s">
        <v>1051</v>
      </c>
      <c r="J301">
        <v>78</v>
      </c>
      <c r="K301" t="s">
        <v>0</v>
      </c>
      <c r="L301" t="s">
        <v>3000</v>
      </c>
      <c r="M301" t="s">
        <v>1548</v>
      </c>
      <c r="N301" t="s">
        <v>1548</v>
      </c>
      <c r="O301" t="s">
        <v>1548</v>
      </c>
      <c r="P301" s="36" t="s">
        <v>6448</v>
      </c>
    </row>
    <row r="302" spans="1:16" ht="409.5" x14ac:dyDescent="0.25">
      <c r="A302" t="s">
        <v>6810</v>
      </c>
      <c r="B302" t="s">
        <v>6808</v>
      </c>
      <c r="C302" t="s">
        <v>6446</v>
      </c>
      <c r="D302" t="s">
        <v>1027</v>
      </c>
      <c r="E302">
        <v>1402</v>
      </c>
      <c r="F302" t="s">
        <v>6447</v>
      </c>
      <c r="G302" t="b">
        <v>0</v>
      </c>
      <c r="H302" t="b">
        <v>0</v>
      </c>
      <c r="I302" t="s">
        <v>1051</v>
      </c>
      <c r="J302">
        <v>78</v>
      </c>
      <c r="K302" t="s">
        <v>0</v>
      </c>
      <c r="L302" t="s">
        <v>3000</v>
      </c>
      <c r="M302" t="s">
        <v>1548</v>
      </c>
      <c r="N302" t="s">
        <v>1548</v>
      </c>
      <c r="O302" t="s">
        <v>1548</v>
      </c>
      <c r="P302" s="36" t="s">
        <v>6448</v>
      </c>
    </row>
    <row r="303" spans="1:16" ht="409.5" x14ac:dyDescent="0.25">
      <c r="A303" t="s">
        <v>6811</v>
      </c>
      <c r="B303" t="s">
        <v>6808</v>
      </c>
      <c r="C303" t="s">
        <v>6446</v>
      </c>
      <c r="D303" t="s">
        <v>1027</v>
      </c>
      <c r="E303">
        <v>1402</v>
      </c>
      <c r="F303" t="s">
        <v>6447</v>
      </c>
      <c r="G303" t="b">
        <v>0</v>
      </c>
      <c r="H303" t="b">
        <v>0</v>
      </c>
      <c r="I303" t="s">
        <v>1051</v>
      </c>
      <c r="J303">
        <v>78</v>
      </c>
      <c r="K303" t="s">
        <v>0</v>
      </c>
      <c r="L303" t="s">
        <v>3000</v>
      </c>
      <c r="M303" t="s">
        <v>1548</v>
      </c>
      <c r="N303" t="s">
        <v>1548</v>
      </c>
      <c r="O303" t="s">
        <v>1548</v>
      </c>
      <c r="P303" s="36" t="s">
        <v>6448</v>
      </c>
    </row>
    <row r="304" spans="1:16" ht="409.5" x14ac:dyDescent="0.25">
      <c r="A304" t="s">
        <v>6812</v>
      </c>
      <c r="B304" t="s">
        <v>6808</v>
      </c>
      <c r="C304" t="s">
        <v>6446</v>
      </c>
      <c r="D304" t="s">
        <v>1027</v>
      </c>
      <c r="E304">
        <v>1402</v>
      </c>
      <c r="F304" t="s">
        <v>6447</v>
      </c>
      <c r="G304" t="b">
        <v>0</v>
      </c>
      <c r="H304" t="b">
        <v>0</v>
      </c>
      <c r="I304" t="s">
        <v>1051</v>
      </c>
      <c r="J304">
        <v>78</v>
      </c>
      <c r="K304" t="s">
        <v>0</v>
      </c>
      <c r="L304" t="s">
        <v>3000</v>
      </c>
      <c r="M304" t="s">
        <v>1548</v>
      </c>
      <c r="N304" t="s">
        <v>1548</v>
      </c>
      <c r="O304" t="s">
        <v>1548</v>
      </c>
      <c r="P304" s="36" t="s">
        <v>6448</v>
      </c>
    </row>
    <row r="305" spans="1:16" ht="409.5" x14ac:dyDescent="0.25">
      <c r="A305" t="s">
        <v>6813</v>
      </c>
      <c r="B305" t="s">
        <v>6808</v>
      </c>
      <c r="C305" t="s">
        <v>6446</v>
      </c>
      <c r="D305" t="s">
        <v>1027</v>
      </c>
      <c r="E305">
        <v>1402</v>
      </c>
      <c r="F305" t="s">
        <v>6447</v>
      </c>
      <c r="G305" t="b">
        <v>0</v>
      </c>
      <c r="H305" t="b">
        <v>0</v>
      </c>
      <c r="I305" t="s">
        <v>1051</v>
      </c>
      <c r="J305">
        <v>78</v>
      </c>
      <c r="K305" t="s">
        <v>0</v>
      </c>
      <c r="L305" t="s">
        <v>3000</v>
      </c>
      <c r="M305" t="s">
        <v>1548</v>
      </c>
      <c r="N305" t="s">
        <v>1548</v>
      </c>
      <c r="O305" t="s">
        <v>1548</v>
      </c>
      <c r="P305" s="36" t="s">
        <v>6448</v>
      </c>
    </row>
    <row r="306" spans="1:16" ht="409.5" x14ac:dyDescent="0.25">
      <c r="A306" t="s">
        <v>6814</v>
      </c>
      <c r="B306" t="s">
        <v>6808</v>
      </c>
      <c r="C306" t="s">
        <v>6446</v>
      </c>
      <c r="D306" t="s">
        <v>1027</v>
      </c>
      <c r="E306">
        <v>1402</v>
      </c>
      <c r="F306" t="s">
        <v>6447</v>
      </c>
      <c r="G306" t="b">
        <v>0</v>
      </c>
      <c r="H306" t="b">
        <v>0</v>
      </c>
      <c r="I306" t="s">
        <v>1051</v>
      </c>
      <c r="J306">
        <v>78</v>
      </c>
      <c r="K306" t="s">
        <v>0</v>
      </c>
      <c r="L306" t="s">
        <v>3000</v>
      </c>
      <c r="M306" t="s">
        <v>1548</v>
      </c>
      <c r="N306" t="s">
        <v>1548</v>
      </c>
      <c r="O306" t="s">
        <v>1548</v>
      </c>
      <c r="P306" s="36" t="s">
        <v>6448</v>
      </c>
    </row>
    <row r="307" spans="1:16" ht="409.5" x14ac:dyDescent="0.25">
      <c r="A307" t="s">
        <v>6815</v>
      </c>
      <c r="B307" t="s">
        <v>6808</v>
      </c>
      <c r="C307" t="s">
        <v>6446</v>
      </c>
      <c r="D307" t="s">
        <v>1027</v>
      </c>
      <c r="E307">
        <v>1402</v>
      </c>
      <c r="F307" t="s">
        <v>6447</v>
      </c>
      <c r="G307" t="b">
        <v>0</v>
      </c>
      <c r="H307" t="b">
        <v>0</v>
      </c>
      <c r="I307" t="s">
        <v>1051</v>
      </c>
      <c r="J307">
        <v>78</v>
      </c>
      <c r="K307" t="s">
        <v>0</v>
      </c>
      <c r="L307" t="s">
        <v>3000</v>
      </c>
      <c r="M307" t="s">
        <v>1548</v>
      </c>
      <c r="N307" t="s">
        <v>1548</v>
      </c>
      <c r="O307" t="s">
        <v>1548</v>
      </c>
      <c r="P307" s="36" t="s">
        <v>6448</v>
      </c>
    </row>
    <row r="308" spans="1:16" ht="409.5" x14ac:dyDescent="0.25">
      <c r="A308" t="s">
        <v>6816</v>
      </c>
      <c r="B308" t="s">
        <v>6808</v>
      </c>
      <c r="C308" t="s">
        <v>6446</v>
      </c>
      <c r="D308" t="s">
        <v>1027</v>
      </c>
      <c r="E308">
        <v>1402</v>
      </c>
      <c r="F308" t="s">
        <v>6447</v>
      </c>
      <c r="G308" t="b">
        <v>0</v>
      </c>
      <c r="H308" t="b">
        <v>0</v>
      </c>
      <c r="I308" t="s">
        <v>1051</v>
      </c>
      <c r="J308">
        <v>78</v>
      </c>
      <c r="K308" t="s">
        <v>0</v>
      </c>
      <c r="L308" t="s">
        <v>3000</v>
      </c>
      <c r="M308" t="s">
        <v>1548</v>
      </c>
      <c r="N308" t="s">
        <v>1548</v>
      </c>
      <c r="O308" t="s">
        <v>1548</v>
      </c>
      <c r="P308" s="36" t="s">
        <v>6448</v>
      </c>
    </row>
    <row r="309" spans="1:16" ht="409.5" x14ac:dyDescent="0.25">
      <c r="A309" t="s">
        <v>6817</v>
      </c>
      <c r="B309" t="s">
        <v>6808</v>
      </c>
      <c r="C309" t="s">
        <v>6446</v>
      </c>
      <c r="D309" t="s">
        <v>1027</v>
      </c>
      <c r="E309">
        <v>1402</v>
      </c>
      <c r="F309" t="s">
        <v>6447</v>
      </c>
      <c r="G309" t="b">
        <v>0</v>
      </c>
      <c r="H309" t="b">
        <v>0</v>
      </c>
      <c r="I309" t="s">
        <v>1051</v>
      </c>
      <c r="J309">
        <v>78</v>
      </c>
      <c r="K309" t="s">
        <v>0</v>
      </c>
      <c r="L309" t="s">
        <v>3000</v>
      </c>
      <c r="M309" t="s">
        <v>1548</v>
      </c>
      <c r="N309" t="s">
        <v>1548</v>
      </c>
      <c r="O309" t="s">
        <v>1548</v>
      </c>
      <c r="P309" s="36" t="s">
        <v>6448</v>
      </c>
    </row>
    <row r="310" spans="1:16" ht="409.5" x14ac:dyDescent="0.25">
      <c r="A310" t="s">
        <v>6818</v>
      </c>
      <c r="B310" t="s">
        <v>6808</v>
      </c>
      <c r="C310" t="s">
        <v>6446</v>
      </c>
      <c r="D310" t="s">
        <v>1027</v>
      </c>
      <c r="E310">
        <v>1402</v>
      </c>
      <c r="F310" t="s">
        <v>6447</v>
      </c>
      <c r="G310" t="b">
        <v>0</v>
      </c>
      <c r="H310" t="b">
        <v>0</v>
      </c>
      <c r="I310" t="s">
        <v>1051</v>
      </c>
      <c r="J310">
        <v>78</v>
      </c>
      <c r="K310" t="s">
        <v>0</v>
      </c>
      <c r="L310" t="s">
        <v>3000</v>
      </c>
      <c r="M310" t="s">
        <v>1548</v>
      </c>
      <c r="N310" t="s">
        <v>1548</v>
      </c>
      <c r="O310" t="s">
        <v>1548</v>
      </c>
      <c r="P310" s="36" t="s">
        <v>6448</v>
      </c>
    </row>
    <row r="311" spans="1:16" ht="409.5" x14ac:dyDescent="0.25">
      <c r="A311" t="s">
        <v>6819</v>
      </c>
      <c r="B311" t="s">
        <v>6808</v>
      </c>
      <c r="C311" t="s">
        <v>6446</v>
      </c>
      <c r="D311" t="s">
        <v>1027</v>
      </c>
      <c r="E311">
        <v>1402</v>
      </c>
      <c r="F311" t="s">
        <v>6447</v>
      </c>
      <c r="G311" t="b">
        <v>0</v>
      </c>
      <c r="H311" t="b">
        <v>0</v>
      </c>
      <c r="I311" t="s">
        <v>1051</v>
      </c>
      <c r="J311">
        <v>78</v>
      </c>
      <c r="K311" t="s">
        <v>0</v>
      </c>
      <c r="L311" t="s">
        <v>3000</v>
      </c>
      <c r="M311" t="s">
        <v>1548</v>
      </c>
      <c r="N311" t="s">
        <v>1548</v>
      </c>
      <c r="O311" t="s">
        <v>1548</v>
      </c>
      <c r="P311" s="36" t="s">
        <v>6448</v>
      </c>
    </row>
    <row r="312" spans="1:16" ht="409.5" x14ac:dyDescent="0.25">
      <c r="A312" t="s">
        <v>6820</v>
      </c>
      <c r="B312" t="s">
        <v>6808</v>
      </c>
      <c r="C312" t="s">
        <v>6446</v>
      </c>
      <c r="D312" t="s">
        <v>1027</v>
      </c>
      <c r="E312">
        <v>1402</v>
      </c>
      <c r="F312" t="s">
        <v>6447</v>
      </c>
      <c r="G312" t="b">
        <v>0</v>
      </c>
      <c r="H312" t="b">
        <v>0</v>
      </c>
      <c r="I312" t="s">
        <v>1051</v>
      </c>
      <c r="J312">
        <v>78</v>
      </c>
      <c r="K312" t="s">
        <v>0</v>
      </c>
      <c r="L312" t="s">
        <v>3000</v>
      </c>
      <c r="M312" t="s">
        <v>1548</v>
      </c>
      <c r="N312" t="s">
        <v>1548</v>
      </c>
      <c r="O312" t="s">
        <v>1548</v>
      </c>
      <c r="P312" s="36" t="s">
        <v>6448</v>
      </c>
    </row>
    <row r="313" spans="1:16" ht="409.5" x14ac:dyDescent="0.25">
      <c r="A313" t="s">
        <v>6821</v>
      </c>
      <c r="B313" t="s">
        <v>6808</v>
      </c>
      <c r="C313" t="s">
        <v>6446</v>
      </c>
      <c r="D313" t="s">
        <v>1027</v>
      </c>
      <c r="E313">
        <v>1402</v>
      </c>
      <c r="F313" t="s">
        <v>6447</v>
      </c>
      <c r="G313" t="b">
        <v>0</v>
      </c>
      <c r="H313" t="b">
        <v>0</v>
      </c>
      <c r="I313" t="s">
        <v>1051</v>
      </c>
      <c r="J313">
        <v>78</v>
      </c>
      <c r="K313" t="s">
        <v>0</v>
      </c>
      <c r="L313" t="s">
        <v>3000</v>
      </c>
      <c r="M313" t="s">
        <v>1548</v>
      </c>
      <c r="N313" t="s">
        <v>1548</v>
      </c>
      <c r="O313" t="s">
        <v>1548</v>
      </c>
      <c r="P313" s="36" t="s">
        <v>6448</v>
      </c>
    </row>
    <row r="314" spans="1:16" ht="409.5" x14ac:dyDescent="0.25">
      <c r="A314" t="s">
        <v>6822</v>
      </c>
      <c r="B314" t="s">
        <v>6823</v>
      </c>
      <c r="C314" t="s">
        <v>6446</v>
      </c>
      <c r="D314" t="s">
        <v>1027</v>
      </c>
      <c r="E314">
        <v>1402</v>
      </c>
      <c r="F314" t="s">
        <v>6447</v>
      </c>
      <c r="G314" t="b">
        <v>0</v>
      </c>
      <c r="H314" t="b">
        <v>0</v>
      </c>
      <c r="I314" t="s">
        <v>1051</v>
      </c>
      <c r="J314">
        <v>78</v>
      </c>
      <c r="K314" t="s">
        <v>0</v>
      </c>
      <c r="L314" t="s">
        <v>3000</v>
      </c>
      <c r="M314" t="s">
        <v>1548</v>
      </c>
      <c r="N314" t="s">
        <v>1548</v>
      </c>
      <c r="O314" t="s">
        <v>1548</v>
      </c>
      <c r="P314" s="36" t="s">
        <v>6448</v>
      </c>
    </row>
    <row r="315" spans="1:16" ht="409.5" x14ac:dyDescent="0.25">
      <c r="A315" t="s">
        <v>6824</v>
      </c>
      <c r="B315" t="s">
        <v>6823</v>
      </c>
      <c r="C315" t="s">
        <v>6446</v>
      </c>
      <c r="D315" t="s">
        <v>1027</v>
      </c>
      <c r="E315">
        <v>1402</v>
      </c>
      <c r="F315" t="s">
        <v>6447</v>
      </c>
      <c r="G315" t="b">
        <v>0</v>
      </c>
      <c r="H315" t="b">
        <v>0</v>
      </c>
      <c r="I315" t="s">
        <v>1051</v>
      </c>
      <c r="J315">
        <v>78</v>
      </c>
      <c r="K315" t="s">
        <v>0</v>
      </c>
      <c r="L315" t="s">
        <v>3000</v>
      </c>
      <c r="M315" t="s">
        <v>1548</v>
      </c>
      <c r="N315" t="s">
        <v>1548</v>
      </c>
      <c r="O315" t="s">
        <v>1548</v>
      </c>
      <c r="P315" s="36" t="s">
        <v>6448</v>
      </c>
    </row>
    <row r="316" spans="1:16" ht="409.5" x14ac:dyDescent="0.25">
      <c r="A316" t="s">
        <v>6825</v>
      </c>
      <c r="B316" t="s">
        <v>6823</v>
      </c>
      <c r="C316" t="s">
        <v>6446</v>
      </c>
      <c r="D316" t="s">
        <v>1027</v>
      </c>
      <c r="E316">
        <v>1402</v>
      </c>
      <c r="F316" t="s">
        <v>6447</v>
      </c>
      <c r="G316" t="b">
        <v>0</v>
      </c>
      <c r="H316" t="b">
        <v>0</v>
      </c>
      <c r="I316" t="s">
        <v>1051</v>
      </c>
      <c r="J316">
        <v>78</v>
      </c>
      <c r="K316" t="s">
        <v>0</v>
      </c>
      <c r="L316" t="s">
        <v>3000</v>
      </c>
      <c r="M316" t="s">
        <v>1548</v>
      </c>
      <c r="N316" t="s">
        <v>1548</v>
      </c>
      <c r="O316" t="s">
        <v>1548</v>
      </c>
      <c r="P316" s="36" t="s">
        <v>6448</v>
      </c>
    </row>
    <row r="317" spans="1:16" ht="409.5" x14ac:dyDescent="0.25">
      <c r="A317" t="s">
        <v>6826</v>
      </c>
      <c r="B317" t="s">
        <v>6823</v>
      </c>
      <c r="C317" t="s">
        <v>6446</v>
      </c>
      <c r="D317" t="s">
        <v>1027</v>
      </c>
      <c r="E317">
        <v>1402</v>
      </c>
      <c r="F317" t="s">
        <v>6447</v>
      </c>
      <c r="G317" t="b">
        <v>0</v>
      </c>
      <c r="H317" t="b">
        <v>0</v>
      </c>
      <c r="I317" t="s">
        <v>1051</v>
      </c>
      <c r="J317">
        <v>78</v>
      </c>
      <c r="K317" t="s">
        <v>0</v>
      </c>
      <c r="L317" t="s">
        <v>3000</v>
      </c>
      <c r="M317" t="s">
        <v>1548</v>
      </c>
      <c r="N317" t="s">
        <v>1548</v>
      </c>
      <c r="O317" t="s">
        <v>1548</v>
      </c>
      <c r="P317" s="36" t="s">
        <v>6448</v>
      </c>
    </row>
    <row r="318" spans="1:16" ht="409.5" x14ac:dyDescent="0.25">
      <c r="A318" t="s">
        <v>6827</v>
      </c>
      <c r="B318" t="s">
        <v>6823</v>
      </c>
      <c r="C318" t="s">
        <v>6446</v>
      </c>
      <c r="D318" t="s">
        <v>1027</v>
      </c>
      <c r="E318">
        <v>1402</v>
      </c>
      <c r="F318" t="s">
        <v>6447</v>
      </c>
      <c r="G318" t="b">
        <v>0</v>
      </c>
      <c r="H318" t="b">
        <v>0</v>
      </c>
      <c r="I318" t="s">
        <v>1051</v>
      </c>
      <c r="J318">
        <v>78</v>
      </c>
      <c r="K318" t="s">
        <v>0</v>
      </c>
      <c r="L318" t="s">
        <v>3000</v>
      </c>
      <c r="M318" t="s">
        <v>1548</v>
      </c>
      <c r="N318" t="s">
        <v>1548</v>
      </c>
      <c r="O318" t="s">
        <v>1548</v>
      </c>
      <c r="P318" s="36" t="s">
        <v>6448</v>
      </c>
    </row>
    <row r="319" spans="1:16" ht="409.5" x14ac:dyDescent="0.25">
      <c r="A319" t="s">
        <v>6828</v>
      </c>
      <c r="B319" t="s">
        <v>6823</v>
      </c>
      <c r="C319" t="s">
        <v>6446</v>
      </c>
      <c r="D319" t="s">
        <v>1027</v>
      </c>
      <c r="E319">
        <v>1402</v>
      </c>
      <c r="F319" t="s">
        <v>6447</v>
      </c>
      <c r="G319" t="b">
        <v>0</v>
      </c>
      <c r="H319" t="b">
        <v>0</v>
      </c>
      <c r="I319" t="s">
        <v>1051</v>
      </c>
      <c r="J319">
        <v>78</v>
      </c>
      <c r="K319" t="s">
        <v>0</v>
      </c>
      <c r="L319" t="s">
        <v>3000</v>
      </c>
      <c r="M319" t="s">
        <v>1548</v>
      </c>
      <c r="N319" t="s">
        <v>1548</v>
      </c>
      <c r="O319" t="s">
        <v>1548</v>
      </c>
      <c r="P319" s="36" t="s">
        <v>6448</v>
      </c>
    </row>
    <row r="320" spans="1:16" ht="409.5" x14ac:dyDescent="0.25">
      <c r="A320" t="s">
        <v>6829</v>
      </c>
      <c r="B320" t="s">
        <v>6823</v>
      </c>
      <c r="C320" t="s">
        <v>6446</v>
      </c>
      <c r="D320" t="s">
        <v>1027</v>
      </c>
      <c r="E320">
        <v>1402</v>
      </c>
      <c r="F320" t="s">
        <v>6447</v>
      </c>
      <c r="G320" t="b">
        <v>0</v>
      </c>
      <c r="H320" t="b">
        <v>0</v>
      </c>
      <c r="I320" t="s">
        <v>1051</v>
      </c>
      <c r="J320">
        <v>78</v>
      </c>
      <c r="K320" t="s">
        <v>0</v>
      </c>
      <c r="L320" t="s">
        <v>3000</v>
      </c>
      <c r="M320" t="s">
        <v>1548</v>
      </c>
      <c r="N320" t="s">
        <v>1548</v>
      </c>
      <c r="O320" t="s">
        <v>1548</v>
      </c>
      <c r="P320" s="36" t="s">
        <v>6448</v>
      </c>
    </row>
    <row r="321" spans="1:16" ht="409.5" x14ac:dyDescent="0.25">
      <c r="A321" t="s">
        <v>6830</v>
      </c>
      <c r="B321" t="s">
        <v>6823</v>
      </c>
      <c r="C321" t="s">
        <v>6446</v>
      </c>
      <c r="D321" t="s">
        <v>1027</v>
      </c>
      <c r="E321">
        <v>1402</v>
      </c>
      <c r="F321" t="s">
        <v>6447</v>
      </c>
      <c r="G321" t="b">
        <v>0</v>
      </c>
      <c r="H321" t="b">
        <v>0</v>
      </c>
      <c r="I321" t="s">
        <v>1051</v>
      </c>
      <c r="J321">
        <v>78</v>
      </c>
      <c r="K321" t="s">
        <v>0</v>
      </c>
      <c r="L321" t="s">
        <v>3000</v>
      </c>
      <c r="M321" t="s">
        <v>1548</v>
      </c>
      <c r="N321" t="s">
        <v>1548</v>
      </c>
      <c r="O321" t="s">
        <v>1548</v>
      </c>
      <c r="P321" s="36" t="s">
        <v>6448</v>
      </c>
    </row>
    <row r="322" spans="1:16" ht="409.5" x14ac:dyDescent="0.25">
      <c r="A322" t="s">
        <v>6831</v>
      </c>
      <c r="B322" t="s">
        <v>6823</v>
      </c>
      <c r="C322" t="s">
        <v>6446</v>
      </c>
      <c r="D322" t="s">
        <v>1027</v>
      </c>
      <c r="E322">
        <v>1402</v>
      </c>
      <c r="F322" t="s">
        <v>6447</v>
      </c>
      <c r="G322" t="b">
        <v>0</v>
      </c>
      <c r="H322" t="b">
        <v>0</v>
      </c>
      <c r="I322" t="s">
        <v>1051</v>
      </c>
      <c r="J322">
        <v>78</v>
      </c>
      <c r="K322" t="s">
        <v>0</v>
      </c>
      <c r="L322" t="s">
        <v>3000</v>
      </c>
      <c r="M322" t="s">
        <v>1548</v>
      </c>
      <c r="N322" t="s">
        <v>1548</v>
      </c>
      <c r="O322" t="s">
        <v>1548</v>
      </c>
      <c r="P322" s="36" t="s">
        <v>6448</v>
      </c>
    </row>
    <row r="323" spans="1:16" ht="409.5" x14ac:dyDescent="0.25">
      <c r="A323" t="s">
        <v>6832</v>
      </c>
      <c r="B323" t="s">
        <v>6833</v>
      </c>
      <c r="C323" t="s">
        <v>6446</v>
      </c>
      <c r="D323" t="s">
        <v>1027</v>
      </c>
      <c r="E323">
        <v>1402</v>
      </c>
      <c r="F323" t="s">
        <v>6447</v>
      </c>
      <c r="G323" t="b">
        <v>0</v>
      </c>
      <c r="H323" t="b">
        <v>0</v>
      </c>
      <c r="I323" t="s">
        <v>1051</v>
      </c>
      <c r="J323">
        <v>78</v>
      </c>
      <c r="K323" t="s">
        <v>0</v>
      </c>
      <c r="L323" t="s">
        <v>3000</v>
      </c>
      <c r="M323" t="s">
        <v>1548</v>
      </c>
      <c r="N323" t="s">
        <v>1548</v>
      </c>
      <c r="O323" t="s">
        <v>1548</v>
      </c>
      <c r="P323" s="36" t="s">
        <v>6448</v>
      </c>
    </row>
    <row r="324" spans="1:16" ht="409.5" x14ac:dyDescent="0.25">
      <c r="A324" t="s">
        <v>6834</v>
      </c>
      <c r="B324" t="s">
        <v>6833</v>
      </c>
      <c r="C324" t="s">
        <v>6446</v>
      </c>
      <c r="D324" t="s">
        <v>1027</v>
      </c>
      <c r="E324">
        <v>1402</v>
      </c>
      <c r="F324" t="s">
        <v>6447</v>
      </c>
      <c r="G324" t="b">
        <v>0</v>
      </c>
      <c r="H324" t="b">
        <v>0</v>
      </c>
      <c r="I324" t="s">
        <v>1051</v>
      </c>
      <c r="J324">
        <v>78</v>
      </c>
      <c r="K324" t="s">
        <v>0</v>
      </c>
      <c r="L324" t="s">
        <v>3000</v>
      </c>
      <c r="M324" t="s">
        <v>1548</v>
      </c>
      <c r="N324" t="s">
        <v>1548</v>
      </c>
      <c r="O324" t="s">
        <v>1548</v>
      </c>
      <c r="P324" s="36" t="s">
        <v>6448</v>
      </c>
    </row>
    <row r="325" spans="1:16" ht="409.5" x14ac:dyDescent="0.25">
      <c r="A325" t="s">
        <v>6835</v>
      </c>
      <c r="B325" t="s">
        <v>6833</v>
      </c>
      <c r="C325" t="s">
        <v>6446</v>
      </c>
      <c r="D325" t="s">
        <v>1027</v>
      </c>
      <c r="E325">
        <v>1402</v>
      </c>
      <c r="F325" t="s">
        <v>6447</v>
      </c>
      <c r="G325" t="b">
        <v>0</v>
      </c>
      <c r="H325" t="b">
        <v>0</v>
      </c>
      <c r="I325" t="s">
        <v>1051</v>
      </c>
      <c r="J325">
        <v>78</v>
      </c>
      <c r="K325" t="s">
        <v>0</v>
      </c>
      <c r="L325" t="s">
        <v>3000</v>
      </c>
      <c r="M325" t="s">
        <v>1548</v>
      </c>
      <c r="N325" t="s">
        <v>1548</v>
      </c>
      <c r="O325" t="s">
        <v>1548</v>
      </c>
      <c r="P325" s="36" t="s">
        <v>6448</v>
      </c>
    </row>
    <row r="326" spans="1:16" ht="409.5" x14ac:dyDescent="0.25">
      <c r="A326" t="s">
        <v>6836</v>
      </c>
      <c r="B326" t="s">
        <v>6833</v>
      </c>
      <c r="C326" t="s">
        <v>6446</v>
      </c>
      <c r="D326" t="s">
        <v>1027</v>
      </c>
      <c r="E326">
        <v>1402</v>
      </c>
      <c r="F326" t="s">
        <v>6447</v>
      </c>
      <c r="G326" t="b">
        <v>0</v>
      </c>
      <c r="H326" t="b">
        <v>0</v>
      </c>
      <c r="I326" t="s">
        <v>1051</v>
      </c>
      <c r="J326">
        <v>78</v>
      </c>
      <c r="K326" t="s">
        <v>0</v>
      </c>
      <c r="L326" t="s">
        <v>3000</v>
      </c>
      <c r="M326" t="s">
        <v>1548</v>
      </c>
      <c r="N326" t="s">
        <v>1548</v>
      </c>
      <c r="O326" t="s">
        <v>1548</v>
      </c>
      <c r="P326" s="36" t="s">
        <v>6448</v>
      </c>
    </row>
    <row r="327" spans="1:16" ht="409.5" x14ac:dyDescent="0.25">
      <c r="A327" t="s">
        <v>6837</v>
      </c>
      <c r="B327" t="s">
        <v>6833</v>
      </c>
      <c r="C327" t="s">
        <v>6446</v>
      </c>
      <c r="D327" t="s">
        <v>1027</v>
      </c>
      <c r="E327">
        <v>1402</v>
      </c>
      <c r="F327" t="s">
        <v>6447</v>
      </c>
      <c r="G327" t="b">
        <v>0</v>
      </c>
      <c r="H327" t="b">
        <v>0</v>
      </c>
      <c r="I327" t="s">
        <v>1051</v>
      </c>
      <c r="J327">
        <v>78</v>
      </c>
      <c r="K327" t="s">
        <v>0</v>
      </c>
      <c r="L327" t="s">
        <v>3000</v>
      </c>
      <c r="M327" t="s">
        <v>1548</v>
      </c>
      <c r="N327" t="s">
        <v>1548</v>
      </c>
      <c r="O327" t="s">
        <v>1548</v>
      </c>
      <c r="P327" s="36" t="s">
        <v>6448</v>
      </c>
    </row>
    <row r="328" spans="1:16" ht="409.5" x14ac:dyDescent="0.25">
      <c r="A328" t="s">
        <v>6838</v>
      </c>
      <c r="B328" t="s">
        <v>6833</v>
      </c>
      <c r="C328" t="s">
        <v>6446</v>
      </c>
      <c r="D328" t="s">
        <v>1027</v>
      </c>
      <c r="E328">
        <v>1402</v>
      </c>
      <c r="F328" t="s">
        <v>6447</v>
      </c>
      <c r="G328" t="b">
        <v>0</v>
      </c>
      <c r="H328" t="b">
        <v>0</v>
      </c>
      <c r="I328" t="s">
        <v>1051</v>
      </c>
      <c r="J328">
        <v>78</v>
      </c>
      <c r="K328" t="s">
        <v>0</v>
      </c>
      <c r="L328" t="s">
        <v>3000</v>
      </c>
      <c r="M328" t="s">
        <v>1548</v>
      </c>
      <c r="N328" t="s">
        <v>1548</v>
      </c>
      <c r="O328" t="s">
        <v>1548</v>
      </c>
      <c r="P328" s="36" t="s">
        <v>6448</v>
      </c>
    </row>
    <row r="329" spans="1:16" x14ac:dyDescent="0.25">
      <c r="A329" t="s">
        <v>6839</v>
      </c>
      <c r="B329" t="s">
        <v>6840</v>
      </c>
      <c r="C329" t="s">
        <v>1335</v>
      </c>
      <c r="D329" t="s">
        <v>1027</v>
      </c>
      <c r="E329">
        <v>1459</v>
      </c>
      <c r="F329" t="s">
        <v>1336</v>
      </c>
      <c r="G329" t="b">
        <v>0</v>
      </c>
      <c r="H329" t="b">
        <v>0</v>
      </c>
      <c r="I329" t="s">
        <v>1051</v>
      </c>
      <c r="J329">
        <v>47</v>
      </c>
      <c r="K329" t="s">
        <v>2</v>
      </c>
      <c r="L329" t="s">
        <v>1549</v>
      </c>
      <c r="M329" t="s">
        <v>3922</v>
      </c>
      <c r="N329" t="s">
        <v>3922</v>
      </c>
      <c r="O329" t="s">
        <v>3922</v>
      </c>
      <c r="P329" t="s">
        <v>1682</v>
      </c>
    </row>
    <row r="330" spans="1:16" x14ac:dyDescent="0.25">
      <c r="A330" t="s">
        <v>6841</v>
      </c>
      <c r="B330" t="s">
        <v>6840</v>
      </c>
      <c r="C330" t="s">
        <v>1335</v>
      </c>
      <c r="D330" t="s">
        <v>1027</v>
      </c>
      <c r="E330">
        <v>1459</v>
      </c>
      <c r="F330" t="s">
        <v>1336</v>
      </c>
      <c r="G330" t="b">
        <v>0</v>
      </c>
      <c r="H330" t="b">
        <v>0</v>
      </c>
      <c r="I330" t="s">
        <v>1051</v>
      </c>
      <c r="J330">
        <v>47</v>
      </c>
      <c r="K330" t="s">
        <v>2</v>
      </c>
      <c r="L330" t="s">
        <v>1549</v>
      </c>
      <c r="M330" t="s">
        <v>3922</v>
      </c>
      <c r="N330" t="s">
        <v>3922</v>
      </c>
      <c r="O330" t="s">
        <v>3922</v>
      </c>
      <c r="P330" t="s">
        <v>1682</v>
      </c>
    </row>
    <row r="331" spans="1:16" x14ac:dyDescent="0.25">
      <c r="A331" t="s">
        <v>6842</v>
      </c>
      <c r="B331" t="s">
        <v>6840</v>
      </c>
      <c r="C331" t="s">
        <v>1335</v>
      </c>
      <c r="D331" t="s">
        <v>1027</v>
      </c>
      <c r="E331">
        <v>1459</v>
      </c>
      <c r="F331" t="s">
        <v>1336</v>
      </c>
      <c r="G331" t="b">
        <v>0</v>
      </c>
      <c r="H331" t="b">
        <v>0</v>
      </c>
      <c r="I331" t="s">
        <v>1051</v>
      </c>
      <c r="J331">
        <v>47</v>
      </c>
      <c r="K331" t="s">
        <v>2</v>
      </c>
      <c r="L331" t="s">
        <v>1549</v>
      </c>
      <c r="M331" t="s">
        <v>3922</v>
      </c>
      <c r="N331" t="s">
        <v>3922</v>
      </c>
      <c r="O331" t="s">
        <v>3922</v>
      </c>
      <c r="P331" t="s">
        <v>1682</v>
      </c>
    </row>
    <row r="332" spans="1:16" x14ac:dyDescent="0.25">
      <c r="A332" t="s">
        <v>6843</v>
      </c>
      <c r="B332" t="s">
        <v>6840</v>
      </c>
      <c r="C332" t="s">
        <v>1335</v>
      </c>
      <c r="D332" t="s">
        <v>1027</v>
      </c>
      <c r="E332">
        <v>1459</v>
      </c>
      <c r="F332" t="s">
        <v>1336</v>
      </c>
      <c r="G332" t="b">
        <v>0</v>
      </c>
      <c r="H332" t="b">
        <v>0</v>
      </c>
      <c r="I332" t="s">
        <v>1051</v>
      </c>
      <c r="J332">
        <v>47</v>
      </c>
      <c r="K332" t="s">
        <v>2</v>
      </c>
      <c r="L332" t="s">
        <v>1549</v>
      </c>
      <c r="M332" t="s">
        <v>3922</v>
      </c>
      <c r="N332" t="s">
        <v>3922</v>
      </c>
      <c r="O332" t="s">
        <v>3922</v>
      </c>
      <c r="P332" t="s">
        <v>1682</v>
      </c>
    </row>
    <row r="333" spans="1:16" x14ac:dyDescent="0.25">
      <c r="A333" t="s">
        <v>6844</v>
      </c>
      <c r="B333" t="s">
        <v>6840</v>
      </c>
      <c r="C333" t="s">
        <v>1335</v>
      </c>
      <c r="D333" t="s">
        <v>1027</v>
      </c>
      <c r="E333">
        <v>1459</v>
      </c>
      <c r="F333" t="s">
        <v>1336</v>
      </c>
      <c r="G333" t="b">
        <v>0</v>
      </c>
      <c r="H333" t="b">
        <v>0</v>
      </c>
      <c r="I333" t="s">
        <v>1051</v>
      </c>
      <c r="J333">
        <v>47</v>
      </c>
      <c r="K333" t="s">
        <v>2</v>
      </c>
      <c r="L333" t="s">
        <v>1549</v>
      </c>
      <c r="M333" t="s">
        <v>3922</v>
      </c>
      <c r="N333" t="s">
        <v>3922</v>
      </c>
      <c r="O333" t="s">
        <v>3922</v>
      </c>
      <c r="P333" t="s">
        <v>1682</v>
      </c>
    </row>
    <row r="334" spans="1:16" x14ac:dyDescent="0.25">
      <c r="A334" t="s">
        <v>6845</v>
      </c>
      <c r="B334" t="s">
        <v>6840</v>
      </c>
      <c r="C334" t="s">
        <v>1335</v>
      </c>
      <c r="D334" t="s">
        <v>1027</v>
      </c>
      <c r="E334">
        <v>1459</v>
      </c>
      <c r="F334" t="s">
        <v>1336</v>
      </c>
      <c r="G334" t="b">
        <v>0</v>
      </c>
      <c r="H334" t="b">
        <v>0</v>
      </c>
      <c r="I334" t="s">
        <v>1051</v>
      </c>
      <c r="J334">
        <v>47</v>
      </c>
      <c r="K334" t="s">
        <v>2</v>
      </c>
      <c r="L334" t="s">
        <v>1549</v>
      </c>
      <c r="M334" t="s">
        <v>3922</v>
      </c>
      <c r="N334" t="s">
        <v>3922</v>
      </c>
      <c r="O334" t="s">
        <v>3922</v>
      </c>
      <c r="P334" t="s">
        <v>1682</v>
      </c>
    </row>
    <row r="335" spans="1:16" x14ac:dyDescent="0.25">
      <c r="A335" t="s">
        <v>6846</v>
      </c>
      <c r="B335" t="s">
        <v>6840</v>
      </c>
      <c r="C335" t="s">
        <v>1335</v>
      </c>
      <c r="D335" t="s">
        <v>1027</v>
      </c>
      <c r="E335">
        <v>1459</v>
      </c>
      <c r="F335" t="s">
        <v>1336</v>
      </c>
      <c r="G335" t="b">
        <v>0</v>
      </c>
      <c r="H335" t="b">
        <v>0</v>
      </c>
      <c r="I335" t="s">
        <v>1051</v>
      </c>
      <c r="J335">
        <v>47</v>
      </c>
      <c r="K335" t="s">
        <v>2</v>
      </c>
      <c r="L335" t="s">
        <v>1549</v>
      </c>
      <c r="M335" t="s">
        <v>3922</v>
      </c>
      <c r="N335" t="s">
        <v>3922</v>
      </c>
      <c r="O335" t="s">
        <v>3922</v>
      </c>
      <c r="P335" t="s">
        <v>1682</v>
      </c>
    </row>
    <row r="336" spans="1:16" x14ac:dyDescent="0.25">
      <c r="A336" t="s">
        <v>6847</v>
      </c>
      <c r="B336" t="s">
        <v>6840</v>
      </c>
      <c r="C336" t="s">
        <v>1335</v>
      </c>
      <c r="D336" t="s">
        <v>1027</v>
      </c>
      <c r="E336">
        <v>1459</v>
      </c>
      <c r="F336" t="s">
        <v>1336</v>
      </c>
      <c r="G336" t="b">
        <v>0</v>
      </c>
      <c r="H336" t="b">
        <v>0</v>
      </c>
      <c r="I336" t="s">
        <v>1051</v>
      </c>
      <c r="J336">
        <v>47</v>
      </c>
      <c r="K336" t="s">
        <v>2</v>
      </c>
      <c r="L336" t="s">
        <v>1549</v>
      </c>
      <c r="M336" t="s">
        <v>3922</v>
      </c>
      <c r="N336" t="s">
        <v>3922</v>
      </c>
      <c r="O336" t="s">
        <v>3922</v>
      </c>
      <c r="P336" t="s">
        <v>1682</v>
      </c>
    </row>
    <row r="337" spans="1:16" ht="409.5" x14ac:dyDescent="0.25">
      <c r="A337" t="s">
        <v>6848</v>
      </c>
      <c r="B337" t="s">
        <v>6849</v>
      </c>
      <c r="C337" t="s">
        <v>6503</v>
      </c>
      <c r="D337" t="s">
        <v>1027</v>
      </c>
      <c r="E337">
        <v>1488</v>
      </c>
      <c r="F337" t="s">
        <v>6504</v>
      </c>
      <c r="G337" t="b">
        <v>0</v>
      </c>
      <c r="H337" t="b">
        <v>0</v>
      </c>
      <c r="I337" t="s">
        <v>1051</v>
      </c>
      <c r="J337">
        <v>78</v>
      </c>
      <c r="K337" t="s">
        <v>0</v>
      </c>
      <c r="L337" t="s">
        <v>3000</v>
      </c>
      <c r="M337" t="s">
        <v>1548</v>
      </c>
      <c r="N337" t="s">
        <v>1548</v>
      </c>
      <c r="O337" t="s">
        <v>1548</v>
      </c>
      <c r="P337" s="36" t="s">
        <v>6505</v>
      </c>
    </row>
    <row r="338" spans="1:16" ht="409.5" x14ac:dyDescent="0.25">
      <c r="A338" t="s">
        <v>6850</v>
      </c>
      <c r="B338" t="s">
        <v>6849</v>
      </c>
      <c r="C338" t="s">
        <v>6503</v>
      </c>
      <c r="D338" t="s">
        <v>1027</v>
      </c>
      <c r="E338">
        <v>1488</v>
      </c>
      <c r="F338" t="s">
        <v>6504</v>
      </c>
      <c r="G338" t="b">
        <v>0</v>
      </c>
      <c r="H338" t="b">
        <v>0</v>
      </c>
      <c r="I338" t="s">
        <v>1051</v>
      </c>
      <c r="J338">
        <v>78</v>
      </c>
      <c r="K338" t="s">
        <v>0</v>
      </c>
      <c r="L338" t="s">
        <v>3000</v>
      </c>
      <c r="M338" t="s">
        <v>1548</v>
      </c>
      <c r="N338" t="s">
        <v>1548</v>
      </c>
      <c r="O338" t="s">
        <v>1548</v>
      </c>
      <c r="P338" s="36" t="s">
        <v>6505</v>
      </c>
    </row>
    <row r="339" spans="1:16" ht="409.5" x14ac:dyDescent="0.25">
      <c r="A339" t="s">
        <v>6851</v>
      </c>
      <c r="B339" t="s">
        <v>6849</v>
      </c>
      <c r="C339" t="s">
        <v>6503</v>
      </c>
      <c r="D339" t="s">
        <v>1027</v>
      </c>
      <c r="E339">
        <v>1488</v>
      </c>
      <c r="F339" t="s">
        <v>6504</v>
      </c>
      <c r="G339" t="b">
        <v>0</v>
      </c>
      <c r="H339" t="b">
        <v>0</v>
      </c>
      <c r="I339" t="s">
        <v>1051</v>
      </c>
      <c r="J339">
        <v>78</v>
      </c>
      <c r="K339" t="s">
        <v>0</v>
      </c>
      <c r="L339" t="s">
        <v>3000</v>
      </c>
      <c r="M339" t="s">
        <v>1548</v>
      </c>
      <c r="N339" t="s">
        <v>1548</v>
      </c>
      <c r="O339" t="s">
        <v>1548</v>
      </c>
      <c r="P339" s="36" t="s">
        <v>6505</v>
      </c>
    </row>
    <row r="340" spans="1:16" ht="409.5" x14ac:dyDescent="0.25">
      <c r="A340" t="s">
        <v>6852</v>
      </c>
      <c r="B340" t="s">
        <v>6853</v>
      </c>
      <c r="C340" t="s">
        <v>6473</v>
      </c>
      <c r="D340" t="s">
        <v>1027</v>
      </c>
      <c r="E340">
        <v>33419</v>
      </c>
      <c r="F340" t="s">
        <v>6474</v>
      </c>
      <c r="G340" t="b">
        <v>0</v>
      </c>
      <c r="H340" t="b">
        <v>0</v>
      </c>
      <c r="I340" t="s">
        <v>1051</v>
      </c>
      <c r="J340">
        <v>78</v>
      </c>
      <c r="K340" t="s">
        <v>0</v>
      </c>
      <c r="L340" t="s">
        <v>3000</v>
      </c>
      <c r="M340" t="s">
        <v>1548</v>
      </c>
      <c r="N340" t="s">
        <v>1548</v>
      </c>
      <c r="O340" t="s">
        <v>1548</v>
      </c>
      <c r="P340" s="36" t="s">
        <v>6448</v>
      </c>
    </row>
    <row r="341" spans="1:16" ht="409.5" x14ac:dyDescent="0.25">
      <c r="A341" t="s">
        <v>6854</v>
      </c>
      <c r="B341" t="s">
        <v>6855</v>
      </c>
      <c r="C341" t="s">
        <v>6446</v>
      </c>
      <c r="D341" t="s">
        <v>1027</v>
      </c>
      <c r="E341">
        <v>1402</v>
      </c>
      <c r="F341" t="s">
        <v>6447</v>
      </c>
      <c r="G341" t="b">
        <v>0</v>
      </c>
      <c r="H341" t="b">
        <v>0</v>
      </c>
      <c r="I341" t="s">
        <v>1051</v>
      </c>
      <c r="J341">
        <v>78</v>
      </c>
      <c r="K341" t="s">
        <v>0</v>
      </c>
      <c r="L341" t="s">
        <v>3000</v>
      </c>
      <c r="M341" t="s">
        <v>1548</v>
      </c>
      <c r="N341" t="s">
        <v>1548</v>
      </c>
      <c r="O341" t="s">
        <v>1548</v>
      </c>
      <c r="P341" s="36" t="s">
        <v>6448</v>
      </c>
    </row>
    <row r="342" spans="1:16" ht="409.5" x14ac:dyDescent="0.25">
      <c r="A342" t="s">
        <v>6856</v>
      </c>
      <c r="B342" t="s">
        <v>6855</v>
      </c>
      <c r="C342" t="s">
        <v>6446</v>
      </c>
      <c r="D342" t="s">
        <v>1027</v>
      </c>
      <c r="E342">
        <v>1402</v>
      </c>
      <c r="F342" t="s">
        <v>6447</v>
      </c>
      <c r="G342" t="b">
        <v>0</v>
      </c>
      <c r="H342" t="b">
        <v>0</v>
      </c>
      <c r="I342" t="s">
        <v>1051</v>
      </c>
      <c r="J342">
        <v>78</v>
      </c>
      <c r="K342" t="s">
        <v>0</v>
      </c>
      <c r="L342" t="s">
        <v>3000</v>
      </c>
      <c r="M342" t="s">
        <v>1548</v>
      </c>
      <c r="N342" t="s">
        <v>1548</v>
      </c>
      <c r="O342" t="s">
        <v>1548</v>
      </c>
      <c r="P342" s="36" t="s">
        <v>6448</v>
      </c>
    </row>
    <row r="343" spans="1:16" ht="409.5" x14ac:dyDescent="0.25">
      <c r="A343" t="s">
        <v>6857</v>
      </c>
      <c r="B343" t="s">
        <v>6855</v>
      </c>
      <c r="C343" t="s">
        <v>6446</v>
      </c>
      <c r="D343" t="s">
        <v>1027</v>
      </c>
      <c r="E343">
        <v>1402</v>
      </c>
      <c r="F343" t="s">
        <v>6447</v>
      </c>
      <c r="G343" t="b">
        <v>0</v>
      </c>
      <c r="H343" t="b">
        <v>0</v>
      </c>
      <c r="I343" t="s">
        <v>1051</v>
      </c>
      <c r="J343">
        <v>78</v>
      </c>
      <c r="K343" t="s">
        <v>0</v>
      </c>
      <c r="L343" t="s">
        <v>3000</v>
      </c>
      <c r="M343" t="s">
        <v>1548</v>
      </c>
      <c r="N343" t="s">
        <v>1548</v>
      </c>
      <c r="O343" t="s">
        <v>1548</v>
      </c>
      <c r="P343" s="36" t="s">
        <v>6448</v>
      </c>
    </row>
    <row r="344" spans="1:16" ht="409.5" x14ac:dyDescent="0.25">
      <c r="A344" t="s">
        <v>6858</v>
      </c>
      <c r="B344" t="s">
        <v>6855</v>
      </c>
      <c r="C344" t="s">
        <v>6446</v>
      </c>
      <c r="D344" t="s">
        <v>1027</v>
      </c>
      <c r="E344">
        <v>1402</v>
      </c>
      <c r="F344" t="s">
        <v>6447</v>
      </c>
      <c r="G344" t="b">
        <v>0</v>
      </c>
      <c r="H344" t="b">
        <v>0</v>
      </c>
      <c r="I344" t="s">
        <v>1051</v>
      </c>
      <c r="J344">
        <v>78</v>
      </c>
      <c r="K344" t="s">
        <v>0</v>
      </c>
      <c r="L344" t="s">
        <v>3000</v>
      </c>
      <c r="M344" t="s">
        <v>1548</v>
      </c>
      <c r="N344" t="s">
        <v>1548</v>
      </c>
      <c r="O344" t="s">
        <v>1548</v>
      </c>
      <c r="P344" s="36" t="s">
        <v>6448</v>
      </c>
    </row>
    <row r="345" spans="1:16" ht="409.5" x14ac:dyDescent="0.25">
      <c r="A345" t="s">
        <v>6859</v>
      </c>
      <c r="B345" t="s">
        <v>6855</v>
      </c>
      <c r="C345" t="s">
        <v>6446</v>
      </c>
      <c r="D345" t="s">
        <v>1027</v>
      </c>
      <c r="E345">
        <v>1402</v>
      </c>
      <c r="F345" t="s">
        <v>6447</v>
      </c>
      <c r="G345" t="b">
        <v>0</v>
      </c>
      <c r="H345" t="b">
        <v>0</v>
      </c>
      <c r="I345" t="s">
        <v>1051</v>
      </c>
      <c r="J345">
        <v>78</v>
      </c>
      <c r="K345" t="s">
        <v>0</v>
      </c>
      <c r="L345" t="s">
        <v>3000</v>
      </c>
      <c r="M345" t="s">
        <v>1548</v>
      </c>
      <c r="N345" t="s">
        <v>1548</v>
      </c>
      <c r="O345" t="s">
        <v>1548</v>
      </c>
      <c r="P345" s="36" t="s">
        <v>6448</v>
      </c>
    </row>
    <row r="346" spans="1:16" ht="409.5" x14ac:dyDescent="0.25">
      <c r="A346" t="s">
        <v>6860</v>
      </c>
      <c r="B346" t="s">
        <v>6855</v>
      </c>
      <c r="C346" t="s">
        <v>6446</v>
      </c>
      <c r="D346" t="s">
        <v>1027</v>
      </c>
      <c r="E346">
        <v>1402</v>
      </c>
      <c r="F346" t="s">
        <v>6447</v>
      </c>
      <c r="G346" t="b">
        <v>0</v>
      </c>
      <c r="H346" t="b">
        <v>0</v>
      </c>
      <c r="I346" t="s">
        <v>1051</v>
      </c>
      <c r="J346">
        <v>78</v>
      </c>
      <c r="K346" t="s">
        <v>0</v>
      </c>
      <c r="L346" t="s">
        <v>3000</v>
      </c>
      <c r="M346" t="s">
        <v>1548</v>
      </c>
      <c r="N346" t="s">
        <v>1548</v>
      </c>
      <c r="O346" t="s">
        <v>1548</v>
      </c>
      <c r="P346" s="36" t="s">
        <v>6448</v>
      </c>
    </row>
    <row r="347" spans="1:16" ht="409.5" x14ac:dyDescent="0.25">
      <c r="A347" t="s">
        <v>6861</v>
      </c>
      <c r="B347" t="s">
        <v>6855</v>
      </c>
      <c r="C347" t="s">
        <v>6446</v>
      </c>
      <c r="D347" t="s">
        <v>1027</v>
      </c>
      <c r="E347">
        <v>1402</v>
      </c>
      <c r="F347" t="s">
        <v>6447</v>
      </c>
      <c r="G347" t="b">
        <v>0</v>
      </c>
      <c r="H347" t="b">
        <v>0</v>
      </c>
      <c r="I347" t="s">
        <v>1051</v>
      </c>
      <c r="J347">
        <v>78</v>
      </c>
      <c r="K347" t="s">
        <v>0</v>
      </c>
      <c r="L347" t="s">
        <v>3000</v>
      </c>
      <c r="M347" t="s">
        <v>1548</v>
      </c>
      <c r="N347" t="s">
        <v>1548</v>
      </c>
      <c r="O347" t="s">
        <v>1548</v>
      </c>
      <c r="P347" s="36" t="s">
        <v>6448</v>
      </c>
    </row>
    <row r="348" spans="1:16" ht="409.5" x14ac:dyDescent="0.25">
      <c r="A348" t="s">
        <v>6862</v>
      </c>
      <c r="B348" t="s">
        <v>6855</v>
      </c>
      <c r="C348" t="s">
        <v>6446</v>
      </c>
      <c r="D348" t="s">
        <v>1027</v>
      </c>
      <c r="E348">
        <v>1402</v>
      </c>
      <c r="F348" t="s">
        <v>6447</v>
      </c>
      <c r="G348" t="b">
        <v>0</v>
      </c>
      <c r="H348" t="b">
        <v>0</v>
      </c>
      <c r="I348" t="s">
        <v>1051</v>
      </c>
      <c r="J348">
        <v>78</v>
      </c>
      <c r="K348" t="s">
        <v>0</v>
      </c>
      <c r="L348" t="s">
        <v>3000</v>
      </c>
      <c r="M348" t="s">
        <v>1548</v>
      </c>
      <c r="N348" t="s">
        <v>1548</v>
      </c>
      <c r="O348" t="s">
        <v>1548</v>
      </c>
      <c r="P348" s="36" t="s">
        <v>6448</v>
      </c>
    </row>
    <row r="349" spans="1:16" ht="409.5" x14ac:dyDescent="0.25">
      <c r="A349" t="s">
        <v>6863</v>
      </c>
      <c r="B349" t="s">
        <v>6864</v>
      </c>
      <c r="C349" t="s">
        <v>6446</v>
      </c>
      <c r="D349" t="s">
        <v>1027</v>
      </c>
      <c r="E349">
        <v>1402</v>
      </c>
      <c r="F349" t="s">
        <v>6447</v>
      </c>
      <c r="G349" t="b">
        <v>0</v>
      </c>
      <c r="H349" t="b">
        <v>0</v>
      </c>
      <c r="I349" t="s">
        <v>1051</v>
      </c>
      <c r="J349">
        <v>78</v>
      </c>
      <c r="K349" t="s">
        <v>0</v>
      </c>
      <c r="L349" t="s">
        <v>3000</v>
      </c>
      <c r="M349" t="s">
        <v>1548</v>
      </c>
      <c r="N349" t="s">
        <v>1548</v>
      </c>
      <c r="O349" t="s">
        <v>1548</v>
      </c>
      <c r="P349" s="36" t="s">
        <v>6448</v>
      </c>
    </row>
    <row r="350" spans="1:16" ht="409.5" x14ac:dyDescent="0.25">
      <c r="A350" t="s">
        <v>6865</v>
      </c>
      <c r="B350" t="s">
        <v>6864</v>
      </c>
      <c r="C350" t="s">
        <v>6446</v>
      </c>
      <c r="D350" t="s">
        <v>1027</v>
      </c>
      <c r="E350">
        <v>1402</v>
      </c>
      <c r="F350" t="s">
        <v>6447</v>
      </c>
      <c r="G350" t="b">
        <v>0</v>
      </c>
      <c r="H350" t="b">
        <v>0</v>
      </c>
      <c r="I350" t="s">
        <v>1051</v>
      </c>
      <c r="J350">
        <v>78</v>
      </c>
      <c r="K350" t="s">
        <v>0</v>
      </c>
      <c r="L350" t="s">
        <v>3000</v>
      </c>
      <c r="M350" t="s">
        <v>1548</v>
      </c>
      <c r="N350" t="s">
        <v>1548</v>
      </c>
      <c r="O350" t="s">
        <v>1548</v>
      </c>
      <c r="P350" s="36" t="s">
        <v>6448</v>
      </c>
    </row>
    <row r="351" spans="1:16" ht="409.5" x14ac:dyDescent="0.25">
      <c r="A351" t="s">
        <v>6866</v>
      </c>
      <c r="B351" t="s">
        <v>6864</v>
      </c>
      <c r="C351" t="s">
        <v>6446</v>
      </c>
      <c r="D351" t="s">
        <v>1027</v>
      </c>
      <c r="E351">
        <v>1402</v>
      </c>
      <c r="F351" t="s">
        <v>6447</v>
      </c>
      <c r="G351" t="b">
        <v>0</v>
      </c>
      <c r="H351" t="b">
        <v>0</v>
      </c>
      <c r="I351" t="s">
        <v>1051</v>
      </c>
      <c r="J351">
        <v>78</v>
      </c>
      <c r="K351" t="s">
        <v>0</v>
      </c>
      <c r="L351" t="s">
        <v>3000</v>
      </c>
      <c r="M351" t="s">
        <v>1548</v>
      </c>
      <c r="N351" t="s">
        <v>1548</v>
      </c>
      <c r="O351" t="s">
        <v>1548</v>
      </c>
      <c r="P351" s="36" t="s">
        <v>6448</v>
      </c>
    </row>
    <row r="352" spans="1:16" ht="409.5" x14ac:dyDescent="0.25">
      <c r="A352" t="s">
        <v>6867</v>
      </c>
      <c r="B352" t="s">
        <v>6864</v>
      </c>
      <c r="C352" t="s">
        <v>6446</v>
      </c>
      <c r="D352" t="s">
        <v>1027</v>
      </c>
      <c r="E352">
        <v>1402</v>
      </c>
      <c r="F352" t="s">
        <v>6447</v>
      </c>
      <c r="G352" t="b">
        <v>0</v>
      </c>
      <c r="H352" t="b">
        <v>0</v>
      </c>
      <c r="I352" t="s">
        <v>1051</v>
      </c>
      <c r="J352">
        <v>78</v>
      </c>
      <c r="K352" t="s">
        <v>0</v>
      </c>
      <c r="L352" t="s">
        <v>3000</v>
      </c>
      <c r="M352" t="s">
        <v>1548</v>
      </c>
      <c r="N352" t="s">
        <v>1548</v>
      </c>
      <c r="O352" t="s">
        <v>1548</v>
      </c>
      <c r="P352" s="36" t="s">
        <v>6448</v>
      </c>
    </row>
    <row r="353" spans="1:16" ht="409.5" x14ac:dyDescent="0.25">
      <c r="A353" t="s">
        <v>6868</v>
      </c>
      <c r="B353" t="s">
        <v>6864</v>
      </c>
      <c r="C353" t="s">
        <v>6446</v>
      </c>
      <c r="D353" t="s">
        <v>1027</v>
      </c>
      <c r="E353">
        <v>1402</v>
      </c>
      <c r="F353" t="s">
        <v>6447</v>
      </c>
      <c r="G353" t="b">
        <v>0</v>
      </c>
      <c r="H353" t="b">
        <v>0</v>
      </c>
      <c r="I353" t="s">
        <v>1051</v>
      </c>
      <c r="J353">
        <v>78</v>
      </c>
      <c r="K353" t="s">
        <v>0</v>
      </c>
      <c r="L353" t="s">
        <v>3000</v>
      </c>
      <c r="M353" t="s">
        <v>1548</v>
      </c>
      <c r="N353" t="s">
        <v>1548</v>
      </c>
      <c r="O353" t="s">
        <v>1548</v>
      </c>
      <c r="P353" s="36" t="s">
        <v>6448</v>
      </c>
    </row>
    <row r="354" spans="1:16" ht="409.5" x14ac:dyDescent="0.25">
      <c r="A354" t="s">
        <v>6869</v>
      </c>
      <c r="B354" t="s">
        <v>6853</v>
      </c>
      <c r="C354" t="s">
        <v>6473</v>
      </c>
      <c r="D354" t="s">
        <v>1075</v>
      </c>
      <c r="E354">
        <v>33419</v>
      </c>
      <c r="F354" t="s">
        <v>6474</v>
      </c>
      <c r="G354" t="b">
        <v>0</v>
      </c>
      <c r="H354" t="b">
        <v>0</v>
      </c>
      <c r="I354" t="s">
        <v>1051</v>
      </c>
      <c r="J354">
        <v>78</v>
      </c>
      <c r="K354" t="s">
        <v>0</v>
      </c>
      <c r="L354" t="s">
        <v>3000</v>
      </c>
      <c r="M354" t="s">
        <v>1548</v>
      </c>
      <c r="N354" t="s">
        <v>1548</v>
      </c>
      <c r="O354" t="s">
        <v>1548</v>
      </c>
      <c r="P354" s="36" t="s">
        <v>6448</v>
      </c>
    </row>
    <row r="355" spans="1:16" x14ac:dyDescent="0.25">
      <c r="A355" t="s">
        <v>6870</v>
      </c>
      <c r="B355" t="s">
        <v>6871</v>
      </c>
      <c r="C355" t="s">
        <v>1335</v>
      </c>
      <c r="D355" t="s">
        <v>1027</v>
      </c>
      <c r="E355">
        <v>1459</v>
      </c>
      <c r="F355" t="s">
        <v>1336</v>
      </c>
      <c r="G355" t="b">
        <v>0</v>
      </c>
      <c r="H355" t="b">
        <v>0</v>
      </c>
      <c r="I355" t="s">
        <v>1051</v>
      </c>
      <c r="J355">
        <v>78</v>
      </c>
      <c r="K355" t="s">
        <v>2</v>
      </c>
      <c r="L355" t="s">
        <v>1549</v>
      </c>
      <c r="M355" t="s">
        <v>3922</v>
      </c>
      <c r="N355" t="s">
        <v>3922</v>
      </c>
      <c r="O355" t="s">
        <v>3922</v>
      </c>
      <c r="P355" t="s">
        <v>1682</v>
      </c>
    </row>
    <row r="356" spans="1:16" x14ac:dyDescent="0.25">
      <c r="A356" t="s">
        <v>6872</v>
      </c>
      <c r="B356" t="s">
        <v>6871</v>
      </c>
      <c r="C356" t="s">
        <v>1335</v>
      </c>
      <c r="D356" t="s">
        <v>1027</v>
      </c>
      <c r="E356">
        <v>1459</v>
      </c>
      <c r="F356" t="s">
        <v>1336</v>
      </c>
      <c r="G356" t="b">
        <v>0</v>
      </c>
      <c r="H356" t="b">
        <v>0</v>
      </c>
      <c r="I356" t="s">
        <v>1051</v>
      </c>
      <c r="J356">
        <v>78</v>
      </c>
      <c r="K356" t="s">
        <v>2</v>
      </c>
      <c r="L356" t="s">
        <v>1549</v>
      </c>
      <c r="M356" t="s">
        <v>3922</v>
      </c>
      <c r="N356" t="s">
        <v>3922</v>
      </c>
      <c r="O356" t="s">
        <v>3922</v>
      </c>
      <c r="P356" t="s">
        <v>1682</v>
      </c>
    </row>
    <row r="357" spans="1:16" x14ac:dyDescent="0.25">
      <c r="A357" t="s">
        <v>6873</v>
      </c>
      <c r="B357" t="s">
        <v>6874</v>
      </c>
      <c r="C357" t="s">
        <v>1335</v>
      </c>
      <c r="D357" t="s">
        <v>1027</v>
      </c>
      <c r="E357">
        <v>1459</v>
      </c>
      <c r="F357" t="s">
        <v>1336</v>
      </c>
      <c r="G357" t="b">
        <v>0</v>
      </c>
      <c r="H357" t="b">
        <v>0</v>
      </c>
      <c r="I357" t="s">
        <v>1051</v>
      </c>
      <c r="J357">
        <v>60</v>
      </c>
      <c r="K357" t="s">
        <v>2</v>
      </c>
      <c r="L357" t="s">
        <v>1549</v>
      </c>
      <c r="M357" t="s">
        <v>3922</v>
      </c>
      <c r="N357" t="s">
        <v>3922</v>
      </c>
      <c r="O357" t="s">
        <v>3922</v>
      </c>
      <c r="P357" t="s">
        <v>1682</v>
      </c>
    </row>
    <row r="358" spans="1:16" x14ac:dyDescent="0.25">
      <c r="A358" t="s">
        <v>6875</v>
      </c>
      <c r="B358" t="s">
        <v>6874</v>
      </c>
      <c r="C358" t="s">
        <v>1335</v>
      </c>
      <c r="D358" t="s">
        <v>1027</v>
      </c>
      <c r="E358">
        <v>1459</v>
      </c>
      <c r="F358" t="s">
        <v>1336</v>
      </c>
      <c r="G358" t="b">
        <v>0</v>
      </c>
      <c r="H358" t="b">
        <v>0</v>
      </c>
      <c r="I358" t="s">
        <v>1051</v>
      </c>
      <c r="J358">
        <v>60</v>
      </c>
      <c r="K358" t="s">
        <v>2</v>
      </c>
      <c r="L358" t="s">
        <v>1549</v>
      </c>
      <c r="M358" t="s">
        <v>3922</v>
      </c>
      <c r="N358" t="s">
        <v>3922</v>
      </c>
      <c r="O358" t="s">
        <v>3922</v>
      </c>
      <c r="P358" t="s">
        <v>1682</v>
      </c>
    </row>
    <row r="359" spans="1:16" x14ac:dyDescent="0.25">
      <c r="A359" t="s">
        <v>6876</v>
      </c>
      <c r="B359" t="s">
        <v>6874</v>
      </c>
      <c r="C359" t="s">
        <v>1335</v>
      </c>
      <c r="D359" t="s">
        <v>1027</v>
      </c>
      <c r="E359">
        <v>1459</v>
      </c>
      <c r="F359" t="s">
        <v>1336</v>
      </c>
      <c r="G359" t="b">
        <v>0</v>
      </c>
      <c r="H359" t="b">
        <v>0</v>
      </c>
      <c r="I359" t="s">
        <v>1051</v>
      </c>
      <c r="J359">
        <v>60</v>
      </c>
      <c r="K359" t="s">
        <v>2</v>
      </c>
      <c r="L359" t="s">
        <v>1549</v>
      </c>
      <c r="M359" t="s">
        <v>3922</v>
      </c>
      <c r="N359" t="s">
        <v>3922</v>
      </c>
      <c r="O359" t="s">
        <v>3922</v>
      </c>
      <c r="P359" t="s">
        <v>1682</v>
      </c>
    </row>
    <row r="360" spans="1:16" x14ac:dyDescent="0.25">
      <c r="A360" t="s">
        <v>6877</v>
      </c>
      <c r="B360" t="s">
        <v>6874</v>
      </c>
      <c r="C360" t="s">
        <v>1335</v>
      </c>
      <c r="D360" t="s">
        <v>1027</v>
      </c>
      <c r="E360">
        <v>1459</v>
      </c>
      <c r="F360" t="s">
        <v>1336</v>
      </c>
      <c r="G360" t="b">
        <v>0</v>
      </c>
      <c r="H360" t="b">
        <v>0</v>
      </c>
      <c r="I360" t="s">
        <v>1051</v>
      </c>
      <c r="J360">
        <v>46</v>
      </c>
      <c r="K360" t="s">
        <v>2</v>
      </c>
      <c r="L360" t="s">
        <v>1549</v>
      </c>
      <c r="M360" t="s">
        <v>3922</v>
      </c>
      <c r="N360" t="s">
        <v>3922</v>
      </c>
      <c r="O360" t="s">
        <v>3922</v>
      </c>
      <c r="P360" t="s">
        <v>1682</v>
      </c>
    </row>
    <row r="361" spans="1:16" x14ac:dyDescent="0.25">
      <c r="A361" t="s">
        <v>6878</v>
      </c>
      <c r="B361" t="s">
        <v>6874</v>
      </c>
      <c r="C361" t="s">
        <v>1335</v>
      </c>
      <c r="D361" t="s">
        <v>1027</v>
      </c>
      <c r="E361">
        <v>1459</v>
      </c>
      <c r="F361" t="s">
        <v>1336</v>
      </c>
      <c r="G361" t="b">
        <v>0</v>
      </c>
      <c r="H361" t="b">
        <v>0</v>
      </c>
      <c r="I361" t="s">
        <v>1051</v>
      </c>
      <c r="J361">
        <v>46</v>
      </c>
      <c r="K361" t="s">
        <v>2</v>
      </c>
      <c r="L361" t="s">
        <v>1549</v>
      </c>
      <c r="M361" t="s">
        <v>3922</v>
      </c>
      <c r="N361" t="s">
        <v>3922</v>
      </c>
      <c r="O361" t="s">
        <v>3922</v>
      </c>
      <c r="P361" t="s">
        <v>1682</v>
      </c>
    </row>
    <row r="362" spans="1:16" x14ac:dyDescent="0.25">
      <c r="A362" t="s">
        <v>6879</v>
      </c>
      <c r="B362" t="s">
        <v>6874</v>
      </c>
      <c r="C362" t="s">
        <v>1335</v>
      </c>
      <c r="D362" t="s">
        <v>1027</v>
      </c>
      <c r="E362">
        <v>1459</v>
      </c>
      <c r="F362" t="s">
        <v>1336</v>
      </c>
      <c r="G362" t="b">
        <v>0</v>
      </c>
      <c r="H362" t="b">
        <v>0</v>
      </c>
      <c r="I362" t="s">
        <v>1051</v>
      </c>
      <c r="J362">
        <v>60</v>
      </c>
      <c r="K362" t="s">
        <v>2</v>
      </c>
      <c r="L362" t="s">
        <v>1549</v>
      </c>
      <c r="M362" t="s">
        <v>3922</v>
      </c>
      <c r="N362" t="s">
        <v>3922</v>
      </c>
      <c r="O362" t="s">
        <v>3922</v>
      </c>
      <c r="P362" t="s">
        <v>1682</v>
      </c>
    </row>
    <row r="363" spans="1:16" x14ac:dyDescent="0.25">
      <c r="A363" t="s">
        <v>6880</v>
      </c>
      <c r="B363" t="s">
        <v>6874</v>
      </c>
      <c r="C363" t="s">
        <v>1335</v>
      </c>
      <c r="D363" t="s">
        <v>1027</v>
      </c>
      <c r="E363">
        <v>1459</v>
      </c>
      <c r="F363" t="s">
        <v>1336</v>
      </c>
      <c r="G363" t="b">
        <v>0</v>
      </c>
      <c r="H363" t="b">
        <v>0</v>
      </c>
      <c r="I363" t="s">
        <v>1051</v>
      </c>
      <c r="J363">
        <v>60</v>
      </c>
      <c r="K363" t="s">
        <v>2</v>
      </c>
      <c r="L363" t="s">
        <v>1549</v>
      </c>
      <c r="M363" t="s">
        <v>3922</v>
      </c>
      <c r="N363" t="s">
        <v>3922</v>
      </c>
      <c r="O363" t="s">
        <v>3922</v>
      </c>
      <c r="P363" t="s">
        <v>1682</v>
      </c>
    </row>
    <row r="364" spans="1:16" x14ac:dyDescent="0.25">
      <c r="A364" t="s">
        <v>6881</v>
      </c>
      <c r="B364" t="s">
        <v>6874</v>
      </c>
      <c r="C364" t="s">
        <v>1335</v>
      </c>
      <c r="D364" t="s">
        <v>1027</v>
      </c>
      <c r="E364">
        <v>1459</v>
      </c>
      <c r="F364" t="s">
        <v>1336</v>
      </c>
      <c r="G364" t="b">
        <v>0</v>
      </c>
      <c r="H364" t="b">
        <v>0</v>
      </c>
      <c r="I364" t="s">
        <v>1051</v>
      </c>
      <c r="J364">
        <v>60</v>
      </c>
      <c r="K364" t="s">
        <v>2</v>
      </c>
      <c r="L364" t="s">
        <v>1549</v>
      </c>
      <c r="M364" t="s">
        <v>3922</v>
      </c>
      <c r="N364" t="s">
        <v>3922</v>
      </c>
      <c r="O364" t="s">
        <v>3922</v>
      </c>
      <c r="P364" t="s">
        <v>1682</v>
      </c>
    </row>
    <row r="365" spans="1:16" x14ac:dyDescent="0.25">
      <c r="A365" t="s">
        <v>6882</v>
      </c>
      <c r="B365" t="s">
        <v>6874</v>
      </c>
      <c r="C365" t="s">
        <v>1335</v>
      </c>
      <c r="D365" t="s">
        <v>1027</v>
      </c>
      <c r="E365">
        <v>1459</v>
      </c>
      <c r="F365" t="s">
        <v>1336</v>
      </c>
      <c r="G365" t="b">
        <v>0</v>
      </c>
      <c r="H365" t="b">
        <v>0</v>
      </c>
      <c r="I365" t="s">
        <v>1051</v>
      </c>
      <c r="J365">
        <v>60</v>
      </c>
      <c r="K365" t="s">
        <v>2</v>
      </c>
      <c r="L365" t="s">
        <v>1549</v>
      </c>
      <c r="M365" t="s">
        <v>3922</v>
      </c>
      <c r="N365" t="s">
        <v>3922</v>
      </c>
      <c r="O365" t="s">
        <v>3922</v>
      </c>
      <c r="P365" t="s">
        <v>1682</v>
      </c>
    </row>
    <row r="366" spans="1:16" x14ac:dyDescent="0.25">
      <c r="A366" t="s">
        <v>6883</v>
      </c>
      <c r="B366" t="s">
        <v>6874</v>
      </c>
      <c r="C366" t="s">
        <v>1335</v>
      </c>
      <c r="D366" t="s">
        <v>1027</v>
      </c>
      <c r="E366">
        <v>1459</v>
      </c>
      <c r="F366" t="s">
        <v>1336</v>
      </c>
      <c r="G366" t="b">
        <v>0</v>
      </c>
      <c r="H366" t="b">
        <v>0</v>
      </c>
      <c r="I366" t="s">
        <v>1051</v>
      </c>
      <c r="J366">
        <v>60</v>
      </c>
      <c r="K366" t="s">
        <v>2</v>
      </c>
      <c r="L366" t="s">
        <v>1549</v>
      </c>
      <c r="M366" t="s">
        <v>3922</v>
      </c>
      <c r="N366" t="s">
        <v>3922</v>
      </c>
      <c r="O366" t="s">
        <v>3922</v>
      </c>
      <c r="P366" t="s">
        <v>1682</v>
      </c>
    </row>
    <row r="367" spans="1:16" x14ac:dyDescent="0.25">
      <c r="A367" t="s">
        <v>6884</v>
      </c>
      <c r="B367" t="s">
        <v>6874</v>
      </c>
      <c r="C367" t="s">
        <v>1335</v>
      </c>
      <c r="D367" t="s">
        <v>1027</v>
      </c>
      <c r="E367">
        <v>1459</v>
      </c>
      <c r="F367" t="s">
        <v>1336</v>
      </c>
      <c r="G367" t="b">
        <v>0</v>
      </c>
      <c r="H367" t="b">
        <v>0</v>
      </c>
      <c r="I367" t="s">
        <v>1051</v>
      </c>
      <c r="J367">
        <v>60</v>
      </c>
      <c r="K367" t="s">
        <v>2</v>
      </c>
      <c r="L367" t="s">
        <v>1549</v>
      </c>
      <c r="M367" t="s">
        <v>3922</v>
      </c>
      <c r="N367" t="s">
        <v>3922</v>
      </c>
      <c r="O367" t="s">
        <v>3922</v>
      </c>
      <c r="P367" t="s">
        <v>1682</v>
      </c>
    </row>
    <row r="368" spans="1:16" x14ac:dyDescent="0.25">
      <c r="A368" t="s">
        <v>6885</v>
      </c>
      <c r="B368" t="s">
        <v>6874</v>
      </c>
      <c r="C368" t="s">
        <v>1335</v>
      </c>
      <c r="D368" t="s">
        <v>1027</v>
      </c>
      <c r="E368">
        <v>1459</v>
      </c>
      <c r="F368" t="s">
        <v>1336</v>
      </c>
      <c r="G368" t="b">
        <v>0</v>
      </c>
      <c r="H368" t="b">
        <v>0</v>
      </c>
      <c r="I368" t="s">
        <v>1051</v>
      </c>
      <c r="J368">
        <v>60</v>
      </c>
      <c r="K368" t="s">
        <v>2</v>
      </c>
      <c r="L368" t="s">
        <v>1549</v>
      </c>
      <c r="M368" t="s">
        <v>3922</v>
      </c>
      <c r="N368" t="s">
        <v>3922</v>
      </c>
      <c r="O368" t="s">
        <v>3922</v>
      </c>
      <c r="P368" t="s">
        <v>1682</v>
      </c>
    </row>
    <row r="369" spans="1:16" x14ac:dyDescent="0.25">
      <c r="A369" t="s">
        <v>6886</v>
      </c>
      <c r="B369" t="s">
        <v>6874</v>
      </c>
      <c r="C369" t="s">
        <v>1335</v>
      </c>
      <c r="D369" t="s">
        <v>1027</v>
      </c>
      <c r="E369">
        <v>1459</v>
      </c>
      <c r="F369" t="s">
        <v>1336</v>
      </c>
      <c r="G369" t="b">
        <v>0</v>
      </c>
      <c r="H369" t="b">
        <v>0</v>
      </c>
      <c r="I369" t="s">
        <v>1051</v>
      </c>
      <c r="J369">
        <v>60</v>
      </c>
      <c r="K369" t="s">
        <v>2</v>
      </c>
      <c r="L369" t="s">
        <v>1549</v>
      </c>
      <c r="M369" t="s">
        <v>3922</v>
      </c>
      <c r="N369" t="s">
        <v>3922</v>
      </c>
      <c r="O369" t="s">
        <v>3922</v>
      </c>
      <c r="P369" t="s">
        <v>1682</v>
      </c>
    </row>
    <row r="370" spans="1:16" x14ac:dyDescent="0.25">
      <c r="A370" t="s">
        <v>6887</v>
      </c>
      <c r="B370" t="s">
        <v>6874</v>
      </c>
      <c r="C370" t="s">
        <v>1335</v>
      </c>
      <c r="D370" t="s">
        <v>1027</v>
      </c>
      <c r="E370">
        <v>1459</v>
      </c>
      <c r="F370" t="s">
        <v>1336</v>
      </c>
      <c r="G370" t="b">
        <v>0</v>
      </c>
      <c r="H370" t="b">
        <v>0</v>
      </c>
      <c r="I370" t="s">
        <v>1051</v>
      </c>
      <c r="J370">
        <v>60</v>
      </c>
      <c r="K370" t="s">
        <v>2</v>
      </c>
      <c r="L370" t="s">
        <v>1549</v>
      </c>
      <c r="M370" t="s">
        <v>3922</v>
      </c>
      <c r="N370" t="s">
        <v>3922</v>
      </c>
      <c r="O370" t="s">
        <v>3922</v>
      </c>
      <c r="P370" t="s">
        <v>1682</v>
      </c>
    </row>
    <row r="371" spans="1:16" x14ac:dyDescent="0.25">
      <c r="A371" t="s">
        <v>6888</v>
      </c>
      <c r="B371" t="s">
        <v>6874</v>
      </c>
      <c r="C371" t="s">
        <v>1335</v>
      </c>
      <c r="D371" t="s">
        <v>1027</v>
      </c>
      <c r="E371">
        <v>1459</v>
      </c>
      <c r="F371" t="s">
        <v>1336</v>
      </c>
      <c r="G371" t="b">
        <v>0</v>
      </c>
      <c r="H371" t="b">
        <v>0</v>
      </c>
      <c r="I371" t="s">
        <v>1051</v>
      </c>
      <c r="J371">
        <v>60</v>
      </c>
      <c r="K371" t="s">
        <v>2</v>
      </c>
      <c r="L371" t="s">
        <v>1549</v>
      </c>
      <c r="M371" t="s">
        <v>3922</v>
      </c>
      <c r="N371" t="s">
        <v>3922</v>
      </c>
      <c r="O371" t="s">
        <v>3922</v>
      </c>
      <c r="P371" t="s">
        <v>1682</v>
      </c>
    </row>
    <row r="372" spans="1:16" x14ac:dyDescent="0.25">
      <c r="A372" t="s">
        <v>6889</v>
      </c>
      <c r="B372" t="s">
        <v>6874</v>
      </c>
      <c r="C372" t="s">
        <v>1335</v>
      </c>
      <c r="D372" t="s">
        <v>1027</v>
      </c>
      <c r="E372">
        <v>1459</v>
      </c>
      <c r="F372" t="s">
        <v>1336</v>
      </c>
      <c r="G372" t="b">
        <v>0</v>
      </c>
      <c r="H372" t="b">
        <v>0</v>
      </c>
      <c r="I372" t="s">
        <v>1051</v>
      </c>
      <c r="J372">
        <v>60</v>
      </c>
      <c r="K372" t="s">
        <v>2</v>
      </c>
      <c r="L372" t="s">
        <v>1549</v>
      </c>
      <c r="M372" t="s">
        <v>3922</v>
      </c>
      <c r="N372" t="s">
        <v>3922</v>
      </c>
      <c r="O372" t="s">
        <v>3922</v>
      </c>
      <c r="P372" t="s">
        <v>1682</v>
      </c>
    </row>
    <row r="373" spans="1:16" x14ac:dyDescent="0.25">
      <c r="A373" t="s">
        <v>6890</v>
      </c>
      <c r="B373" t="s">
        <v>6874</v>
      </c>
      <c r="C373" t="s">
        <v>1335</v>
      </c>
      <c r="D373" t="s">
        <v>1027</v>
      </c>
      <c r="E373">
        <v>1459</v>
      </c>
      <c r="F373" t="s">
        <v>1336</v>
      </c>
      <c r="G373" t="b">
        <v>0</v>
      </c>
      <c r="H373" t="b">
        <v>0</v>
      </c>
      <c r="I373" t="s">
        <v>1051</v>
      </c>
      <c r="J373">
        <v>60</v>
      </c>
      <c r="K373" t="s">
        <v>2</v>
      </c>
      <c r="L373" t="s">
        <v>1549</v>
      </c>
      <c r="M373" t="s">
        <v>3922</v>
      </c>
      <c r="N373" t="s">
        <v>3922</v>
      </c>
      <c r="O373" t="s">
        <v>3922</v>
      </c>
      <c r="P373" t="s">
        <v>1682</v>
      </c>
    </row>
    <row r="374" spans="1:16" x14ac:dyDescent="0.25">
      <c r="A374" t="s">
        <v>6891</v>
      </c>
      <c r="B374" t="s">
        <v>6874</v>
      </c>
      <c r="C374" t="s">
        <v>1335</v>
      </c>
      <c r="D374" t="s">
        <v>1027</v>
      </c>
      <c r="E374">
        <v>1459</v>
      </c>
      <c r="F374" t="s">
        <v>1336</v>
      </c>
      <c r="G374" t="b">
        <v>0</v>
      </c>
      <c r="H374" t="b">
        <v>0</v>
      </c>
      <c r="I374" t="s">
        <v>1051</v>
      </c>
      <c r="J374">
        <v>60</v>
      </c>
      <c r="K374" t="s">
        <v>2</v>
      </c>
      <c r="L374" t="s">
        <v>1549</v>
      </c>
      <c r="M374" t="s">
        <v>3922</v>
      </c>
      <c r="N374" t="s">
        <v>3922</v>
      </c>
      <c r="O374" t="s">
        <v>3922</v>
      </c>
      <c r="P374" t="s">
        <v>1682</v>
      </c>
    </row>
    <row r="375" spans="1:16" x14ac:dyDescent="0.25">
      <c r="A375" t="s">
        <v>6892</v>
      </c>
      <c r="B375" t="s">
        <v>6874</v>
      </c>
      <c r="C375" t="s">
        <v>1335</v>
      </c>
      <c r="D375" t="s">
        <v>1027</v>
      </c>
      <c r="E375">
        <v>1459</v>
      </c>
      <c r="F375" t="s">
        <v>1336</v>
      </c>
      <c r="G375" t="b">
        <v>0</v>
      </c>
      <c r="H375" t="b">
        <v>0</v>
      </c>
      <c r="I375" t="s">
        <v>1051</v>
      </c>
      <c r="J375">
        <v>60</v>
      </c>
      <c r="K375" t="s">
        <v>2</v>
      </c>
      <c r="L375" t="s">
        <v>1549</v>
      </c>
      <c r="M375" t="s">
        <v>3922</v>
      </c>
      <c r="N375" t="s">
        <v>3922</v>
      </c>
      <c r="O375" t="s">
        <v>3922</v>
      </c>
      <c r="P375" t="s">
        <v>1682</v>
      </c>
    </row>
    <row r="376" spans="1:16" x14ac:dyDescent="0.25">
      <c r="A376" t="s">
        <v>6893</v>
      </c>
      <c r="B376" t="s">
        <v>6874</v>
      </c>
      <c r="C376" t="s">
        <v>1335</v>
      </c>
      <c r="D376" t="s">
        <v>1027</v>
      </c>
      <c r="E376">
        <v>1459</v>
      </c>
      <c r="F376" t="s">
        <v>1336</v>
      </c>
      <c r="G376" t="b">
        <v>0</v>
      </c>
      <c r="H376" t="b">
        <v>0</v>
      </c>
      <c r="I376" t="s">
        <v>1051</v>
      </c>
      <c r="J376">
        <v>60</v>
      </c>
      <c r="K376" t="s">
        <v>2</v>
      </c>
      <c r="L376" t="s">
        <v>1549</v>
      </c>
      <c r="M376" t="s">
        <v>3922</v>
      </c>
      <c r="N376" t="s">
        <v>3922</v>
      </c>
      <c r="O376" t="s">
        <v>3922</v>
      </c>
      <c r="P376" t="s">
        <v>1682</v>
      </c>
    </row>
    <row r="377" spans="1:16" x14ac:dyDescent="0.25">
      <c r="A377" t="s">
        <v>6894</v>
      </c>
      <c r="B377" t="s">
        <v>6874</v>
      </c>
      <c r="C377" t="s">
        <v>1335</v>
      </c>
      <c r="D377" t="s">
        <v>1027</v>
      </c>
      <c r="E377">
        <v>1459</v>
      </c>
      <c r="F377" t="s">
        <v>1336</v>
      </c>
      <c r="G377" t="b">
        <v>0</v>
      </c>
      <c r="H377" t="b">
        <v>0</v>
      </c>
      <c r="I377" t="s">
        <v>1051</v>
      </c>
      <c r="J377">
        <v>60</v>
      </c>
      <c r="K377" t="s">
        <v>2</v>
      </c>
      <c r="L377" t="s">
        <v>1549</v>
      </c>
      <c r="M377" t="s">
        <v>3922</v>
      </c>
      <c r="N377" t="s">
        <v>3922</v>
      </c>
      <c r="O377" t="s">
        <v>3922</v>
      </c>
      <c r="P377" t="s">
        <v>1682</v>
      </c>
    </row>
    <row r="378" spans="1:16" x14ac:dyDescent="0.25">
      <c r="A378" t="s">
        <v>6895</v>
      </c>
      <c r="B378" t="s">
        <v>6874</v>
      </c>
      <c r="C378" t="s">
        <v>1335</v>
      </c>
      <c r="D378" t="s">
        <v>1027</v>
      </c>
      <c r="E378">
        <v>1459</v>
      </c>
      <c r="F378" t="s">
        <v>1336</v>
      </c>
      <c r="G378" t="b">
        <v>0</v>
      </c>
      <c r="H378" t="b">
        <v>0</v>
      </c>
      <c r="I378" t="s">
        <v>1051</v>
      </c>
      <c r="J378">
        <v>60</v>
      </c>
      <c r="K378" t="s">
        <v>2</v>
      </c>
      <c r="L378" t="s">
        <v>1549</v>
      </c>
      <c r="M378" t="s">
        <v>3922</v>
      </c>
      <c r="N378" t="s">
        <v>3922</v>
      </c>
      <c r="O378" t="s">
        <v>3922</v>
      </c>
      <c r="P378" t="s">
        <v>1682</v>
      </c>
    </row>
    <row r="379" spans="1:16" x14ac:dyDescent="0.25">
      <c r="A379" t="s">
        <v>6896</v>
      </c>
      <c r="B379" t="s">
        <v>6874</v>
      </c>
      <c r="C379" t="s">
        <v>1335</v>
      </c>
      <c r="D379" t="s">
        <v>1027</v>
      </c>
      <c r="E379">
        <v>1459</v>
      </c>
      <c r="F379" t="s">
        <v>1336</v>
      </c>
      <c r="G379" t="b">
        <v>0</v>
      </c>
      <c r="H379" t="b">
        <v>0</v>
      </c>
      <c r="I379" t="s">
        <v>1051</v>
      </c>
      <c r="J379">
        <v>60</v>
      </c>
      <c r="K379" t="s">
        <v>2</v>
      </c>
      <c r="L379" t="s">
        <v>1549</v>
      </c>
      <c r="M379" t="s">
        <v>3922</v>
      </c>
      <c r="N379" t="s">
        <v>3922</v>
      </c>
      <c r="O379" t="s">
        <v>3922</v>
      </c>
      <c r="P379" t="s">
        <v>1682</v>
      </c>
    </row>
    <row r="380" spans="1:16" x14ac:dyDescent="0.25">
      <c r="A380" t="s">
        <v>6897</v>
      </c>
      <c r="B380" t="s">
        <v>6874</v>
      </c>
      <c r="C380" t="s">
        <v>1335</v>
      </c>
      <c r="D380" t="s">
        <v>1027</v>
      </c>
      <c r="E380">
        <v>1459</v>
      </c>
      <c r="F380" t="s">
        <v>1336</v>
      </c>
      <c r="G380" t="b">
        <v>0</v>
      </c>
      <c r="H380" t="b">
        <v>0</v>
      </c>
      <c r="I380" t="s">
        <v>1051</v>
      </c>
      <c r="J380">
        <v>60</v>
      </c>
      <c r="K380" t="s">
        <v>2</v>
      </c>
      <c r="L380" t="s">
        <v>1549</v>
      </c>
      <c r="M380" t="s">
        <v>3922</v>
      </c>
      <c r="N380" t="s">
        <v>3922</v>
      </c>
      <c r="O380" t="s">
        <v>3922</v>
      </c>
      <c r="P380" t="s">
        <v>1682</v>
      </c>
    </row>
    <row r="381" spans="1:16" x14ac:dyDescent="0.25">
      <c r="A381" t="s">
        <v>6898</v>
      </c>
      <c r="B381" t="s">
        <v>6874</v>
      </c>
      <c r="C381" t="s">
        <v>1335</v>
      </c>
      <c r="D381" t="s">
        <v>1027</v>
      </c>
      <c r="E381">
        <v>1459</v>
      </c>
      <c r="F381" t="s">
        <v>1336</v>
      </c>
      <c r="G381" t="b">
        <v>0</v>
      </c>
      <c r="H381" t="b">
        <v>0</v>
      </c>
      <c r="I381" t="s">
        <v>1051</v>
      </c>
      <c r="J381">
        <v>60</v>
      </c>
      <c r="K381" t="s">
        <v>2</v>
      </c>
      <c r="L381" t="s">
        <v>1549</v>
      </c>
      <c r="M381" t="s">
        <v>3922</v>
      </c>
      <c r="N381" t="s">
        <v>3922</v>
      </c>
      <c r="O381" t="s">
        <v>3922</v>
      </c>
      <c r="P381" t="s">
        <v>1682</v>
      </c>
    </row>
    <row r="382" spans="1:16" x14ac:dyDescent="0.25">
      <c r="A382" t="s">
        <v>6899</v>
      </c>
      <c r="B382" t="s">
        <v>6874</v>
      </c>
      <c r="C382" t="s">
        <v>1335</v>
      </c>
      <c r="D382" t="s">
        <v>1027</v>
      </c>
      <c r="E382">
        <v>1459</v>
      </c>
      <c r="F382" t="s">
        <v>1336</v>
      </c>
      <c r="G382" t="b">
        <v>0</v>
      </c>
      <c r="H382" t="b">
        <v>0</v>
      </c>
      <c r="I382" t="s">
        <v>1051</v>
      </c>
      <c r="J382">
        <v>66</v>
      </c>
      <c r="K382" t="s">
        <v>2</v>
      </c>
      <c r="L382" t="s">
        <v>1549</v>
      </c>
      <c r="M382" t="s">
        <v>3922</v>
      </c>
      <c r="N382" t="s">
        <v>3922</v>
      </c>
      <c r="O382" t="s">
        <v>3922</v>
      </c>
      <c r="P382" t="s">
        <v>1682</v>
      </c>
    </row>
    <row r="383" spans="1:16" x14ac:dyDescent="0.25">
      <c r="A383" t="s">
        <v>6900</v>
      </c>
      <c r="B383" t="s">
        <v>6874</v>
      </c>
      <c r="C383" t="s">
        <v>1335</v>
      </c>
      <c r="D383" t="s">
        <v>1027</v>
      </c>
      <c r="E383">
        <v>1459</v>
      </c>
      <c r="F383" t="s">
        <v>1336</v>
      </c>
      <c r="G383" t="b">
        <v>0</v>
      </c>
      <c r="H383" t="b">
        <v>0</v>
      </c>
      <c r="I383" t="s">
        <v>1051</v>
      </c>
      <c r="J383">
        <v>66</v>
      </c>
      <c r="K383" t="s">
        <v>2</v>
      </c>
      <c r="L383" t="s">
        <v>1549</v>
      </c>
      <c r="M383" t="s">
        <v>3922</v>
      </c>
      <c r="N383" t="s">
        <v>3922</v>
      </c>
      <c r="O383" t="s">
        <v>3922</v>
      </c>
      <c r="P383" t="s">
        <v>1682</v>
      </c>
    </row>
    <row r="384" spans="1:16" x14ac:dyDescent="0.25">
      <c r="A384" t="s">
        <v>6901</v>
      </c>
      <c r="B384" t="s">
        <v>6874</v>
      </c>
      <c r="C384" t="s">
        <v>1335</v>
      </c>
      <c r="D384" t="s">
        <v>1027</v>
      </c>
      <c r="E384">
        <v>1459</v>
      </c>
      <c r="F384" t="s">
        <v>1336</v>
      </c>
      <c r="G384" t="b">
        <v>0</v>
      </c>
      <c r="H384" t="b">
        <v>0</v>
      </c>
      <c r="I384" t="s">
        <v>1051</v>
      </c>
      <c r="J384">
        <v>66</v>
      </c>
      <c r="K384" t="s">
        <v>2</v>
      </c>
      <c r="L384" t="s">
        <v>1549</v>
      </c>
      <c r="M384" t="s">
        <v>3922</v>
      </c>
      <c r="N384" t="s">
        <v>3922</v>
      </c>
      <c r="O384" t="s">
        <v>3922</v>
      </c>
      <c r="P384" t="s">
        <v>1682</v>
      </c>
    </row>
    <row r="385" spans="1:16" ht="409.5" x14ac:dyDescent="0.25">
      <c r="A385" t="s">
        <v>6902</v>
      </c>
      <c r="B385" t="s">
        <v>6903</v>
      </c>
      <c r="C385" t="s">
        <v>6446</v>
      </c>
      <c r="D385" t="s">
        <v>1027</v>
      </c>
      <c r="E385">
        <v>1402</v>
      </c>
      <c r="F385" t="s">
        <v>6447</v>
      </c>
      <c r="G385" t="b">
        <v>0</v>
      </c>
      <c r="H385" t="b">
        <v>0</v>
      </c>
      <c r="I385" t="s">
        <v>1051</v>
      </c>
      <c r="J385">
        <v>78</v>
      </c>
      <c r="K385" t="s">
        <v>0</v>
      </c>
      <c r="L385" t="s">
        <v>3000</v>
      </c>
      <c r="M385" t="s">
        <v>1548</v>
      </c>
      <c r="N385" t="s">
        <v>1548</v>
      </c>
      <c r="O385" t="s">
        <v>1548</v>
      </c>
      <c r="P385" s="36" t="s">
        <v>6448</v>
      </c>
    </row>
    <row r="386" spans="1:16" ht="409.5" x14ac:dyDescent="0.25">
      <c r="A386" t="s">
        <v>6904</v>
      </c>
      <c r="B386" t="s">
        <v>6903</v>
      </c>
      <c r="C386" t="s">
        <v>6446</v>
      </c>
      <c r="D386" t="s">
        <v>1027</v>
      </c>
      <c r="E386">
        <v>1402</v>
      </c>
      <c r="F386" t="s">
        <v>6447</v>
      </c>
      <c r="G386" t="b">
        <v>0</v>
      </c>
      <c r="H386" t="b">
        <v>0</v>
      </c>
      <c r="I386" t="s">
        <v>1051</v>
      </c>
      <c r="J386">
        <v>78</v>
      </c>
      <c r="K386" t="s">
        <v>0</v>
      </c>
      <c r="L386" t="s">
        <v>3000</v>
      </c>
      <c r="M386" t="s">
        <v>1548</v>
      </c>
      <c r="N386" t="s">
        <v>1548</v>
      </c>
      <c r="O386" t="s">
        <v>1548</v>
      </c>
      <c r="P386" s="36" t="s">
        <v>6448</v>
      </c>
    </row>
    <row r="387" spans="1:16" ht="409.5" x14ac:dyDescent="0.25">
      <c r="A387" t="s">
        <v>6905</v>
      </c>
      <c r="B387" t="s">
        <v>6903</v>
      </c>
      <c r="C387" t="s">
        <v>6446</v>
      </c>
      <c r="D387" t="s">
        <v>1027</v>
      </c>
      <c r="E387">
        <v>1402</v>
      </c>
      <c r="F387" t="s">
        <v>6447</v>
      </c>
      <c r="G387" t="b">
        <v>0</v>
      </c>
      <c r="H387" t="b">
        <v>0</v>
      </c>
      <c r="I387" t="s">
        <v>1051</v>
      </c>
      <c r="J387">
        <v>78</v>
      </c>
      <c r="K387" t="s">
        <v>0</v>
      </c>
      <c r="L387" t="s">
        <v>3000</v>
      </c>
      <c r="M387" t="s">
        <v>1548</v>
      </c>
      <c r="N387" t="s">
        <v>1548</v>
      </c>
      <c r="O387" t="s">
        <v>1548</v>
      </c>
      <c r="P387" s="36" t="s">
        <v>6448</v>
      </c>
    </row>
    <row r="388" spans="1:16" ht="409.5" x14ac:dyDescent="0.25">
      <c r="A388" t="s">
        <v>6906</v>
      </c>
      <c r="B388" t="s">
        <v>6903</v>
      </c>
      <c r="C388" t="s">
        <v>6446</v>
      </c>
      <c r="D388" t="s">
        <v>1027</v>
      </c>
      <c r="E388">
        <v>1402</v>
      </c>
      <c r="F388" t="s">
        <v>6447</v>
      </c>
      <c r="G388" t="b">
        <v>0</v>
      </c>
      <c r="H388" t="b">
        <v>0</v>
      </c>
      <c r="I388" t="s">
        <v>1051</v>
      </c>
      <c r="J388">
        <v>78</v>
      </c>
      <c r="K388" t="s">
        <v>0</v>
      </c>
      <c r="L388" t="s">
        <v>3000</v>
      </c>
      <c r="M388" t="s">
        <v>1548</v>
      </c>
      <c r="N388" t="s">
        <v>1548</v>
      </c>
      <c r="O388" t="s">
        <v>1548</v>
      </c>
      <c r="P388" s="36" t="s">
        <v>6448</v>
      </c>
    </row>
    <row r="389" spans="1:16" ht="409.5" x14ac:dyDescent="0.25">
      <c r="A389" t="s">
        <v>6907</v>
      </c>
      <c r="B389" t="s">
        <v>6903</v>
      </c>
      <c r="C389" t="s">
        <v>6446</v>
      </c>
      <c r="D389" t="s">
        <v>1027</v>
      </c>
      <c r="E389">
        <v>1402</v>
      </c>
      <c r="F389" t="s">
        <v>6447</v>
      </c>
      <c r="G389" t="b">
        <v>0</v>
      </c>
      <c r="H389" t="b">
        <v>0</v>
      </c>
      <c r="I389" t="s">
        <v>1051</v>
      </c>
      <c r="J389">
        <v>78</v>
      </c>
      <c r="K389" t="s">
        <v>0</v>
      </c>
      <c r="L389" t="s">
        <v>3000</v>
      </c>
      <c r="M389" t="s">
        <v>1548</v>
      </c>
      <c r="N389" t="s">
        <v>1548</v>
      </c>
      <c r="O389" t="s">
        <v>1548</v>
      </c>
      <c r="P389" s="36" t="s">
        <v>6448</v>
      </c>
    </row>
    <row r="390" spans="1:16" ht="409.5" x14ac:dyDescent="0.25">
      <c r="A390" t="s">
        <v>6908</v>
      </c>
      <c r="B390" t="s">
        <v>6903</v>
      </c>
      <c r="C390" t="s">
        <v>6446</v>
      </c>
      <c r="D390" t="s">
        <v>1027</v>
      </c>
      <c r="E390">
        <v>1402</v>
      </c>
      <c r="F390" t="s">
        <v>6447</v>
      </c>
      <c r="G390" t="b">
        <v>0</v>
      </c>
      <c r="H390" t="b">
        <v>0</v>
      </c>
      <c r="I390" t="s">
        <v>1051</v>
      </c>
      <c r="J390">
        <v>78</v>
      </c>
      <c r="K390" t="s">
        <v>0</v>
      </c>
      <c r="L390" t="s">
        <v>3000</v>
      </c>
      <c r="M390" t="s">
        <v>1548</v>
      </c>
      <c r="N390" t="s">
        <v>1548</v>
      </c>
      <c r="O390" t="s">
        <v>1548</v>
      </c>
      <c r="P390" s="36" t="s">
        <v>6448</v>
      </c>
    </row>
    <row r="391" spans="1:16" ht="409.5" x14ac:dyDescent="0.25">
      <c r="A391" t="s">
        <v>6909</v>
      </c>
      <c r="B391" t="s">
        <v>6903</v>
      </c>
      <c r="C391" t="s">
        <v>6446</v>
      </c>
      <c r="D391" t="s">
        <v>1027</v>
      </c>
      <c r="E391">
        <v>1402</v>
      </c>
      <c r="F391" t="s">
        <v>6447</v>
      </c>
      <c r="G391" t="b">
        <v>0</v>
      </c>
      <c r="H391" t="b">
        <v>0</v>
      </c>
      <c r="I391" t="s">
        <v>1051</v>
      </c>
      <c r="J391">
        <v>78</v>
      </c>
      <c r="K391" t="s">
        <v>0</v>
      </c>
      <c r="L391" t="s">
        <v>3000</v>
      </c>
      <c r="M391" t="s">
        <v>1548</v>
      </c>
      <c r="N391" t="s">
        <v>1548</v>
      </c>
      <c r="O391" t="s">
        <v>1548</v>
      </c>
      <c r="P391" s="36" t="s">
        <v>6448</v>
      </c>
    </row>
    <row r="392" spans="1:16" ht="409.5" x14ac:dyDescent="0.25">
      <c r="A392" t="s">
        <v>6910</v>
      </c>
      <c r="B392" t="s">
        <v>6903</v>
      </c>
      <c r="C392" t="s">
        <v>6446</v>
      </c>
      <c r="D392" t="s">
        <v>1027</v>
      </c>
      <c r="E392">
        <v>1402</v>
      </c>
      <c r="F392" t="s">
        <v>6447</v>
      </c>
      <c r="G392" t="b">
        <v>0</v>
      </c>
      <c r="H392" t="b">
        <v>0</v>
      </c>
      <c r="I392" t="s">
        <v>1051</v>
      </c>
      <c r="J392">
        <v>78</v>
      </c>
      <c r="K392" t="s">
        <v>0</v>
      </c>
      <c r="L392" t="s">
        <v>3000</v>
      </c>
      <c r="M392" t="s">
        <v>1548</v>
      </c>
      <c r="N392" t="s">
        <v>1548</v>
      </c>
      <c r="O392" t="s">
        <v>1548</v>
      </c>
      <c r="P392" s="36" t="s">
        <v>6448</v>
      </c>
    </row>
    <row r="393" spans="1:16" ht="409.5" x14ac:dyDescent="0.25">
      <c r="A393" t="s">
        <v>6911</v>
      </c>
      <c r="B393" t="s">
        <v>6912</v>
      </c>
      <c r="C393" t="s">
        <v>6446</v>
      </c>
      <c r="D393" t="s">
        <v>1027</v>
      </c>
      <c r="E393">
        <v>1402</v>
      </c>
      <c r="F393" t="s">
        <v>6447</v>
      </c>
      <c r="G393" t="b">
        <v>0</v>
      </c>
      <c r="H393" t="b">
        <v>0</v>
      </c>
      <c r="I393" t="s">
        <v>1051</v>
      </c>
      <c r="J393">
        <v>78</v>
      </c>
      <c r="K393" t="s">
        <v>0</v>
      </c>
      <c r="L393" t="s">
        <v>3000</v>
      </c>
      <c r="M393" t="s">
        <v>1548</v>
      </c>
      <c r="N393" t="s">
        <v>1548</v>
      </c>
      <c r="O393" t="s">
        <v>1548</v>
      </c>
      <c r="P393" s="36" t="s">
        <v>6448</v>
      </c>
    </row>
    <row r="394" spans="1:16" ht="409.5" x14ac:dyDescent="0.25">
      <c r="A394" t="s">
        <v>6913</v>
      </c>
      <c r="B394" t="s">
        <v>6912</v>
      </c>
      <c r="C394" t="s">
        <v>6446</v>
      </c>
      <c r="D394" t="s">
        <v>1027</v>
      </c>
      <c r="E394">
        <v>1402</v>
      </c>
      <c r="F394" t="s">
        <v>6447</v>
      </c>
      <c r="G394" t="b">
        <v>0</v>
      </c>
      <c r="H394" t="b">
        <v>0</v>
      </c>
      <c r="I394" t="s">
        <v>1051</v>
      </c>
      <c r="J394">
        <v>78</v>
      </c>
      <c r="K394" t="s">
        <v>0</v>
      </c>
      <c r="L394" t="s">
        <v>3000</v>
      </c>
      <c r="M394" t="s">
        <v>1548</v>
      </c>
      <c r="N394" t="s">
        <v>1548</v>
      </c>
      <c r="O394" t="s">
        <v>1548</v>
      </c>
      <c r="P394" s="36" t="s">
        <v>6448</v>
      </c>
    </row>
    <row r="395" spans="1:16" ht="409.5" x14ac:dyDescent="0.25">
      <c r="A395" t="s">
        <v>6914</v>
      </c>
      <c r="B395" t="s">
        <v>6912</v>
      </c>
      <c r="C395" t="s">
        <v>6446</v>
      </c>
      <c r="D395" t="s">
        <v>1027</v>
      </c>
      <c r="E395">
        <v>1402</v>
      </c>
      <c r="F395" t="s">
        <v>6447</v>
      </c>
      <c r="G395" t="b">
        <v>0</v>
      </c>
      <c r="H395" t="b">
        <v>0</v>
      </c>
      <c r="I395" t="s">
        <v>1051</v>
      </c>
      <c r="J395">
        <v>78</v>
      </c>
      <c r="K395" t="s">
        <v>0</v>
      </c>
      <c r="L395" t="s">
        <v>3000</v>
      </c>
      <c r="M395" t="s">
        <v>1548</v>
      </c>
      <c r="N395" t="s">
        <v>1548</v>
      </c>
      <c r="O395" t="s">
        <v>1548</v>
      </c>
      <c r="P395" s="36" t="s">
        <v>6448</v>
      </c>
    </row>
    <row r="396" spans="1:16" ht="409.5" x14ac:dyDescent="0.25">
      <c r="A396" t="s">
        <v>6915</v>
      </c>
      <c r="B396" t="s">
        <v>6912</v>
      </c>
      <c r="C396" t="s">
        <v>6446</v>
      </c>
      <c r="D396" t="s">
        <v>1027</v>
      </c>
      <c r="E396">
        <v>1402</v>
      </c>
      <c r="F396" t="s">
        <v>6447</v>
      </c>
      <c r="G396" t="b">
        <v>0</v>
      </c>
      <c r="H396" t="b">
        <v>0</v>
      </c>
      <c r="I396" t="s">
        <v>1051</v>
      </c>
      <c r="J396">
        <v>78</v>
      </c>
      <c r="K396" t="s">
        <v>0</v>
      </c>
      <c r="L396" t="s">
        <v>3000</v>
      </c>
      <c r="M396" t="s">
        <v>1548</v>
      </c>
      <c r="N396" t="s">
        <v>1548</v>
      </c>
      <c r="O396" t="s">
        <v>1548</v>
      </c>
      <c r="P396" s="36" t="s">
        <v>6448</v>
      </c>
    </row>
    <row r="397" spans="1:16" ht="409.5" x14ac:dyDescent="0.25">
      <c r="A397" t="s">
        <v>6916</v>
      </c>
      <c r="B397" t="s">
        <v>6912</v>
      </c>
      <c r="C397" t="s">
        <v>6446</v>
      </c>
      <c r="D397" t="s">
        <v>1027</v>
      </c>
      <c r="E397">
        <v>1402</v>
      </c>
      <c r="F397" t="s">
        <v>6447</v>
      </c>
      <c r="G397" t="b">
        <v>0</v>
      </c>
      <c r="H397" t="b">
        <v>0</v>
      </c>
      <c r="I397" t="s">
        <v>1051</v>
      </c>
      <c r="J397">
        <v>78</v>
      </c>
      <c r="K397" t="s">
        <v>0</v>
      </c>
      <c r="L397" t="s">
        <v>3000</v>
      </c>
      <c r="M397" t="s">
        <v>1548</v>
      </c>
      <c r="N397" t="s">
        <v>1548</v>
      </c>
      <c r="O397" t="s">
        <v>1548</v>
      </c>
      <c r="P397" s="36" t="s">
        <v>6448</v>
      </c>
    </row>
    <row r="398" spans="1:16" ht="409.5" x14ac:dyDescent="0.25">
      <c r="A398" t="s">
        <v>6917</v>
      </c>
      <c r="B398" t="s">
        <v>6912</v>
      </c>
      <c r="C398" t="s">
        <v>6446</v>
      </c>
      <c r="D398" t="s">
        <v>1027</v>
      </c>
      <c r="E398">
        <v>1402</v>
      </c>
      <c r="F398" t="s">
        <v>6447</v>
      </c>
      <c r="G398" t="b">
        <v>0</v>
      </c>
      <c r="H398" t="b">
        <v>0</v>
      </c>
      <c r="I398" t="s">
        <v>1051</v>
      </c>
      <c r="J398">
        <v>78</v>
      </c>
      <c r="K398" t="s">
        <v>0</v>
      </c>
      <c r="L398" t="s">
        <v>3000</v>
      </c>
      <c r="M398" t="s">
        <v>1548</v>
      </c>
      <c r="N398" t="s">
        <v>1548</v>
      </c>
      <c r="O398" t="s">
        <v>1548</v>
      </c>
      <c r="P398" s="36" t="s">
        <v>6448</v>
      </c>
    </row>
    <row r="399" spans="1:16" ht="409.5" x14ac:dyDescent="0.25">
      <c r="A399" t="s">
        <v>6918</v>
      </c>
      <c r="B399" t="s">
        <v>6912</v>
      </c>
      <c r="C399" t="s">
        <v>6446</v>
      </c>
      <c r="D399" t="s">
        <v>1027</v>
      </c>
      <c r="E399">
        <v>1402</v>
      </c>
      <c r="F399" t="s">
        <v>6447</v>
      </c>
      <c r="G399" t="b">
        <v>0</v>
      </c>
      <c r="H399" t="b">
        <v>0</v>
      </c>
      <c r="I399" t="s">
        <v>1051</v>
      </c>
      <c r="J399">
        <v>78</v>
      </c>
      <c r="K399" t="s">
        <v>0</v>
      </c>
      <c r="L399" t="s">
        <v>3000</v>
      </c>
      <c r="M399" t="s">
        <v>1548</v>
      </c>
      <c r="N399" t="s">
        <v>1548</v>
      </c>
      <c r="O399" t="s">
        <v>1548</v>
      </c>
      <c r="P399" s="36" t="s">
        <v>6448</v>
      </c>
    </row>
    <row r="400" spans="1:16" ht="409.5" x14ac:dyDescent="0.25">
      <c r="A400" t="s">
        <v>6919</v>
      </c>
      <c r="B400" t="s">
        <v>6912</v>
      </c>
      <c r="C400" t="s">
        <v>6446</v>
      </c>
      <c r="D400" t="s">
        <v>1027</v>
      </c>
      <c r="E400">
        <v>1402</v>
      </c>
      <c r="F400" t="s">
        <v>6447</v>
      </c>
      <c r="G400" t="b">
        <v>0</v>
      </c>
      <c r="H400" t="b">
        <v>0</v>
      </c>
      <c r="I400" t="s">
        <v>1051</v>
      </c>
      <c r="J400">
        <v>78</v>
      </c>
      <c r="K400" t="s">
        <v>0</v>
      </c>
      <c r="L400" t="s">
        <v>3000</v>
      </c>
      <c r="M400" t="s">
        <v>1548</v>
      </c>
      <c r="N400" t="s">
        <v>1548</v>
      </c>
      <c r="O400" t="s">
        <v>1548</v>
      </c>
      <c r="P400" s="36" t="s">
        <v>6448</v>
      </c>
    </row>
    <row r="401" spans="1:16" ht="409.5" x14ac:dyDescent="0.25">
      <c r="A401" t="s">
        <v>6920</v>
      </c>
      <c r="B401" t="s">
        <v>6912</v>
      </c>
      <c r="C401" t="s">
        <v>6446</v>
      </c>
      <c r="D401" t="s">
        <v>1027</v>
      </c>
      <c r="E401">
        <v>1402</v>
      </c>
      <c r="F401" t="s">
        <v>6447</v>
      </c>
      <c r="G401" t="b">
        <v>0</v>
      </c>
      <c r="H401" t="b">
        <v>0</v>
      </c>
      <c r="I401" t="s">
        <v>1051</v>
      </c>
      <c r="J401">
        <v>78</v>
      </c>
      <c r="K401" t="s">
        <v>0</v>
      </c>
      <c r="L401" t="s">
        <v>3000</v>
      </c>
      <c r="M401" t="s">
        <v>1548</v>
      </c>
      <c r="N401" t="s">
        <v>1548</v>
      </c>
      <c r="O401" t="s">
        <v>1548</v>
      </c>
      <c r="P401" s="36" t="s">
        <v>6448</v>
      </c>
    </row>
    <row r="402" spans="1:16" ht="409.5" x14ac:dyDescent="0.25">
      <c r="A402" t="s">
        <v>6921</v>
      </c>
      <c r="B402" t="s">
        <v>6912</v>
      </c>
      <c r="C402" t="s">
        <v>6446</v>
      </c>
      <c r="D402" t="s">
        <v>1027</v>
      </c>
      <c r="E402">
        <v>1402</v>
      </c>
      <c r="F402" t="s">
        <v>6447</v>
      </c>
      <c r="G402" t="b">
        <v>0</v>
      </c>
      <c r="H402" t="b">
        <v>0</v>
      </c>
      <c r="I402" t="s">
        <v>1051</v>
      </c>
      <c r="J402">
        <v>78</v>
      </c>
      <c r="K402" t="s">
        <v>0</v>
      </c>
      <c r="L402" t="s">
        <v>3000</v>
      </c>
      <c r="M402" t="s">
        <v>1548</v>
      </c>
      <c r="N402" t="s">
        <v>1548</v>
      </c>
      <c r="O402" t="s">
        <v>1548</v>
      </c>
      <c r="P402" s="36" t="s">
        <v>6448</v>
      </c>
    </row>
    <row r="403" spans="1:16" ht="409.5" x14ac:dyDescent="0.25">
      <c r="A403" t="s">
        <v>6922</v>
      </c>
      <c r="B403" t="s">
        <v>6912</v>
      </c>
      <c r="C403" t="s">
        <v>6446</v>
      </c>
      <c r="D403" t="s">
        <v>1027</v>
      </c>
      <c r="E403">
        <v>1402</v>
      </c>
      <c r="F403" t="s">
        <v>6447</v>
      </c>
      <c r="G403" t="b">
        <v>0</v>
      </c>
      <c r="H403" t="b">
        <v>0</v>
      </c>
      <c r="I403" t="s">
        <v>1051</v>
      </c>
      <c r="J403">
        <v>78</v>
      </c>
      <c r="K403" t="s">
        <v>0</v>
      </c>
      <c r="L403" t="s">
        <v>3000</v>
      </c>
      <c r="M403" t="s">
        <v>1548</v>
      </c>
      <c r="N403" t="s">
        <v>1548</v>
      </c>
      <c r="O403" t="s">
        <v>1548</v>
      </c>
      <c r="P403" s="36" t="s">
        <v>6448</v>
      </c>
    </row>
    <row r="404" spans="1:16" ht="409.5" x14ac:dyDescent="0.25">
      <c r="A404" t="s">
        <v>6923</v>
      </c>
      <c r="B404" t="s">
        <v>6912</v>
      </c>
      <c r="C404" t="s">
        <v>6446</v>
      </c>
      <c r="D404" t="s">
        <v>1027</v>
      </c>
      <c r="E404">
        <v>1402</v>
      </c>
      <c r="F404" t="s">
        <v>6447</v>
      </c>
      <c r="G404" t="b">
        <v>0</v>
      </c>
      <c r="H404" t="b">
        <v>0</v>
      </c>
      <c r="I404" t="s">
        <v>1051</v>
      </c>
      <c r="J404">
        <v>78</v>
      </c>
      <c r="K404" t="s">
        <v>0</v>
      </c>
      <c r="L404" t="s">
        <v>3000</v>
      </c>
      <c r="M404" t="s">
        <v>1548</v>
      </c>
      <c r="N404" t="s">
        <v>1548</v>
      </c>
      <c r="O404" t="s">
        <v>1548</v>
      </c>
      <c r="P404" s="36" t="s">
        <v>6448</v>
      </c>
    </row>
    <row r="405" spans="1:16" ht="409.5" x14ac:dyDescent="0.25">
      <c r="A405" t="s">
        <v>6924</v>
      </c>
      <c r="B405" t="s">
        <v>6912</v>
      </c>
      <c r="C405" t="s">
        <v>6446</v>
      </c>
      <c r="D405" t="s">
        <v>1027</v>
      </c>
      <c r="E405">
        <v>1402</v>
      </c>
      <c r="F405" t="s">
        <v>6447</v>
      </c>
      <c r="G405" t="b">
        <v>0</v>
      </c>
      <c r="H405" t="b">
        <v>0</v>
      </c>
      <c r="I405" t="s">
        <v>1051</v>
      </c>
      <c r="J405">
        <v>78</v>
      </c>
      <c r="K405" t="s">
        <v>0</v>
      </c>
      <c r="L405" t="s">
        <v>3000</v>
      </c>
      <c r="M405" t="s">
        <v>1548</v>
      </c>
      <c r="N405" t="s">
        <v>1548</v>
      </c>
      <c r="O405" t="s">
        <v>1548</v>
      </c>
      <c r="P405" s="36" t="s">
        <v>6448</v>
      </c>
    </row>
    <row r="406" spans="1:16" x14ac:dyDescent="0.25">
      <c r="A406" t="s">
        <v>6925</v>
      </c>
      <c r="B406" t="s">
        <v>6926</v>
      </c>
      <c r="C406" t="s">
        <v>1335</v>
      </c>
      <c r="D406" t="s">
        <v>1027</v>
      </c>
      <c r="E406">
        <v>1459</v>
      </c>
      <c r="F406" t="s">
        <v>1336</v>
      </c>
      <c r="G406" t="b">
        <v>0</v>
      </c>
      <c r="H406" t="b">
        <v>0</v>
      </c>
      <c r="I406" t="s">
        <v>1051</v>
      </c>
      <c r="J406">
        <v>28</v>
      </c>
      <c r="K406" t="s">
        <v>2</v>
      </c>
      <c r="L406" t="s">
        <v>1549</v>
      </c>
      <c r="M406" t="s">
        <v>3922</v>
      </c>
      <c r="N406" t="s">
        <v>3922</v>
      </c>
      <c r="O406" t="s">
        <v>3922</v>
      </c>
      <c r="P406" t="s">
        <v>1682</v>
      </c>
    </row>
    <row r="407" spans="1:16" x14ac:dyDescent="0.25">
      <c r="A407" t="s">
        <v>6927</v>
      </c>
      <c r="B407" t="s">
        <v>6926</v>
      </c>
      <c r="C407" t="s">
        <v>1335</v>
      </c>
      <c r="D407" t="s">
        <v>1027</v>
      </c>
      <c r="E407">
        <v>1459</v>
      </c>
      <c r="F407" t="s">
        <v>1336</v>
      </c>
      <c r="G407" t="b">
        <v>0</v>
      </c>
      <c r="H407" t="b">
        <v>0</v>
      </c>
      <c r="I407" t="s">
        <v>1051</v>
      </c>
      <c r="J407">
        <v>29</v>
      </c>
      <c r="K407" t="s">
        <v>2</v>
      </c>
      <c r="L407" t="s">
        <v>1549</v>
      </c>
      <c r="M407" t="s">
        <v>3922</v>
      </c>
      <c r="N407" t="s">
        <v>3922</v>
      </c>
      <c r="O407" t="s">
        <v>3922</v>
      </c>
      <c r="P407" t="s">
        <v>1682</v>
      </c>
    </row>
    <row r="408" spans="1:16" x14ac:dyDescent="0.25">
      <c r="A408" t="s">
        <v>6928</v>
      </c>
      <c r="B408" t="s">
        <v>6926</v>
      </c>
      <c r="C408" t="s">
        <v>1335</v>
      </c>
      <c r="D408" t="s">
        <v>1027</v>
      </c>
      <c r="E408">
        <v>1459</v>
      </c>
      <c r="F408" t="s">
        <v>1336</v>
      </c>
      <c r="G408" t="b">
        <v>0</v>
      </c>
      <c r="H408" t="b">
        <v>0</v>
      </c>
      <c r="I408" t="s">
        <v>1051</v>
      </c>
      <c r="J408">
        <v>29</v>
      </c>
      <c r="K408" t="s">
        <v>2</v>
      </c>
      <c r="L408" t="s">
        <v>1549</v>
      </c>
      <c r="M408" t="s">
        <v>3922</v>
      </c>
      <c r="N408" t="s">
        <v>3922</v>
      </c>
      <c r="O408" t="s">
        <v>3922</v>
      </c>
      <c r="P408" t="s">
        <v>1682</v>
      </c>
    </row>
    <row r="409" spans="1:16" x14ac:dyDescent="0.25">
      <c r="A409" t="s">
        <v>6929</v>
      </c>
      <c r="B409" t="s">
        <v>6926</v>
      </c>
      <c r="C409" t="s">
        <v>1335</v>
      </c>
      <c r="D409" t="s">
        <v>1027</v>
      </c>
      <c r="E409">
        <v>1459</v>
      </c>
      <c r="F409" t="s">
        <v>1336</v>
      </c>
      <c r="G409" t="b">
        <v>0</v>
      </c>
      <c r="H409" t="b">
        <v>0</v>
      </c>
      <c r="I409" t="s">
        <v>1051</v>
      </c>
      <c r="J409">
        <v>29</v>
      </c>
      <c r="K409" t="s">
        <v>2</v>
      </c>
      <c r="L409" t="s">
        <v>1549</v>
      </c>
      <c r="M409" t="s">
        <v>3922</v>
      </c>
      <c r="N409" t="s">
        <v>3922</v>
      </c>
      <c r="O409" t="s">
        <v>3922</v>
      </c>
      <c r="P409" t="s">
        <v>1682</v>
      </c>
    </row>
    <row r="410" spans="1:16" x14ac:dyDescent="0.25">
      <c r="A410" t="s">
        <v>6930</v>
      </c>
      <c r="B410" t="s">
        <v>6926</v>
      </c>
      <c r="C410" t="s">
        <v>1335</v>
      </c>
      <c r="D410" t="s">
        <v>1027</v>
      </c>
      <c r="E410">
        <v>1459</v>
      </c>
      <c r="F410" t="s">
        <v>1336</v>
      </c>
      <c r="G410" t="b">
        <v>0</v>
      </c>
      <c r="H410" t="b">
        <v>0</v>
      </c>
      <c r="I410" t="s">
        <v>1051</v>
      </c>
      <c r="J410">
        <v>29</v>
      </c>
      <c r="K410" t="s">
        <v>2</v>
      </c>
      <c r="L410" t="s">
        <v>1549</v>
      </c>
      <c r="M410" t="s">
        <v>3922</v>
      </c>
      <c r="N410" t="s">
        <v>3922</v>
      </c>
      <c r="O410" t="s">
        <v>3922</v>
      </c>
      <c r="P410" t="s">
        <v>1682</v>
      </c>
    </row>
    <row r="411" spans="1:16" x14ac:dyDescent="0.25">
      <c r="A411" t="s">
        <v>6931</v>
      </c>
      <c r="B411" t="s">
        <v>6926</v>
      </c>
      <c r="C411" t="s">
        <v>1335</v>
      </c>
      <c r="D411" t="s">
        <v>1027</v>
      </c>
      <c r="E411">
        <v>1459</v>
      </c>
      <c r="F411" t="s">
        <v>1336</v>
      </c>
      <c r="G411" t="b">
        <v>0</v>
      </c>
      <c r="H411" t="b">
        <v>0</v>
      </c>
      <c r="I411" t="s">
        <v>1051</v>
      </c>
      <c r="J411">
        <v>29</v>
      </c>
      <c r="K411" t="s">
        <v>2</v>
      </c>
      <c r="L411" t="s">
        <v>1549</v>
      </c>
      <c r="M411" t="s">
        <v>3922</v>
      </c>
      <c r="N411" t="s">
        <v>3922</v>
      </c>
      <c r="O411" t="s">
        <v>3922</v>
      </c>
      <c r="P411" t="s">
        <v>1682</v>
      </c>
    </row>
    <row r="412" spans="1:16" x14ac:dyDescent="0.25">
      <c r="A412" t="s">
        <v>6932</v>
      </c>
      <c r="B412" t="s">
        <v>6926</v>
      </c>
      <c r="C412" t="s">
        <v>1335</v>
      </c>
      <c r="D412" t="s">
        <v>1027</v>
      </c>
      <c r="E412">
        <v>1459</v>
      </c>
      <c r="F412" t="s">
        <v>1336</v>
      </c>
      <c r="G412" t="b">
        <v>0</v>
      </c>
      <c r="H412" t="b">
        <v>0</v>
      </c>
      <c r="I412" t="s">
        <v>1051</v>
      </c>
      <c r="J412">
        <v>29</v>
      </c>
      <c r="K412" t="s">
        <v>2</v>
      </c>
      <c r="L412" t="s">
        <v>1549</v>
      </c>
      <c r="M412" t="s">
        <v>3922</v>
      </c>
      <c r="N412" t="s">
        <v>3922</v>
      </c>
      <c r="O412" t="s">
        <v>3922</v>
      </c>
      <c r="P412" t="s">
        <v>1682</v>
      </c>
    </row>
    <row r="413" spans="1:16" x14ac:dyDescent="0.25">
      <c r="A413" t="s">
        <v>6933</v>
      </c>
      <c r="B413" t="s">
        <v>6926</v>
      </c>
      <c r="C413" t="s">
        <v>1335</v>
      </c>
      <c r="D413" t="s">
        <v>1027</v>
      </c>
      <c r="E413">
        <v>1459</v>
      </c>
      <c r="F413" t="s">
        <v>1336</v>
      </c>
      <c r="G413" t="b">
        <v>0</v>
      </c>
      <c r="H413" t="b">
        <v>0</v>
      </c>
      <c r="I413" t="s">
        <v>1051</v>
      </c>
      <c r="J413">
        <v>29</v>
      </c>
      <c r="K413" t="s">
        <v>2</v>
      </c>
      <c r="L413" t="s">
        <v>1549</v>
      </c>
      <c r="M413" t="s">
        <v>3922</v>
      </c>
      <c r="N413" t="s">
        <v>3922</v>
      </c>
      <c r="O413" t="s">
        <v>3922</v>
      </c>
      <c r="P413" t="s">
        <v>1682</v>
      </c>
    </row>
    <row r="414" spans="1:16" x14ac:dyDescent="0.25">
      <c r="A414" t="s">
        <v>6934</v>
      </c>
      <c r="B414" t="s">
        <v>6926</v>
      </c>
      <c r="C414" t="s">
        <v>1335</v>
      </c>
      <c r="D414" t="s">
        <v>1027</v>
      </c>
      <c r="E414">
        <v>1459</v>
      </c>
      <c r="F414" t="s">
        <v>1336</v>
      </c>
      <c r="G414" t="b">
        <v>0</v>
      </c>
      <c r="H414" t="b">
        <v>0</v>
      </c>
      <c r="I414" t="s">
        <v>1051</v>
      </c>
      <c r="J414">
        <v>29</v>
      </c>
      <c r="K414" t="s">
        <v>2</v>
      </c>
      <c r="L414" t="s">
        <v>1549</v>
      </c>
      <c r="M414" t="s">
        <v>3922</v>
      </c>
      <c r="N414" t="s">
        <v>3922</v>
      </c>
      <c r="O414" t="s">
        <v>3922</v>
      </c>
      <c r="P414" t="s">
        <v>1682</v>
      </c>
    </row>
    <row r="415" spans="1:16" x14ac:dyDescent="0.25">
      <c r="A415" t="s">
        <v>6935</v>
      </c>
      <c r="B415" t="s">
        <v>6926</v>
      </c>
      <c r="C415" t="s">
        <v>1335</v>
      </c>
      <c r="D415" t="s">
        <v>1027</v>
      </c>
      <c r="E415">
        <v>1459</v>
      </c>
      <c r="F415" t="s">
        <v>1336</v>
      </c>
      <c r="G415" t="b">
        <v>0</v>
      </c>
      <c r="H415" t="b">
        <v>0</v>
      </c>
      <c r="I415" t="s">
        <v>1051</v>
      </c>
      <c r="J415">
        <v>29</v>
      </c>
      <c r="K415" t="s">
        <v>2</v>
      </c>
      <c r="L415" t="s">
        <v>1549</v>
      </c>
      <c r="M415" t="s">
        <v>3922</v>
      </c>
      <c r="N415" t="s">
        <v>3922</v>
      </c>
      <c r="O415" t="s">
        <v>3922</v>
      </c>
      <c r="P415" t="s">
        <v>1682</v>
      </c>
    </row>
    <row r="416" spans="1:16" x14ac:dyDescent="0.25">
      <c r="A416" t="s">
        <v>6936</v>
      </c>
      <c r="B416" t="s">
        <v>6926</v>
      </c>
      <c r="C416" t="s">
        <v>1335</v>
      </c>
      <c r="D416" t="s">
        <v>1027</v>
      </c>
      <c r="E416">
        <v>1459</v>
      </c>
      <c r="F416" t="s">
        <v>1336</v>
      </c>
      <c r="G416" t="b">
        <v>0</v>
      </c>
      <c r="H416" t="b">
        <v>0</v>
      </c>
      <c r="I416" t="s">
        <v>1051</v>
      </c>
      <c r="J416">
        <v>29</v>
      </c>
      <c r="K416" t="s">
        <v>2</v>
      </c>
      <c r="L416" t="s">
        <v>1549</v>
      </c>
      <c r="M416" t="s">
        <v>3922</v>
      </c>
      <c r="N416" t="s">
        <v>3922</v>
      </c>
      <c r="O416" t="s">
        <v>3922</v>
      </c>
      <c r="P416" t="s">
        <v>1682</v>
      </c>
    </row>
    <row r="417" spans="1:16" x14ac:dyDescent="0.25">
      <c r="A417" t="s">
        <v>6937</v>
      </c>
      <c r="B417" t="s">
        <v>6926</v>
      </c>
      <c r="C417" t="s">
        <v>1335</v>
      </c>
      <c r="D417" t="s">
        <v>1027</v>
      </c>
      <c r="E417">
        <v>1459</v>
      </c>
      <c r="F417" t="s">
        <v>1336</v>
      </c>
      <c r="G417" t="b">
        <v>0</v>
      </c>
      <c r="H417" t="b">
        <v>0</v>
      </c>
      <c r="I417" t="s">
        <v>1051</v>
      </c>
      <c r="J417">
        <v>29</v>
      </c>
      <c r="K417" t="s">
        <v>2</v>
      </c>
      <c r="L417" t="s">
        <v>1549</v>
      </c>
      <c r="M417" t="s">
        <v>3922</v>
      </c>
      <c r="N417" t="s">
        <v>3922</v>
      </c>
      <c r="O417" t="s">
        <v>3922</v>
      </c>
      <c r="P417" t="s">
        <v>1682</v>
      </c>
    </row>
    <row r="418" spans="1:16" x14ac:dyDescent="0.25">
      <c r="A418" t="s">
        <v>6938</v>
      </c>
      <c r="B418" t="s">
        <v>6926</v>
      </c>
      <c r="C418" t="s">
        <v>1335</v>
      </c>
      <c r="D418" t="s">
        <v>1027</v>
      </c>
      <c r="E418">
        <v>1459</v>
      </c>
      <c r="F418" t="s">
        <v>1336</v>
      </c>
      <c r="G418" t="b">
        <v>0</v>
      </c>
      <c r="H418" t="b">
        <v>0</v>
      </c>
      <c r="I418" t="s">
        <v>1051</v>
      </c>
      <c r="J418">
        <v>29</v>
      </c>
      <c r="K418" t="s">
        <v>2</v>
      </c>
      <c r="L418" t="s">
        <v>1549</v>
      </c>
      <c r="M418" t="s">
        <v>3922</v>
      </c>
      <c r="N418" t="s">
        <v>3922</v>
      </c>
      <c r="O418" t="s">
        <v>3922</v>
      </c>
      <c r="P418" t="s">
        <v>1682</v>
      </c>
    </row>
    <row r="419" spans="1:16" x14ac:dyDescent="0.25">
      <c r="A419" t="s">
        <v>6939</v>
      </c>
      <c r="B419" t="s">
        <v>6926</v>
      </c>
      <c r="C419" t="s">
        <v>1335</v>
      </c>
      <c r="D419" t="s">
        <v>1027</v>
      </c>
      <c r="E419">
        <v>1459</v>
      </c>
      <c r="F419" t="s">
        <v>1336</v>
      </c>
      <c r="G419" t="b">
        <v>0</v>
      </c>
      <c r="H419" t="b">
        <v>0</v>
      </c>
      <c r="I419" t="s">
        <v>1051</v>
      </c>
      <c r="J419">
        <v>29</v>
      </c>
      <c r="K419" t="s">
        <v>2</v>
      </c>
      <c r="L419" t="s">
        <v>1549</v>
      </c>
      <c r="M419" t="s">
        <v>3922</v>
      </c>
      <c r="N419" t="s">
        <v>3922</v>
      </c>
      <c r="O419" t="s">
        <v>3922</v>
      </c>
      <c r="P419" t="s">
        <v>1682</v>
      </c>
    </row>
    <row r="420" spans="1:16" x14ac:dyDescent="0.25">
      <c r="A420" t="s">
        <v>6940</v>
      </c>
      <c r="B420" t="s">
        <v>6926</v>
      </c>
      <c r="C420" t="s">
        <v>1335</v>
      </c>
      <c r="D420" t="s">
        <v>1027</v>
      </c>
      <c r="E420">
        <v>1459</v>
      </c>
      <c r="F420" t="s">
        <v>1336</v>
      </c>
      <c r="G420" t="b">
        <v>0</v>
      </c>
      <c r="H420" t="b">
        <v>0</v>
      </c>
      <c r="I420" t="s">
        <v>1051</v>
      </c>
      <c r="J420">
        <v>29</v>
      </c>
      <c r="K420" t="s">
        <v>2</v>
      </c>
      <c r="L420" t="s">
        <v>1549</v>
      </c>
      <c r="M420" t="s">
        <v>3922</v>
      </c>
      <c r="N420" t="s">
        <v>3922</v>
      </c>
      <c r="O420" t="s">
        <v>3922</v>
      </c>
      <c r="P420" t="s">
        <v>1682</v>
      </c>
    </row>
    <row r="421" spans="1:16" x14ac:dyDescent="0.25">
      <c r="A421" t="s">
        <v>6941</v>
      </c>
      <c r="B421" t="s">
        <v>6926</v>
      </c>
      <c r="C421" t="s">
        <v>1335</v>
      </c>
      <c r="D421" t="s">
        <v>1027</v>
      </c>
      <c r="E421">
        <v>1459</v>
      </c>
      <c r="F421" t="s">
        <v>1336</v>
      </c>
      <c r="G421" t="b">
        <v>0</v>
      </c>
      <c r="H421" t="b">
        <v>0</v>
      </c>
      <c r="I421" t="s">
        <v>1051</v>
      </c>
      <c r="J421">
        <v>29</v>
      </c>
      <c r="K421" t="s">
        <v>2</v>
      </c>
      <c r="L421" t="s">
        <v>1549</v>
      </c>
      <c r="M421" t="s">
        <v>3922</v>
      </c>
      <c r="N421" t="s">
        <v>3922</v>
      </c>
      <c r="O421" t="s">
        <v>3922</v>
      </c>
      <c r="P421" t="s">
        <v>1682</v>
      </c>
    </row>
    <row r="422" spans="1:16" x14ac:dyDescent="0.25">
      <c r="A422" t="s">
        <v>6942</v>
      </c>
      <c r="B422" t="s">
        <v>6926</v>
      </c>
      <c r="C422" t="s">
        <v>1335</v>
      </c>
      <c r="D422" t="s">
        <v>1027</v>
      </c>
      <c r="E422">
        <v>1459</v>
      </c>
      <c r="F422" t="s">
        <v>1336</v>
      </c>
      <c r="G422" t="b">
        <v>0</v>
      </c>
      <c r="H422" t="b">
        <v>0</v>
      </c>
      <c r="I422" t="s">
        <v>1051</v>
      </c>
      <c r="J422">
        <v>29</v>
      </c>
      <c r="K422" t="s">
        <v>2</v>
      </c>
      <c r="L422" t="s">
        <v>1549</v>
      </c>
      <c r="M422" t="s">
        <v>3922</v>
      </c>
      <c r="N422" t="s">
        <v>3922</v>
      </c>
      <c r="O422" t="s">
        <v>3922</v>
      </c>
      <c r="P422" t="s">
        <v>1682</v>
      </c>
    </row>
    <row r="423" spans="1:16" x14ac:dyDescent="0.25">
      <c r="A423" t="s">
        <v>6943</v>
      </c>
      <c r="B423" t="s">
        <v>6926</v>
      </c>
      <c r="C423" t="s">
        <v>1335</v>
      </c>
      <c r="D423" t="s">
        <v>1027</v>
      </c>
      <c r="E423">
        <v>1459</v>
      </c>
      <c r="F423" t="s">
        <v>1336</v>
      </c>
      <c r="G423" t="b">
        <v>0</v>
      </c>
      <c r="H423" t="b">
        <v>0</v>
      </c>
      <c r="I423" t="s">
        <v>1051</v>
      </c>
      <c r="J423">
        <v>29</v>
      </c>
      <c r="K423" t="s">
        <v>2</v>
      </c>
      <c r="L423" t="s">
        <v>1549</v>
      </c>
      <c r="M423" t="s">
        <v>3922</v>
      </c>
      <c r="N423" t="s">
        <v>3922</v>
      </c>
      <c r="O423" t="s">
        <v>3922</v>
      </c>
      <c r="P423" t="s">
        <v>1682</v>
      </c>
    </row>
    <row r="424" spans="1:16" x14ac:dyDescent="0.25">
      <c r="A424" t="s">
        <v>6944</v>
      </c>
      <c r="B424" t="s">
        <v>6926</v>
      </c>
      <c r="C424" t="s">
        <v>1335</v>
      </c>
      <c r="D424" t="s">
        <v>1027</v>
      </c>
      <c r="E424">
        <v>1459</v>
      </c>
      <c r="F424" t="s">
        <v>1336</v>
      </c>
      <c r="G424" t="b">
        <v>0</v>
      </c>
      <c r="H424" t="b">
        <v>0</v>
      </c>
      <c r="I424" t="s">
        <v>1051</v>
      </c>
      <c r="J424">
        <v>67</v>
      </c>
      <c r="K424" t="s">
        <v>2</v>
      </c>
      <c r="L424" t="s">
        <v>1549</v>
      </c>
      <c r="M424" t="s">
        <v>3922</v>
      </c>
      <c r="N424" t="s">
        <v>3922</v>
      </c>
      <c r="O424" t="s">
        <v>3922</v>
      </c>
      <c r="P424" t="s">
        <v>1682</v>
      </c>
    </row>
    <row r="425" spans="1:16" ht="409.5" x14ac:dyDescent="0.25">
      <c r="A425" t="s">
        <v>6945</v>
      </c>
      <c r="B425" t="s">
        <v>6946</v>
      </c>
      <c r="C425" t="s">
        <v>6503</v>
      </c>
      <c r="D425" t="s">
        <v>1027</v>
      </c>
      <c r="E425">
        <v>1488</v>
      </c>
      <c r="F425" t="s">
        <v>6504</v>
      </c>
      <c r="G425" t="b">
        <v>0</v>
      </c>
      <c r="H425" t="b">
        <v>0</v>
      </c>
      <c r="I425" t="s">
        <v>1051</v>
      </c>
      <c r="J425">
        <v>78</v>
      </c>
      <c r="K425" t="s">
        <v>0</v>
      </c>
      <c r="L425" t="s">
        <v>3000</v>
      </c>
      <c r="M425" t="s">
        <v>1548</v>
      </c>
      <c r="N425" t="s">
        <v>1548</v>
      </c>
      <c r="O425" t="s">
        <v>1548</v>
      </c>
      <c r="P425" s="36" t="s">
        <v>6505</v>
      </c>
    </row>
    <row r="426" spans="1:16" ht="409.5" x14ac:dyDescent="0.25">
      <c r="A426" t="s">
        <v>6947</v>
      </c>
      <c r="B426" t="s">
        <v>6946</v>
      </c>
      <c r="C426" t="s">
        <v>6503</v>
      </c>
      <c r="D426" t="s">
        <v>1027</v>
      </c>
      <c r="E426">
        <v>1488</v>
      </c>
      <c r="F426" t="s">
        <v>6504</v>
      </c>
      <c r="G426" t="b">
        <v>0</v>
      </c>
      <c r="H426" t="b">
        <v>0</v>
      </c>
      <c r="I426" t="s">
        <v>1051</v>
      </c>
      <c r="J426">
        <v>78</v>
      </c>
      <c r="K426" t="s">
        <v>0</v>
      </c>
      <c r="L426" t="s">
        <v>3000</v>
      </c>
      <c r="M426" t="s">
        <v>1548</v>
      </c>
      <c r="N426" t="s">
        <v>1548</v>
      </c>
      <c r="O426" t="s">
        <v>1548</v>
      </c>
      <c r="P426" s="36" t="s">
        <v>6505</v>
      </c>
    </row>
    <row r="427" spans="1:16" ht="409.5" x14ac:dyDescent="0.25">
      <c r="A427" t="s">
        <v>6948</v>
      </c>
      <c r="B427" t="s">
        <v>6946</v>
      </c>
      <c r="C427" t="s">
        <v>6503</v>
      </c>
      <c r="D427" t="s">
        <v>1027</v>
      </c>
      <c r="E427">
        <v>1488</v>
      </c>
      <c r="F427" t="s">
        <v>6504</v>
      </c>
      <c r="G427" t="b">
        <v>0</v>
      </c>
      <c r="H427" t="b">
        <v>0</v>
      </c>
      <c r="I427" t="s">
        <v>1051</v>
      </c>
      <c r="J427">
        <v>78</v>
      </c>
      <c r="K427" t="s">
        <v>0</v>
      </c>
      <c r="L427" t="s">
        <v>3000</v>
      </c>
      <c r="M427" t="s">
        <v>1548</v>
      </c>
      <c r="N427" t="s">
        <v>1548</v>
      </c>
      <c r="O427" t="s">
        <v>1548</v>
      </c>
      <c r="P427" s="36" t="s">
        <v>6505</v>
      </c>
    </row>
    <row r="428" spans="1:16" ht="409.5" x14ac:dyDescent="0.25">
      <c r="A428" t="s">
        <v>6949</v>
      </c>
      <c r="B428" t="s">
        <v>6946</v>
      </c>
      <c r="C428" t="s">
        <v>6503</v>
      </c>
      <c r="D428" t="s">
        <v>1027</v>
      </c>
      <c r="E428">
        <v>1488</v>
      </c>
      <c r="F428" t="s">
        <v>6504</v>
      </c>
      <c r="G428" t="b">
        <v>0</v>
      </c>
      <c r="H428" t="b">
        <v>0</v>
      </c>
      <c r="I428" t="s">
        <v>1051</v>
      </c>
      <c r="J428">
        <v>78</v>
      </c>
      <c r="K428" t="s">
        <v>0</v>
      </c>
      <c r="L428" t="s">
        <v>3000</v>
      </c>
      <c r="M428" t="s">
        <v>1548</v>
      </c>
      <c r="N428" t="s">
        <v>1548</v>
      </c>
      <c r="O428" t="s">
        <v>1548</v>
      </c>
      <c r="P428" s="36" t="s">
        <v>6505</v>
      </c>
    </row>
    <row r="429" spans="1:16" ht="409.5" x14ac:dyDescent="0.25">
      <c r="A429" t="s">
        <v>6950</v>
      </c>
      <c r="B429" t="s">
        <v>6946</v>
      </c>
      <c r="C429" t="s">
        <v>6503</v>
      </c>
      <c r="D429" t="s">
        <v>1027</v>
      </c>
      <c r="E429">
        <v>1488</v>
      </c>
      <c r="F429" t="s">
        <v>6504</v>
      </c>
      <c r="G429" t="b">
        <v>0</v>
      </c>
      <c r="H429" t="b">
        <v>0</v>
      </c>
      <c r="I429" t="s">
        <v>1051</v>
      </c>
      <c r="J429">
        <v>78</v>
      </c>
      <c r="K429" t="s">
        <v>0</v>
      </c>
      <c r="L429" t="s">
        <v>3000</v>
      </c>
      <c r="M429" t="s">
        <v>1548</v>
      </c>
      <c r="N429" t="s">
        <v>1548</v>
      </c>
      <c r="O429" t="s">
        <v>1548</v>
      </c>
      <c r="P429" s="36" t="s">
        <v>6505</v>
      </c>
    </row>
    <row r="430" spans="1:16" ht="409.5" x14ac:dyDescent="0.25">
      <c r="A430" t="s">
        <v>6951</v>
      </c>
      <c r="B430" t="s">
        <v>6946</v>
      </c>
      <c r="C430" t="s">
        <v>6503</v>
      </c>
      <c r="D430" t="s">
        <v>1027</v>
      </c>
      <c r="E430">
        <v>1488</v>
      </c>
      <c r="F430" t="s">
        <v>6504</v>
      </c>
      <c r="G430" t="b">
        <v>0</v>
      </c>
      <c r="H430" t="b">
        <v>0</v>
      </c>
      <c r="I430" t="s">
        <v>1051</v>
      </c>
      <c r="J430">
        <v>78</v>
      </c>
      <c r="K430" t="s">
        <v>0</v>
      </c>
      <c r="L430" t="s">
        <v>3000</v>
      </c>
      <c r="M430" t="s">
        <v>1548</v>
      </c>
      <c r="N430" t="s">
        <v>1548</v>
      </c>
      <c r="O430" t="s">
        <v>1548</v>
      </c>
      <c r="P430" s="36" t="s">
        <v>6505</v>
      </c>
    </row>
    <row r="431" spans="1:16" ht="409.5" x14ac:dyDescent="0.25">
      <c r="A431" t="s">
        <v>6952</v>
      </c>
      <c r="B431" t="s">
        <v>6946</v>
      </c>
      <c r="C431" t="s">
        <v>6503</v>
      </c>
      <c r="D431" t="s">
        <v>1027</v>
      </c>
      <c r="E431">
        <v>1488</v>
      </c>
      <c r="F431" t="s">
        <v>6504</v>
      </c>
      <c r="G431" t="b">
        <v>0</v>
      </c>
      <c r="H431" t="b">
        <v>0</v>
      </c>
      <c r="I431" t="s">
        <v>1051</v>
      </c>
      <c r="J431">
        <v>78</v>
      </c>
      <c r="K431" t="s">
        <v>0</v>
      </c>
      <c r="L431" t="s">
        <v>3000</v>
      </c>
      <c r="M431" t="s">
        <v>1548</v>
      </c>
      <c r="N431" t="s">
        <v>1548</v>
      </c>
      <c r="O431" t="s">
        <v>1548</v>
      </c>
      <c r="P431" s="36" t="s">
        <v>6505</v>
      </c>
    </row>
    <row r="432" spans="1:16" ht="409.5" x14ac:dyDescent="0.25">
      <c r="A432" t="s">
        <v>6953</v>
      </c>
      <c r="B432" t="s">
        <v>6954</v>
      </c>
      <c r="C432" t="s">
        <v>6503</v>
      </c>
      <c r="D432" t="s">
        <v>1027</v>
      </c>
      <c r="E432">
        <v>1488</v>
      </c>
      <c r="F432" t="s">
        <v>6504</v>
      </c>
      <c r="G432" t="b">
        <v>0</v>
      </c>
      <c r="H432" t="b">
        <v>0</v>
      </c>
      <c r="I432" t="s">
        <v>1051</v>
      </c>
      <c r="J432">
        <v>78</v>
      </c>
      <c r="K432" t="s">
        <v>0</v>
      </c>
      <c r="L432" t="s">
        <v>3000</v>
      </c>
      <c r="M432" t="s">
        <v>1548</v>
      </c>
      <c r="N432" t="s">
        <v>1548</v>
      </c>
      <c r="O432" t="s">
        <v>1548</v>
      </c>
      <c r="P432" s="36" t="s">
        <v>6505</v>
      </c>
    </row>
    <row r="433" spans="1:16" ht="409.5" x14ac:dyDescent="0.25">
      <c r="A433" t="s">
        <v>6955</v>
      </c>
      <c r="B433" t="s">
        <v>6954</v>
      </c>
      <c r="C433" t="s">
        <v>6503</v>
      </c>
      <c r="D433" t="s">
        <v>1027</v>
      </c>
      <c r="E433">
        <v>1488</v>
      </c>
      <c r="F433" t="s">
        <v>6504</v>
      </c>
      <c r="G433" t="b">
        <v>0</v>
      </c>
      <c r="H433" t="b">
        <v>0</v>
      </c>
      <c r="I433" t="s">
        <v>1051</v>
      </c>
      <c r="J433">
        <v>78</v>
      </c>
      <c r="K433" t="s">
        <v>0</v>
      </c>
      <c r="L433" t="s">
        <v>3000</v>
      </c>
      <c r="M433" t="s">
        <v>1548</v>
      </c>
      <c r="N433" t="s">
        <v>1548</v>
      </c>
      <c r="O433" t="s">
        <v>1548</v>
      </c>
      <c r="P433" s="36" t="s">
        <v>6505</v>
      </c>
    </row>
    <row r="434" spans="1:16" ht="409.5" x14ac:dyDescent="0.25">
      <c r="A434" t="s">
        <v>6956</v>
      </c>
      <c r="B434" t="s">
        <v>6954</v>
      </c>
      <c r="C434" t="s">
        <v>6503</v>
      </c>
      <c r="D434" t="s">
        <v>1027</v>
      </c>
      <c r="E434">
        <v>1488</v>
      </c>
      <c r="F434" t="s">
        <v>6504</v>
      </c>
      <c r="G434" t="b">
        <v>0</v>
      </c>
      <c r="H434" t="b">
        <v>0</v>
      </c>
      <c r="I434" t="s">
        <v>1051</v>
      </c>
      <c r="J434">
        <v>78</v>
      </c>
      <c r="K434" t="s">
        <v>0</v>
      </c>
      <c r="L434" t="s">
        <v>3000</v>
      </c>
      <c r="M434" t="s">
        <v>1548</v>
      </c>
      <c r="N434" t="s">
        <v>1548</v>
      </c>
      <c r="O434" t="s">
        <v>1548</v>
      </c>
      <c r="P434" s="36" t="s">
        <v>6505</v>
      </c>
    </row>
    <row r="435" spans="1:16" ht="409.5" x14ac:dyDescent="0.25">
      <c r="A435" t="s">
        <v>6957</v>
      </c>
      <c r="B435" t="s">
        <v>6954</v>
      </c>
      <c r="C435" t="s">
        <v>6503</v>
      </c>
      <c r="D435" t="s">
        <v>1027</v>
      </c>
      <c r="E435">
        <v>1488</v>
      </c>
      <c r="F435" t="s">
        <v>6504</v>
      </c>
      <c r="G435" t="b">
        <v>0</v>
      </c>
      <c r="H435" t="b">
        <v>0</v>
      </c>
      <c r="I435" t="s">
        <v>1051</v>
      </c>
      <c r="J435">
        <v>78</v>
      </c>
      <c r="K435" t="s">
        <v>0</v>
      </c>
      <c r="L435" t="s">
        <v>3000</v>
      </c>
      <c r="M435" t="s">
        <v>1548</v>
      </c>
      <c r="N435" t="s">
        <v>1548</v>
      </c>
      <c r="O435" t="s">
        <v>1548</v>
      </c>
      <c r="P435" s="36" t="s">
        <v>6505</v>
      </c>
    </row>
    <row r="436" spans="1:16" ht="409.5" x14ac:dyDescent="0.25">
      <c r="A436" t="s">
        <v>6958</v>
      </c>
      <c r="B436" t="s">
        <v>6954</v>
      </c>
      <c r="C436" t="s">
        <v>6503</v>
      </c>
      <c r="D436" t="s">
        <v>1027</v>
      </c>
      <c r="E436">
        <v>1488</v>
      </c>
      <c r="F436" t="s">
        <v>6504</v>
      </c>
      <c r="G436" t="b">
        <v>0</v>
      </c>
      <c r="H436" t="b">
        <v>0</v>
      </c>
      <c r="I436" t="s">
        <v>1051</v>
      </c>
      <c r="J436">
        <v>78</v>
      </c>
      <c r="K436" t="s">
        <v>0</v>
      </c>
      <c r="L436" t="s">
        <v>3000</v>
      </c>
      <c r="M436" t="s">
        <v>1548</v>
      </c>
      <c r="N436" t="s">
        <v>1548</v>
      </c>
      <c r="O436" t="s">
        <v>1548</v>
      </c>
      <c r="P436" s="36" t="s">
        <v>6505</v>
      </c>
    </row>
    <row r="437" spans="1:16" ht="409.5" x14ac:dyDescent="0.25">
      <c r="A437" t="s">
        <v>6959</v>
      </c>
      <c r="B437" t="s">
        <v>6946</v>
      </c>
      <c r="C437" t="s">
        <v>6503</v>
      </c>
      <c r="D437" t="s">
        <v>1027</v>
      </c>
      <c r="E437">
        <v>1488</v>
      </c>
      <c r="F437" t="s">
        <v>6504</v>
      </c>
      <c r="G437" t="b">
        <v>0</v>
      </c>
      <c r="H437" t="b">
        <v>0</v>
      </c>
      <c r="I437" t="s">
        <v>1051</v>
      </c>
      <c r="J437">
        <v>78</v>
      </c>
      <c r="K437" t="s">
        <v>0</v>
      </c>
      <c r="L437" t="s">
        <v>3000</v>
      </c>
      <c r="M437" t="s">
        <v>1548</v>
      </c>
      <c r="N437" t="s">
        <v>1548</v>
      </c>
      <c r="O437" t="s">
        <v>1548</v>
      </c>
      <c r="P437" s="36" t="s">
        <v>6505</v>
      </c>
    </row>
    <row r="438" spans="1:16" ht="409.5" x14ac:dyDescent="0.25">
      <c r="A438" t="s">
        <v>6960</v>
      </c>
      <c r="B438" t="s">
        <v>6954</v>
      </c>
      <c r="C438" t="s">
        <v>6503</v>
      </c>
      <c r="D438" t="s">
        <v>1027</v>
      </c>
      <c r="E438">
        <v>1488</v>
      </c>
      <c r="F438" t="s">
        <v>6504</v>
      </c>
      <c r="G438" t="b">
        <v>0</v>
      </c>
      <c r="H438" t="b">
        <v>0</v>
      </c>
      <c r="I438" t="s">
        <v>1051</v>
      </c>
      <c r="J438">
        <v>78</v>
      </c>
      <c r="K438" t="s">
        <v>0</v>
      </c>
      <c r="L438" t="s">
        <v>3000</v>
      </c>
      <c r="M438" t="s">
        <v>1548</v>
      </c>
      <c r="N438" t="s">
        <v>1548</v>
      </c>
      <c r="O438" t="s">
        <v>1548</v>
      </c>
      <c r="P438" s="36" t="s">
        <v>6505</v>
      </c>
    </row>
    <row r="439" spans="1:16" ht="409.5" x14ac:dyDescent="0.25">
      <c r="A439" t="s">
        <v>6961</v>
      </c>
      <c r="B439" t="s">
        <v>6954</v>
      </c>
      <c r="C439" t="s">
        <v>6503</v>
      </c>
      <c r="D439" t="s">
        <v>1075</v>
      </c>
      <c r="E439">
        <v>1488</v>
      </c>
      <c r="F439" t="s">
        <v>6504</v>
      </c>
      <c r="G439" t="b">
        <v>0</v>
      </c>
      <c r="H439" t="b">
        <v>0</v>
      </c>
      <c r="I439" t="s">
        <v>1051</v>
      </c>
      <c r="J439">
        <v>78</v>
      </c>
      <c r="K439" t="s">
        <v>0</v>
      </c>
      <c r="L439" t="s">
        <v>3000</v>
      </c>
      <c r="M439" t="s">
        <v>1548</v>
      </c>
      <c r="N439" t="s">
        <v>1548</v>
      </c>
      <c r="O439" t="s">
        <v>1548</v>
      </c>
      <c r="P439" s="36" t="s">
        <v>6505</v>
      </c>
    </row>
    <row r="440" spans="1:16" ht="409.5" x14ac:dyDescent="0.25">
      <c r="A440" t="s">
        <v>6962</v>
      </c>
      <c r="B440" t="s">
        <v>6963</v>
      </c>
      <c r="C440" t="s">
        <v>6473</v>
      </c>
      <c r="D440" t="s">
        <v>1027</v>
      </c>
      <c r="E440">
        <v>33419</v>
      </c>
      <c r="F440" t="s">
        <v>6474</v>
      </c>
      <c r="G440" t="b">
        <v>0</v>
      </c>
      <c r="H440" t="b">
        <v>0</v>
      </c>
      <c r="I440" t="s">
        <v>1051</v>
      </c>
      <c r="J440">
        <v>78</v>
      </c>
      <c r="K440" t="s">
        <v>0</v>
      </c>
      <c r="L440" t="s">
        <v>3000</v>
      </c>
      <c r="M440" t="s">
        <v>1548</v>
      </c>
      <c r="N440" t="s">
        <v>1548</v>
      </c>
      <c r="O440" t="s">
        <v>1548</v>
      </c>
      <c r="P440" s="36" t="s">
        <v>6448</v>
      </c>
    </row>
    <row r="441" spans="1:16" ht="409.5" x14ac:dyDescent="0.25">
      <c r="A441" t="s">
        <v>6964</v>
      </c>
      <c r="B441" t="s">
        <v>6965</v>
      </c>
      <c r="C441" t="s">
        <v>6446</v>
      </c>
      <c r="D441" t="s">
        <v>1027</v>
      </c>
      <c r="E441">
        <v>1402</v>
      </c>
      <c r="F441" t="s">
        <v>6447</v>
      </c>
      <c r="G441" t="b">
        <v>0</v>
      </c>
      <c r="H441" t="b">
        <v>0</v>
      </c>
      <c r="I441" t="s">
        <v>1051</v>
      </c>
      <c r="J441">
        <v>78</v>
      </c>
      <c r="K441" t="s">
        <v>0</v>
      </c>
      <c r="L441" t="s">
        <v>3000</v>
      </c>
      <c r="M441" t="s">
        <v>1548</v>
      </c>
      <c r="N441" t="s">
        <v>1548</v>
      </c>
      <c r="O441" t="s">
        <v>1548</v>
      </c>
      <c r="P441" s="36" t="s">
        <v>6448</v>
      </c>
    </row>
    <row r="442" spans="1:16" ht="409.5" x14ac:dyDescent="0.25">
      <c r="A442" t="s">
        <v>6966</v>
      </c>
      <c r="B442" t="s">
        <v>6965</v>
      </c>
      <c r="C442" t="s">
        <v>6446</v>
      </c>
      <c r="D442" t="s">
        <v>1027</v>
      </c>
      <c r="E442">
        <v>1402</v>
      </c>
      <c r="F442" t="s">
        <v>6447</v>
      </c>
      <c r="G442" t="b">
        <v>0</v>
      </c>
      <c r="H442" t="b">
        <v>0</v>
      </c>
      <c r="I442" t="s">
        <v>1051</v>
      </c>
      <c r="J442">
        <v>78</v>
      </c>
      <c r="K442" t="s">
        <v>0</v>
      </c>
      <c r="L442" t="s">
        <v>3000</v>
      </c>
      <c r="M442" t="s">
        <v>1548</v>
      </c>
      <c r="N442" t="s">
        <v>1548</v>
      </c>
      <c r="O442" t="s">
        <v>1548</v>
      </c>
      <c r="P442" s="36" t="s">
        <v>6448</v>
      </c>
    </row>
    <row r="443" spans="1:16" ht="409.5" x14ac:dyDescent="0.25">
      <c r="A443" t="s">
        <v>6967</v>
      </c>
      <c r="B443" t="s">
        <v>6965</v>
      </c>
      <c r="C443" t="s">
        <v>6446</v>
      </c>
      <c r="D443" t="s">
        <v>1027</v>
      </c>
      <c r="E443">
        <v>1402</v>
      </c>
      <c r="F443" t="s">
        <v>6447</v>
      </c>
      <c r="G443" t="b">
        <v>0</v>
      </c>
      <c r="H443" t="b">
        <v>0</v>
      </c>
      <c r="I443" t="s">
        <v>1051</v>
      </c>
      <c r="J443">
        <v>78</v>
      </c>
      <c r="K443" t="s">
        <v>0</v>
      </c>
      <c r="L443" t="s">
        <v>3000</v>
      </c>
      <c r="M443" t="s">
        <v>1548</v>
      </c>
      <c r="N443" t="s">
        <v>1548</v>
      </c>
      <c r="O443" t="s">
        <v>1548</v>
      </c>
      <c r="P443" s="36" t="s">
        <v>6448</v>
      </c>
    </row>
    <row r="444" spans="1:16" ht="409.5" x14ac:dyDescent="0.25">
      <c r="A444" t="s">
        <v>6968</v>
      </c>
      <c r="B444" t="s">
        <v>6965</v>
      </c>
      <c r="C444" t="s">
        <v>6446</v>
      </c>
      <c r="D444" t="s">
        <v>1027</v>
      </c>
      <c r="E444">
        <v>1402</v>
      </c>
      <c r="F444" t="s">
        <v>6447</v>
      </c>
      <c r="G444" t="b">
        <v>0</v>
      </c>
      <c r="H444" t="b">
        <v>0</v>
      </c>
      <c r="I444" t="s">
        <v>1051</v>
      </c>
      <c r="J444">
        <v>78</v>
      </c>
      <c r="K444" t="s">
        <v>0</v>
      </c>
      <c r="L444" t="s">
        <v>3000</v>
      </c>
      <c r="M444" t="s">
        <v>1548</v>
      </c>
      <c r="N444" t="s">
        <v>1548</v>
      </c>
      <c r="O444" t="s">
        <v>1548</v>
      </c>
      <c r="P444" s="36" t="s">
        <v>6448</v>
      </c>
    </row>
    <row r="445" spans="1:16" ht="409.5" x14ac:dyDescent="0.25">
      <c r="A445" t="s">
        <v>6969</v>
      </c>
      <c r="B445" t="s">
        <v>6965</v>
      </c>
      <c r="C445" t="s">
        <v>6446</v>
      </c>
      <c r="D445" t="s">
        <v>1027</v>
      </c>
      <c r="E445">
        <v>1402</v>
      </c>
      <c r="F445" t="s">
        <v>6447</v>
      </c>
      <c r="G445" t="b">
        <v>0</v>
      </c>
      <c r="H445" t="b">
        <v>0</v>
      </c>
      <c r="I445" t="s">
        <v>1051</v>
      </c>
      <c r="J445">
        <v>78</v>
      </c>
      <c r="K445" t="s">
        <v>0</v>
      </c>
      <c r="L445" t="s">
        <v>3000</v>
      </c>
      <c r="M445" t="s">
        <v>1548</v>
      </c>
      <c r="N445" t="s">
        <v>1548</v>
      </c>
      <c r="O445" t="s">
        <v>1548</v>
      </c>
      <c r="P445" s="36" t="s">
        <v>6448</v>
      </c>
    </row>
    <row r="446" spans="1:16" ht="409.5" x14ac:dyDescent="0.25">
      <c r="A446" t="s">
        <v>6970</v>
      </c>
      <c r="B446" t="s">
        <v>6965</v>
      </c>
      <c r="C446" t="s">
        <v>6446</v>
      </c>
      <c r="D446" t="s">
        <v>1027</v>
      </c>
      <c r="E446">
        <v>1402</v>
      </c>
      <c r="F446" t="s">
        <v>6447</v>
      </c>
      <c r="G446" t="b">
        <v>0</v>
      </c>
      <c r="H446" t="b">
        <v>0</v>
      </c>
      <c r="I446" t="s">
        <v>1051</v>
      </c>
      <c r="J446">
        <v>78</v>
      </c>
      <c r="K446" t="s">
        <v>0</v>
      </c>
      <c r="L446" t="s">
        <v>3000</v>
      </c>
      <c r="M446" t="s">
        <v>1548</v>
      </c>
      <c r="N446" t="s">
        <v>1548</v>
      </c>
      <c r="O446" t="s">
        <v>1548</v>
      </c>
      <c r="P446" s="36" t="s">
        <v>6448</v>
      </c>
    </row>
    <row r="447" spans="1:16" ht="409.5" x14ac:dyDescent="0.25">
      <c r="A447" t="s">
        <v>6971</v>
      </c>
      <c r="B447" t="s">
        <v>6965</v>
      </c>
      <c r="C447" t="s">
        <v>6446</v>
      </c>
      <c r="D447" t="s">
        <v>1027</v>
      </c>
      <c r="E447">
        <v>1402</v>
      </c>
      <c r="F447" t="s">
        <v>6447</v>
      </c>
      <c r="G447" t="b">
        <v>0</v>
      </c>
      <c r="H447" t="b">
        <v>0</v>
      </c>
      <c r="I447" t="s">
        <v>1051</v>
      </c>
      <c r="J447">
        <v>78</v>
      </c>
      <c r="K447" t="s">
        <v>0</v>
      </c>
      <c r="L447" t="s">
        <v>3000</v>
      </c>
      <c r="M447" t="s">
        <v>1548</v>
      </c>
      <c r="N447" t="s">
        <v>1548</v>
      </c>
      <c r="O447" t="s">
        <v>1548</v>
      </c>
      <c r="P447" s="36" t="s">
        <v>6448</v>
      </c>
    </row>
    <row r="448" spans="1:16" ht="409.5" x14ac:dyDescent="0.25">
      <c r="A448" t="s">
        <v>6972</v>
      </c>
      <c r="B448" t="s">
        <v>6965</v>
      </c>
      <c r="C448" t="s">
        <v>6446</v>
      </c>
      <c r="D448" t="s">
        <v>1027</v>
      </c>
      <c r="E448">
        <v>1402</v>
      </c>
      <c r="F448" t="s">
        <v>6447</v>
      </c>
      <c r="G448" t="b">
        <v>0</v>
      </c>
      <c r="H448" t="b">
        <v>0</v>
      </c>
      <c r="I448" t="s">
        <v>1051</v>
      </c>
      <c r="J448">
        <v>78</v>
      </c>
      <c r="K448" t="s">
        <v>0</v>
      </c>
      <c r="L448" t="s">
        <v>3000</v>
      </c>
      <c r="M448" t="s">
        <v>1548</v>
      </c>
      <c r="N448" t="s">
        <v>1548</v>
      </c>
      <c r="O448" t="s">
        <v>1548</v>
      </c>
      <c r="P448" s="36" t="s">
        <v>6448</v>
      </c>
    </row>
    <row r="449" spans="1:16" ht="409.5" x14ac:dyDescent="0.25">
      <c r="A449" t="s">
        <v>6973</v>
      </c>
      <c r="B449" t="s">
        <v>6965</v>
      </c>
      <c r="C449" t="s">
        <v>6446</v>
      </c>
      <c r="D449" t="s">
        <v>1027</v>
      </c>
      <c r="E449">
        <v>1402</v>
      </c>
      <c r="F449" t="s">
        <v>6447</v>
      </c>
      <c r="G449" t="b">
        <v>0</v>
      </c>
      <c r="H449" t="b">
        <v>0</v>
      </c>
      <c r="I449" t="s">
        <v>1051</v>
      </c>
      <c r="J449">
        <v>78</v>
      </c>
      <c r="K449" t="s">
        <v>0</v>
      </c>
      <c r="L449" t="s">
        <v>3000</v>
      </c>
      <c r="M449" t="s">
        <v>1548</v>
      </c>
      <c r="N449" t="s">
        <v>1548</v>
      </c>
      <c r="O449" t="s">
        <v>1548</v>
      </c>
      <c r="P449" s="36" t="s">
        <v>6448</v>
      </c>
    </row>
    <row r="450" spans="1:16" ht="409.5" x14ac:dyDescent="0.25">
      <c r="A450" t="s">
        <v>6974</v>
      </c>
      <c r="B450" t="s">
        <v>6965</v>
      </c>
      <c r="C450" t="s">
        <v>6446</v>
      </c>
      <c r="D450" t="s">
        <v>1027</v>
      </c>
      <c r="E450">
        <v>1402</v>
      </c>
      <c r="F450" t="s">
        <v>6447</v>
      </c>
      <c r="G450" t="b">
        <v>0</v>
      </c>
      <c r="H450" t="b">
        <v>0</v>
      </c>
      <c r="I450" t="s">
        <v>1051</v>
      </c>
      <c r="J450">
        <v>78</v>
      </c>
      <c r="K450" t="s">
        <v>0</v>
      </c>
      <c r="L450" t="s">
        <v>3000</v>
      </c>
      <c r="M450" t="s">
        <v>1548</v>
      </c>
      <c r="N450" t="s">
        <v>1548</v>
      </c>
      <c r="O450" t="s">
        <v>1548</v>
      </c>
      <c r="P450" s="36" t="s">
        <v>6448</v>
      </c>
    </row>
    <row r="451" spans="1:16" ht="409.5" x14ac:dyDescent="0.25">
      <c r="A451" t="s">
        <v>6975</v>
      </c>
      <c r="B451" t="s">
        <v>6965</v>
      </c>
      <c r="C451" t="s">
        <v>6446</v>
      </c>
      <c r="D451" t="s">
        <v>1027</v>
      </c>
      <c r="E451">
        <v>1402</v>
      </c>
      <c r="F451" t="s">
        <v>6447</v>
      </c>
      <c r="G451" t="b">
        <v>0</v>
      </c>
      <c r="H451" t="b">
        <v>0</v>
      </c>
      <c r="I451" t="s">
        <v>1051</v>
      </c>
      <c r="J451">
        <v>78</v>
      </c>
      <c r="K451" t="s">
        <v>0</v>
      </c>
      <c r="L451" t="s">
        <v>3000</v>
      </c>
      <c r="M451" t="s">
        <v>1548</v>
      </c>
      <c r="N451" t="s">
        <v>1548</v>
      </c>
      <c r="O451" t="s">
        <v>1548</v>
      </c>
      <c r="P451" s="36" t="s">
        <v>6448</v>
      </c>
    </row>
    <row r="452" spans="1:16" ht="409.5" x14ac:dyDescent="0.25">
      <c r="A452" t="s">
        <v>6976</v>
      </c>
      <c r="B452" t="s">
        <v>6965</v>
      </c>
      <c r="C452" t="s">
        <v>6446</v>
      </c>
      <c r="D452" t="s">
        <v>1027</v>
      </c>
      <c r="E452">
        <v>1402</v>
      </c>
      <c r="F452" t="s">
        <v>6447</v>
      </c>
      <c r="G452" t="b">
        <v>0</v>
      </c>
      <c r="H452" t="b">
        <v>0</v>
      </c>
      <c r="I452" t="s">
        <v>1051</v>
      </c>
      <c r="J452">
        <v>78</v>
      </c>
      <c r="K452" t="s">
        <v>0</v>
      </c>
      <c r="L452" t="s">
        <v>3000</v>
      </c>
      <c r="M452" t="s">
        <v>1548</v>
      </c>
      <c r="N452" t="s">
        <v>1548</v>
      </c>
      <c r="O452" t="s">
        <v>1548</v>
      </c>
      <c r="P452" s="36" t="s">
        <v>6448</v>
      </c>
    </row>
    <row r="453" spans="1:16" ht="409.5" x14ac:dyDescent="0.25">
      <c r="A453" t="s">
        <v>6977</v>
      </c>
      <c r="B453" t="s">
        <v>6965</v>
      </c>
      <c r="C453" t="s">
        <v>6446</v>
      </c>
      <c r="D453" t="s">
        <v>1027</v>
      </c>
      <c r="E453">
        <v>1402</v>
      </c>
      <c r="F453" t="s">
        <v>6447</v>
      </c>
      <c r="G453" t="b">
        <v>0</v>
      </c>
      <c r="H453" t="b">
        <v>0</v>
      </c>
      <c r="I453" t="s">
        <v>1051</v>
      </c>
      <c r="J453">
        <v>78</v>
      </c>
      <c r="K453" t="s">
        <v>0</v>
      </c>
      <c r="L453" t="s">
        <v>3000</v>
      </c>
      <c r="M453" t="s">
        <v>1548</v>
      </c>
      <c r="N453" t="s">
        <v>1548</v>
      </c>
      <c r="O453" t="s">
        <v>1548</v>
      </c>
      <c r="P453" s="36" t="s">
        <v>6448</v>
      </c>
    </row>
    <row r="454" spans="1:16" ht="409.5" x14ac:dyDescent="0.25">
      <c r="A454" t="s">
        <v>6978</v>
      </c>
      <c r="B454" t="s">
        <v>6965</v>
      </c>
      <c r="C454" t="s">
        <v>6446</v>
      </c>
      <c r="D454" t="s">
        <v>1027</v>
      </c>
      <c r="E454">
        <v>1402</v>
      </c>
      <c r="F454" t="s">
        <v>6447</v>
      </c>
      <c r="G454" t="b">
        <v>0</v>
      </c>
      <c r="H454" t="b">
        <v>0</v>
      </c>
      <c r="I454" t="s">
        <v>1051</v>
      </c>
      <c r="J454">
        <v>78</v>
      </c>
      <c r="K454" t="s">
        <v>0</v>
      </c>
      <c r="L454" t="s">
        <v>3000</v>
      </c>
      <c r="M454" t="s">
        <v>1548</v>
      </c>
      <c r="N454" t="s">
        <v>1548</v>
      </c>
      <c r="O454" t="s">
        <v>1548</v>
      </c>
      <c r="P454" s="36" t="s">
        <v>6448</v>
      </c>
    </row>
    <row r="455" spans="1:16" ht="409.5" x14ac:dyDescent="0.25">
      <c r="A455" t="s">
        <v>6979</v>
      </c>
      <c r="B455" t="s">
        <v>6980</v>
      </c>
      <c r="C455" t="s">
        <v>6446</v>
      </c>
      <c r="D455" t="s">
        <v>1027</v>
      </c>
      <c r="E455">
        <v>1402</v>
      </c>
      <c r="F455" t="s">
        <v>6447</v>
      </c>
      <c r="G455" t="b">
        <v>0</v>
      </c>
      <c r="H455" t="b">
        <v>0</v>
      </c>
      <c r="I455" t="s">
        <v>1051</v>
      </c>
      <c r="J455">
        <v>78</v>
      </c>
      <c r="K455" t="s">
        <v>0</v>
      </c>
      <c r="L455" t="s">
        <v>3000</v>
      </c>
      <c r="M455" t="s">
        <v>1548</v>
      </c>
      <c r="N455" t="s">
        <v>1548</v>
      </c>
      <c r="O455" t="s">
        <v>1548</v>
      </c>
      <c r="P455" s="36" t="s">
        <v>6448</v>
      </c>
    </row>
    <row r="456" spans="1:16" ht="409.5" x14ac:dyDescent="0.25">
      <c r="A456" t="s">
        <v>6981</v>
      </c>
      <c r="B456" t="s">
        <v>6980</v>
      </c>
      <c r="C456" t="s">
        <v>6446</v>
      </c>
      <c r="D456" t="s">
        <v>1027</v>
      </c>
      <c r="E456">
        <v>1402</v>
      </c>
      <c r="F456" t="s">
        <v>6447</v>
      </c>
      <c r="G456" t="b">
        <v>0</v>
      </c>
      <c r="H456" t="b">
        <v>0</v>
      </c>
      <c r="I456" t="s">
        <v>1051</v>
      </c>
      <c r="J456">
        <v>78</v>
      </c>
      <c r="K456" t="s">
        <v>0</v>
      </c>
      <c r="L456" t="s">
        <v>3000</v>
      </c>
      <c r="M456" t="s">
        <v>1548</v>
      </c>
      <c r="N456" t="s">
        <v>1548</v>
      </c>
      <c r="O456" t="s">
        <v>1548</v>
      </c>
      <c r="P456" s="36" t="s">
        <v>6448</v>
      </c>
    </row>
    <row r="457" spans="1:16" ht="409.5" x14ac:dyDescent="0.25">
      <c r="A457" t="s">
        <v>6982</v>
      </c>
      <c r="B457" t="s">
        <v>6980</v>
      </c>
      <c r="C457" t="s">
        <v>6446</v>
      </c>
      <c r="D457" t="s">
        <v>1027</v>
      </c>
      <c r="E457">
        <v>1402</v>
      </c>
      <c r="F457" t="s">
        <v>6447</v>
      </c>
      <c r="G457" t="b">
        <v>0</v>
      </c>
      <c r="H457" t="b">
        <v>0</v>
      </c>
      <c r="I457" t="s">
        <v>1051</v>
      </c>
      <c r="J457">
        <v>78</v>
      </c>
      <c r="K457" t="s">
        <v>0</v>
      </c>
      <c r="L457" t="s">
        <v>3000</v>
      </c>
      <c r="M457" t="s">
        <v>1548</v>
      </c>
      <c r="N457" t="s">
        <v>1548</v>
      </c>
      <c r="O457" t="s">
        <v>1548</v>
      </c>
      <c r="P457" s="36" t="s">
        <v>6448</v>
      </c>
    </row>
    <row r="458" spans="1:16" ht="409.5" x14ac:dyDescent="0.25">
      <c r="A458" t="s">
        <v>6983</v>
      </c>
      <c r="B458" t="s">
        <v>6980</v>
      </c>
      <c r="C458" t="s">
        <v>6446</v>
      </c>
      <c r="D458" t="s">
        <v>1027</v>
      </c>
      <c r="E458">
        <v>1402</v>
      </c>
      <c r="F458" t="s">
        <v>6447</v>
      </c>
      <c r="G458" t="b">
        <v>0</v>
      </c>
      <c r="H458" t="b">
        <v>0</v>
      </c>
      <c r="I458" t="s">
        <v>1051</v>
      </c>
      <c r="J458">
        <v>78</v>
      </c>
      <c r="K458" t="s">
        <v>0</v>
      </c>
      <c r="L458" t="s">
        <v>3000</v>
      </c>
      <c r="M458" t="s">
        <v>1548</v>
      </c>
      <c r="N458" t="s">
        <v>1548</v>
      </c>
      <c r="O458" t="s">
        <v>1548</v>
      </c>
      <c r="P458" s="36" t="s">
        <v>6448</v>
      </c>
    </row>
    <row r="459" spans="1:16" ht="409.5" x14ac:dyDescent="0.25">
      <c r="A459" t="s">
        <v>6984</v>
      </c>
      <c r="B459" t="s">
        <v>6980</v>
      </c>
      <c r="C459" t="s">
        <v>6446</v>
      </c>
      <c r="D459" t="s">
        <v>1027</v>
      </c>
      <c r="E459">
        <v>1402</v>
      </c>
      <c r="F459" t="s">
        <v>6447</v>
      </c>
      <c r="G459" t="b">
        <v>0</v>
      </c>
      <c r="H459" t="b">
        <v>0</v>
      </c>
      <c r="I459" t="s">
        <v>1051</v>
      </c>
      <c r="J459">
        <v>78</v>
      </c>
      <c r="K459" t="s">
        <v>0</v>
      </c>
      <c r="L459" t="s">
        <v>3000</v>
      </c>
      <c r="M459" t="s">
        <v>1548</v>
      </c>
      <c r="N459" t="s">
        <v>1548</v>
      </c>
      <c r="O459" t="s">
        <v>1548</v>
      </c>
      <c r="P459" s="36" t="s">
        <v>6448</v>
      </c>
    </row>
    <row r="460" spans="1:16" ht="409.5" x14ac:dyDescent="0.25">
      <c r="A460" t="s">
        <v>6985</v>
      </c>
      <c r="B460" t="s">
        <v>6980</v>
      </c>
      <c r="C460" t="s">
        <v>6446</v>
      </c>
      <c r="D460" t="s">
        <v>1027</v>
      </c>
      <c r="E460">
        <v>1402</v>
      </c>
      <c r="F460" t="s">
        <v>6447</v>
      </c>
      <c r="G460" t="b">
        <v>0</v>
      </c>
      <c r="H460" t="b">
        <v>0</v>
      </c>
      <c r="I460" t="s">
        <v>1051</v>
      </c>
      <c r="J460">
        <v>78</v>
      </c>
      <c r="K460" t="s">
        <v>0</v>
      </c>
      <c r="L460" t="s">
        <v>3000</v>
      </c>
      <c r="M460" t="s">
        <v>1548</v>
      </c>
      <c r="N460" t="s">
        <v>1548</v>
      </c>
      <c r="O460" t="s">
        <v>1548</v>
      </c>
      <c r="P460" s="36" t="s">
        <v>6448</v>
      </c>
    </row>
    <row r="461" spans="1:16" ht="409.5" x14ac:dyDescent="0.25">
      <c r="A461" t="s">
        <v>6986</v>
      </c>
      <c r="B461" t="s">
        <v>6980</v>
      </c>
      <c r="C461" t="s">
        <v>6446</v>
      </c>
      <c r="D461" t="s">
        <v>1027</v>
      </c>
      <c r="E461">
        <v>1402</v>
      </c>
      <c r="F461" t="s">
        <v>6447</v>
      </c>
      <c r="G461" t="b">
        <v>0</v>
      </c>
      <c r="H461" t="b">
        <v>0</v>
      </c>
      <c r="I461" t="s">
        <v>1051</v>
      </c>
      <c r="J461">
        <v>78</v>
      </c>
      <c r="K461" t="s">
        <v>0</v>
      </c>
      <c r="L461" t="s">
        <v>3000</v>
      </c>
      <c r="M461" t="s">
        <v>1548</v>
      </c>
      <c r="N461" t="s">
        <v>1548</v>
      </c>
      <c r="O461" t="s">
        <v>1548</v>
      </c>
      <c r="P461" s="36" t="s">
        <v>6448</v>
      </c>
    </row>
    <row r="462" spans="1:16" ht="409.5" x14ac:dyDescent="0.25">
      <c r="A462" t="s">
        <v>6987</v>
      </c>
      <c r="B462" t="s">
        <v>6980</v>
      </c>
      <c r="C462" t="s">
        <v>6446</v>
      </c>
      <c r="D462" t="s">
        <v>1027</v>
      </c>
      <c r="E462">
        <v>1402</v>
      </c>
      <c r="F462" t="s">
        <v>6447</v>
      </c>
      <c r="G462" t="b">
        <v>0</v>
      </c>
      <c r="H462" t="b">
        <v>0</v>
      </c>
      <c r="I462" t="s">
        <v>1051</v>
      </c>
      <c r="J462">
        <v>78</v>
      </c>
      <c r="K462" t="s">
        <v>0</v>
      </c>
      <c r="L462" t="s">
        <v>3000</v>
      </c>
      <c r="M462" t="s">
        <v>1548</v>
      </c>
      <c r="N462" t="s">
        <v>1548</v>
      </c>
      <c r="O462" t="s">
        <v>1548</v>
      </c>
      <c r="P462" s="36" t="s">
        <v>6448</v>
      </c>
    </row>
    <row r="463" spans="1:16" ht="409.5" x14ac:dyDescent="0.25">
      <c r="A463" t="s">
        <v>6988</v>
      </c>
      <c r="B463" t="s">
        <v>6980</v>
      </c>
      <c r="C463" t="s">
        <v>6446</v>
      </c>
      <c r="D463" t="s">
        <v>1027</v>
      </c>
      <c r="E463">
        <v>1402</v>
      </c>
      <c r="F463" t="s">
        <v>6447</v>
      </c>
      <c r="G463" t="b">
        <v>0</v>
      </c>
      <c r="H463" t="b">
        <v>0</v>
      </c>
      <c r="I463" t="s">
        <v>1051</v>
      </c>
      <c r="J463">
        <v>78</v>
      </c>
      <c r="K463" t="s">
        <v>0</v>
      </c>
      <c r="L463" t="s">
        <v>3000</v>
      </c>
      <c r="M463" t="s">
        <v>1548</v>
      </c>
      <c r="N463" t="s">
        <v>1548</v>
      </c>
      <c r="O463" t="s">
        <v>1548</v>
      </c>
      <c r="P463" s="36" t="s">
        <v>6448</v>
      </c>
    </row>
    <row r="464" spans="1:16" ht="409.5" x14ac:dyDescent="0.25">
      <c r="A464" t="s">
        <v>6989</v>
      </c>
      <c r="B464" t="s">
        <v>6980</v>
      </c>
      <c r="C464" t="s">
        <v>6446</v>
      </c>
      <c r="D464" t="s">
        <v>1027</v>
      </c>
      <c r="E464">
        <v>1402</v>
      </c>
      <c r="F464" t="s">
        <v>6447</v>
      </c>
      <c r="G464" t="b">
        <v>0</v>
      </c>
      <c r="H464" t="b">
        <v>0</v>
      </c>
      <c r="I464" t="s">
        <v>1051</v>
      </c>
      <c r="J464">
        <v>78</v>
      </c>
      <c r="K464" t="s">
        <v>0</v>
      </c>
      <c r="L464" t="s">
        <v>3000</v>
      </c>
      <c r="M464" t="s">
        <v>1548</v>
      </c>
      <c r="N464" t="s">
        <v>1548</v>
      </c>
      <c r="O464" t="s">
        <v>1548</v>
      </c>
      <c r="P464" s="36" t="s">
        <v>6448</v>
      </c>
    </row>
    <row r="465" spans="1:16" ht="409.5" x14ac:dyDescent="0.25">
      <c r="A465" t="s">
        <v>6990</v>
      </c>
      <c r="B465" t="s">
        <v>6980</v>
      </c>
      <c r="C465" t="s">
        <v>6446</v>
      </c>
      <c r="D465" t="s">
        <v>1027</v>
      </c>
      <c r="E465">
        <v>1402</v>
      </c>
      <c r="F465" t="s">
        <v>6447</v>
      </c>
      <c r="G465" t="b">
        <v>0</v>
      </c>
      <c r="H465" t="b">
        <v>0</v>
      </c>
      <c r="I465" t="s">
        <v>1051</v>
      </c>
      <c r="J465">
        <v>78</v>
      </c>
      <c r="K465" t="s">
        <v>0</v>
      </c>
      <c r="L465" t="s">
        <v>3000</v>
      </c>
      <c r="M465" t="s">
        <v>1548</v>
      </c>
      <c r="N465" t="s">
        <v>1548</v>
      </c>
      <c r="O465" t="s">
        <v>1548</v>
      </c>
      <c r="P465" s="36" t="s">
        <v>6448</v>
      </c>
    </row>
    <row r="466" spans="1:16" ht="409.5" x14ac:dyDescent="0.25">
      <c r="A466" t="s">
        <v>6991</v>
      </c>
      <c r="B466" t="s">
        <v>6992</v>
      </c>
      <c r="C466" t="s">
        <v>6446</v>
      </c>
      <c r="D466" t="s">
        <v>1027</v>
      </c>
      <c r="E466">
        <v>1402</v>
      </c>
      <c r="F466" t="s">
        <v>6447</v>
      </c>
      <c r="G466" t="b">
        <v>0</v>
      </c>
      <c r="H466" t="b">
        <v>0</v>
      </c>
      <c r="I466" t="s">
        <v>1051</v>
      </c>
      <c r="J466">
        <v>78</v>
      </c>
      <c r="K466" t="s">
        <v>0</v>
      </c>
      <c r="L466" t="s">
        <v>3000</v>
      </c>
      <c r="M466" t="s">
        <v>1548</v>
      </c>
      <c r="N466" t="s">
        <v>1548</v>
      </c>
      <c r="O466" t="s">
        <v>1548</v>
      </c>
      <c r="P466" s="36" t="s">
        <v>6448</v>
      </c>
    </row>
    <row r="467" spans="1:16" ht="409.5" x14ac:dyDescent="0.25">
      <c r="A467" t="s">
        <v>6993</v>
      </c>
      <c r="B467" t="s">
        <v>6992</v>
      </c>
      <c r="C467" t="s">
        <v>6446</v>
      </c>
      <c r="D467" t="s">
        <v>1027</v>
      </c>
      <c r="E467">
        <v>1402</v>
      </c>
      <c r="F467" t="s">
        <v>6447</v>
      </c>
      <c r="G467" t="b">
        <v>0</v>
      </c>
      <c r="H467" t="b">
        <v>0</v>
      </c>
      <c r="I467" t="s">
        <v>1051</v>
      </c>
      <c r="J467">
        <v>78</v>
      </c>
      <c r="K467" t="s">
        <v>0</v>
      </c>
      <c r="L467" t="s">
        <v>3000</v>
      </c>
      <c r="M467" t="s">
        <v>1548</v>
      </c>
      <c r="N467" t="s">
        <v>1548</v>
      </c>
      <c r="O467" t="s">
        <v>1548</v>
      </c>
      <c r="P467" s="36" t="s">
        <v>6448</v>
      </c>
    </row>
    <row r="468" spans="1:16" ht="409.5" x14ac:dyDescent="0.25">
      <c r="A468" t="s">
        <v>6994</v>
      </c>
      <c r="B468" t="s">
        <v>6992</v>
      </c>
      <c r="C468" t="s">
        <v>6446</v>
      </c>
      <c r="D468" t="s">
        <v>1027</v>
      </c>
      <c r="E468">
        <v>1402</v>
      </c>
      <c r="F468" t="s">
        <v>6447</v>
      </c>
      <c r="G468" t="b">
        <v>0</v>
      </c>
      <c r="H468" t="b">
        <v>0</v>
      </c>
      <c r="I468" t="s">
        <v>1051</v>
      </c>
      <c r="J468">
        <v>78</v>
      </c>
      <c r="K468" t="s">
        <v>0</v>
      </c>
      <c r="L468" t="s">
        <v>3000</v>
      </c>
      <c r="M468" t="s">
        <v>1548</v>
      </c>
      <c r="N468" t="s">
        <v>1548</v>
      </c>
      <c r="O468" t="s">
        <v>1548</v>
      </c>
      <c r="P468" s="36" t="s">
        <v>6448</v>
      </c>
    </row>
    <row r="469" spans="1:16" ht="409.5" x14ac:dyDescent="0.25">
      <c r="A469" t="s">
        <v>6995</v>
      </c>
      <c r="B469" t="s">
        <v>6992</v>
      </c>
      <c r="C469" t="s">
        <v>6446</v>
      </c>
      <c r="D469" t="s">
        <v>1027</v>
      </c>
      <c r="E469">
        <v>1402</v>
      </c>
      <c r="F469" t="s">
        <v>6447</v>
      </c>
      <c r="G469" t="b">
        <v>0</v>
      </c>
      <c r="H469" t="b">
        <v>0</v>
      </c>
      <c r="I469" t="s">
        <v>1051</v>
      </c>
      <c r="J469">
        <v>78</v>
      </c>
      <c r="K469" t="s">
        <v>0</v>
      </c>
      <c r="L469" t="s">
        <v>3000</v>
      </c>
      <c r="M469" t="s">
        <v>1548</v>
      </c>
      <c r="N469" t="s">
        <v>1548</v>
      </c>
      <c r="O469" t="s">
        <v>1548</v>
      </c>
      <c r="P469" s="36" t="s">
        <v>6448</v>
      </c>
    </row>
    <row r="470" spans="1:16" ht="409.5" x14ac:dyDescent="0.25">
      <c r="A470" t="s">
        <v>6996</v>
      </c>
      <c r="B470" t="s">
        <v>6992</v>
      </c>
      <c r="C470" t="s">
        <v>6446</v>
      </c>
      <c r="D470" t="s">
        <v>1027</v>
      </c>
      <c r="E470">
        <v>1402</v>
      </c>
      <c r="F470" t="s">
        <v>6447</v>
      </c>
      <c r="G470" t="b">
        <v>0</v>
      </c>
      <c r="H470" t="b">
        <v>0</v>
      </c>
      <c r="I470" t="s">
        <v>1051</v>
      </c>
      <c r="J470">
        <v>78</v>
      </c>
      <c r="K470" t="s">
        <v>0</v>
      </c>
      <c r="L470" t="s">
        <v>3000</v>
      </c>
      <c r="M470" t="s">
        <v>1548</v>
      </c>
      <c r="N470" t="s">
        <v>1548</v>
      </c>
      <c r="O470" t="s">
        <v>1548</v>
      </c>
      <c r="P470" s="36" t="s">
        <v>6448</v>
      </c>
    </row>
    <row r="471" spans="1:16" ht="409.5" x14ac:dyDescent="0.25">
      <c r="A471" t="s">
        <v>6997</v>
      </c>
      <c r="B471" t="s">
        <v>6992</v>
      </c>
      <c r="C471" t="s">
        <v>6446</v>
      </c>
      <c r="D471" t="s">
        <v>1027</v>
      </c>
      <c r="E471">
        <v>1402</v>
      </c>
      <c r="F471" t="s">
        <v>6447</v>
      </c>
      <c r="G471" t="b">
        <v>0</v>
      </c>
      <c r="H471" t="b">
        <v>0</v>
      </c>
      <c r="I471" t="s">
        <v>1051</v>
      </c>
      <c r="J471">
        <v>78</v>
      </c>
      <c r="K471" t="s">
        <v>0</v>
      </c>
      <c r="L471" t="s">
        <v>3000</v>
      </c>
      <c r="M471" t="s">
        <v>1548</v>
      </c>
      <c r="N471" t="s">
        <v>1548</v>
      </c>
      <c r="O471" t="s">
        <v>1548</v>
      </c>
      <c r="P471" s="36" t="s">
        <v>6448</v>
      </c>
    </row>
    <row r="472" spans="1:16" x14ac:dyDescent="0.25">
      <c r="A472" t="s">
        <v>6998</v>
      </c>
      <c r="B472" t="s">
        <v>6999</v>
      </c>
      <c r="C472" t="s">
        <v>1335</v>
      </c>
      <c r="D472" t="s">
        <v>1027</v>
      </c>
      <c r="E472">
        <v>1459</v>
      </c>
      <c r="F472" t="s">
        <v>1336</v>
      </c>
      <c r="G472" t="b">
        <v>0</v>
      </c>
      <c r="H472" t="b">
        <v>0</v>
      </c>
      <c r="I472" t="s">
        <v>1051</v>
      </c>
      <c r="J472">
        <v>57</v>
      </c>
      <c r="K472" t="s">
        <v>2</v>
      </c>
      <c r="L472" t="s">
        <v>1549</v>
      </c>
      <c r="M472" t="s">
        <v>3922</v>
      </c>
      <c r="N472" t="s">
        <v>3922</v>
      </c>
      <c r="O472" t="s">
        <v>3922</v>
      </c>
      <c r="P472" t="s">
        <v>1682</v>
      </c>
    </row>
    <row r="473" spans="1:16" x14ac:dyDescent="0.25">
      <c r="A473" t="s">
        <v>7000</v>
      </c>
      <c r="B473" t="s">
        <v>6999</v>
      </c>
      <c r="C473" t="s">
        <v>1335</v>
      </c>
      <c r="D473" t="s">
        <v>1027</v>
      </c>
      <c r="E473">
        <v>1459</v>
      </c>
      <c r="F473" t="s">
        <v>1336</v>
      </c>
      <c r="G473" t="b">
        <v>0</v>
      </c>
      <c r="H473" t="b">
        <v>0</v>
      </c>
      <c r="I473" t="s">
        <v>1051</v>
      </c>
      <c r="J473">
        <v>57</v>
      </c>
      <c r="K473" t="s">
        <v>2</v>
      </c>
      <c r="L473" t="s">
        <v>1549</v>
      </c>
      <c r="M473" t="s">
        <v>3922</v>
      </c>
      <c r="N473" t="s">
        <v>3922</v>
      </c>
      <c r="O473" t="s">
        <v>3922</v>
      </c>
      <c r="P473" t="s">
        <v>1682</v>
      </c>
    </row>
    <row r="474" spans="1:16" x14ac:dyDescent="0.25">
      <c r="A474" t="s">
        <v>7001</v>
      </c>
      <c r="B474" t="s">
        <v>7002</v>
      </c>
      <c r="C474" t="s">
        <v>1335</v>
      </c>
      <c r="D474" t="s">
        <v>1027</v>
      </c>
      <c r="E474">
        <v>1459</v>
      </c>
      <c r="F474" t="s">
        <v>1336</v>
      </c>
      <c r="G474" t="b">
        <v>0</v>
      </c>
      <c r="H474" t="b">
        <v>0</v>
      </c>
      <c r="I474" t="s">
        <v>1051</v>
      </c>
      <c r="J474">
        <v>28</v>
      </c>
      <c r="K474" t="s">
        <v>2</v>
      </c>
      <c r="L474" t="s">
        <v>1549</v>
      </c>
      <c r="M474" t="s">
        <v>3922</v>
      </c>
      <c r="N474" t="s">
        <v>3922</v>
      </c>
      <c r="O474" t="s">
        <v>3922</v>
      </c>
      <c r="P474" t="s">
        <v>1682</v>
      </c>
    </row>
    <row r="475" spans="1:16" x14ac:dyDescent="0.25">
      <c r="A475" t="s">
        <v>7003</v>
      </c>
      <c r="B475" t="s">
        <v>7002</v>
      </c>
      <c r="C475" t="s">
        <v>1335</v>
      </c>
      <c r="D475" t="s">
        <v>1027</v>
      </c>
      <c r="E475">
        <v>1459</v>
      </c>
      <c r="F475" t="s">
        <v>1336</v>
      </c>
      <c r="G475" t="b">
        <v>0</v>
      </c>
      <c r="H475" t="b">
        <v>0</v>
      </c>
      <c r="I475" t="s">
        <v>1051</v>
      </c>
      <c r="J475">
        <v>28</v>
      </c>
      <c r="K475" t="s">
        <v>2</v>
      </c>
      <c r="L475" t="s">
        <v>1549</v>
      </c>
      <c r="M475" t="s">
        <v>3922</v>
      </c>
      <c r="N475" t="s">
        <v>3922</v>
      </c>
      <c r="O475" t="s">
        <v>3922</v>
      </c>
      <c r="P475" t="s">
        <v>1682</v>
      </c>
    </row>
    <row r="476" spans="1:16" x14ac:dyDescent="0.25">
      <c r="A476" t="s">
        <v>7004</v>
      </c>
      <c r="B476" t="s">
        <v>7002</v>
      </c>
      <c r="C476" t="s">
        <v>1335</v>
      </c>
      <c r="D476" t="s">
        <v>1027</v>
      </c>
      <c r="E476">
        <v>1459</v>
      </c>
      <c r="F476" t="s">
        <v>1336</v>
      </c>
      <c r="G476" t="b">
        <v>0</v>
      </c>
      <c r="H476" t="b">
        <v>0</v>
      </c>
      <c r="I476" t="s">
        <v>1051</v>
      </c>
      <c r="J476">
        <v>28</v>
      </c>
      <c r="K476" t="s">
        <v>2</v>
      </c>
      <c r="L476" t="s">
        <v>1549</v>
      </c>
      <c r="M476" t="s">
        <v>3922</v>
      </c>
      <c r="N476" t="s">
        <v>3922</v>
      </c>
      <c r="O476" t="s">
        <v>3922</v>
      </c>
      <c r="P476" t="s">
        <v>1682</v>
      </c>
    </row>
    <row r="477" spans="1:16" x14ac:dyDescent="0.25">
      <c r="A477" t="s">
        <v>7005</v>
      </c>
      <c r="B477" t="s">
        <v>7002</v>
      </c>
      <c r="C477" t="s">
        <v>1335</v>
      </c>
      <c r="D477" t="s">
        <v>1027</v>
      </c>
      <c r="E477">
        <v>1459</v>
      </c>
      <c r="F477" t="s">
        <v>1336</v>
      </c>
      <c r="G477" t="b">
        <v>0</v>
      </c>
      <c r="H477" t="b">
        <v>0</v>
      </c>
      <c r="I477" t="s">
        <v>1051</v>
      </c>
      <c r="J477">
        <v>28</v>
      </c>
      <c r="K477" t="s">
        <v>2</v>
      </c>
      <c r="L477" t="s">
        <v>1549</v>
      </c>
      <c r="M477" t="s">
        <v>3922</v>
      </c>
      <c r="N477" t="s">
        <v>3922</v>
      </c>
      <c r="O477" t="s">
        <v>3922</v>
      </c>
      <c r="P477" t="s">
        <v>1682</v>
      </c>
    </row>
    <row r="478" spans="1:16" x14ac:dyDescent="0.25">
      <c r="A478" t="s">
        <v>7006</v>
      </c>
      <c r="B478" t="s">
        <v>7002</v>
      </c>
      <c r="C478" t="s">
        <v>1335</v>
      </c>
      <c r="D478" t="s">
        <v>1027</v>
      </c>
      <c r="E478">
        <v>1459</v>
      </c>
      <c r="F478" t="s">
        <v>1336</v>
      </c>
      <c r="G478" t="b">
        <v>0</v>
      </c>
      <c r="H478" t="b">
        <v>0</v>
      </c>
      <c r="I478" t="s">
        <v>1051</v>
      </c>
      <c r="J478">
        <v>28</v>
      </c>
      <c r="K478" t="s">
        <v>2</v>
      </c>
      <c r="L478" t="s">
        <v>1549</v>
      </c>
      <c r="M478" t="s">
        <v>3922</v>
      </c>
      <c r="N478" t="s">
        <v>3922</v>
      </c>
      <c r="O478" t="s">
        <v>3922</v>
      </c>
      <c r="P478" t="s">
        <v>1682</v>
      </c>
    </row>
    <row r="479" spans="1:16" x14ac:dyDescent="0.25">
      <c r="A479" t="s">
        <v>7007</v>
      </c>
      <c r="B479" t="s">
        <v>7002</v>
      </c>
      <c r="C479" t="s">
        <v>1335</v>
      </c>
      <c r="D479" t="s">
        <v>1027</v>
      </c>
      <c r="E479">
        <v>1459</v>
      </c>
      <c r="F479" t="s">
        <v>1336</v>
      </c>
      <c r="G479" t="b">
        <v>0</v>
      </c>
      <c r="H479" t="b">
        <v>0</v>
      </c>
      <c r="I479" t="s">
        <v>1051</v>
      </c>
      <c r="J479">
        <v>28</v>
      </c>
      <c r="K479" t="s">
        <v>2</v>
      </c>
      <c r="L479" t="s">
        <v>1549</v>
      </c>
      <c r="M479" t="s">
        <v>3922</v>
      </c>
      <c r="N479" t="s">
        <v>3922</v>
      </c>
      <c r="O479" t="s">
        <v>3922</v>
      </c>
      <c r="P479" t="s">
        <v>1682</v>
      </c>
    </row>
    <row r="480" spans="1:16" x14ac:dyDescent="0.25">
      <c r="A480" t="s">
        <v>7008</v>
      </c>
      <c r="B480" t="s">
        <v>7002</v>
      </c>
      <c r="C480" t="s">
        <v>1335</v>
      </c>
      <c r="D480" t="s">
        <v>1027</v>
      </c>
      <c r="E480">
        <v>1459</v>
      </c>
      <c r="F480" t="s">
        <v>1336</v>
      </c>
      <c r="G480" t="b">
        <v>0</v>
      </c>
      <c r="H480" t="b">
        <v>0</v>
      </c>
      <c r="I480" t="s">
        <v>1051</v>
      </c>
      <c r="J480">
        <v>28</v>
      </c>
      <c r="K480" t="s">
        <v>2</v>
      </c>
      <c r="L480" t="s">
        <v>1549</v>
      </c>
      <c r="M480" t="s">
        <v>3922</v>
      </c>
      <c r="N480" t="s">
        <v>3922</v>
      </c>
      <c r="O480" t="s">
        <v>3922</v>
      </c>
      <c r="P480" t="s">
        <v>1682</v>
      </c>
    </row>
    <row r="481" spans="1:16" x14ac:dyDescent="0.25">
      <c r="A481" t="s">
        <v>7009</v>
      </c>
      <c r="B481" t="s">
        <v>7002</v>
      </c>
      <c r="C481" t="s">
        <v>1335</v>
      </c>
      <c r="D481" t="s">
        <v>1027</v>
      </c>
      <c r="E481">
        <v>1459</v>
      </c>
      <c r="F481" t="s">
        <v>1336</v>
      </c>
      <c r="G481" t="b">
        <v>0</v>
      </c>
      <c r="H481" t="b">
        <v>0</v>
      </c>
      <c r="I481" t="s">
        <v>1051</v>
      </c>
      <c r="J481">
        <v>28</v>
      </c>
      <c r="K481" t="s">
        <v>2</v>
      </c>
      <c r="L481" t="s">
        <v>1549</v>
      </c>
      <c r="M481" t="s">
        <v>3922</v>
      </c>
      <c r="N481" t="s">
        <v>3922</v>
      </c>
      <c r="O481" t="s">
        <v>3922</v>
      </c>
      <c r="P481" t="s">
        <v>1682</v>
      </c>
    </row>
    <row r="482" spans="1:16" x14ac:dyDescent="0.25">
      <c r="A482" t="s">
        <v>7010</v>
      </c>
      <c r="B482" t="s">
        <v>7002</v>
      </c>
      <c r="C482" t="s">
        <v>1335</v>
      </c>
      <c r="D482" t="s">
        <v>1027</v>
      </c>
      <c r="E482">
        <v>1459</v>
      </c>
      <c r="F482" t="s">
        <v>1336</v>
      </c>
      <c r="G482" t="b">
        <v>0</v>
      </c>
      <c r="H482" t="b">
        <v>0</v>
      </c>
      <c r="I482" t="s">
        <v>1051</v>
      </c>
      <c r="J482">
        <v>28</v>
      </c>
      <c r="K482" t="s">
        <v>2</v>
      </c>
      <c r="L482" t="s">
        <v>1549</v>
      </c>
      <c r="M482" t="s">
        <v>3922</v>
      </c>
      <c r="N482" t="s">
        <v>3922</v>
      </c>
      <c r="O482" t="s">
        <v>3922</v>
      </c>
      <c r="P482" t="s">
        <v>1682</v>
      </c>
    </row>
    <row r="483" spans="1:16" x14ac:dyDescent="0.25">
      <c r="A483" t="s">
        <v>7011</v>
      </c>
      <c r="B483" t="s">
        <v>7002</v>
      </c>
      <c r="C483" t="s">
        <v>1335</v>
      </c>
      <c r="D483" t="s">
        <v>1027</v>
      </c>
      <c r="E483">
        <v>1459</v>
      </c>
      <c r="F483" t="s">
        <v>1336</v>
      </c>
      <c r="G483" t="b">
        <v>0</v>
      </c>
      <c r="H483" t="b">
        <v>0</v>
      </c>
      <c r="I483" t="s">
        <v>1051</v>
      </c>
      <c r="J483">
        <v>28</v>
      </c>
      <c r="K483" t="s">
        <v>2</v>
      </c>
      <c r="L483" t="s">
        <v>1549</v>
      </c>
      <c r="M483" t="s">
        <v>3922</v>
      </c>
      <c r="N483" t="s">
        <v>3922</v>
      </c>
      <c r="O483" t="s">
        <v>3922</v>
      </c>
      <c r="P483" t="s">
        <v>1682</v>
      </c>
    </row>
    <row r="484" spans="1:16" x14ac:dyDescent="0.25">
      <c r="A484" t="s">
        <v>7012</v>
      </c>
      <c r="B484" t="s">
        <v>7002</v>
      </c>
      <c r="C484" t="s">
        <v>1335</v>
      </c>
      <c r="D484" t="s">
        <v>1027</v>
      </c>
      <c r="E484">
        <v>1459</v>
      </c>
      <c r="F484" t="s">
        <v>1336</v>
      </c>
      <c r="G484" t="b">
        <v>0</v>
      </c>
      <c r="H484" t="b">
        <v>0</v>
      </c>
      <c r="I484" t="s">
        <v>1051</v>
      </c>
      <c r="J484">
        <v>28</v>
      </c>
      <c r="K484" t="s">
        <v>2</v>
      </c>
      <c r="L484" t="s">
        <v>1549</v>
      </c>
      <c r="M484" t="s">
        <v>3922</v>
      </c>
      <c r="N484" t="s">
        <v>3922</v>
      </c>
      <c r="O484" t="s">
        <v>3922</v>
      </c>
      <c r="P484" t="s">
        <v>1682</v>
      </c>
    </row>
    <row r="485" spans="1:16" x14ac:dyDescent="0.25">
      <c r="A485" t="s">
        <v>7013</v>
      </c>
      <c r="B485" t="s">
        <v>7002</v>
      </c>
      <c r="C485" t="s">
        <v>1335</v>
      </c>
      <c r="D485" t="s">
        <v>1027</v>
      </c>
      <c r="E485">
        <v>1459</v>
      </c>
      <c r="F485" t="s">
        <v>1336</v>
      </c>
      <c r="G485" t="b">
        <v>0</v>
      </c>
      <c r="H485" t="b">
        <v>0</v>
      </c>
      <c r="I485" t="s">
        <v>1051</v>
      </c>
      <c r="J485">
        <v>28</v>
      </c>
      <c r="K485" t="s">
        <v>2</v>
      </c>
      <c r="L485" t="s">
        <v>1549</v>
      </c>
      <c r="M485" t="s">
        <v>3922</v>
      </c>
      <c r="N485" t="s">
        <v>3922</v>
      </c>
      <c r="O485" t="s">
        <v>3922</v>
      </c>
      <c r="P485" t="s">
        <v>1682</v>
      </c>
    </row>
    <row r="486" spans="1:16" x14ac:dyDescent="0.25">
      <c r="A486" t="s">
        <v>7014</v>
      </c>
      <c r="B486" t="s">
        <v>7002</v>
      </c>
      <c r="C486" t="s">
        <v>1335</v>
      </c>
      <c r="D486" t="s">
        <v>1027</v>
      </c>
      <c r="E486">
        <v>1459</v>
      </c>
      <c r="F486" t="s">
        <v>1336</v>
      </c>
      <c r="G486" t="b">
        <v>0</v>
      </c>
      <c r="H486" t="b">
        <v>0</v>
      </c>
      <c r="I486" t="s">
        <v>1051</v>
      </c>
      <c r="J486">
        <v>28</v>
      </c>
      <c r="K486" t="s">
        <v>2</v>
      </c>
      <c r="L486" t="s">
        <v>1549</v>
      </c>
      <c r="M486" t="s">
        <v>3922</v>
      </c>
      <c r="N486" t="s">
        <v>3922</v>
      </c>
      <c r="O486" t="s">
        <v>3922</v>
      </c>
      <c r="P486" t="s">
        <v>1682</v>
      </c>
    </row>
    <row r="487" spans="1:16" x14ac:dyDescent="0.25">
      <c r="A487" t="s">
        <v>7015</v>
      </c>
      <c r="B487" t="s">
        <v>7002</v>
      </c>
      <c r="C487" t="s">
        <v>1335</v>
      </c>
      <c r="D487" t="s">
        <v>1027</v>
      </c>
      <c r="E487">
        <v>1459</v>
      </c>
      <c r="F487" t="s">
        <v>1336</v>
      </c>
      <c r="G487" t="b">
        <v>0</v>
      </c>
      <c r="H487" t="b">
        <v>0</v>
      </c>
      <c r="I487" t="s">
        <v>1051</v>
      </c>
      <c r="J487">
        <v>28</v>
      </c>
      <c r="K487" t="s">
        <v>2</v>
      </c>
      <c r="L487" t="s">
        <v>1549</v>
      </c>
      <c r="M487" t="s">
        <v>3922</v>
      </c>
      <c r="N487" t="s">
        <v>3922</v>
      </c>
      <c r="O487" t="s">
        <v>3922</v>
      </c>
      <c r="P487" t="s">
        <v>1682</v>
      </c>
    </row>
    <row r="488" spans="1:16" x14ac:dyDescent="0.25">
      <c r="A488" t="s">
        <v>7016</v>
      </c>
      <c r="B488" t="s">
        <v>7002</v>
      </c>
      <c r="C488" t="s">
        <v>1335</v>
      </c>
      <c r="D488" t="s">
        <v>1027</v>
      </c>
      <c r="E488">
        <v>1459</v>
      </c>
      <c r="F488" t="s">
        <v>1336</v>
      </c>
      <c r="G488" t="b">
        <v>0</v>
      </c>
      <c r="H488" t="b">
        <v>0</v>
      </c>
      <c r="I488" t="s">
        <v>1051</v>
      </c>
      <c r="J488">
        <v>28</v>
      </c>
      <c r="K488" t="s">
        <v>2</v>
      </c>
      <c r="L488" t="s">
        <v>1549</v>
      </c>
      <c r="M488" t="s">
        <v>3922</v>
      </c>
      <c r="N488" t="s">
        <v>3922</v>
      </c>
      <c r="O488" t="s">
        <v>3922</v>
      </c>
      <c r="P488" t="s">
        <v>1682</v>
      </c>
    </row>
    <row r="489" spans="1:16" x14ac:dyDescent="0.25">
      <c r="A489" t="s">
        <v>7017</v>
      </c>
      <c r="B489" t="s">
        <v>7002</v>
      </c>
      <c r="C489" t="s">
        <v>1335</v>
      </c>
      <c r="D489" t="s">
        <v>1027</v>
      </c>
      <c r="E489">
        <v>1459</v>
      </c>
      <c r="F489" t="s">
        <v>1336</v>
      </c>
      <c r="G489" t="b">
        <v>0</v>
      </c>
      <c r="H489" t="b">
        <v>0</v>
      </c>
      <c r="I489" t="s">
        <v>1051</v>
      </c>
      <c r="J489">
        <v>28</v>
      </c>
      <c r="K489" t="s">
        <v>2</v>
      </c>
      <c r="L489" t="s">
        <v>1549</v>
      </c>
      <c r="M489" t="s">
        <v>3922</v>
      </c>
      <c r="N489" t="s">
        <v>3922</v>
      </c>
      <c r="O489" t="s">
        <v>3922</v>
      </c>
      <c r="P489" t="s">
        <v>1682</v>
      </c>
    </row>
    <row r="490" spans="1:16" x14ac:dyDescent="0.25">
      <c r="A490" t="s">
        <v>7018</v>
      </c>
      <c r="B490" t="s">
        <v>7002</v>
      </c>
      <c r="C490" t="s">
        <v>1335</v>
      </c>
      <c r="D490" t="s">
        <v>1027</v>
      </c>
      <c r="E490">
        <v>1459</v>
      </c>
      <c r="F490" t="s">
        <v>1336</v>
      </c>
      <c r="G490" t="b">
        <v>0</v>
      </c>
      <c r="H490" t="b">
        <v>0</v>
      </c>
      <c r="I490" t="s">
        <v>1051</v>
      </c>
      <c r="J490">
        <v>28</v>
      </c>
      <c r="K490" t="s">
        <v>2</v>
      </c>
      <c r="L490" t="s">
        <v>1549</v>
      </c>
      <c r="M490" t="s">
        <v>3922</v>
      </c>
      <c r="N490" t="s">
        <v>3922</v>
      </c>
      <c r="O490" t="s">
        <v>3922</v>
      </c>
      <c r="P490" t="s">
        <v>1682</v>
      </c>
    </row>
    <row r="491" spans="1:16" x14ac:dyDescent="0.25">
      <c r="A491" t="s">
        <v>7019</v>
      </c>
      <c r="B491" t="s">
        <v>7002</v>
      </c>
      <c r="C491" t="s">
        <v>1335</v>
      </c>
      <c r="D491" t="s">
        <v>1027</v>
      </c>
      <c r="E491">
        <v>1459</v>
      </c>
      <c r="F491" t="s">
        <v>1336</v>
      </c>
      <c r="G491" t="b">
        <v>0</v>
      </c>
      <c r="H491" t="b">
        <v>0</v>
      </c>
      <c r="I491" t="s">
        <v>1051</v>
      </c>
      <c r="J491">
        <v>28</v>
      </c>
      <c r="K491" t="s">
        <v>2</v>
      </c>
      <c r="L491" t="s">
        <v>1549</v>
      </c>
      <c r="M491" t="s">
        <v>3922</v>
      </c>
      <c r="N491" t="s">
        <v>3922</v>
      </c>
      <c r="O491" t="s">
        <v>3922</v>
      </c>
      <c r="P491" t="s">
        <v>1682</v>
      </c>
    </row>
    <row r="492" spans="1:16" x14ac:dyDescent="0.25">
      <c r="A492" t="s">
        <v>7020</v>
      </c>
      <c r="B492" t="s">
        <v>7002</v>
      </c>
      <c r="C492" t="s">
        <v>1335</v>
      </c>
      <c r="D492" t="s">
        <v>1027</v>
      </c>
      <c r="E492">
        <v>1459</v>
      </c>
      <c r="F492" t="s">
        <v>1336</v>
      </c>
      <c r="G492" t="b">
        <v>0</v>
      </c>
      <c r="H492" t="b">
        <v>0</v>
      </c>
      <c r="I492" t="s">
        <v>1051</v>
      </c>
      <c r="J492">
        <v>28</v>
      </c>
      <c r="K492" t="s">
        <v>2</v>
      </c>
      <c r="L492" t="s">
        <v>1549</v>
      </c>
      <c r="M492" t="s">
        <v>3922</v>
      </c>
      <c r="N492" t="s">
        <v>3922</v>
      </c>
      <c r="O492" t="s">
        <v>3922</v>
      </c>
      <c r="P492" t="s">
        <v>1682</v>
      </c>
    </row>
    <row r="493" spans="1:16" x14ac:dyDescent="0.25">
      <c r="A493" t="s">
        <v>7021</v>
      </c>
      <c r="B493" t="s">
        <v>7002</v>
      </c>
      <c r="C493" t="s">
        <v>1335</v>
      </c>
      <c r="D493" t="s">
        <v>1027</v>
      </c>
      <c r="E493">
        <v>1459</v>
      </c>
      <c r="F493" t="s">
        <v>1336</v>
      </c>
      <c r="G493" t="b">
        <v>0</v>
      </c>
      <c r="H493" t="b">
        <v>0</v>
      </c>
      <c r="I493" t="s">
        <v>1051</v>
      </c>
      <c r="J493">
        <v>28</v>
      </c>
      <c r="K493" t="s">
        <v>2</v>
      </c>
      <c r="L493" t="s">
        <v>1549</v>
      </c>
      <c r="M493" t="s">
        <v>3922</v>
      </c>
      <c r="N493" t="s">
        <v>3922</v>
      </c>
      <c r="O493" t="s">
        <v>3922</v>
      </c>
      <c r="P493" t="s">
        <v>1682</v>
      </c>
    </row>
    <row r="494" spans="1:16" x14ac:dyDescent="0.25">
      <c r="A494" t="s">
        <v>7022</v>
      </c>
      <c r="B494" t="s">
        <v>7002</v>
      </c>
      <c r="C494" t="s">
        <v>1335</v>
      </c>
      <c r="D494" t="s">
        <v>1027</v>
      </c>
      <c r="E494">
        <v>1459</v>
      </c>
      <c r="F494" t="s">
        <v>1336</v>
      </c>
      <c r="G494" t="b">
        <v>0</v>
      </c>
      <c r="H494" t="b">
        <v>0</v>
      </c>
      <c r="I494" t="s">
        <v>1051</v>
      </c>
      <c r="J494">
        <v>28</v>
      </c>
      <c r="K494" t="s">
        <v>2</v>
      </c>
      <c r="L494" t="s">
        <v>1549</v>
      </c>
      <c r="M494" t="s">
        <v>3922</v>
      </c>
      <c r="N494" t="s">
        <v>3922</v>
      </c>
      <c r="O494" t="s">
        <v>3922</v>
      </c>
      <c r="P494" t="s">
        <v>1682</v>
      </c>
    </row>
    <row r="495" spans="1:16" x14ac:dyDescent="0.25">
      <c r="A495" t="s">
        <v>7023</v>
      </c>
      <c r="B495" t="s">
        <v>7002</v>
      </c>
      <c r="C495" t="s">
        <v>1335</v>
      </c>
      <c r="D495" t="s">
        <v>1027</v>
      </c>
      <c r="E495">
        <v>1459</v>
      </c>
      <c r="F495" t="s">
        <v>1336</v>
      </c>
      <c r="G495" t="b">
        <v>0</v>
      </c>
      <c r="H495" t="b">
        <v>0</v>
      </c>
      <c r="I495" t="s">
        <v>1051</v>
      </c>
      <c r="J495">
        <v>28</v>
      </c>
      <c r="K495" t="s">
        <v>2</v>
      </c>
      <c r="L495" t="s">
        <v>1549</v>
      </c>
      <c r="M495" t="s">
        <v>3922</v>
      </c>
      <c r="N495" t="s">
        <v>3922</v>
      </c>
      <c r="O495" t="s">
        <v>3922</v>
      </c>
      <c r="P495" t="s">
        <v>1682</v>
      </c>
    </row>
    <row r="496" spans="1:16" x14ac:dyDescent="0.25">
      <c r="A496" t="s">
        <v>7024</v>
      </c>
      <c r="B496" t="s">
        <v>7025</v>
      </c>
      <c r="C496" t="s">
        <v>1335</v>
      </c>
      <c r="D496" t="s">
        <v>1027</v>
      </c>
      <c r="E496">
        <v>1459</v>
      </c>
      <c r="F496" t="s">
        <v>1336</v>
      </c>
      <c r="G496" t="b">
        <v>0</v>
      </c>
      <c r="H496" t="b">
        <v>0</v>
      </c>
      <c r="I496" t="s">
        <v>1051</v>
      </c>
      <c r="J496">
        <v>29</v>
      </c>
      <c r="K496" t="s">
        <v>2</v>
      </c>
      <c r="L496" t="s">
        <v>1549</v>
      </c>
      <c r="M496" t="s">
        <v>3922</v>
      </c>
      <c r="N496" t="s">
        <v>3922</v>
      </c>
      <c r="O496" t="s">
        <v>3922</v>
      </c>
      <c r="P496" t="s">
        <v>1682</v>
      </c>
    </row>
    <row r="497" spans="1:16" x14ac:dyDescent="0.25">
      <c r="A497" t="s">
        <v>7026</v>
      </c>
      <c r="B497" t="s">
        <v>7025</v>
      </c>
      <c r="C497" t="s">
        <v>1335</v>
      </c>
      <c r="D497" t="s">
        <v>1027</v>
      </c>
      <c r="E497">
        <v>1459</v>
      </c>
      <c r="F497" t="s">
        <v>1336</v>
      </c>
      <c r="G497" t="b">
        <v>0</v>
      </c>
      <c r="H497" t="b">
        <v>0</v>
      </c>
      <c r="I497" t="s">
        <v>1051</v>
      </c>
      <c r="J497">
        <v>29</v>
      </c>
      <c r="K497" t="s">
        <v>2</v>
      </c>
      <c r="L497" t="s">
        <v>1549</v>
      </c>
      <c r="M497" t="s">
        <v>3922</v>
      </c>
      <c r="N497" t="s">
        <v>3922</v>
      </c>
      <c r="O497" t="s">
        <v>3922</v>
      </c>
      <c r="P497" t="s">
        <v>1682</v>
      </c>
    </row>
    <row r="498" spans="1:16" x14ac:dyDescent="0.25">
      <c r="A498" t="s">
        <v>7027</v>
      </c>
      <c r="B498" t="s">
        <v>7025</v>
      </c>
      <c r="C498" t="s">
        <v>1335</v>
      </c>
      <c r="D498" t="s">
        <v>1027</v>
      </c>
      <c r="E498">
        <v>1459</v>
      </c>
      <c r="F498" t="s">
        <v>1336</v>
      </c>
      <c r="G498" t="b">
        <v>0</v>
      </c>
      <c r="H498" t="b">
        <v>0</v>
      </c>
      <c r="I498" t="s">
        <v>1051</v>
      </c>
      <c r="J498">
        <v>29</v>
      </c>
      <c r="K498" t="s">
        <v>2</v>
      </c>
      <c r="L498" t="s">
        <v>1549</v>
      </c>
      <c r="M498" t="s">
        <v>3922</v>
      </c>
      <c r="N498" t="s">
        <v>3922</v>
      </c>
      <c r="O498" t="s">
        <v>3922</v>
      </c>
      <c r="P498" t="s">
        <v>1682</v>
      </c>
    </row>
    <row r="499" spans="1:16" x14ac:dyDescent="0.25">
      <c r="A499" t="s">
        <v>7028</v>
      </c>
      <c r="B499" t="s">
        <v>7025</v>
      </c>
      <c r="C499" t="s">
        <v>1335</v>
      </c>
      <c r="D499" t="s">
        <v>1027</v>
      </c>
      <c r="E499">
        <v>1459</v>
      </c>
      <c r="F499" t="s">
        <v>1336</v>
      </c>
      <c r="G499" t="b">
        <v>0</v>
      </c>
      <c r="H499" t="b">
        <v>0</v>
      </c>
      <c r="I499" t="s">
        <v>1051</v>
      </c>
      <c r="J499">
        <v>29</v>
      </c>
      <c r="K499" t="s">
        <v>2</v>
      </c>
      <c r="L499" t="s">
        <v>1549</v>
      </c>
      <c r="M499" t="s">
        <v>3922</v>
      </c>
      <c r="N499" t="s">
        <v>3922</v>
      </c>
      <c r="O499" t="s">
        <v>3922</v>
      </c>
      <c r="P499" t="s">
        <v>1682</v>
      </c>
    </row>
    <row r="500" spans="1:16" x14ac:dyDescent="0.25">
      <c r="A500" t="s">
        <v>7029</v>
      </c>
      <c r="B500" t="s">
        <v>7025</v>
      </c>
      <c r="C500" t="s">
        <v>1335</v>
      </c>
      <c r="D500" t="s">
        <v>1027</v>
      </c>
      <c r="E500">
        <v>1459</v>
      </c>
      <c r="F500" t="s">
        <v>1336</v>
      </c>
      <c r="G500" t="b">
        <v>0</v>
      </c>
      <c r="H500" t="b">
        <v>0</v>
      </c>
      <c r="I500" t="s">
        <v>1051</v>
      </c>
      <c r="J500">
        <v>29</v>
      </c>
      <c r="K500" t="s">
        <v>2</v>
      </c>
      <c r="L500" t="s">
        <v>1549</v>
      </c>
      <c r="M500" t="s">
        <v>3922</v>
      </c>
      <c r="N500" t="s">
        <v>3922</v>
      </c>
      <c r="O500" t="s">
        <v>3922</v>
      </c>
      <c r="P500" t="s">
        <v>1682</v>
      </c>
    </row>
    <row r="501" spans="1:16" x14ac:dyDescent="0.25">
      <c r="A501" t="s">
        <v>7030</v>
      </c>
      <c r="B501" t="s">
        <v>7025</v>
      </c>
      <c r="C501" t="s">
        <v>1335</v>
      </c>
      <c r="D501" t="s">
        <v>1027</v>
      </c>
      <c r="E501">
        <v>1459</v>
      </c>
      <c r="F501" t="s">
        <v>1336</v>
      </c>
      <c r="G501" t="b">
        <v>0</v>
      </c>
      <c r="H501" t="b">
        <v>0</v>
      </c>
      <c r="I501" t="s">
        <v>1051</v>
      </c>
      <c r="J501">
        <v>29</v>
      </c>
      <c r="K501" t="s">
        <v>2</v>
      </c>
      <c r="L501" t="s">
        <v>1549</v>
      </c>
      <c r="M501" t="s">
        <v>3922</v>
      </c>
      <c r="N501" t="s">
        <v>3922</v>
      </c>
      <c r="O501" t="s">
        <v>3922</v>
      </c>
      <c r="P501" t="s">
        <v>1682</v>
      </c>
    </row>
    <row r="502" spans="1:16" x14ac:dyDescent="0.25">
      <c r="A502" t="s">
        <v>7031</v>
      </c>
      <c r="B502" t="s">
        <v>7025</v>
      </c>
      <c r="C502" t="s">
        <v>1335</v>
      </c>
      <c r="D502" t="s">
        <v>1027</v>
      </c>
      <c r="E502">
        <v>1459</v>
      </c>
      <c r="F502" t="s">
        <v>1336</v>
      </c>
      <c r="G502" t="b">
        <v>0</v>
      </c>
      <c r="H502" t="b">
        <v>0</v>
      </c>
      <c r="I502" t="s">
        <v>1051</v>
      </c>
      <c r="J502">
        <v>29</v>
      </c>
      <c r="K502" t="s">
        <v>2</v>
      </c>
      <c r="L502" t="s">
        <v>1549</v>
      </c>
      <c r="M502" t="s">
        <v>3922</v>
      </c>
      <c r="N502" t="s">
        <v>3922</v>
      </c>
      <c r="O502" t="s">
        <v>3922</v>
      </c>
      <c r="P502" t="s">
        <v>1682</v>
      </c>
    </row>
    <row r="503" spans="1:16" x14ac:dyDescent="0.25">
      <c r="A503" t="s">
        <v>7032</v>
      </c>
      <c r="B503" t="s">
        <v>7025</v>
      </c>
      <c r="C503" t="s">
        <v>1335</v>
      </c>
      <c r="D503" t="s">
        <v>1027</v>
      </c>
      <c r="E503">
        <v>1459</v>
      </c>
      <c r="F503" t="s">
        <v>1336</v>
      </c>
      <c r="G503" t="b">
        <v>0</v>
      </c>
      <c r="H503" t="b">
        <v>0</v>
      </c>
      <c r="I503" t="s">
        <v>1051</v>
      </c>
      <c r="J503">
        <v>29</v>
      </c>
      <c r="K503" t="s">
        <v>2</v>
      </c>
      <c r="L503" t="s">
        <v>1549</v>
      </c>
      <c r="M503" t="s">
        <v>3922</v>
      </c>
      <c r="N503" t="s">
        <v>3922</v>
      </c>
      <c r="O503" t="s">
        <v>3922</v>
      </c>
      <c r="P503" t="s">
        <v>1682</v>
      </c>
    </row>
    <row r="504" spans="1:16" x14ac:dyDescent="0.25">
      <c r="A504" t="s">
        <v>7033</v>
      </c>
      <c r="B504" t="s">
        <v>7025</v>
      </c>
      <c r="C504" t="s">
        <v>1335</v>
      </c>
      <c r="D504" t="s">
        <v>1027</v>
      </c>
      <c r="E504">
        <v>1459</v>
      </c>
      <c r="F504" t="s">
        <v>1336</v>
      </c>
      <c r="G504" t="b">
        <v>0</v>
      </c>
      <c r="H504" t="b">
        <v>0</v>
      </c>
      <c r="I504" t="s">
        <v>1051</v>
      </c>
      <c r="J504">
        <v>29</v>
      </c>
      <c r="K504" t="s">
        <v>2</v>
      </c>
      <c r="L504" t="s">
        <v>1549</v>
      </c>
      <c r="M504" t="s">
        <v>3922</v>
      </c>
      <c r="N504" t="s">
        <v>3922</v>
      </c>
      <c r="O504" t="s">
        <v>3922</v>
      </c>
      <c r="P504" t="s">
        <v>1682</v>
      </c>
    </row>
    <row r="505" spans="1:16" x14ac:dyDescent="0.25">
      <c r="A505" t="s">
        <v>7034</v>
      </c>
      <c r="B505" t="s">
        <v>7025</v>
      </c>
      <c r="C505" t="s">
        <v>1335</v>
      </c>
      <c r="D505" t="s">
        <v>1027</v>
      </c>
      <c r="E505">
        <v>1459</v>
      </c>
      <c r="F505" t="s">
        <v>1336</v>
      </c>
      <c r="G505" t="b">
        <v>0</v>
      </c>
      <c r="H505" t="b">
        <v>0</v>
      </c>
      <c r="I505" t="s">
        <v>1051</v>
      </c>
      <c r="J505">
        <v>29</v>
      </c>
      <c r="K505" t="s">
        <v>2</v>
      </c>
      <c r="L505" t="s">
        <v>1549</v>
      </c>
      <c r="M505" t="s">
        <v>3922</v>
      </c>
      <c r="N505" t="s">
        <v>3922</v>
      </c>
      <c r="O505" t="s">
        <v>3922</v>
      </c>
      <c r="P505" t="s">
        <v>1682</v>
      </c>
    </row>
    <row r="506" spans="1:16" x14ac:dyDescent="0.25">
      <c r="A506" t="s">
        <v>7035</v>
      </c>
      <c r="B506" t="s">
        <v>7025</v>
      </c>
      <c r="C506" t="s">
        <v>1335</v>
      </c>
      <c r="D506" t="s">
        <v>1027</v>
      </c>
      <c r="E506">
        <v>1459</v>
      </c>
      <c r="F506" t="s">
        <v>1336</v>
      </c>
      <c r="G506" t="b">
        <v>0</v>
      </c>
      <c r="H506" t="b">
        <v>0</v>
      </c>
      <c r="I506" t="s">
        <v>1051</v>
      </c>
      <c r="J506">
        <v>56</v>
      </c>
      <c r="K506" t="s">
        <v>2</v>
      </c>
      <c r="L506" t="s">
        <v>1549</v>
      </c>
      <c r="M506" t="s">
        <v>3922</v>
      </c>
      <c r="N506" t="s">
        <v>3922</v>
      </c>
      <c r="O506" t="s">
        <v>3922</v>
      </c>
      <c r="P506" t="s">
        <v>1682</v>
      </c>
    </row>
    <row r="507" spans="1:16" x14ac:dyDescent="0.25">
      <c r="A507" t="s">
        <v>7036</v>
      </c>
      <c r="B507" t="s">
        <v>7025</v>
      </c>
      <c r="C507" t="s">
        <v>1335</v>
      </c>
      <c r="D507" t="s">
        <v>1027</v>
      </c>
      <c r="E507">
        <v>1459</v>
      </c>
      <c r="F507" t="s">
        <v>1336</v>
      </c>
      <c r="G507" t="b">
        <v>0</v>
      </c>
      <c r="H507" t="b">
        <v>0</v>
      </c>
      <c r="I507" t="s">
        <v>1051</v>
      </c>
      <c r="J507">
        <v>56</v>
      </c>
      <c r="K507" t="s">
        <v>2</v>
      </c>
      <c r="L507" t="s">
        <v>1549</v>
      </c>
      <c r="M507" t="s">
        <v>3922</v>
      </c>
      <c r="N507" t="s">
        <v>3922</v>
      </c>
      <c r="O507" t="s">
        <v>3922</v>
      </c>
      <c r="P507" t="s">
        <v>1682</v>
      </c>
    </row>
    <row r="508" spans="1:16" x14ac:dyDescent="0.25">
      <c r="A508" t="s">
        <v>7037</v>
      </c>
      <c r="B508" t="s">
        <v>7025</v>
      </c>
      <c r="C508" t="s">
        <v>1335</v>
      </c>
      <c r="D508" t="s">
        <v>1027</v>
      </c>
      <c r="E508">
        <v>1459</v>
      </c>
      <c r="F508" t="s">
        <v>1336</v>
      </c>
      <c r="G508" t="b">
        <v>0</v>
      </c>
      <c r="H508" t="b">
        <v>0</v>
      </c>
      <c r="I508" t="s">
        <v>1051</v>
      </c>
      <c r="J508">
        <v>67</v>
      </c>
      <c r="K508" t="s">
        <v>2</v>
      </c>
      <c r="L508" t="s">
        <v>1549</v>
      </c>
      <c r="M508" t="s">
        <v>3922</v>
      </c>
      <c r="N508" t="s">
        <v>3922</v>
      </c>
      <c r="O508" t="s">
        <v>3922</v>
      </c>
      <c r="P508" t="s">
        <v>1682</v>
      </c>
    </row>
    <row r="509" spans="1:16" x14ac:dyDescent="0.25">
      <c r="A509" t="s">
        <v>7038</v>
      </c>
      <c r="B509" t="s">
        <v>7025</v>
      </c>
      <c r="C509" t="s">
        <v>1335</v>
      </c>
      <c r="D509" t="s">
        <v>1027</v>
      </c>
      <c r="E509">
        <v>1459</v>
      </c>
      <c r="F509" t="s">
        <v>1336</v>
      </c>
      <c r="G509" t="b">
        <v>0</v>
      </c>
      <c r="H509" t="b">
        <v>0</v>
      </c>
      <c r="I509" t="s">
        <v>1051</v>
      </c>
      <c r="J509">
        <v>67</v>
      </c>
      <c r="K509" t="s">
        <v>2</v>
      </c>
      <c r="L509" t="s">
        <v>1549</v>
      </c>
      <c r="M509" t="s">
        <v>3922</v>
      </c>
      <c r="N509" t="s">
        <v>3922</v>
      </c>
      <c r="O509" t="s">
        <v>3922</v>
      </c>
      <c r="P509" t="s">
        <v>1682</v>
      </c>
    </row>
    <row r="510" spans="1:16" x14ac:dyDescent="0.25">
      <c r="A510" t="s">
        <v>7039</v>
      </c>
      <c r="B510" t="s">
        <v>7025</v>
      </c>
      <c r="C510" t="s">
        <v>1335</v>
      </c>
      <c r="D510" t="s">
        <v>1027</v>
      </c>
      <c r="E510">
        <v>1459</v>
      </c>
      <c r="F510" t="s">
        <v>1336</v>
      </c>
      <c r="G510" t="b">
        <v>0</v>
      </c>
      <c r="H510" t="b">
        <v>0</v>
      </c>
      <c r="I510" t="s">
        <v>1051</v>
      </c>
      <c r="J510">
        <v>67</v>
      </c>
      <c r="K510" t="s">
        <v>2</v>
      </c>
      <c r="L510" t="s">
        <v>1549</v>
      </c>
      <c r="M510" t="s">
        <v>3922</v>
      </c>
      <c r="N510" t="s">
        <v>3922</v>
      </c>
      <c r="O510" t="s">
        <v>3922</v>
      </c>
      <c r="P510" t="s">
        <v>1682</v>
      </c>
    </row>
    <row r="511" spans="1:16" x14ac:dyDescent="0.25">
      <c r="A511" t="s">
        <v>7040</v>
      </c>
      <c r="B511" t="s">
        <v>7025</v>
      </c>
      <c r="C511" t="s">
        <v>1335</v>
      </c>
      <c r="D511" t="s">
        <v>1027</v>
      </c>
      <c r="E511">
        <v>1459</v>
      </c>
      <c r="F511" t="s">
        <v>1336</v>
      </c>
      <c r="G511" t="b">
        <v>0</v>
      </c>
      <c r="H511" t="b">
        <v>0</v>
      </c>
      <c r="I511" t="s">
        <v>1051</v>
      </c>
      <c r="J511">
        <v>67</v>
      </c>
      <c r="K511" t="s">
        <v>2</v>
      </c>
      <c r="L511" t="s">
        <v>1549</v>
      </c>
      <c r="M511" t="s">
        <v>3922</v>
      </c>
      <c r="N511" t="s">
        <v>3922</v>
      </c>
      <c r="O511" t="s">
        <v>3922</v>
      </c>
      <c r="P511" t="s">
        <v>1682</v>
      </c>
    </row>
    <row r="512" spans="1:16" x14ac:dyDescent="0.25">
      <c r="A512" t="s">
        <v>7041</v>
      </c>
      <c r="B512" t="s">
        <v>7025</v>
      </c>
      <c r="C512" t="s">
        <v>1335</v>
      </c>
      <c r="D512" t="s">
        <v>1027</v>
      </c>
      <c r="E512">
        <v>1459</v>
      </c>
      <c r="F512" t="s">
        <v>1336</v>
      </c>
      <c r="G512" t="b">
        <v>0</v>
      </c>
      <c r="H512" t="b">
        <v>0</v>
      </c>
      <c r="I512" t="s">
        <v>1051</v>
      </c>
      <c r="J512">
        <v>67</v>
      </c>
      <c r="K512" t="s">
        <v>2</v>
      </c>
      <c r="L512" t="s">
        <v>1549</v>
      </c>
      <c r="M512" t="s">
        <v>3922</v>
      </c>
      <c r="N512" t="s">
        <v>3922</v>
      </c>
      <c r="O512" t="s">
        <v>3922</v>
      </c>
      <c r="P512" t="s">
        <v>1682</v>
      </c>
    </row>
    <row r="513" spans="1:16" ht="409.5" x14ac:dyDescent="0.25">
      <c r="A513" t="s">
        <v>7042</v>
      </c>
      <c r="B513" t="s">
        <v>7043</v>
      </c>
      <c r="C513" t="s">
        <v>6503</v>
      </c>
      <c r="D513" t="s">
        <v>1027</v>
      </c>
      <c r="E513">
        <v>1488</v>
      </c>
      <c r="F513" t="s">
        <v>6504</v>
      </c>
      <c r="G513" t="b">
        <v>0</v>
      </c>
      <c r="H513" t="b">
        <v>0</v>
      </c>
      <c r="I513" t="s">
        <v>1051</v>
      </c>
      <c r="J513">
        <v>78</v>
      </c>
      <c r="K513" t="s">
        <v>0</v>
      </c>
      <c r="L513" t="s">
        <v>3000</v>
      </c>
      <c r="M513" t="s">
        <v>1548</v>
      </c>
      <c r="N513" t="s">
        <v>1548</v>
      </c>
      <c r="O513" t="s">
        <v>1548</v>
      </c>
      <c r="P513" s="36" t="s">
        <v>6505</v>
      </c>
    </row>
    <row r="514" spans="1:16" ht="409.5" x14ac:dyDescent="0.25">
      <c r="A514" t="s">
        <v>7044</v>
      </c>
      <c r="B514" t="s">
        <v>7043</v>
      </c>
      <c r="C514" t="s">
        <v>6503</v>
      </c>
      <c r="D514" t="s">
        <v>1027</v>
      </c>
      <c r="E514">
        <v>1488</v>
      </c>
      <c r="F514" t="s">
        <v>6504</v>
      </c>
      <c r="G514" t="b">
        <v>0</v>
      </c>
      <c r="H514" t="b">
        <v>0</v>
      </c>
      <c r="I514" t="s">
        <v>1051</v>
      </c>
      <c r="J514">
        <v>78</v>
      </c>
      <c r="K514" t="s">
        <v>0</v>
      </c>
      <c r="L514" t="s">
        <v>3000</v>
      </c>
      <c r="M514" t="s">
        <v>1548</v>
      </c>
      <c r="N514" t="s">
        <v>1548</v>
      </c>
      <c r="O514" t="s">
        <v>1548</v>
      </c>
      <c r="P514" s="36" t="s">
        <v>6505</v>
      </c>
    </row>
    <row r="515" spans="1:16" ht="409.5" x14ac:dyDescent="0.25">
      <c r="A515" t="s">
        <v>7045</v>
      </c>
      <c r="B515" t="s">
        <v>7046</v>
      </c>
      <c r="C515" t="s">
        <v>6503</v>
      </c>
      <c r="D515" t="s">
        <v>1027</v>
      </c>
      <c r="E515">
        <v>1488</v>
      </c>
      <c r="F515" t="s">
        <v>6504</v>
      </c>
      <c r="G515" t="b">
        <v>0</v>
      </c>
      <c r="H515" t="b">
        <v>0</v>
      </c>
      <c r="I515" t="s">
        <v>1051</v>
      </c>
      <c r="J515">
        <v>78</v>
      </c>
      <c r="K515" t="s">
        <v>0</v>
      </c>
      <c r="L515" t="s">
        <v>3000</v>
      </c>
      <c r="M515" t="s">
        <v>1548</v>
      </c>
      <c r="N515" t="s">
        <v>1548</v>
      </c>
      <c r="O515" t="s">
        <v>1548</v>
      </c>
      <c r="P515" s="36" t="s">
        <v>6505</v>
      </c>
    </row>
    <row r="516" spans="1:16" ht="409.5" x14ac:dyDescent="0.25">
      <c r="A516" t="s">
        <v>7047</v>
      </c>
      <c r="B516" t="s">
        <v>7046</v>
      </c>
      <c r="C516" t="s">
        <v>6503</v>
      </c>
      <c r="D516" t="s">
        <v>1027</v>
      </c>
      <c r="E516">
        <v>1488</v>
      </c>
      <c r="F516" t="s">
        <v>6504</v>
      </c>
      <c r="G516" t="b">
        <v>0</v>
      </c>
      <c r="H516" t="b">
        <v>0</v>
      </c>
      <c r="I516" t="s">
        <v>1051</v>
      </c>
      <c r="J516">
        <v>78</v>
      </c>
      <c r="K516" t="s">
        <v>0</v>
      </c>
      <c r="L516" t="s">
        <v>3000</v>
      </c>
      <c r="M516" t="s">
        <v>1548</v>
      </c>
      <c r="N516" t="s">
        <v>1548</v>
      </c>
      <c r="O516" t="s">
        <v>1548</v>
      </c>
      <c r="P516" s="36" t="s">
        <v>6505</v>
      </c>
    </row>
    <row r="517" spans="1:16" ht="409.5" x14ac:dyDescent="0.25">
      <c r="A517" t="s">
        <v>7048</v>
      </c>
      <c r="B517" t="s">
        <v>7049</v>
      </c>
      <c r="C517" t="s">
        <v>6473</v>
      </c>
      <c r="D517" t="s">
        <v>1027</v>
      </c>
      <c r="E517">
        <v>33419</v>
      </c>
      <c r="F517" t="s">
        <v>6474</v>
      </c>
      <c r="G517" t="b">
        <v>0</v>
      </c>
      <c r="H517" t="b">
        <v>0</v>
      </c>
      <c r="I517" t="s">
        <v>1051</v>
      </c>
      <c r="J517">
        <v>78</v>
      </c>
      <c r="K517" t="s">
        <v>0</v>
      </c>
      <c r="L517" t="s">
        <v>3000</v>
      </c>
      <c r="M517" t="s">
        <v>1548</v>
      </c>
      <c r="N517" t="s">
        <v>1548</v>
      </c>
      <c r="O517" t="s">
        <v>1548</v>
      </c>
      <c r="P517" s="36" t="s">
        <v>6448</v>
      </c>
    </row>
    <row r="518" spans="1:16" ht="409.5" x14ac:dyDescent="0.25">
      <c r="A518" t="s">
        <v>7050</v>
      </c>
      <c r="B518" t="s">
        <v>7049</v>
      </c>
      <c r="C518" t="s">
        <v>6473</v>
      </c>
      <c r="D518" t="s">
        <v>1027</v>
      </c>
      <c r="E518">
        <v>33419</v>
      </c>
      <c r="F518" t="s">
        <v>6474</v>
      </c>
      <c r="G518" t="b">
        <v>0</v>
      </c>
      <c r="H518" t="b">
        <v>0</v>
      </c>
      <c r="I518" t="s">
        <v>1051</v>
      </c>
      <c r="J518">
        <v>78</v>
      </c>
      <c r="K518" t="s">
        <v>0</v>
      </c>
      <c r="L518" t="s">
        <v>3000</v>
      </c>
      <c r="M518" t="s">
        <v>1548</v>
      </c>
      <c r="N518" t="s">
        <v>1548</v>
      </c>
      <c r="O518" t="s">
        <v>1548</v>
      </c>
      <c r="P518" s="36" t="s">
        <v>6448</v>
      </c>
    </row>
    <row r="519" spans="1:16" ht="409.5" x14ac:dyDescent="0.25">
      <c r="A519" t="s">
        <v>7051</v>
      </c>
      <c r="B519" t="s">
        <v>7049</v>
      </c>
      <c r="C519" t="s">
        <v>6473</v>
      </c>
      <c r="D519" t="s">
        <v>1027</v>
      </c>
      <c r="E519">
        <v>33419</v>
      </c>
      <c r="F519" t="s">
        <v>6474</v>
      </c>
      <c r="G519" t="b">
        <v>0</v>
      </c>
      <c r="H519" t="b">
        <v>0</v>
      </c>
      <c r="I519" t="s">
        <v>1051</v>
      </c>
      <c r="J519">
        <v>78</v>
      </c>
      <c r="K519" t="s">
        <v>0</v>
      </c>
      <c r="L519" t="s">
        <v>3000</v>
      </c>
      <c r="M519" t="s">
        <v>1548</v>
      </c>
      <c r="N519" t="s">
        <v>1548</v>
      </c>
      <c r="O519" t="s">
        <v>1548</v>
      </c>
      <c r="P519" s="36" t="s">
        <v>6448</v>
      </c>
    </row>
    <row r="520" spans="1:16" ht="409.5" x14ac:dyDescent="0.25">
      <c r="A520" t="s">
        <v>7052</v>
      </c>
      <c r="B520" t="s">
        <v>7049</v>
      </c>
      <c r="C520" t="s">
        <v>6473</v>
      </c>
      <c r="D520" t="s">
        <v>1027</v>
      </c>
      <c r="E520">
        <v>33419</v>
      </c>
      <c r="F520" t="s">
        <v>6474</v>
      </c>
      <c r="G520" t="b">
        <v>0</v>
      </c>
      <c r="H520" t="b">
        <v>0</v>
      </c>
      <c r="I520" t="s">
        <v>1051</v>
      </c>
      <c r="J520">
        <v>78</v>
      </c>
      <c r="K520" t="s">
        <v>0</v>
      </c>
      <c r="L520" t="s">
        <v>3000</v>
      </c>
      <c r="M520" t="s">
        <v>1548</v>
      </c>
      <c r="N520" t="s">
        <v>1548</v>
      </c>
      <c r="O520" t="s">
        <v>1548</v>
      </c>
      <c r="P520" s="36" t="s">
        <v>6448</v>
      </c>
    </row>
    <row r="521" spans="1:16" ht="409.5" x14ac:dyDescent="0.25">
      <c r="A521" t="s">
        <v>7053</v>
      </c>
      <c r="B521" t="s">
        <v>7049</v>
      </c>
      <c r="C521" t="s">
        <v>6473</v>
      </c>
      <c r="D521" t="s">
        <v>1027</v>
      </c>
      <c r="E521">
        <v>33419</v>
      </c>
      <c r="F521" t="s">
        <v>6474</v>
      </c>
      <c r="G521" t="b">
        <v>0</v>
      </c>
      <c r="H521" t="b">
        <v>0</v>
      </c>
      <c r="I521" t="s">
        <v>1051</v>
      </c>
      <c r="J521">
        <v>78</v>
      </c>
      <c r="K521" t="s">
        <v>0</v>
      </c>
      <c r="L521" t="s">
        <v>3000</v>
      </c>
      <c r="M521" t="s">
        <v>1548</v>
      </c>
      <c r="N521" t="s">
        <v>1548</v>
      </c>
      <c r="O521" t="s">
        <v>1548</v>
      </c>
      <c r="P521" s="36" t="s">
        <v>6448</v>
      </c>
    </row>
    <row r="522" spans="1:16" ht="409.5" x14ac:dyDescent="0.25">
      <c r="A522" t="s">
        <v>7054</v>
      </c>
      <c r="B522" t="s">
        <v>7049</v>
      </c>
      <c r="C522" t="s">
        <v>6473</v>
      </c>
      <c r="D522" t="s">
        <v>1027</v>
      </c>
      <c r="E522">
        <v>33419</v>
      </c>
      <c r="F522" t="s">
        <v>6474</v>
      </c>
      <c r="G522" t="b">
        <v>0</v>
      </c>
      <c r="H522" t="b">
        <v>0</v>
      </c>
      <c r="I522" t="s">
        <v>1051</v>
      </c>
      <c r="J522">
        <v>78</v>
      </c>
      <c r="K522" t="s">
        <v>0</v>
      </c>
      <c r="L522" t="s">
        <v>3000</v>
      </c>
      <c r="M522" t="s">
        <v>1548</v>
      </c>
      <c r="N522" t="s">
        <v>1548</v>
      </c>
      <c r="O522" t="s">
        <v>1548</v>
      </c>
      <c r="P522" s="36" t="s">
        <v>6448</v>
      </c>
    </row>
    <row r="523" spans="1:16" ht="409.5" x14ac:dyDescent="0.25">
      <c r="A523" t="s">
        <v>7055</v>
      </c>
      <c r="B523" t="s">
        <v>7056</v>
      </c>
      <c r="C523" t="s">
        <v>6446</v>
      </c>
      <c r="D523" t="s">
        <v>1027</v>
      </c>
      <c r="E523">
        <v>1402</v>
      </c>
      <c r="F523" t="s">
        <v>6447</v>
      </c>
      <c r="G523" t="b">
        <v>0</v>
      </c>
      <c r="H523" t="b">
        <v>0</v>
      </c>
      <c r="I523" t="s">
        <v>1051</v>
      </c>
      <c r="J523">
        <v>78</v>
      </c>
      <c r="K523" t="s">
        <v>0</v>
      </c>
      <c r="L523" t="s">
        <v>3000</v>
      </c>
      <c r="M523" t="s">
        <v>1548</v>
      </c>
      <c r="N523" t="s">
        <v>1548</v>
      </c>
      <c r="O523" t="s">
        <v>1548</v>
      </c>
      <c r="P523" s="36" t="s">
        <v>6448</v>
      </c>
    </row>
    <row r="524" spans="1:16" ht="409.5" x14ac:dyDescent="0.25">
      <c r="A524" t="s">
        <v>7057</v>
      </c>
      <c r="B524" t="s">
        <v>7056</v>
      </c>
      <c r="C524" t="s">
        <v>6446</v>
      </c>
      <c r="D524" t="s">
        <v>1027</v>
      </c>
      <c r="E524">
        <v>1402</v>
      </c>
      <c r="F524" t="s">
        <v>6447</v>
      </c>
      <c r="G524" t="b">
        <v>0</v>
      </c>
      <c r="H524" t="b">
        <v>0</v>
      </c>
      <c r="I524" t="s">
        <v>1051</v>
      </c>
      <c r="J524">
        <v>78</v>
      </c>
      <c r="K524" t="s">
        <v>0</v>
      </c>
      <c r="L524" t="s">
        <v>3000</v>
      </c>
      <c r="M524" t="s">
        <v>1548</v>
      </c>
      <c r="N524" t="s">
        <v>1548</v>
      </c>
      <c r="O524" t="s">
        <v>1548</v>
      </c>
      <c r="P524" s="36" t="s">
        <v>6448</v>
      </c>
    </row>
    <row r="525" spans="1:16" ht="409.5" x14ac:dyDescent="0.25">
      <c r="A525" t="s">
        <v>7058</v>
      </c>
      <c r="B525" t="s">
        <v>7056</v>
      </c>
      <c r="C525" t="s">
        <v>6446</v>
      </c>
      <c r="D525" t="s">
        <v>1027</v>
      </c>
      <c r="E525">
        <v>1402</v>
      </c>
      <c r="F525" t="s">
        <v>6447</v>
      </c>
      <c r="G525" t="b">
        <v>0</v>
      </c>
      <c r="H525" t="b">
        <v>0</v>
      </c>
      <c r="I525" t="s">
        <v>1051</v>
      </c>
      <c r="J525">
        <v>78</v>
      </c>
      <c r="K525" t="s">
        <v>0</v>
      </c>
      <c r="L525" t="s">
        <v>3000</v>
      </c>
      <c r="M525" t="s">
        <v>1548</v>
      </c>
      <c r="N525" t="s">
        <v>1548</v>
      </c>
      <c r="O525" t="s">
        <v>1548</v>
      </c>
      <c r="P525" s="36" t="s">
        <v>6448</v>
      </c>
    </row>
    <row r="526" spans="1:16" ht="409.5" x14ac:dyDescent="0.25">
      <c r="A526" t="s">
        <v>7059</v>
      </c>
      <c r="B526" t="s">
        <v>7056</v>
      </c>
      <c r="C526" t="s">
        <v>6446</v>
      </c>
      <c r="D526" t="s">
        <v>1027</v>
      </c>
      <c r="E526">
        <v>1402</v>
      </c>
      <c r="F526" t="s">
        <v>6447</v>
      </c>
      <c r="G526" t="b">
        <v>0</v>
      </c>
      <c r="H526" t="b">
        <v>0</v>
      </c>
      <c r="I526" t="s">
        <v>1051</v>
      </c>
      <c r="J526">
        <v>78</v>
      </c>
      <c r="K526" t="s">
        <v>0</v>
      </c>
      <c r="L526" t="s">
        <v>3000</v>
      </c>
      <c r="M526" t="s">
        <v>1548</v>
      </c>
      <c r="N526" t="s">
        <v>1548</v>
      </c>
      <c r="O526" t="s">
        <v>1548</v>
      </c>
      <c r="P526" s="36" t="s">
        <v>6448</v>
      </c>
    </row>
    <row r="527" spans="1:16" ht="409.5" x14ac:dyDescent="0.25">
      <c r="A527" t="s">
        <v>7060</v>
      </c>
      <c r="B527" t="s">
        <v>7056</v>
      </c>
      <c r="C527" t="s">
        <v>6446</v>
      </c>
      <c r="D527" t="s">
        <v>1027</v>
      </c>
      <c r="E527">
        <v>1402</v>
      </c>
      <c r="F527" t="s">
        <v>6447</v>
      </c>
      <c r="G527" t="b">
        <v>0</v>
      </c>
      <c r="H527" t="b">
        <v>0</v>
      </c>
      <c r="I527" t="s">
        <v>1051</v>
      </c>
      <c r="J527">
        <v>78</v>
      </c>
      <c r="K527" t="s">
        <v>0</v>
      </c>
      <c r="L527" t="s">
        <v>3000</v>
      </c>
      <c r="M527" t="s">
        <v>1548</v>
      </c>
      <c r="N527" t="s">
        <v>1548</v>
      </c>
      <c r="O527" t="s">
        <v>1548</v>
      </c>
      <c r="P527" s="36" t="s">
        <v>6448</v>
      </c>
    </row>
    <row r="528" spans="1:16" ht="409.5" x14ac:dyDescent="0.25">
      <c r="A528" t="s">
        <v>7061</v>
      </c>
      <c r="B528" t="s">
        <v>7056</v>
      </c>
      <c r="C528" t="s">
        <v>6446</v>
      </c>
      <c r="D528" t="s">
        <v>1027</v>
      </c>
      <c r="E528">
        <v>1402</v>
      </c>
      <c r="F528" t="s">
        <v>6447</v>
      </c>
      <c r="G528" t="b">
        <v>0</v>
      </c>
      <c r="H528" t="b">
        <v>0</v>
      </c>
      <c r="I528" t="s">
        <v>1051</v>
      </c>
      <c r="J528">
        <v>78</v>
      </c>
      <c r="K528" t="s">
        <v>0</v>
      </c>
      <c r="L528" t="s">
        <v>3000</v>
      </c>
      <c r="M528" t="s">
        <v>1548</v>
      </c>
      <c r="N528" t="s">
        <v>1548</v>
      </c>
      <c r="O528" t="s">
        <v>1548</v>
      </c>
      <c r="P528" s="36" t="s">
        <v>6448</v>
      </c>
    </row>
    <row r="529" spans="1:16" ht="409.5" x14ac:dyDescent="0.25">
      <c r="A529" t="s">
        <v>7062</v>
      </c>
      <c r="B529" t="s">
        <v>7056</v>
      </c>
      <c r="C529" t="s">
        <v>6446</v>
      </c>
      <c r="D529" t="s">
        <v>1027</v>
      </c>
      <c r="E529">
        <v>1402</v>
      </c>
      <c r="F529" t="s">
        <v>6447</v>
      </c>
      <c r="G529" t="b">
        <v>0</v>
      </c>
      <c r="H529" t="b">
        <v>0</v>
      </c>
      <c r="I529" t="s">
        <v>1051</v>
      </c>
      <c r="J529">
        <v>78</v>
      </c>
      <c r="K529" t="s">
        <v>0</v>
      </c>
      <c r="L529" t="s">
        <v>3000</v>
      </c>
      <c r="M529" t="s">
        <v>1548</v>
      </c>
      <c r="N529" t="s">
        <v>1548</v>
      </c>
      <c r="O529" t="s">
        <v>1548</v>
      </c>
      <c r="P529" s="36" t="s">
        <v>6448</v>
      </c>
    </row>
    <row r="530" spans="1:16" ht="409.5" x14ac:dyDescent="0.25">
      <c r="A530" t="s">
        <v>7063</v>
      </c>
      <c r="B530" t="s">
        <v>7056</v>
      </c>
      <c r="C530" t="s">
        <v>6446</v>
      </c>
      <c r="D530" t="s">
        <v>1027</v>
      </c>
      <c r="E530">
        <v>1402</v>
      </c>
      <c r="F530" t="s">
        <v>6447</v>
      </c>
      <c r="G530" t="b">
        <v>0</v>
      </c>
      <c r="H530" t="b">
        <v>0</v>
      </c>
      <c r="I530" t="s">
        <v>1051</v>
      </c>
      <c r="J530">
        <v>78</v>
      </c>
      <c r="K530" t="s">
        <v>0</v>
      </c>
      <c r="L530" t="s">
        <v>3000</v>
      </c>
      <c r="M530" t="s">
        <v>1548</v>
      </c>
      <c r="N530" t="s">
        <v>1548</v>
      </c>
      <c r="O530" t="s">
        <v>1548</v>
      </c>
      <c r="P530" s="36" t="s">
        <v>6448</v>
      </c>
    </row>
    <row r="531" spans="1:16" ht="409.5" x14ac:dyDescent="0.25">
      <c r="A531" t="s">
        <v>7064</v>
      </c>
      <c r="B531" t="s">
        <v>7056</v>
      </c>
      <c r="C531" t="s">
        <v>6446</v>
      </c>
      <c r="D531" t="s">
        <v>1027</v>
      </c>
      <c r="E531">
        <v>1402</v>
      </c>
      <c r="F531" t="s">
        <v>6447</v>
      </c>
      <c r="G531" t="b">
        <v>0</v>
      </c>
      <c r="H531" t="b">
        <v>0</v>
      </c>
      <c r="I531" t="s">
        <v>1051</v>
      </c>
      <c r="J531">
        <v>78</v>
      </c>
      <c r="K531" t="s">
        <v>0</v>
      </c>
      <c r="L531" t="s">
        <v>3000</v>
      </c>
      <c r="M531" t="s">
        <v>1548</v>
      </c>
      <c r="N531" t="s">
        <v>1548</v>
      </c>
      <c r="O531" t="s">
        <v>1548</v>
      </c>
      <c r="P531" s="36" t="s">
        <v>6448</v>
      </c>
    </row>
    <row r="532" spans="1:16" ht="409.5" x14ac:dyDescent="0.25">
      <c r="A532" t="s">
        <v>7065</v>
      </c>
      <c r="B532" t="s">
        <v>7056</v>
      </c>
      <c r="C532" t="s">
        <v>6446</v>
      </c>
      <c r="D532" t="s">
        <v>1027</v>
      </c>
      <c r="E532">
        <v>1402</v>
      </c>
      <c r="F532" t="s">
        <v>6447</v>
      </c>
      <c r="G532" t="b">
        <v>0</v>
      </c>
      <c r="H532" t="b">
        <v>0</v>
      </c>
      <c r="I532" t="s">
        <v>1051</v>
      </c>
      <c r="J532">
        <v>78</v>
      </c>
      <c r="K532" t="s">
        <v>0</v>
      </c>
      <c r="L532" t="s">
        <v>3000</v>
      </c>
      <c r="M532" t="s">
        <v>1548</v>
      </c>
      <c r="N532" t="s">
        <v>1548</v>
      </c>
      <c r="O532" t="s">
        <v>1548</v>
      </c>
      <c r="P532" s="36" t="s">
        <v>6448</v>
      </c>
    </row>
    <row r="533" spans="1:16" ht="409.5" x14ac:dyDescent="0.25">
      <c r="A533" t="s">
        <v>7066</v>
      </c>
      <c r="B533" t="s">
        <v>7056</v>
      </c>
      <c r="C533" t="s">
        <v>6446</v>
      </c>
      <c r="D533" t="s">
        <v>1027</v>
      </c>
      <c r="E533">
        <v>1402</v>
      </c>
      <c r="F533" t="s">
        <v>6447</v>
      </c>
      <c r="G533" t="b">
        <v>0</v>
      </c>
      <c r="H533" t="b">
        <v>0</v>
      </c>
      <c r="I533" t="s">
        <v>1051</v>
      </c>
      <c r="J533">
        <v>78</v>
      </c>
      <c r="K533" t="s">
        <v>0</v>
      </c>
      <c r="L533" t="s">
        <v>3000</v>
      </c>
      <c r="M533" t="s">
        <v>1548</v>
      </c>
      <c r="N533" t="s">
        <v>1548</v>
      </c>
      <c r="O533" t="s">
        <v>1548</v>
      </c>
      <c r="P533" s="36" t="s">
        <v>6448</v>
      </c>
    </row>
    <row r="534" spans="1:16" ht="409.5" x14ac:dyDescent="0.25">
      <c r="A534" t="s">
        <v>7067</v>
      </c>
      <c r="B534" t="s">
        <v>7056</v>
      </c>
      <c r="C534" t="s">
        <v>6446</v>
      </c>
      <c r="D534" t="s">
        <v>1027</v>
      </c>
      <c r="E534">
        <v>1402</v>
      </c>
      <c r="F534" t="s">
        <v>6447</v>
      </c>
      <c r="G534" t="b">
        <v>0</v>
      </c>
      <c r="H534" t="b">
        <v>0</v>
      </c>
      <c r="I534" t="s">
        <v>1051</v>
      </c>
      <c r="J534">
        <v>78</v>
      </c>
      <c r="K534" t="s">
        <v>0</v>
      </c>
      <c r="L534" t="s">
        <v>3000</v>
      </c>
      <c r="M534" t="s">
        <v>1548</v>
      </c>
      <c r="N534" t="s">
        <v>1548</v>
      </c>
      <c r="O534" t="s">
        <v>1548</v>
      </c>
      <c r="P534" s="36" t="s">
        <v>6448</v>
      </c>
    </row>
    <row r="535" spans="1:16" ht="409.5" x14ac:dyDescent="0.25">
      <c r="A535" t="s">
        <v>7068</v>
      </c>
      <c r="B535" t="s">
        <v>7056</v>
      </c>
      <c r="C535" t="s">
        <v>6446</v>
      </c>
      <c r="D535" t="s">
        <v>1027</v>
      </c>
      <c r="E535">
        <v>1402</v>
      </c>
      <c r="F535" t="s">
        <v>6447</v>
      </c>
      <c r="G535" t="b">
        <v>0</v>
      </c>
      <c r="H535" t="b">
        <v>0</v>
      </c>
      <c r="I535" t="s">
        <v>1051</v>
      </c>
      <c r="J535">
        <v>78</v>
      </c>
      <c r="K535" t="s">
        <v>0</v>
      </c>
      <c r="L535" t="s">
        <v>3000</v>
      </c>
      <c r="M535" t="s">
        <v>1548</v>
      </c>
      <c r="N535" t="s">
        <v>1548</v>
      </c>
      <c r="O535" t="s">
        <v>1548</v>
      </c>
      <c r="P535" s="36" t="s">
        <v>6448</v>
      </c>
    </row>
    <row r="536" spans="1:16" ht="409.5" x14ac:dyDescent="0.25">
      <c r="A536" t="s">
        <v>7069</v>
      </c>
      <c r="B536" t="s">
        <v>7056</v>
      </c>
      <c r="C536" t="s">
        <v>6446</v>
      </c>
      <c r="D536" t="s">
        <v>1027</v>
      </c>
      <c r="E536">
        <v>1402</v>
      </c>
      <c r="F536" t="s">
        <v>6447</v>
      </c>
      <c r="G536" t="b">
        <v>0</v>
      </c>
      <c r="H536" t="b">
        <v>0</v>
      </c>
      <c r="I536" t="s">
        <v>1051</v>
      </c>
      <c r="J536">
        <v>78</v>
      </c>
      <c r="K536" t="s">
        <v>0</v>
      </c>
      <c r="L536" t="s">
        <v>3000</v>
      </c>
      <c r="M536" t="s">
        <v>1548</v>
      </c>
      <c r="N536" t="s">
        <v>1548</v>
      </c>
      <c r="O536" t="s">
        <v>1548</v>
      </c>
      <c r="P536" s="36" t="s">
        <v>6448</v>
      </c>
    </row>
    <row r="537" spans="1:16" ht="409.5" x14ac:dyDescent="0.25">
      <c r="A537" t="s">
        <v>7070</v>
      </c>
      <c r="B537" t="s">
        <v>7056</v>
      </c>
      <c r="C537" t="s">
        <v>6446</v>
      </c>
      <c r="D537" t="s">
        <v>1027</v>
      </c>
      <c r="E537">
        <v>1402</v>
      </c>
      <c r="F537" t="s">
        <v>6447</v>
      </c>
      <c r="G537" t="b">
        <v>0</v>
      </c>
      <c r="H537" t="b">
        <v>0</v>
      </c>
      <c r="I537" t="s">
        <v>1051</v>
      </c>
      <c r="J537">
        <v>78</v>
      </c>
      <c r="K537" t="s">
        <v>0</v>
      </c>
      <c r="L537" t="s">
        <v>3000</v>
      </c>
      <c r="M537" t="s">
        <v>1548</v>
      </c>
      <c r="N537" t="s">
        <v>1548</v>
      </c>
      <c r="O537" t="s">
        <v>1548</v>
      </c>
      <c r="P537" s="36" t="s">
        <v>6448</v>
      </c>
    </row>
    <row r="538" spans="1:16" ht="409.5" x14ac:dyDescent="0.25">
      <c r="A538" t="s">
        <v>7071</v>
      </c>
      <c r="B538" t="s">
        <v>7056</v>
      </c>
      <c r="C538" t="s">
        <v>6446</v>
      </c>
      <c r="D538" t="s">
        <v>1027</v>
      </c>
      <c r="E538">
        <v>1402</v>
      </c>
      <c r="F538" t="s">
        <v>6447</v>
      </c>
      <c r="G538" t="b">
        <v>0</v>
      </c>
      <c r="H538" t="b">
        <v>0</v>
      </c>
      <c r="I538" t="s">
        <v>1051</v>
      </c>
      <c r="J538">
        <v>78</v>
      </c>
      <c r="K538" t="s">
        <v>0</v>
      </c>
      <c r="L538" t="s">
        <v>3000</v>
      </c>
      <c r="M538" t="s">
        <v>1548</v>
      </c>
      <c r="N538" t="s">
        <v>1548</v>
      </c>
      <c r="O538" t="s">
        <v>1548</v>
      </c>
      <c r="P538" s="36" t="s">
        <v>6448</v>
      </c>
    </row>
    <row r="539" spans="1:16" ht="409.5" x14ac:dyDescent="0.25">
      <c r="A539" t="s">
        <v>7072</v>
      </c>
      <c r="B539" t="s">
        <v>7056</v>
      </c>
      <c r="C539" t="s">
        <v>6446</v>
      </c>
      <c r="D539" t="s">
        <v>1027</v>
      </c>
      <c r="E539">
        <v>1402</v>
      </c>
      <c r="F539" t="s">
        <v>6447</v>
      </c>
      <c r="G539" t="b">
        <v>0</v>
      </c>
      <c r="H539" t="b">
        <v>0</v>
      </c>
      <c r="I539" t="s">
        <v>1051</v>
      </c>
      <c r="J539">
        <v>78</v>
      </c>
      <c r="K539" t="s">
        <v>0</v>
      </c>
      <c r="L539" t="s">
        <v>3000</v>
      </c>
      <c r="M539" t="s">
        <v>1548</v>
      </c>
      <c r="N539" t="s">
        <v>1548</v>
      </c>
      <c r="O539" t="s">
        <v>1548</v>
      </c>
      <c r="P539" s="36" t="s">
        <v>6448</v>
      </c>
    </row>
    <row r="540" spans="1:16" ht="409.5" x14ac:dyDescent="0.25">
      <c r="A540" t="s">
        <v>7073</v>
      </c>
      <c r="B540" t="s">
        <v>7074</v>
      </c>
      <c r="C540" t="s">
        <v>6446</v>
      </c>
      <c r="D540" t="s">
        <v>1027</v>
      </c>
      <c r="E540">
        <v>1402</v>
      </c>
      <c r="F540" t="s">
        <v>6447</v>
      </c>
      <c r="G540" t="b">
        <v>0</v>
      </c>
      <c r="H540" t="b">
        <v>0</v>
      </c>
      <c r="I540" t="s">
        <v>1051</v>
      </c>
      <c r="J540">
        <v>78</v>
      </c>
      <c r="K540" t="s">
        <v>0</v>
      </c>
      <c r="L540" t="s">
        <v>3000</v>
      </c>
      <c r="M540" t="s">
        <v>1548</v>
      </c>
      <c r="N540" t="s">
        <v>1548</v>
      </c>
      <c r="O540" t="s">
        <v>1548</v>
      </c>
      <c r="P540" s="36" t="s">
        <v>6448</v>
      </c>
    </row>
    <row r="541" spans="1:16" ht="409.5" x14ac:dyDescent="0.25">
      <c r="A541" t="s">
        <v>7075</v>
      </c>
      <c r="B541" t="s">
        <v>7074</v>
      </c>
      <c r="C541" t="s">
        <v>6446</v>
      </c>
      <c r="D541" t="s">
        <v>1027</v>
      </c>
      <c r="E541">
        <v>1402</v>
      </c>
      <c r="F541" t="s">
        <v>6447</v>
      </c>
      <c r="G541" t="b">
        <v>0</v>
      </c>
      <c r="H541" t="b">
        <v>0</v>
      </c>
      <c r="I541" t="s">
        <v>1051</v>
      </c>
      <c r="J541">
        <v>78</v>
      </c>
      <c r="K541" t="s">
        <v>0</v>
      </c>
      <c r="L541" t="s">
        <v>3000</v>
      </c>
      <c r="M541" t="s">
        <v>1548</v>
      </c>
      <c r="N541" t="s">
        <v>1548</v>
      </c>
      <c r="O541" t="s">
        <v>1548</v>
      </c>
      <c r="P541" s="36" t="s">
        <v>6448</v>
      </c>
    </row>
    <row r="542" spans="1:16" ht="409.5" x14ac:dyDescent="0.25">
      <c r="A542" t="s">
        <v>7076</v>
      </c>
      <c r="B542" t="s">
        <v>7074</v>
      </c>
      <c r="C542" t="s">
        <v>6446</v>
      </c>
      <c r="D542" t="s">
        <v>1027</v>
      </c>
      <c r="E542">
        <v>1402</v>
      </c>
      <c r="F542" t="s">
        <v>6447</v>
      </c>
      <c r="G542" t="b">
        <v>0</v>
      </c>
      <c r="H542" t="b">
        <v>0</v>
      </c>
      <c r="I542" t="s">
        <v>1051</v>
      </c>
      <c r="J542">
        <v>78</v>
      </c>
      <c r="K542" t="s">
        <v>0</v>
      </c>
      <c r="L542" t="s">
        <v>3000</v>
      </c>
      <c r="M542" t="s">
        <v>1548</v>
      </c>
      <c r="N542" t="s">
        <v>1548</v>
      </c>
      <c r="O542" t="s">
        <v>1548</v>
      </c>
      <c r="P542" s="36" t="s">
        <v>6448</v>
      </c>
    </row>
    <row r="543" spans="1:16" ht="409.5" x14ac:dyDescent="0.25">
      <c r="A543" t="s">
        <v>7077</v>
      </c>
      <c r="B543" t="s">
        <v>7078</v>
      </c>
      <c r="C543" t="s">
        <v>6473</v>
      </c>
      <c r="D543" t="s">
        <v>1027</v>
      </c>
      <c r="E543">
        <v>33419</v>
      </c>
      <c r="F543" t="s">
        <v>6474</v>
      </c>
      <c r="G543" t="b">
        <v>0</v>
      </c>
      <c r="H543" t="b">
        <v>0</v>
      </c>
      <c r="I543" t="s">
        <v>1051</v>
      </c>
      <c r="J543">
        <v>78</v>
      </c>
      <c r="K543" t="s">
        <v>0</v>
      </c>
      <c r="L543" t="s">
        <v>3000</v>
      </c>
      <c r="M543" t="s">
        <v>1548</v>
      </c>
      <c r="N543" t="s">
        <v>1548</v>
      </c>
      <c r="O543" t="s">
        <v>1548</v>
      </c>
      <c r="P543" s="36" t="s">
        <v>6448</v>
      </c>
    </row>
    <row r="544" spans="1:16" ht="409.5" x14ac:dyDescent="0.25">
      <c r="A544" t="s">
        <v>7079</v>
      </c>
      <c r="B544" t="s">
        <v>7078</v>
      </c>
      <c r="C544" t="s">
        <v>6473</v>
      </c>
      <c r="D544" t="s">
        <v>1027</v>
      </c>
      <c r="E544">
        <v>33419</v>
      </c>
      <c r="F544" t="s">
        <v>6474</v>
      </c>
      <c r="G544" t="b">
        <v>0</v>
      </c>
      <c r="H544" t="b">
        <v>0</v>
      </c>
      <c r="I544" t="s">
        <v>1051</v>
      </c>
      <c r="J544">
        <v>78</v>
      </c>
      <c r="K544" t="s">
        <v>0</v>
      </c>
      <c r="L544" t="s">
        <v>3000</v>
      </c>
      <c r="M544" t="s">
        <v>1548</v>
      </c>
      <c r="N544" t="s">
        <v>1548</v>
      </c>
      <c r="O544" t="s">
        <v>1548</v>
      </c>
      <c r="P544" s="36" t="s">
        <v>6448</v>
      </c>
    </row>
    <row r="545" spans="1:16" ht="409.5" x14ac:dyDescent="0.25">
      <c r="A545" t="s">
        <v>7080</v>
      </c>
      <c r="B545" t="s">
        <v>7081</v>
      </c>
      <c r="C545" t="s">
        <v>6446</v>
      </c>
      <c r="D545" t="s">
        <v>1027</v>
      </c>
      <c r="E545">
        <v>1402</v>
      </c>
      <c r="F545" t="s">
        <v>6447</v>
      </c>
      <c r="G545" t="b">
        <v>0</v>
      </c>
      <c r="H545" t="b">
        <v>0</v>
      </c>
      <c r="I545" t="s">
        <v>1051</v>
      </c>
      <c r="J545">
        <v>78</v>
      </c>
      <c r="K545" t="s">
        <v>0</v>
      </c>
      <c r="L545" t="s">
        <v>3000</v>
      </c>
      <c r="M545" t="s">
        <v>1548</v>
      </c>
      <c r="N545" t="s">
        <v>1548</v>
      </c>
      <c r="O545" t="s">
        <v>1548</v>
      </c>
      <c r="P545" s="36" t="s">
        <v>6448</v>
      </c>
    </row>
    <row r="546" spans="1:16" ht="409.5" x14ac:dyDescent="0.25">
      <c r="A546" t="s">
        <v>7082</v>
      </c>
      <c r="B546" t="s">
        <v>7081</v>
      </c>
      <c r="C546" t="s">
        <v>6446</v>
      </c>
      <c r="D546" t="s">
        <v>1027</v>
      </c>
      <c r="E546">
        <v>1402</v>
      </c>
      <c r="F546" t="s">
        <v>6447</v>
      </c>
      <c r="G546" t="b">
        <v>0</v>
      </c>
      <c r="H546" t="b">
        <v>0</v>
      </c>
      <c r="I546" t="s">
        <v>1051</v>
      </c>
      <c r="J546">
        <v>78</v>
      </c>
      <c r="K546" t="s">
        <v>0</v>
      </c>
      <c r="L546" t="s">
        <v>3000</v>
      </c>
      <c r="M546" t="s">
        <v>1548</v>
      </c>
      <c r="N546" t="s">
        <v>1548</v>
      </c>
      <c r="O546" t="s">
        <v>1548</v>
      </c>
      <c r="P546" s="36" t="s">
        <v>6448</v>
      </c>
    </row>
    <row r="547" spans="1:16" ht="409.5" x14ac:dyDescent="0.25">
      <c r="A547" t="s">
        <v>7083</v>
      </c>
      <c r="B547" t="s">
        <v>7081</v>
      </c>
      <c r="C547" t="s">
        <v>6446</v>
      </c>
      <c r="D547" t="s">
        <v>1027</v>
      </c>
      <c r="E547">
        <v>1402</v>
      </c>
      <c r="F547" t="s">
        <v>6447</v>
      </c>
      <c r="G547" t="b">
        <v>0</v>
      </c>
      <c r="H547" t="b">
        <v>0</v>
      </c>
      <c r="I547" t="s">
        <v>1051</v>
      </c>
      <c r="J547">
        <v>78</v>
      </c>
      <c r="K547" t="s">
        <v>0</v>
      </c>
      <c r="L547" t="s">
        <v>3000</v>
      </c>
      <c r="M547" t="s">
        <v>1548</v>
      </c>
      <c r="N547" t="s">
        <v>1548</v>
      </c>
      <c r="O547" t="s">
        <v>1548</v>
      </c>
      <c r="P547" s="36" t="s">
        <v>6448</v>
      </c>
    </row>
    <row r="548" spans="1:16" ht="409.5" x14ac:dyDescent="0.25">
      <c r="A548" t="s">
        <v>7084</v>
      </c>
      <c r="B548" t="s">
        <v>7081</v>
      </c>
      <c r="C548" t="s">
        <v>6446</v>
      </c>
      <c r="D548" t="s">
        <v>1027</v>
      </c>
      <c r="E548">
        <v>1402</v>
      </c>
      <c r="F548" t="s">
        <v>6447</v>
      </c>
      <c r="G548" t="b">
        <v>0</v>
      </c>
      <c r="H548" t="b">
        <v>0</v>
      </c>
      <c r="I548" t="s">
        <v>1051</v>
      </c>
      <c r="J548">
        <v>78</v>
      </c>
      <c r="K548" t="s">
        <v>0</v>
      </c>
      <c r="L548" t="s">
        <v>3000</v>
      </c>
      <c r="M548" t="s">
        <v>1548</v>
      </c>
      <c r="N548" t="s">
        <v>1548</v>
      </c>
      <c r="O548" t="s">
        <v>1548</v>
      </c>
      <c r="P548" s="36" t="s">
        <v>6448</v>
      </c>
    </row>
    <row r="549" spans="1:16" ht="409.5" x14ac:dyDescent="0.25">
      <c r="A549" t="s">
        <v>7085</v>
      </c>
      <c r="B549" t="s">
        <v>7081</v>
      </c>
      <c r="C549" t="s">
        <v>6446</v>
      </c>
      <c r="D549" t="s">
        <v>1027</v>
      </c>
      <c r="E549">
        <v>1402</v>
      </c>
      <c r="F549" t="s">
        <v>6447</v>
      </c>
      <c r="G549" t="b">
        <v>0</v>
      </c>
      <c r="H549" t="b">
        <v>0</v>
      </c>
      <c r="I549" t="s">
        <v>1051</v>
      </c>
      <c r="J549">
        <v>78</v>
      </c>
      <c r="K549" t="s">
        <v>0</v>
      </c>
      <c r="L549" t="s">
        <v>3000</v>
      </c>
      <c r="M549" t="s">
        <v>1548</v>
      </c>
      <c r="N549" t="s">
        <v>1548</v>
      </c>
      <c r="O549" t="s">
        <v>1548</v>
      </c>
      <c r="P549" s="36" t="s">
        <v>6448</v>
      </c>
    </row>
    <row r="550" spans="1:16" ht="409.5" x14ac:dyDescent="0.25">
      <c r="A550" t="s">
        <v>7086</v>
      </c>
      <c r="B550" t="s">
        <v>7081</v>
      </c>
      <c r="C550" t="s">
        <v>6446</v>
      </c>
      <c r="D550" t="s">
        <v>1027</v>
      </c>
      <c r="E550">
        <v>1402</v>
      </c>
      <c r="F550" t="s">
        <v>6447</v>
      </c>
      <c r="G550" t="b">
        <v>0</v>
      </c>
      <c r="H550" t="b">
        <v>0</v>
      </c>
      <c r="I550" t="s">
        <v>1051</v>
      </c>
      <c r="J550">
        <v>78</v>
      </c>
      <c r="K550" t="s">
        <v>0</v>
      </c>
      <c r="L550" t="s">
        <v>3000</v>
      </c>
      <c r="M550" t="s">
        <v>1548</v>
      </c>
      <c r="N550" t="s">
        <v>1548</v>
      </c>
      <c r="O550" t="s">
        <v>1548</v>
      </c>
      <c r="P550" s="36" t="s">
        <v>6448</v>
      </c>
    </row>
    <row r="551" spans="1:16" ht="409.5" x14ac:dyDescent="0.25">
      <c r="A551" t="s">
        <v>7087</v>
      </c>
      <c r="B551" t="s">
        <v>7081</v>
      </c>
      <c r="C551" t="s">
        <v>6446</v>
      </c>
      <c r="D551" t="s">
        <v>1027</v>
      </c>
      <c r="E551">
        <v>1402</v>
      </c>
      <c r="F551" t="s">
        <v>6447</v>
      </c>
      <c r="G551" t="b">
        <v>0</v>
      </c>
      <c r="H551" t="b">
        <v>0</v>
      </c>
      <c r="I551" t="s">
        <v>1051</v>
      </c>
      <c r="J551">
        <v>78</v>
      </c>
      <c r="K551" t="s">
        <v>0</v>
      </c>
      <c r="L551" t="s">
        <v>3000</v>
      </c>
      <c r="M551" t="s">
        <v>1548</v>
      </c>
      <c r="N551" t="s">
        <v>1548</v>
      </c>
      <c r="O551" t="s">
        <v>1548</v>
      </c>
      <c r="P551" s="36" t="s">
        <v>6448</v>
      </c>
    </row>
    <row r="552" spans="1:16" ht="409.5" x14ac:dyDescent="0.25">
      <c r="A552" t="s">
        <v>7088</v>
      </c>
      <c r="B552" t="s">
        <v>7081</v>
      </c>
      <c r="C552" t="s">
        <v>6446</v>
      </c>
      <c r="D552" t="s">
        <v>1027</v>
      </c>
      <c r="E552">
        <v>1402</v>
      </c>
      <c r="F552" t="s">
        <v>6447</v>
      </c>
      <c r="G552" t="b">
        <v>0</v>
      </c>
      <c r="H552" t="b">
        <v>0</v>
      </c>
      <c r="I552" t="s">
        <v>1051</v>
      </c>
      <c r="J552">
        <v>78</v>
      </c>
      <c r="K552" t="s">
        <v>0</v>
      </c>
      <c r="L552" t="s">
        <v>3000</v>
      </c>
      <c r="M552" t="s">
        <v>1548</v>
      </c>
      <c r="N552" t="s">
        <v>1548</v>
      </c>
      <c r="O552" t="s">
        <v>1548</v>
      </c>
      <c r="P552" s="36" t="s">
        <v>6448</v>
      </c>
    </row>
    <row r="553" spans="1:16" ht="409.5" x14ac:dyDescent="0.25">
      <c r="A553" t="s">
        <v>7089</v>
      </c>
      <c r="B553" t="s">
        <v>7081</v>
      </c>
      <c r="C553" t="s">
        <v>6446</v>
      </c>
      <c r="D553" t="s">
        <v>1027</v>
      </c>
      <c r="E553">
        <v>1402</v>
      </c>
      <c r="F553" t="s">
        <v>6447</v>
      </c>
      <c r="G553" t="b">
        <v>0</v>
      </c>
      <c r="H553" t="b">
        <v>0</v>
      </c>
      <c r="I553" t="s">
        <v>1051</v>
      </c>
      <c r="J553">
        <v>78</v>
      </c>
      <c r="K553" t="s">
        <v>0</v>
      </c>
      <c r="L553" t="s">
        <v>3000</v>
      </c>
      <c r="M553" t="s">
        <v>1548</v>
      </c>
      <c r="N553" t="s">
        <v>1548</v>
      </c>
      <c r="O553" t="s">
        <v>1548</v>
      </c>
      <c r="P553" s="36" t="s">
        <v>6448</v>
      </c>
    </row>
    <row r="554" spans="1:16" ht="409.5" x14ac:dyDescent="0.25">
      <c r="A554" t="s">
        <v>7090</v>
      </c>
      <c r="B554" t="s">
        <v>7081</v>
      </c>
      <c r="C554" t="s">
        <v>6446</v>
      </c>
      <c r="D554" t="s">
        <v>1027</v>
      </c>
      <c r="E554">
        <v>1402</v>
      </c>
      <c r="F554" t="s">
        <v>6447</v>
      </c>
      <c r="G554" t="b">
        <v>0</v>
      </c>
      <c r="H554" t="b">
        <v>0</v>
      </c>
      <c r="I554" t="s">
        <v>1051</v>
      </c>
      <c r="J554">
        <v>78</v>
      </c>
      <c r="K554" t="s">
        <v>0</v>
      </c>
      <c r="L554" t="s">
        <v>3000</v>
      </c>
      <c r="M554" t="s">
        <v>1548</v>
      </c>
      <c r="N554" t="s">
        <v>1548</v>
      </c>
      <c r="O554" t="s">
        <v>1548</v>
      </c>
      <c r="P554" s="36" t="s">
        <v>6448</v>
      </c>
    </row>
    <row r="555" spans="1:16" ht="409.5" x14ac:dyDescent="0.25">
      <c r="A555" t="s">
        <v>7091</v>
      </c>
      <c r="B555" t="s">
        <v>7081</v>
      </c>
      <c r="C555" t="s">
        <v>6446</v>
      </c>
      <c r="D555" t="s">
        <v>1027</v>
      </c>
      <c r="E555">
        <v>1402</v>
      </c>
      <c r="F555" t="s">
        <v>6447</v>
      </c>
      <c r="G555" t="b">
        <v>0</v>
      </c>
      <c r="H555" t="b">
        <v>0</v>
      </c>
      <c r="I555" t="s">
        <v>1051</v>
      </c>
      <c r="J555">
        <v>78</v>
      </c>
      <c r="K555" t="s">
        <v>0</v>
      </c>
      <c r="L555" t="s">
        <v>3000</v>
      </c>
      <c r="M555" t="s">
        <v>1548</v>
      </c>
      <c r="N555" t="s">
        <v>1548</v>
      </c>
      <c r="O555" t="s">
        <v>1548</v>
      </c>
      <c r="P555" s="36" t="s">
        <v>6448</v>
      </c>
    </row>
    <row r="556" spans="1:16" ht="409.5" x14ac:dyDescent="0.25">
      <c r="A556" t="s">
        <v>7092</v>
      </c>
      <c r="B556" t="s">
        <v>7081</v>
      </c>
      <c r="C556" t="s">
        <v>6446</v>
      </c>
      <c r="D556" t="s">
        <v>1027</v>
      </c>
      <c r="E556">
        <v>1402</v>
      </c>
      <c r="F556" t="s">
        <v>6447</v>
      </c>
      <c r="G556" t="b">
        <v>0</v>
      </c>
      <c r="H556" t="b">
        <v>0</v>
      </c>
      <c r="I556" t="s">
        <v>1051</v>
      </c>
      <c r="J556">
        <v>78</v>
      </c>
      <c r="K556" t="s">
        <v>0</v>
      </c>
      <c r="L556" t="s">
        <v>3000</v>
      </c>
      <c r="M556" t="s">
        <v>1548</v>
      </c>
      <c r="N556" t="s">
        <v>1548</v>
      </c>
      <c r="O556" t="s">
        <v>1548</v>
      </c>
      <c r="P556" s="36" t="s">
        <v>6448</v>
      </c>
    </row>
    <row r="557" spans="1:16" ht="409.5" x14ac:dyDescent="0.25">
      <c r="A557" t="s">
        <v>7093</v>
      </c>
      <c r="B557" t="s">
        <v>7081</v>
      </c>
      <c r="C557" t="s">
        <v>6446</v>
      </c>
      <c r="D557" t="s">
        <v>1027</v>
      </c>
      <c r="E557">
        <v>1402</v>
      </c>
      <c r="F557" t="s">
        <v>6447</v>
      </c>
      <c r="G557" t="b">
        <v>0</v>
      </c>
      <c r="H557" t="b">
        <v>0</v>
      </c>
      <c r="I557" t="s">
        <v>1051</v>
      </c>
      <c r="J557">
        <v>78</v>
      </c>
      <c r="K557" t="s">
        <v>0</v>
      </c>
      <c r="L557" t="s">
        <v>3000</v>
      </c>
      <c r="M557" t="s">
        <v>1548</v>
      </c>
      <c r="N557" t="s">
        <v>1548</v>
      </c>
      <c r="O557" t="s">
        <v>1548</v>
      </c>
      <c r="P557" s="36" t="s">
        <v>6448</v>
      </c>
    </row>
    <row r="558" spans="1:16" ht="409.5" x14ac:dyDescent="0.25">
      <c r="A558" t="s">
        <v>7094</v>
      </c>
      <c r="B558" t="s">
        <v>7081</v>
      </c>
      <c r="C558" t="s">
        <v>6446</v>
      </c>
      <c r="D558" t="s">
        <v>1027</v>
      </c>
      <c r="E558">
        <v>1402</v>
      </c>
      <c r="F558" t="s">
        <v>6447</v>
      </c>
      <c r="G558" t="b">
        <v>0</v>
      </c>
      <c r="H558" t="b">
        <v>0</v>
      </c>
      <c r="I558" t="s">
        <v>1051</v>
      </c>
      <c r="J558">
        <v>78</v>
      </c>
      <c r="K558" t="s">
        <v>0</v>
      </c>
      <c r="L558" t="s">
        <v>3000</v>
      </c>
      <c r="M558" t="s">
        <v>1548</v>
      </c>
      <c r="N558" t="s">
        <v>1548</v>
      </c>
      <c r="O558" t="s">
        <v>1548</v>
      </c>
      <c r="P558" s="36" t="s">
        <v>6448</v>
      </c>
    </row>
    <row r="559" spans="1:16" ht="409.5" x14ac:dyDescent="0.25">
      <c r="A559" t="s">
        <v>7095</v>
      </c>
      <c r="B559" t="s">
        <v>7081</v>
      </c>
      <c r="C559" t="s">
        <v>6446</v>
      </c>
      <c r="D559" t="s">
        <v>1027</v>
      </c>
      <c r="E559">
        <v>1402</v>
      </c>
      <c r="F559" t="s">
        <v>6447</v>
      </c>
      <c r="G559" t="b">
        <v>0</v>
      </c>
      <c r="H559" t="b">
        <v>0</v>
      </c>
      <c r="I559" t="s">
        <v>1051</v>
      </c>
      <c r="J559">
        <v>78</v>
      </c>
      <c r="K559" t="s">
        <v>0</v>
      </c>
      <c r="L559" t="s">
        <v>3000</v>
      </c>
      <c r="M559" t="s">
        <v>1548</v>
      </c>
      <c r="N559" t="s">
        <v>1548</v>
      </c>
      <c r="O559" t="s">
        <v>1548</v>
      </c>
      <c r="P559" s="36" t="s">
        <v>6448</v>
      </c>
    </row>
    <row r="560" spans="1:16" ht="409.5" x14ac:dyDescent="0.25">
      <c r="A560" t="s">
        <v>7096</v>
      </c>
      <c r="B560" t="s">
        <v>7081</v>
      </c>
      <c r="C560" t="s">
        <v>6446</v>
      </c>
      <c r="D560" t="s">
        <v>1027</v>
      </c>
      <c r="E560">
        <v>1402</v>
      </c>
      <c r="F560" t="s">
        <v>6447</v>
      </c>
      <c r="G560" t="b">
        <v>0</v>
      </c>
      <c r="H560" t="b">
        <v>0</v>
      </c>
      <c r="I560" t="s">
        <v>1051</v>
      </c>
      <c r="J560">
        <v>78</v>
      </c>
      <c r="K560" t="s">
        <v>0</v>
      </c>
      <c r="L560" t="s">
        <v>3000</v>
      </c>
      <c r="M560" t="s">
        <v>1548</v>
      </c>
      <c r="N560" t="s">
        <v>1548</v>
      </c>
      <c r="O560" t="s">
        <v>1548</v>
      </c>
      <c r="P560" s="36" t="s">
        <v>6448</v>
      </c>
    </row>
    <row r="561" spans="1:16" ht="409.5" x14ac:dyDescent="0.25">
      <c r="A561" t="s">
        <v>7097</v>
      </c>
      <c r="B561" t="s">
        <v>7081</v>
      </c>
      <c r="C561" t="s">
        <v>6446</v>
      </c>
      <c r="D561" t="s">
        <v>1027</v>
      </c>
      <c r="E561">
        <v>1402</v>
      </c>
      <c r="F561" t="s">
        <v>6447</v>
      </c>
      <c r="G561" t="b">
        <v>0</v>
      </c>
      <c r="H561" t="b">
        <v>0</v>
      </c>
      <c r="I561" t="s">
        <v>1051</v>
      </c>
      <c r="J561">
        <v>78</v>
      </c>
      <c r="K561" t="s">
        <v>0</v>
      </c>
      <c r="L561" t="s">
        <v>3000</v>
      </c>
      <c r="M561" t="s">
        <v>1548</v>
      </c>
      <c r="N561" t="s">
        <v>1548</v>
      </c>
      <c r="O561" t="s">
        <v>1548</v>
      </c>
      <c r="P561" s="36" t="s">
        <v>6448</v>
      </c>
    </row>
    <row r="562" spans="1:16" ht="409.5" x14ac:dyDescent="0.25">
      <c r="A562" t="s">
        <v>7098</v>
      </c>
      <c r="B562" t="s">
        <v>7081</v>
      </c>
      <c r="C562" t="s">
        <v>6446</v>
      </c>
      <c r="D562" t="s">
        <v>1027</v>
      </c>
      <c r="E562">
        <v>1402</v>
      </c>
      <c r="F562" t="s">
        <v>6447</v>
      </c>
      <c r="G562" t="b">
        <v>0</v>
      </c>
      <c r="H562" t="b">
        <v>0</v>
      </c>
      <c r="I562" t="s">
        <v>1051</v>
      </c>
      <c r="J562">
        <v>78</v>
      </c>
      <c r="K562" t="s">
        <v>0</v>
      </c>
      <c r="L562" t="s">
        <v>3000</v>
      </c>
      <c r="M562" t="s">
        <v>1548</v>
      </c>
      <c r="N562" t="s">
        <v>1548</v>
      </c>
      <c r="O562" t="s">
        <v>1548</v>
      </c>
      <c r="P562" s="36" t="s">
        <v>6448</v>
      </c>
    </row>
    <row r="563" spans="1:16" ht="409.5" x14ac:dyDescent="0.25">
      <c r="A563" t="s">
        <v>7099</v>
      </c>
      <c r="B563" t="s">
        <v>7081</v>
      </c>
      <c r="C563" t="s">
        <v>6446</v>
      </c>
      <c r="D563" t="s">
        <v>1027</v>
      </c>
      <c r="E563">
        <v>1402</v>
      </c>
      <c r="F563" t="s">
        <v>6447</v>
      </c>
      <c r="G563" t="b">
        <v>0</v>
      </c>
      <c r="H563" t="b">
        <v>0</v>
      </c>
      <c r="I563" t="s">
        <v>1051</v>
      </c>
      <c r="J563">
        <v>78</v>
      </c>
      <c r="K563" t="s">
        <v>0</v>
      </c>
      <c r="L563" t="s">
        <v>3000</v>
      </c>
      <c r="M563" t="s">
        <v>1548</v>
      </c>
      <c r="N563" t="s">
        <v>1548</v>
      </c>
      <c r="O563" t="s">
        <v>1548</v>
      </c>
      <c r="P563" s="36" t="s">
        <v>6448</v>
      </c>
    </row>
    <row r="564" spans="1:16" ht="409.5" x14ac:dyDescent="0.25">
      <c r="A564" t="s">
        <v>7100</v>
      </c>
      <c r="B564" t="s">
        <v>7081</v>
      </c>
      <c r="C564" t="s">
        <v>6446</v>
      </c>
      <c r="D564" t="s">
        <v>1027</v>
      </c>
      <c r="E564">
        <v>1402</v>
      </c>
      <c r="F564" t="s">
        <v>6447</v>
      </c>
      <c r="G564" t="b">
        <v>0</v>
      </c>
      <c r="H564" t="b">
        <v>0</v>
      </c>
      <c r="I564" t="s">
        <v>1051</v>
      </c>
      <c r="J564">
        <v>78</v>
      </c>
      <c r="K564" t="s">
        <v>0</v>
      </c>
      <c r="L564" t="s">
        <v>3000</v>
      </c>
      <c r="M564" t="s">
        <v>1548</v>
      </c>
      <c r="N564" t="s">
        <v>1548</v>
      </c>
      <c r="O564" t="s">
        <v>1548</v>
      </c>
      <c r="P564" s="36" t="s">
        <v>6448</v>
      </c>
    </row>
    <row r="565" spans="1:16" ht="409.5" x14ac:dyDescent="0.25">
      <c r="A565" t="s">
        <v>7101</v>
      </c>
      <c r="B565" t="s">
        <v>7081</v>
      </c>
      <c r="C565" t="s">
        <v>6446</v>
      </c>
      <c r="D565" t="s">
        <v>1027</v>
      </c>
      <c r="E565">
        <v>1402</v>
      </c>
      <c r="F565" t="s">
        <v>6447</v>
      </c>
      <c r="G565" t="b">
        <v>0</v>
      </c>
      <c r="H565" t="b">
        <v>0</v>
      </c>
      <c r="I565" t="s">
        <v>1051</v>
      </c>
      <c r="J565">
        <v>78</v>
      </c>
      <c r="K565" t="s">
        <v>0</v>
      </c>
      <c r="L565" t="s">
        <v>3000</v>
      </c>
      <c r="M565" t="s">
        <v>1548</v>
      </c>
      <c r="N565" t="s">
        <v>1548</v>
      </c>
      <c r="O565" t="s">
        <v>1548</v>
      </c>
      <c r="P565" s="36" t="s">
        <v>6448</v>
      </c>
    </row>
    <row r="566" spans="1:16" ht="409.5" x14ac:dyDescent="0.25">
      <c r="A566" t="s">
        <v>7102</v>
      </c>
      <c r="B566" t="s">
        <v>7081</v>
      </c>
      <c r="C566" t="s">
        <v>6446</v>
      </c>
      <c r="D566" t="s">
        <v>1027</v>
      </c>
      <c r="E566">
        <v>1402</v>
      </c>
      <c r="F566" t="s">
        <v>6447</v>
      </c>
      <c r="G566" t="b">
        <v>0</v>
      </c>
      <c r="H566" t="b">
        <v>0</v>
      </c>
      <c r="I566" t="s">
        <v>1051</v>
      </c>
      <c r="J566">
        <v>78</v>
      </c>
      <c r="K566" t="s">
        <v>0</v>
      </c>
      <c r="L566" t="s">
        <v>3000</v>
      </c>
      <c r="M566" t="s">
        <v>1548</v>
      </c>
      <c r="N566" t="s">
        <v>1548</v>
      </c>
      <c r="O566" t="s">
        <v>1548</v>
      </c>
      <c r="P566" s="36" t="s">
        <v>6448</v>
      </c>
    </row>
    <row r="567" spans="1:16" ht="409.5" x14ac:dyDescent="0.25">
      <c r="A567" t="s">
        <v>7103</v>
      </c>
      <c r="B567" t="s">
        <v>7081</v>
      </c>
      <c r="C567" t="s">
        <v>6446</v>
      </c>
      <c r="D567" t="s">
        <v>1027</v>
      </c>
      <c r="E567">
        <v>1402</v>
      </c>
      <c r="F567" t="s">
        <v>6447</v>
      </c>
      <c r="G567" t="b">
        <v>0</v>
      </c>
      <c r="H567" t="b">
        <v>0</v>
      </c>
      <c r="I567" t="s">
        <v>1051</v>
      </c>
      <c r="J567">
        <v>78</v>
      </c>
      <c r="K567" t="s">
        <v>0</v>
      </c>
      <c r="L567" t="s">
        <v>3000</v>
      </c>
      <c r="M567" t="s">
        <v>1548</v>
      </c>
      <c r="N567" t="s">
        <v>1548</v>
      </c>
      <c r="O567" t="s">
        <v>1548</v>
      </c>
      <c r="P567" s="36" t="s">
        <v>6448</v>
      </c>
    </row>
    <row r="568" spans="1:16" ht="409.5" x14ac:dyDescent="0.25">
      <c r="A568" t="s">
        <v>7104</v>
      </c>
      <c r="B568" t="s">
        <v>7081</v>
      </c>
      <c r="C568" t="s">
        <v>6446</v>
      </c>
      <c r="D568" t="s">
        <v>1027</v>
      </c>
      <c r="E568">
        <v>1402</v>
      </c>
      <c r="F568" t="s">
        <v>6447</v>
      </c>
      <c r="G568" t="b">
        <v>0</v>
      </c>
      <c r="H568" t="b">
        <v>0</v>
      </c>
      <c r="I568" t="s">
        <v>1051</v>
      </c>
      <c r="J568">
        <v>78</v>
      </c>
      <c r="K568" t="s">
        <v>0</v>
      </c>
      <c r="L568" t="s">
        <v>3000</v>
      </c>
      <c r="M568" t="s">
        <v>1548</v>
      </c>
      <c r="N568" t="s">
        <v>1548</v>
      </c>
      <c r="O568" t="s">
        <v>1548</v>
      </c>
      <c r="P568" s="36" t="s">
        <v>6448</v>
      </c>
    </row>
    <row r="569" spans="1:16" ht="409.5" x14ac:dyDescent="0.25">
      <c r="A569" t="s">
        <v>7105</v>
      </c>
      <c r="B569" t="s">
        <v>7081</v>
      </c>
      <c r="C569" t="s">
        <v>6446</v>
      </c>
      <c r="D569" t="s">
        <v>1027</v>
      </c>
      <c r="E569">
        <v>1402</v>
      </c>
      <c r="F569" t="s">
        <v>6447</v>
      </c>
      <c r="G569" t="b">
        <v>0</v>
      </c>
      <c r="H569" t="b">
        <v>0</v>
      </c>
      <c r="I569" t="s">
        <v>1051</v>
      </c>
      <c r="J569">
        <v>78</v>
      </c>
      <c r="K569" t="s">
        <v>0</v>
      </c>
      <c r="L569" t="s">
        <v>3000</v>
      </c>
      <c r="M569" t="s">
        <v>1548</v>
      </c>
      <c r="N569" t="s">
        <v>1548</v>
      </c>
      <c r="O569" t="s">
        <v>1548</v>
      </c>
      <c r="P569" s="36" t="s">
        <v>6448</v>
      </c>
    </row>
    <row r="570" spans="1:16" ht="409.5" x14ac:dyDescent="0.25">
      <c r="A570" t="s">
        <v>7106</v>
      </c>
      <c r="B570" t="s">
        <v>7081</v>
      </c>
      <c r="C570" t="s">
        <v>6446</v>
      </c>
      <c r="D570" t="s">
        <v>1027</v>
      </c>
      <c r="E570">
        <v>1402</v>
      </c>
      <c r="F570" t="s">
        <v>6447</v>
      </c>
      <c r="G570" t="b">
        <v>0</v>
      </c>
      <c r="H570" t="b">
        <v>0</v>
      </c>
      <c r="I570" t="s">
        <v>1051</v>
      </c>
      <c r="J570">
        <v>78</v>
      </c>
      <c r="K570" t="s">
        <v>0</v>
      </c>
      <c r="L570" t="s">
        <v>3000</v>
      </c>
      <c r="M570" t="s">
        <v>1548</v>
      </c>
      <c r="N570" t="s">
        <v>1548</v>
      </c>
      <c r="O570" t="s">
        <v>1548</v>
      </c>
      <c r="P570" s="36" t="s">
        <v>6448</v>
      </c>
    </row>
    <row r="571" spans="1:16" ht="409.5" x14ac:dyDescent="0.25">
      <c r="A571" t="s">
        <v>7107</v>
      </c>
      <c r="B571" t="s">
        <v>7081</v>
      </c>
      <c r="C571" t="s">
        <v>6446</v>
      </c>
      <c r="D571" t="s">
        <v>1027</v>
      </c>
      <c r="E571">
        <v>1402</v>
      </c>
      <c r="F571" t="s">
        <v>6447</v>
      </c>
      <c r="G571" t="b">
        <v>0</v>
      </c>
      <c r="H571" t="b">
        <v>0</v>
      </c>
      <c r="I571" t="s">
        <v>1051</v>
      </c>
      <c r="J571">
        <v>78</v>
      </c>
      <c r="K571" t="s">
        <v>0</v>
      </c>
      <c r="L571" t="s">
        <v>3000</v>
      </c>
      <c r="M571" t="s">
        <v>1548</v>
      </c>
      <c r="N571" t="s">
        <v>1548</v>
      </c>
      <c r="O571" t="s">
        <v>1548</v>
      </c>
      <c r="P571" s="36" t="s">
        <v>6448</v>
      </c>
    </row>
    <row r="572" spans="1:16" ht="409.5" x14ac:dyDescent="0.25">
      <c r="A572" t="s">
        <v>7108</v>
      </c>
      <c r="B572" t="s">
        <v>7081</v>
      </c>
      <c r="C572" t="s">
        <v>6446</v>
      </c>
      <c r="D572" t="s">
        <v>1027</v>
      </c>
      <c r="E572">
        <v>1402</v>
      </c>
      <c r="F572" t="s">
        <v>6447</v>
      </c>
      <c r="G572" t="b">
        <v>0</v>
      </c>
      <c r="H572" t="b">
        <v>0</v>
      </c>
      <c r="I572" t="s">
        <v>1051</v>
      </c>
      <c r="J572">
        <v>78</v>
      </c>
      <c r="K572" t="s">
        <v>0</v>
      </c>
      <c r="L572" t="s">
        <v>3000</v>
      </c>
      <c r="M572" t="s">
        <v>1548</v>
      </c>
      <c r="N572" t="s">
        <v>1548</v>
      </c>
      <c r="O572" t="s">
        <v>1548</v>
      </c>
      <c r="P572" s="36" t="s">
        <v>6448</v>
      </c>
    </row>
    <row r="573" spans="1:16" ht="409.5" x14ac:dyDescent="0.25">
      <c r="A573" t="s">
        <v>7109</v>
      </c>
      <c r="B573" t="s">
        <v>7081</v>
      </c>
      <c r="C573" t="s">
        <v>6446</v>
      </c>
      <c r="D573" t="s">
        <v>1027</v>
      </c>
      <c r="E573">
        <v>1402</v>
      </c>
      <c r="F573" t="s">
        <v>6447</v>
      </c>
      <c r="G573" t="b">
        <v>0</v>
      </c>
      <c r="H573" t="b">
        <v>0</v>
      </c>
      <c r="I573" t="s">
        <v>1051</v>
      </c>
      <c r="J573">
        <v>78</v>
      </c>
      <c r="K573" t="s">
        <v>0</v>
      </c>
      <c r="L573" t="s">
        <v>3000</v>
      </c>
      <c r="M573" t="s">
        <v>1548</v>
      </c>
      <c r="N573" t="s">
        <v>1548</v>
      </c>
      <c r="O573" t="s">
        <v>1548</v>
      </c>
      <c r="P573" s="36" t="s">
        <v>6448</v>
      </c>
    </row>
    <row r="574" spans="1:16" ht="409.5" x14ac:dyDescent="0.25">
      <c r="A574" t="s">
        <v>7110</v>
      </c>
      <c r="B574" t="s">
        <v>7081</v>
      </c>
      <c r="C574" t="s">
        <v>6446</v>
      </c>
      <c r="D574" t="s">
        <v>1027</v>
      </c>
      <c r="E574">
        <v>1402</v>
      </c>
      <c r="F574" t="s">
        <v>6447</v>
      </c>
      <c r="G574" t="b">
        <v>0</v>
      </c>
      <c r="H574" t="b">
        <v>0</v>
      </c>
      <c r="I574" t="s">
        <v>1051</v>
      </c>
      <c r="J574">
        <v>78</v>
      </c>
      <c r="K574" t="s">
        <v>0</v>
      </c>
      <c r="L574" t="s">
        <v>3000</v>
      </c>
      <c r="M574" t="s">
        <v>1548</v>
      </c>
      <c r="N574" t="s">
        <v>1548</v>
      </c>
      <c r="O574" t="s">
        <v>1548</v>
      </c>
      <c r="P574" s="36" t="s">
        <v>6448</v>
      </c>
    </row>
    <row r="575" spans="1:16" ht="409.5" x14ac:dyDescent="0.25">
      <c r="A575" t="s">
        <v>7111</v>
      </c>
      <c r="B575" t="s">
        <v>7081</v>
      </c>
      <c r="C575" t="s">
        <v>6446</v>
      </c>
      <c r="D575" t="s">
        <v>1027</v>
      </c>
      <c r="E575">
        <v>1402</v>
      </c>
      <c r="F575" t="s">
        <v>6447</v>
      </c>
      <c r="G575" t="b">
        <v>0</v>
      </c>
      <c r="H575" t="b">
        <v>0</v>
      </c>
      <c r="I575" t="s">
        <v>1051</v>
      </c>
      <c r="J575">
        <v>78</v>
      </c>
      <c r="K575" t="s">
        <v>0</v>
      </c>
      <c r="L575" t="s">
        <v>3000</v>
      </c>
      <c r="M575" t="s">
        <v>1548</v>
      </c>
      <c r="N575" t="s">
        <v>1548</v>
      </c>
      <c r="O575" t="s">
        <v>1548</v>
      </c>
      <c r="P575" s="36" t="s">
        <v>6448</v>
      </c>
    </row>
    <row r="576" spans="1:16" ht="409.5" x14ac:dyDescent="0.25">
      <c r="A576" t="s">
        <v>7112</v>
      </c>
      <c r="B576" t="s">
        <v>7081</v>
      </c>
      <c r="C576" t="s">
        <v>6446</v>
      </c>
      <c r="D576" t="s">
        <v>1027</v>
      </c>
      <c r="E576">
        <v>1402</v>
      </c>
      <c r="F576" t="s">
        <v>6447</v>
      </c>
      <c r="G576" t="b">
        <v>0</v>
      </c>
      <c r="H576" t="b">
        <v>0</v>
      </c>
      <c r="I576" t="s">
        <v>1051</v>
      </c>
      <c r="J576">
        <v>78</v>
      </c>
      <c r="K576" t="s">
        <v>0</v>
      </c>
      <c r="L576" t="s">
        <v>3000</v>
      </c>
      <c r="M576" t="s">
        <v>1548</v>
      </c>
      <c r="N576" t="s">
        <v>1548</v>
      </c>
      <c r="O576" t="s">
        <v>1548</v>
      </c>
      <c r="P576" s="36" t="s">
        <v>6448</v>
      </c>
    </row>
    <row r="577" spans="1:16" ht="409.5" x14ac:dyDescent="0.25">
      <c r="A577" t="s">
        <v>7113</v>
      </c>
      <c r="B577" t="s">
        <v>7081</v>
      </c>
      <c r="C577" t="s">
        <v>6446</v>
      </c>
      <c r="D577" t="s">
        <v>1027</v>
      </c>
      <c r="E577">
        <v>1402</v>
      </c>
      <c r="F577" t="s">
        <v>6447</v>
      </c>
      <c r="G577" t="b">
        <v>0</v>
      </c>
      <c r="H577" t="b">
        <v>0</v>
      </c>
      <c r="I577" t="s">
        <v>1051</v>
      </c>
      <c r="J577">
        <v>78</v>
      </c>
      <c r="K577" t="s">
        <v>0</v>
      </c>
      <c r="L577" t="s">
        <v>3000</v>
      </c>
      <c r="M577" t="s">
        <v>1548</v>
      </c>
      <c r="N577" t="s">
        <v>1548</v>
      </c>
      <c r="O577" t="s">
        <v>1548</v>
      </c>
      <c r="P577" s="36" t="s">
        <v>6448</v>
      </c>
    </row>
    <row r="578" spans="1:16" ht="409.5" x14ac:dyDescent="0.25">
      <c r="A578" t="s">
        <v>7114</v>
      </c>
      <c r="B578" t="s">
        <v>7115</v>
      </c>
      <c r="C578" t="s">
        <v>6446</v>
      </c>
      <c r="D578" t="s">
        <v>1027</v>
      </c>
      <c r="E578">
        <v>1402</v>
      </c>
      <c r="F578" t="s">
        <v>6447</v>
      </c>
      <c r="G578" t="b">
        <v>0</v>
      </c>
      <c r="H578" t="b">
        <v>0</v>
      </c>
      <c r="I578" t="s">
        <v>1051</v>
      </c>
      <c r="J578">
        <v>78</v>
      </c>
      <c r="K578" t="s">
        <v>0</v>
      </c>
      <c r="L578" t="s">
        <v>3000</v>
      </c>
      <c r="M578" t="s">
        <v>1548</v>
      </c>
      <c r="N578" t="s">
        <v>1548</v>
      </c>
      <c r="O578" t="s">
        <v>1548</v>
      </c>
      <c r="P578" s="36" t="s">
        <v>6448</v>
      </c>
    </row>
    <row r="579" spans="1:16" ht="409.5" x14ac:dyDescent="0.25">
      <c r="A579" t="s">
        <v>7116</v>
      </c>
      <c r="B579" t="s">
        <v>7115</v>
      </c>
      <c r="C579" t="s">
        <v>6446</v>
      </c>
      <c r="D579" t="s">
        <v>1027</v>
      </c>
      <c r="E579">
        <v>1402</v>
      </c>
      <c r="F579" t="s">
        <v>6447</v>
      </c>
      <c r="G579" t="b">
        <v>0</v>
      </c>
      <c r="H579" t="b">
        <v>0</v>
      </c>
      <c r="I579" t="s">
        <v>1051</v>
      </c>
      <c r="J579">
        <v>78</v>
      </c>
      <c r="K579" t="s">
        <v>0</v>
      </c>
      <c r="L579" t="s">
        <v>3000</v>
      </c>
      <c r="M579" t="s">
        <v>1548</v>
      </c>
      <c r="N579" t="s">
        <v>1548</v>
      </c>
      <c r="O579" t="s">
        <v>1548</v>
      </c>
      <c r="P579" s="36" t="s">
        <v>6448</v>
      </c>
    </row>
    <row r="580" spans="1:16" ht="409.5" x14ac:dyDescent="0.25">
      <c r="A580" t="s">
        <v>7117</v>
      </c>
      <c r="B580" t="s">
        <v>7115</v>
      </c>
      <c r="C580" t="s">
        <v>6446</v>
      </c>
      <c r="D580" t="s">
        <v>1027</v>
      </c>
      <c r="E580">
        <v>1402</v>
      </c>
      <c r="F580" t="s">
        <v>6447</v>
      </c>
      <c r="G580" t="b">
        <v>0</v>
      </c>
      <c r="H580" t="b">
        <v>0</v>
      </c>
      <c r="I580" t="s">
        <v>1051</v>
      </c>
      <c r="J580">
        <v>78</v>
      </c>
      <c r="K580" t="s">
        <v>0</v>
      </c>
      <c r="L580" t="s">
        <v>3000</v>
      </c>
      <c r="M580" t="s">
        <v>1548</v>
      </c>
      <c r="N580" t="s">
        <v>1548</v>
      </c>
      <c r="O580" t="s">
        <v>1548</v>
      </c>
      <c r="P580" s="36" t="s">
        <v>6448</v>
      </c>
    </row>
    <row r="581" spans="1:16" ht="409.5" x14ac:dyDescent="0.25">
      <c r="A581" t="s">
        <v>7118</v>
      </c>
      <c r="B581" t="s">
        <v>7115</v>
      </c>
      <c r="C581" t="s">
        <v>6446</v>
      </c>
      <c r="D581" t="s">
        <v>1027</v>
      </c>
      <c r="E581">
        <v>1402</v>
      </c>
      <c r="F581" t="s">
        <v>6447</v>
      </c>
      <c r="G581" t="b">
        <v>0</v>
      </c>
      <c r="H581" t="b">
        <v>0</v>
      </c>
      <c r="I581" t="s">
        <v>1051</v>
      </c>
      <c r="J581">
        <v>78</v>
      </c>
      <c r="K581" t="s">
        <v>0</v>
      </c>
      <c r="L581" t="s">
        <v>3000</v>
      </c>
      <c r="M581" t="s">
        <v>1548</v>
      </c>
      <c r="N581" t="s">
        <v>1548</v>
      </c>
      <c r="O581" t="s">
        <v>1548</v>
      </c>
      <c r="P581" s="36" t="s">
        <v>6448</v>
      </c>
    </row>
    <row r="582" spans="1:16" ht="409.5" x14ac:dyDescent="0.25">
      <c r="A582" t="s">
        <v>7119</v>
      </c>
      <c r="B582" t="s">
        <v>7115</v>
      </c>
      <c r="C582" t="s">
        <v>6446</v>
      </c>
      <c r="D582" t="s">
        <v>1027</v>
      </c>
      <c r="E582">
        <v>1402</v>
      </c>
      <c r="F582" t="s">
        <v>6447</v>
      </c>
      <c r="G582" t="b">
        <v>0</v>
      </c>
      <c r="H582" t="b">
        <v>0</v>
      </c>
      <c r="I582" t="s">
        <v>1051</v>
      </c>
      <c r="J582">
        <v>78</v>
      </c>
      <c r="K582" t="s">
        <v>0</v>
      </c>
      <c r="L582" t="s">
        <v>3000</v>
      </c>
      <c r="M582" t="s">
        <v>1548</v>
      </c>
      <c r="N582" t="s">
        <v>1548</v>
      </c>
      <c r="O582" t="s">
        <v>1548</v>
      </c>
      <c r="P582" s="36" t="s">
        <v>6448</v>
      </c>
    </row>
    <row r="583" spans="1:16" ht="409.5" x14ac:dyDescent="0.25">
      <c r="A583" t="s">
        <v>7120</v>
      </c>
      <c r="B583" t="s">
        <v>7115</v>
      </c>
      <c r="C583" t="s">
        <v>6446</v>
      </c>
      <c r="D583" t="s">
        <v>1027</v>
      </c>
      <c r="E583">
        <v>1402</v>
      </c>
      <c r="F583" t="s">
        <v>6447</v>
      </c>
      <c r="G583" t="b">
        <v>0</v>
      </c>
      <c r="H583" t="b">
        <v>0</v>
      </c>
      <c r="I583" t="s">
        <v>1051</v>
      </c>
      <c r="J583">
        <v>78</v>
      </c>
      <c r="K583" t="s">
        <v>0</v>
      </c>
      <c r="L583" t="s">
        <v>3000</v>
      </c>
      <c r="M583" t="s">
        <v>1548</v>
      </c>
      <c r="N583" t="s">
        <v>1548</v>
      </c>
      <c r="O583" t="s">
        <v>1548</v>
      </c>
      <c r="P583" s="36" t="s">
        <v>6448</v>
      </c>
    </row>
    <row r="584" spans="1:16" ht="409.5" x14ac:dyDescent="0.25">
      <c r="A584" t="s">
        <v>7121</v>
      </c>
      <c r="B584" t="s">
        <v>7115</v>
      </c>
      <c r="C584" t="s">
        <v>6446</v>
      </c>
      <c r="D584" t="s">
        <v>1027</v>
      </c>
      <c r="E584">
        <v>1402</v>
      </c>
      <c r="F584" t="s">
        <v>6447</v>
      </c>
      <c r="G584" t="b">
        <v>0</v>
      </c>
      <c r="H584" t="b">
        <v>0</v>
      </c>
      <c r="I584" t="s">
        <v>1051</v>
      </c>
      <c r="J584">
        <v>78</v>
      </c>
      <c r="K584" t="s">
        <v>0</v>
      </c>
      <c r="L584" t="s">
        <v>3000</v>
      </c>
      <c r="M584" t="s">
        <v>1548</v>
      </c>
      <c r="N584" t="s">
        <v>1548</v>
      </c>
      <c r="O584" t="s">
        <v>1548</v>
      </c>
      <c r="P584" s="36" t="s">
        <v>6448</v>
      </c>
    </row>
    <row r="585" spans="1:16" ht="409.5" x14ac:dyDescent="0.25">
      <c r="A585" t="s">
        <v>7122</v>
      </c>
      <c r="B585" t="s">
        <v>7115</v>
      </c>
      <c r="C585" t="s">
        <v>6446</v>
      </c>
      <c r="D585" t="s">
        <v>1027</v>
      </c>
      <c r="E585">
        <v>1402</v>
      </c>
      <c r="F585" t="s">
        <v>6447</v>
      </c>
      <c r="G585" t="b">
        <v>0</v>
      </c>
      <c r="H585" t="b">
        <v>0</v>
      </c>
      <c r="I585" t="s">
        <v>1051</v>
      </c>
      <c r="J585">
        <v>78</v>
      </c>
      <c r="K585" t="s">
        <v>0</v>
      </c>
      <c r="L585" t="s">
        <v>3000</v>
      </c>
      <c r="M585" t="s">
        <v>1548</v>
      </c>
      <c r="N585" t="s">
        <v>1548</v>
      </c>
      <c r="O585" t="s">
        <v>1548</v>
      </c>
      <c r="P585" s="36" t="s">
        <v>6448</v>
      </c>
    </row>
    <row r="586" spans="1:16" ht="409.5" x14ac:dyDescent="0.25">
      <c r="A586" t="s">
        <v>7123</v>
      </c>
      <c r="B586" t="s">
        <v>7115</v>
      </c>
      <c r="C586" t="s">
        <v>6446</v>
      </c>
      <c r="D586" t="s">
        <v>1027</v>
      </c>
      <c r="E586">
        <v>1402</v>
      </c>
      <c r="F586" t="s">
        <v>6447</v>
      </c>
      <c r="G586" t="b">
        <v>0</v>
      </c>
      <c r="H586" t="b">
        <v>0</v>
      </c>
      <c r="I586" t="s">
        <v>1051</v>
      </c>
      <c r="J586">
        <v>78</v>
      </c>
      <c r="K586" t="s">
        <v>0</v>
      </c>
      <c r="L586" t="s">
        <v>3000</v>
      </c>
      <c r="M586" t="s">
        <v>1548</v>
      </c>
      <c r="N586" t="s">
        <v>1548</v>
      </c>
      <c r="O586" t="s">
        <v>1548</v>
      </c>
      <c r="P586" s="36" t="s">
        <v>6448</v>
      </c>
    </row>
    <row r="587" spans="1:16" ht="409.5" x14ac:dyDescent="0.25">
      <c r="A587" t="s">
        <v>7124</v>
      </c>
      <c r="B587" t="s">
        <v>7115</v>
      </c>
      <c r="C587" t="s">
        <v>6446</v>
      </c>
      <c r="D587" t="s">
        <v>1027</v>
      </c>
      <c r="E587">
        <v>1402</v>
      </c>
      <c r="F587" t="s">
        <v>6447</v>
      </c>
      <c r="G587" t="b">
        <v>0</v>
      </c>
      <c r="H587" t="b">
        <v>0</v>
      </c>
      <c r="I587" t="s">
        <v>1051</v>
      </c>
      <c r="J587">
        <v>78</v>
      </c>
      <c r="K587" t="s">
        <v>0</v>
      </c>
      <c r="L587" t="s">
        <v>3000</v>
      </c>
      <c r="M587" t="s">
        <v>1548</v>
      </c>
      <c r="N587" t="s">
        <v>1548</v>
      </c>
      <c r="O587" t="s">
        <v>1548</v>
      </c>
      <c r="P587" s="36" t="s">
        <v>6448</v>
      </c>
    </row>
    <row r="588" spans="1:16" ht="409.5" x14ac:dyDescent="0.25">
      <c r="A588" t="s">
        <v>7125</v>
      </c>
      <c r="B588" t="s">
        <v>7115</v>
      </c>
      <c r="C588" t="s">
        <v>6446</v>
      </c>
      <c r="D588" t="s">
        <v>1027</v>
      </c>
      <c r="E588">
        <v>1402</v>
      </c>
      <c r="F588" t="s">
        <v>6447</v>
      </c>
      <c r="G588" t="b">
        <v>0</v>
      </c>
      <c r="H588" t="b">
        <v>0</v>
      </c>
      <c r="I588" t="s">
        <v>1051</v>
      </c>
      <c r="J588">
        <v>78</v>
      </c>
      <c r="K588" t="s">
        <v>0</v>
      </c>
      <c r="L588" t="s">
        <v>3000</v>
      </c>
      <c r="M588" t="s">
        <v>1548</v>
      </c>
      <c r="N588" t="s">
        <v>1548</v>
      </c>
      <c r="O588" t="s">
        <v>1548</v>
      </c>
      <c r="P588" s="36" t="s">
        <v>6448</v>
      </c>
    </row>
    <row r="589" spans="1:16" ht="409.5" x14ac:dyDescent="0.25">
      <c r="A589" t="s">
        <v>7126</v>
      </c>
      <c r="B589" t="s">
        <v>7115</v>
      </c>
      <c r="C589" t="s">
        <v>6446</v>
      </c>
      <c r="D589" t="s">
        <v>1027</v>
      </c>
      <c r="E589">
        <v>1402</v>
      </c>
      <c r="F589" t="s">
        <v>6447</v>
      </c>
      <c r="G589" t="b">
        <v>0</v>
      </c>
      <c r="H589" t="b">
        <v>0</v>
      </c>
      <c r="I589" t="s">
        <v>1051</v>
      </c>
      <c r="J589">
        <v>78</v>
      </c>
      <c r="K589" t="s">
        <v>0</v>
      </c>
      <c r="L589" t="s">
        <v>3000</v>
      </c>
      <c r="M589" t="s">
        <v>1548</v>
      </c>
      <c r="N589" t="s">
        <v>1548</v>
      </c>
      <c r="O589" t="s">
        <v>1548</v>
      </c>
      <c r="P589" s="36" t="s">
        <v>6448</v>
      </c>
    </row>
    <row r="590" spans="1:16" ht="409.5" x14ac:dyDescent="0.25">
      <c r="A590" t="s">
        <v>7127</v>
      </c>
      <c r="B590" t="s">
        <v>7115</v>
      </c>
      <c r="C590" t="s">
        <v>6446</v>
      </c>
      <c r="D590" t="s">
        <v>1027</v>
      </c>
      <c r="E590">
        <v>1402</v>
      </c>
      <c r="F590" t="s">
        <v>6447</v>
      </c>
      <c r="G590" t="b">
        <v>0</v>
      </c>
      <c r="H590" t="b">
        <v>0</v>
      </c>
      <c r="I590" t="s">
        <v>1051</v>
      </c>
      <c r="J590">
        <v>78</v>
      </c>
      <c r="K590" t="s">
        <v>0</v>
      </c>
      <c r="L590" t="s">
        <v>3000</v>
      </c>
      <c r="M590" t="s">
        <v>1548</v>
      </c>
      <c r="N590" t="s">
        <v>1548</v>
      </c>
      <c r="O590" t="s">
        <v>1548</v>
      </c>
      <c r="P590" s="36" t="s">
        <v>6448</v>
      </c>
    </row>
    <row r="591" spans="1:16" ht="409.5" x14ac:dyDescent="0.25">
      <c r="A591" t="s">
        <v>7128</v>
      </c>
      <c r="B591" t="s">
        <v>7129</v>
      </c>
      <c r="C591" t="s">
        <v>6446</v>
      </c>
      <c r="D591" t="s">
        <v>1027</v>
      </c>
      <c r="G591" t="b">
        <v>0</v>
      </c>
      <c r="H591" t="b">
        <v>0</v>
      </c>
      <c r="I591" t="s">
        <v>1051</v>
      </c>
      <c r="J591">
        <v>78</v>
      </c>
      <c r="K591" t="s">
        <v>0</v>
      </c>
      <c r="L591" t="s">
        <v>3000</v>
      </c>
      <c r="M591" t="s">
        <v>1548</v>
      </c>
      <c r="N591" t="s">
        <v>1548</v>
      </c>
      <c r="O591" t="s">
        <v>1548</v>
      </c>
      <c r="P591" s="36" t="s">
        <v>6448</v>
      </c>
    </row>
    <row r="592" spans="1:16" x14ac:dyDescent="0.25">
      <c r="A592" t="s">
        <v>7130</v>
      </c>
      <c r="B592" t="s">
        <v>7131</v>
      </c>
      <c r="C592" t="s">
        <v>1335</v>
      </c>
      <c r="D592" t="s">
        <v>1027</v>
      </c>
      <c r="E592">
        <v>1459</v>
      </c>
      <c r="F592" t="s">
        <v>1336</v>
      </c>
      <c r="G592" t="b">
        <v>0</v>
      </c>
      <c r="H592" t="b">
        <v>0</v>
      </c>
      <c r="I592" t="s">
        <v>1051</v>
      </c>
      <c r="J592">
        <v>78</v>
      </c>
      <c r="K592" t="s">
        <v>2</v>
      </c>
      <c r="L592" t="s">
        <v>1549</v>
      </c>
      <c r="M592" t="s">
        <v>3922</v>
      </c>
      <c r="N592" t="s">
        <v>3922</v>
      </c>
      <c r="O592" t="s">
        <v>3922</v>
      </c>
      <c r="P592" t="s">
        <v>1682</v>
      </c>
    </row>
    <row r="593" spans="1:16" x14ac:dyDescent="0.25">
      <c r="A593" t="s">
        <v>7132</v>
      </c>
      <c r="B593" t="s">
        <v>7131</v>
      </c>
      <c r="C593" t="s">
        <v>1335</v>
      </c>
      <c r="D593" t="s">
        <v>1027</v>
      </c>
      <c r="E593">
        <v>1459</v>
      </c>
      <c r="F593" t="s">
        <v>1336</v>
      </c>
      <c r="G593" t="b">
        <v>0</v>
      </c>
      <c r="H593" t="b">
        <v>0</v>
      </c>
      <c r="I593" t="s">
        <v>1051</v>
      </c>
      <c r="J593">
        <v>78</v>
      </c>
      <c r="K593" t="s">
        <v>2</v>
      </c>
      <c r="L593" t="s">
        <v>1549</v>
      </c>
      <c r="M593" t="s">
        <v>3922</v>
      </c>
      <c r="N593" t="s">
        <v>3922</v>
      </c>
      <c r="O593" t="s">
        <v>3922</v>
      </c>
      <c r="P593" t="s">
        <v>1682</v>
      </c>
    </row>
    <row r="594" spans="1:16" x14ac:dyDescent="0.25">
      <c r="A594" t="s">
        <v>7133</v>
      </c>
      <c r="B594" t="s">
        <v>7131</v>
      </c>
      <c r="C594" t="s">
        <v>1335</v>
      </c>
      <c r="D594" t="s">
        <v>1027</v>
      </c>
      <c r="E594">
        <v>1459</v>
      </c>
      <c r="F594" t="s">
        <v>1336</v>
      </c>
      <c r="G594" t="b">
        <v>0</v>
      </c>
      <c r="H594" t="b">
        <v>0</v>
      </c>
      <c r="I594" t="s">
        <v>1051</v>
      </c>
      <c r="J594">
        <v>78</v>
      </c>
      <c r="K594" t="s">
        <v>2</v>
      </c>
      <c r="L594" t="s">
        <v>1549</v>
      </c>
      <c r="M594" t="s">
        <v>3922</v>
      </c>
      <c r="N594" t="s">
        <v>3922</v>
      </c>
      <c r="O594" t="s">
        <v>3922</v>
      </c>
      <c r="P594" t="s">
        <v>1682</v>
      </c>
    </row>
    <row r="595" spans="1:16" x14ac:dyDescent="0.25">
      <c r="A595" t="s">
        <v>7134</v>
      </c>
      <c r="B595" t="s">
        <v>7131</v>
      </c>
      <c r="C595" t="s">
        <v>1335</v>
      </c>
      <c r="D595" t="s">
        <v>1027</v>
      </c>
      <c r="E595">
        <v>1459</v>
      </c>
      <c r="F595" t="s">
        <v>1336</v>
      </c>
      <c r="G595" t="b">
        <v>0</v>
      </c>
      <c r="H595" t="b">
        <v>0</v>
      </c>
      <c r="I595" t="s">
        <v>1051</v>
      </c>
      <c r="J595">
        <v>78</v>
      </c>
      <c r="K595" t="s">
        <v>2</v>
      </c>
      <c r="L595" t="s">
        <v>1549</v>
      </c>
      <c r="M595" t="s">
        <v>3922</v>
      </c>
      <c r="N595" t="s">
        <v>3922</v>
      </c>
      <c r="O595" t="s">
        <v>3922</v>
      </c>
      <c r="P595" t="s">
        <v>1682</v>
      </c>
    </row>
    <row r="596" spans="1:16" x14ac:dyDescent="0.25">
      <c r="A596" t="s">
        <v>7135</v>
      </c>
      <c r="B596" t="s">
        <v>7131</v>
      </c>
      <c r="C596" t="s">
        <v>1335</v>
      </c>
      <c r="D596" t="s">
        <v>1027</v>
      </c>
      <c r="E596">
        <v>1459</v>
      </c>
      <c r="F596" t="s">
        <v>1336</v>
      </c>
      <c r="G596" t="b">
        <v>0</v>
      </c>
      <c r="H596" t="b">
        <v>0</v>
      </c>
      <c r="I596" t="s">
        <v>1051</v>
      </c>
      <c r="J596">
        <v>78</v>
      </c>
      <c r="K596" t="s">
        <v>2</v>
      </c>
      <c r="L596" t="s">
        <v>1549</v>
      </c>
      <c r="M596" t="s">
        <v>3922</v>
      </c>
      <c r="N596" t="s">
        <v>3922</v>
      </c>
      <c r="O596" t="s">
        <v>3922</v>
      </c>
      <c r="P596" t="s">
        <v>1682</v>
      </c>
    </row>
    <row r="597" spans="1:16" x14ac:dyDescent="0.25">
      <c r="A597" t="s">
        <v>7136</v>
      </c>
      <c r="B597" t="s">
        <v>7131</v>
      </c>
      <c r="C597" t="s">
        <v>1335</v>
      </c>
      <c r="D597" t="s">
        <v>1027</v>
      </c>
      <c r="E597">
        <v>1459</v>
      </c>
      <c r="F597" t="s">
        <v>1336</v>
      </c>
      <c r="G597" t="b">
        <v>0</v>
      </c>
      <c r="H597" t="b">
        <v>0</v>
      </c>
      <c r="I597" t="s">
        <v>1051</v>
      </c>
      <c r="J597">
        <v>78</v>
      </c>
      <c r="K597" t="s">
        <v>2</v>
      </c>
      <c r="L597" t="s">
        <v>1549</v>
      </c>
      <c r="M597" t="s">
        <v>3922</v>
      </c>
      <c r="N597" t="s">
        <v>3922</v>
      </c>
      <c r="O597" t="s">
        <v>3922</v>
      </c>
      <c r="P597" t="s">
        <v>1682</v>
      </c>
    </row>
    <row r="598" spans="1:16" x14ac:dyDescent="0.25">
      <c r="A598" t="s">
        <v>7137</v>
      </c>
      <c r="B598" t="s">
        <v>7131</v>
      </c>
      <c r="C598" t="s">
        <v>1335</v>
      </c>
      <c r="D598" t="s">
        <v>1027</v>
      </c>
      <c r="E598">
        <v>1459</v>
      </c>
      <c r="F598" t="s">
        <v>1336</v>
      </c>
      <c r="G598" t="b">
        <v>0</v>
      </c>
      <c r="H598" t="b">
        <v>0</v>
      </c>
      <c r="I598" t="s">
        <v>1051</v>
      </c>
      <c r="J598">
        <v>78</v>
      </c>
      <c r="K598" t="s">
        <v>2</v>
      </c>
      <c r="L598" t="s">
        <v>1549</v>
      </c>
      <c r="M598" t="s">
        <v>3922</v>
      </c>
      <c r="N598" t="s">
        <v>3922</v>
      </c>
      <c r="O598" t="s">
        <v>3922</v>
      </c>
      <c r="P598" t="s">
        <v>1682</v>
      </c>
    </row>
    <row r="599" spans="1:16" x14ac:dyDescent="0.25">
      <c r="A599" t="s">
        <v>7138</v>
      </c>
      <c r="B599" t="s">
        <v>7131</v>
      </c>
      <c r="C599" t="s">
        <v>1335</v>
      </c>
      <c r="D599" t="s">
        <v>1027</v>
      </c>
      <c r="E599">
        <v>1459</v>
      </c>
      <c r="F599" t="s">
        <v>1336</v>
      </c>
      <c r="G599" t="b">
        <v>0</v>
      </c>
      <c r="H599" t="b">
        <v>0</v>
      </c>
      <c r="I599" t="s">
        <v>1051</v>
      </c>
      <c r="J599">
        <v>28</v>
      </c>
      <c r="K599" t="s">
        <v>2</v>
      </c>
      <c r="L599" t="s">
        <v>1549</v>
      </c>
      <c r="M599" t="s">
        <v>3922</v>
      </c>
      <c r="N599" t="s">
        <v>3922</v>
      </c>
      <c r="O599" t="s">
        <v>3922</v>
      </c>
      <c r="P599" t="s">
        <v>1682</v>
      </c>
    </row>
    <row r="600" spans="1:16" x14ac:dyDescent="0.25">
      <c r="A600" t="s">
        <v>7139</v>
      </c>
      <c r="B600" t="s">
        <v>7131</v>
      </c>
      <c r="C600" t="s">
        <v>1335</v>
      </c>
      <c r="D600" t="s">
        <v>1027</v>
      </c>
      <c r="E600">
        <v>1459</v>
      </c>
      <c r="F600" t="s">
        <v>1336</v>
      </c>
      <c r="G600" t="b">
        <v>0</v>
      </c>
      <c r="H600" t="b">
        <v>0</v>
      </c>
      <c r="I600" t="s">
        <v>1051</v>
      </c>
      <c r="J600">
        <v>28</v>
      </c>
      <c r="K600" t="s">
        <v>2</v>
      </c>
      <c r="L600" t="s">
        <v>1549</v>
      </c>
      <c r="M600" t="s">
        <v>3922</v>
      </c>
      <c r="N600" t="s">
        <v>3922</v>
      </c>
      <c r="O600" t="s">
        <v>3922</v>
      </c>
      <c r="P600" t="s">
        <v>1682</v>
      </c>
    </row>
    <row r="601" spans="1:16" x14ac:dyDescent="0.25">
      <c r="A601" t="s">
        <v>7140</v>
      </c>
      <c r="B601" t="s">
        <v>7131</v>
      </c>
      <c r="C601" t="s">
        <v>1335</v>
      </c>
      <c r="D601" t="s">
        <v>1027</v>
      </c>
      <c r="E601">
        <v>1459</v>
      </c>
      <c r="F601" t="s">
        <v>1336</v>
      </c>
      <c r="G601" t="b">
        <v>0</v>
      </c>
      <c r="H601" t="b">
        <v>0</v>
      </c>
      <c r="I601" t="s">
        <v>1051</v>
      </c>
      <c r="J601">
        <v>28</v>
      </c>
      <c r="K601" t="s">
        <v>2</v>
      </c>
      <c r="L601" t="s">
        <v>1549</v>
      </c>
      <c r="M601" t="s">
        <v>3922</v>
      </c>
      <c r="N601" t="s">
        <v>3922</v>
      </c>
      <c r="O601" t="s">
        <v>3922</v>
      </c>
      <c r="P601" t="s">
        <v>1682</v>
      </c>
    </row>
    <row r="602" spans="1:16" ht="409.5" x14ac:dyDescent="0.25">
      <c r="A602" t="s">
        <v>7141</v>
      </c>
      <c r="B602" t="s">
        <v>7142</v>
      </c>
      <c r="C602" t="s">
        <v>6473</v>
      </c>
      <c r="D602" t="s">
        <v>1027</v>
      </c>
      <c r="E602">
        <v>33419</v>
      </c>
      <c r="F602" t="s">
        <v>6474</v>
      </c>
      <c r="G602" t="b">
        <v>0</v>
      </c>
      <c r="H602" t="b">
        <v>0</v>
      </c>
      <c r="I602" t="s">
        <v>1051</v>
      </c>
      <c r="J602">
        <v>78</v>
      </c>
      <c r="K602" t="s">
        <v>0</v>
      </c>
      <c r="L602" t="s">
        <v>3000</v>
      </c>
      <c r="M602" t="s">
        <v>1548</v>
      </c>
      <c r="N602" t="s">
        <v>1548</v>
      </c>
      <c r="O602" t="s">
        <v>1548</v>
      </c>
      <c r="P602" s="36" t="s">
        <v>6448</v>
      </c>
    </row>
    <row r="603" spans="1:16" ht="409.5" x14ac:dyDescent="0.25">
      <c r="A603" t="s">
        <v>7143</v>
      </c>
      <c r="B603" t="s">
        <v>7142</v>
      </c>
      <c r="C603" t="s">
        <v>6473</v>
      </c>
      <c r="D603" t="s">
        <v>1027</v>
      </c>
      <c r="E603">
        <v>33419</v>
      </c>
      <c r="F603" t="s">
        <v>6474</v>
      </c>
      <c r="G603" t="b">
        <v>0</v>
      </c>
      <c r="H603" t="b">
        <v>0</v>
      </c>
      <c r="I603" t="s">
        <v>1051</v>
      </c>
      <c r="J603">
        <v>78</v>
      </c>
      <c r="K603" t="s">
        <v>0</v>
      </c>
      <c r="L603" t="s">
        <v>3000</v>
      </c>
      <c r="M603" t="s">
        <v>1548</v>
      </c>
      <c r="N603" t="s">
        <v>1548</v>
      </c>
      <c r="O603" t="s">
        <v>1548</v>
      </c>
      <c r="P603" s="36" t="s">
        <v>6448</v>
      </c>
    </row>
    <row r="604" spans="1:16" ht="409.5" x14ac:dyDescent="0.25">
      <c r="A604" t="s">
        <v>7144</v>
      </c>
      <c r="B604" t="s">
        <v>7142</v>
      </c>
      <c r="C604" t="s">
        <v>6473</v>
      </c>
      <c r="D604" t="s">
        <v>1027</v>
      </c>
      <c r="E604">
        <v>33419</v>
      </c>
      <c r="F604" t="s">
        <v>6474</v>
      </c>
      <c r="G604" t="b">
        <v>0</v>
      </c>
      <c r="H604" t="b">
        <v>0</v>
      </c>
      <c r="I604" t="s">
        <v>1051</v>
      </c>
      <c r="J604">
        <v>78</v>
      </c>
      <c r="K604" t="s">
        <v>0</v>
      </c>
      <c r="L604" t="s">
        <v>3000</v>
      </c>
      <c r="M604" t="s">
        <v>1548</v>
      </c>
      <c r="N604" t="s">
        <v>1548</v>
      </c>
      <c r="O604" t="s">
        <v>1548</v>
      </c>
      <c r="P604" s="36" t="s">
        <v>6448</v>
      </c>
    </row>
    <row r="605" spans="1:16" ht="409.5" x14ac:dyDescent="0.25">
      <c r="A605" t="s">
        <v>7145</v>
      </c>
      <c r="B605" t="s">
        <v>7142</v>
      </c>
      <c r="C605" t="s">
        <v>6473</v>
      </c>
      <c r="D605" t="s">
        <v>1027</v>
      </c>
      <c r="E605">
        <v>33419</v>
      </c>
      <c r="F605" t="s">
        <v>6474</v>
      </c>
      <c r="G605" t="b">
        <v>0</v>
      </c>
      <c r="H605" t="b">
        <v>0</v>
      </c>
      <c r="I605" t="s">
        <v>1051</v>
      </c>
      <c r="J605">
        <v>78</v>
      </c>
      <c r="K605" t="s">
        <v>0</v>
      </c>
      <c r="L605" t="s">
        <v>3000</v>
      </c>
      <c r="M605" t="s">
        <v>1548</v>
      </c>
      <c r="N605" t="s">
        <v>1548</v>
      </c>
      <c r="O605" t="s">
        <v>1548</v>
      </c>
      <c r="P605" s="36" t="s">
        <v>6448</v>
      </c>
    </row>
    <row r="606" spans="1:16" ht="409.5" x14ac:dyDescent="0.25">
      <c r="A606" t="s">
        <v>7146</v>
      </c>
      <c r="B606" t="s">
        <v>7142</v>
      </c>
      <c r="C606" t="s">
        <v>6473</v>
      </c>
      <c r="D606" t="s">
        <v>1027</v>
      </c>
      <c r="E606">
        <v>33419</v>
      </c>
      <c r="F606" t="s">
        <v>6474</v>
      </c>
      <c r="G606" t="b">
        <v>0</v>
      </c>
      <c r="H606" t="b">
        <v>0</v>
      </c>
      <c r="I606" t="s">
        <v>1051</v>
      </c>
      <c r="J606">
        <v>78</v>
      </c>
      <c r="K606" t="s">
        <v>0</v>
      </c>
      <c r="L606" t="s">
        <v>3000</v>
      </c>
      <c r="M606" t="s">
        <v>1548</v>
      </c>
      <c r="N606" t="s">
        <v>1548</v>
      </c>
      <c r="O606" t="s">
        <v>1548</v>
      </c>
      <c r="P606" s="36" t="s">
        <v>6448</v>
      </c>
    </row>
    <row r="607" spans="1:16" ht="409.5" x14ac:dyDescent="0.25">
      <c r="A607" t="s">
        <v>7147</v>
      </c>
      <c r="B607" t="s">
        <v>7142</v>
      </c>
      <c r="C607" t="s">
        <v>6473</v>
      </c>
      <c r="D607" t="s">
        <v>1027</v>
      </c>
      <c r="E607">
        <v>33419</v>
      </c>
      <c r="F607" t="s">
        <v>6474</v>
      </c>
      <c r="G607" t="b">
        <v>0</v>
      </c>
      <c r="H607" t="b">
        <v>0</v>
      </c>
      <c r="I607" t="s">
        <v>1051</v>
      </c>
      <c r="J607">
        <v>78</v>
      </c>
      <c r="K607" t="s">
        <v>0</v>
      </c>
      <c r="L607" t="s">
        <v>3000</v>
      </c>
      <c r="M607" t="s">
        <v>1548</v>
      </c>
      <c r="N607" t="s">
        <v>1548</v>
      </c>
      <c r="O607" t="s">
        <v>1548</v>
      </c>
      <c r="P607" s="36" t="s">
        <v>6448</v>
      </c>
    </row>
    <row r="608" spans="1:16" ht="409.5" x14ac:dyDescent="0.25">
      <c r="A608" t="s">
        <v>7148</v>
      </c>
      <c r="B608" t="s">
        <v>7149</v>
      </c>
      <c r="C608" t="s">
        <v>6473</v>
      </c>
      <c r="D608" t="s">
        <v>1027</v>
      </c>
      <c r="E608">
        <v>33419</v>
      </c>
      <c r="F608" t="s">
        <v>6474</v>
      </c>
      <c r="G608" t="b">
        <v>0</v>
      </c>
      <c r="H608" t="b">
        <v>0</v>
      </c>
      <c r="I608" t="s">
        <v>1051</v>
      </c>
      <c r="J608">
        <v>78</v>
      </c>
      <c r="K608" t="s">
        <v>0</v>
      </c>
      <c r="L608" t="s">
        <v>3000</v>
      </c>
      <c r="M608" t="s">
        <v>1548</v>
      </c>
      <c r="N608" t="s">
        <v>1548</v>
      </c>
      <c r="O608" t="s">
        <v>1548</v>
      </c>
      <c r="P608" s="36" t="s">
        <v>6448</v>
      </c>
    </row>
    <row r="609" spans="1:16" ht="409.5" x14ac:dyDescent="0.25">
      <c r="A609" t="s">
        <v>7150</v>
      </c>
      <c r="B609" t="s">
        <v>7149</v>
      </c>
      <c r="C609" t="s">
        <v>6473</v>
      </c>
      <c r="D609" t="s">
        <v>1027</v>
      </c>
      <c r="E609">
        <v>33419</v>
      </c>
      <c r="F609" t="s">
        <v>6474</v>
      </c>
      <c r="G609" t="b">
        <v>0</v>
      </c>
      <c r="H609" t="b">
        <v>0</v>
      </c>
      <c r="I609" t="s">
        <v>1051</v>
      </c>
      <c r="J609">
        <v>78</v>
      </c>
      <c r="K609" t="s">
        <v>0</v>
      </c>
      <c r="L609" t="s">
        <v>3000</v>
      </c>
      <c r="M609" t="s">
        <v>1548</v>
      </c>
      <c r="N609" t="s">
        <v>1548</v>
      </c>
      <c r="O609" t="s">
        <v>1548</v>
      </c>
      <c r="P609" s="36" t="s">
        <v>6448</v>
      </c>
    </row>
    <row r="610" spans="1:16" ht="409.5" x14ac:dyDescent="0.25">
      <c r="A610" t="s">
        <v>7151</v>
      </c>
      <c r="B610" t="s">
        <v>7149</v>
      </c>
      <c r="C610" t="s">
        <v>6473</v>
      </c>
      <c r="D610" t="s">
        <v>1027</v>
      </c>
      <c r="E610">
        <v>33419</v>
      </c>
      <c r="F610" t="s">
        <v>6474</v>
      </c>
      <c r="G610" t="b">
        <v>0</v>
      </c>
      <c r="H610" t="b">
        <v>0</v>
      </c>
      <c r="I610" t="s">
        <v>1051</v>
      </c>
      <c r="J610">
        <v>78</v>
      </c>
      <c r="K610" t="s">
        <v>0</v>
      </c>
      <c r="L610" t="s">
        <v>3000</v>
      </c>
      <c r="M610" t="s">
        <v>1548</v>
      </c>
      <c r="N610" t="s">
        <v>1548</v>
      </c>
      <c r="O610" t="s">
        <v>1548</v>
      </c>
      <c r="P610" s="36" t="s">
        <v>6448</v>
      </c>
    </row>
    <row r="611" spans="1:16" ht="409.5" x14ac:dyDescent="0.25">
      <c r="A611" t="s">
        <v>7152</v>
      </c>
      <c r="B611" t="s">
        <v>7149</v>
      </c>
      <c r="C611" t="s">
        <v>6473</v>
      </c>
      <c r="D611" t="s">
        <v>1027</v>
      </c>
      <c r="E611">
        <v>33419</v>
      </c>
      <c r="F611" t="s">
        <v>6474</v>
      </c>
      <c r="G611" t="b">
        <v>0</v>
      </c>
      <c r="H611" t="b">
        <v>0</v>
      </c>
      <c r="I611" t="s">
        <v>1051</v>
      </c>
      <c r="J611">
        <v>78</v>
      </c>
      <c r="K611" t="s">
        <v>0</v>
      </c>
      <c r="L611" t="s">
        <v>3000</v>
      </c>
      <c r="M611" t="s">
        <v>1548</v>
      </c>
      <c r="N611" t="s">
        <v>1548</v>
      </c>
      <c r="O611" t="s">
        <v>1548</v>
      </c>
      <c r="P611" s="36" t="s">
        <v>6448</v>
      </c>
    </row>
    <row r="612" spans="1:16" ht="409.5" x14ac:dyDescent="0.25">
      <c r="A612" t="s">
        <v>7153</v>
      </c>
      <c r="B612" t="s">
        <v>7149</v>
      </c>
      <c r="C612" t="s">
        <v>6473</v>
      </c>
      <c r="D612" t="s">
        <v>1027</v>
      </c>
      <c r="E612">
        <v>33419</v>
      </c>
      <c r="F612" t="s">
        <v>6474</v>
      </c>
      <c r="G612" t="b">
        <v>0</v>
      </c>
      <c r="H612" t="b">
        <v>0</v>
      </c>
      <c r="I612" t="s">
        <v>1051</v>
      </c>
      <c r="J612">
        <v>78</v>
      </c>
      <c r="K612" t="s">
        <v>0</v>
      </c>
      <c r="L612" t="s">
        <v>3000</v>
      </c>
      <c r="M612" t="s">
        <v>1548</v>
      </c>
      <c r="N612" t="s">
        <v>1548</v>
      </c>
      <c r="O612" t="s">
        <v>1548</v>
      </c>
      <c r="P612" s="36" t="s">
        <v>6448</v>
      </c>
    </row>
    <row r="613" spans="1:16" ht="409.5" x14ac:dyDescent="0.25">
      <c r="A613" t="s">
        <v>7154</v>
      </c>
      <c r="B613" t="s">
        <v>7149</v>
      </c>
      <c r="C613" t="s">
        <v>6473</v>
      </c>
      <c r="D613" t="s">
        <v>1027</v>
      </c>
      <c r="E613">
        <v>33419</v>
      </c>
      <c r="F613" t="s">
        <v>6474</v>
      </c>
      <c r="G613" t="b">
        <v>0</v>
      </c>
      <c r="H613" t="b">
        <v>0</v>
      </c>
      <c r="I613" t="s">
        <v>1051</v>
      </c>
      <c r="J613">
        <v>78</v>
      </c>
      <c r="K613" t="s">
        <v>0</v>
      </c>
      <c r="L613" t="s">
        <v>3000</v>
      </c>
      <c r="M613" t="s">
        <v>1548</v>
      </c>
      <c r="N613" t="s">
        <v>1548</v>
      </c>
      <c r="O613" t="s">
        <v>1548</v>
      </c>
      <c r="P613" s="36" t="s">
        <v>6448</v>
      </c>
    </row>
    <row r="614" spans="1:16" ht="409.5" x14ac:dyDescent="0.25">
      <c r="A614" t="s">
        <v>7155</v>
      </c>
      <c r="B614" t="s">
        <v>7149</v>
      </c>
      <c r="C614" t="s">
        <v>6473</v>
      </c>
      <c r="D614" t="s">
        <v>1027</v>
      </c>
      <c r="E614">
        <v>33419</v>
      </c>
      <c r="F614" t="s">
        <v>6474</v>
      </c>
      <c r="G614" t="b">
        <v>0</v>
      </c>
      <c r="H614" t="b">
        <v>0</v>
      </c>
      <c r="I614" t="s">
        <v>1051</v>
      </c>
      <c r="J614">
        <v>78</v>
      </c>
      <c r="K614" t="s">
        <v>0</v>
      </c>
      <c r="L614" t="s">
        <v>3000</v>
      </c>
      <c r="M614" t="s">
        <v>1548</v>
      </c>
      <c r="N614" t="s">
        <v>1548</v>
      </c>
      <c r="O614" t="s">
        <v>1548</v>
      </c>
      <c r="P614" s="36" t="s">
        <v>6448</v>
      </c>
    </row>
    <row r="615" spans="1:16" ht="409.5" x14ac:dyDescent="0.25">
      <c r="A615" t="s">
        <v>7156</v>
      </c>
      <c r="B615" t="s">
        <v>7149</v>
      </c>
      <c r="C615" t="s">
        <v>6473</v>
      </c>
      <c r="D615" t="s">
        <v>1027</v>
      </c>
      <c r="E615">
        <v>33419</v>
      </c>
      <c r="F615" t="s">
        <v>6474</v>
      </c>
      <c r="G615" t="b">
        <v>0</v>
      </c>
      <c r="H615" t="b">
        <v>0</v>
      </c>
      <c r="I615" t="s">
        <v>1051</v>
      </c>
      <c r="J615">
        <v>78</v>
      </c>
      <c r="K615" t="s">
        <v>0</v>
      </c>
      <c r="L615" t="s">
        <v>3000</v>
      </c>
      <c r="M615" t="s">
        <v>1548</v>
      </c>
      <c r="N615" t="s">
        <v>1548</v>
      </c>
      <c r="O615" t="s">
        <v>1548</v>
      </c>
      <c r="P615" s="36" t="s">
        <v>6448</v>
      </c>
    </row>
    <row r="616" spans="1:16" ht="409.5" x14ac:dyDescent="0.25">
      <c r="A616" t="s">
        <v>7157</v>
      </c>
      <c r="B616" t="s">
        <v>7149</v>
      </c>
      <c r="C616" t="s">
        <v>6473</v>
      </c>
      <c r="D616" t="s">
        <v>1027</v>
      </c>
      <c r="E616">
        <v>33419</v>
      </c>
      <c r="F616" t="s">
        <v>6474</v>
      </c>
      <c r="G616" t="b">
        <v>0</v>
      </c>
      <c r="H616" t="b">
        <v>0</v>
      </c>
      <c r="I616" t="s">
        <v>1051</v>
      </c>
      <c r="J616">
        <v>78</v>
      </c>
      <c r="K616" t="s">
        <v>0</v>
      </c>
      <c r="L616" t="s">
        <v>3000</v>
      </c>
      <c r="M616" t="s">
        <v>1548</v>
      </c>
      <c r="N616" t="s">
        <v>1548</v>
      </c>
      <c r="O616" t="s">
        <v>1548</v>
      </c>
      <c r="P616" s="36" t="s">
        <v>6448</v>
      </c>
    </row>
    <row r="617" spans="1:16" ht="409.5" x14ac:dyDescent="0.25">
      <c r="A617" t="s">
        <v>7158</v>
      </c>
      <c r="B617" t="s">
        <v>7149</v>
      </c>
      <c r="C617" t="s">
        <v>6473</v>
      </c>
      <c r="D617" t="s">
        <v>1027</v>
      </c>
      <c r="E617">
        <v>33419</v>
      </c>
      <c r="F617" t="s">
        <v>6474</v>
      </c>
      <c r="G617" t="b">
        <v>0</v>
      </c>
      <c r="H617" t="b">
        <v>0</v>
      </c>
      <c r="I617" t="s">
        <v>1051</v>
      </c>
      <c r="J617">
        <v>78</v>
      </c>
      <c r="K617" t="s">
        <v>0</v>
      </c>
      <c r="L617" t="s">
        <v>3000</v>
      </c>
      <c r="M617" t="s">
        <v>1548</v>
      </c>
      <c r="N617" t="s">
        <v>1548</v>
      </c>
      <c r="O617" t="s">
        <v>1548</v>
      </c>
      <c r="P617" s="36" t="s">
        <v>6448</v>
      </c>
    </row>
    <row r="618" spans="1:16" ht="409.5" x14ac:dyDescent="0.25">
      <c r="A618" t="s">
        <v>7159</v>
      </c>
      <c r="B618" t="s">
        <v>7149</v>
      </c>
      <c r="C618" t="s">
        <v>6473</v>
      </c>
      <c r="D618" t="s">
        <v>1027</v>
      </c>
      <c r="E618">
        <v>33419</v>
      </c>
      <c r="F618" t="s">
        <v>6474</v>
      </c>
      <c r="G618" t="b">
        <v>0</v>
      </c>
      <c r="H618" t="b">
        <v>0</v>
      </c>
      <c r="I618" t="s">
        <v>1051</v>
      </c>
      <c r="J618">
        <v>78</v>
      </c>
      <c r="K618" t="s">
        <v>0</v>
      </c>
      <c r="L618" t="s">
        <v>3000</v>
      </c>
      <c r="M618" t="s">
        <v>1548</v>
      </c>
      <c r="N618" t="s">
        <v>1548</v>
      </c>
      <c r="O618" t="s">
        <v>1548</v>
      </c>
      <c r="P618" s="36" t="s">
        <v>6448</v>
      </c>
    </row>
    <row r="619" spans="1:16" ht="409.5" x14ac:dyDescent="0.25">
      <c r="A619" t="s">
        <v>7160</v>
      </c>
      <c r="B619" t="s">
        <v>7149</v>
      </c>
      <c r="C619" t="s">
        <v>6473</v>
      </c>
      <c r="D619" t="s">
        <v>1027</v>
      </c>
      <c r="E619">
        <v>33419</v>
      </c>
      <c r="F619" t="s">
        <v>6474</v>
      </c>
      <c r="G619" t="b">
        <v>0</v>
      </c>
      <c r="H619" t="b">
        <v>0</v>
      </c>
      <c r="I619" t="s">
        <v>1051</v>
      </c>
      <c r="J619">
        <v>78</v>
      </c>
      <c r="K619" t="s">
        <v>0</v>
      </c>
      <c r="L619" t="s">
        <v>3000</v>
      </c>
      <c r="M619" t="s">
        <v>1548</v>
      </c>
      <c r="N619" t="s">
        <v>1548</v>
      </c>
      <c r="O619" t="s">
        <v>1548</v>
      </c>
      <c r="P619" s="36" t="s">
        <v>6448</v>
      </c>
    </row>
    <row r="620" spans="1:16" x14ac:dyDescent="0.25">
      <c r="A620" t="s">
        <v>7161</v>
      </c>
      <c r="B620" t="s">
        <v>7162</v>
      </c>
      <c r="C620" t="s">
        <v>1335</v>
      </c>
      <c r="D620" t="s">
        <v>1027</v>
      </c>
      <c r="E620">
        <v>1459</v>
      </c>
      <c r="F620" t="s">
        <v>1336</v>
      </c>
      <c r="G620" t="b">
        <v>0</v>
      </c>
      <c r="H620" t="b">
        <v>0</v>
      </c>
      <c r="I620" t="s">
        <v>1051</v>
      </c>
      <c r="J620">
        <v>78</v>
      </c>
      <c r="K620" t="s">
        <v>2</v>
      </c>
      <c r="L620" t="s">
        <v>1549</v>
      </c>
      <c r="M620" t="s">
        <v>3922</v>
      </c>
      <c r="N620" t="s">
        <v>3922</v>
      </c>
      <c r="O620" t="s">
        <v>3922</v>
      </c>
      <c r="P620" t="s">
        <v>1682</v>
      </c>
    </row>
    <row r="621" spans="1:16" x14ac:dyDescent="0.25">
      <c r="A621" t="s">
        <v>7163</v>
      </c>
      <c r="B621" t="s">
        <v>7162</v>
      </c>
      <c r="C621" t="s">
        <v>1335</v>
      </c>
      <c r="D621" t="s">
        <v>1027</v>
      </c>
      <c r="E621">
        <v>1459</v>
      </c>
      <c r="F621" t="s">
        <v>1336</v>
      </c>
      <c r="G621" t="b">
        <v>0</v>
      </c>
      <c r="H621" t="b">
        <v>0</v>
      </c>
      <c r="I621" t="s">
        <v>1051</v>
      </c>
      <c r="J621">
        <v>78</v>
      </c>
      <c r="K621" t="s">
        <v>2</v>
      </c>
      <c r="L621" t="s">
        <v>1549</v>
      </c>
      <c r="M621" t="s">
        <v>3922</v>
      </c>
      <c r="N621" t="s">
        <v>3922</v>
      </c>
      <c r="O621" t="s">
        <v>3922</v>
      </c>
      <c r="P621" t="s">
        <v>1682</v>
      </c>
    </row>
    <row r="622" spans="1:16" x14ac:dyDescent="0.25">
      <c r="A622" t="s">
        <v>7164</v>
      </c>
      <c r="B622" t="s">
        <v>7162</v>
      </c>
      <c r="C622" t="s">
        <v>1335</v>
      </c>
      <c r="D622" t="s">
        <v>1027</v>
      </c>
      <c r="E622">
        <v>1459</v>
      </c>
      <c r="F622" t="s">
        <v>1336</v>
      </c>
      <c r="G622" t="b">
        <v>0</v>
      </c>
      <c r="H622" t="b">
        <v>0</v>
      </c>
      <c r="I622" t="s">
        <v>1051</v>
      </c>
      <c r="J622">
        <v>78</v>
      </c>
      <c r="K622" t="s">
        <v>2</v>
      </c>
      <c r="L622" t="s">
        <v>1549</v>
      </c>
      <c r="M622" t="s">
        <v>3922</v>
      </c>
      <c r="N622" t="s">
        <v>3922</v>
      </c>
      <c r="O622" t="s">
        <v>3922</v>
      </c>
      <c r="P622" t="s">
        <v>1682</v>
      </c>
    </row>
    <row r="623" spans="1:16" x14ac:dyDescent="0.25">
      <c r="A623" t="s">
        <v>7165</v>
      </c>
      <c r="B623" t="s">
        <v>7162</v>
      </c>
      <c r="C623" t="s">
        <v>1335</v>
      </c>
      <c r="D623" t="s">
        <v>1027</v>
      </c>
      <c r="E623">
        <v>1459</v>
      </c>
      <c r="F623" t="s">
        <v>1336</v>
      </c>
      <c r="G623" t="b">
        <v>0</v>
      </c>
      <c r="H623" t="b">
        <v>0</v>
      </c>
      <c r="I623" t="s">
        <v>1051</v>
      </c>
      <c r="J623">
        <v>78</v>
      </c>
      <c r="K623" t="s">
        <v>2</v>
      </c>
      <c r="L623" t="s">
        <v>1549</v>
      </c>
      <c r="M623" t="s">
        <v>3922</v>
      </c>
      <c r="N623" t="s">
        <v>3922</v>
      </c>
      <c r="O623" t="s">
        <v>3922</v>
      </c>
      <c r="P623" t="s">
        <v>1682</v>
      </c>
    </row>
    <row r="624" spans="1:16" x14ac:dyDescent="0.25">
      <c r="A624" t="s">
        <v>7166</v>
      </c>
      <c r="B624" t="s">
        <v>7162</v>
      </c>
      <c r="C624" t="s">
        <v>1335</v>
      </c>
      <c r="D624" t="s">
        <v>1027</v>
      </c>
      <c r="E624">
        <v>1459</v>
      </c>
      <c r="F624" t="s">
        <v>1336</v>
      </c>
      <c r="G624" t="b">
        <v>0</v>
      </c>
      <c r="H624" t="b">
        <v>0</v>
      </c>
      <c r="I624" t="s">
        <v>1051</v>
      </c>
      <c r="J624">
        <v>78</v>
      </c>
      <c r="K624" t="s">
        <v>2</v>
      </c>
      <c r="L624" t="s">
        <v>1549</v>
      </c>
      <c r="M624" t="s">
        <v>3922</v>
      </c>
      <c r="N624" t="s">
        <v>3922</v>
      </c>
      <c r="O624" t="s">
        <v>3922</v>
      </c>
      <c r="P624" t="s">
        <v>1682</v>
      </c>
    </row>
    <row r="625" spans="1:16" x14ac:dyDescent="0.25">
      <c r="A625" t="s">
        <v>7167</v>
      </c>
      <c r="B625" t="s">
        <v>7162</v>
      </c>
      <c r="C625" t="s">
        <v>1335</v>
      </c>
      <c r="D625" t="s">
        <v>1027</v>
      </c>
      <c r="E625">
        <v>1459</v>
      </c>
      <c r="F625" t="s">
        <v>1336</v>
      </c>
      <c r="G625" t="b">
        <v>0</v>
      </c>
      <c r="H625" t="b">
        <v>0</v>
      </c>
      <c r="I625" t="s">
        <v>1051</v>
      </c>
      <c r="J625">
        <v>78</v>
      </c>
      <c r="K625" t="s">
        <v>2</v>
      </c>
      <c r="L625" t="s">
        <v>1549</v>
      </c>
      <c r="M625" t="s">
        <v>3922</v>
      </c>
      <c r="N625" t="s">
        <v>3922</v>
      </c>
      <c r="O625" t="s">
        <v>3922</v>
      </c>
      <c r="P625" t="s">
        <v>1682</v>
      </c>
    </row>
    <row r="626" spans="1:16" x14ac:dyDescent="0.25">
      <c r="A626" t="s">
        <v>7168</v>
      </c>
      <c r="B626" t="s">
        <v>7162</v>
      </c>
      <c r="C626" t="s">
        <v>1335</v>
      </c>
      <c r="D626" t="s">
        <v>1027</v>
      </c>
      <c r="E626">
        <v>1459</v>
      </c>
      <c r="F626" t="s">
        <v>1336</v>
      </c>
      <c r="G626" t="b">
        <v>0</v>
      </c>
      <c r="H626" t="b">
        <v>0</v>
      </c>
      <c r="I626" t="s">
        <v>1051</v>
      </c>
      <c r="J626">
        <v>78</v>
      </c>
      <c r="K626" t="s">
        <v>2</v>
      </c>
      <c r="L626" t="s">
        <v>1549</v>
      </c>
      <c r="M626" t="s">
        <v>3922</v>
      </c>
      <c r="N626" t="s">
        <v>3922</v>
      </c>
      <c r="O626" t="s">
        <v>3922</v>
      </c>
      <c r="P626" t="s">
        <v>1682</v>
      </c>
    </row>
    <row r="627" spans="1:16" x14ac:dyDescent="0.25">
      <c r="A627" t="s">
        <v>7169</v>
      </c>
      <c r="B627" t="s">
        <v>7162</v>
      </c>
      <c r="C627" t="s">
        <v>1335</v>
      </c>
      <c r="D627" t="s">
        <v>1027</v>
      </c>
      <c r="E627">
        <v>1459</v>
      </c>
      <c r="F627" t="s">
        <v>1336</v>
      </c>
      <c r="G627" t="b">
        <v>0</v>
      </c>
      <c r="H627" t="b">
        <v>0</v>
      </c>
      <c r="I627" t="s">
        <v>1051</v>
      </c>
      <c r="J627">
        <v>78</v>
      </c>
      <c r="K627" t="s">
        <v>2</v>
      </c>
      <c r="L627" t="s">
        <v>1549</v>
      </c>
      <c r="M627" t="s">
        <v>3922</v>
      </c>
      <c r="N627" t="s">
        <v>3922</v>
      </c>
      <c r="O627" t="s">
        <v>3922</v>
      </c>
      <c r="P627" t="s">
        <v>1682</v>
      </c>
    </row>
    <row r="628" spans="1:16" x14ac:dyDescent="0.25">
      <c r="A628" t="s">
        <v>7170</v>
      </c>
      <c r="B628" t="s">
        <v>7162</v>
      </c>
      <c r="C628" t="s">
        <v>1335</v>
      </c>
      <c r="D628" t="s">
        <v>1027</v>
      </c>
      <c r="E628">
        <v>1459</v>
      </c>
      <c r="F628" t="s">
        <v>1336</v>
      </c>
      <c r="G628" t="b">
        <v>0</v>
      </c>
      <c r="H628" t="b">
        <v>0</v>
      </c>
      <c r="I628" t="s">
        <v>1051</v>
      </c>
      <c r="J628">
        <v>78</v>
      </c>
      <c r="K628" t="s">
        <v>2</v>
      </c>
      <c r="L628" t="s">
        <v>1549</v>
      </c>
      <c r="M628" t="s">
        <v>3922</v>
      </c>
      <c r="N628" t="s">
        <v>3922</v>
      </c>
      <c r="O628" t="s">
        <v>3922</v>
      </c>
      <c r="P628" t="s">
        <v>1682</v>
      </c>
    </row>
    <row r="629" spans="1:16" x14ac:dyDescent="0.25">
      <c r="A629" t="s">
        <v>7171</v>
      </c>
      <c r="B629" t="s">
        <v>7162</v>
      </c>
      <c r="C629" t="s">
        <v>1335</v>
      </c>
      <c r="D629" t="s">
        <v>1027</v>
      </c>
      <c r="E629">
        <v>1459</v>
      </c>
      <c r="F629" t="s">
        <v>1336</v>
      </c>
      <c r="G629" t="b">
        <v>0</v>
      </c>
      <c r="H629" t="b">
        <v>0</v>
      </c>
      <c r="I629" t="s">
        <v>1051</v>
      </c>
      <c r="J629">
        <v>78</v>
      </c>
      <c r="K629" t="s">
        <v>2</v>
      </c>
      <c r="L629" t="s">
        <v>1549</v>
      </c>
      <c r="M629" t="s">
        <v>3922</v>
      </c>
      <c r="N629" t="s">
        <v>3922</v>
      </c>
      <c r="O629" t="s">
        <v>3922</v>
      </c>
      <c r="P629" t="s">
        <v>1682</v>
      </c>
    </row>
    <row r="630" spans="1:16" x14ac:dyDescent="0.25">
      <c r="A630" t="s">
        <v>7172</v>
      </c>
      <c r="B630" t="s">
        <v>7162</v>
      </c>
      <c r="C630" t="s">
        <v>1335</v>
      </c>
      <c r="D630" t="s">
        <v>1027</v>
      </c>
      <c r="E630">
        <v>1459</v>
      </c>
      <c r="F630" t="s">
        <v>1336</v>
      </c>
      <c r="G630" t="b">
        <v>0</v>
      </c>
      <c r="H630" t="b">
        <v>0</v>
      </c>
      <c r="I630" t="s">
        <v>1051</v>
      </c>
      <c r="J630">
        <v>78</v>
      </c>
      <c r="K630" t="s">
        <v>2</v>
      </c>
      <c r="L630" t="s">
        <v>1549</v>
      </c>
      <c r="M630" t="s">
        <v>3922</v>
      </c>
      <c r="N630" t="s">
        <v>3922</v>
      </c>
      <c r="O630" t="s">
        <v>3922</v>
      </c>
      <c r="P630" t="s">
        <v>1682</v>
      </c>
    </row>
    <row r="631" spans="1:16" x14ac:dyDescent="0.25">
      <c r="A631" t="s">
        <v>7173</v>
      </c>
      <c r="B631" t="s">
        <v>7162</v>
      </c>
      <c r="C631" t="s">
        <v>1335</v>
      </c>
      <c r="D631" t="s">
        <v>1027</v>
      </c>
      <c r="E631">
        <v>1459</v>
      </c>
      <c r="F631" t="s">
        <v>1336</v>
      </c>
      <c r="G631" t="b">
        <v>0</v>
      </c>
      <c r="H631" t="b">
        <v>0</v>
      </c>
      <c r="I631" t="s">
        <v>1051</v>
      </c>
      <c r="J631">
        <v>78</v>
      </c>
      <c r="K631" t="s">
        <v>2</v>
      </c>
      <c r="L631" t="s">
        <v>1549</v>
      </c>
      <c r="M631" t="s">
        <v>3922</v>
      </c>
      <c r="N631" t="s">
        <v>3922</v>
      </c>
      <c r="O631" t="s">
        <v>3922</v>
      </c>
      <c r="P631" t="s">
        <v>1682</v>
      </c>
    </row>
    <row r="632" spans="1:16" x14ac:dyDescent="0.25">
      <c r="A632" t="s">
        <v>7174</v>
      </c>
      <c r="B632" t="s">
        <v>7162</v>
      </c>
      <c r="C632" t="s">
        <v>1335</v>
      </c>
      <c r="D632" t="s">
        <v>1027</v>
      </c>
      <c r="E632">
        <v>1459</v>
      </c>
      <c r="F632" t="s">
        <v>1336</v>
      </c>
      <c r="G632" t="b">
        <v>0</v>
      </c>
      <c r="H632" t="b">
        <v>0</v>
      </c>
      <c r="I632" t="s">
        <v>1051</v>
      </c>
      <c r="J632">
        <v>78</v>
      </c>
      <c r="K632" t="s">
        <v>2</v>
      </c>
      <c r="L632" t="s">
        <v>1549</v>
      </c>
      <c r="M632" t="s">
        <v>3922</v>
      </c>
      <c r="N632" t="s">
        <v>3922</v>
      </c>
      <c r="O632" t="s">
        <v>3922</v>
      </c>
      <c r="P632" t="s">
        <v>1682</v>
      </c>
    </row>
    <row r="633" spans="1:16" ht="409.5" x14ac:dyDescent="0.25">
      <c r="A633" t="s">
        <v>7175</v>
      </c>
      <c r="B633" t="s">
        <v>7176</v>
      </c>
      <c r="C633" t="s">
        <v>6503</v>
      </c>
      <c r="D633" t="s">
        <v>1027</v>
      </c>
      <c r="E633">
        <v>1488</v>
      </c>
      <c r="F633" t="s">
        <v>6504</v>
      </c>
      <c r="G633" t="b">
        <v>0</v>
      </c>
      <c r="H633" t="b">
        <v>0</v>
      </c>
      <c r="I633" t="s">
        <v>1051</v>
      </c>
      <c r="J633">
        <v>78</v>
      </c>
      <c r="K633" t="s">
        <v>0</v>
      </c>
      <c r="L633" t="s">
        <v>3000</v>
      </c>
      <c r="M633" t="s">
        <v>1548</v>
      </c>
      <c r="N633" t="s">
        <v>1548</v>
      </c>
      <c r="O633" t="s">
        <v>1548</v>
      </c>
      <c r="P633" s="36" t="s">
        <v>6505</v>
      </c>
    </row>
    <row r="634" spans="1:16" ht="409.5" x14ac:dyDescent="0.25">
      <c r="A634" t="s">
        <v>7177</v>
      </c>
      <c r="B634" t="s">
        <v>7176</v>
      </c>
      <c r="C634" t="s">
        <v>6503</v>
      </c>
      <c r="D634" t="s">
        <v>1027</v>
      </c>
      <c r="E634">
        <v>1488</v>
      </c>
      <c r="F634" t="s">
        <v>6504</v>
      </c>
      <c r="G634" t="b">
        <v>0</v>
      </c>
      <c r="H634" t="b">
        <v>0</v>
      </c>
      <c r="I634" t="s">
        <v>1051</v>
      </c>
      <c r="J634">
        <v>78</v>
      </c>
      <c r="K634" t="s">
        <v>0</v>
      </c>
      <c r="L634" t="s">
        <v>3000</v>
      </c>
      <c r="M634" t="s">
        <v>1548</v>
      </c>
      <c r="N634" t="s">
        <v>1548</v>
      </c>
      <c r="O634" t="s">
        <v>1548</v>
      </c>
      <c r="P634" s="36" t="s">
        <v>6505</v>
      </c>
    </row>
    <row r="635" spans="1:16" ht="409.5" x14ac:dyDescent="0.25">
      <c r="A635" t="s">
        <v>7178</v>
      </c>
      <c r="B635" t="s">
        <v>7176</v>
      </c>
      <c r="C635" t="s">
        <v>6503</v>
      </c>
      <c r="D635" t="s">
        <v>1027</v>
      </c>
      <c r="E635">
        <v>1488</v>
      </c>
      <c r="F635" t="s">
        <v>6504</v>
      </c>
      <c r="G635" t="b">
        <v>0</v>
      </c>
      <c r="H635" t="b">
        <v>0</v>
      </c>
      <c r="I635" t="s">
        <v>1051</v>
      </c>
      <c r="J635">
        <v>78</v>
      </c>
      <c r="K635" t="s">
        <v>0</v>
      </c>
      <c r="L635" t="s">
        <v>3000</v>
      </c>
      <c r="M635" t="s">
        <v>1548</v>
      </c>
      <c r="N635" t="s">
        <v>1548</v>
      </c>
      <c r="O635" t="s">
        <v>1548</v>
      </c>
      <c r="P635" s="36" t="s">
        <v>6505</v>
      </c>
    </row>
    <row r="636" spans="1:16" ht="409.5" x14ac:dyDescent="0.25">
      <c r="A636" t="s">
        <v>7179</v>
      </c>
      <c r="B636" t="s">
        <v>7176</v>
      </c>
      <c r="C636" t="s">
        <v>6503</v>
      </c>
      <c r="D636" t="s">
        <v>1027</v>
      </c>
      <c r="E636">
        <v>1488</v>
      </c>
      <c r="F636" t="s">
        <v>6504</v>
      </c>
      <c r="G636" t="b">
        <v>0</v>
      </c>
      <c r="H636" t="b">
        <v>0</v>
      </c>
      <c r="I636" t="s">
        <v>1051</v>
      </c>
      <c r="J636">
        <v>78</v>
      </c>
      <c r="K636" t="s">
        <v>0</v>
      </c>
      <c r="L636" t="s">
        <v>3000</v>
      </c>
      <c r="M636" t="s">
        <v>1548</v>
      </c>
      <c r="N636" t="s">
        <v>1548</v>
      </c>
      <c r="O636" t="s">
        <v>1548</v>
      </c>
      <c r="P636" s="36" t="s">
        <v>6505</v>
      </c>
    </row>
    <row r="637" spans="1:16" ht="409.5" x14ac:dyDescent="0.25">
      <c r="A637" t="s">
        <v>7180</v>
      </c>
      <c r="B637" t="s">
        <v>7176</v>
      </c>
      <c r="C637" t="s">
        <v>6503</v>
      </c>
      <c r="D637" t="s">
        <v>1027</v>
      </c>
      <c r="E637">
        <v>1488</v>
      </c>
      <c r="F637" t="s">
        <v>6504</v>
      </c>
      <c r="G637" t="b">
        <v>0</v>
      </c>
      <c r="H637" t="b">
        <v>0</v>
      </c>
      <c r="I637" t="s">
        <v>1051</v>
      </c>
      <c r="J637">
        <v>78</v>
      </c>
      <c r="K637" t="s">
        <v>0</v>
      </c>
      <c r="L637" t="s">
        <v>3000</v>
      </c>
      <c r="M637" t="s">
        <v>1548</v>
      </c>
      <c r="N637" t="s">
        <v>1548</v>
      </c>
      <c r="O637" t="s">
        <v>1548</v>
      </c>
      <c r="P637" s="36" t="s">
        <v>6505</v>
      </c>
    </row>
    <row r="638" spans="1:16" ht="409.5" x14ac:dyDescent="0.25">
      <c r="A638" t="s">
        <v>7181</v>
      </c>
      <c r="B638" t="s">
        <v>7176</v>
      </c>
      <c r="C638" t="s">
        <v>6503</v>
      </c>
      <c r="D638" t="s">
        <v>1027</v>
      </c>
      <c r="E638">
        <v>1488</v>
      </c>
      <c r="F638" t="s">
        <v>6504</v>
      </c>
      <c r="G638" t="b">
        <v>0</v>
      </c>
      <c r="H638" t="b">
        <v>0</v>
      </c>
      <c r="I638" t="s">
        <v>1051</v>
      </c>
      <c r="J638">
        <v>78</v>
      </c>
      <c r="K638" t="s">
        <v>0</v>
      </c>
      <c r="L638" t="s">
        <v>3000</v>
      </c>
      <c r="M638" t="s">
        <v>1548</v>
      </c>
      <c r="N638" t="s">
        <v>1548</v>
      </c>
      <c r="O638" t="s">
        <v>1548</v>
      </c>
      <c r="P638" s="36" t="s">
        <v>6505</v>
      </c>
    </row>
    <row r="639" spans="1:16" ht="409.5" x14ac:dyDescent="0.25">
      <c r="A639" t="s">
        <v>7182</v>
      </c>
      <c r="B639" t="s">
        <v>7176</v>
      </c>
      <c r="C639" t="s">
        <v>6503</v>
      </c>
      <c r="D639" t="s">
        <v>1027</v>
      </c>
      <c r="E639">
        <v>1488</v>
      </c>
      <c r="F639" t="s">
        <v>6504</v>
      </c>
      <c r="G639" t="b">
        <v>0</v>
      </c>
      <c r="H639" t="b">
        <v>0</v>
      </c>
      <c r="I639" t="s">
        <v>1051</v>
      </c>
      <c r="J639">
        <v>78</v>
      </c>
      <c r="K639" t="s">
        <v>0</v>
      </c>
      <c r="L639" t="s">
        <v>3000</v>
      </c>
      <c r="M639" t="s">
        <v>1548</v>
      </c>
      <c r="N639" t="s">
        <v>1548</v>
      </c>
      <c r="O639" t="s">
        <v>1548</v>
      </c>
      <c r="P639" s="36" t="s">
        <v>6505</v>
      </c>
    </row>
    <row r="640" spans="1:16" ht="409.5" x14ac:dyDescent="0.25">
      <c r="A640" t="s">
        <v>7183</v>
      </c>
      <c r="B640" t="s">
        <v>7184</v>
      </c>
      <c r="C640" t="s">
        <v>6446</v>
      </c>
      <c r="D640" t="s">
        <v>1075</v>
      </c>
      <c r="E640">
        <v>1402</v>
      </c>
      <c r="F640" t="s">
        <v>6447</v>
      </c>
      <c r="G640" t="b">
        <v>0</v>
      </c>
      <c r="H640" t="b">
        <v>0</v>
      </c>
      <c r="I640" t="s">
        <v>1051</v>
      </c>
      <c r="J640">
        <v>78</v>
      </c>
      <c r="K640" t="s">
        <v>0</v>
      </c>
      <c r="L640" t="s">
        <v>3000</v>
      </c>
      <c r="M640" t="s">
        <v>1548</v>
      </c>
      <c r="N640" t="s">
        <v>1548</v>
      </c>
      <c r="O640" t="s">
        <v>1548</v>
      </c>
      <c r="P640" s="36" t="s">
        <v>6448</v>
      </c>
    </row>
    <row r="641" spans="1:16" ht="409.5" x14ac:dyDescent="0.25">
      <c r="A641" t="s">
        <v>7185</v>
      </c>
      <c r="B641" t="s">
        <v>7186</v>
      </c>
      <c r="C641" t="s">
        <v>6473</v>
      </c>
      <c r="D641" t="s">
        <v>1027</v>
      </c>
      <c r="E641">
        <v>33419</v>
      </c>
      <c r="F641" t="s">
        <v>6474</v>
      </c>
      <c r="G641" t="b">
        <v>0</v>
      </c>
      <c r="H641" t="b">
        <v>0</v>
      </c>
      <c r="I641" t="s">
        <v>1051</v>
      </c>
      <c r="J641">
        <v>78</v>
      </c>
      <c r="K641" t="s">
        <v>0</v>
      </c>
      <c r="L641" t="s">
        <v>3000</v>
      </c>
      <c r="M641" t="s">
        <v>1548</v>
      </c>
      <c r="N641" t="s">
        <v>1548</v>
      </c>
      <c r="O641" t="s">
        <v>1548</v>
      </c>
      <c r="P641" s="36" t="s">
        <v>6448</v>
      </c>
    </row>
    <row r="642" spans="1:16" ht="409.5" x14ac:dyDescent="0.25">
      <c r="A642" t="s">
        <v>7187</v>
      </c>
      <c r="B642" t="s">
        <v>7186</v>
      </c>
      <c r="C642" t="s">
        <v>6473</v>
      </c>
      <c r="D642" t="s">
        <v>1027</v>
      </c>
      <c r="E642">
        <v>33419</v>
      </c>
      <c r="F642" t="s">
        <v>6474</v>
      </c>
      <c r="G642" t="b">
        <v>0</v>
      </c>
      <c r="H642" t="b">
        <v>0</v>
      </c>
      <c r="I642" t="s">
        <v>1051</v>
      </c>
      <c r="J642">
        <v>78</v>
      </c>
      <c r="K642" t="s">
        <v>0</v>
      </c>
      <c r="L642" t="s">
        <v>3000</v>
      </c>
      <c r="M642" t="s">
        <v>1548</v>
      </c>
      <c r="N642" t="s">
        <v>1548</v>
      </c>
      <c r="O642" t="s">
        <v>1548</v>
      </c>
      <c r="P642" s="36" t="s">
        <v>6448</v>
      </c>
    </row>
    <row r="643" spans="1:16" ht="409.5" x14ac:dyDescent="0.25">
      <c r="A643" t="s">
        <v>7188</v>
      </c>
      <c r="B643" t="s">
        <v>7186</v>
      </c>
      <c r="C643" t="s">
        <v>6473</v>
      </c>
      <c r="D643" t="s">
        <v>1027</v>
      </c>
      <c r="E643">
        <v>33419</v>
      </c>
      <c r="F643" t="s">
        <v>6474</v>
      </c>
      <c r="G643" t="b">
        <v>0</v>
      </c>
      <c r="H643" t="b">
        <v>0</v>
      </c>
      <c r="I643" t="s">
        <v>1051</v>
      </c>
      <c r="J643">
        <v>78</v>
      </c>
      <c r="K643" t="s">
        <v>0</v>
      </c>
      <c r="L643" t="s">
        <v>3000</v>
      </c>
      <c r="M643" t="s">
        <v>1548</v>
      </c>
      <c r="N643" t="s">
        <v>1548</v>
      </c>
      <c r="O643" t="s">
        <v>1548</v>
      </c>
      <c r="P643" s="36" t="s">
        <v>6448</v>
      </c>
    </row>
    <row r="644" spans="1:16" ht="409.5" x14ac:dyDescent="0.25">
      <c r="A644" t="s">
        <v>7189</v>
      </c>
      <c r="B644" t="s">
        <v>7186</v>
      </c>
      <c r="C644" t="s">
        <v>6473</v>
      </c>
      <c r="D644" t="s">
        <v>1027</v>
      </c>
      <c r="E644">
        <v>33419</v>
      </c>
      <c r="F644" t="s">
        <v>6474</v>
      </c>
      <c r="G644" t="b">
        <v>0</v>
      </c>
      <c r="H644" t="b">
        <v>0</v>
      </c>
      <c r="I644" t="s">
        <v>1051</v>
      </c>
      <c r="J644">
        <v>78</v>
      </c>
      <c r="K644" t="s">
        <v>0</v>
      </c>
      <c r="L644" t="s">
        <v>3000</v>
      </c>
      <c r="M644" t="s">
        <v>1548</v>
      </c>
      <c r="N644" t="s">
        <v>1548</v>
      </c>
      <c r="O644" t="s">
        <v>1548</v>
      </c>
      <c r="P644" s="36" t="s">
        <v>6448</v>
      </c>
    </row>
    <row r="645" spans="1:16" ht="409.5" x14ac:dyDescent="0.25">
      <c r="A645" t="s">
        <v>7190</v>
      </c>
      <c r="B645" t="s">
        <v>7186</v>
      </c>
      <c r="C645" t="s">
        <v>6473</v>
      </c>
      <c r="D645" t="s">
        <v>1027</v>
      </c>
      <c r="E645">
        <v>33419</v>
      </c>
      <c r="F645" t="s">
        <v>6474</v>
      </c>
      <c r="G645" t="b">
        <v>0</v>
      </c>
      <c r="H645" t="b">
        <v>0</v>
      </c>
      <c r="I645" t="s">
        <v>1051</v>
      </c>
      <c r="J645">
        <v>78</v>
      </c>
      <c r="K645" t="s">
        <v>0</v>
      </c>
      <c r="L645" t="s">
        <v>3000</v>
      </c>
      <c r="M645" t="s">
        <v>1548</v>
      </c>
      <c r="N645" t="s">
        <v>1548</v>
      </c>
      <c r="O645" t="s">
        <v>1548</v>
      </c>
      <c r="P645" s="36" t="s">
        <v>6448</v>
      </c>
    </row>
    <row r="646" spans="1:16" ht="409.5" x14ac:dyDescent="0.25">
      <c r="A646" t="s">
        <v>7191</v>
      </c>
      <c r="B646" t="s">
        <v>7192</v>
      </c>
      <c r="C646" t="s">
        <v>6473</v>
      </c>
      <c r="D646" t="s">
        <v>1027</v>
      </c>
      <c r="E646">
        <v>33419</v>
      </c>
      <c r="F646" t="s">
        <v>6474</v>
      </c>
      <c r="G646" t="b">
        <v>0</v>
      </c>
      <c r="H646" t="b">
        <v>0</v>
      </c>
      <c r="I646" t="s">
        <v>1051</v>
      </c>
      <c r="J646">
        <v>78</v>
      </c>
      <c r="K646" t="s">
        <v>0</v>
      </c>
      <c r="L646" t="s">
        <v>3000</v>
      </c>
      <c r="M646" t="s">
        <v>1548</v>
      </c>
      <c r="N646" t="s">
        <v>1548</v>
      </c>
      <c r="O646" t="s">
        <v>1548</v>
      </c>
      <c r="P646" s="36" t="s">
        <v>6448</v>
      </c>
    </row>
    <row r="647" spans="1:16" ht="409.5" x14ac:dyDescent="0.25">
      <c r="A647" t="s">
        <v>7193</v>
      </c>
      <c r="B647" t="s">
        <v>7192</v>
      </c>
      <c r="C647" t="s">
        <v>6473</v>
      </c>
      <c r="D647" t="s">
        <v>1027</v>
      </c>
      <c r="E647">
        <v>33419</v>
      </c>
      <c r="F647" t="s">
        <v>6474</v>
      </c>
      <c r="G647" t="b">
        <v>0</v>
      </c>
      <c r="H647" t="b">
        <v>0</v>
      </c>
      <c r="I647" t="s">
        <v>1051</v>
      </c>
      <c r="J647">
        <v>78</v>
      </c>
      <c r="K647" t="s">
        <v>0</v>
      </c>
      <c r="L647" t="s">
        <v>3000</v>
      </c>
      <c r="M647" t="s">
        <v>1548</v>
      </c>
      <c r="N647" t="s">
        <v>1548</v>
      </c>
      <c r="O647" t="s">
        <v>1548</v>
      </c>
      <c r="P647" s="36" t="s">
        <v>6448</v>
      </c>
    </row>
    <row r="648" spans="1:16" ht="409.5" x14ac:dyDescent="0.25">
      <c r="A648" t="s">
        <v>7194</v>
      </c>
      <c r="B648" t="s">
        <v>7192</v>
      </c>
      <c r="C648" t="s">
        <v>6473</v>
      </c>
      <c r="D648" t="s">
        <v>1027</v>
      </c>
      <c r="E648">
        <v>33419</v>
      </c>
      <c r="F648" t="s">
        <v>6474</v>
      </c>
      <c r="G648" t="b">
        <v>0</v>
      </c>
      <c r="H648" t="b">
        <v>0</v>
      </c>
      <c r="I648" t="s">
        <v>1051</v>
      </c>
      <c r="J648">
        <v>78</v>
      </c>
      <c r="K648" t="s">
        <v>0</v>
      </c>
      <c r="L648" t="s">
        <v>3000</v>
      </c>
      <c r="M648" t="s">
        <v>1548</v>
      </c>
      <c r="N648" t="s">
        <v>1548</v>
      </c>
      <c r="O648" t="s">
        <v>1548</v>
      </c>
      <c r="P648" s="36" t="s">
        <v>6448</v>
      </c>
    </row>
    <row r="649" spans="1:16" ht="409.5" x14ac:dyDescent="0.25">
      <c r="A649" t="s">
        <v>7195</v>
      </c>
      <c r="B649" t="s">
        <v>7192</v>
      </c>
      <c r="C649" t="s">
        <v>6473</v>
      </c>
      <c r="D649" t="s">
        <v>1027</v>
      </c>
      <c r="E649">
        <v>33419</v>
      </c>
      <c r="F649" t="s">
        <v>6474</v>
      </c>
      <c r="G649" t="b">
        <v>0</v>
      </c>
      <c r="H649" t="b">
        <v>0</v>
      </c>
      <c r="I649" t="s">
        <v>1051</v>
      </c>
      <c r="J649">
        <v>78</v>
      </c>
      <c r="K649" t="s">
        <v>0</v>
      </c>
      <c r="L649" t="s">
        <v>3000</v>
      </c>
      <c r="M649" t="s">
        <v>1548</v>
      </c>
      <c r="N649" t="s">
        <v>1548</v>
      </c>
      <c r="O649" t="s">
        <v>1548</v>
      </c>
      <c r="P649" s="36" t="s">
        <v>6448</v>
      </c>
    </row>
    <row r="650" spans="1:16" ht="409.5" x14ac:dyDescent="0.25">
      <c r="A650" t="s">
        <v>7196</v>
      </c>
      <c r="B650" t="s">
        <v>7192</v>
      </c>
      <c r="C650" t="s">
        <v>6473</v>
      </c>
      <c r="D650" t="s">
        <v>1027</v>
      </c>
      <c r="E650">
        <v>33419</v>
      </c>
      <c r="F650" t="s">
        <v>6474</v>
      </c>
      <c r="G650" t="b">
        <v>0</v>
      </c>
      <c r="H650" t="b">
        <v>0</v>
      </c>
      <c r="I650" t="s">
        <v>1051</v>
      </c>
      <c r="J650">
        <v>78</v>
      </c>
      <c r="K650" t="s">
        <v>0</v>
      </c>
      <c r="L650" t="s">
        <v>3000</v>
      </c>
      <c r="M650" t="s">
        <v>1548</v>
      </c>
      <c r="N650" t="s">
        <v>1548</v>
      </c>
      <c r="O650" t="s">
        <v>1548</v>
      </c>
      <c r="P650" s="36" t="s">
        <v>6448</v>
      </c>
    </row>
    <row r="651" spans="1:16" ht="409.5" x14ac:dyDescent="0.25">
      <c r="A651" t="s">
        <v>7197</v>
      </c>
      <c r="B651" t="s">
        <v>7198</v>
      </c>
      <c r="C651" t="s">
        <v>6446</v>
      </c>
      <c r="D651" t="s">
        <v>1027</v>
      </c>
      <c r="E651">
        <v>1402</v>
      </c>
      <c r="F651" t="s">
        <v>6447</v>
      </c>
      <c r="G651" t="b">
        <v>0</v>
      </c>
      <c r="H651" t="b">
        <v>0</v>
      </c>
      <c r="I651" t="s">
        <v>1051</v>
      </c>
      <c r="J651">
        <v>78</v>
      </c>
      <c r="K651" t="s">
        <v>0</v>
      </c>
      <c r="L651" t="s">
        <v>3000</v>
      </c>
      <c r="M651" t="s">
        <v>1548</v>
      </c>
      <c r="N651" t="s">
        <v>1548</v>
      </c>
      <c r="O651" t="s">
        <v>1548</v>
      </c>
      <c r="P651" s="36" t="s">
        <v>6448</v>
      </c>
    </row>
    <row r="652" spans="1:16" ht="409.5" x14ac:dyDescent="0.25">
      <c r="A652" t="s">
        <v>7199</v>
      </c>
      <c r="B652" t="s">
        <v>7198</v>
      </c>
      <c r="C652" t="s">
        <v>6446</v>
      </c>
      <c r="D652" t="s">
        <v>1027</v>
      </c>
      <c r="E652">
        <v>1402</v>
      </c>
      <c r="F652" t="s">
        <v>6447</v>
      </c>
      <c r="G652" t="b">
        <v>0</v>
      </c>
      <c r="H652" t="b">
        <v>0</v>
      </c>
      <c r="I652" t="s">
        <v>1051</v>
      </c>
      <c r="J652">
        <v>78</v>
      </c>
      <c r="K652" t="s">
        <v>0</v>
      </c>
      <c r="L652" t="s">
        <v>3000</v>
      </c>
      <c r="M652" t="s">
        <v>1548</v>
      </c>
      <c r="N652" t="s">
        <v>1548</v>
      </c>
      <c r="O652" t="s">
        <v>1548</v>
      </c>
      <c r="P652" s="36" t="s">
        <v>6448</v>
      </c>
    </row>
    <row r="653" spans="1:16" ht="409.5" x14ac:dyDescent="0.25">
      <c r="A653" t="s">
        <v>7200</v>
      </c>
      <c r="B653" t="s">
        <v>7198</v>
      </c>
      <c r="C653" t="s">
        <v>6446</v>
      </c>
      <c r="D653" t="s">
        <v>1027</v>
      </c>
      <c r="E653">
        <v>1402</v>
      </c>
      <c r="F653" t="s">
        <v>6447</v>
      </c>
      <c r="G653" t="b">
        <v>0</v>
      </c>
      <c r="H653" t="b">
        <v>0</v>
      </c>
      <c r="I653" t="s">
        <v>1051</v>
      </c>
      <c r="J653">
        <v>78</v>
      </c>
      <c r="K653" t="s">
        <v>0</v>
      </c>
      <c r="L653" t="s">
        <v>3000</v>
      </c>
      <c r="M653" t="s">
        <v>1548</v>
      </c>
      <c r="N653" t="s">
        <v>1548</v>
      </c>
      <c r="O653" t="s">
        <v>1548</v>
      </c>
      <c r="P653" s="36" t="s">
        <v>6448</v>
      </c>
    </row>
    <row r="654" spans="1:16" ht="409.5" x14ac:dyDescent="0.25">
      <c r="A654" t="s">
        <v>7201</v>
      </c>
      <c r="B654" t="s">
        <v>7198</v>
      </c>
      <c r="C654" t="s">
        <v>6446</v>
      </c>
      <c r="D654" t="s">
        <v>1027</v>
      </c>
      <c r="E654">
        <v>1402</v>
      </c>
      <c r="F654" t="s">
        <v>6447</v>
      </c>
      <c r="G654" t="b">
        <v>0</v>
      </c>
      <c r="H654" t="b">
        <v>0</v>
      </c>
      <c r="I654" t="s">
        <v>1051</v>
      </c>
      <c r="J654">
        <v>78</v>
      </c>
      <c r="K654" t="s">
        <v>0</v>
      </c>
      <c r="L654" t="s">
        <v>3000</v>
      </c>
      <c r="M654" t="s">
        <v>1548</v>
      </c>
      <c r="N654" t="s">
        <v>1548</v>
      </c>
      <c r="O654" t="s">
        <v>1548</v>
      </c>
      <c r="P654" s="36" t="s">
        <v>6448</v>
      </c>
    </row>
    <row r="655" spans="1:16" ht="409.5" x14ac:dyDescent="0.25">
      <c r="A655" t="s">
        <v>7202</v>
      </c>
      <c r="B655" t="s">
        <v>7198</v>
      </c>
      <c r="C655" t="s">
        <v>6446</v>
      </c>
      <c r="D655" t="s">
        <v>1027</v>
      </c>
      <c r="E655">
        <v>1402</v>
      </c>
      <c r="F655" t="s">
        <v>6447</v>
      </c>
      <c r="G655" t="b">
        <v>0</v>
      </c>
      <c r="H655" t="b">
        <v>0</v>
      </c>
      <c r="I655" t="s">
        <v>1051</v>
      </c>
      <c r="J655">
        <v>78</v>
      </c>
      <c r="K655" t="s">
        <v>0</v>
      </c>
      <c r="L655" t="s">
        <v>3000</v>
      </c>
      <c r="M655" t="s">
        <v>1548</v>
      </c>
      <c r="N655" t="s">
        <v>1548</v>
      </c>
      <c r="O655" t="s">
        <v>1548</v>
      </c>
      <c r="P655" s="36" t="s">
        <v>6448</v>
      </c>
    </row>
    <row r="656" spans="1:16" ht="409.5" x14ac:dyDescent="0.25">
      <c r="A656" t="s">
        <v>7203</v>
      </c>
      <c r="B656" t="s">
        <v>7198</v>
      </c>
      <c r="C656" t="s">
        <v>6446</v>
      </c>
      <c r="D656" t="s">
        <v>1027</v>
      </c>
      <c r="E656">
        <v>1402</v>
      </c>
      <c r="F656" t="s">
        <v>6447</v>
      </c>
      <c r="G656" t="b">
        <v>0</v>
      </c>
      <c r="H656" t="b">
        <v>0</v>
      </c>
      <c r="I656" t="s">
        <v>1051</v>
      </c>
      <c r="J656">
        <v>78</v>
      </c>
      <c r="K656" t="s">
        <v>0</v>
      </c>
      <c r="L656" t="s">
        <v>3000</v>
      </c>
      <c r="M656" t="s">
        <v>1548</v>
      </c>
      <c r="N656" t="s">
        <v>1548</v>
      </c>
      <c r="O656" t="s">
        <v>1548</v>
      </c>
      <c r="P656" s="36" t="s">
        <v>6448</v>
      </c>
    </row>
    <row r="657" spans="1:16" ht="409.5" x14ac:dyDescent="0.25">
      <c r="A657" t="s">
        <v>7204</v>
      </c>
      <c r="B657" t="s">
        <v>7205</v>
      </c>
      <c r="C657" t="s">
        <v>6446</v>
      </c>
      <c r="D657" t="s">
        <v>1027</v>
      </c>
      <c r="E657">
        <v>1402</v>
      </c>
      <c r="F657" t="s">
        <v>6447</v>
      </c>
      <c r="G657" t="b">
        <v>0</v>
      </c>
      <c r="H657" t="b">
        <v>0</v>
      </c>
      <c r="I657" t="s">
        <v>1051</v>
      </c>
      <c r="J657">
        <v>78</v>
      </c>
      <c r="K657" t="s">
        <v>0</v>
      </c>
      <c r="L657" t="s">
        <v>3000</v>
      </c>
      <c r="M657" t="s">
        <v>1548</v>
      </c>
      <c r="N657" t="s">
        <v>1548</v>
      </c>
      <c r="O657" t="s">
        <v>1548</v>
      </c>
      <c r="P657" s="36" t="s">
        <v>6448</v>
      </c>
    </row>
    <row r="658" spans="1:16" ht="409.5" x14ac:dyDescent="0.25">
      <c r="A658" t="s">
        <v>7206</v>
      </c>
      <c r="B658" t="s">
        <v>7205</v>
      </c>
      <c r="C658" t="s">
        <v>6446</v>
      </c>
      <c r="D658" t="s">
        <v>1027</v>
      </c>
      <c r="E658">
        <v>1402</v>
      </c>
      <c r="F658" t="s">
        <v>6447</v>
      </c>
      <c r="G658" t="b">
        <v>0</v>
      </c>
      <c r="H658" t="b">
        <v>0</v>
      </c>
      <c r="I658" t="s">
        <v>1051</v>
      </c>
      <c r="J658">
        <v>78</v>
      </c>
      <c r="K658" t="s">
        <v>0</v>
      </c>
      <c r="L658" t="s">
        <v>3000</v>
      </c>
      <c r="M658" t="s">
        <v>1548</v>
      </c>
      <c r="N658" t="s">
        <v>1548</v>
      </c>
      <c r="O658" t="s">
        <v>1548</v>
      </c>
      <c r="P658" s="36" t="s">
        <v>6448</v>
      </c>
    </row>
    <row r="659" spans="1:16" ht="409.5" x14ac:dyDescent="0.25">
      <c r="A659" t="s">
        <v>7207</v>
      </c>
      <c r="B659" t="s">
        <v>7205</v>
      </c>
      <c r="C659" t="s">
        <v>6446</v>
      </c>
      <c r="D659" t="s">
        <v>1027</v>
      </c>
      <c r="E659">
        <v>1402</v>
      </c>
      <c r="F659" t="s">
        <v>6447</v>
      </c>
      <c r="G659" t="b">
        <v>0</v>
      </c>
      <c r="H659" t="b">
        <v>0</v>
      </c>
      <c r="I659" t="s">
        <v>1051</v>
      </c>
      <c r="J659">
        <v>78</v>
      </c>
      <c r="K659" t="s">
        <v>0</v>
      </c>
      <c r="L659" t="s">
        <v>3000</v>
      </c>
      <c r="M659" t="s">
        <v>1548</v>
      </c>
      <c r="N659" t="s">
        <v>1548</v>
      </c>
      <c r="O659" t="s">
        <v>1548</v>
      </c>
      <c r="P659" s="36" t="s">
        <v>6448</v>
      </c>
    </row>
    <row r="660" spans="1:16" ht="409.5" x14ac:dyDescent="0.25">
      <c r="A660" t="s">
        <v>7208</v>
      </c>
      <c r="B660" t="s">
        <v>7205</v>
      </c>
      <c r="C660" t="s">
        <v>6446</v>
      </c>
      <c r="D660" t="s">
        <v>1027</v>
      </c>
      <c r="E660">
        <v>1402</v>
      </c>
      <c r="F660" t="s">
        <v>6447</v>
      </c>
      <c r="G660" t="b">
        <v>0</v>
      </c>
      <c r="H660" t="b">
        <v>0</v>
      </c>
      <c r="I660" t="s">
        <v>1051</v>
      </c>
      <c r="J660">
        <v>78</v>
      </c>
      <c r="K660" t="s">
        <v>0</v>
      </c>
      <c r="L660" t="s">
        <v>3000</v>
      </c>
      <c r="M660" t="s">
        <v>1548</v>
      </c>
      <c r="N660" t="s">
        <v>1548</v>
      </c>
      <c r="O660" t="s">
        <v>1548</v>
      </c>
      <c r="P660" s="36" t="s">
        <v>6448</v>
      </c>
    </row>
    <row r="661" spans="1:16" ht="409.5" x14ac:dyDescent="0.25">
      <c r="A661" t="s">
        <v>7209</v>
      </c>
      <c r="B661" t="s">
        <v>7205</v>
      </c>
      <c r="C661" t="s">
        <v>6446</v>
      </c>
      <c r="D661" t="s">
        <v>1027</v>
      </c>
      <c r="E661">
        <v>1402</v>
      </c>
      <c r="F661" t="s">
        <v>6447</v>
      </c>
      <c r="G661" t="b">
        <v>0</v>
      </c>
      <c r="H661" t="b">
        <v>0</v>
      </c>
      <c r="I661" t="s">
        <v>1051</v>
      </c>
      <c r="J661">
        <v>78</v>
      </c>
      <c r="K661" t="s">
        <v>0</v>
      </c>
      <c r="L661" t="s">
        <v>3000</v>
      </c>
      <c r="M661" t="s">
        <v>1548</v>
      </c>
      <c r="N661" t="s">
        <v>1548</v>
      </c>
      <c r="O661" t="s">
        <v>1548</v>
      </c>
      <c r="P661" s="36" t="s">
        <v>6448</v>
      </c>
    </row>
    <row r="662" spans="1:16" ht="409.5" x14ac:dyDescent="0.25">
      <c r="A662" t="s">
        <v>7210</v>
      </c>
      <c r="B662" t="s">
        <v>7205</v>
      </c>
      <c r="C662" t="s">
        <v>6446</v>
      </c>
      <c r="D662" t="s">
        <v>1027</v>
      </c>
      <c r="E662">
        <v>1402</v>
      </c>
      <c r="F662" t="s">
        <v>6447</v>
      </c>
      <c r="G662" t="b">
        <v>0</v>
      </c>
      <c r="H662" t="b">
        <v>0</v>
      </c>
      <c r="I662" t="s">
        <v>1051</v>
      </c>
      <c r="J662">
        <v>78</v>
      </c>
      <c r="K662" t="s">
        <v>0</v>
      </c>
      <c r="L662" t="s">
        <v>3000</v>
      </c>
      <c r="M662" t="s">
        <v>1548</v>
      </c>
      <c r="N662" t="s">
        <v>1548</v>
      </c>
      <c r="O662" t="s">
        <v>1548</v>
      </c>
      <c r="P662" s="36" t="s">
        <v>6448</v>
      </c>
    </row>
    <row r="663" spans="1:16" ht="409.5" x14ac:dyDescent="0.25">
      <c r="A663" t="s">
        <v>7211</v>
      </c>
      <c r="B663" t="s">
        <v>7205</v>
      </c>
      <c r="C663" t="s">
        <v>6446</v>
      </c>
      <c r="D663" t="s">
        <v>1027</v>
      </c>
      <c r="E663">
        <v>1402</v>
      </c>
      <c r="F663" t="s">
        <v>6447</v>
      </c>
      <c r="G663" t="b">
        <v>0</v>
      </c>
      <c r="H663" t="b">
        <v>0</v>
      </c>
      <c r="I663" t="s">
        <v>1051</v>
      </c>
      <c r="J663">
        <v>78</v>
      </c>
      <c r="K663" t="s">
        <v>0</v>
      </c>
      <c r="L663" t="s">
        <v>3000</v>
      </c>
      <c r="M663" t="s">
        <v>1548</v>
      </c>
      <c r="N663" t="s">
        <v>1548</v>
      </c>
      <c r="O663" t="s">
        <v>1548</v>
      </c>
      <c r="P663" s="36" t="s">
        <v>6448</v>
      </c>
    </row>
    <row r="664" spans="1:16" ht="409.5" x14ac:dyDescent="0.25">
      <c r="A664" t="s">
        <v>7212</v>
      </c>
      <c r="B664" t="s">
        <v>7205</v>
      </c>
      <c r="C664" t="s">
        <v>6446</v>
      </c>
      <c r="D664" t="s">
        <v>1027</v>
      </c>
      <c r="E664">
        <v>1402</v>
      </c>
      <c r="F664" t="s">
        <v>6447</v>
      </c>
      <c r="G664" t="b">
        <v>0</v>
      </c>
      <c r="H664" t="b">
        <v>0</v>
      </c>
      <c r="I664" t="s">
        <v>1051</v>
      </c>
      <c r="J664">
        <v>78</v>
      </c>
      <c r="K664" t="s">
        <v>0</v>
      </c>
      <c r="L664" t="s">
        <v>3000</v>
      </c>
      <c r="M664" t="s">
        <v>1548</v>
      </c>
      <c r="N664" t="s">
        <v>1548</v>
      </c>
      <c r="O664" t="s">
        <v>1548</v>
      </c>
      <c r="P664" s="36" t="s">
        <v>6448</v>
      </c>
    </row>
    <row r="665" spans="1:16" ht="409.5" x14ac:dyDescent="0.25">
      <c r="A665" t="s">
        <v>7213</v>
      </c>
      <c r="B665" t="s">
        <v>7214</v>
      </c>
      <c r="C665" t="s">
        <v>6446</v>
      </c>
      <c r="D665" t="s">
        <v>1027</v>
      </c>
      <c r="E665">
        <v>1402</v>
      </c>
      <c r="F665" t="s">
        <v>6447</v>
      </c>
      <c r="G665" t="b">
        <v>0</v>
      </c>
      <c r="H665" t="b">
        <v>0</v>
      </c>
      <c r="I665" t="s">
        <v>1051</v>
      </c>
      <c r="J665">
        <v>78</v>
      </c>
      <c r="K665" t="s">
        <v>0</v>
      </c>
      <c r="L665" t="s">
        <v>3000</v>
      </c>
      <c r="M665" t="s">
        <v>1548</v>
      </c>
      <c r="N665" t="s">
        <v>1548</v>
      </c>
      <c r="O665" t="s">
        <v>1548</v>
      </c>
      <c r="P665" s="36" t="s">
        <v>6448</v>
      </c>
    </row>
    <row r="666" spans="1:16" ht="409.5" x14ac:dyDescent="0.25">
      <c r="A666" t="s">
        <v>7215</v>
      </c>
      <c r="B666" t="s">
        <v>7214</v>
      </c>
      <c r="C666" t="s">
        <v>6446</v>
      </c>
      <c r="D666" t="s">
        <v>1027</v>
      </c>
      <c r="E666">
        <v>1402</v>
      </c>
      <c r="F666" t="s">
        <v>6447</v>
      </c>
      <c r="G666" t="b">
        <v>0</v>
      </c>
      <c r="H666" t="b">
        <v>0</v>
      </c>
      <c r="I666" t="s">
        <v>1051</v>
      </c>
      <c r="J666">
        <v>78</v>
      </c>
      <c r="K666" t="s">
        <v>0</v>
      </c>
      <c r="L666" t="s">
        <v>3000</v>
      </c>
      <c r="M666" t="s">
        <v>1548</v>
      </c>
      <c r="N666" t="s">
        <v>1548</v>
      </c>
      <c r="O666" t="s">
        <v>1548</v>
      </c>
      <c r="P666" s="36" t="s">
        <v>6448</v>
      </c>
    </row>
    <row r="667" spans="1:16" ht="409.5" x14ac:dyDescent="0.25">
      <c r="A667" t="s">
        <v>7216</v>
      </c>
      <c r="B667" t="s">
        <v>7214</v>
      </c>
      <c r="C667" t="s">
        <v>6446</v>
      </c>
      <c r="D667" t="s">
        <v>1027</v>
      </c>
      <c r="E667">
        <v>1402</v>
      </c>
      <c r="F667" t="s">
        <v>6447</v>
      </c>
      <c r="G667" t="b">
        <v>0</v>
      </c>
      <c r="H667" t="b">
        <v>0</v>
      </c>
      <c r="I667" t="s">
        <v>1051</v>
      </c>
      <c r="J667">
        <v>78</v>
      </c>
      <c r="K667" t="s">
        <v>0</v>
      </c>
      <c r="L667" t="s">
        <v>3000</v>
      </c>
      <c r="M667" t="s">
        <v>1548</v>
      </c>
      <c r="N667" t="s">
        <v>1548</v>
      </c>
      <c r="O667" t="s">
        <v>1548</v>
      </c>
      <c r="P667" s="36" t="s">
        <v>6448</v>
      </c>
    </row>
    <row r="668" spans="1:16" ht="409.5" x14ac:dyDescent="0.25">
      <c r="A668" t="s">
        <v>7217</v>
      </c>
      <c r="B668" t="s">
        <v>7218</v>
      </c>
      <c r="C668" t="s">
        <v>6446</v>
      </c>
      <c r="D668" t="s">
        <v>1027</v>
      </c>
      <c r="E668">
        <v>1402</v>
      </c>
      <c r="F668" t="s">
        <v>6447</v>
      </c>
      <c r="G668" t="b">
        <v>0</v>
      </c>
      <c r="H668" t="b">
        <v>0</v>
      </c>
      <c r="I668" t="s">
        <v>1051</v>
      </c>
      <c r="J668">
        <v>78</v>
      </c>
      <c r="K668" t="s">
        <v>0</v>
      </c>
      <c r="L668" t="s">
        <v>3000</v>
      </c>
      <c r="M668" t="s">
        <v>1548</v>
      </c>
      <c r="N668" t="s">
        <v>1548</v>
      </c>
      <c r="O668" t="s">
        <v>1548</v>
      </c>
      <c r="P668" s="36" t="s">
        <v>6448</v>
      </c>
    </row>
    <row r="669" spans="1:16" ht="409.5" x14ac:dyDescent="0.25">
      <c r="A669" t="s">
        <v>7219</v>
      </c>
      <c r="B669" t="s">
        <v>7218</v>
      </c>
      <c r="C669" t="s">
        <v>6446</v>
      </c>
      <c r="D669" t="s">
        <v>1027</v>
      </c>
      <c r="E669">
        <v>1402</v>
      </c>
      <c r="F669" t="s">
        <v>6447</v>
      </c>
      <c r="G669" t="b">
        <v>0</v>
      </c>
      <c r="H669" t="b">
        <v>0</v>
      </c>
      <c r="I669" t="s">
        <v>1051</v>
      </c>
      <c r="J669">
        <v>78</v>
      </c>
      <c r="K669" t="s">
        <v>0</v>
      </c>
      <c r="L669" t="s">
        <v>3000</v>
      </c>
      <c r="M669" t="s">
        <v>1548</v>
      </c>
      <c r="N669" t="s">
        <v>1548</v>
      </c>
      <c r="O669" t="s">
        <v>1548</v>
      </c>
      <c r="P669" s="36" t="s">
        <v>6448</v>
      </c>
    </row>
    <row r="670" spans="1:16" ht="409.5" x14ac:dyDescent="0.25">
      <c r="A670" t="s">
        <v>7220</v>
      </c>
      <c r="B670" t="s">
        <v>7218</v>
      </c>
      <c r="C670" t="s">
        <v>6446</v>
      </c>
      <c r="D670" t="s">
        <v>1027</v>
      </c>
      <c r="E670">
        <v>1402</v>
      </c>
      <c r="F670" t="s">
        <v>6447</v>
      </c>
      <c r="G670" t="b">
        <v>0</v>
      </c>
      <c r="H670" t="b">
        <v>0</v>
      </c>
      <c r="I670" t="s">
        <v>1051</v>
      </c>
      <c r="J670">
        <v>78</v>
      </c>
      <c r="K670" t="s">
        <v>0</v>
      </c>
      <c r="L670" t="s">
        <v>3000</v>
      </c>
      <c r="M670" t="s">
        <v>1548</v>
      </c>
      <c r="N670" t="s">
        <v>1548</v>
      </c>
      <c r="O670" t="s">
        <v>1548</v>
      </c>
      <c r="P670" s="36" t="s">
        <v>6448</v>
      </c>
    </row>
    <row r="671" spans="1:16" ht="409.5" x14ac:dyDescent="0.25">
      <c r="A671" t="s">
        <v>7221</v>
      </c>
      <c r="B671" t="s">
        <v>7218</v>
      </c>
      <c r="C671" t="s">
        <v>6446</v>
      </c>
      <c r="D671" t="s">
        <v>1027</v>
      </c>
      <c r="E671">
        <v>1402</v>
      </c>
      <c r="F671" t="s">
        <v>6447</v>
      </c>
      <c r="G671" t="b">
        <v>0</v>
      </c>
      <c r="H671" t="b">
        <v>0</v>
      </c>
      <c r="I671" t="s">
        <v>1051</v>
      </c>
      <c r="J671">
        <v>78</v>
      </c>
      <c r="K671" t="s">
        <v>0</v>
      </c>
      <c r="L671" t="s">
        <v>3000</v>
      </c>
      <c r="M671" t="s">
        <v>1548</v>
      </c>
      <c r="N671" t="s">
        <v>1548</v>
      </c>
      <c r="O671" t="s">
        <v>1548</v>
      </c>
      <c r="P671" s="36" t="s">
        <v>6448</v>
      </c>
    </row>
    <row r="672" spans="1:16" ht="409.5" x14ac:dyDescent="0.25">
      <c r="A672" t="s">
        <v>7222</v>
      </c>
      <c r="B672" t="s">
        <v>7184</v>
      </c>
      <c r="C672" t="s">
        <v>6446</v>
      </c>
      <c r="D672" t="s">
        <v>1027</v>
      </c>
      <c r="E672">
        <v>1402</v>
      </c>
      <c r="F672" t="s">
        <v>6447</v>
      </c>
      <c r="G672" t="b">
        <v>0</v>
      </c>
      <c r="H672" t="b">
        <v>0</v>
      </c>
      <c r="I672" t="s">
        <v>1051</v>
      </c>
      <c r="J672">
        <v>78</v>
      </c>
      <c r="K672" t="s">
        <v>0</v>
      </c>
      <c r="L672" t="s">
        <v>3000</v>
      </c>
      <c r="M672" t="s">
        <v>1548</v>
      </c>
      <c r="N672" t="s">
        <v>1548</v>
      </c>
      <c r="O672" t="s">
        <v>1548</v>
      </c>
      <c r="P672" s="36" t="s">
        <v>6448</v>
      </c>
    </row>
    <row r="673" spans="1:16" ht="409.5" x14ac:dyDescent="0.25">
      <c r="A673" t="s">
        <v>7223</v>
      </c>
      <c r="B673" t="s">
        <v>7184</v>
      </c>
      <c r="C673" t="s">
        <v>6446</v>
      </c>
      <c r="D673" t="s">
        <v>1027</v>
      </c>
      <c r="E673">
        <v>1402</v>
      </c>
      <c r="F673" t="s">
        <v>6447</v>
      </c>
      <c r="G673" t="b">
        <v>0</v>
      </c>
      <c r="H673" t="b">
        <v>0</v>
      </c>
      <c r="I673" t="s">
        <v>1051</v>
      </c>
      <c r="J673">
        <v>78</v>
      </c>
      <c r="K673" t="s">
        <v>0</v>
      </c>
      <c r="L673" t="s">
        <v>3000</v>
      </c>
      <c r="M673" t="s">
        <v>1548</v>
      </c>
      <c r="N673" t="s">
        <v>1548</v>
      </c>
      <c r="O673" t="s">
        <v>1548</v>
      </c>
      <c r="P673" s="36" t="s">
        <v>6448</v>
      </c>
    </row>
    <row r="674" spans="1:16" ht="409.5" x14ac:dyDescent="0.25">
      <c r="A674" t="s">
        <v>7224</v>
      </c>
      <c r="B674" t="s">
        <v>7184</v>
      </c>
      <c r="C674" t="s">
        <v>6446</v>
      </c>
      <c r="D674" t="s">
        <v>1027</v>
      </c>
      <c r="E674">
        <v>1402</v>
      </c>
      <c r="F674" t="s">
        <v>6447</v>
      </c>
      <c r="G674" t="b">
        <v>0</v>
      </c>
      <c r="H674" t="b">
        <v>0</v>
      </c>
      <c r="I674" t="s">
        <v>1051</v>
      </c>
      <c r="J674">
        <v>78</v>
      </c>
      <c r="K674" t="s">
        <v>0</v>
      </c>
      <c r="L674" t="s">
        <v>3000</v>
      </c>
      <c r="M674" t="s">
        <v>1548</v>
      </c>
      <c r="N674" t="s">
        <v>1548</v>
      </c>
      <c r="O674" t="s">
        <v>1548</v>
      </c>
      <c r="P674" s="36" t="s">
        <v>6448</v>
      </c>
    </row>
    <row r="675" spans="1:16" x14ac:dyDescent="0.25">
      <c r="A675" t="s">
        <v>7225</v>
      </c>
      <c r="B675" t="s">
        <v>7226</v>
      </c>
      <c r="C675" t="s">
        <v>1335</v>
      </c>
      <c r="D675" t="s">
        <v>1027</v>
      </c>
      <c r="E675">
        <v>1459</v>
      </c>
      <c r="F675" t="s">
        <v>1336</v>
      </c>
      <c r="G675" t="b">
        <v>0</v>
      </c>
      <c r="H675" t="b">
        <v>0</v>
      </c>
      <c r="I675" t="s">
        <v>1051</v>
      </c>
      <c r="J675">
        <v>78</v>
      </c>
      <c r="K675" t="s">
        <v>2</v>
      </c>
      <c r="L675" t="s">
        <v>1549</v>
      </c>
      <c r="M675" t="s">
        <v>3922</v>
      </c>
      <c r="N675" t="s">
        <v>3922</v>
      </c>
      <c r="O675" t="s">
        <v>3922</v>
      </c>
      <c r="P675" t="s">
        <v>1682</v>
      </c>
    </row>
    <row r="676" spans="1:16" x14ac:dyDescent="0.25">
      <c r="A676" t="s">
        <v>7227</v>
      </c>
      <c r="B676" t="s">
        <v>7226</v>
      </c>
      <c r="C676" t="s">
        <v>1335</v>
      </c>
      <c r="D676" t="s">
        <v>1027</v>
      </c>
      <c r="E676">
        <v>1459</v>
      </c>
      <c r="F676" t="s">
        <v>1336</v>
      </c>
      <c r="G676" t="b">
        <v>0</v>
      </c>
      <c r="H676" t="b">
        <v>0</v>
      </c>
      <c r="I676" t="s">
        <v>1051</v>
      </c>
      <c r="J676">
        <v>78</v>
      </c>
      <c r="K676" t="s">
        <v>2</v>
      </c>
      <c r="L676" t="s">
        <v>1549</v>
      </c>
      <c r="M676" t="s">
        <v>3922</v>
      </c>
      <c r="N676" t="s">
        <v>3922</v>
      </c>
      <c r="O676" t="s">
        <v>3922</v>
      </c>
      <c r="P676" t="s">
        <v>1682</v>
      </c>
    </row>
    <row r="677" spans="1:16" x14ac:dyDescent="0.25">
      <c r="A677" t="s">
        <v>7228</v>
      </c>
      <c r="B677" t="s">
        <v>7226</v>
      </c>
      <c r="C677" t="s">
        <v>1335</v>
      </c>
      <c r="D677" t="s">
        <v>1027</v>
      </c>
      <c r="E677">
        <v>1459</v>
      </c>
      <c r="F677" t="s">
        <v>1336</v>
      </c>
      <c r="G677" t="b">
        <v>0</v>
      </c>
      <c r="H677" t="b">
        <v>0</v>
      </c>
      <c r="I677" t="s">
        <v>1051</v>
      </c>
      <c r="J677">
        <v>78</v>
      </c>
      <c r="K677" t="s">
        <v>2</v>
      </c>
      <c r="L677" t="s">
        <v>1549</v>
      </c>
      <c r="M677" t="s">
        <v>3922</v>
      </c>
      <c r="N677" t="s">
        <v>3922</v>
      </c>
      <c r="O677" t="s">
        <v>3922</v>
      </c>
      <c r="P677" t="s">
        <v>1682</v>
      </c>
    </row>
    <row r="678" spans="1:16" x14ac:dyDescent="0.25">
      <c r="A678" t="s">
        <v>7229</v>
      </c>
      <c r="B678" t="s">
        <v>7226</v>
      </c>
      <c r="C678" t="s">
        <v>1335</v>
      </c>
      <c r="D678" t="s">
        <v>1027</v>
      </c>
      <c r="E678">
        <v>1459</v>
      </c>
      <c r="F678" t="s">
        <v>1336</v>
      </c>
      <c r="G678" t="b">
        <v>0</v>
      </c>
      <c r="H678" t="b">
        <v>0</v>
      </c>
      <c r="I678" t="s">
        <v>1051</v>
      </c>
      <c r="J678">
        <v>78</v>
      </c>
      <c r="K678" t="s">
        <v>2</v>
      </c>
      <c r="L678" t="s">
        <v>1549</v>
      </c>
      <c r="M678" t="s">
        <v>3922</v>
      </c>
      <c r="N678" t="s">
        <v>3922</v>
      </c>
      <c r="O678" t="s">
        <v>3922</v>
      </c>
      <c r="P678" t="s">
        <v>1682</v>
      </c>
    </row>
    <row r="679" spans="1:16" x14ac:dyDescent="0.25">
      <c r="A679" t="s">
        <v>7230</v>
      </c>
      <c r="B679" t="s">
        <v>7226</v>
      </c>
      <c r="C679" t="s">
        <v>1335</v>
      </c>
      <c r="D679" t="s">
        <v>1027</v>
      </c>
      <c r="E679">
        <v>1459</v>
      </c>
      <c r="F679" t="s">
        <v>1336</v>
      </c>
      <c r="G679" t="b">
        <v>0</v>
      </c>
      <c r="H679" t="b">
        <v>0</v>
      </c>
      <c r="I679" t="s">
        <v>1051</v>
      </c>
      <c r="J679">
        <v>78</v>
      </c>
      <c r="K679" t="s">
        <v>2</v>
      </c>
      <c r="L679" t="s">
        <v>1549</v>
      </c>
      <c r="M679" t="s">
        <v>3922</v>
      </c>
      <c r="N679" t="s">
        <v>3922</v>
      </c>
      <c r="O679" t="s">
        <v>3922</v>
      </c>
      <c r="P679" t="s">
        <v>1682</v>
      </c>
    </row>
    <row r="680" spans="1:16" x14ac:dyDescent="0.25">
      <c r="A680" t="s">
        <v>7231</v>
      </c>
      <c r="B680" t="s">
        <v>7226</v>
      </c>
      <c r="C680" t="s">
        <v>1335</v>
      </c>
      <c r="D680" t="s">
        <v>1027</v>
      </c>
      <c r="E680">
        <v>1459</v>
      </c>
      <c r="F680" t="s">
        <v>1336</v>
      </c>
      <c r="G680" t="b">
        <v>0</v>
      </c>
      <c r="H680" t="b">
        <v>0</v>
      </c>
      <c r="I680" t="s">
        <v>1051</v>
      </c>
      <c r="J680">
        <v>78</v>
      </c>
      <c r="K680" t="s">
        <v>2</v>
      </c>
      <c r="L680" t="s">
        <v>1549</v>
      </c>
      <c r="M680" t="s">
        <v>3922</v>
      </c>
      <c r="N680" t="s">
        <v>3922</v>
      </c>
      <c r="O680" t="s">
        <v>3922</v>
      </c>
      <c r="P680" t="s">
        <v>1682</v>
      </c>
    </row>
    <row r="681" spans="1:16" x14ac:dyDescent="0.25">
      <c r="A681" t="s">
        <v>7232</v>
      </c>
      <c r="B681" t="s">
        <v>7226</v>
      </c>
      <c r="C681" t="s">
        <v>1335</v>
      </c>
      <c r="D681" t="s">
        <v>1027</v>
      </c>
      <c r="E681">
        <v>1459</v>
      </c>
      <c r="F681" t="s">
        <v>1336</v>
      </c>
      <c r="G681" t="b">
        <v>0</v>
      </c>
      <c r="H681" t="b">
        <v>0</v>
      </c>
      <c r="I681" t="s">
        <v>1051</v>
      </c>
      <c r="J681">
        <v>78</v>
      </c>
      <c r="K681" t="s">
        <v>2</v>
      </c>
      <c r="L681" t="s">
        <v>1549</v>
      </c>
      <c r="M681" t="s">
        <v>3922</v>
      </c>
      <c r="N681" t="s">
        <v>3922</v>
      </c>
      <c r="O681" t="s">
        <v>3922</v>
      </c>
      <c r="P681" t="s">
        <v>1682</v>
      </c>
    </row>
    <row r="682" spans="1:16" x14ac:dyDescent="0.25">
      <c r="A682" t="s">
        <v>7233</v>
      </c>
      <c r="B682" t="s">
        <v>7226</v>
      </c>
      <c r="C682" t="s">
        <v>1335</v>
      </c>
      <c r="D682" t="s">
        <v>1027</v>
      </c>
      <c r="E682">
        <v>1459</v>
      </c>
      <c r="F682" t="s">
        <v>1336</v>
      </c>
      <c r="G682" t="b">
        <v>0</v>
      </c>
      <c r="H682" t="b">
        <v>0</v>
      </c>
      <c r="I682" t="s">
        <v>1051</v>
      </c>
      <c r="J682">
        <v>78</v>
      </c>
      <c r="K682" t="s">
        <v>2</v>
      </c>
      <c r="L682" t="s">
        <v>1549</v>
      </c>
      <c r="M682" t="s">
        <v>3922</v>
      </c>
      <c r="N682" t="s">
        <v>3922</v>
      </c>
      <c r="O682" t="s">
        <v>3922</v>
      </c>
      <c r="P682" t="s">
        <v>1682</v>
      </c>
    </row>
    <row r="683" spans="1:16" x14ac:dyDescent="0.25">
      <c r="A683" t="s">
        <v>7234</v>
      </c>
      <c r="B683" t="s">
        <v>7226</v>
      </c>
      <c r="C683" t="s">
        <v>1335</v>
      </c>
      <c r="D683" t="s">
        <v>1027</v>
      </c>
      <c r="E683">
        <v>1459</v>
      </c>
      <c r="F683" t="s">
        <v>1336</v>
      </c>
      <c r="G683" t="b">
        <v>0</v>
      </c>
      <c r="H683" t="b">
        <v>0</v>
      </c>
      <c r="I683" t="s">
        <v>1051</v>
      </c>
      <c r="J683">
        <v>78</v>
      </c>
      <c r="K683" t="s">
        <v>2</v>
      </c>
      <c r="L683" t="s">
        <v>1549</v>
      </c>
      <c r="M683" t="s">
        <v>3922</v>
      </c>
      <c r="N683" t="s">
        <v>3922</v>
      </c>
      <c r="O683" t="s">
        <v>3922</v>
      </c>
      <c r="P683" t="s">
        <v>1682</v>
      </c>
    </row>
    <row r="684" spans="1:16" x14ac:dyDescent="0.25">
      <c r="A684" t="s">
        <v>7235</v>
      </c>
      <c r="B684" t="s">
        <v>7226</v>
      </c>
      <c r="C684" t="s">
        <v>1335</v>
      </c>
      <c r="D684" t="s">
        <v>1027</v>
      </c>
      <c r="E684">
        <v>1459</v>
      </c>
      <c r="F684" t="s">
        <v>1336</v>
      </c>
      <c r="G684" t="b">
        <v>0</v>
      </c>
      <c r="H684" t="b">
        <v>0</v>
      </c>
      <c r="I684" t="s">
        <v>1051</v>
      </c>
      <c r="J684">
        <v>78</v>
      </c>
      <c r="K684" t="s">
        <v>2</v>
      </c>
      <c r="L684" t="s">
        <v>1549</v>
      </c>
      <c r="M684" t="s">
        <v>3922</v>
      </c>
      <c r="N684" t="s">
        <v>3922</v>
      </c>
      <c r="O684" t="s">
        <v>3922</v>
      </c>
      <c r="P684" t="s">
        <v>1682</v>
      </c>
    </row>
    <row r="685" spans="1:16" x14ac:dyDescent="0.25">
      <c r="A685" t="s">
        <v>7236</v>
      </c>
      <c r="B685" t="s">
        <v>7226</v>
      </c>
      <c r="C685" t="s">
        <v>1335</v>
      </c>
      <c r="D685" t="s">
        <v>1027</v>
      </c>
      <c r="E685">
        <v>1459</v>
      </c>
      <c r="F685" t="s">
        <v>1336</v>
      </c>
      <c r="G685" t="b">
        <v>0</v>
      </c>
      <c r="H685" t="b">
        <v>0</v>
      </c>
      <c r="I685" t="s">
        <v>1051</v>
      </c>
      <c r="J685">
        <v>78</v>
      </c>
      <c r="K685" t="s">
        <v>2</v>
      </c>
      <c r="L685" t="s">
        <v>1549</v>
      </c>
      <c r="M685" t="s">
        <v>3922</v>
      </c>
      <c r="N685" t="s">
        <v>3922</v>
      </c>
      <c r="O685" t="s">
        <v>3922</v>
      </c>
      <c r="P685" t="s">
        <v>1682</v>
      </c>
    </row>
    <row r="686" spans="1:16" x14ac:dyDescent="0.25">
      <c r="A686" t="s">
        <v>7237</v>
      </c>
      <c r="B686" t="s">
        <v>7226</v>
      </c>
      <c r="C686" t="s">
        <v>1335</v>
      </c>
      <c r="D686" t="s">
        <v>1027</v>
      </c>
      <c r="E686">
        <v>1459</v>
      </c>
      <c r="F686" t="s">
        <v>1336</v>
      </c>
      <c r="G686" t="b">
        <v>0</v>
      </c>
      <c r="H686" t="b">
        <v>0</v>
      </c>
      <c r="I686" t="s">
        <v>1051</v>
      </c>
      <c r="J686">
        <v>78</v>
      </c>
      <c r="K686" t="s">
        <v>2</v>
      </c>
      <c r="L686" t="s">
        <v>1549</v>
      </c>
      <c r="M686" t="s">
        <v>3922</v>
      </c>
      <c r="N686" t="s">
        <v>3922</v>
      </c>
      <c r="O686" t="s">
        <v>3922</v>
      </c>
      <c r="P686" t="s">
        <v>1682</v>
      </c>
    </row>
    <row r="687" spans="1:16" x14ac:dyDescent="0.25">
      <c r="A687" t="s">
        <v>7238</v>
      </c>
      <c r="B687" t="s">
        <v>7226</v>
      </c>
      <c r="C687" t="s">
        <v>1335</v>
      </c>
      <c r="D687" t="s">
        <v>1027</v>
      </c>
      <c r="E687">
        <v>1459</v>
      </c>
      <c r="F687" t="s">
        <v>1336</v>
      </c>
      <c r="G687" t="b">
        <v>0</v>
      </c>
      <c r="H687" t="b">
        <v>0</v>
      </c>
      <c r="I687" t="s">
        <v>1051</v>
      </c>
      <c r="J687">
        <v>78</v>
      </c>
      <c r="K687" t="s">
        <v>2</v>
      </c>
      <c r="L687" t="s">
        <v>1549</v>
      </c>
      <c r="M687" t="s">
        <v>3922</v>
      </c>
      <c r="N687" t="s">
        <v>3922</v>
      </c>
      <c r="O687" t="s">
        <v>3922</v>
      </c>
      <c r="P687" t="s">
        <v>1682</v>
      </c>
    </row>
    <row r="688" spans="1:16" x14ac:dyDescent="0.25">
      <c r="A688" t="s">
        <v>7239</v>
      </c>
      <c r="B688" t="s">
        <v>7226</v>
      </c>
      <c r="C688" t="s">
        <v>1335</v>
      </c>
      <c r="D688" t="s">
        <v>1027</v>
      </c>
      <c r="E688">
        <v>1459</v>
      </c>
      <c r="F688" t="s">
        <v>1336</v>
      </c>
      <c r="G688" t="b">
        <v>0</v>
      </c>
      <c r="H688" t="b">
        <v>0</v>
      </c>
      <c r="I688" t="s">
        <v>1051</v>
      </c>
      <c r="J688">
        <v>78</v>
      </c>
      <c r="K688" t="s">
        <v>2</v>
      </c>
      <c r="L688" t="s">
        <v>1549</v>
      </c>
      <c r="M688" t="s">
        <v>3922</v>
      </c>
      <c r="N688" t="s">
        <v>3922</v>
      </c>
      <c r="O688" t="s">
        <v>3922</v>
      </c>
      <c r="P688" t="s">
        <v>1682</v>
      </c>
    </row>
    <row r="689" spans="1:16" x14ac:dyDescent="0.25">
      <c r="A689" t="s">
        <v>7240</v>
      </c>
      <c r="B689" t="s">
        <v>7226</v>
      </c>
      <c r="C689" t="s">
        <v>1335</v>
      </c>
      <c r="D689" t="s">
        <v>1027</v>
      </c>
      <c r="E689">
        <v>1459</v>
      </c>
      <c r="F689" t="s">
        <v>1336</v>
      </c>
      <c r="G689" t="b">
        <v>0</v>
      </c>
      <c r="H689" t="b">
        <v>0</v>
      </c>
      <c r="I689" t="s">
        <v>1051</v>
      </c>
      <c r="J689">
        <v>78</v>
      </c>
      <c r="K689" t="s">
        <v>2</v>
      </c>
      <c r="L689" t="s">
        <v>1549</v>
      </c>
      <c r="M689" t="s">
        <v>3922</v>
      </c>
      <c r="N689" t="s">
        <v>3922</v>
      </c>
      <c r="O689" t="s">
        <v>3922</v>
      </c>
      <c r="P689" t="s">
        <v>1682</v>
      </c>
    </row>
    <row r="690" spans="1:16" x14ac:dyDescent="0.25">
      <c r="A690" t="s">
        <v>7241</v>
      </c>
      <c r="B690" t="s">
        <v>7226</v>
      </c>
      <c r="C690" t="s">
        <v>1335</v>
      </c>
      <c r="D690" t="s">
        <v>1027</v>
      </c>
      <c r="E690">
        <v>1459</v>
      </c>
      <c r="F690" t="s">
        <v>1336</v>
      </c>
      <c r="G690" t="b">
        <v>0</v>
      </c>
      <c r="H690" t="b">
        <v>0</v>
      </c>
      <c r="I690" t="s">
        <v>1051</v>
      </c>
      <c r="J690">
        <v>78</v>
      </c>
      <c r="K690" t="s">
        <v>2</v>
      </c>
      <c r="L690" t="s">
        <v>1549</v>
      </c>
      <c r="M690" t="s">
        <v>3922</v>
      </c>
      <c r="N690" t="s">
        <v>3922</v>
      </c>
      <c r="O690" t="s">
        <v>3922</v>
      </c>
      <c r="P690" t="s">
        <v>1682</v>
      </c>
    </row>
    <row r="691" spans="1:16" x14ac:dyDescent="0.25">
      <c r="A691" t="s">
        <v>7242</v>
      </c>
      <c r="B691" t="s">
        <v>7226</v>
      </c>
      <c r="C691" t="s">
        <v>1335</v>
      </c>
      <c r="D691" t="s">
        <v>1027</v>
      </c>
      <c r="E691">
        <v>1459</v>
      </c>
      <c r="F691" t="s">
        <v>1336</v>
      </c>
      <c r="G691" t="b">
        <v>0</v>
      </c>
      <c r="H691" t="b">
        <v>0</v>
      </c>
      <c r="I691" t="s">
        <v>1051</v>
      </c>
      <c r="J691">
        <v>78</v>
      </c>
      <c r="K691" t="s">
        <v>2</v>
      </c>
      <c r="L691" t="s">
        <v>1549</v>
      </c>
      <c r="M691" t="s">
        <v>3922</v>
      </c>
      <c r="N691" t="s">
        <v>3922</v>
      </c>
      <c r="O691" t="s">
        <v>3922</v>
      </c>
      <c r="P691" t="s">
        <v>1682</v>
      </c>
    </row>
    <row r="692" spans="1:16" x14ac:dyDescent="0.25">
      <c r="A692" t="s">
        <v>7243</v>
      </c>
      <c r="B692" t="s">
        <v>7226</v>
      </c>
      <c r="C692" t="s">
        <v>1335</v>
      </c>
      <c r="D692" t="s">
        <v>1027</v>
      </c>
      <c r="E692">
        <v>1459</v>
      </c>
      <c r="F692" t="s">
        <v>1336</v>
      </c>
      <c r="G692" t="b">
        <v>0</v>
      </c>
      <c r="H692" t="b">
        <v>0</v>
      </c>
      <c r="I692" t="s">
        <v>1051</v>
      </c>
      <c r="J692">
        <v>78</v>
      </c>
      <c r="K692" t="s">
        <v>2</v>
      </c>
      <c r="L692" t="s">
        <v>1549</v>
      </c>
      <c r="M692" t="s">
        <v>3922</v>
      </c>
      <c r="N692" t="s">
        <v>3922</v>
      </c>
      <c r="O692" t="s">
        <v>3922</v>
      </c>
      <c r="P692" t="s">
        <v>1682</v>
      </c>
    </row>
    <row r="693" spans="1:16" x14ac:dyDescent="0.25">
      <c r="A693" t="s">
        <v>7244</v>
      </c>
      <c r="B693" t="s">
        <v>7226</v>
      </c>
      <c r="C693" t="s">
        <v>1335</v>
      </c>
      <c r="D693" t="s">
        <v>1027</v>
      </c>
      <c r="E693">
        <v>1459</v>
      </c>
      <c r="F693" t="s">
        <v>1336</v>
      </c>
      <c r="G693" t="b">
        <v>0</v>
      </c>
      <c r="H693" t="b">
        <v>0</v>
      </c>
      <c r="I693" t="s">
        <v>1051</v>
      </c>
      <c r="J693">
        <v>78</v>
      </c>
      <c r="K693" t="s">
        <v>2</v>
      </c>
      <c r="L693" t="s">
        <v>1549</v>
      </c>
      <c r="M693" t="s">
        <v>3922</v>
      </c>
      <c r="N693" t="s">
        <v>3922</v>
      </c>
      <c r="O693" t="s">
        <v>3922</v>
      </c>
      <c r="P693" t="s">
        <v>1682</v>
      </c>
    </row>
    <row r="694" spans="1:16" x14ac:dyDescent="0.25">
      <c r="A694" t="s">
        <v>7245</v>
      </c>
      <c r="B694" t="s">
        <v>7226</v>
      </c>
      <c r="C694" t="s">
        <v>1335</v>
      </c>
      <c r="D694" t="s">
        <v>1027</v>
      </c>
      <c r="E694">
        <v>1459</v>
      </c>
      <c r="F694" t="s">
        <v>1336</v>
      </c>
      <c r="G694" t="b">
        <v>0</v>
      </c>
      <c r="H694" t="b">
        <v>0</v>
      </c>
      <c r="I694" t="s">
        <v>1051</v>
      </c>
      <c r="J694">
        <v>78</v>
      </c>
      <c r="K694" t="s">
        <v>2</v>
      </c>
      <c r="L694" t="s">
        <v>1549</v>
      </c>
      <c r="M694" t="s">
        <v>3922</v>
      </c>
      <c r="N694" t="s">
        <v>3922</v>
      </c>
      <c r="O694" t="s">
        <v>3922</v>
      </c>
      <c r="P694" t="s">
        <v>1682</v>
      </c>
    </row>
    <row r="695" spans="1:16" x14ac:dyDescent="0.25">
      <c r="A695" t="s">
        <v>7246</v>
      </c>
      <c r="B695" t="s">
        <v>7226</v>
      </c>
      <c r="C695" t="s">
        <v>1335</v>
      </c>
      <c r="D695" t="s">
        <v>1027</v>
      </c>
      <c r="E695">
        <v>1459</v>
      </c>
      <c r="F695" t="s">
        <v>1336</v>
      </c>
      <c r="G695" t="b">
        <v>0</v>
      </c>
      <c r="H695" t="b">
        <v>0</v>
      </c>
      <c r="I695" t="s">
        <v>1051</v>
      </c>
      <c r="J695">
        <v>78</v>
      </c>
      <c r="K695" t="s">
        <v>2</v>
      </c>
      <c r="L695" t="s">
        <v>1549</v>
      </c>
      <c r="M695" t="s">
        <v>3922</v>
      </c>
      <c r="N695" t="s">
        <v>3922</v>
      </c>
      <c r="O695" t="s">
        <v>3922</v>
      </c>
      <c r="P695" t="s">
        <v>1682</v>
      </c>
    </row>
    <row r="696" spans="1:16" x14ac:dyDescent="0.25">
      <c r="A696" t="s">
        <v>7247</v>
      </c>
      <c r="B696" t="s">
        <v>7226</v>
      </c>
      <c r="C696" t="s">
        <v>1335</v>
      </c>
      <c r="D696" t="s">
        <v>1027</v>
      </c>
      <c r="E696">
        <v>1459</v>
      </c>
      <c r="F696" t="s">
        <v>1336</v>
      </c>
      <c r="G696" t="b">
        <v>0</v>
      </c>
      <c r="H696" t="b">
        <v>0</v>
      </c>
      <c r="I696" t="s">
        <v>1051</v>
      </c>
      <c r="J696">
        <v>78</v>
      </c>
      <c r="K696" t="s">
        <v>2</v>
      </c>
      <c r="L696" t="s">
        <v>1549</v>
      </c>
      <c r="M696" t="s">
        <v>3922</v>
      </c>
      <c r="N696" t="s">
        <v>3922</v>
      </c>
      <c r="O696" t="s">
        <v>3922</v>
      </c>
      <c r="P696" t="s">
        <v>1682</v>
      </c>
    </row>
    <row r="697" spans="1:16" x14ac:dyDescent="0.25">
      <c r="A697" t="s">
        <v>7248</v>
      </c>
      <c r="B697" t="s">
        <v>7226</v>
      </c>
      <c r="C697" t="s">
        <v>1335</v>
      </c>
      <c r="D697" t="s">
        <v>1027</v>
      </c>
      <c r="E697">
        <v>1459</v>
      </c>
      <c r="F697" t="s">
        <v>1336</v>
      </c>
      <c r="G697" t="b">
        <v>0</v>
      </c>
      <c r="H697" t="b">
        <v>0</v>
      </c>
      <c r="I697" t="s">
        <v>1051</v>
      </c>
      <c r="J697">
        <v>78</v>
      </c>
      <c r="K697" t="s">
        <v>2</v>
      </c>
      <c r="L697" t="s">
        <v>1549</v>
      </c>
      <c r="M697" t="s">
        <v>3922</v>
      </c>
      <c r="N697" t="s">
        <v>3922</v>
      </c>
      <c r="O697" t="s">
        <v>3922</v>
      </c>
      <c r="P697" t="s">
        <v>1682</v>
      </c>
    </row>
    <row r="698" spans="1:16" x14ac:dyDescent="0.25">
      <c r="A698" t="s">
        <v>7249</v>
      </c>
      <c r="B698" t="s">
        <v>7226</v>
      </c>
      <c r="C698" t="s">
        <v>1335</v>
      </c>
      <c r="D698" t="s">
        <v>1027</v>
      </c>
      <c r="E698">
        <v>1459</v>
      </c>
      <c r="F698" t="s">
        <v>1336</v>
      </c>
      <c r="G698" t="b">
        <v>0</v>
      </c>
      <c r="H698" t="b">
        <v>0</v>
      </c>
      <c r="I698" t="s">
        <v>1051</v>
      </c>
      <c r="J698">
        <v>78</v>
      </c>
      <c r="K698" t="s">
        <v>2</v>
      </c>
      <c r="L698" t="s">
        <v>1549</v>
      </c>
      <c r="M698" t="s">
        <v>3922</v>
      </c>
      <c r="N698" t="s">
        <v>3922</v>
      </c>
      <c r="O698" t="s">
        <v>3922</v>
      </c>
      <c r="P698" t="s">
        <v>1682</v>
      </c>
    </row>
    <row r="699" spans="1:16" x14ac:dyDescent="0.25">
      <c r="A699" t="s">
        <v>7250</v>
      </c>
      <c r="B699" t="s">
        <v>7226</v>
      </c>
      <c r="C699" t="s">
        <v>1335</v>
      </c>
      <c r="D699" t="s">
        <v>1027</v>
      </c>
      <c r="E699">
        <v>1459</v>
      </c>
      <c r="F699" t="s">
        <v>1336</v>
      </c>
      <c r="G699" t="b">
        <v>0</v>
      </c>
      <c r="H699" t="b">
        <v>0</v>
      </c>
      <c r="I699" t="s">
        <v>1051</v>
      </c>
      <c r="J699">
        <v>78</v>
      </c>
      <c r="K699" t="s">
        <v>2</v>
      </c>
      <c r="L699" t="s">
        <v>1549</v>
      </c>
      <c r="M699" t="s">
        <v>3922</v>
      </c>
      <c r="N699" t="s">
        <v>3922</v>
      </c>
      <c r="O699" t="s">
        <v>3922</v>
      </c>
      <c r="P699" t="s">
        <v>1682</v>
      </c>
    </row>
    <row r="700" spans="1:16" x14ac:dyDescent="0.25">
      <c r="A700" t="s">
        <v>7251</v>
      </c>
      <c r="B700" t="s">
        <v>7226</v>
      </c>
      <c r="C700" t="s">
        <v>1335</v>
      </c>
      <c r="D700" t="s">
        <v>1027</v>
      </c>
      <c r="E700">
        <v>1459</v>
      </c>
      <c r="F700" t="s">
        <v>1336</v>
      </c>
      <c r="G700" t="b">
        <v>0</v>
      </c>
      <c r="H700" t="b">
        <v>0</v>
      </c>
      <c r="I700" t="s">
        <v>1051</v>
      </c>
      <c r="J700">
        <v>78</v>
      </c>
      <c r="K700" t="s">
        <v>2</v>
      </c>
      <c r="L700" t="s">
        <v>1549</v>
      </c>
      <c r="M700" t="s">
        <v>3922</v>
      </c>
      <c r="N700" t="s">
        <v>3922</v>
      </c>
      <c r="O700" t="s">
        <v>3922</v>
      </c>
      <c r="P700" t="s">
        <v>1682</v>
      </c>
    </row>
    <row r="701" spans="1:16" x14ac:dyDescent="0.25">
      <c r="A701" t="s">
        <v>7252</v>
      </c>
      <c r="B701" t="s">
        <v>7226</v>
      </c>
      <c r="C701" t="s">
        <v>1335</v>
      </c>
      <c r="D701" t="s">
        <v>1027</v>
      </c>
      <c r="E701">
        <v>1459</v>
      </c>
      <c r="F701" t="s">
        <v>1336</v>
      </c>
      <c r="G701" t="b">
        <v>0</v>
      </c>
      <c r="H701" t="b">
        <v>0</v>
      </c>
      <c r="I701" t="s">
        <v>1051</v>
      </c>
      <c r="J701">
        <v>78</v>
      </c>
      <c r="K701" t="s">
        <v>2</v>
      </c>
      <c r="L701" t="s">
        <v>1549</v>
      </c>
      <c r="M701" t="s">
        <v>3922</v>
      </c>
      <c r="N701" t="s">
        <v>3922</v>
      </c>
      <c r="O701" t="s">
        <v>3922</v>
      </c>
      <c r="P701" t="s">
        <v>1682</v>
      </c>
    </row>
    <row r="702" spans="1:16" x14ac:dyDescent="0.25">
      <c r="A702" t="s">
        <v>7253</v>
      </c>
      <c r="B702" t="s">
        <v>7226</v>
      </c>
      <c r="C702" t="s">
        <v>1335</v>
      </c>
      <c r="D702" t="s">
        <v>1027</v>
      </c>
      <c r="E702">
        <v>1459</v>
      </c>
      <c r="F702" t="s">
        <v>1336</v>
      </c>
      <c r="G702" t="b">
        <v>0</v>
      </c>
      <c r="H702" t="b">
        <v>0</v>
      </c>
      <c r="I702" t="s">
        <v>1051</v>
      </c>
      <c r="J702">
        <v>78</v>
      </c>
      <c r="K702" t="s">
        <v>2</v>
      </c>
      <c r="L702" t="s">
        <v>1549</v>
      </c>
      <c r="M702" t="s">
        <v>3922</v>
      </c>
      <c r="N702" t="s">
        <v>3922</v>
      </c>
      <c r="O702" t="s">
        <v>3922</v>
      </c>
      <c r="P702" t="s">
        <v>1682</v>
      </c>
    </row>
    <row r="703" spans="1:16" x14ac:dyDescent="0.25">
      <c r="A703" t="s">
        <v>7254</v>
      </c>
      <c r="B703" t="s">
        <v>7255</v>
      </c>
      <c r="C703" t="s">
        <v>1335</v>
      </c>
      <c r="D703" t="s">
        <v>1027</v>
      </c>
      <c r="E703">
        <v>1459</v>
      </c>
      <c r="F703" t="s">
        <v>1336</v>
      </c>
      <c r="G703" t="b">
        <v>0</v>
      </c>
      <c r="H703" t="b">
        <v>0</v>
      </c>
      <c r="I703" t="s">
        <v>1051</v>
      </c>
      <c r="J703">
        <v>30</v>
      </c>
      <c r="K703" t="s">
        <v>2</v>
      </c>
      <c r="L703" t="s">
        <v>1549</v>
      </c>
      <c r="M703" t="s">
        <v>3922</v>
      </c>
      <c r="N703" t="s">
        <v>3922</v>
      </c>
      <c r="O703" t="s">
        <v>3922</v>
      </c>
      <c r="P703" t="s">
        <v>1682</v>
      </c>
    </row>
    <row r="704" spans="1:16" x14ac:dyDescent="0.25">
      <c r="A704" t="s">
        <v>7256</v>
      </c>
      <c r="B704" t="s">
        <v>7255</v>
      </c>
      <c r="C704" t="s">
        <v>1335</v>
      </c>
      <c r="D704" t="s">
        <v>1027</v>
      </c>
      <c r="E704">
        <v>1459</v>
      </c>
      <c r="F704" t="s">
        <v>1336</v>
      </c>
      <c r="G704" t="b">
        <v>0</v>
      </c>
      <c r="H704" t="b">
        <v>0</v>
      </c>
      <c r="I704" t="s">
        <v>1051</v>
      </c>
      <c r="J704">
        <v>30</v>
      </c>
      <c r="K704" t="s">
        <v>2</v>
      </c>
      <c r="L704" t="s">
        <v>1549</v>
      </c>
      <c r="M704" t="s">
        <v>3922</v>
      </c>
      <c r="N704" t="s">
        <v>3922</v>
      </c>
      <c r="O704" t="s">
        <v>3922</v>
      </c>
      <c r="P704" t="s">
        <v>1682</v>
      </c>
    </row>
    <row r="705" spans="1:16" x14ac:dyDescent="0.25">
      <c r="A705" t="s">
        <v>7257</v>
      </c>
      <c r="B705" t="s">
        <v>7255</v>
      </c>
      <c r="C705" t="s">
        <v>1335</v>
      </c>
      <c r="D705" t="s">
        <v>1027</v>
      </c>
      <c r="E705">
        <v>1459</v>
      </c>
      <c r="F705" t="s">
        <v>1336</v>
      </c>
      <c r="G705" t="b">
        <v>0</v>
      </c>
      <c r="H705" t="b">
        <v>0</v>
      </c>
      <c r="I705" t="s">
        <v>1051</v>
      </c>
      <c r="J705">
        <v>30</v>
      </c>
      <c r="K705" t="s">
        <v>2</v>
      </c>
      <c r="L705" t="s">
        <v>1549</v>
      </c>
      <c r="M705" t="s">
        <v>3922</v>
      </c>
      <c r="N705" t="s">
        <v>3922</v>
      </c>
      <c r="O705" t="s">
        <v>3922</v>
      </c>
      <c r="P705" t="s">
        <v>1682</v>
      </c>
    </row>
    <row r="706" spans="1:16" x14ac:dyDescent="0.25">
      <c r="A706" t="s">
        <v>7258</v>
      </c>
      <c r="B706" t="s">
        <v>7255</v>
      </c>
      <c r="C706" t="s">
        <v>1335</v>
      </c>
      <c r="D706" t="s">
        <v>1027</v>
      </c>
      <c r="E706">
        <v>1459</v>
      </c>
      <c r="F706" t="s">
        <v>1336</v>
      </c>
      <c r="G706" t="b">
        <v>0</v>
      </c>
      <c r="H706" t="b">
        <v>0</v>
      </c>
      <c r="I706" t="s">
        <v>1051</v>
      </c>
      <c r="J706">
        <v>30</v>
      </c>
      <c r="K706" t="s">
        <v>2</v>
      </c>
      <c r="L706" t="s">
        <v>1549</v>
      </c>
      <c r="M706" t="s">
        <v>3922</v>
      </c>
      <c r="N706" t="s">
        <v>3922</v>
      </c>
      <c r="O706" t="s">
        <v>3922</v>
      </c>
      <c r="P706" t="s">
        <v>1682</v>
      </c>
    </row>
    <row r="707" spans="1:16" x14ac:dyDescent="0.25">
      <c r="A707" t="s">
        <v>7259</v>
      </c>
      <c r="B707" t="s">
        <v>7255</v>
      </c>
      <c r="C707" t="s">
        <v>1335</v>
      </c>
      <c r="D707" t="s">
        <v>1027</v>
      </c>
      <c r="E707">
        <v>1459</v>
      </c>
      <c r="F707" t="s">
        <v>1336</v>
      </c>
      <c r="G707" t="b">
        <v>0</v>
      </c>
      <c r="H707" t="b">
        <v>0</v>
      </c>
      <c r="I707" t="s">
        <v>1051</v>
      </c>
      <c r="J707">
        <v>30</v>
      </c>
      <c r="K707" t="s">
        <v>2</v>
      </c>
      <c r="L707" t="s">
        <v>1549</v>
      </c>
      <c r="M707" t="s">
        <v>3922</v>
      </c>
      <c r="N707" t="s">
        <v>3922</v>
      </c>
      <c r="O707" t="s">
        <v>3922</v>
      </c>
      <c r="P707" t="s">
        <v>1682</v>
      </c>
    </row>
    <row r="708" spans="1:16" x14ac:dyDescent="0.25">
      <c r="A708" t="s">
        <v>7260</v>
      </c>
      <c r="B708" t="s">
        <v>7255</v>
      </c>
      <c r="C708" t="s">
        <v>1335</v>
      </c>
      <c r="D708" t="s">
        <v>1027</v>
      </c>
      <c r="E708">
        <v>1459</v>
      </c>
      <c r="F708" t="s">
        <v>1336</v>
      </c>
      <c r="G708" t="b">
        <v>0</v>
      </c>
      <c r="H708" t="b">
        <v>0</v>
      </c>
      <c r="I708" t="s">
        <v>1051</v>
      </c>
      <c r="J708">
        <v>30</v>
      </c>
      <c r="K708" t="s">
        <v>2</v>
      </c>
      <c r="L708" t="s">
        <v>1549</v>
      </c>
      <c r="M708" t="s">
        <v>3922</v>
      </c>
      <c r="N708" t="s">
        <v>3922</v>
      </c>
      <c r="O708" t="s">
        <v>3922</v>
      </c>
      <c r="P708" t="s">
        <v>1682</v>
      </c>
    </row>
    <row r="709" spans="1:16" x14ac:dyDescent="0.25">
      <c r="A709" t="s">
        <v>7261</v>
      </c>
      <c r="B709" t="s">
        <v>7255</v>
      </c>
      <c r="C709" t="s">
        <v>1335</v>
      </c>
      <c r="D709" t="s">
        <v>1027</v>
      </c>
      <c r="E709">
        <v>1459</v>
      </c>
      <c r="F709" t="s">
        <v>1336</v>
      </c>
      <c r="G709" t="b">
        <v>0</v>
      </c>
      <c r="H709" t="b">
        <v>0</v>
      </c>
      <c r="I709" t="s">
        <v>1051</v>
      </c>
      <c r="J709">
        <v>30</v>
      </c>
      <c r="K709" t="s">
        <v>2</v>
      </c>
      <c r="L709" t="s">
        <v>1549</v>
      </c>
      <c r="M709" t="s">
        <v>3922</v>
      </c>
      <c r="N709" t="s">
        <v>3922</v>
      </c>
      <c r="O709" t="s">
        <v>3922</v>
      </c>
      <c r="P709" t="s">
        <v>1682</v>
      </c>
    </row>
    <row r="710" spans="1:16" x14ac:dyDescent="0.25">
      <c r="A710" t="s">
        <v>7262</v>
      </c>
      <c r="B710" t="s">
        <v>7255</v>
      </c>
      <c r="C710" t="s">
        <v>1335</v>
      </c>
      <c r="D710" t="s">
        <v>1027</v>
      </c>
      <c r="E710">
        <v>1459</v>
      </c>
      <c r="F710" t="s">
        <v>1336</v>
      </c>
      <c r="G710" t="b">
        <v>0</v>
      </c>
      <c r="H710" t="b">
        <v>0</v>
      </c>
      <c r="I710" t="s">
        <v>1051</v>
      </c>
      <c r="J710">
        <v>30</v>
      </c>
      <c r="K710" t="s">
        <v>2</v>
      </c>
      <c r="L710" t="s">
        <v>1549</v>
      </c>
      <c r="M710" t="s">
        <v>3922</v>
      </c>
      <c r="N710" t="s">
        <v>3922</v>
      </c>
      <c r="O710" t="s">
        <v>3922</v>
      </c>
      <c r="P710" t="s">
        <v>1682</v>
      </c>
    </row>
    <row r="711" spans="1:16" x14ac:dyDescent="0.25">
      <c r="A711" t="s">
        <v>7263</v>
      </c>
      <c r="B711" t="s">
        <v>7255</v>
      </c>
      <c r="C711" t="s">
        <v>1335</v>
      </c>
      <c r="D711" t="s">
        <v>1027</v>
      </c>
      <c r="E711">
        <v>1459</v>
      </c>
      <c r="F711" t="s">
        <v>1336</v>
      </c>
      <c r="G711" t="b">
        <v>0</v>
      </c>
      <c r="H711" t="b">
        <v>0</v>
      </c>
      <c r="I711" t="s">
        <v>1051</v>
      </c>
      <c r="J711">
        <v>30</v>
      </c>
      <c r="K711" t="s">
        <v>2</v>
      </c>
      <c r="L711" t="s">
        <v>1549</v>
      </c>
      <c r="M711" t="s">
        <v>3922</v>
      </c>
      <c r="N711" t="s">
        <v>3922</v>
      </c>
      <c r="O711" t="s">
        <v>3922</v>
      </c>
      <c r="P711" t="s">
        <v>1682</v>
      </c>
    </row>
    <row r="712" spans="1:16" x14ac:dyDescent="0.25">
      <c r="A712" t="s">
        <v>7264</v>
      </c>
      <c r="B712" t="s">
        <v>7255</v>
      </c>
      <c r="C712" t="s">
        <v>1335</v>
      </c>
      <c r="D712" t="s">
        <v>1027</v>
      </c>
      <c r="E712">
        <v>1459</v>
      </c>
      <c r="F712" t="s">
        <v>1336</v>
      </c>
      <c r="G712" t="b">
        <v>0</v>
      </c>
      <c r="H712" t="b">
        <v>0</v>
      </c>
      <c r="I712" t="s">
        <v>1051</v>
      </c>
      <c r="J712">
        <v>30</v>
      </c>
      <c r="K712" t="s">
        <v>2</v>
      </c>
      <c r="L712" t="s">
        <v>1549</v>
      </c>
      <c r="M712" t="s">
        <v>3922</v>
      </c>
      <c r="N712" t="s">
        <v>3922</v>
      </c>
      <c r="O712" t="s">
        <v>3922</v>
      </c>
      <c r="P712" t="s">
        <v>1682</v>
      </c>
    </row>
    <row r="713" spans="1:16" x14ac:dyDescent="0.25">
      <c r="A713" t="s">
        <v>7265</v>
      </c>
      <c r="B713" t="s">
        <v>7255</v>
      </c>
      <c r="C713" t="s">
        <v>1335</v>
      </c>
      <c r="D713" t="s">
        <v>1027</v>
      </c>
      <c r="E713">
        <v>1459</v>
      </c>
      <c r="F713" t="s">
        <v>1336</v>
      </c>
      <c r="G713" t="b">
        <v>0</v>
      </c>
      <c r="H713" t="b">
        <v>0</v>
      </c>
      <c r="I713" t="s">
        <v>1051</v>
      </c>
      <c r="J713">
        <v>30</v>
      </c>
      <c r="K713" t="s">
        <v>2</v>
      </c>
      <c r="L713" t="s">
        <v>1549</v>
      </c>
      <c r="M713" t="s">
        <v>3922</v>
      </c>
      <c r="N713" t="s">
        <v>3922</v>
      </c>
      <c r="O713" t="s">
        <v>3922</v>
      </c>
      <c r="P713" t="s">
        <v>1682</v>
      </c>
    </row>
    <row r="714" spans="1:16" x14ac:dyDescent="0.25">
      <c r="A714" t="s">
        <v>7266</v>
      </c>
      <c r="B714" t="s">
        <v>7255</v>
      </c>
      <c r="C714" t="s">
        <v>1335</v>
      </c>
      <c r="D714" t="s">
        <v>1027</v>
      </c>
      <c r="E714">
        <v>1459</v>
      </c>
      <c r="F714" t="s">
        <v>1336</v>
      </c>
      <c r="G714" t="b">
        <v>0</v>
      </c>
      <c r="H714" t="b">
        <v>0</v>
      </c>
      <c r="I714" t="s">
        <v>1051</v>
      </c>
      <c r="J714">
        <v>30</v>
      </c>
      <c r="K714" t="s">
        <v>2</v>
      </c>
      <c r="L714" t="s">
        <v>1549</v>
      </c>
      <c r="M714" t="s">
        <v>3922</v>
      </c>
      <c r="N714" t="s">
        <v>3922</v>
      </c>
      <c r="O714" t="s">
        <v>3922</v>
      </c>
      <c r="P714" t="s">
        <v>1682</v>
      </c>
    </row>
    <row r="715" spans="1:16" x14ac:dyDescent="0.25">
      <c r="A715" t="s">
        <v>7267</v>
      </c>
      <c r="B715" t="s">
        <v>7255</v>
      </c>
      <c r="C715" t="s">
        <v>1335</v>
      </c>
      <c r="D715" t="s">
        <v>1027</v>
      </c>
      <c r="E715">
        <v>1459</v>
      </c>
      <c r="F715" t="s">
        <v>1336</v>
      </c>
      <c r="G715" t="b">
        <v>0</v>
      </c>
      <c r="H715" t="b">
        <v>0</v>
      </c>
      <c r="I715" t="s">
        <v>1051</v>
      </c>
      <c r="J715">
        <v>30</v>
      </c>
      <c r="K715" t="s">
        <v>2</v>
      </c>
      <c r="L715" t="s">
        <v>1549</v>
      </c>
      <c r="M715" t="s">
        <v>3922</v>
      </c>
      <c r="N715" t="s">
        <v>3922</v>
      </c>
      <c r="O715" t="s">
        <v>3922</v>
      </c>
      <c r="P715" t="s">
        <v>1682</v>
      </c>
    </row>
    <row r="716" spans="1:16" x14ac:dyDescent="0.25">
      <c r="A716" t="s">
        <v>7268</v>
      </c>
      <c r="B716" t="s">
        <v>7255</v>
      </c>
      <c r="C716" t="s">
        <v>1335</v>
      </c>
      <c r="D716" t="s">
        <v>1027</v>
      </c>
      <c r="E716">
        <v>1459</v>
      </c>
      <c r="F716" t="s">
        <v>1336</v>
      </c>
      <c r="G716" t="b">
        <v>0</v>
      </c>
      <c r="H716" t="b">
        <v>0</v>
      </c>
      <c r="I716" t="s">
        <v>1051</v>
      </c>
      <c r="J716">
        <v>30</v>
      </c>
      <c r="K716" t="s">
        <v>2</v>
      </c>
      <c r="L716" t="s">
        <v>1549</v>
      </c>
      <c r="M716" t="s">
        <v>3922</v>
      </c>
      <c r="N716" t="s">
        <v>3922</v>
      </c>
      <c r="O716" t="s">
        <v>3922</v>
      </c>
      <c r="P716" t="s">
        <v>1682</v>
      </c>
    </row>
    <row r="717" spans="1:16" x14ac:dyDescent="0.25">
      <c r="A717" t="s">
        <v>7269</v>
      </c>
      <c r="B717" t="s">
        <v>7255</v>
      </c>
      <c r="C717" t="s">
        <v>1335</v>
      </c>
      <c r="D717" t="s">
        <v>1027</v>
      </c>
      <c r="E717">
        <v>1459</v>
      </c>
      <c r="F717" t="s">
        <v>1336</v>
      </c>
      <c r="G717" t="b">
        <v>0</v>
      </c>
      <c r="H717" t="b">
        <v>0</v>
      </c>
      <c r="I717" t="s">
        <v>1051</v>
      </c>
      <c r="J717">
        <v>30</v>
      </c>
      <c r="K717" t="s">
        <v>2</v>
      </c>
      <c r="L717" t="s">
        <v>1549</v>
      </c>
      <c r="M717" t="s">
        <v>3922</v>
      </c>
      <c r="N717" t="s">
        <v>3922</v>
      </c>
      <c r="O717" t="s">
        <v>3922</v>
      </c>
      <c r="P717" t="s">
        <v>1682</v>
      </c>
    </row>
    <row r="718" spans="1:16" x14ac:dyDescent="0.25">
      <c r="A718" t="s">
        <v>7270</v>
      </c>
      <c r="B718" t="s">
        <v>7255</v>
      </c>
      <c r="C718" t="s">
        <v>1335</v>
      </c>
      <c r="D718" t="s">
        <v>1027</v>
      </c>
      <c r="E718">
        <v>1459</v>
      </c>
      <c r="F718" t="s">
        <v>1336</v>
      </c>
      <c r="G718" t="b">
        <v>0</v>
      </c>
      <c r="H718" t="b">
        <v>0</v>
      </c>
      <c r="I718" t="s">
        <v>1051</v>
      </c>
      <c r="J718">
        <v>30</v>
      </c>
      <c r="K718" t="s">
        <v>2</v>
      </c>
      <c r="L718" t="s">
        <v>1549</v>
      </c>
      <c r="M718" t="s">
        <v>3922</v>
      </c>
      <c r="N718" t="s">
        <v>3922</v>
      </c>
      <c r="O718" t="s">
        <v>3922</v>
      </c>
      <c r="P718" t="s">
        <v>1682</v>
      </c>
    </row>
    <row r="719" spans="1:16" x14ac:dyDescent="0.25">
      <c r="A719" t="s">
        <v>7271</v>
      </c>
      <c r="B719" t="s">
        <v>7255</v>
      </c>
      <c r="C719" t="s">
        <v>1335</v>
      </c>
      <c r="D719" t="s">
        <v>1027</v>
      </c>
      <c r="E719">
        <v>1459</v>
      </c>
      <c r="F719" t="s">
        <v>1336</v>
      </c>
      <c r="G719" t="b">
        <v>0</v>
      </c>
      <c r="H719" t="b">
        <v>0</v>
      </c>
      <c r="I719" t="s">
        <v>1051</v>
      </c>
      <c r="J719">
        <v>30</v>
      </c>
      <c r="K719" t="s">
        <v>2</v>
      </c>
      <c r="L719" t="s">
        <v>1549</v>
      </c>
      <c r="M719" t="s">
        <v>3922</v>
      </c>
      <c r="N719" t="s">
        <v>3922</v>
      </c>
      <c r="O719" t="s">
        <v>3922</v>
      </c>
      <c r="P719" t="s">
        <v>1682</v>
      </c>
    </row>
    <row r="720" spans="1:16" x14ac:dyDescent="0.25">
      <c r="A720" t="s">
        <v>7272</v>
      </c>
      <c r="B720" t="s">
        <v>7255</v>
      </c>
      <c r="C720" t="s">
        <v>1335</v>
      </c>
      <c r="D720" t="s">
        <v>1027</v>
      </c>
      <c r="E720">
        <v>1459</v>
      </c>
      <c r="F720" t="s">
        <v>1336</v>
      </c>
      <c r="G720" t="b">
        <v>0</v>
      </c>
      <c r="H720" t="b">
        <v>0</v>
      </c>
      <c r="I720" t="s">
        <v>1051</v>
      </c>
      <c r="J720">
        <v>30</v>
      </c>
      <c r="K720" t="s">
        <v>2</v>
      </c>
      <c r="L720" t="s">
        <v>1549</v>
      </c>
      <c r="M720" t="s">
        <v>3922</v>
      </c>
      <c r="N720" t="s">
        <v>3922</v>
      </c>
      <c r="O720" t="s">
        <v>3922</v>
      </c>
      <c r="P720" t="s">
        <v>1682</v>
      </c>
    </row>
    <row r="721" spans="1:16" x14ac:dyDescent="0.25">
      <c r="A721" t="s">
        <v>7273</v>
      </c>
      <c r="B721" t="s">
        <v>7255</v>
      </c>
      <c r="C721" t="s">
        <v>1335</v>
      </c>
      <c r="D721" t="s">
        <v>1027</v>
      </c>
      <c r="E721">
        <v>1459</v>
      </c>
      <c r="F721" t="s">
        <v>1336</v>
      </c>
      <c r="G721" t="b">
        <v>0</v>
      </c>
      <c r="H721" t="b">
        <v>0</v>
      </c>
      <c r="I721" t="s">
        <v>1051</v>
      </c>
      <c r="J721">
        <v>30</v>
      </c>
      <c r="K721" t="s">
        <v>2</v>
      </c>
      <c r="L721" t="s">
        <v>1549</v>
      </c>
      <c r="M721" t="s">
        <v>3922</v>
      </c>
      <c r="N721" t="s">
        <v>3922</v>
      </c>
      <c r="O721" t="s">
        <v>3922</v>
      </c>
      <c r="P721" t="s">
        <v>1682</v>
      </c>
    </row>
    <row r="722" spans="1:16" x14ac:dyDescent="0.25">
      <c r="A722" t="s">
        <v>7274</v>
      </c>
      <c r="B722" t="s">
        <v>7255</v>
      </c>
      <c r="C722" t="s">
        <v>1335</v>
      </c>
      <c r="D722" t="s">
        <v>1027</v>
      </c>
      <c r="E722">
        <v>1459</v>
      </c>
      <c r="F722" t="s">
        <v>1336</v>
      </c>
      <c r="G722" t="b">
        <v>0</v>
      </c>
      <c r="H722" t="b">
        <v>0</v>
      </c>
      <c r="I722" t="s">
        <v>1051</v>
      </c>
      <c r="J722">
        <v>30</v>
      </c>
      <c r="K722" t="s">
        <v>2</v>
      </c>
      <c r="L722" t="s">
        <v>1549</v>
      </c>
      <c r="M722" t="s">
        <v>3922</v>
      </c>
      <c r="N722" t="s">
        <v>3922</v>
      </c>
      <c r="O722" t="s">
        <v>3922</v>
      </c>
      <c r="P722" t="s">
        <v>1682</v>
      </c>
    </row>
    <row r="723" spans="1:16" x14ac:dyDescent="0.25">
      <c r="A723" t="s">
        <v>7275</v>
      </c>
      <c r="B723" t="s">
        <v>7255</v>
      </c>
      <c r="C723" t="s">
        <v>1335</v>
      </c>
      <c r="D723" t="s">
        <v>1027</v>
      </c>
      <c r="E723">
        <v>1459</v>
      </c>
      <c r="F723" t="s">
        <v>1336</v>
      </c>
      <c r="G723" t="b">
        <v>0</v>
      </c>
      <c r="H723" t="b">
        <v>0</v>
      </c>
      <c r="I723" t="s">
        <v>1051</v>
      </c>
      <c r="J723">
        <v>30</v>
      </c>
      <c r="K723" t="s">
        <v>2</v>
      </c>
      <c r="L723" t="s">
        <v>1549</v>
      </c>
      <c r="M723" t="s">
        <v>3922</v>
      </c>
      <c r="N723" t="s">
        <v>3922</v>
      </c>
      <c r="O723" t="s">
        <v>3922</v>
      </c>
      <c r="P723" t="s">
        <v>1682</v>
      </c>
    </row>
    <row r="724" spans="1:16" x14ac:dyDescent="0.25">
      <c r="A724" t="s">
        <v>7276</v>
      </c>
      <c r="B724" t="s">
        <v>7255</v>
      </c>
      <c r="C724" t="s">
        <v>1335</v>
      </c>
      <c r="D724" t="s">
        <v>1027</v>
      </c>
      <c r="E724">
        <v>1459</v>
      </c>
      <c r="F724" t="s">
        <v>1336</v>
      </c>
      <c r="G724" t="b">
        <v>0</v>
      </c>
      <c r="H724" t="b">
        <v>0</v>
      </c>
      <c r="I724" t="s">
        <v>1051</v>
      </c>
      <c r="J724">
        <v>30</v>
      </c>
      <c r="K724" t="s">
        <v>2</v>
      </c>
      <c r="L724" t="s">
        <v>1549</v>
      </c>
      <c r="M724" t="s">
        <v>3922</v>
      </c>
      <c r="N724" t="s">
        <v>3922</v>
      </c>
      <c r="O724" t="s">
        <v>3922</v>
      </c>
      <c r="P724" t="s">
        <v>1682</v>
      </c>
    </row>
    <row r="725" spans="1:16" x14ac:dyDescent="0.25">
      <c r="A725" t="s">
        <v>7277</v>
      </c>
      <c r="B725" t="s">
        <v>7255</v>
      </c>
      <c r="C725" t="s">
        <v>1335</v>
      </c>
      <c r="D725" t="s">
        <v>1027</v>
      </c>
      <c r="E725">
        <v>1459</v>
      </c>
      <c r="F725" t="s">
        <v>1336</v>
      </c>
      <c r="G725" t="b">
        <v>0</v>
      </c>
      <c r="H725" t="b">
        <v>0</v>
      </c>
      <c r="I725" t="s">
        <v>1051</v>
      </c>
      <c r="J725">
        <v>30</v>
      </c>
      <c r="K725" t="s">
        <v>2</v>
      </c>
      <c r="L725" t="s">
        <v>1549</v>
      </c>
      <c r="M725" t="s">
        <v>3922</v>
      </c>
      <c r="N725" t="s">
        <v>3922</v>
      </c>
      <c r="O725" t="s">
        <v>3922</v>
      </c>
      <c r="P725" t="s">
        <v>1682</v>
      </c>
    </row>
    <row r="726" spans="1:16" x14ac:dyDescent="0.25">
      <c r="A726" t="s">
        <v>7278</v>
      </c>
      <c r="B726" t="s">
        <v>7255</v>
      </c>
      <c r="C726" t="s">
        <v>1335</v>
      </c>
      <c r="D726" t="s">
        <v>1027</v>
      </c>
      <c r="E726">
        <v>1459</v>
      </c>
      <c r="F726" t="s">
        <v>1336</v>
      </c>
      <c r="G726" t="b">
        <v>0</v>
      </c>
      <c r="H726" t="b">
        <v>0</v>
      </c>
      <c r="I726" t="s">
        <v>1051</v>
      </c>
      <c r="J726">
        <v>30</v>
      </c>
      <c r="K726" t="s">
        <v>2</v>
      </c>
      <c r="L726" t="s">
        <v>1549</v>
      </c>
      <c r="M726" t="s">
        <v>3922</v>
      </c>
      <c r="N726" t="s">
        <v>3922</v>
      </c>
      <c r="O726" t="s">
        <v>3922</v>
      </c>
      <c r="P726" t="s">
        <v>1682</v>
      </c>
    </row>
    <row r="727" spans="1:16" x14ac:dyDescent="0.25">
      <c r="A727" t="s">
        <v>7279</v>
      </c>
      <c r="B727" t="s">
        <v>7255</v>
      </c>
      <c r="C727" t="s">
        <v>1335</v>
      </c>
      <c r="D727" t="s">
        <v>1027</v>
      </c>
      <c r="E727">
        <v>1459</v>
      </c>
      <c r="F727" t="s">
        <v>1336</v>
      </c>
      <c r="G727" t="b">
        <v>0</v>
      </c>
      <c r="H727" t="b">
        <v>0</v>
      </c>
      <c r="I727" t="s">
        <v>1051</v>
      </c>
      <c r="J727">
        <v>30</v>
      </c>
      <c r="K727" t="s">
        <v>2</v>
      </c>
      <c r="L727" t="s">
        <v>1549</v>
      </c>
      <c r="M727" t="s">
        <v>3922</v>
      </c>
      <c r="N727" t="s">
        <v>3922</v>
      </c>
      <c r="O727" t="s">
        <v>3922</v>
      </c>
      <c r="P727" t="s">
        <v>1682</v>
      </c>
    </row>
    <row r="728" spans="1:16" x14ac:dyDescent="0.25">
      <c r="A728" t="s">
        <v>7280</v>
      </c>
      <c r="B728" t="s">
        <v>7255</v>
      </c>
      <c r="C728" t="s">
        <v>1335</v>
      </c>
      <c r="D728" t="s">
        <v>1027</v>
      </c>
      <c r="E728">
        <v>1459</v>
      </c>
      <c r="F728" t="s">
        <v>1336</v>
      </c>
      <c r="G728" t="b">
        <v>0</v>
      </c>
      <c r="H728" t="b">
        <v>0</v>
      </c>
      <c r="I728" t="s">
        <v>1051</v>
      </c>
      <c r="J728">
        <v>30</v>
      </c>
      <c r="K728" t="s">
        <v>2</v>
      </c>
      <c r="L728" t="s">
        <v>1549</v>
      </c>
      <c r="M728" t="s">
        <v>3922</v>
      </c>
      <c r="N728" t="s">
        <v>3922</v>
      </c>
      <c r="O728" t="s">
        <v>3922</v>
      </c>
      <c r="P728" t="s">
        <v>1682</v>
      </c>
    </row>
    <row r="729" spans="1:16" x14ac:dyDescent="0.25">
      <c r="A729" t="s">
        <v>7281</v>
      </c>
      <c r="B729" t="s">
        <v>7255</v>
      </c>
      <c r="C729" t="s">
        <v>1335</v>
      </c>
      <c r="D729" t="s">
        <v>1027</v>
      </c>
      <c r="E729">
        <v>1459</v>
      </c>
      <c r="F729" t="s">
        <v>1336</v>
      </c>
      <c r="G729" t="b">
        <v>0</v>
      </c>
      <c r="H729" t="b">
        <v>0</v>
      </c>
      <c r="I729" t="s">
        <v>1051</v>
      </c>
      <c r="J729">
        <v>30</v>
      </c>
      <c r="K729" t="s">
        <v>2</v>
      </c>
      <c r="L729" t="s">
        <v>1549</v>
      </c>
      <c r="M729" t="s">
        <v>3922</v>
      </c>
      <c r="N729" t="s">
        <v>3922</v>
      </c>
      <c r="O729" t="s">
        <v>3922</v>
      </c>
      <c r="P729" t="s">
        <v>1682</v>
      </c>
    </row>
    <row r="730" spans="1:16" x14ac:dyDescent="0.25">
      <c r="A730" t="s">
        <v>7282</v>
      </c>
      <c r="B730" t="s">
        <v>7255</v>
      </c>
      <c r="C730" t="s">
        <v>1335</v>
      </c>
      <c r="D730" t="s">
        <v>1027</v>
      </c>
      <c r="E730">
        <v>1459</v>
      </c>
      <c r="F730" t="s">
        <v>1336</v>
      </c>
      <c r="G730" t="b">
        <v>0</v>
      </c>
      <c r="H730" t="b">
        <v>0</v>
      </c>
      <c r="I730" t="s">
        <v>1051</v>
      </c>
      <c r="J730">
        <v>30</v>
      </c>
      <c r="K730" t="s">
        <v>2</v>
      </c>
      <c r="L730" t="s">
        <v>1549</v>
      </c>
      <c r="M730" t="s">
        <v>3922</v>
      </c>
      <c r="N730" t="s">
        <v>3922</v>
      </c>
      <c r="O730" t="s">
        <v>3922</v>
      </c>
      <c r="P730" t="s">
        <v>1682</v>
      </c>
    </row>
    <row r="731" spans="1:16" x14ac:dyDescent="0.25">
      <c r="A731" t="s">
        <v>7283</v>
      </c>
      <c r="B731" t="s">
        <v>7255</v>
      </c>
      <c r="C731" t="s">
        <v>1335</v>
      </c>
      <c r="D731" t="s">
        <v>1027</v>
      </c>
      <c r="E731">
        <v>1459</v>
      </c>
      <c r="F731" t="s">
        <v>1336</v>
      </c>
      <c r="G731" t="b">
        <v>0</v>
      </c>
      <c r="H731" t="b">
        <v>0</v>
      </c>
      <c r="I731" t="s">
        <v>1051</v>
      </c>
      <c r="J731">
        <v>30</v>
      </c>
      <c r="K731" t="s">
        <v>2</v>
      </c>
      <c r="L731" t="s">
        <v>1549</v>
      </c>
      <c r="M731" t="s">
        <v>3922</v>
      </c>
      <c r="N731" t="s">
        <v>3922</v>
      </c>
      <c r="O731" t="s">
        <v>3922</v>
      </c>
      <c r="P731" t="s">
        <v>1682</v>
      </c>
    </row>
    <row r="732" spans="1:16" x14ac:dyDescent="0.25">
      <c r="A732" t="s">
        <v>7284</v>
      </c>
      <c r="B732" t="s">
        <v>7255</v>
      </c>
      <c r="C732" t="s">
        <v>1335</v>
      </c>
      <c r="D732" t="s">
        <v>1027</v>
      </c>
      <c r="E732">
        <v>1459</v>
      </c>
      <c r="F732" t="s">
        <v>1336</v>
      </c>
      <c r="G732" t="b">
        <v>0</v>
      </c>
      <c r="H732" t="b">
        <v>0</v>
      </c>
      <c r="I732" t="s">
        <v>1051</v>
      </c>
      <c r="J732">
        <v>30</v>
      </c>
      <c r="K732" t="s">
        <v>2</v>
      </c>
      <c r="L732" t="s">
        <v>1549</v>
      </c>
      <c r="M732" t="s">
        <v>3922</v>
      </c>
      <c r="N732" t="s">
        <v>3922</v>
      </c>
      <c r="O732" t="s">
        <v>3922</v>
      </c>
      <c r="P732" t="s">
        <v>1682</v>
      </c>
    </row>
    <row r="733" spans="1:16" x14ac:dyDescent="0.25">
      <c r="A733" t="s">
        <v>7285</v>
      </c>
      <c r="B733" t="s">
        <v>7255</v>
      </c>
      <c r="C733" t="s">
        <v>1335</v>
      </c>
      <c r="D733" t="s">
        <v>1027</v>
      </c>
      <c r="E733">
        <v>1459</v>
      </c>
      <c r="F733" t="s">
        <v>1336</v>
      </c>
      <c r="G733" t="b">
        <v>0</v>
      </c>
      <c r="H733" t="b">
        <v>0</v>
      </c>
      <c r="I733" t="s">
        <v>1051</v>
      </c>
      <c r="J733">
        <v>30</v>
      </c>
      <c r="K733" t="s">
        <v>2</v>
      </c>
      <c r="L733" t="s">
        <v>1549</v>
      </c>
      <c r="M733" t="s">
        <v>3922</v>
      </c>
      <c r="N733" t="s">
        <v>3922</v>
      </c>
      <c r="O733" t="s">
        <v>3922</v>
      </c>
      <c r="P733" t="s">
        <v>1682</v>
      </c>
    </row>
    <row r="734" spans="1:16" x14ac:dyDescent="0.25">
      <c r="A734" t="s">
        <v>7286</v>
      </c>
      <c r="B734" t="s">
        <v>7255</v>
      </c>
      <c r="C734" t="s">
        <v>1335</v>
      </c>
      <c r="D734" t="s">
        <v>1027</v>
      </c>
      <c r="E734">
        <v>1459</v>
      </c>
      <c r="F734" t="s">
        <v>1336</v>
      </c>
      <c r="G734" t="b">
        <v>0</v>
      </c>
      <c r="H734" t="b">
        <v>0</v>
      </c>
      <c r="I734" t="s">
        <v>1051</v>
      </c>
      <c r="J734">
        <v>30</v>
      </c>
      <c r="K734" t="s">
        <v>2</v>
      </c>
      <c r="L734" t="s">
        <v>1549</v>
      </c>
      <c r="M734" t="s">
        <v>3922</v>
      </c>
      <c r="N734" t="s">
        <v>3922</v>
      </c>
      <c r="O734" t="s">
        <v>3922</v>
      </c>
      <c r="P734" t="s">
        <v>1682</v>
      </c>
    </row>
    <row r="735" spans="1:16" x14ac:dyDescent="0.25">
      <c r="A735" t="s">
        <v>7287</v>
      </c>
      <c r="B735" t="s">
        <v>7255</v>
      </c>
      <c r="C735" t="s">
        <v>1335</v>
      </c>
      <c r="D735" t="s">
        <v>1027</v>
      </c>
      <c r="E735">
        <v>1459</v>
      </c>
      <c r="F735" t="s">
        <v>1336</v>
      </c>
      <c r="G735" t="b">
        <v>0</v>
      </c>
      <c r="H735" t="b">
        <v>0</v>
      </c>
      <c r="I735" t="s">
        <v>1051</v>
      </c>
      <c r="J735">
        <v>30</v>
      </c>
      <c r="K735" t="s">
        <v>2</v>
      </c>
      <c r="L735" t="s">
        <v>1549</v>
      </c>
      <c r="M735" t="s">
        <v>3922</v>
      </c>
      <c r="N735" t="s">
        <v>3922</v>
      </c>
      <c r="O735" t="s">
        <v>3922</v>
      </c>
      <c r="P735" t="s">
        <v>1682</v>
      </c>
    </row>
    <row r="736" spans="1:16" x14ac:dyDescent="0.25">
      <c r="A736" t="s">
        <v>7288</v>
      </c>
      <c r="B736" t="s">
        <v>7255</v>
      </c>
      <c r="C736" t="s">
        <v>1335</v>
      </c>
      <c r="D736" t="s">
        <v>1027</v>
      </c>
      <c r="E736">
        <v>1459</v>
      </c>
      <c r="F736" t="s">
        <v>1336</v>
      </c>
      <c r="G736" t="b">
        <v>0</v>
      </c>
      <c r="H736" t="b">
        <v>0</v>
      </c>
      <c r="I736" t="s">
        <v>1051</v>
      </c>
      <c r="J736">
        <v>30</v>
      </c>
      <c r="K736" t="s">
        <v>2</v>
      </c>
      <c r="L736" t="s">
        <v>1549</v>
      </c>
      <c r="M736" t="s">
        <v>3922</v>
      </c>
      <c r="N736" t="s">
        <v>3922</v>
      </c>
      <c r="O736" t="s">
        <v>3922</v>
      </c>
      <c r="P736" t="s">
        <v>1682</v>
      </c>
    </row>
    <row r="737" spans="1:16" x14ac:dyDescent="0.25">
      <c r="A737" t="s">
        <v>7289</v>
      </c>
      <c r="B737" t="s">
        <v>7255</v>
      </c>
      <c r="C737" t="s">
        <v>1335</v>
      </c>
      <c r="D737" t="s">
        <v>1027</v>
      </c>
      <c r="E737">
        <v>1459</v>
      </c>
      <c r="F737" t="s">
        <v>1336</v>
      </c>
      <c r="G737" t="b">
        <v>0</v>
      </c>
      <c r="H737" t="b">
        <v>0</v>
      </c>
      <c r="I737" t="s">
        <v>1051</v>
      </c>
      <c r="J737">
        <v>30</v>
      </c>
      <c r="K737" t="s">
        <v>2</v>
      </c>
      <c r="L737" t="s">
        <v>1549</v>
      </c>
      <c r="M737" t="s">
        <v>3922</v>
      </c>
      <c r="N737" t="s">
        <v>3922</v>
      </c>
      <c r="O737" t="s">
        <v>3922</v>
      </c>
      <c r="P737" t="s">
        <v>1682</v>
      </c>
    </row>
    <row r="738" spans="1:16" x14ac:dyDescent="0.25">
      <c r="A738" t="s">
        <v>7290</v>
      </c>
      <c r="B738" t="s">
        <v>7255</v>
      </c>
      <c r="C738" t="s">
        <v>1335</v>
      </c>
      <c r="D738" t="s">
        <v>1027</v>
      </c>
      <c r="E738">
        <v>1459</v>
      </c>
      <c r="F738" t="s">
        <v>1336</v>
      </c>
      <c r="G738" t="b">
        <v>0</v>
      </c>
      <c r="H738" t="b">
        <v>0</v>
      </c>
      <c r="I738" t="s">
        <v>1051</v>
      </c>
      <c r="J738">
        <v>30</v>
      </c>
      <c r="K738" t="s">
        <v>2</v>
      </c>
      <c r="L738" t="s">
        <v>1549</v>
      </c>
      <c r="M738" t="s">
        <v>3922</v>
      </c>
      <c r="N738" t="s">
        <v>3922</v>
      </c>
      <c r="O738" t="s">
        <v>3922</v>
      </c>
      <c r="P738" t="s">
        <v>1682</v>
      </c>
    </row>
    <row r="739" spans="1:16" x14ac:dyDescent="0.25">
      <c r="A739" t="s">
        <v>7291</v>
      </c>
      <c r="B739" t="s">
        <v>7255</v>
      </c>
      <c r="C739" t="s">
        <v>1335</v>
      </c>
      <c r="D739" t="s">
        <v>1027</v>
      </c>
      <c r="E739">
        <v>1459</v>
      </c>
      <c r="F739" t="s">
        <v>1336</v>
      </c>
      <c r="G739" t="b">
        <v>0</v>
      </c>
      <c r="H739" t="b">
        <v>0</v>
      </c>
      <c r="I739" t="s">
        <v>1051</v>
      </c>
      <c r="J739">
        <v>30</v>
      </c>
      <c r="K739" t="s">
        <v>2</v>
      </c>
      <c r="L739" t="s">
        <v>1549</v>
      </c>
      <c r="M739" t="s">
        <v>3922</v>
      </c>
      <c r="N739" t="s">
        <v>3922</v>
      </c>
      <c r="O739" t="s">
        <v>3922</v>
      </c>
      <c r="P739" t="s">
        <v>1682</v>
      </c>
    </row>
    <row r="740" spans="1:16" x14ac:dyDescent="0.25">
      <c r="A740" t="s">
        <v>7292</v>
      </c>
      <c r="B740" t="s">
        <v>7255</v>
      </c>
      <c r="C740" t="s">
        <v>1335</v>
      </c>
      <c r="D740" t="s">
        <v>1027</v>
      </c>
      <c r="E740">
        <v>1459</v>
      </c>
      <c r="F740" t="s">
        <v>1336</v>
      </c>
      <c r="G740" t="b">
        <v>0</v>
      </c>
      <c r="H740" t="b">
        <v>0</v>
      </c>
      <c r="I740" t="s">
        <v>1051</v>
      </c>
      <c r="J740">
        <v>30</v>
      </c>
      <c r="K740" t="s">
        <v>2</v>
      </c>
      <c r="L740" t="s">
        <v>1549</v>
      </c>
      <c r="M740" t="s">
        <v>3922</v>
      </c>
      <c r="N740" t="s">
        <v>3922</v>
      </c>
      <c r="O740" t="s">
        <v>3922</v>
      </c>
      <c r="P740" t="s">
        <v>1682</v>
      </c>
    </row>
    <row r="741" spans="1:16" x14ac:dyDescent="0.25">
      <c r="A741" t="s">
        <v>7293</v>
      </c>
      <c r="B741" t="s">
        <v>7255</v>
      </c>
      <c r="C741" t="s">
        <v>1335</v>
      </c>
      <c r="D741" t="s">
        <v>1027</v>
      </c>
      <c r="E741">
        <v>1459</v>
      </c>
      <c r="F741" t="s">
        <v>1336</v>
      </c>
      <c r="G741" t="b">
        <v>0</v>
      </c>
      <c r="H741" t="b">
        <v>0</v>
      </c>
      <c r="I741" t="s">
        <v>1051</v>
      </c>
      <c r="J741">
        <v>30</v>
      </c>
      <c r="K741" t="s">
        <v>2</v>
      </c>
      <c r="L741" t="s">
        <v>1549</v>
      </c>
      <c r="M741" t="s">
        <v>3922</v>
      </c>
      <c r="N741" t="s">
        <v>3922</v>
      </c>
      <c r="O741" t="s">
        <v>3922</v>
      </c>
      <c r="P741" t="s">
        <v>1682</v>
      </c>
    </row>
    <row r="742" spans="1:16" x14ac:dyDescent="0.25">
      <c r="A742" t="s">
        <v>7294</v>
      </c>
      <c r="B742" t="s">
        <v>7255</v>
      </c>
      <c r="C742" t="s">
        <v>1335</v>
      </c>
      <c r="D742" t="s">
        <v>1027</v>
      </c>
      <c r="E742">
        <v>1459</v>
      </c>
      <c r="F742" t="s">
        <v>1336</v>
      </c>
      <c r="G742" t="b">
        <v>0</v>
      </c>
      <c r="H742" t="b">
        <v>0</v>
      </c>
      <c r="I742" t="s">
        <v>1051</v>
      </c>
      <c r="J742">
        <v>30</v>
      </c>
      <c r="K742" t="s">
        <v>2</v>
      </c>
      <c r="L742" t="s">
        <v>1549</v>
      </c>
      <c r="M742" t="s">
        <v>3922</v>
      </c>
      <c r="N742" t="s">
        <v>3922</v>
      </c>
      <c r="O742" t="s">
        <v>3922</v>
      </c>
      <c r="P742" t="s">
        <v>1682</v>
      </c>
    </row>
    <row r="743" spans="1:16" x14ac:dyDescent="0.25">
      <c r="A743" t="s">
        <v>7295</v>
      </c>
      <c r="B743" t="s">
        <v>7255</v>
      </c>
      <c r="C743" t="s">
        <v>1335</v>
      </c>
      <c r="D743" t="s">
        <v>1027</v>
      </c>
      <c r="E743">
        <v>1459</v>
      </c>
      <c r="F743" t="s">
        <v>1336</v>
      </c>
      <c r="G743" t="b">
        <v>0</v>
      </c>
      <c r="H743" t="b">
        <v>0</v>
      </c>
      <c r="I743" t="s">
        <v>1051</v>
      </c>
      <c r="J743">
        <v>30</v>
      </c>
      <c r="K743" t="s">
        <v>2</v>
      </c>
      <c r="L743" t="s">
        <v>1549</v>
      </c>
      <c r="M743" t="s">
        <v>3922</v>
      </c>
      <c r="N743" t="s">
        <v>3922</v>
      </c>
      <c r="O743" t="s">
        <v>3922</v>
      </c>
      <c r="P743" t="s">
        <v>1682</v>
      </c>
    </row>
    <row r="744" spans="1:16" x14ac:dyDescent="0.25">
      <c r="A744" t="s">
        <v>7296</v>
      </c>
      <c r="B744" t="s">
        <v>7255</v>
      </c>
      <c r="C744" t="s">
        <v>1335</v>
      </c>
      <c r="D744" t="s">
        <v>1027</v>
      </c>
      <c r="E744">
        <v>1459</v>
      </c>
      <c r="F744" t="s">
        <v>1336</v>
      </c>
      <c r="G744" t="b">
        <v>0</v>
      </c>
      <c r="H744" t="b">
        <v>0</v>
      </c>
      <c r="I744" t="s">
        <v>1051</v>
      </c>
      <c r="J744">
        <v>30</v>
      </c>
      <c r="K744" t="s">
        <v>2</v>
      </c>
      <c r="L744" t="s">
        <v>1549</v>
      </c>
      <c r="M744" t="s">
        <v>3922</v>
      </c>
      <c r="N744" t="s">
        <v>3922</v>
      </c>
      <c r="O744" t="s">
        <v>3922</v>
      </c>
      <c r="P744" t="s">
        <v>1682</v>
      </c>
    </row>
    <row r="745" spans="1:16" x14ac:dyDescent="0.25">
      <c r="A745" t="s">
        <v>7297</v>
      </c>
      <c r="B745" t="s">
        <v>7255</v>
      </c>
      <c r="C745" t="s">
        <v>1335</v>
      </c>
      <c r="D745" t="s">
        <v>1027</v>
      </c>
      <c r="E745">
        <v>1459</v>
      </c>
      <c r="F745" t="s">
        <v>1336</v>
      </c>
      <c r="G745" t="b">
        <v>0</v>
      </c>
      <c r="H745" t="b">
        <v>0</v>
      </c>
      <c r="I745" t="s">
        <v>1051</v>
      </c>
      <c r="J745">
        <v>30</v>
      </c>
      <c r="K745" t="s">
        <v>2</v>
      </c>
      <c r="L745" t="s">
        <v>1549</v>
      </c>
      <c r="M745" t="s">
        <v>3922</v>
      </c>
      <c r="N745" t="s">
        <v>3922</v>
      </c>
      <c r="O745" t="s">
        <v>3922</v>
      </c>
      <c r="P745" t="s">
        <v>1682</v>
      </c>
    </row>
    <row r="746" spans="1:16" x14ac:dyDescent="0.25">
      <c r="A746" t="s">
        <v>7298</v>
      </c>
      <c r="B746" t="s">
        <v>7255</v>
      </c>
      <c r="C746" t="s">
        <v>1335</v>
      </c>
      <c r="D746" t="s">
        <v>1027</v>
      </c>
      <c r="E746">
        <v>1459</v>
      </c>
      <c r="F746" t="s">
        <v>1336</v>
      </c>
      <c r="G746" t="b">
        <v>0</v>
      </c>
      <c r="H746" t="b">
        <v>0</v>
      </c>
      <c r="I746" t="s">
        <v>1051</v>
      </c>
      <c r="J746">
        <v>30</v>
      </c>
      <c r="K746" t="s">
        <v>2</v>
      </c>
      <c r="L746" t="s">
        <v>1549</v>
      </c>
      <c r="M746" t="s">
        <v>3922</v>
      </c>
      <c r="N746" t="s">
        <v>3922</v>
      </c>
      <c r="O746" t="s">
        <v>3922</v>
      </c>
      <c r="P746" t="s">
        <v>1682</v>
      </c>
    </row>
    <row r="747" spans="1:16" x14ac:dyDescent="0.25">
      <c r="A747" t="s">
        <v>7299</v>
      </c>
      <c r="B747" t="s">
        <v>7255</v>
      </c>
      <c r="C747" t="s">
        <v>1335</v>
      </c>
      <c r="D747" t="s">
        <v>1027</v>
      </c>
      <c r="E747">
        <v>1459</v>
      </c>
      <c r="F747" t="s">
        <v>1336</v>
      </c>
      <c r="G747" t="b">
        <v>0</v>
      </c>
      <c r="H747" t="b">
        <v>0</v>
      </c>
      <c r="I747" t="s">
        <v>1051</v>
      </c>
      <c r="J747">
        <v>30</v>
      </c>
      <c r="K747" t="s">
        <v>2</v>
      </c>
      <c r="L747" t="s">
        <v>1549</v>
      </c>
      <c r="M747" t="s">
        <v>3922</v>
      </c>
      <c r="N747" t="s">
        <v>3922</v>
      </c>
      <c r="O747" t="s">
        <v>3922</v>
      </c>
      <c r="P747" t="s">
        <v>1682</v>
      </c>
    </row>
    <row r="748" spans="1:16" x14ac:dyDescent="0.25">
      <c r="A748" t="s">
        <v>7300</v>
      </c>
      <c r="B748" t="s">
        <v>7255</v>
      </c>
      <c r="C748" t="s">
        <v>1335</v>
      </c>
      <c r="D748" t="s">
        <v>1027</v>
      </c>
      <c r="E748">
        <v>1459</v>
      </c>
      <c r="F748" t="s">
        <v>1336</v>
      </c>
      <c r="G748" t="b">
        <v>0</v>
      </c>
      <c r="H748" t="b">
        <v>0</v>
      </c>
      <c r="I748" t="s">
        <v>1051</v>
      </c>
      <c r="J748">
        <v>30</v>
      </c>
      <c r="K748" t="s">
        <v>2</v>
      </c>
      <c r="L748" t="s">
        <v>1549</v>
      </c>
      <c r="M748" t="s">
        <v>3922</v>
      </c>
      <c r="N748" t="s">
        <v>3922</v>
      </c>
      <c r="O748" t="s">
        <v>3922</v>
      </c>
      <c r="P748" t="s">
        <v>1682</v>
      </c>
    </row>
    <row r="749" spans="1:16" x14ac:dyDescent="0.25">
      <c r="A749" t="s">
        <v>7301</v>
      </c>
      <c r="B749" t="s">
        <v>7255</v>
      </c>
      <c r="C749" t="s">
        <v>1335</v>
      </c>
      <c r="D749" t="s">
        <v>1027</v>
      </c>
      <c r="E749">
        <v>1459</v>
      </c>
      <c r="F749" t="s">
        <v>1336</v>
      </c>
      <c r="G749" t="b">
        <v>0</v>
      </c>
      <c r="H749" t="b">
        <v>0</v>
      </c>
      <c r="I749" t="s">
        <v>1051</v>
      </c>
      <c r="J749">
        <v>30</v>
      </c>
      <c r="K749" t="s">
        <v>2</v>
      </c>
      <c r="L749" t="s">
        <v>1549</v>
      </c>
      <c r="M749" t="s">
        <v>3922</v>
      </c>
      <c r="N749" t="s">
        <v>3922</v>
      </c>
      <c r="O749" t="s">
        <v>3922</v>
      </c>
      <c r="P749" t="s">
        <v>1682</v>
      </c>
    </row>
    <row r="750" spans="1:16" x14ac:dyDescent="0.25">
      <c r="A750" t="s">
        <v>7302</v>
      </c>
      <c r="B750" t="s">
        <v>7255</v>
      </c>
      <c r="C750" t="s">
        <v>1335</v>
      </c>
      <c r="D750" t="s">
        <v>1027</v>
      </c>
      <c r="E750">
        <v>1459</v>
      </c>
      <c r="F750" t="s">
        <v>1336</v>
      </c>
      <c r="G750" t="b">
        <v>0</v>
      </c>
      <c r="H750" t="b">
        <v>0</v>
      </c>
      <c r="I750" t="s">
        <v>1051</v>
      </c>
      <c r="J750">
        <v>30</v>
      </c>
      <c r="K750" t="s">
        <v>2</v>
      </c>
      <c r="L750" t="s">
        <v>1549</v>
      </c>
      <c r="M750" t="s">
        <v>3922</v>
      </c>
      <c r="N750" t="s">
        <v>3922</v>
      </c>
      <c r="O750" t="s">
        <v>3922</v>
      </c>
      <c r="P750" t="s">
        <v>1682</v>
      </c>
    </row>
    <row r="751" spans="1:16" x14ac:dyDescent="0.25">
      <c r="A751" t="s">
        <v>7303</v>
      </c>
      <c r="B751" t="s">
        <v>7255</v>
      </c>
      <c r="C751" t="s">
        <v>1335</v>
      </c>
      <c r="D751" t="s">
        <v>1027</v>
      </c>
      <c r="E751">
        <v>1459</v>
      </c>
      <c r="F751" t="s">
        <v>1336</v>
      </c>
      <c r="G751" t="b">
        <v>0</v>
      </c>
      <c r="H751" t="b">
        <v>0</v>
      </c>
      <c r="I751" t="s">
        <v>1051</v>
      </c>
      <c r="J751">
        <v>30</v>
      </c>
      <c r="K751" t="s">
        <v>2</v>
      </c>
      <c r="L751" t="s">
        <v>1549</v>
      </c>
      <c r="M751" t="s">
        <v>3922</v>
      </c>
      <c r="N751" t="s">
        <v>3922</v>
      </c>
      <c r="O751" t="s">
        <v>3922</v>
      </c>
      <c r="P751" t="s">
        <v>1682</v>
      </c>
    </row>
    <row r="752" spans="1:16" x14ac:dyDescent="0.25">
      <c r="A752" t="s">
        <v>7304</v>
      </c>
      <c r="B752" t="s">
        <v>7255</v>
      </c>
      <c r="C752" t="s">
        <v>1335</v>
      </c>
      <c r="D752" t="s">
        <v>1027</v>
      </c>
      <c r="E752">
        <v>1459</v>
      </c>
      <c r="F752" t="s">
        <v>1336</v>
      </c>
      <c r="G752" t="b">
        <v>0</v>
      </c>
      <c r="H752" t="b">
        <v>0</v>
      </c>
      <c r="I752" t="s">
        <v>1051</v>
      </c>
      <c r="J752">
        <v>30</v>
      </c>
      <c r="K752" t="s">
        <v>2</v>
      </c>
      <c r="L752" t="s">
        <v>1549</v>
      </c>
      <c r="M752" t="s">
        <v>3922</v>
      </c>
      <c r="N752" t="s">
        <v>3922</v>
      </c>
      <c r="O752" t="s">
        <v>3922</v>
      </c>
      <c r="P752" t="s">
        <v>1682</v>
      </c>
    </row>
    <row r="753" spans="1:16" ht="409.5" x14ac:dyDescent="0.25">
      <c r="A753" t="s">
        <v>7305</v>
      </c>
      <c r="B753" t="s">
        <v>7306</v>
      </c>
      <c r="C753" t="s">
        <v>6503</v>
      </c>
      <c r="D753" t="s">
        <v>1027</v>
      </c>
      <c r="E753">
        <v>1488</v>
      </c>
      <c r="F753" t="s">
        <v>6504</v>
      </c>
      <c r="G753" t="b">
        <v>0</v>
      </c>
      <c r="H753" t="b">
        <v>0</v>
      </c>
      <c r="I753" t="s">
        <v>1051</v>
      </c>
      <c r="J753">
        <v>78</v>
      </c>
      <c r="K753" t="s">
        <v>0</v>
      </c>
      <c r="L753" t="s">
        <v>3000</v>
      </c>
      <c r="M753" t="s">
        <v>1548</v>
      </c>
      <c r="N753" t="s">
        <v>1548</v>
      </c>
      <c r="O753" t="s">
        <v>1548</v>
      </c>
      <c r="P753" s="36" t="s">
        <v>6505</v>
      </c>
    </row>
    <row r="754" spans="1:16" ht="409.5" x14ac:dyDescent="0.25">
      <c r="A754" t="s">
        <v>7307</v>
      </c>
      <c r="B754" t="s">
        <v>7306</v>
      </c>
      <c r="C754" t="s">
        <v>6503</v>
      </c>
      <c r="D754" t="s">
        <v>1027</v>
      </c>
      <c r="E754">
        <v>1488</v>
      </c>
      <c r="F754" t="s">
        <v>6504</v>
      </c>
      <c r="G754" t="b">
        <v>0</v>
      </c>
      <c r="H754" t="b">
        <v>0</v>
      </c>
      <c r="I754" t="s">
        <v>1051</v>
      </c>
      <c r="J754">
        <v>78</v>
      </c>
      <c r="K754" t="s">
        <v>0</v>
      </c>
      <c r="L754" t="s">
        <v>3000</v>
      </c>
      <c r="M754" t="s">
        <v>1548</v>
      </c>
      <c r="N754" t="s">
        <v>1548</v>
      </c>
      <c r="O754" t="s">
        <v>1548</v>
      </c>
      <c r="P754" s="36" t="s">
        <v>6505</v>
      </c>
    </row>
    <row r="755" spans="1:16" ht="409.5" x14ac:dyDescent="0.25">
      <c r="A755" t="s">
        <v>7308</v>
      </c>
      <c r="B755" t="s">
        <v>7306</v>
      </c>
      <c r="C755" t="s">
        <v>6503</v>
      </c>
      <c r="D755" t="s">
        <v>1027</v>
      </c>
      <c r="E755">
        <v>1488</v>
      </c>
      <c r="F755" t="s">
        <v>6504</v>
      </c>
      <c r="G755" t="b">
        <v>0</v>
      </c>
      <c r="H755" t="b">
        <v>0</v>
      </c>
      <c r="I755" t="s">
        <v>1051</v>
      </c>
      <c r="J755">
        <v>78</v>
      </c>
      <c r="K755" t="s">
        <v>0</v>
      </c>
      <c r="L755" t="s">
        <v>3000</v>
      </c>
      <c r="M755" t="s">
        <v>1548</v>
      </c>
      <c r="N755" t="s">
        <v>1548</v>
      </c>
      <c r="O755" t="s">
        <v>1548</v>
      </c>
      <c r="P755" s="36" t="s">
        <v>6505</v>
      </c>
    </row>
    <row r="756" spans="1:16" ht="409.5" x14ac:dyDescent="0.25">
      <c r="A756" t="s">
        <v>7309</v>
      </c>
      <c r="B756" t="s">
        <v>7306</v>
      </c>
      <c r="C756" t="s">
        <v>6503</v>
      </c>
      <c r="D756" t="s">
        <v>1027</v>
      </c>
      <c r="E756">
        <v>1488</v>
      </c>
      <c r="F756" t="s">
        <v>6504</v>
      </c>
      <c r="G756" t="b">
        <v>0</v>
      </c>
      <c r="H756" t="b">
        <v>0</v>
      </c>
      <c r="I756" t="s">
        <v>1051</v>
      </c>
      <c r="J756">
        <v>78</v>
      </c>
      <c r="K756" t="s">
        <v>0</v>
      </c>
      <c r="L756" t="s">
        <v>3000</v>
      </c>
      <c r="M756" t="s">
        <v>1548</v>
      </c>
      <c r="N756" t="s">
        <v>1548</v>
      </c>
      <c r="O756" t="s">
        <v>1548</v>
      </c>
      <c r="P756" s="36" t="s">
        <v>6505</v>
      </c>
    </row>
    <row r="757" spans="1:16" ht="409.5" x14ac:dyDescent="0.25">
      <c r="A757" t="s">
        <v>7310</v>
      </c>
      <c r="B757" t="s">
        <v>7306</v>
      </c>
      <c r="C757" t="s">
        <v>6503</v>
      </c>
      <c r="D757" t="s">
        <v>1027</v>
      </c>
      <c r="E757">
        <v>1488</v>
      </c>
      <c r="F757" t="s">
        <v>6504</v>
      </c>
      <c r="G757" t="b">
        <v>0</v>
      </c>
      <c r="H757" t="b">
        <v>0</v>
      </c>
      <c r="I757" t="s">
        <v>1051</v>
      </c>
      <c r="J757">
        <v>78</v>
      </c>
      <c r="K757" t="s">
        <v>0</v>
      </c>
      <c r="L757" t="s">
        <v>3000</v>
      </c>
      <c r="M757" t="s">
        <v>1548</v>
      </c>
      <c r="N757" t="s">
        <v>1548</v>
      </c>
      <c r="O757" t="s">
        <v>1548</v>
      </c>
      <c r="P757" s="36" t="s">
        <v>6505</v>
      </c>
    </row>
    <row r="758" spans="1:16" ht="409.5" x14ac:dyDescent="0.25">
      <c r="A758" t="s">
        <v>7311</v>
      </c>
      <c r="B758" t="s">
        <v>7306</v>
      </c>
      <c r="C758" t="s">
        <v>6503</v>
      </c>
      <c r="D758" t="s">
        <v>1027</v>
      </c>
      <c r="E758">
        <v>1488</v>
      </c>
      <c r="F758" t="s">
        <v>6504</v>
      </c>
      <c r="G758" t="b">
        <v>0</v>
      </c>
      <c r="H758" t="b">
        <v>0</v>
      </c>
      <c r="I758" t="s">
        <v>1051</v>
      </c>
      <c r="J758">
        <v>78</v>
      </c>
      <c r="K758" t="s">
        <v>0</v>
      </c>
      <c r="L758" t="s">
        <v>3000</v>
      </c>
      <c r="M758" t="s">
        <v>1548</v>
      </c>
      <c r="N758" t="s">
        <v>1548</v>
      </c>
      <c r="O758" t="s">
        <v>1548</v>
      </c>
      <c r="P758" s="36" t="s">
        <v>6505</v>
      </c>
    </row>
    <row r="759" spans="1:16" ht="409.5" x14ac:dyDescent="0.25">
      <c r="A759" t="s">
        <v>7312</v>
      </c>
      <c r="B759" t="s">
        <v>7306</v>
      </c>
      <c r="C759" t="s">
        <v>6503</v>
      </c>
      <c r="D759" t="s">
        <v>1027</v>
      </c>
      <c r="E759">
        <v>1488</v>
      </c>
      <c r="F759" t="s">
        <v>6504</v>
      </c>
      <c r="G759" t="b">
        <v>0</v>
      </c>
      <c r="H759" t="b">
        <v>0</v>
      </c>
      <c r="I759" t="s">
        <v>1051</v>
      </c>
      <c r="J759">
        <v>78</v>
      </c>
      <c r="K759" t="s">
        <v>0</v>
      </c>
      <c r="L759" t="s">
        <v>3000</v>
      </c>
      <c r="M759" t="s">
        <v>1548</v>
      </c>
      <c r="N759" t="s">
        <v>1548</v>
      </c>
      <c r="O759" t="s">
        <v>1548</v>
      </c>
      <c r="P759" s="36" t="s">
        <v>6505</v>
      </c>
    </row>
    <row r="760" spans="1:16" ht="409.5" x14ac:dyDescent="0.25">
      <c r="A760" t="s">
        <v>7313</v>
      </c>
      <c r="B760" t="s">
        <v>7306</v>
      </c>
      <c r="C760" t="s">
        <v>6503</v>
      </c>
      <c r="D760" t="s">
        <v>1027</v>
      </c>
      <c r="E760">
        <v>1488</v>
      </c>
      <c r="F760" t="s">
        <v>6504</v>
      </c>
      <c r="G760" t="b">
        <v>0</v>
      </c>
      <c r="H760" t="b">
        <v>0</v>
      </c>
      <c r="I760" t="s">
        <v>1051</v>
      </c>
      <c r="J760">
        <v>78</v>
      </c>
      <c r="K760" t="s">
        <v>0</v>
      </c>
      <c r="L760" t="s">
        <v>3000</v>
      </c>
      <c r="M760" t="s">
        <v>1548</v>
      </c>
      <c r="N760" t="s">
        <v>1548</v>
      </c>
      <c r="O760" t="s">
        <v>1548</v>
      </c>
      <c r="P760" s="36" t="s">
        <v>6505</v>
      </c>
    </row>
    <row r="761" spans="1:16" ht="409.5" x14ac:dyDescent="0.25">
      <c r="A761" t="s">
        <v>7314</v>
      </c>
      <c r="B761" t="s">
        <v>7306</v>
      </c>
      <c r="C761" t="s">
        <v>6503</v>
      </c>
      <c r="D761" t="s">
        <v>1027</v>
      </c>
      <c r="E761">
        <v>1488</v>
      </c>
      <c r="F761" t="s">
        <v>6504</v>
      </c>
      <c r="G761" t="b">
        <v>0</v>
      </c>
      <c r="H761" t="b">
        <v>0</v>
      </c>
      <c r="I761" t="s">
        <v>1051</v>
      </c>
      <c r="J761">
        <v>78</v>
      </c>
      <c r="K761" t="s">
        <v>0</v>
      </c>
      <c r="L761" t="s">
        <v>3000</v>
      </c>
      <c r="M761" t="s">
        <v>1548</v>
      </c>
      <c r="N761" t="s">
        <v>1548</v>
      </c>
      <c r="O761" t="s">
        <v>1548</v>
      </c>
      <c r="P761" s="36" t="s">
        <v>6505</v>
      </c>
    </row>
    <row r="762" spans="1:16" ht="409.5" x14ac:dyDescent="0.25">
      <c r="A762" t="s">
        <v>7315</v>
      </c>
      <c r="B762" t="s">
        <v>7316</v>
      </c>
      <c r="C762" t="s">
        <v>6473</v>
      </c>
      <c r="D762" t="s">
        <v>1027</v>
      </c>
      <c r="E762">
        <v>33419</v>
      </c>
      <c r="F762" t="s">
        <v>6447</v>
      </c>
      <c r="G762" t="b">
        <v>0</v>
      </c>
      <c r="H762" t="b">
        <v>0</v>
      </c>
      <c r="I762" t="s">
        <v>1051</v>
      </c>
      <c r="J762">
        <v>78</v>
      </c>
      <c r="K762" t="s">
        <v>0</v>
      </c>
      <c r="L762" t="s">
        <v>3000</v>
      </c>
      <c r="M762" t="s">
        <v>1548</v>
      </c>
      <c r="N762" t="s">
        <v>1548</v>
      </c>
      <c r="O762" t="s">
        <v>1548</v>
      </c>
      <c r="P762" s="36" t="s">
        <v>6448</v>
      </c>
    </row>
    <row r="763" spans="1:16" ht="409.5" x14ac:dyDescent="0.25">
      <c r="A763" t="s">
        <v>7317</v>
      </c>
      <c r="B763" t="s">
        <v>7316</v>
      </c>
      <c r="C763" t="s">
        <v>6473</v>
      </c>
      <c r="D763" t="s">
        <v>1027</v>
      </c>
      <c r="E763">
        <v>33419</v>
      </c>
      <c r="F763" t="s">
        <v>6447</v>
      </c>
      <c r="G763" t="b">
        <v>0</v>
      </c>
      <c r="H763" t="b">
        <v>0</v>
      </c>
      <c r="I763" t="s">
        <v>1051</v>
      </c>
      <c r="J763">
        <v>78</v>
      </c>
      <c r="K763" t="s">
        <v>0</v>
      </c>
      <c r="L763" t="s">
        <v>3000</v>
      </c>
      <c r="M763" t="s">
        <v>1548</v>
      </c>
      <c r="N763" t="s">
        <v>1548</v>
      </c>
      <c r="O763" t="s">
        <v>1548</v>
      </c>
      <c r="P763" s="36" t="s">
        <v>6448</v>
      </c>
    </row>
    <row r="764" spans="1:16" ht="409.5" x14ac:dyDescent="0.25">
      <c r="A764" t="s">
        <v>7318</v>
      </c>
      <c r="B764" t="s">
        <v>7319</v>
      </c>
      <c r="C764" t="s">
        <v>6446</v>
      </c>
      <c r="D764" t="s">
        <v>1027</v>
      </c>
      <c r="E764">
        <v>1402</v>
      </c>
      <c r="F764" t="s">
        <v>6447</v>
      </c>
      <c r="G764" t="b">
        <v>0</v>
      </c>
      <c r="H764" t="b">
        <v>0</v>
      </c>
      <c r="I764" t="s">
        <v>1051</v>
      </c>
      <c r="J764">
        <v>78</v>
      </c>
      <c r="K764" t="s">
        <v>0</v>
      </c>
      <c r="L764" t="s">
        <v>3000</v>
      </c>
      <c r="M764" t="s">
        <v>1548</v>
      </c>
      <c r="N764" t="s">
        <v>1548</v>
      </c>
      <c r="O764" t="s">
        <v>1548</v>
      </c>
      <c r="P764" s="36" t="s">
        <v>6448</v>
      </c>
    </row>
    <row r="765" spans="1:16" ht="409.5" x14ac:dyDescent="0.25">
      <c r="A765" t="s">
        <v>7320</v>
      </c>
      <c r="B765" t="s">
        <v>7319</v>
      </c>
      <c r="C765" t="s">
        <v>6446</v>
      </c>
      <c r="D765" t="s">
        <v>1027</v>
      </c>
      <c r="E765">
        <v>1402</v>
      </c>
      <c r="F765" t="s">
        <v>6447</v>
      </c>
      <c r="G765" t="b">
        <v>0</v>
      </c>
      <c r="H765" t="b">
        <v>0</v>
      </c>
      <c r="I765" t="s">
        <v>1051</v>
      </c>
      <c r="J765">
        <v>78</v>
      </c>
      <c r="K765" t="s">
        <v>0</v>
      </c>
      <c r="L765" t="s">
        <v>3000</v>
      </c>
      <c r="M765" t="s">
        <v>1548</v>
      </c>
      <c r="N765" t="s">
        <v>1548</v>
      </c>
      <c r="O765" t="s">
        <v>1548</v>
      </c>
      <c r="P765" s="36" t="s">
        <v>6448</v>
      </c>
    </row>
    <row r="766" spans="1:16" x14ac:dyDescent="0.25">
      <c r="A766" t="s">
        <v>7321</v>
      </c>
      <c r="B766" t="s">
        <v>7322</v>
      </c>
      <c r="C766" t="s">
        <v>1335</v>
      </c>
      <c r="D766" t="s">
        <v>1027</v>
      </c>
      <c r="E766">
        <v>1459</v>
      </c>
      <c r="F766" t="s">
        <v>1336</v>
      </c>
      <c r="G766" t="b">
        <v>0</v>
      </c>
      <c r="H766" t="b">
        <v>0</v>
      </c>
      <c r="I766" t="s">
        <v>1051</v>
      </c>
      <c r="J766">
        <v>64</v>
      </c>
      <c r="K766" t="s">
        <v>2</v>
      </c>
      <c r="L766" t="s">
        <v>1549</v>
      </c>
      <c r="M766" t="s">
        <v>3922</v>
      </c>
      <c r="N766" t="s">
        <v>3922</v>
      </c>
      <c r="O766" t="s">
        <v>3922</v>
      </c>
      <c r="P766" t="s">
        <v>1682</v>
      </c>
    </row>
    <row r="767" spans="1:16" x14ac:dyDescent="0.25">
      <c r="A767" t="s">
        <v>7323</v>
      </c>
      <c r="B767" t="s">
        <v>7324</v>
      </c>
      <c r="C767" t="s">
        <v>1335</v>
      </c>
      <c r="D767" t="s">
        <v>1027</v>
      </c>
      <c r="E767">
        <v>1459</v>
      </c>
      <c r="F767" t="s">
        <v>1336</v>
      </c>
      <c r="G767" t="b">
        <v>0</v>
      </c>
      <c r="H767" t="b">
        <v>0</v>
      </c>
      <c r="I767" t="s">
        <v>1051</v>
      </c>
      <c r="J767">
        <v>78</v>
      </c>
      <c r="K767" t="s">
        <v>2</v>
      </c>
      <c r="L767" t="s">
        <v>1549</v>
      </c>
      <c r="M767" t="s">
        <v>3922</v>
      </c>
      <c r="N767" t="s">
        <v>3922</v>
      </c>
      <c r="O767" t="s">
        <v>3922</v>
      </c>
      <c r="P767" t="s">
        <v>1682</v>
      </c>
    </row>
    <row r="768" spans="1:16" x14ac:dyDescent="0.25">
      <c r="A768" t="s">
        <v>7325</v>
      </c>
      <c r="B768" t="s">
        <v>7324</v>
      </c>
      <c r="C768" t="s">
        <v>1335</v>
      </c>
      <c r="D768" t="s">
        <v>1027</v>
      </c>
      <c r="E768">
        <v>1459</v>
      </c>
      <c r="F768" t="s">
        <v>1336</v>
      </c>
      <c r="G768" t="b">
        <v>0</v>
      </c>
      <c r="H768" t="b">
        <v>0</v>
      </c>
      <c r="I768" t="s">
        <v>1051</v>
      </c>
      <c r="J768">
        <v>78</v>
      </c>
      <c r="K768" t="s">
        <v>2</v>
      </c>
      <c r="L768" t="s">
        <v>1549</v>
      </c>
      <c r="M768" t="s">
        <v>3922</v>
      </c>
      <c r="N768" t="s">
        <v>3922</v>
      </c>
      <c r="O768" t="s">
        <v>3922</v>
      </c>
      <c r="P768" t="s">
        <v>1682</v>
      </c>
    </row>
    <row r="769" spans="1:16" x14ac:dyDescent="0.25">
      <c r="A769" t="s">
        <v>7326</v>
      </c>
      <c r="B769" t="s">
        <v>7324</v>
      </c>
      <c r="C769" t="s">
        <v>1335</v>
      </c>
      <c r="D769" t="s">
        <v>1027</v>
      </c>
      <c r="E769">
        <v>1459</v>
      </c>
      <c r="F769" t="s">
        <v>1336</v>
      </c>
      <c r="G769" t="b">
        <v>0</v>
      </c>
      <c r="H769" t="b">
        <v>0</v>
      </c>
      <c r="I769" t="s">
        <v>1051</v>
      </c>
      <c r="J769">
        <v>78</v>
      </c>
      <c r="K769" t="s">
        <v>2</v>
      </c>
      <c r="L769" t="s">
        <v>1549</v>
      </c>
      <c r="M769" t="s">
        <v>3922</v>
      </c>
      <c r="N769" t="s">
        <v>3922</v>
      </c>
      <c r="O769" t="s">
        <v>3922</v>
      </c>
      <c r="P769" t="s">
        <v>1682</v>
      </c>
    </row>
    <row r="770" spans="1:16" x14ac:dyDescent="0.25">
      <c r="A770" t="s">
        <v>7327</v>
      </c>
      <c r="B770" t="s">
        <v>7328</v>
      </c>
      <c r="C770" t="s">
        <v>1335</v>
      </c>
      <c r="D770" t="s">
        <v>1027</v>
      </c>
      <c r="E770">
        <v>1459</v>
      </c>
      <c r="F770" t="s">
        <v>1336</v>
      </c>
      <c r="G770" t="b">
        <v>0</v>
      </c>
      <c r="H770" t="b">
        <v>0</v>
      </c>
      <c r="I770" t="s">
        <v>1051</v>
      </c>
      <c r="J770">
        <v>20</v>
      </c>
      <c r="K770" t="s">
        <v>2</v>
      </c>
      <c r="L770" t="s">
        <v>1549</v>
      </c>
      <c r="M770" t="s">
        <v>3922</v>
      </c>
      <c r="N770" t="s">
        <v>3922</v>
      </c>
      <c r="O770" t="s">
        <v>3922</v>
      </c>
      <c r="P770" t="s">
        <v>1682</v>
      </c>
    </row>
    <row r="771" spans="1:16" x14ac:dyDescent="0.25">
      <c r="A771" t="s">
        <v>7329</v>
      </c>
      <c r="B771" t="s">
        <v>7328</v>
      </c>
      <c r="C771" t="s">
        <v>1335</v>
      </c>
      <c r="D771" t="s">
        <v>1027</v>
      </c>
      <c r="E771">
        <v>1459</v>
      </c>
      <c r="F771" t="s">
        <v>1336</v>
      </c>
      <c r="G771" t="b">
        <v>0</v>
      </c>
      <c r="H771" t="b">
        <v>0</v>
      </c>
      <c r="I771" t="s">
        <v>1051</v>
      </c>
      <c r="J771">
        <v>20</v>
      </c>
      <c r="K771" t="s">
        <v>2</v>
      </c>
      <c r="L771" t="s">
        <v>1549</v>
      </c>
      <c r="M771" t="s">
        <v>3922</v>
      </c>
      <c r="N771" t="s">
        <v>3922</v>
      </c>
      <c r="O771" t="s">
        <v>3922</v>
      </c>
      <c r="P771" t="s">
        <v>1682</v>
      </c>
    </row>
    <row r="772" spans="1:16" x14ac:dyDescent="0.25">
      <c r="A772" t="s">
        <v>7330</v>
      </c>
      <c r="B772" t="s">
        <v>7328</v>
      </c>
      <c r="C772" t="s">
        <v>1335</v>
      </c>
      <c r="D772" t="s">
        <v>1027</v>
      </c>
      <c r="E772">
        <v>1459</v>
      </c>
      <c r="F772" t="s">
        <v>1336</v>
      </c>
      <c r="G772" t="b">
        <v>0</v>
      </c>
      <c r="H772" t="b">
        <v>0</v>
      </c>
      <c r="I772" t="s">
        <v>1051</v>
      </c>
      <c r="J772">
        <v>20</v>
      </c>
      <c r="K772" t="s">
        <v>2</v>
      </c>
      <c r="L772" t="s">
        <v>1549</v>
      </c>
      <c r="M772" t="s">
        <v>3922</v>
      </c>
      <c r="N772" t="s">
        <v>3922</v>
      </c>
      <c r="O772" t="s">
        <v>3922</v>
      </c>
      <c r="P772" t="s">
        <v>1682</v>
      </c>
    </row>
    <row r="773" spans="1:16" x14ac:dyDescent="0.25">
      <c r="A773" t="s">
        <v>7331</v>
      </c>
      <c r="B773" t="s">
        <v>7328</v>
      </c>
      <c r="C773" t="s">
        <v>1335</v>
      </c>
      <c r="D773" t="s">
        <v>1027</v>
      </c>
      <c r="E773">
        <v>1459</v>
      </c>
      <c r="F773" t="s">
        <v>1336</v>
      </c>
      <c r="G773" t="b">
        <v>0</v>
      </c>
      <c r="H773" t="b">
        <v>0</v>
      </c>
      <c r="I773" t="s">
        <v>1051</v>
      </c>
      <c r="J773">
        <v>20</v>
      </c>
      <c r="K773" t="s">
        <v>2</v>
      </c>
      <c r="L773" t="s">
        <v>1549</v>
      </c>
      <c r="M773" t="s">
        <v>3922</v>
      </c>
      <c r="N773" t="s">
        <v>3922</v>
      </c>
      <c r="O773" t="s">
        <v>3922</v>
      </c>
      <c r="P773" t="s">
        <v>1682</v>
      </c>
    </row>
    <row r="774" spans="1:16" x14ac:dyDescent="0.25">
      <c r="A774" t="s">
        <v>7332</v>
      </c>
      <c r="B774" t="s">
        <v>7328</v>
      </c>
      <c r="C774" t="s">
        <v>1335</v>
      </c>
      <c r="D774" t="s">
        <v>1027</v>
      </c>
      <c r="E774">
        <v>1459</v>
      </c>
      <c r="F774" t="s">
        <v>1336</v>
      </c>
      <c r="G774" t="b">
        <v>0</v>
      </c>
      <c r="H774" t="b">
        <v>0</v>
      </c>
      <c r="I774" t="s">
        <v>1051</v>
      </c>
      <c r="J774">
        <v>22</v>
      </c>
      <c r="K774" t="s">
        <v>2</v>
      </c>
      <c r="L774" t="s">
        <v>1549</v>
      </c>
      <c r="M774" t="s">
        <v>3922</v>
      </c>
      <c r="N774" t="s">
        <v>3922</v>
      </c>
      <c r="O774" t="s">
        <v>3922</v>
      </c>
      <c r="P774" t="s">
        <v>1682</v>
      </c>
    </row>
    <row r="775" spans="1:16" x14ac:dyDescent="0.25">
      <c r="A775" t="s">
        <v>7333</v>
      </c>
      <c r="B775" t="s">
        <v>7328</v>
      </c>
      <c r="C775" t="s">
        <v>1335</v>
      </c>
      <c r="D775" t="s">
        <v>1027</v>
      </c>
      <c r="E775">
        <v>1459</v>
      </c>
      <c r="F775" t="s">
        <v>1336</v>
      </c>
      <c r="G775" t="b">
        <v>0</v>
      </c>
      <c r="H775" t="b">
        <v>0</v>
      </c>
      <c r="I775" t="s">
        <v>1051</v>
      </c>
      <c r="J775">
        <v>22</v>
      </c>
      <c r="K775" t="s">
        <v>2</v>
      </c>
      <c r="L775" t="s">
        <v>1549</v>
      </c>
      <c r="M775" t="s">
        <v>3922</v>
      </c>
      <c r="N775" t="s">
        <v>3922</v>
      </c>
      <c r="O775" t="s">
        <v>3922</v>
      </c>
      <c r="P775" t="s">
        <v>1682</v>
      </c>
    </row>
    <row r="776" spans="1:16" x14ac:dyDescent="0.25">
      <c r="A776" t="s">
        <v>7334</v>
      </c>
      <c r="B776" t="s">
        <v>7328</v>
      </c>
      <c r="C776" t="s">
        <v>1335</v>
      </c>
      <c r="D776" t="s">
        <v>1027</v>
      </c>
      <c r="E776">
        <v>1459</v>
      </c>
      <c r="F776" t="s">
        <v>1336</v>
      </c>
      <c r="G776" t="b">
        <v>0</v>
      </c>
      <c r="H776" t="b">
        <v>0</v>
      </c>
      <c r="I776" t="s">
        <v>1051</v>
      </c>
      <c r="J776">
        <v>22</v>
      </c>
      <c r="K776" t="s">
        <v>2</v>
      </c>
      <c r="L776" t="s">
        <v>1549</v>
      </c>
      <c r="M776" t="s">
        <v>3922</v>
      </c>
      <c r="N776" t="s">
        <v>3922</v>
      </c>
      <c r="O776" t="s">
        <v>3922</v>
      </c>
      <c r="P776" t="s">
        <v>1682</v>
      </c>
    </row>
    <row r="777" spans="1:16" x14ac:dyDescent="0.25">
      <c r="A777" t="s">
        <v>7335</v>
      </c>
      <c r="B777" t="s">
        <v>7328</v>
      </c>
      <c r="C777" t="s">
        <v>1335</v>
      </c>
      <c r="D777" t="s">
        <v>1027</v>
      </c>
      <c r="E777">
        <v>1459</v>
      </c>
      <c r="F777" t="s">
        <v>1336</v>
      </c>
      <c r="G777" t="b">
        <v>0</v>
      </c>
      <c r="H777" t="b">
        <v>0</v>
      </c>
      <c r="I777" t="s">
        <v>1051</v>
      </c>
      <c r="J777">
        <v>22</v>
      </c>
      <c r="K777" t="s">
        <v>2</v>
      </c>
      <c r="L777" t="s">
        <v>1549</v>
      </c>
      <c r="M777" t="s">
        <v>3922</v>
      </c>
      <c r="N777" t="s">
        <v>3922</v>
      </c>
      <c r="O777" t="s">
        <v>3922</v>
      </c>
      <c r="P777" t="s">
        <v>1682</v>
      </c>
    </row>
    <row r="778" spans="1:16" x14ac:dyDescent="0.25">
      <c r="A778" t="s">
        <v>7336</v>
      </c>
      <c r="B778" t="s">
        <v>7328</v>
      </c>
      <c r="C778" t="s">
        <v>1335</v>
      </c>
      <c r="D778" t="s">
        <v>1027</v>
      </c>
      <c r="E778">
        <v>1459</v>
      </c>
      <c r="F778" t="s">
        <v>1336</v>
      </c>
      <c r="G778" t="b">
        <v>0</v>
      </c>
      <c r="H778" t="b">
        <v>0</v>
      </c>
      <c r="I778" t="s">
        <v>1051</v>
      </c>
      <c r="J778">
        <v>22</v>
      </c>
      <c r="K778" t="s">
        <v>2</v>
      </c>
      <c r="L778" t="s">
        <v>1549</v>
      </c>
      <c r="M778" t="s">
        <v>3922</v>
      </c>
      <c r="N778" t="s">
        <v>3922</v>
      </c>
      <c r="O778" t="s">
        <v>3922</v>
      </c>
      <c r="P778" t="s">
        <v>1682</v>
      </c>
    </row>
    <row r="779" spans="1:16" x14ac:dyDescent="0.25">
      <c r="A779" t="s">
        <v>7337</v>
      </c>
      <c r="B779" t="s">
        <v>7328</v>
      </c>
      <c r="C779" t="s">
        <v>1335</v>
      </c>
      <c r="D779" t="s">
        <v>1027</v>
      </c>
      <c r="E779">
        <v>1459</v>
      </c>
      <c r="F779" t="s">
        <v>1336</v>
      </c>
      <c r="G779" t="b">
        <v>0</v>
      </c>
      <c r="H779" t="b">
        <v>0</v>
      </c>
      <c r="I779" t="s">
        <v>1051</v>
      </c>
      <c r="J779">
        <v>22</v>
      </c>
      <c r="K779" t="s">
        <v>2</v>
      </c>
      <c r="L779" t="s">
        <v>1549</v>
      </c>
      <c r="M779" t="s">
        <v>3922</v>
      </c>
      <c r="N779" t="s">
        <v>3922</v>
      </c>
      <c r="O779" t="s">
        <v>3922</v>
      </c>
      <c r="P779" t="s">
        <v>1682</v>
      </c>
    </row>
    <row r="780" spans="1:16" x14ac:dyDescent="0.25">
      <c r="A780" t="s">
        <v>7338</v>
      </c>
      <c r="B780" t="s">
        <v>7328</v>
      </c>
      <c r="C780" t="s">
        <v>1335</v>
      </c>
      <c r="D780" t="s">
        <v>1027</v>
      </c>
      <c r="E780">
        <v>1459</v>
      </c>
      <c r="F780" t="s">
        <v>1336</v>
      </c>
      <c r="G780" t="b">
        <v>0</v>
      </c>
      <c r="H780" t="b">
        <v>0</v>
      </c>
      <c r="I780" t="s">
        <v>1051</v>
      </c>
      <c r="J780">
        <v>22</v>
      </c>
      <c r="K780" t="s">
        <v>2</v>
      </c>
      <c r="L780" t="s">
        <v>1549</v>
      </c>
      <c r="M780" t="s">
        <v>3922</v>
      </c>
      <c r="N780" t="s">
        <v>3922</v>
      </c>
      <c r="O780" t="s">
        <v>3922</v>
      </c>
      <c r="P780" t="s">
        <v>1682</v>
      </c>
    </row>
    <row r="781" spans="1:16" x14ac:dyDescent="0.25">
      <c r="A781" t="s">
        <v>7339</v>
      </c>
      <c r="B781" t="s">
        <v>7328</v>
      </c>
      <c r="C781" t="s">
        <v>1335</v>
      </c>
      <c r="D781" t="s">
        <v>1027</v>
      </c>
      <c r="E781">
        <v>1459</v>
      </c>
      <c r="F781" t="s">
        <v>1336</v>
      </c>
      <c r="G781" t="b">
        <v>0</v>
      </c>
      <c r="H781" t="b">
        <v>0</v>
      </c>
      <c r="I781" t="s">
        <v>1051</v>
      </c>
      <c r="J781">
        <v>22</v>
      </c>
      <c r="K781" t="s">
        <v>2</v>
      </c>
      <c r="L781" t="s">
        <v>1549</v>
      </c>
      <c r="M781" t="s">
        <v>3922</v>
      </c>
      <c r="N781" t="s">
        <v>3922</v>
      </c>
      <c r="O781" t="s">
        <v>3922</v>
      </c>
      <c r="P781" t="s">
        <v>1682</v>
      </c>
    </row>
    <row r="782" spans="1:16" x14ac:dyDescent="0.25">
      <c r="A782" t="s">
        <v>7340</v>
      </c>
      <c r="B782" t="s">
        <v>7328</v>
      </c>
      <c r="C782" t="s">
        <v>1335</v>
      </c>
      <c r="D782" t="s">
        <v>1027</v>
      </c>
      <c r="E782">
        <v>1459</v>
      </c>
      <c r="F782" t="s">
        <v>1336</v>
      </c>
      <c r="G782" t="b">
        <v>0</v>
      </c>
      <c r="H782" t="b">
        <v>0</v>
      </c>
      <c r="I782" t="s">
        <v>1051</v>
      </c>
      <c r="J782">
        <v>20</v>
      </c>
      <c r="K782" t="s">
        <v>2</v>
      </c>
      <c r="L782" t="s">
        <v>1549</v>
      </c>
      <c r="M782" t="s">
        <v>3922</v>
      </c>
      <c r="N782" t="s">
        <v>3922</v>
      </c>
      <c r="O782" t="s">
        <v>3922</v>
      </c>
      <c r="P782" t="s">
        <v>1682</v>
      </c>
    </row>
    <row r="783" spans="1:16" x14ac:dyDescent="0.25">
      <c r="A783" t="s">
        <v>7341</v>
      </c>
      <c r="B783" t="s">
        <v>7328</v>
      </c>
      <c r="C783" t="s">
        <v>1335</v>
      </c>
      <c r="D783" t="s">
        <v>1027</v>
      </c>
      <c r="E783">
        <v>1459</v>
      </c>
      <c r="F783" t="s">
        <v>1336</v>
      </c>
      <c r="G783" t="b">
        <v>0</v>
      </c>
      <c r="H783" t="b">
        <v>0</v>
      </c>
      <c r="I783" t="s">
        <v>1051</v>
      </c>
      <c r="J783">
        <v>20</v>
      </c>
      <c r="K783" t="s">
        <v>2</v>
      </c>
      <c r="L783" t="s">
        <v>1549</v>
      </c>
      <c r="M783" t="s">
        <v>3922</v>
      </c>
      <c r="N783" t="s">
        <v>3922</v>
      </c>
      <c r="O783" t="s">
        <v>3922</v>
      </c>
      <c r="P783" t="s">
        <v>1682</v>
      </c>
    </row>
    <row r="784" spans="1:16" x14ac:dyDescent="0.25">
      <c r="A784" t="s">
        <v>7342</v>
      </c>
      <c r="B784" t="s">
        <v>7328</v>
      </c>
      <c r="C784" t="s">
        <v>1335</v>
      </c>
      <c r="D784" t="s">
        <v>1027</v>
      </c>
      <c r="E784">
        <v>1459</v>
      </c>
      <c r="F784" t="s">
        <v>1336</v>
      </c>
      <c r="G784" t="b">
        <v>0</v>
      </c>
      <c r="H784" t="b">
        <v>0</v>
      </c>
      <c r="I784" t="s">
        <v>1051</v>
      </c>
      <c r="J784">
        <v>20</v>
      </c>
      <c r="K784" t="s">
        <v>2</v>
      </c>
      <c r="L784" t="s">
        <v>1549</v>
      </c>
      <c r="M784" t="s">
        <v>3922</v>
      </c>
      <c r="N784" t="s">
        <v>3922</v>
      </c>
      <c r="O784" t="s">
        <v>3922</v>
      </c>
      <c r="P784" t="s">
        <v>1682</v>
      </c>
    </row>
    <row r="785" spans="1:16" x14ac:dyDescent="0.25">
      <c r="A785" t="s">
        <v>7343</v>
      </c>
      <c r="B785" t="s">
        <v>7328</v>
      </c>
      <c r="C785" t="s">
        <v>1335</v>
      </c>
      <c r="D785" t="s">
        <v>1027</v>
      </c>
      <c r="E785">
        <v>1459</v>
      </c>
      <c r="F785" t="s">
        <v>1336</v>
      </c>
      <c r="G785" t="b">
        <v>0</v>
      </c>
      <c r="H785" t="b">
        <v>0</v>
      </c>
      <c r="I785" t="s">
        <v>1051</v>
      </c>
      <c r="J785">
        <v>20</v>
      </c>
      <c r="K785" t="s">
        <v>2</v>
      </c>
      <c r="L785" t="s">
        <v>1549</v>
      </c>
      <c r="M785" t="s">
        <v>3922</v>
      </c>
      <c r="N785" t="s">
        <v>3922</v>
      </c>
      <c r="O785" t="s">
        <v>3922</v>
      </c>
      <c r="P785" t="s">
        <v>1682</v>
      </c>
    </row>
    <row r="786" spans="1:16" x14ac:dyDescent="0.25">
      <c r="A786" t="s">
        <v>7344</v>
      </c>
      <c r="B786" t="s">
        <v>7328</v>
      </c>
      <c r="C786" t="s">
        <v>1335</v>
      </c>
      <c r="D786" t="s">
        <v>1027</v>
      </c>
      <c r="E786">
        <v>1459</v>
      </c>
      <c r="F786" t="s">
        <v>1336</v>
      </c>
      <c r="G786" t="b">
        <v>0</v>
      </c>
      <c r="H786" t="b">
        <v>0</v>
      </c>
      <c r="I786" t="s">
        <v>1051</v>
      </c>
      <c r="J786">
        <v>20</v>
      </c>
      <c r="K786" t="s">
        <v>2</v>
      </c>
      <c r="L786" t="s">
        <v>1549</v>
      </c>
      <c r="M786" t="s">
        <v>3922</v>
      </c>
      <c r="N786" t="s">
        <v>3922</v>
      </c>
      <c r="O786" t="s">
        <v>3922</v>
      </c>
      <c r="P786" t="s">
        <v>1682</v>
      </c>
    </row>
    <row r="787" spans="1:16" x14ac:dyDescent="0.25">
      <c r="A787" t="s">
        <v>7345</v>
      </c>
      <c r="B787" t="s">
        <v>7328</v>
      </c>
      <c r="C787" t="s">
        <v>1335</v>
      </c>
      <c r="D787" t="s">
        <v>1027</v>
      </c>
      <c r="E787">
        <v>1459</v>
      </c>
      <c r="F787" t="s">
        <v>1336</v>
      </c>
      <c r="G787" t="b">
        <v>0</v>
      </c>
      <c r="H787" t="b">
        <v>0</v>
      </c>
      <c r="I787" t="s">
        <v>1051</v>
      </c>
      <c r="J787">
        <v>20</v>
      </c>
      <c r="K787" t="s">
        <v>2</v>
      </c>
      <c r="L787" t="s">
        <v>1549</v>
      </c>
      <c r="M787" t="s">
        <v>3922</v>
      </c>
      <c r="N787" t="s">
        <v>3922</v>
      </c>
      <c r="O787" t="s">
        <v>3922</v>
      </c>
      <c r="P787" t="s">
        <v>1682</v>
      </c>
    </row>
    <row r="788" spans="1:16" x14ac:dyDescent="0.25">
      <c r="A788" t="s">
        <v>7346</v>
      </c>
      <c r="B788" t="s">
        <v>7328</v>
      </c>
      <c r="C788" t="s">
        <v>1335</v>
      </c>
      <c r="D788" t="s">
        <v>1027</v>
      </c>
      <c r="E788">
        <v>1459</v>
      </c>
      <c r="F788" t="s">
        <v>1336</v>
      </c>
      <c r="G788" t="b">
        <v>0</v>
      </c>
      <c r="H788" t="b">
        <v>0</v>
      </c>
      <c r="I788" t="s">
        <v>1051</v>
      </c>
      <c r="J788">
        <v>20</v>
      </c>
      <c r="K788" t="s">
        <v>2</v>
      </c>
      <c r="L788" t="s">
        <v>1549</v>
      </c>
      <c r="M788" t="s">
        <v>3922</v>
      </c>
      <c r="N788" t="s">
        <v>3922</v>
      </c>
      <c r="O788" t="s">
        <v>3922</v>
      </c>
      <c r="P788" t="s">
        <v>1682</v>
      </c>
    </row>
    <row r="789" spans="1:16" x14ac:dyDescent="0.25">
      <c r="A789" t="s">
        <v>7347</v>
      </c>
      <c r="B789" t="s">
        <v>7328</v>
      </c>
      <c r="C789" t="s">
        <v>1335</v>
      </c>
      <c r="D789" t="s">
        <v>1027</v>
      </c>
      <c r="E789">
        <v>1459</v>
      </c>
      <c r="F789" t="s">
        <v>1336</v>
      </c>
      <c r="G789" t="b">
        <v>0</v>
      </c>
      <c r="H789" t="b">
        <v>0</v>
      </c>
      <c r="I789" t="s">
        <v>1051</v>
      </c>
      <c r="J789">
        <v>20</v>
      </c>
      <c r="K789" t="s">
        <v>2</v>
      </c>
      <c r="L789" t="s">
        <v>1549</v>
      </c>
      <c r="M789" t="s">
        <v>3922</v>
      </c>
      <c r="N789" t="s">
        <v>3922</v>
      </c>
      <c r="O789" t="s">
        <v>3922</v>
      </c>
      <c r="P789" t="s">
        <v>1682</v>
      </c>
    </row>
    <row r="790" spans="1:16" x14ac:dyDescent="0.25">
      <c r="A790" t="s">
        <v>7348</v>
      </c>
      <c r="B790" t="s">
        <v>7328</v>
      </c>
      <c r="C790" t="s">
        <v>1335</v>
      </c>
      <c r="D790" t="s">
        <v>1027</v>
      </c>
      <c r="E790">
        <v>1459</v>
      </c>
      <c r="F790" t="s">
        <v>1336</v>
      </c>
      <c r="G790" t="b">
        <v>0</v>
      </c>
      <c r="H790" t="b">
        <v>0</v>
      </c>
      <c r="I790" t="s">
        <v>1051</v>
      </c>
      <c r="J790">
        <v>20</v>
      </c>
      <c r="K790" t="s">
        <v>2</v>
      </c>
      <c r="L790" t="s">
        <v>1549</v>
      </c>
      <c r="M790" t="s">
        <v>3922</v>
      </c>
      <c r="N790" t="s">
        <v>3922</v>
      </c>
      <c r="O790" t="s">
        <v>3922</v>
      </c>
      <c r="P790" t="s">
        <v>1682</v>
      </c>
    </row>
    <row r="791" spans="1:16" x14ac:dyDescent="0.25">
      <c r="A791" t="s">
        <v>7349</v>
      </c>
      <c r="B791" t="s">
        <v>7328</v>
      </c>
      <c r="C791" t="s">
        <v>1335</v>
      </c>
      <c r="D791" t="s">
        <v>1027</v>
      </c>
      <c r="E791">
        <v>1459</v>
      </c>
      <c r="F791" t="s">
        <v>1336</v>
      </c>
      <c r="G791" t="b">
        <v>0</v>
      </c>
      <c r="H791" t="b">
        <v>0</v>
      </c>
      <c r="I791" t="s">
        <v>1051</v>
      </c>
      <c r="J791">
        <v>20</v>
      </c>
      <c r="K791" t="s">
        <v>2</v>
      </c>
      <c r="L791" t="s">
        <v>1549</v>
      </c>
      <c r="M791" t="s">
        <v>3922</v>
      </c>
      <c r="N791" t="s">
        <v>3922</v>
      </c>
      <c r="O791" t="s">
        <v>3922</v>
      </c>
      <c r="P791" t="s">
        <v>1682</v>
      </c>
    </row>
    <row r="792" spans="1:16" x14ac:dyDescent="0.25">
      <c r="A792" t="s">
        <v>7350</v>
      </c>
      <c r="B792" t="s">
        <v>7328</v>
      </c>
      <c r="C792" t="s">
        <v>1335</v>
      </c>
      <c r="D792" t="s">
        <v>1027</v>
      </c>
      <c r="E792">
        <v>1459</v>
      </c>
      <c r="F792" t="s">
        <v>1336</v>
      </c>
      <c r="G792" t="b">
        <v>0</v>
      </c>
      <c r="H792" t="b">
        <v>0</v>
      </c>
      <c r="I792" t="s">
        <v>1051</v>
      </c>
      <c r="J792">
        <v>20</v>
      </c>
      <c r="K792" t="s">
        <v>2</v>
      </c>
      <c r="L792" t="s">
        <v>1549</v>
      </c>
      <c r="M792" t="s">
        <v>3922</v>
      </c>
      <c r="N792" t="s">
        <v>3922</v>
      </c>
      <c r="O792" t="s">
        <v>3922</v>
      </c>
      <c r="P792" t="s">
        <v>1682</v>
      </c>
    </row>
    <row r="793" spans="1:16" x14ac:dyDescent="0.25">
      <c r="A793" t="s">
        <v>7351</v>
      </c>
      <c r="B793" t="s">
        <v>7328</v>
      </c>
      <c r="C793" t="s">
        <v>1335</v>
      </c>
      <c r="D793" t="s">
        <v>1027</v>
      </c>
      <c r="E793">
        <v>1459</v>
      </c>
      <c r="F793" t="s">
        <v>1336</v>
      </c>
      <c r="G793" t="b">
        <v>0</v>
      </c>
      <c r="H793" t="b">
        <v>0</v>
      </c>
      <c r="I793" t="s">
        <v>1051</v>
      </c>
      <c r="J793">
        <v>20</v>
      </c>
      <c r="K793" t="s">
        <v>2</v>
      </c>
      <c r="L793" t="s">
        <v>1549</v>
      </c>
      <c r="M793" t="s">
        <v>3922</v>
      </c>
      <c r="N793" t="s">
        <v>3922</v>
      </c>
      <c r="O793" t="s">
        <v>3922</v>
      </c>
      <c r="P793" t="s">
        <v>1682</v>
      </c>
    </row>
    <row r="794" spans="1:16" x14ac:dyDescent="0.25">
      <c r="A794" t="s">
        <v>7352</v>
      </c>
      <c r="B794" t="s">
        <v>7328</v>
      </c>
      <c r="C794" t="s">
        <v>1335</v>
      </c>
      <c r="D794" t="s">
        <v>1027</v>
      </c>
      <c r="E794">
        <v>1459</v>
      </c>
      <c r="F794" t="s">
        <v>1336</v>
      </c>
      <c r="G794" t="b">
        <v>0</v>
      </c>
      <c r="H794" t="b">
        <v>0</v>
      </c>
      <c r="I794" t="s">
        <v>1051</v>
      </c>
      <c r="J794">
        <v>20</v>
      </c>
      <c r="K794" t="s">
        <v>2</v>
      </c>
      <c r="L794" t="s">
        <v>1549</v>
      </c>
      <c r="M794" t="s">
        <v>3922</v>
      </c>
      <c r="N794" t="s">
        <v>3922</v>
      </c>
      <c r="O794" t="s">
        <v>3922</v>
      </c>
      <c r="P794" t="s">
        <v>1682</v>
      </c>
    </row>
    <row r="795" spans="1:16" ht="409.5" x14ac:dyDescent="0.25">
      <c r="A795" t="s">
        <v>7353</v>
      </c>
      <c r="B795" t="s">
        <v>7354</v>
      </c>
      <c r="C795" t="s">
        <v>6503</v>
      </c>
      <c r="D795" t="s">
        <v>1027</v>
      </c>
      <c r="E795">
        <v>1488</v>
      </c>
      <c r="F795" t="s">
        <v>6504</v>
      </c>
      <c r="G795" t="b">
        <v>0</v>
      </c>
      <c r="H795" t="b">
        <v>0</v>
      </c>
      <c r="I795" t="s">
        <v>1051</v>
      </c>
      <c r="J795">
        <v>78</v>
      </c>
      <c r="K795" t="s">
        <v>0</v>
      </c>
      <c r="L795" t="s">
        <v>3000</v>
      </c>
      <c r="M795" t="s">
        <v>1548</v>
      </c>
      <c r="N795" t="s">
        <v>1548</v>
      </c>
      <c r="O795" t="s">
        <v>1548</v>
      </c>
      <c r="P795" s="36" t="s">
        <v>6505</v>
      </c>
    </row>
    <row r="796" spans="1:16" ht="409.5" x14ac:dyDescent="0.25">
      <c r="A796" t="s">
        <v>7355</v>
      </c>
      <c r="B796" t="s">
        <v>7354</v>
      </c>
      <c r="C796" t="s">
        <v>6503</v>
      </c>
      <c r="D796" t="s">
        <v>1027</v>
      </c>
      <c r="E796">
        <v>1488</v>
      </c>
      <c r="F796" t="s">
        <v>6504</v>
      </c>
      <c r="G796" t="b">
        <v>0</v>
      </c>
      <c r="H796" t="b">
        <v>0</v>
      </c>
      <c r="I796" t="s">
        <v>1051</v>
      </c>
      <c r="J796">
        <v>78</v>
      </c>
      <c r="K796" t="s">
        <v>0</v>
      </c>
      <c r="L796" t="s">
        <v>3000</v>
      </c>
      <c r="M796" t="s">
        <v>1548</v>
      </c>
      <c r="N796" t="s">
        <v>1548</v>
      </c>
      <c r="O796" t="s">
        <v>1548</v>
      </c>
      <c r="P796" s="36" t="s">
        <v>6505</v>
      </c>
    </row>
    <row r="797" spans="1:16" ht="409.5" x14ac:dyDescent="0.25">
      <c r="A797" t="s">
        <v>7356</v>
      </c>
      <c r="B797" t="s">
        <v>7354</v>
      </c>
      <c r="C797" t="s">
        <v>6503</v>
      </c>
      <c r="D797" t="s">
        <v>1027</v>
      </c>
      <c r="E797">
        <v>1488</v>
      </c>
      <c r="F797" t="s">
        <v>6504</v>
      </c>
      <c r="G797" t="b">
        <v>0</v>
      </c>
      <c r="H797" t="b">
        <v>0</v>
      </c>
      <c r="I797" t="s">
        <v>1051</v>
      </c>
      <c r="J797">
        <v>78</v>
      </c>
      <c r="K797" t="s">
        <v>0</v>
      </c>
      <c r="L797" t="s">
        <v>3000</v>
      </c>
      <c r="M797" t="s">
        <v>1548</v>
      </c>
      <c r="N797" t="s">
        <v>1548</v>
      </c>
      <c r="O797" t="s">
        <v>1548</v>
      </c>
      <c r="P797" s="36" t="s">
        <v>6505</v>
      </c>
    </row>
    <row r="798" spans="1:16" ht="409.5" x14ac:dyDescent="0.25">
      <c r="A798" t="s">
        <v>7357</v>
      </c>
      <c r="B798" t="s">
        <v>7354</v>
      </c>
      <c r="C798" t="s">
        <v>6503</v>
      </c>
      <c r="D798" t="s">
        <v>1027</v>
      </c>
      <c r="E798">
        <v>1488</v>
      </c>
      <c r="F798" t="s">
        <v>6504</v>
      </c>
      <c r="G798" t="b">
        <v>0</v>
      </c>
      <c r="H798" t="b">
        <v>0</v>
      </c>
      <c r="I798" t="s">
        <v>1051</v>
      </c>
      <c r="J798">
        <v>78</v>
      </c>
      <c r="K798" t="s">
        <v>0</v>
      </c>
      <c r="L798" t="s">
        <v>3000</v>
      </c>
      <c r="M798" t="s">
        <v>1548</v>
      </c>
      <c r="N798" t="s">
        <v>1548</v>
      </c>
      <c r="O798" t="s">
        <v>1548</v>
      </c>
      <c r="P798" s="36" t="s">
        <v>6505</v>
      </c>
    </row>
    <row r="799" spans="1:16" ht="409.5" x14ac:dyDescent="0.25">
      <c r="A799" t="s">
        <v>7358</v>
      </c>
      <c r="B799" t="s">
        <v>7354</v>
      </c>
      <c r="C799" t="s">
        <v>6503</v>
      </c>
      <c r="D799" t="s">
        <v>1027</v>
      </c>
      <c r="E799">
        <v>1488</v>
      </c>
      <c r="F799" t="s">
        <v>6504</v>
      </c>
      <c r="G799" t="b">
        <v>0</v>
      </c>
      <c r="H799" t="b">
        <v>0</v>
      </c>
      <c r="I799" t="s">
        <v>1051</v>
      </c>
      <c r="J799">
        <v>78</v>
      </c>
      <c r="K799" t="s">
        <v>0</v>
      </c>
      <c r="L799" t="s">
        <v>3000</v>
      </c>
      <c r="M799" t="s">
        <v>1548</v>
      </c>
      <c r="N799" t="s">
        <v>1548</v>
      </c>
      <c r="O799" t="s">
        <v>1548</v>
      </c>
      <c r="P799" s="36" t="s">
        <v>6505</v>
      </c>
    </row>
    <row r="800" spans="1:16" ht="409.5" x14ac:dyDescent="0.25">
      <c r="A800" t="s">
        <v>7359</v>
      </c>
      <c r="B800" t="s">
        <v>7360</v>
      </c>
      <c r="C800" t="s">
        <v>6503</v>
      </c>
      <c r="D800" t="s">
        <v>1027</v>
      </c>
      <c r="E800">
        <v>1488</v>
      </c>
      <c r="F800" t="s">
        <v>6504</v>
      </c>
      <c r="G800" t="b">
        <v>0</v>
      </c>
      <c r="H800" t="b">
        <v>0</v>
      </c>
      <c r="I800" t="s">
        <v>1051</v>
      </c>
      <c r="J800">
        <v>78</v>
      </c>
      <c r="K800" t="s">
        <v>0</v>
      </c>
      <c r="L800" t="s">
        <v>3000</v>
      </c>
      <c r="M800" t="s">
        <v>1548</v>
      </c>
      <c r="N800" t="s">
        <v>1548</v>
      </c>
      <c r="O800" t="s">
        <v>1548</v>
      </c>
      <c r="P800" s="36" t="s">
        <v>6505</v>
      </c>
    </row>
    <row r="801" spans="1:16" ht="409.5" x14ac:dyDescent="0.25">
      <c r="A801" t="s">
        <v>7361</v>
      </c>
      <c r="B801" t="s">
        <v>7360</v>
      </c>
      <c r="C801" t="s">
        <v>6503</v>
      </c>
      <c r="D801" t="s">
        <v>1027</v>
      </c>
      <c r="E801">
        <v>1488</v>
      </c>
      <c r="F801" t="s">
        <v>6504</v>
      </c>
      <c r="G801" t="b">
        <v>0</v>
      </c>
      <c r="H801" t="b">
        <v>0</v>
      </c>
      <c r="I801" t="s">
        <v>1051</v>
      </c>
      <c r="J801">
        <v>78</v>
      </c>
      <c r="K801" t="s">
        <v>0</v>
      </c>
      <c r="L801" t="s">
        <v>3000</v>
      </c>
      <c r="M801" t="s">
        <v>1548</v>
      </c>
      <c r="N801" t="s">
        <v>1548</v>
      </c>
      <c r="O801" t="s">
        <v>1548</v>
      </c>
      <c r="P801" s="36" t="s">
        <v>6505</v>
      </c>
    </row>
    <row r="802" spans="1:16" ht="409.5" x14ac:dyDescent="0.25">
      <c r="A802" t="s">
        <v>7362</v>
      </c>
      <c r="B802" t="s">
        <v>7363</v>
      </c>
      <c r="C802" t="s">
        <v>6473</v>
      </c>
      <c r="D802" t="s">
        <v>1027</v>
      </c>
      <c r="E802">
        <v>33419</v>
      </c>
      <c r="F802" t="s">
        <v>6474</v>
      </c>
      <c r="G802" t="b">
        <v>0</v>
      </c>
      <c r="H802" t="b">
        <v>0</v>
      </c>
      <c r="I802" t="s">
        <v>1051</v>
      </c>
      <c r="J802">
        <v>78</v>
      </c>
      <c r="K802" t="s">
        <v>0</v>
      </c>
      <c r="L802" t="s">
        <v>3000</v>
      </c>
      <c r="M802" t="s">
        <v>1548</v>
      </c>
      <c r="N802" t="s">
        <v>1548</v>
      </c>
      <c r="O802" t="s">
        <v>1548</v>
      </c>
      <c r="P802" s="36" t="s">
        <v>6448</v>
      </c>
    </row>
    <row r="803" spans="1:16" ht="409.5" x14ac:dyDescent="0.25">
      <c r="A803" t="s">
        <v>7364</v>
      </c>
      <c r="B803" t="s">
        <v>7363</v>
      </c>
      <c r="C803" t="s">
        <v>6473</v>
      </c>
      <c r="D803" t="s">
        <v>1027</v>
      </c>
      <c r="E803">
        <v>33419</v>
      </c>
      <c r="F803" t="s">
        <v>6474</v>
      </c>
      <c r="G803" t="b">
        <v>0</v>
      </c>
      <c r="H803" t="b">
        <v>0</v>
      </c>
      <c r="I803" t="s">
        <v>1051</v>
      </c>
      <c r="J803">
        <v>78</v>
      </c>
      <c r="K803" t="s">
        <v>0</v>
      </c>
      <c r="L803" t="s">
        <v>3000</v>
      </c>
      <c r="M803" t="s">
        <v>1548</v>
      </c>
      <c r="N803" t="s">
        <v>1548</v>
      </c>
      <c r="O803" t="s">
        <v>1548</v>
      </c>
      <c r="P803" s="36" t="s">
        <v>6448</v>
      </c>
    </row>
    <row r="804" spans="1:16" ht="409.5" x14ac:dyDescent="0.25">
      <c r="A804" t="s">
        <v>7365</v>
      </c>
      <c r="B804" t="s">
        <v>7363</v>
      </c>
      <c r="C804" t="s">
        <v>6473</v>
      </c>
      <c r="D804" t="s">
        <v>1027</v>
      </c>
      <c r="E804">
        <v>33419</v>
      </c>
      <c r="F804" t="s">
        <v>6474</v>
      </c>
      <c r="G804" t="b">
        <v>0</v>
      </c>
      <c r="H804" t="b">
        <v>0</v>
      </c>
      <c r="I804" t="s">
        <v>1051</v>
      </c>
      <c r="J804">
        <v>78</v>
      </c>
      <c r="K804" t="s">
        <v>0</v>
      </c>
      <c r="L804" t="s">
        <v>3000</v>
      </c>
      <c r="M804" t="s">
        <v>1548</v>
      </c>
      <c r="N804" t="s">
        <v>1548</v>
      </c>
      <c r="O804" t="s">
        <v>1548</v>
      </c>
      <c r="P804" s="36" t="s">
        <v>6448</v>
      </c>
    </row>
    <row r="805" spans="1:16" ht="409.5" x14ac:dyDescent="0.25">
      <c r="A805" t="s">
        <v>7366</v>
      </c>
      <c r="B805" t="s">
        <v>7363</v>
      </c>
      <c r="C805" t="s">
        <v>6473</v>
      </c>
      <c r="D805" t="s">
        <v>1027</v>
      </c>
      <c r="E805">
        <v>33419</v>
      </c>
      <c r="F805" t="s">
        <v>6474</v>
      </c>
      <c r="G805" t="b">
        <v>0</v>
      </c>
      <c r="H805" t="b">
        <v>0</v>
      </c>
      <c r="I805" t="s">
        <v>1051</v>
      </c>
      <c r="J805">
        <v>78</v>
      </c>
      <c r="K805" t="s">
        <v>0</v>
      </c>
      <c r="L805" t="s">
        <v>3000</v>
      </c>
      <c r="M805" t="s">
        <v>1548</v>
      </c>
      <c r="N805" t="s">
        <v>1548</v>
      </c>
      <c r="O805" t="s">
        <v>1548</v>
      </c>
      <c r="P805" s="36" t="s">
        <v>6448</v>
      </c>
    </row>
    <row r="806" spans="1:16" ht="409.5" x14ac:dyDescent="0.25">
      <c r="A806" t="s">
        <v>7367</v>
      </c>
      <c r="B806" t="s">
        <v>7363</v>
      </c>
      <c r="C806" t="s">
        <v>6473</v>
      </c>
      <c r="D806" t="s">
        <v>1027</v>
      </c>
      <c r="E806">
        <v>33419</v>
      </c>
      <c r="F806" t="s">
        <v>6474</v>
      </c>
      <c r="G806" t="b">
        <v>0</v>
      </c>
      <c r="H806" t="b">
        <v>0</v>
      </c>
      <c r="I806" t="s">
        <v>1051</v>
      </c>
      <c r="J806">
        <v>78</v>
      </c>
      <c r="K806" t="s">
        <v>0</v>
      </c>
      <c r="L806" t="s">
        <v>3000</v>
      </c>
      <c r="M806" t="s">
        <v>1548</v>
      </c>
      <c r="N806" t="s">
        <v>1548</v>
      </c>
      <c r="O806" t="s">
        <v>1548</v>
      </c>
      <c r="P806" s="36" t="s">
        <v>6448</v>
      </c>
    </row>
    <row r="807" spans="1:16" ht="409.5" x14ac:dyDescent="0.25">
      <c r="A807" t="s">
        <v>7368</v>
      </c>
      <c r="B807" t="s">
        <v>7363</v>
      </c>
      <c r="C807" t="s">
        <v>6473</v>
      </c>
      <c r="D807" t="s">
        <v>1027</v>
      </c>
      <c r="E807">
        <v>33419</v>
      </c>
      <c r="F807" t="s">
        <v>6474</v>
      </c>
      <c r="G807" t="b">
        <v>0</v>
      </c>
      <c r="H807" t="b">
        <v>0</v>
      </c>
      <c r="I807" t="s">
        <v>1051</v>
      </c>
      <c r="J807">
        <v>78</v>
      </c>
      <c r="K807" t="s">
        <v>0</v>
      </c>
      <c r="L807" t="s">
        <v>3000</v>
      </c>
      <c r="M807" t="s">
        <v>1548</v>
      </c>
      <c r="N807" t="s">
        <v>1548</v>
      </c>
      <c r="O807" t="s">
        <v>1548</v>
      </c>
      <c r="P807" s="36" t="s">
        <v>6448</v>
      </c>
    </row>
    <row r="808" spans="1:16" ht="409.5" x14ac:dyDescent="0.25">
      <c r="A808" t="s">
        <v>7369</v>
      </c>
      <c r="B808" t="s">
        <v>7363</v>
      </c>
      <c r="C808" t="s">
        <v>6473</v>
      </c>
      <c r="D808" t="s">
        <v>1027</v>
      </c>
      <c r="E808">
        <v>33419</v>
      </c>
      <c r="F808" t="s">
        <v>6474</v>
      </c>
      <c r="G808" t="b">
        <v>0</v>
      </c>
      <c r="H808" t="b">
        <v>0</v>
      </c>
      <c r="I808" t="s">
        <v>1051</v>
      </c>
      <c r="J808">
        <v>78</v>
      </c>
      <c r="K808" t="s">
        <v>0</v>
      </c>
      <c r="L808" t="s">
        <v>3000</v>
      </c>
      <c r="M808" t="s">
        <v>1548</v>
      </c>
      <c r="N808" t="s">
        <v>1548</v>
      </c>
      <c r="O808" t="s">
        <v>1548</v>
      </c>
      <c r="P808" s="36" t="s">
        <v>6448</v>
      </c>
    </row>
    <row r="809" spans="1:16" ht="409.5" x14ac:dyDescent="0.25">
      <c r="A809" t="s">
        <v>7370</v>
      </c>
      <c r="B809" t="s">
        <v>7363</v>
      </c>
      <c r="C809" t="s">
        <v>6473</v>
      </c>
      <c r="D809" t="s">
        <v>1027</v>
      </c>
      <c r="E809">
        <v>33419</v>
      </c>
      <c r="F809" t="s">
        <v>6474</v>
      </c>
      <c r="G809" t="b">
        <v>0</v>
      </c>
      <c r="H809" t="b">
        <v>0</v>
      </c>
      <c r="I809" t="s">
        <v>1051</v>
      </c>
      <c r="J809">
        <v>78</v>
      </c>
      <c r="K809" t="s">
        <v>0</v>
      </c>
      <c r="L809" t="s">
        <v>3000</v>
      </c>
      <c r="M809" t="s">
        <v>1548</v>
      </c>
      <c r="N809" t="s">
        <v>1548</v>
      </c>
      <c r="O809" t="s">
        <v>1548</v>
      </c>
      <c r="P809" s="36" t="s">
        <v>6448</v>
      </c>
    </row>
    <row r="810" spans="1:16" ht="409.5" x14ac:dyDescent="0.25">
      <c r="A810" t="s">
        <v>7371</v>
      </c>
      <c r="B810" t="s">
        <v>7363</v>
      </c>
      <c r="C810" t="s">
        <v>6473</v>
      </c>
      <c r="D810" t="s">
        <v>1027</v>
      </c>
      <c r="E810">
        <v>33419</v>
      </c>
      <c r="F810" t="s">
        <v>6474</v>
      </c>
      <c r="G810" t="b">
        <v>0</v>
      </c>
      <c r="H810" t="b">
        <v>0</v>
      </c>
      <c r="I810" t="s">
        <v>1051</v>
      </c>
      <c r="J810">
        <v>78</v>
      </c>
      <c r="K810" t="s">
        <v>0</v>
      </c>
      <c r="L810" t="s">
        <v>3000</v>
      </c>
      <c r="M810" t="s">
        <v>1548</v>
      </c>
      <c r="N810" t="s">
        <v>1548</v>
      </c>
      <c r="O810" t="s">
        <v>1548</v>
      </c>
      <c r="P810" s="36" t="s">
        <v>6448</v>
      </c>
    </row>
    <row r="811" spans="1:16" ht="409.5" x14ac:dyDescent="0.25">
      <c r="A811" t="s">
        <v>7372</v>
      </c>
      <c r="B811" t="s">
        <v>7363</v>
      </c>
      <c r="C811" t="s">
        <v>6473</v>
      </c>
      <c r="D811" t="s">
        <v>1027</v>
      </c>
      <c r="E811">
        <v>33419</v>
      </c>
      <c r="F811" t="s">
        <v>6474</v>
      </c>
      <c r="G811" t="b">
        <v>0</v>
      </c>
      <c r="H811" t="b">
        <v>0</v>
      </c>
      <c r="I811" t="s">
        <v>1051</v>
      </c>
      <c r="J811">
        <v>78</v>
      </c>
      <c r="K811" t="s">
        <v>0</v>
      </c>
      <c r="L811" t="s">
        <v>3000</v>
      </c>
      <c r="M811" t="s">
        <v>1548</v>
      </c>
      <c r="N811" t="s">
        <v>1548</v>
      </c>
      <c r="O811" t="s">
        <v>1548</v>
      </c>
      <c r="P811" s="36" t="s">
        <v>6448</v>
      </c>
    </row>
    <row r="812" spans="1:16" ht="409.5" x14ac:dyDescent="0.25">
      <c r="A812" t="s">
        <v>7373</v>
      </c>
      <c r="B812" t="s">
        <v>7363</v>
      </c>
      <c r="C812" t="s">
        <v>6473</v>
      </c>
      <c r="D812" t="s">
        <v>1027</v>
      </c>
      <c r="E812">
        <v>33419</v>
      </c>
      <c r="F812" t="s">
        <v>6474</v>
      </c>
      <c r="G812" t="b">
        <v>0</v>
      </c>
      <c r="H812" t="b">
        <v>0</v>
      </c>
      <c r="I812" t="s">
        <v>1051</v>
      </c>
      <c r="J812">
        <v>78</v>
      </c>
      <c r="K812" t="s">
        <v>0</v>
      </c>
      <c r="L812" t="s">
        <v>3000</v>
      </c>
      <c r="M812" t="s">
        <v>1548</v>
      </c>
      <c r="N812" t="s">
        <v>1548</v>
      </c>
      <c r="O812" t="s">
        <v>1548</v>
      </c>
      <c r="P812" s="36" t="s">
        <v>6448</v>
      </c>
    </row>
    <row r="813" spans="1:16" ht="409.5" x14ac:dyDescent="0.25">
      <c r="A813" t="s">
        <v>7374</v>
      </c>
      <c r="B813" t="s">
        <v>7363</v>
      </c>
      <c r="C813" t="s">
        <v>6473</v>
      </c>
      <c r="D813" t="s">
        <v>1027</v>
      </c>
      <c r="E813">
        <v>33419</v>
      </c>
      <c r="F813" t="s">
        <v>6474</v>
      </c>
      <c r="G813" t="b">
        <v>0</v>
      </c>
      <c r="H813" t="b">
        <v>0</v>
      </c>
      <c r="I813" t="s">
        <v>1051</v>
      </c>
      <c r="J813">
        <v>78</v>
      </c>
      <c r="K813" t="s">
        <v>0</v>
      </c>
      <c r="L813" t="s">
        <v>3000</v>
      </c>
      <c r="M813" t="s">
        <v>1548</v>
      </c>
      <c r="N813" t="s">
        <v>1548</v>
      </c>
      <c r="O813" t="s">
        <v>1548</v>
      </c>
      <c r="P813" s="36" t="s">
        <v>6448</v>
      </c>
    </row>
    <row r="814" spans="1:16" ht="409.5" x14ac:dyDescent="0.25">
      <c r="A814" t="s">
        <v>7375</v>
      </c>
      <c r="B814" t="s">
        <v>7363</v>
      </c>
      <c r="C814" t="s">
        <v>6473</v>
      </c>
      <c r="D814" t="s">
        <v>1027</v>
      </c>
      <c r="E814">
        <v>33419</v>
      </c>
      <c r="F814" t="s">
        <v>6474</v>
      </c>
      <c r="G814" t="b">
        <v>0</v>
      </c>
      <c r="H814" t="b">
        <v>0</v>
      </c>
      <c r="I814" t="s">
        <v>1051</v>
      </c>
      <c r="J814">
        <v>78</v>
      </c>
      <c r="K814" t="s">
        <v>0</v>
      </c>
      <c r="L814" t="s">
        <v>3000</v>
      </c>
      <c r="M814" t="s">
        <v>1548</v>
      </c>
      <c r="N814" t="s">
        <v>1548</v>
      </c>
      <c r="O814" t="s">
        <v>1548</v>
      </c>
      <c r="P814" s="36" t="s">
        <v>6448</v>
      </c>
    </row>
    <row r="815" spans="1:16" ht="409.5" x14ac:dyDescent="0.25">
      <c r="A815" t="s">
        <v>7376</v>
      </c>
      <c r="B815" t="s">
        <v>7363</v>
      </c>
      <c r="C815" t="s">
        <v>6473</v>
      </c>
      <c r="D815" t="s">
        <v>1027</v>
      </c>
      <c r="E815">
        <v>33419</v>
      </c>
      <c r="F815" t="s">
        <v>6474</v>
      </c>
      <c r="G815" t="b">
        <v>0</v>
      </c>
      <c r="H815" t="b">
        <v>0</v>
      </c>
      <c r="I815" t="s">
        <v>1051</v>
      </c>
      <c r="J815">
        <v>78</v>
      </c>
      <c r="K815" t="s">
        <v>0</v>
      </c>
      <c r="L815" t="s">
        <v>3000</v>
      </c>
      <c r="M815" t="s">
        <v>1548</v>
      </c>
      <c r="N815" t="s">
        <v>1548</v>
      </c>
      <c r="O815" t="s">
        <v>1548</v>
      </c>
      <c r="P815" s="36" t="s">
        <v>6448</v>
      </c>
    </row>
    <row r="816" spans="1:16" ht="409.5" x14ac:dyDescent="0.25">
      <c r="A816" t="s">
        <v>7377</v>
      </c>
      <c r="B816" t="s">
        <v>7363</v>
      </c>
      <c r="C816" t="s">
        <v>6473</v>
      </c>
      <c r="D816" t="s">
        <v>1027</v>
      </c>
      <c r="E816">
        <v>33419</v>
      </c>
      <c r="F816" t="s">
        <v>6474</v>
      </c>
      <c r="G816" t="b">
        <v>0</v>
      </c>
      <c r="H816" t="b">
        <v>0</v>
      </c>
      <c r="I816" t="s">
        <v>1051</v>
      </c>
      <c r="J816">
        <v>78</v>
      </c>
      <c r="K816" t="s">
        <v>0</v>
      </c>
      <c r="L816" t="s">
        <v>3000</v>
      </c>
      <c r="M816" t="s">
        <v>1548</v>
      </c>
      <c r="N816" t="s">
        <v>1548</v>
      </c>
      <c r="O816" t="s">
        <v>1548</v>
      </c>
      <c r="P816" s="36" t="s">
        <v>6448</v>
      </c>
    </row>
    <row r="817" spans="1:16" ht="409.5" x14ac:dyDescent="0.25">
      <c r="A817" t="s">
        <v>7378</v>
      </c>
      <c r="B817" t="s">
        <v>7363</v>
      </c>
      <c r="C817" t="s">
        <v>6473</v>
      </c>
      <c r="D817" t="s">
        <v>1027</v>
      </c>
      <c r="E817">
        <v>33419</v>
      </c>
      <c r="F817" t="s">
        <v>6474</v>
      </c>
      <c r="G817" t="b">
        <v>0</v>
      </c>
      <c r="H817" t="b">
        <v>0</v>
      </c>
      <c r="I817" t="s">
        <v>1051</v>
      </c>
      <c r="J817">
        <v>78</v>
      </c>
      <c r="K817" t="s">
        <v>0</v>
      </c>
      <c r="L817" t="s">
        <v>3000</v>
      </c>
      <c r="M817" t="s">
        <v>1548</v>
      </c>
      <c r="N817" t="s">
        <v>1548</v>
      </c>
      <c r="O817" t="s">
        <v>1548</v>
      </c>
      <c r="P817" s="36" t="s">
        <v>6448</v>
      </c>
    </row>
    <row r="818" spans="1:16" ht="409.5" x14ac:dyDescent="0.25">
      <c r="A818" t="s">
        <v>7379</v>
      </c>
      <c r="B818" t="s">
        <v>7363</v>
      </c>
      <c r="C818" t="s">
        <v>6473</v>
      </c>
      <c r="D818" t="s">
        <v>1027</v>
      </c>
      <c r="E818">
        <v>33419</v>
      </c>
      <c r="F818" t="s">
        <v>6474</v>
      </c>
      <c r="G818" t="b">
        <v>0</v>
      </c>
      <c r="H818" t="b">
        <v>0</v>
      </c>
      <c r="I818" t="s">
        <v>1051</v>
      </c>
      <c r="J818">
        <v>78</v>
      </c>
      <c r="K818" t="s">
        <v>0</v>
      </c>
      <c r="L818" t="s">
        <v>3000</v>
      </c>
      <c r="M818" t="s">
        <v>1548</v>
      </c>
      <c r="N818" t="s">
        <v>1548</v>
      </c>
      <c r="O818" t="s">
        <v>1548</v>
      </c>
      <c r="P818" s="36" t="s">
        <v>6448</v>
      </c>
    </row>
    <row r="819" spans="1:16" ht="409.5" x14ac:dyDescent="0.25">
      <c r="A819" t="s">
        <v>7380</v>
      </c>
      <c r="B819" t="s">
        <v>7363</v>
      </c>
      <c r="C819" t="s">
        <v>6473</v>
      </c>
      <c r="D819" t="s">
        <v>1027</v>
      </c>
      <c r="E819">
        <v>33419</v>
      </c>
      <c r="F819" t="s">
        <v>6474</v>
      </c>
      <c r="G819" t="b">
        <v>0</v>
      </c>
      <c r="H819" t="b">
        <v>0</v>
      </c>
      <c r="I819" t="s">
        <v>1051</v>
      </c>
      <c r="J819">
        <v>78</v>
      </c>
      <c r="K819" t="s">
        <v>0</v>
      </c>
      <c r="L819" t="s">
        <v>3000</v>
      </c>
      <c r="M819" t="s">
        <v>1548</v>
      </c>
      <c r="N819" t="s">
        <v>1548</v>
      </c>
      <c r="O819" t="s">
        <v>1548</v>
      </c>
      <c r="P819" s="36" t="s">
        <v>6448</v>
      </c>
    </row>
    <row r="820" spans="1:16" ht="409.5" x14ac:dyDescent="0.25">
      <c r="A820" t="s">
        <v>7381</v>
      </c>
      <c r="B820" t="s">
        <v>7382</v>
      </c>
      <c r="C820" t="s">
        <v>6446</v>
      </c>
      <c r="D820" t="s">
        <v>1027</v>
      </c>
      <c r="G820" t="b">
        <v>0</v>
      </c>
      <c r="H820" t="b">
        <v>0</v>
      </c>
      <c r="I820" t="s">
        <v>1051</v>
      </c>
      <c r="J820">
        <v>78</v>
      </c>
      <c r="K820" t="s">
        <v>0</v>
      </c>
      <c r="L820" t="s">
        <v>3000</v>
      </c>
      <c r="M820" t="s">
        <v>1548</v>
      </c>
      <c r="N820" t="s">
        <v>1548</v>
      </c>
      <c r="O820" t="s">
        <v>1548</v>
      </c>
      <c r="P820" s="36" t="s">
        <v>6448</v>
      </c>
    </row>
    <row r="821" spans="1:16" ht="409.5" x14ac:dyDescent="0.25">
      <c r="A821" t="s">
        <v>7383</v>
      </c>
      <c r="B821" t="s">
        <v>7382</v>
      </c>
      <c r="C821" t="s">
        <v>6446</v>
      </c>
      <c r="D821" t="s">
        <v>1027</v>
      </c>
      <c r="G821" t="b">
        <v>0</v>
      </c>
      <c r="H821" t="b">
        <v>0</v>
      </c>
      <c r="I821" t="s">
        <v>1051</v>
      </c>
      <c r="J821">
        <v>78</v>
      </c>
      <c r="K821" t="s">
        <v>0</v>
      </c>
      <c r="L821" t="s">
        <v>3000</v>
      </c>
      <c r="M821" t="s">
        <v>1548</v>
      </c>
      <c r="N821" t="s">
        <v>1548</v>
      </c>
      <c r="O821" t="s">
        <v>1548</v>
      </c>
      <c r="P821" s="36" t="s">
        <v>6448</v>
      </c>
    </row>
    <row r="822" spans="1:16" ht="409.5" x14ac:dyDescent="0.25">
      <c r="A822" t="s">
        <v>7384</v>
      </c>
      <c r="B822" t="s">
        <v>7382</v>
      </c>
      <c r="C822" t="s">
        <v>6446</v>
      </c>
      <c r="D822" t="s">
        <v>1027</v>
      </c>
      <c r="G822" t="b">
        <v>0</v>
      </c>
      <c r="H822" t="b">
        <v>0</v>
      </c>
      <c r="I822" t="s">
        <v>1051</v>
      </c>
      <c r="J822">
        <v>78</v>
      </c>
      <c r="K822" t="s">
        <v>0</v>
      </c>
      <c r="L822" t="s">
        <v>3000</v>
      </c>
      <c r="M822" t="s">
        <v>1548</v>
      </c>
      <c r="N822" t="s">
        <v>1548</v>
      </c>
      <c r="O822" t="s">
        <v>1548</v>
      </c>
      <c r="P822" s="36" t="s">
        <v>6448</v>
      </c>
    </row>
    <row r="823" spans="1:16" ht="409.5" x14ac:dyDescent="0.25">
      <c r="A823" t="s">
        <v>7385</v>
      </c>
      <c r="B823" t="s">
        <v>7382</v>
      </c>
      <c r="C823" t="s">
        <v>6446</v>
      </c>
      <c r="D823" t="s">
        <v>1027</v>
      </c>
      <c r="G823" t="b">
        <v>0</v>
      </c>
      <c r="H823" t="b">
        <v>0</v>
      </c>
      <c r="I823" t="s">
        <v>1051</v>
      </c>
      <c r="J823">
        <v>78</v>
      </c>
      <c r="K823" t="s">
        <v>0</v>
      </c>
      <c r="L823" t="s">
        <v>3000</v>
      </c>
      <c r="M823" t="s">
        <v>1548</v>
      </c>
      <c r="N823" t="s">
        <v>1548</v>
      </c>
      <c r="O823" t="s">
        <v>1548</v>
      </c>
      <c r="P823" s="36" t="s">
        <v>6448</v>
      </c>
    </row>
    <row r="824" spans="1:16" ht="409.5" x14ac:dyDescent="0.25">
      <c r="A824" t="s">
        <v>7386</v>
      </c>
      <c r="B824" t="s">
        <v>7382</v>
      </c>
      <c r="C824" t="s">
        <v>6446</v>
      </c>
      <c r="D824" t="s">
        <v>1027</v>
      </c>
      <c r="G824" t="b">
        <v>0</v>
      </c>
      <c r="H824" t="b">
        <v>0</v>
      </c>
      <c r="I824" t="s">
        <v>1051</v>
      </c>
      <c r="J824">
        <v>78</v>
      </c>
      <c r="K824" t="s">
        <v>0</v>
      </c>
      <c r="L824" t="s">
        <v>3000</v>
      </c>
      <c r="M824" t="s">
        <v>1548</v>
      </c>
      <c r="N824" t="s">
        <v>1548</v>
      </c>
      <c r="O824" t="s">
        <v>1548</v>
      </c>
      <c r="P824" s="36" t="s">
        <v>6448</v>
      </c>
    </row>
    <row r="825" spans="1:16" ht="409.5" x14ac:dyDescent="0.25">
      <c r="A825" t="s">
        <v>7387</v>
      </c>
      <c r="B825" t="s">
        <v>7382</v>
      </c>
      <c r="C825" t="s">
        <v>6446</v>
      </c>
      <c r="D825" t="s">
        <v>1027</v>
      </c>
      <c r="G825" t="b">
        <v>0</v>
      </c>
      <c r="H825" t="b">
        <v>0</v>
      </c>
      <c r="I825" t="s">
        <v>1051</v>
      </c>
      <c r="J825">
        <v>78</v>
      </c>
      <c r="K825" t="s">
        <v>0</v>
      </c>
      <c r="L825" t="s">
        <v>3000</v>
      </c>
      <c r="M825" t="s">
        <v>1548</v>
      </c>
      <c r="N825" t="s">
        <v>1548</v>
      </c>
      <c r="O825" t="s">
        <v>1548</v>
      </c>
      <c r="P825" s="36" t="s">
        <v>6448</v>
      </c>
    </row>
    <row r="826" spans="1:16" ht="409.5" x14ac:dyDescent="0.25">
      <c r="A826" t="s">
        <v>7388</v>
      </c>
      <c r="B826" t="s">
        <v>7382</v>
      </c>
      <c r="C826" t="s">
        <v>6446</v>
      </c>
      <c r="D826" t="s">
        <v>1027</v>
      </c>
      <c r="G826" t="b">
        <v>0</v>
      </c>
      <c r="H826" t="b">
        <v>0</v>
      </c>
      <c r="I826" t="s">
        <v>1051</v>
      </c>
      <c r="J826">
        <v>78</v>
      </c>
      <c r="K826" t="s">
        <v>0</v>
      </c>
      <c r="L826" t="s">
        <v>3000</v>
      </c>
      <c r="M826" t="s">
        <v>1548</v>
      </c>
      <c r="N826" t="s">
        <v>1548</v>
      </c>
      <c r="O826" t="s">
        <v>1548</v>
      </c>
      <c r="P826" s="36" t="s">
        <v>6448</v>
      </c>
    </row>
    <row r="827" spans="1:16" ht="409.5" x14ac:dyDescent="0.25">
      <c r="A827" t="s">
        <v>7389</v>
      </c>
      <c r="B827" t="s">
        <v>7382</v>
      </c>
      <c r="C827" t="s">
        <v>6446</v>
      </c>
      <c r="D827" t="s">
        <v>1027</v>
      </c>
      <c r="G827" t="b">
        <v>0</v>
      </c>
      <c r="H827" t="b">
        <v>0</v>
      </c>
      <c r="I827" t="s">
        <v>1051</v>
      </c>
      <c r="J827">
        <v>78</v>
      </c>
      <c r="K827" t="s">
        <v>0</v>
      </c>
      <c r="L827" t="s">
        <v>3000</v>
      </c>
      <c r="M827" t="s">
        <v>1548</v>
      </c>
      <c r="N827" t="s">
        <v>1548</v>
      </c>
      <c r="O827" t="s">
        <v>1548</v>
      </c>
      <c r="P827" s="36" t="s">
        <v>6448</v>
      </c>
    </row>
    <row r="828" spans="1:16" ht="409.5" x14ac:dyDescent="0.25">
      <c r="A828" t="s">
        <v>7390</v>
      </c>
      <c r="B828" t="s">
        <v>7391</v>
      </c>
      <c r="C828" t="s">
        <v>6446</v>
      </c>
      <c r="D828" t="s">
        <v>1027</v>
      </c>
      <c r="E828">
        <v>1402</v>
      </c>
      <c r="F828" t="s">
        <v>6447</v>
      </c>
      <c r="G828" t="b">
        <v>0</v>
      </c>
      <c r="H828" t="b">
        <v>0</v>
      </c>
      <c r="I828" t="s">
        <v>1051</v>
      </c>
      <c r="J828">
        <v>78</v>
      </c>
      <c r="K828" t="s">
        <v>0</v>
      </c>
      <c r="L828" t="s">
        <v>3000</v>
      </c>
      <c r="M828" t="s">
        <v>1548</v>
      </c>
      <c r="N828" t="s">
        <v>1548</v>
      </c>
      <c r="O828" t="s">
        <v>1548</v>
      </c>
      <c r="P828" s="36" t="s">
        <v>6448</v>
      </c>
    </row>
    <row r="829" spans="1:16" ht="409.5" x14ac:dyDescent="0.25">
      <c r="A829" t="s">
        <v>7392</v>
      </c>
      <c r="B829" t="s">
        <v>7391</v>
      </c>
      <c r="C829" t="s">
        <v>6446</v>
      </c>
      <c r="D829" t="s">
        <v>1027</v>
      </c>
      <c r="E829">
        <v>1402</v>
      </c>
      <c r="F829" t="s">
        <v>6447</v>
      </c>
      <c r="G829" t="b">
        <v>0</v>
      </c>
      <c r="H829" t="b">
        <v>0</v>
      </c>
      <c r="I829" t="s">
        <v>1051</v>
      </c>
      <c r="J829">
        <v>78</v>
      </c>
      <c r="K829" t="s">
        <v>0</v>
      </c>
      <c r="L829" t="s">
        <v>3000</v>
      </c>
      <c r="M829" t="s">
        <v>1548</v>
      </c>
      <c r="N829" t="s">
        <v>1548</v>
      </c>
      <c r="O829" t="s">
        <v>1548</v>
      </c>
      <c r="P829" s="36" t="s">
        <v>6448</v>
      </c>
    </row>
    <row r="830" spans="1:16" ht="390" x14ac:dyDescent="0.25">
      <c r="A830" t="s">
        <v>7393</v>
      </c>
      <c r="B830" t="s">
        <v>7394</v>
      </c>
      <c r="C830" t="s">
        <v>7395</v>
      </c>
      <c r="D830" t="s">
        <v>1027</v>
      </c>
      <c r="E830">
        <v>1679</v>
      </c>
      <c r="F830" t="s">
        <v>7396</v>
      </c>
      <c r="G830" t="b">
        <v>0</v>
      </c>
      <c r="H830" t="b">
        <v>0</v>
      </c>
      <c r="I830" t="s">
        <v>1051</v>
      </c>
      <c r="J830">
        <v>78</v>
      </c>
      <c r="K830" t="s">
        <v>0</v>
      </c>
      <c r="L830" t="s">
        <v>3000</v>
      </c>
      <c r="M830" t="s">
        <v>1548</v>
      </c>
      <c r="N830" t="s">
        <v>1548</v>
      </c>
      <c r="O830" t="s">
        <v>3922</v>
      </c>
      <c r="P830" s="36" t="s">
        <v>7397</v>
      </c>
    </row>
    <row r="831" spans="1:16" ht="390" x14ac:dyDescent="0.25">
      <c r="A831" t="s">
        <v>7398</v>
      </c>
      <c r="B831" t="s">
        <v>7394</v>
      </c>
      <c r="C831" t="s">
        <v>7395</v>
      </c>
      <c r="D831" t="s">
        <v>1027</v>
      </c>
      <c r="E831">
        <v>1679</v>
      </c>
      <c r="F831" t="s">
        <v>7396</v>
      </c>
      <c r="G831" t="b">
        <v>0</v>
      </c>
      <c r="H831" t="b">
        <v>0</v>
      </c>
      <c r="I831" t="s">
        <v>1051</v>
      </c>
      <c r="J831">
        <v>78</v>
      </c>
      <c r="K831" t="s">
        <v>0</v>
      </c>
      <c r="L831" t="s">
        <v>3000</v>
      </c>
      <c r="M831" t="s">
        <v>1548</v>
      </c>
      <c r="N831" t="s">
        <v>1548</v>
      </c>
      <c r="O831" t="s">
        <v>3922</v>
      </c>
      <c r="P831" s="36" t="s">
        <v>7397</v>
      </c>
    </row>
    <row r="832" spans="1:16" x14ac:dyDescent="0.25">
      <c r="A832" t="s">
        <v>7399</v>
      </c>
      <c r="B832" t="s">
        <v>7400</v>
      </c>
      <c r="C832" t="s">
        <v>1335</v>
      </c>
      <c r="D832" t="s">
        <v>1027</v>
      </c>
      <c r="E832">
        <v>1459</v>
      </c>
      <c r="F832" t="s">
        <v>1336</v>
      </c>
      <c r="G832" t="b">
        <v>0</v>
      </c>
      <c r="H832" t="b">
        <v>0</v>
      </c>
      <c r="I832" t="s">
        <v>1051</v>
      </c>
      <c r="J832">
        <v>78</v>
      </c>
      <c r="K832" t="s">
        <v>2</v>
      </c>
      <c r="L832" t="s">
        <v>1549</v>
      </c>
      <c r="M832" t="s">
        <v>3922</v>
      </c>
      <c r="N832" t="s">
        <v>3922</v>
      </c>
      <c r="O832" t="s">
        <v>3922</v>
      </c>
      <c r="P832" t="s">
        <v>1682</v>
      </c>
    </row>
    <row r="833" spans="1:16" x14ac:dyDescent="0.25">
      <c r="A833" t="s">
        <v>7401</v>
      </c>
      <c r="B833" t="s">
        <v>7400</v>
      </c>
      <c r="C833" t="s">
        <v>1335</v>
      </c>
      <c r="D833" t="s">
        <v>1027</v>
      </c>
      <c r="E833">
        <v>1459</v>
      </c>
      <c r="F833" t="s">
        <v>1336</v>
      </c>
      <c r="G833" t="b">
        <v>0</v>
      </c>
      <c r="H833" t="b">
        <v>0</v>
      </c>
      <c r="I833" t="s">
        <v>1051</v>
      </c>
      <c r="J833">
        <v>78</v>
      </c>
      <c r="K833" t="s">
        <v>2</v>
      </c>
      <c r="L833" t="s">
        <v>1549</v>
      </c>
      <c r="M833" t="s">
        <v>3922</v>
      </c>
      <c r="N833" t="s">
        <v>3922</v>
      </c>
      <c r="O833" t="s">
        <v>3922</v>
      </c>
      <c r="P833" t="s">
        <v>1682</v>
      </c>
    </row>
    <row r="834" spans="1:16" x14ac:dyDescent="0.25">
      <c r="A834" t="s">
        <v>7402</v>
      </c>
      <c r="B834" t="s">
        <v>7400</v>
      </c>
      <c r="C834" t="s">
        <v>1335</v>
      </c>
      <c r="D834" t="s">
        <v>1027</v>
      </c>
      <c r="E834">
        <v>1459</v>
      </c>
      <c r="F834" t="s">
        <v>1336</v>
      </c>
      <c r="G834" t="b">
        <v>0</v>
      </c>
      <c r="H834" t="b">
        <v>0</v>
      </c>
      <c r="I834" t="s">
        <v>1051</v>
      </c>
      <c r="J834">
        <v>78</v>
      </c>
      <c r="K834" t="s">
        <v>2</v>
      </c>
      <c r="L834" t="s">
        <v>1549</v>
      </c>
      <c r="M834" t="s">
        <v>3922</v>
      </c>
      <c r="N834" t="s">
        <v>3922</v>
      </c>
      <c r="O834" t="s">
        <v>3922</v>
      </c>
      <c r="P834" t="s">
        <v>1682</v>
      </c>
    </row>
    <row r="835" spans="1:16" x14ac:dyDescent="0.25">
      <c r="A835" t="s">
        <v>7403</v>
      </c>
      <c r="B835" t="s">
        <v>7400</v>
      </c>
      <c r="C835" t="s">
        <v>1335</v>
      </c>
      <c r="D835" t="s">
        <v>1027</v>
      </c>
      <c r="E835">
        <v>1459</v>
      </c>
      <c r="F835" t="s">
        <v>1336</v>
      </c>
      <c r="G835" t="b">
        <v>0</v>
      </c>
      <c r="H835" t="b">
        <v>0</v>
      </c>
      <c r="I835" t="s">
        <v>1051</v>
      </c>
      <c r="J835">
        <v>78</v>
      </c>
      <c r="K835" t="s">
        <v>2</v>
      </c>
      <c r="L835" t="s">
        <v>1549</v>
      </c>
      <c r="M835" t="s">
        <v>3922</v>
      </c>
      <c r="N835" t="s">
        <v>3922</v>
      </c>
      <c r="O835" t="s">
        <v>3922</v>
      </c>
      <c r="P835" t="s">
        <v>1682</v>
      </c>
    </row>
    <row r="836" spans="1:16" x14ac:dyDescent="0.25">
      <c r="A836" t="s">
        <v>7404</v>
      </c>
      <c r="B836" t="s">
        <v>7400</v>
      </c>
      <c r="C836" t="s">
        <v>1335</v>
      </c>
      <c r="D836" t="s">
        <v>1027</v>
      </c>
      <c r="E836">
        <v>1459</v>
      </c>
      <c r="F836" t="s">
        <v>1336</v>
      </c>
      <c r="G836" t="b">
        <v>0</v>
      </c>
      <c r="H836" t="b">
        <v>0</v>
      </c>
      <c r="I836" t="s">
        <v>1051</v>
      </c>
      <c r="J836">
        <v>78</v>
      </c>
      <c r="K836" t="s">
        <v>2</v>
      </c>
      <c r="L836" t="s">
        <v>1549</v>
      </c>
      <c r="M836" t="s">
        <v>3922</v>
      </c>
      <c r="N836" t="s">
        <v>3922</v>
      </c>
      <c r="O836" t="s">
        <v>3922</v>
      </c>
      <c r="P836" t="s">
        <v>1682</v>
      </c>
    </row>
    <row r="837" spans="1:16" ht="409.5" x14ac:dyDescent="0.25">
      <c r="A837" t="s">
        <v>7405</v>
      </c>
      <c r="B837" t="s">
        <v>7360</v>
      </c>
      <c r="C837" t="s">
        <v>6503</v>
      </c>
      <c r="D837" t="s">
        <v>1075</v>
      </c>
      <c r="E837">
        <v>1488</v>
      </c>
      <c r="F837" t="s">
        <v>6504</v>
      </c>
      <c r="G837" t="b">
        <v>0</v>
      </c>
      <c r="H837" t="b">
        <v>0</v>
      </c>
      <c r="I837" t="s">
        <v>1051</v>
      </c>
      <c r="J837">
        <v>78</v>
      </c>
      <c r="K837" t="s">
        <v>0</v>
      </c>
      <c r="L837" t="s">
        <v>3000</v>
      </c>
      <c r="M837" t="s">
        <v>1548</v>
      </c>
      <c r="N837" t="s">
        <v>1548</v>
      </c>
      <c r="O837" t="s">
        <v>1548</v>
      </c>
      <c r="P837" s="36" t="s">
        <v>6505</v>
      </c>
    </row>
    <row r="838" spans="1:16" ht="409.5" x14ac:dyDescent="0.25">
      <c r="A838" t="s">
        <v>7406</v>
      </c>
      <c r="B838" t="s">
        <v>7407</v>
      </c>
      <c r="C838" t="s">
        <v>6473</v>
      </c>
      <c r="D838" t="s">
        <v>1027</v>
      </c>
      <c r="E838">
        <v>33419</v>
      </c>
      <c r="F838" t="s">
        <v>6474</v>
      </c>
      <c r="G838" t="b">
        <v>0</v>
      </c>
      <c r="H838" t="b">
        <v>0</v>
      </c>
      <c r="I838" t="s">
        <v>1051</v>
      </c>
      <c r="J838">
        <v>78</v>
      </c>
      <c r="K838" t="s">
        <v>0</v>
      </c>
      <c r="L838" t="s">
        <v>3000</v>
      </c>
      <c r="M838" t="s">
        <v>1548</v>
      </c>
      <c r="N838" t="s">
        <v>1548</v>
      </c>
      <c r="O838" t="s">
        <v>1548</v>
      </c>
      <c r="P838" s="36" t="s">
        <v>6448</v>
      </c>
    </row>
    <row r="839" spans="1:16" ht="409.5" x14ac:dyDescent="0.25">
      <c r="A839" t="s">
        <v>7408</v>
      </c>
      <c r="B839" t="s">
        <v>7407</v>
      </c>
      <c r="C839" t="s">
        <v>6473</v>
      </c>
      <c r="D839" t="s">
        <v>1027</v>
      </c>
      <c r="E839">
        <v>33419</v>
      </c>
      <c r="F839" t="s">
        <v>6474</v>
      </c>
      <c r="G839" t="b">
        <v>0</v>
      </c>
      <c r="H839" t="b">
        <v>0</v>
      </c>
      <c r="I839" t="s">
        <v>1051</v>
      </c>
      <c r="J839">
        <v>78</v>
      </c>
      <c r="K839" t="s">
        <v>0</v>
      </c>
      <c r="L839" t="s">
        <v>3000</v>
      </c>
      <c r="M839" t="s">
        <v>1548</v>
      </c>
      <c r="N839" t="s">
        <v>1548</v>
      </c>
      <c r="O839" t="s">
        <v>1548</v>
      </c>
      <c r="P839" s="36" t="s">
        <v>6448</v>
      </c>
    </row>
    <row r="840" spans="1:16" ht="409.5" x14ac:dyDescent="0.25">
      <c r="A840" t="s">
        <v>7409</v>
      </c>
      <c r="B840" t="s">
        <v>7407</v>
      </c>
      <c r="C840" t="s">
        <v>6473</v>
      </c>
      <c r="D840" t="s">
        <v>1027</v>
      </c>
      <c r="E840">
        <v>33419</v>
      </c>
      <c r="F840" t="s">
        <v>6474</v>
      </c>
      <c r="G840" t="b">
        <v>0</v>
      </c>
      <c r="H840" t="b">
        <v>0</v>
      </c>
      <c r="I840" t="s">
        <v>1051</v>
      </c>
      <c r="J840">
        <v>78</v>
      </c>
      <c r="K840" t="s">
        <v>0</v>
      </c>
      <c r="L840" t="s">
        <v>3000</v>
      </c>
      <c r="M840" t="s">
        <v>1548</v>
      </c>
      <c r="N840" t="s">
        <v>1548</v>
      </c>
      <c r="O840" t="s">
        <v>1548</v>
      </c>
      <c r="P840" s="36" t="s">
        <v>6448</v>
      </c>
    </row>
    <row r="841" spans="1:16" ht="409.5" x14ac:dyDescent="0.25">
      <c r="A841" t="s">
        <v>7410</v>
      </c>
      <c r="B841" t="s">
        <v>7407</v>
      </c>
      <c r="C841" t="s">
        <v>6473</v>
      </c>
      <c r="D841" t="s">
        <v>1027</v>
      </c>
      <c r="E841">
        <v>33419</v>
      </c>
      <c r="F841" t="s">
        <v>6474</v>
      </c>
      <c r="G841" t="b">
        <v>0</v>
      </c>
      <c r="H841" t="b">
        <v>0</v>
      </c>
      <c r="I841" t="s">
        <v>1051</v>
      </c>
      <c r="J841">
        <v>78</v>
      </c>
      <c r="K841" t="s">
        <v>0</v>
      </c>
      <c r="L841" t="s">
        <v>3000</v>
      </c>
      <c r="M841" t="s">
        <v>1548</v>
      </c>
      <c r="N841" t="s">
        <v>1548</v>
      </c>
      <c r="O841" t="s">
        <v>1548</v>
      </c>
      <c r="P841" s="36" t="s">
        <v>6448</v>
      </c>
    </row>
    <row r="842" spans="1:16" ht="409.5" x14ac:dyDescent="0.25">
      <c r="A842" t="s">
        <v>7411</v>
      </c>
      <c r="B842" t="s">
        <v>7412</v>
      </c>
      <c r="C842" t="s">
        <v>6473</v>
      </c>
      <c r="D842" t="s">
        <v>1027</v>
      </c>
      <c r="E842">
        <v>33419</v>
      </c>
      <c r="F842" t="s">
        <v>6474</v>
      </c>
      <c r="G842" t="b">
        <v>0</v>
      </c>
      <c r="H842" t="b">
        <v>0</v>
      </c>
      <c r="I842" t="s">
        <v>1051</v>
      </c>
      <c r="J842">
        <v>78</v>
      </c>
      <c r="K842" t="s">
        <v>0</v>
      </c>
      <c r="L842" t="s">
        <v>3000</v>
      </c>
      <c r="M842" t="s">
        <v>1548</v>
      </c>
      <c r="N842" t="s">
        <v>1548</v>
      </c>
      <c r="O842" t="s">
        <v>1548</v>
      </c>
      <c r="P842" s="36" t="s">
        <v>6448</v>
      </c>
    </row>
    <row r="843" spans="1:16" ht="409.5" x14ac:dyDescent="0.25">
      <c r="A843" t="s">
        <v>7413</v>
      </c>
      <c r="B843" t="s">
        <v>7412</v>
      </c>
      <c r="C843" t="s">
        <v>6473</v>
      </c>
      <c r="D843" t="s">
        <v>1027</v>
      </c>
      <c r="E843">
        <v>33419</v>
      </c>
      <c r="F843" t="s">
        <v>6474</v>
      </c>
      <c r="G843" t="b">
        <v>0</v>
      </c>
      <c r="H843" t="b">
        <v>0</v>
      </c>
      <c r="I843" t="s">
        <v>1051</v>
      </c>
      <c r="J843">
        <v>78</v>
      </c>
      <c r="K843" t="s">
        <v>0</v>
      </c>
      <c r="L843" t="s">
        <v>3000</v>
      </c>
      <c r="M843" t="s">
        <v>1548</v>
      </c>
      <c r="N843" t="s">
        <v>1548</v>
      </c>
      <c r="O843" t="s">
        <v>1548</v>
      </c>
      <c r="P843" s="36" t="s">
        <v>6448</v>
      </c>
    </row>
    <row r="844" spans="1:16" ht="409.5" x14ac:dyDescent="0.25">
      <c r="A844" t="s">
        <v>7414</v>
      </c>
      <c r="B844" t="s">
        <v>7412</v>
      </c>
      <c r="C844" t="s">
        <v>6473</v>
      </c>
      <c r="D844" t="s">
        <v>1027</v>
      </c>
      <c r="E844">
        <v>33419</v>
      </c>
      <c r="F844" t="s">
        <v>6474</v>
      </c>
      <c r="G844" t="b">
        <v>0</v>
      </c>
      <c r="H844" t="b">
        <v>0</v>
      </c>
      <c r="I844" t="s">
        <v>1051</v>
      </c>
      <c r="J844">
        <v>78</v>
      </c>
      <c r="K844" t="s">
        <v>0</v>
      </c>
      <c r="L844" t="s">
        <v>3000</v>
      </c>
      <c r="M844" t="s">
        <v>1548</v>
      </c>
      <c r="N844" t="s">
        <v>1548</v>
      </c>
      <c r="O844" t="s">
        <v>1548</v>
      </c>
      <c r="P844" s="36" t="s">
        <v>6448</v>
      </c>
    </row>
    <row r="845" spans="1:16" ht="409.5" x14ac:dyDescent="0.25">
      <c r="A845" t="s">
        <v>7415</v>
      </c>
      <c r="B845" t="s">
        <v>7412</v>
      </c>
      <c r="C845" t="s">
        <v>6473</v>
      </c>
      <c r="D845" t="s">
        <v>1027</v>
      </c>
      <c r="E845">
        <v>33419</v>
      </c>
      <c r="F845" t="s">
        <v>6474</v>
      </c>
      <c r="G845" t="b">
        <v>0</v>
      </c>
      <c r="H845" t="b">
        <v>0</v>
      </c>
      <c r="I845" t="s">
        <v>1051</v>
      </c>
      <c r="J845">
        <v>78</v>
      </c>
      <c r="K845" t="s">
        <v>0</v>
      </c>
      <c r="L845" t="s">
        <v>3000</v>
      </c>
      <c r="M845" t="s">
        <v>1548</v>
      </c>
      <c r="N845" t="s">
        <v>1548</v>
      </c>
      <c r="O845" t="s">
        <v>1548</v>
      </c>
      <c r="P845" s="36" t="s">
        <v>6448</v>
      </c>
    </row>
    <row r="846" spans="1:16" ht="409.5" x14ac:dyDescent="0.25">
      <c r="A846" t="s">
        <v>7416</v>
      </c>
      <c r="B846" t="s">
        <v>7412</v>
      </c>
      <c r="C846" t="s">
        <v>6473</v>
      </c>
      <c r="D846" t="s">
        <v>1027</v>
      </c>
      <c r="E846">
        <v>33419</v>
      </c>
      <c r="F846" t="s">
        <v>6474</v>
      </c>
      <c r="G846" t="b">
        <v>0</v>
      </c>
      <c r="H846" t="b">
        <v>0</v>
      </c>
      <c r="I846" t="s">
        <v>1051</v>
      </c>
      <c r="J846">
        <v>78</v>
      </c>
      <c r="K846" t="s">
        <v>0</v>
      </c>
      <c r="L846" t="s">
        <v>3000</v>
      </c>
      <c r="M846" t="s">
        <v>1548</v>
      </c>
      <c r="N846" t="s">
        <v>1548</v>
      </c>
      <c r="O846" t="s">
        <v>1548</v>
      </c>
      <c r="P846" s="36" t="s">
        <v>6448</v>
      </c>
    </row>
    <row r="847" spans="1:16" ht="409.5" x14ac:dyDescent="0.25">
      <c r="A847" t="s">
        <v>7417</v>
      </c>
      <c r="B847" t="s">
        <v>7412</v>
      </c>
      <c r="C847" t="s">
        <v>6473</v>
      </c>
      <c r="D847" t="s">
        <v>1027</v>
      </c>
      <c r="E847">
        <v>33419</v>
      </c>
      <c r="F847" t="s">
        <v>6474</v>
      </c>
      <c r="G847" t="b">
        <v>0</v>
      </c>
      <c r="H847" t="b">
        <v>0</v>
      </c>
      <c r="I847" t="s">
        <v>1051</v>
      </c>
      <c r="J847">
        <v>78</v>
      </c>
      <c r="K847" t="s">
        <v>0</v>
      </c>
      <c r="L847" t="s">
        <v>3000</v>
      </c>
      <c r="M847" t="s">
        <v>1548</v>
      </c>
      <c r="N847" t="s">
        <v>1548</v>
      </c>
      <c r="O847" t="s">
        <v>1548</v>
      </c>
      <c r="P847" s="36" t="s">
        <v>6448</v>
      </c>
    </row>
    <row r="848" spans="1:16" ht="409.5" x14ac:dyDescent="0.25">
      <c r="A848" t="s">
        <v>7418</v>
      </c>
      <c r="B848" t="s">
        <v>7412</v>
      </c>
      <c r="C848" t="s">
        <v>6473</v>
      </c>
      <c r="D848" t="s">
        <v>1027</v>
      </c>
      <c r="E848">
        <v>33419</v>
      </c>
      <c r="F848" t="s">
        <v>6474</v>
      </c>
      <c r="G848" t="b">
        <v>0</v>
      </c>
      <c r="H848" t="b">
        <v>0</v>
      </c>
      <c r="I848" t="s">
        <v>1051</v>
      </c>
      <c r="J848">
        <v>78</v>
      </c>
      <c r="K848" t="s">
        <v>0</v>
      </c>
      <c r="L848" t="s">
        <v>3000</v>
      </c>
      <c r="M848" t="s">
        <v>1548</v>
      </c>
      <c r="N848" t="s">
        <v>1548</v>
      </c>
      <c r="O848" t="s">
        <v>1548</v>
      </c>
      <c r="P848" s="36" t="s">
        <v>6448</v>
      </c>
    </row>
    <row r="849" spans="1:16" ht="409.5" x14ac:dyDescent="0.25">
      <c r="A849" t="s">
        <v>7419</v>
      </c>
      <c r="B849" t="s">
        <v>7412</v>
      </c>
      <c r="C849" t="s">
        <v>6473</v>
      </c>
      <c r="D849" t="s">
        <v>1027</v>
      </c>
      <c r="E849">
        <v>33419</v>
      </c>
      <c r="F849" t="s">
        <v>6474</v>
      </c>
      <c r="G849" t="b">
        <v>0</v>
      </c>
      <c r="H849" t="b">
        <v>0</v>
      </c>
      <c r="I849" t="s">
        <v>1051</v>
      </c>
      <c r="J849">
        <v>78</v>
      </c>
      <c r="K849" t="s">
        <v>0</v>
      </c>
      <c r="L849" t="s">
        <v>3000</v>
      </c>
      <c r="M849" t="s">
        <v>1548</v>
      </c>
      <c r="N849" t="s">
        <v>1548</v>
      </c>
      <c r="O849" t="s">
        <v>1548</v>
      </c>
      <c r="P849" s="36" t="s">
        <v>6448</v>
      </c>
    </row>
    <row r="850" spans="1:16" ht="409.5" x14ac:dyDescent="0.25">
      <c r="A850" t="s">
        <v>7420</v>
      </c>
      <c r="B850" t="s">
        <v>7412</v>
      </c>
      <c r="C850" t="s">
        <v>6473</v>
      </c>
      <c r="D850" t="s">
        <v>1027</v>
      </c>
      <c r="E850">
        <v>33419</v>
      </c>
      <c r="F850" t="s">
        <v>6474</v>
      </c>
      <c r="G850" t="b">
        <v>0</v>
      </c>
      <c r="H850" t="b">
        <v>0</v>
      </c>
      <c r="I850" t="s">
        <v>1051</v>
      </c>
      <c r="J850">
        <v>78</v>
      </c>
      <c r="K850" t="s">
        <v>0</v>
      </c>
      <c r="L850" t="s">
        <v>3000</v>
      </c>
      <c r="M850" t="s">
        <v>1548</v>
      </c>
      <c r="N850" t="s">
        <v>1548</v>
      </c>
      <c r="O850" t="s">
        <v>1548</v>
      </c>
      <c r="P850" s="36" t="s">
        <v>6448</v>
      </c>
    </row>
    <row r="851" spans="1:16" ht="409.5" x14ac:dyDescent="0.25">
      <c r="A851" t="s">
        <v>7421</v>
      </c>
      <c r="B851" t="s">
        <v>7412</v>
      </c>
      <c r="C851" t="s">
        <v>6473</v>
      </c>
      <c r="D851" t="s">
        <v>1027</v>
      </c>
      <c r="E851">
        <v>33419</v>
      </c>
      <c r="F851" t="s">
        <v>6474</v>
      </c>
      <c r="G851" t="b">
        <v>0</v>
      </c>
      <c r="H851" t="b">
        <v>0</v>
      </c>
      <c r="I851" t="s">
        <v>1051</v>
      </c>
      <c r="J851">
        <v>78</v>
      </c>
      <c r="K851" t="s">
        <v>0</v>
      </c>
      <c r="L851" t="s">
        <v>3000</v>
      </c>
      <c r="M851" t="s">
        <v>1548</v>
      </c>
      <c r="N851" t="s">
        <v>1548</v>
      </c>
      <c r="O851" t="s">
        <v>1548</v>
      </c>
      <c r="P851" s="36" t="s">
        <v>6448</v>
      </c>
    </row>
    <row r="852" spans="1:16" ht="409.5" x14ac:dyDescent="0.25">
      <c r="A852" t="s">
        <v>7422</v>
      </c>
      <c r="B852" t="s">
        <v>7412</v>
      </c>
      <c r="C852" t="s">
        <v>6473</v>
      </c>
      <c r="D852" t="s">
        <v>1027</v>
      </c>
      <c r="E852">
        <v>33419</v>
      </c>
      <c r="F852" t="s">
        <v>6474</v>
      </c>
      <c r="G852" t="b">
        <v>0</v>
      </c>
      <c r="H852" t="b">
        <v>0</v>
      </c>
      <c r="I852" t="s">
        <v>1051</v>
      </c>
      <c r="J852">
        <v>78</v>
      </c>
      <c r="K852" t="s">
        <v>0</v>
      </c>
      <c r="L852" t="s">
        <v>3000</v>
      </c>
      <c r="M852" t="s">
        <v>1548</v>
      </c>
      <c r="N852" t="s">
        <v>1548</v>
      </c>
      <c r="O852" t="s">
        <v>1548</v>
      </c>
      <c r="P852" s="36" t="s">
        <v>6448</v>
      </c>
    </row>
    <row r="853" spans="1:16" ht="409.5" x14ac:dyDescent="0.25">
      <c r="A853" t="s">
        <v>7423</v>
      </c>
      <c r="B853" t="s">
        <v>7412</v>
      </c>
      <c r="C853" t="s">
        <v>6473</v>
      </c>
      <c r="D853" t="s">
        <v>1027</v>
      </c>
      <c r="E853">
        <v>33419</v>
      </c>
      <c r="F853" t="s">
        <v>6474</v>
      </c>
      <c r="G853" t="b">
        <v>0</v>
      </c>
      <c r="H853" t="b">
        <v>0</v>
      </c>
      <c r="I853" t="s">
        <v>1051</v>
      </c>
      <c r="J853">
        <v>78</v>
      </c>
      <c r="K853" t="s">
        <v>0</v>
      </c>
      <c r="L853" t="s">
        <v>3000</v>
      </c>
      <c r="M853" t="s">
        <v>1548</v>
      </c>
      <c r="N853" t="s">
        <v>1548</v>
      </c>
      <c r="O853" t="s">
        <v>1548</v>
      </c>
      <c r="P853" s="36" t="s">
        <v>6448</v>
      </c>
    </row>
    <row r="854" spans="1:16" ht="409.5" x14ac:dyDescent="0.25">
      <c r="A854" t="s">
        <v>7424</v>
      </c>
      <c r="B854" t="s">
        <v>7412</v>
      </c>
      <c r="C854" t="s">
        <v>6473</v>
      </c>
      <c r="D854" t="s">
        <v>1027</v>
      </c>
      <c r="E854">
        <v>33419</v>
      </c>
      <c r="F854" t="s">
        <v>6474</v>
      </c>
      <c r="G854" t="b">
        <v>0</v>
      </c>
      <c r="H854" t="b">
        <v>0</v>
      </c>
      <c r="I854" t="s">
        <v>1051</v>
      </c>
      <c r="J854">
        <v>78</v>
      </c>
      <c r="K854" t="s">
        <v>0</v>
      </c>
      <c r="L854" t="s">
        <v>3000</v>
      </c>
      <c r="M854" t="s">
        <v>1548</v>
      </c>
      <c r="N854" t="s">
        <v>1548</v>
      </c>
      <c r="O854" t="s">
        <v>1548</v>
      </c>
      <c r="P854" s="36" t="s">
        <v>6448</v>
      </c>
    </row>
    <row r="855" spans="1:16" ht="409.5" x14ac:dyDescent="0.25">
      <c r="A855" t="s">
        <v>7425</v>
      </c>
      <c r="B855" t="s">
        <v>7426</v>
      </c>
      <c r="C855" t="s">
        <v>6473</v>
      </c>
      <c r="D855" t="s">
        <v>1027</v>
      </c>
      <c r="E855">
        <v>33419</v>
      </c>
      <c r="F855" t="s">
        <v>6474</v>
      </c>
      <c r="G855" t="b">
        <v>0</v>
      </c>
      <c r="H855" t="b">
        <v>0</v>
      </c>
      <c r="I855" t="s">
        <v>1051</v>
      </c>
      <c r="J855">
        <v>78</v>
      </c>
      <c r="K855" t="s">
        <v>0</v>
      </c>
      <c r="L855" t="s">
        <v>3000</v>
      </c>
      <c r="M855" t="s">
        <v>1548</v>
      </c>
      <c r="N855" t="s">
        <v>1548</v>
      </c>
      <c r="O855" t="s">
        <v>1548</v>
      </c>
      <c r="P855" s="36" t="s">
        <v>6448</v>
      </c>
    </row>
    <row r="856" spans="1:16" ht="409.5" x14ac:dyDescent="0.25">
      <c r="A856" t="s">
        <v>7427</v>
      </c>
      <c r="B856" t="s">
        <v>7428</v>
      </c>
      <c r="C856" t="s">
        <v>6473</v>
      </c>
      <c r="D856" t="s">
        <v>1027</v>
      </c>
      <c r="E856">
        <v>33419</v>
      </c>
      <c r="F856" t="s">
        <v>6474</v>
      </c>
      <c r="G856" t="b">
        <v>0</v>
      </c>
      <c r="H856" t="b">
        <v>0</v>
      </c>
      <c r="I856" t="s">
        <v>1051</v>
      </c>
      <c r="J856">
        <v>78</v>
      </c>
      <c r="K856" t="s">
        <v>0</v>
      </c>
      <c r="L856" t="s">
        <v>3000</v>
      </c>
      <c r="M856" t="s">
        <v>1548</v>
      </c>
      <c r="N856" t="s">
        <v>1548</v>
      </c>
      <c r="O856" t="s">
        <v>1548</v>
      </c>
      <c r="P856" s="36" t="s">
        <v>6448</v>
      </c>
    </row>
    <row r="857" spans="1:16" ht="409.5" x14ac:dyDescent="0.25">
      <c r="A857" t="s">
        <v>7429</v>
      </c>
      <c r="B857" t="s">
        <v>7428</v>
      </c>
      <c r="C857" t="s">
        <v>6473</v>
      </c>
      <c r="D857" t="s">
        <v>1027</v>
      </c>
      <c r="E857">
        <v>33419</v>
      </c>
      <c r="F857" t="s">
        <v>6474</v>
      </c>
      <c r="G857" t="b">
        <v>0</v>
      </c>
      <c r="H857" t="b">
        <v>0</v>
      </c>
      <c r="I857" t="s">
        <v>1051</v>
      </c>
      <c r="J857">
        <v>78</v>
      </c>
      <c r="K857" t="s">
        <v>0</v>
      </c>
      <c r="L857" t="s">
        <v>3000</v>
      </c>
      <c r="M857" t="s">
        <v>1548</v>
      </c>
      <c r="N857" t="s">
        <v>1548</v>
      </c>
      <c r="O857" t="s">
        <v>1548</v>
      </c>
      <c r="P857" s="36" t="s">
        <v>6448</v>
      </c>
    </row>
    <row r="858" spans="1:16" ht="409.5" x14ac:dyDescent="0.25">
      <c r="A858" t="s">
        <v>7430</v>
      </c>
      <c r="B858" t="s">
        <v>7431</v>
      </c>
      <c r="C858" t="s">
        <v>6446</v>
      </c>
      <c r="D858" t="s">
        <v>1027</v>
      </c>
      <c r="E858">
        <v>1402</v>
      </c>
      <c r="F858" t="s">
        <v>6447</v>
      </c>
      <c r="G858" t="b">
        <v>0</v>
      </c>
      <c r="H858" t="b">
        <v>0</v>
      </c>
      <c r="I858" t="s">
        <v>1051</v>
      </c>
      <c r="J858">
        <v>78</v>
      </c>
      <c r="K858" t="s">
        <v>0</v>
      </c>
      <c r="L858" t="s">
        <v>3000</v>
      </c>
      <c r="M858" t="s">
        <v>1548</v>
      </c>
      <c r="N858" t="s">
        <v>1548</v>
      </c>
      <c r="O858" t="s">
        <v>1548</v>
      </c>
      <c r="P858" s="36" t="s">
        <v>6448</v>
      </c>
    </row>
    <row r="859" spans="1:16" ht="409.5" x14ac:dyDescent="0.25">
      <c r="A859" t="s">
        <v>7432</v>
      </c>
      <c r="B859" t="s">
        <v>7431</v>
      </c>
      <c r="C859" t="s">
        <v>6446</v>
      </c>
      <c r="D859" t="s">
        <v>1027</v>
      </c>
      <c r="E859">
        <v>1402</v>
      </c>
      <c r="F859" t="s">
        <v>6447</v>
      </c>
      <c r="G859" t="b">
        <v>0</v>
      </c>
      <c r="H859" t="b">
        <v>0</v>
      </c>
      <c r="I859" t="s">
        <v>1051</v>
      </c>
      <c r="J859">
        <v>78</v>
      </c>
      <c r="K859" t="s">
        <v>0</v>
      </c>
      <c r="L859" t="s">
        <v>3000</v>
      </c>
      <c r="M859" t="s">
        <v>1548</v>
      </c>
      <c r="N859" t="s">
        <v>1548</v>
      </c>
      <c r="O859" t="s">
        <v>1548</v>
      </c>
      <c r="P859" s="36" t="s">
        <v>6448</v>
      </c>
    </row>
    <row r="860" spans="1:16" ht="409.5" x14ac:dyDescent="0.25">
      <c r="A860" t="s">
        <v>7433</v>
      </c>
      <c r="B860" t="s">
        <v>7431</v>
      </c>
      <c r="C860" t="s">
        <v>6446</v>
      </c>
      <c r="D860" t="s">
        <v>1027</v>
      </c>
      <c r="E860">
        <v>1402</v>
      </c>
      <c r="F860" t="s">
        <v>6447</v>
      </c>
      <c r="G860" t="b">
        <v>0</v>
      </c>
      <c r="H860" t="b">
        <v>0</v>
      </c>
      <c r="I860" t="s">
        <v>1051</v>
      </c>
      <c r="J860">
        <v>78</v>
      </c>
      <c r="K860" t="s">
        <v>0</v>
      </c>
      <c r="L860" t="s">
        <v>3000</v>
      </c>
      <c r="M860" t="s">
        <v>1548</v>
      </c>
      <c r="N860" t="s">
        <v>1548</v>
      </c>
      <c r="O860" t="s">
        <v>1548</v>
      </c>
      <c r="P860" s="36" t="s">
        <v>6448</v>
      </c>
    </row>
    <row r="861" spans="1:16" ht="409.5" x14ac:dyDescent="0.25">
      <c r="A861" t="s">
        <v>7434</v>
      </c>
      <c r="B861" t="s">
        <v>7431</v>
      </c>
      <c r="C861" t="s">
        <v>6446</v>
      </c>
      <c r="D861" t="s">
        <v>1027</v>
      </c>
      <c r="E861">
        <v>1402</v>
      </c>
      <c r="F861" t="s">
        <v>6447</v>
      </c>
      <c r="G861" t="b">
        <v>0</v>
      </c>
      <c r="H861" t="b">
        <v>0</v>
      </c>
      <c r="I861" t="s">
        <v>1051</v>
      </c>
      <c r="J861">
        <v>78</v>
      </c>
      <c r="K861" t="s">
        <v>0</v>
      </c>
      <c r="L861" t="s">
        <v>3000</v>
      </c>
      <c r="M861" t="s">
        <v>1548</v>
      </c>
      <c r="N861" t="s">
        <v>1548</v>
      </c>
      <c r="O861" t="s">
        <v>1548</v>
      </c>
      <c r="P861" s="36" t="s">
        <v>6448</v>
      </c>
    </row>
    <row r="862" spans="1:16" ht="409.5" x14ac:dyDescent="0.25">
      <c r="A862" t="s">
        <v>7435</v>
      </c>
      <c r="B862" t="s">
        <v>7431</v>
      </c>
      <c r="C862" t="s">
        <v>6446</v>
      </c>
      <c r="D862" t="s">
        <v>1027</v>
      </c>
      <c r="E862">
        <v>1402</v>
      </c>
      <c r="F862" t="s">
        <v>6447</v>
      </c>
      <c r="G862" t="b">
        <v>0</v>
      </c>
      <c r="H862" t="b">
        <v>0</v>
      </c>
      <c r="I862" t="s">
        <v>1051</v>
      </c>
      <c r="J862">
        <v>78</v>
      </c>
      <c r="K862" t="s">
        <v>0</v>
      </c>
      <c r="L862" t="s">
        <v>3000</v>
      </c>
      <c r="M862" t="s">
        <v>1548</v>
      </c>
      <c r="N862" t="s">
        <v>1548</v>
      </c>
      <c r="O862" t="s">
        <v>1548</v>
      </c>
      <c r="P862" s="36" t="s">
        <v>6448</v>
      </c>
    </row>
    <row r="863" spans="1:16" ht="409.5" x14ac:dyDescent="0.25">
      <c r="A863" t="s">
        <v>7436</v>
      </c>
      <c r="B863" t="s">
        <v>7431</v>
      </c>
      <c r="C863" t="s">
        <v>6446</v>
      </c>
      <c r="D863" t="s">
        <v>1027</v>
      </c>
      <c r="E863">
        <v>1402</v>
      </c>
      <c r="F863" t="s">
        <v>6447</v>
      </c>
      <c r="G863" t="b">
        <v>0</v>
      </c>
      <c r="H863" t="b">
        <v>0</v>
      </c>
      <c r="I863" t="s">
        <v>1051</v>
      </c>
      <c r="J863">
        <v>78</v>
      </c>
      <c r="K863" t="s">
        <v>0</v>
      </c>
      <c r="L863" t="s">
        <v>3000</v>
      </c>
      <c r="M863" t="s">
        <v>1548</v>
      </c>
      <c r="N863" t="s">
        <v>1548</v>
      </c>
      <c r="O863" t="s">
        <v>1548</v>
      </c>
      <c r="P863" s="36" t="s">
        <v>6448</v>
      </c>
    </row>
    <row r="864" spans="1:16" ht="409.5" x14ac:dyDescent="0.25">
      <c r="A864" t="s">
        <v>7437</v>
      </c>
      <c r="B864" t="s">
        <v>7431</v>
      </c>
      <c r="C864" t="s">
        <v>6446</v>
      </c>
      <c r="D864" t="s">
        <v>1027</v>
      </c>
      <c r="E864">
        <v>1402</v>
      </c>
      <c r="F864" t="s">
        <v>6447</v>
      </c>
      <c r="G864" t="b">
        <v>0</v>
      </c>
      <c r="H864" t="b">
        <v>0</v>
      </c>
      <c r="I864" t="s">
        <v>1051</v>
      </c>
      <c r="J864">
        <v>78</v>
      </c>
      <c r="K864" t="s">
        <v>0</v>
      </c>
      <c r="L864" t="s">
        <v>3000</v>
      </c>
      <c r="M864" t="s">
        <v>1548</v>
      </c>
      <c r="N864" t="s">
        <v>1548</v>
      </c>
      <c r="O864" t="s">
        <v>1548</v>
      </c>
      <c r="P864" s="36" t="s">
        <v>6448</v>
      </c>
    </row>
    <row r="865" spans="1:16" ht="409.5" x14ac:dyDescent="0.25">
      <c r="A865" t="s">
        <v>7438</v>
      </c>
      <c r="B865" t="s">
        <v>7431</v>
      </c>
      <c r="C865" t="s">
        <v>6446</v>
      </c>
      <c r="D865" t="s">
        <v>1027</v>
      </c>
      <c r="E865">
        <v>1402</v>
      </c>
      <c r="F865" t="s">
        <v>6447</v>
      </c>
      <c r="G865" t="b">
        <v>0</v>
      </c>
      <c r="H865" t="b">
        <v>0</v>
      </c>
      <c r="I865" t="s">
        <v>1051</v>
      </c>
      <c r="J865">
        <v>78</v>
      </c>
      <c r="K865" t="s">
        <v>0</v>
      </c>
      <c r="L865" t="s">
        <v>3000</v>
      </c>
      <c r="M865" t="s">
        <v>1548</v>
      </c>
      <c r="N865" t="s">
        <v>1548</v>
      </c>
      <c r="O865" t="s">
        <v>1548</v>
      </c>
      <c r="P865" s="36" t="s">
        <v>6448</v>
      </c>
    </row>
    <row r="866" spans="1:16" ht="409.5" x14ac:dyDescent="0.25">
      <c r="A866" t="s">
        <v>7439</v>
      </c>
      <c r="B866" t="s">
        <v>7431</v>
      </c>
      <c r="C866" t="s">
        <v>6446</v>
      </c>
      <c r="D866" t="s">
        <v>1027</v>
      </c>
      <c r="E866">
        <v>1402</v>
      </c>
      <c r="F866" t="s">
        <v>6447</v>
      </c>
      <c r="G866" t="b">
        <v>0</v>
      </c>
      <c r="H866" t="b">
        <v>0</v>
      </c>
      <c r="I866" t="s">
        <v>1051</v>
      </c>
      <c r="J866">
        <v>78</v>
      </c>
      <c r="K866" t="s">
        <v>0</v>
      </c>
      <c r="L866" t="s">
        <v>3000</v>
      </c>
      <c r="M866" t="s">
        <v>1548</v>
      </c>
      <c r="N866" t="s">
        <v>1548</v>
      </c>
      <c r="O866" t="s">
        <v>1548</v>
      </c>
      <c r="P866" s="36" t="s">
        <v>6448</v>
      </c>
    </row>
    <row r="867" spans="1:16" ht="409.5" x14ac:dyDescent="0.25">
      <c r="A867" t="s">
        <v>7440</v>
      </c>
      <c r="B867" t="s">
        <v>7431</v>
      </c>
      <c r="C867" t="s">
        <v>6446</v>
      </c>
      <c r="D867" t="s">
        <v>1027</v>
      </c>
      <c r="E867">
        <v>1402</v>
      </c>
      <c r="F867" t="s">
        <v>6447</v>
      </c>
      <c r="G867" t="b">
        <v>0</v>
      </c>
      <c r="H867" t="b">
        <v>0</v>
      </c>
      <c r="I867" t="s">
        <v>1051</v>
      </c>
      <c r="J867">
        <v>78</v>
      </c>
      <c r="K867" t="s">
        <v>0</v>
      </c>
      <c r="L867" t="s">
        <v>3000</v>
      </c>
      <c r="M867" t="s">
        <v>1548</v>
      </c>
      <c r="N867" t="s">
        <v>1548</v>
      </c>
      <c r="O867" t="s">
        <v>1548</v>
      </c>
      <c r="P867" s="36" t="s">
        <v>6448</v>
      </c>
    </row>
    <row r="868" spans="1:16" ht="409.5" x14ac:dyDescent="0.25">
      <c r="A868" t="s">
        <v>7441</v>
      </c>
      <c r="B868" t="s">
        <v>7431</v>
      </c>
      <c r="C868" t="s">
        <v>6446</v>
      </c>
      <c r="D868" t="s">
        <v>1027</v>
      </c>
      <c r="E868">
        <v>1402</v>
      </c>
      <c r="F868" t="s">
        <v>6447</v>
      </c>
      <c r="G868" t="b">
        <v>0</v>
      </c>
      <c r="H868" t="b">
        <v>0</v>
      </c>
      <c r="I868" t="s">
        <v>1051</v>
      </c>
      <c r="J868">
        <v>78</v>
      </c>
      <c r="K868" t="s">
        <v>0</v>
      </c>
      <c r="L868" t="s">
        <v>3000</v>
      </c>
      <c r="M868" t="s">
        <v>1548</v>
      </c>
      <c r="N868" t="s">
        <v>1548</v>
      </c>
      <c r="O868" t="s">
        <v>1548</v>
      </c>
      <c r="P868" s="36" t="s">
        <v>6448</v>
      </c>
    </row>
    <row r="869" spans="1:16" ht="409.5" x14ac:dyDescent="0.25">
      <c r="A869" t="s">
        <v>7442</v>
      </c>
      <c r="B869" t="s">
        <v>7431</v>
      </c>
      <c r="C869" t="s">
        <v>6446</v>
      </c>
      <c r="D869" t="s">
        <v>1027</v>
      </c>
      <c r="E869">
        <v>1402</v>
      </c>
      <c r="F869" t="s">
        <v>6447</v>
      </c>
      <c r="G869" t="b">
        <v>0</v>
      </c>
      <c r="H869" t="b">
        <v>0</v>
      </c>
      <c r="I869" t="s">
        <v>1051</v>
      </c>
      <c r="J869">
        <v>78</v>
      </c>
      <c r="K869" t="s">
        <v>0</v>
      </c>
      <c r="L869" t="s">
        <v>3000</v>
      </c>
      <c r="M869" t="s">
        <v>1548</v>
      </c>
      <c r="N869" t="s">
        <v>1548</v>
      </c>
      <c r="O869" t="s">
        <v>1548</v>
      </c>
      <c r="P869" s="36" t="s">
        <v>6448</v>
      </c>
    </row>
    <row r="870" spans="1:16" ht="409.5" x14ac:dyDescent="0.25">
      <c r="A870" t="s">
        <v>7443</v>
      </c>
      <c r="B870" t="s">
        <v>7431</v>
      </c>
      <c r="C870" t="s">
        <v>6446</v>
      </c>
      <c r="D870" t="s">
        <v>1027</v>
      </c>
      <c r="E870">
        <v>1402</v>
      </c>
      <c r="F870" t="s">
        <v>6447</v>
      </c>
      <c r="G870" t="b">
        <v>0</v>
      </c>
      <c r="H870" t="b">
        <v>0</v>
      </c>
      <c r="I870" t="s">
        <v>1051</v>
      </c>
      <c r="J870">
        <v>78</v>
      </c>
      <c r="K870" t="s">
        <v>0</v>
      </c>
      <c r="L870" t="s">
        <v>3000</v>
      </c>
      <c r="M870" t="s">
        <v>1548</v>
      </c>
      <c r="N870" t="s">
        <v>1548</v>
      </c>
      <c r="O870" t="s">
        <v>1548</v>
      </c>
      <c r="P870" s="36" t="s">
        <v>6448</v>
      </c>
    </row>
    <row r="871" spans="1:16" ht="409.5" x14ac:dyDescent="0.25">
      <c r="A871" t="s">
        <v>7444</v>
      </c>
      <c r="B871" t="s">
        <v>7431</v>
      </c>
      <c r="C871" t="s">
        <v>6446</v>
      </c>
      <c r="D871" t="s">
        <v>1027</v>
      </c>
      <c r="E871">
        <v>1402</v>
      </c>
      <c r="F871" t="s">
        <v>6447</v>
      </c>
      <c r="G871" t="b">
        <v>0</v>
      </c>
      <c r="H871" t="b">
        <v>0</v>
      </c>
      <c r="I871" t="s">
        <v>1051</v>
      </c>
      <c r="J871">
        <v>78</v>
      </c>
      <c r="K871" t="s">
        <v>0</v>
      </c>
      <c r="L871" t="s">
        <v>3000</v>
      </c>
      <c r="M871" t="s">
        <v>1548</v>
      </c>
      <c r="N871" t="s">
        <v>1548</v>
      </c>
      <c r="O871" t="s">
        <v>1548</v>
      </c>
      <c r="P871" s="36" t="s">
        <v>6448</v>
      </c>
    </row>
    <row r="872" spans="1:16" ht="409.5" x14ac:dyDescent="0.25">
      <c r="A872" t="s">
        <v>7445</v>
      </c>
      <c r="B872" t="s">
        <v>7431</v>
      </c>
      <c r="C872" t="s">
        <v>6446</v>
      </c>
      <c r="D872" t="s">
        <v>1027</v>
      </c>
      <c r="E872">
        <v>1402</v>
      </c>
      <c r="F872" t="s">
        <v>6447</v>
      </c>
      <c r="G872" t="b">
        <v>0</v>
      </c>
      <c r="H872" t="b">
        <v>0</v>
      </c>
      <c r="I872" t="s">
        <v>1051</v>
      </c>
      <c r="J872">
        <v>78</v>
      </c>
      <c r="K872" t="s">
        <v>0</v>
      </c>
      <c r="L872" t="s">
        <v>3000</v>
      </c>
      <c r="M872" t="s">
        <v>1548</v>
      </c>
      <c r="N872" t="s">
        <v>1548</v>
      </c>
      <c r="O872" t="s">
        <v>1548</v>
      </c>
      <c r="P872" s="36" t="s">
        <v>6448</v>
      </c>
    </row>
    <row r="873" spans="1:16" ht="409.5" x14ac:dyDescent="0.25">
      <c r="A873" t="s">
        <v>7446</v>
      </c>
      <c r="B873" t="s">
        <v>7431</v>
      </c>
      <c r="C873" t="s">
        <v>6446</v>
      </c>
      <c r="D873" t="s">
        <v>1027</v>
      </c>
      <c r="E873">
        <v>1402</v>
      </c>
      <c r="F873" t="s">
        <v>6447</v>
      </c>
      <c r="G873" t="b">
        <v>0</v>
      </c>
      <c r="H873" t="b">
        <v>0</v>
      </c>
      <c r="I873" t="s">
        <v>1051</v>
      </c>
      <c r="J873">
        <v>78</v>
      </c>
      <c r="K873" t="s">
        <v>0</v>
      </c>
      <c r="L873" t="s">
        <v>3000</v>
      </c>
      <c r="M873" t="s">
        <v>1548</v>
      </c>
      <c r="N873" t="s">
        <v>1548</v>
      </c>
      <c r="O873" t="s">
        <v>1548</v>
      </c>
      <c r="P873" s="36" t="s">
        <v>6448</v>
      </c>
    </row>
    <row r="874" spans="1:16" ht="409.5" x14ac:dyDescent="0.25">
      <c r="A874" t="s">
        <v>7447</v>
      </c>
      <c r="B874" t="s">
        <v>7431</v>
      </c>
      <c r="C874" t="s">
        <v>6446</v>
      </c>
      <c r="D874" t="s">
        <v>1027</v>
      </c>
      <c r="E874">
        <v>1402</v>
      </c>
      <c r="F874" t="s">
        <v>6447</v>
      </c>
      <c r="G874" t="b">
        <v>0</v>
      </c>
      <c r="H874" t="b">
        <v>0</v>
      </c>
      <c r="I874" t="s">
        <v>1051</v>
      </c>
      <c r="J874">
        <v>78</v>
      </c>
      <c r="K874" t="s">
        <v>0</v>
      </c>
      <c r="L874" t="s">
        <v>3000</v>
      </c>
      <c r="M874" t="s">
        <v>1548</v>
      </c>
      <c r="N874" t="s">
        <v>1548</v>
      </c>
      <c r="O874" t="s">
        <v>1548</v>
      </c>
      <c r="P874" s="36" t="s">
        <v>6448</v>
      </c>
    </row>
    <row r="875" spans="1:16" ht="409.5" x14ac:dyDescent="0.25">
      <c r="A875" t="s">
        <v>7448</v>
      </c>
      <c r="B875" t="s">
        <v>7431</v>
      </c>
      <c r="C875" t="s">
        <v>6446</v>
      </c>
      <c r="D875" t="s">
        <v>1027</v>
      </c>
      <c r="E875">
        <v>1402</v>
      </c>
      <c r="F875" t="s">
        <v>6447</v>
      </c>
      <c r="G875" t="b">
        <v>0</v>
      </c>
      <c r="H875" t="b">
        <v>0</v>
      </c>
      <c r="I875" t="s">
        <v>1051</v>
      </c>
      <c r="J875">
        <v>78</v>
      </c>
      <c r="K875" t="s">
        <v>0</v>
      </c>
      <c r="L875" t="s">
        <v>3000</v>
      </c>
      <c r="M875" t="s">
        <v>1548</v>
      </c>
      <c r="N875" t="s">
        <v>1548</v>
      </c>
      <c r="O875" t="s">
        <v>1548</v>
      </c>
      <c r="P875" s="36" t="s">
        <v>6448</v>
      </c>
    </row>
    <row r="876" spans="1:16" ht="409.5" x14ac:dyDescent="0.25">
      <c r="A876" t="s">
        <v>7449</v>
      </c>
      <c r="B876" t="s">
        <v>7431</v>
      </c>
      <c r="C876" t="s">
        <v>6446</v>
      </c>
      <c r="D876" t="s">
        <v>1027</v>
      </c>
      <c r="E876">
        <v>1402</v>
      </c>
      <c r="F876" t="s">
        <v>6447</v>
      </c>
      <c r="G876" t="b">
        <v>0</v>
      </c>
      <c r="H876" t="b">
        <v>0</v>
      </c>
      <c r="I876" t="s">
        <v>1051</v>
      </c>
      <c r="J876">
        <v>78</v>
      </c>
      <c r="K876" t="s">
        <v>0</v>
      </c>
      <c r="L876" t="s">
        <v>3000</v>
      </c>
      <c r="M876" t="s">
        <v>1548</v>
      </c>
      <c r="N876" t="s">
        <v>1548</v>
      </c>
      <c r="O876" t="s">
        <v>1548</v>
      </c>
      <c r="P876" s="36" t="s">
        <v>6448</v>
      </c>
    </row>
    <row r="877" spans="1:16" ht="409.5" x14ac:dyDescent="0.25">
      <c r="A877" t="s">
        <v>7450</v>
      </c>
      <c r="B877" t="s">
        <v>7431</v>
      </c>
      <c r="C877" t="s">
        <v>6446</v>
      </c>
      <c r="D877" t="s">
        <v>1027</v>
      </c>
      <c r="E877">
        <v>1402</v>
      </c>
      <c r="F877" t="s">
        <v>6447</v>
      </c>
      <c r="G877" t="b">
        <v>0</v>
      </c>
      <c r="H877" t="b">
        <v>0</v>
      </c>
      <c r="I877" t="s">
        <v>1051</v>
      </c>
      <c r="J877">
        <v>78</v>
      </c>
      <c r="K877" t="s">
        <v>0</v>
      </c>
      <c r="L877" t="s">
        <v>3000</v>
      </c>
      <c r="M877" t="s">
        <v>1548</v>
      </c>
      <c r="N877" t="s">
        <v>1548</v>
      </c>
      <c r="O877" t="s">
        <v>1548</v>
      </c>
      <c r="P877" s="36" t="s">
        <v>6448</v>
      </c>
    </row>
    <row r="878" spans="1:16" ht="409.5" x14ac:dyDescent="0.25">
      <c r="A878" t="s">
        <v>7451</v>
      </c>
      <c r="B878" t="s">
        <v>7431</v>
      </c>
      <c r="C878" t="s">
        <v>6446</v>
      </c>
      <c r="D878" t="s">
        <v>1027</v>
      </c>
      <c r="E878">
        <v>1402</v>
      </c>
      <c r="F878" t="s">
        <v>6447</v>
      </c>
      <c r="G878" t="b">
        <v>0</v>
      </c>
      <c r="H878" t="b">
        <v>0</v>
      </c>
      <c r="I878" t="s">
        <v>1051</v>
      </c>
      <c r="J878">
        <v>78</v>
      </c>
      <c r="K878" t="s">
        <v>0</v>
      </c>
      <c r="L878" t="s">
        <v>3000</v>
      </c>
      <c r="M878" t="s">
        <v>1548</v>
      </c>
      <c r="N878" t="s">
        <v>1548</v>
      </c>
      <c r="O878" t="s">
        <v>1548</v>
      </c>
      <c r="P878" s="36" t="s">
        <v>6448</v>
      </c>
    </row>
    <row r="879" spans="1:16" ht="409.5" x14ac:dyDescent="0.25">
      <c r="A879" t="s">
        <v>7452</v>
      </c>
      <c r="B879" t="s">
        <v>7453</v>
      </c>
      <c r="C879" t="s">
        <v>6446</v>
      </c>
      <c r="D879" t="s">
        <v>1027</v>
      </c>
      <c r="E879">
        <v>1402</v>
      </c>
      <c r="F879" t="s">
        <v>6447</v>
      </c>
      <c r="G879" t="b">
        <v>0</v>
      </c>
      <c r="H879" t="b">
        <v>0</v>
      </c>
      <c r="I879" t="s">
        <v>1051</v>
      </c>
      <c r="J879">
        <v>78</v>
      </c>
      <c r="K879" t="s">
        <v>0</v>
      </c>
      <c r="L879" t="s">
        <v>3000</v>
      </c>
      <c r="M879" t="s">
        <v>1548</v>
      </c>
      <c r="N879" t="s">
        <v>1548</v>
      </c>
      <c r="O879" t="s">
        <v>1548</v>
      </c>
      <c r="P879" s="36" t="s">
        <v>6448</v>
      </c>
    </row>
    <row r="880" spans="1:16" ht="409.5" x14ac:dyDescent="0.25">
      <c r="A880" t="s">
        <v>7454</v>
      </c>
      <c r="B880" t="s">
        <v>7453</v>
      </c>
      <c r="C880" t="s">
        <v>6446</v>
      </c>
      <c r="D880" t="s">
        <v>1027</v>
      </c>
      <c r="E880">
        <v>1402</v>
      </c>
      <c r="F880" t="s">
        <v>6447</v>
      </c>
      <c r="G880" t="b">
        <v>0</v>
      </c>
      <c r="H880" t="b">
        <v>0</v>
      </c>
      <c r="I880" t="s">
        <v>1051</v>
      </c>
      <c r="J880">
        <v>78</v>
      </c>
      <c r="K880" t="s">
        <v>0</v>
      </c>
      <c r="L880" t="s">
        <v>3000</v>
      </c>
      <c r="M880" t="s">
        <v>1548</v>
      </c>
      <c r="N880" t="s">
        <v>1548</v>
      </c>
      <c r="O880" t="s">
        <v>1548</v>
      </c>
      <c r="P880" s="36" t="s">
        <v>6448</v>
      </c>
    </row>
    <row r="881" spans="1:16" ht="409.5" x14ac:dyDescent="0.25">
      <c r="A881" t="s">
        <v>7455</v>
      </c>
      <c r="B881" t="s">
        <v>7453</v>
      </c>
      <c r="C881" t="s">
        <v>6446</v>
      </c>
      <c r="D881" t="s">
        <v>1027</v>
      </c>
      <c r="E881">
        <v>1402</v>
      </c>
      <c r="F881" t="s">
        <v>6447</v>
      </c>
      <c r="G881" t="b">
        <v>0</v>
      </c>
      <c r="H881" t="b">
        <v>0</v>
      </c>
      <c r="I881" t="s">
        <v>1051</v>
      </c>
      <c r="J881">
        <v>78</v>
      </c>
      <c r="K881" t="s">
        <v>0</v>
      </c>
      <c r="L881" t="s">
        <v>3000</v>
      </c>
      <c r="M881" t="s">
        <v>1548</v>
      </c>
      <c r="N881" t="s">
        <v>1548</v>
      </c>
      <c r="O881" t="s">
        <v>1548</v>
      </c>
      <c r="P881" s="36" t="s">
        <v>6448</v>
      </c>
    </row>
    <row r="882" spans="1:16" ht="409.5" x14ac:dyDescent="0.25">
      <c r="A882" t="s">
        <v>7456</v>
      </c>
      <c r="B882" t="s">
        <v>7453</v>
      </c>
      <c r="C882" t="s">
        <v>6446</v>
      </c>
      <c r="D882" t="s">
        <v>1027</v>
      </c>
      <c r="E882">
        <v>1402</v>
      </c>
      <c r="F882" t="s">
        <v>6447</v>
      </c>
      <c r="G882" t="b">
        <v>0</v>
      </c>
      <c r="H882" t="b">
        <v>0</v>
      </c>
      <c r="I882" t="s">
        <v>1051</v>
      </c>
      <c r="J882">
        <v>78</v>
      </c>
      <c r="K882" t="s">
        <v>0</v>
      </c>
      <c r="L882" t="s">
        <v>3000</v>
      </c>
      <c r="M882" t="s">
        <v>1548</v>
      </c>
      <c r="N882" t="s">
        <v>1548</v>
      </c>
      <c r="O882" t="s">
        <v>1548</v>
      </c>
      <c r="P882" s="36" t="s">
        <v>6448</v>
      </c>
    </row>
    <row r="883" spans="1:16" ht="409.5" x14ac:dyDescent="0.25">
      <c r="A883" t="s">
        <v>7457</v>
      </c>
      <c r="B883" t="s">
        <v>7458</v>
      </c>
      <c r="C883" t="s">
        <v>6446</v>
      </c>
      <c r="D883" t="s">
        <v>1027</v>
      </c>
      <c r="G883" t="b">
        <v>0</v>
      </c>
      <c r="H883" t="b">
        <v>0</v>
      </c>
      <c r="I883" t="s">
        <v>1051</v>
      </c>
      <c r="J883">
        <v>78</v>
      </c>
      <c r="K883" t="s">
        <v>0</v>
      </c>
      <c r="L883" t="s">
        <v>3000</v>
      </c>
      <c r="M883" t="s">
        <v>1548</v>
      </c>
      <c r="N883" t="s">
        <v>1548</v>
      </c>
      <c r="O883" t="s">
        <v>1548</v>
      </c>
      <c r="P883" s="36" t="s">
        <v>6448</v>
      </c>
    </row>
    <row r="884" spans="1:16" ht="409.5" x14ac:dyDescent="0.25">
      <c r="A884" t="s">
        <v>7459</v>
      </c>
      <c r="B884" t="s">
        <v>7458</v>
      </c>
      <c r="C884" t="s">
        <v>6446</v>
      </c>
      <c r="D884" t="s">
        <v>1027</v>
      </c>
      <c r="G884" t="b">
        <v>0</v>
      </c>
      <c r="H884" t="b">
        <v>0</v>
      </c>
      <c r="I884" t="s">
        <v>1051</v>
      </c>
      <c r="J884">
        <v>78</v>
      </c>
      <c r="K884" t="s">
        <v>0</v>
      </c>
      <c r="L884" t="s">
        <v>3000</v>
      </c>
      <c r="M884" t="s">
        <v>1548</v>
      </c>
      <c r="N884" t="s">
        <v>1548</v>
      </c>
      <c r="O884" t="s">
        <v>1548</v>
      </c>
      <c r="P884" s="36" t="s">
        <v>6448</v>
      </c>
    </row>
    <row r="885" spans="1:16" ht="409.5" x14ac:dyDescent="0.25">
      <c r="A885" t="s">
        <v>7460</v>
      </c>
      <c r="B885" t="s">
        <v>7458</v>
      </c>
      <c r="C885" t="s">
        <v>6446</v>
      </c>
      <c r="D885" t="s">
        <v>1027</v>
      </c>
      <c r="G885" t="b">
        <v>0</v>
      </c>
      <c r="H885" t="b">
        <v>0</v>
      </c>
      <c r="I885" t="s">
        <v>1051</v>
      </c>
      <c r="J885">
        <v>78</v>
      </c>
      <c r="K885" t="s">
        <v>0</v>
      </c>
      <c r="L885" t="s">
        <v>3000</v>
      </c>
      <c r="M885" t="s">
        <v>1548</v>
      </c>
      <c r="N885" t="s">
        <v>1548</v>
      </c>
      <c r="O885" t="s">
        <v>1548</v>
      </c>
      <c r="P885" s="36" t="s">
        <v>6448</v>
      </c>
    </row>
    <row r="886" spans="1:16" ht="409.5" x14ac:dyDescent="0.25">
      <c r="A886" t="s">
        <v>7461</v>
      </c>
      <c r="B886" t="s">
        <v>7458</v>
      </c>
      <c r="C886" t="s">
        <v>6446</v>
      </c>
      <c r="D886" t="s">
        <v>1027</v>
      </c>
      <c r="G886" t="b">
        <v>0</v>
      </c>
      <c r="H886" t="b">
        <v>0</v>
      </c>
      <c r="I886" t="s">
        <v>1051</v>
      </c>
      <c r="J886">
        <v>78</v>
      </c>
      <c r="K886" t="s">
        <v>0</v>
      </c>
      <c r="L886" t="s">
        <v>3000</v>
      </c>
      <c r="M886" t="s">
        <v>1548</v>
      </c>
      <c r="N886" t="s">
        <v>1548</v>
      </c>
      <c r="O886" t="s">
        <v>1548</v>
      </c>
      <c r="P886" s="36" t="s">
        <v>6448</v>
      </c>
    </row>
    <row r="887" spans="1:16" ht="409.5" x14ac:dyDescent="0.25">
      <c r="A887" t="s">
        <v>7462</v>
      </c>
      <c r="B887" t="s">
        <v>7458</v>
      </c>
      <c r="C887" t="s">
        <v>6446</v>
      </c>
      <c r="D887" t="s">
        <v>1027</v>
      </c>
      <c r="G887" t="b">
        <v>0</v>
      </c>
      <c r="H887" t="b">
        <v>0</v>
      </c>
      <c r="I887" t="s">
        <v>1051</v>
      </c>
      <c r="J887">
        <v>78</v>
      </c>
      <c r="K887" t="s">
        <v>0</v>
      </c>
      <c r="L887" t="s">
        <v>3000</v>
      </c>
      <c r="M887" t="s">
        <v>1548</v>
      </c>
      <c r="N887" t="s">
        <v>1548</v>
      </c>
      <c r="O887" t="s">
        <v>1548</v>
      </c>
      <c r="P887" s="36" t="s">
        <v>6448</v>
      </c>
    </row>
    <row r="888" spans="1:16" ht="409.5" x14ac:dyDescent="0.25">
      <c r="A888" t="s">
        <v>7463</v>
      </c>
      <c r="B888" t="s">
        <v>7458</v>
      </c>
      <c r="C888" t="s">
        <v>6446</v>
      </c>
      <c r="D888" t="s">
        <v>1027</v>
      </c>
      <c r="G888" t="b">
        <v>0</v>
      </c>
      <c r="H888" t="b">
        <v>0</v>
      </c>
      <c r="I888" t="s">
        <v>1051</v>
      </c>
      <c r="J888">
        <v>78</v>
      </c>
      <c r="K888" t="s">
        <v>0</v>
      </c>
      <c r="L888" t="s">
        <v>3000</v>
      </c>
      <c r="M888" t="s">
        <v>1548</v>
      </c>
      <c r="N888" t="s">
        <v>1548</v>
      </c>
      <c r="O888" t="s">
        <v>1548</v>
      </c>
      <c r="P888" s="36" t="s">
        <v>6448</v>
      </c>
    </row>
    <row r="889" spans="1:16" ht="409.5" x14ac:dyDescent="0.25">
      <c r="A889" t="s">
        <v>7464</v>
      </c>
      <c r="B889" t="s">
        <v>7458</v>
      </c>
      <c r="C889" t="s">
        <v>6446</v>
      </c>
      <c r="D889" t="s">
        <v>1027</v>
      </c>
      <c r="G889" t="b">
        <v>0</v>
      </c>
      <c r="H889" t="b">
        <v>0</v>
      </c>
      <c r="I889" t="s">
        <v>1051</v>
      </c>
      <c r="J889">
        <v>78</v>
      </c>
      <c r="K889" t="s">
        <v>0</v>
      </c>
      <c r="L889" t="s">
        <v>3000</v>
      </c>
      <c r="M889" t="s">
        <v>1548</v>
      </c>
      <c r="N889" t="s">
        <v>1548</v>
      </c>
      <c r="O889" t="s">
        <v>1548</v>
      </c>
      <c r="P889" s="36" t="s">
        <v>6448</v>
      </c>
    </row>
    <row r="890" spans="1:16" ht="409.5" x14ac:dyDescent="0.25">
      <c r="A890" t="s">
        <v>7465</v>
      </c>
      <c r="B890" t="s">
        <v>7458</v>
      </c>
      <c r="C890" t="s">
        <v>6446</v>
      </c>
      <c r="D890" t="s">
        <v>1027</v>
      </c>
      <c r="G890" t="b">
        <v>0</v>
      </c>
      <c r="H890" t="b">
        <v>0</v>
      </c>
      <c r="I890" t="s">
        <v>1051</v>
      </c>
      <c r="J890">
        <v>78</v>
      </c>
      <c r="K890" t="s">
        <v>0</v>
      </c>
      <c r="L890" t="s">
        <v>3000</v>
      </c>
      <c r="M890" t="s">
        <v>1548</v>
      </c>
      <c r="N890" t="s">
        <v>1548</v>
      </c>
      <c r="O890" t="s">
        <v>1548</v>
      </c>
      <c r="P890" s="36" t="s">
        <v>6448</v>
      </c>
    </row>
    <row r="891" spans="1:16" x14ac:dyDescent="0.25">
      <c r="A891" t="s">
        <v>7466</v>
      </c>
      <c r="B891" t="s">
        <v>7467</v>
      </c>
      <c r="C891" t="s">
        <v>1335</v>
      </c>
      <c r="D891" t="s">
        <v>1027</v>
      </c>
      <c r="E891">
        <v>1459</v>
      </c>
      <c r="F891" t="s">
        <v>1336</v>
      </c>
      <c r="G891" t="b">
        <v>0</v>
      </c>
      <c r="H891" t="b">
        <v>0</v>
      </c>
      <c r="I891" t="s">
        <v>1051</v>
      </c>
      <c r="J891">
        <v>78</v>
      </c>
      <c r="K891" t="s">
        <v>2</v>
      </c>
      <c r="L891" t="s">
        <v>1549</v>
      </c>
      <c r="M891" t="s">
        <v>3922</v>
      </c>
      <c r="N891" t="s">
        <v>3922</v>
      </c>
      <c r="O891" t="s">
        <v>3922</v>
      </c>
      <c r="P891" t="s">
        <v>1682</v>
      </c>
    </row>
    <row r="892" spans="1:16" x14ac:dyDescent="0.25">
      <c r="A892" t="s">
        <v>7468</v>
      </c>
      <c r="B892" t="s">
        <v>7467</v>
      </c>
      <c r="C892" t="s">
        <v>1335</v>
      </c>
      <c r="D892" t="s">
        <v>1027</v>
      </c>
      <c r="E892">
        <v>1459</v>
      </c>
      <c r="F892" t="s">
        <v>1336</v>
      </c>
      <c r="G892" t="b">
        <v>0</v>
      </c>
      <c r="H892" t="b">
        <v>0</v>
      </c>
      <c r="I892" t="s">
        <v>1051</v>
      </c>
      <c r="J892">
        <v>78</v>
      </c>
      <c r="K892" t="s">
        <v>2</v>
      </c>
      <c r="L892" t="s">
        <v>1549</v>
      </c>
      <c r="M892" t="s">
        <v>3922</v>
      </c>
      <c r="N892" t="s">
        <v>3922</v>
      </c>
      <c r="O892" t="s">
        <v>3922</v>
      </c>
      <c r="P892" t="s">
        <v>1682</v>
      </c>
    </row>
    <row r="893" spans="1:16" x14ac:dyDescent="0.25">
      <c r="A893" t="s">
        <v>7469</v>
      </c>
      <c r="B893" t="s">
        <v>7467</v>
      </c>
      <c r="C893" t="s">
        <v>1335</v>
      </c>
      <c r="D893" t="s">
        <v>1027</v>
      </c>
      <c r="E893">
        <v>1459</v>
      </c>
      <c r="F893" t="s">
        <v>1336</v>
      </c>
      <c r="G893" t="b">
        <v>0</v>
      </c>
      <c r="H893" t="b">
        <v>0</v>
      </c>
      <c r="I893" t="s">
        <v>1051</v>
      </c>
      <c r="J893">
        <v>78</v>
      </c>
      <c r="K893" t="s">
        <v>2</v>
      </c>
      <c r="L893" t="s">
        <v>1549</v>
      </c>
      <c r="M893" t="s">
        <v>3922</v>
      </c>
      <c r="N893" t="s">
        <v>3922</v>
      </c>
      <c r="O893" t="s">
        <v>3922</v>
      </c>
      <c r="P893" t="s">
        <v>1682</v>
      </c>
    </row>
    <row r="894" spans="1:16" x14ac:dyDescent="0.25">
      <c r="A894" t="s">
        <v>7470</v>
      </c>
      <c r="B894" t="s">
        <v>7471</v>
      </c>
      <c r="C894" t="s">
        <v>1335</v>
      </c>
      <c r="D894" t="s">
        <v>1027</v>
      </c>
      <c r="E894">
        <v>1459</v>
      </c>
      <c r="F894" t="s">
        <v>1336</v>
      </c>
      <c r="G894" t="b">
        <v>0</v>
      </c>
      <c r="H894" t="b">
        <v>0</v>
      </c>
      <c r="I894" t="s">
        <v>1051</v>
      </c>
      <c r="J894">
        <v>78</v>
      </c>
      <c r="K894" t="s">
        <v>2</v>
      </c>
      <c r="L894" t="s">
        <v>1549</v>
      </c>
      <c r="M894" t="s">
        <v>3922</v>
      </c>
      <c r="N894" t="s">
        <v>3922</v>
      </c>
      <c r="O894" t="s">
        <v>3922</v>
      </c>
      <c r="P894" t="s">
        <v>1682</v>
      </c>
    </row>
    <row r="895" spans="1:16" x14ac:dyDescent="0.25">
      <c r="A895" t="s">
        <v>7472</v>
      </c>
      <c r="B895" t="s">
        <v>7471</v>
      </c>
      <c r="C895" t="s">
        <v>1335</v>
      </c>
      <c r="D895" t="s">
        <v>1027</v>
      </c>
      <c r="E895">
        <v>1459</v>
      </c>
      <c r="F895" t="s">
        <v>1336</v>
      </c>
      <c r="G895" t="b">
        <v>0</v>
      </c>
      <c r="H895" t="b">
        <v>0</v>
      </c>
      <c r="I895" t="s">
        <v>1051</v>
      </c>
      <c r="J895">
        <v>78</v>
      </c>
      <c r="K895" t="s">
        <v>2</v>
      </c>
      <c r="L895" t="s">
        <v>1549</v>
      </c>
      <c r="M895" t="s">
        <v>3922</v>
      </c>
      <c r="N895" t="s">
        <v>3922</v>
      </c>
      <c r="O895" t="s">
        <v>3922</v>
      </c>
      <c r="P895" t="s">
        <v>1682</v>
      </c>
    </row>
    <row r="896" spans="1:16" x14ac:dyDescent="0.25">
      <c r="A896" t="s">
        <v>7473</v>
      </c>
      <c r="B896" t="s">
        <v>7471</v>
      </c>
      <c r="C896" t="s">
        <v>1335</v>
      </c>
      <c r="D896" t="s">
        <v>1027</v>
      </c>
      <c r="E896">
        <v>1459</v>
      </c>
      <c r="F896" t="s">
        <v>1336</v>
      </c>
      <c r="G896" t="b">
        <v>0</v>
      </c>
      <c r="H896" t="b">
        <v>0</v>
      </c>
      <c r="I896" t="s">
        <v>1051</v>
      </c>
      <c r="J896">
        <v>78</v>
      </c>
      <c r="K896" t="s">
        <v>2</v>
      </c>
      <c r="L896" t="s">
        <v>1549</v>
      </c>
      <c r="M896" t="s">
        <v>3922</v>
      </c>
      <c r="N896" t="s">
        <v>3922</v>
      </c>
      <c r="O896" t="s">
        <v>3922</v>
      </c>
      <c r="P896" t="s">
        <v>1682</v>
      </c>
    </row>
    <row r="897" spans="1:16" x14ac:dyDescent="0.25">
      <c r="A897" t="s">
        <v>7474</v>
      </c>
      <c r="B897" t="s">
        <v>7475</v>
      </c>
      <c r="C897" t="s">
        <v>1335</v>
      </c>
      <c r="D897" t="s">
        <v>1027</v>
      </c>
      <c r="E897">
        <v>1459</v>
      </c>
      <c r="F897" t="s">
        <v>1336</v>
      </c>
      <c r="G897" t="b">
        <v>0</v>
      </c>
      <c r="H897" t="b">
        <v>0</v>
      </c>
      <c r="I897" t="s">
        <v>1051</v>
      </c>
      <c r="J897">
        <v>22</v>
      </c>
      <c r="K897" t="s">
        <v>2</v>
      </c>
      <c r="L897" t="s">
        <v>1549</v>
      </c>
      <c r="M897" t="s">
        <v>3922</v>
      </c>
      <c r="N897" t="s">
        <v>3922</v>
      </c>
      <c r="O897" t="s">
        <v>3922</v>
      </c>
      <c r="P897" t="s">
        <v>1682</v>
      </c>
    </row>
    <row r="898" spans="1:16" x14ac:dyDescent="0.25">
      <c r="A898" t="s">
        <v>7476</v>
      </c>
      <c r="B898" t="s">
        <v>7477</v>
      </c>
      <c r="C898" t="s">
        <v>1335</v>
      </c>
      <c r="D898" t="s">
        <v>1027</v>
      </c>
      <c r="E898">
        <v>1459</v>
      </c>
      <c r="F898" t="s">
        <v>1336</v>
      </c>
      <c r="G898" t="b">
        <v>0</v>
      </c>
      <c r="H898" t="b">
        <v>0</v>
      </c>
      <c r="I898" t="s">
        <v>1051</v>
      </c>
      <c r="J898">
        <v>65</v>
      </c>
      <c r="K898" t="s">
        <v>2</v>
      </c>
      <c r="L898" t="s">
        <v>1549</v>
      </c>
      <c r="M898" t="s">
        <v>3922</v>
      </c>
      <c r="N898" t="s">
        <v>3922</v>
      </c>
      <c r="O898" t="s">
        <v>3922</v>
      </c>
      <c r="P898" t="s">
        <v>1682</v>
      </c>
    </row>
    <row r="899" spans="1:16" x14ac:dyDescent="0.25">
      <c r="A899" t="s">
        <v>7478</v>
      </c>
      <c r="B899" t="s">
        <v>7477</v>
      </c>
      <c r="C899" t="s">
        <v>1335</v>
      </c>
      <c r="D899" t="s">
        <v>1027</v>
      </c>
      <c r="E899">
        <v>1459</v>
      </c>
      <c r="F899" t="s">
        <v>1336</v>
      </c>
      <c r="G899" t="b">
        <v>0</v>
      </c>
      <c r="H899" t="b">
        <v>0</v>
      </c>
      <c r="I899" t="s">
        <v>1051</v>
      </c>
      <c r="J899">
        <v>65</v>
      </c>
      <c r="K899" t="s">
        <v>2</v>
      </c>
      <c r="L899" t="s">
        <v>1549</v>
      </c>
      <c r="M899" t="s">
        <v>3922</v>
      </c>
      <c r="N899" t="s">
        <v>3922</v>
      </c>
      <c r="O899" t="s">
        <v>3922</v>
      </c>
      <c r="P899" t="s">
        <v>1682</v>
      </c>
    </row>
    <row r="900" spans="1:16" x14ac:dyDescent="0.25">
      <c r="A900" t="s">
        <v>7479</v>
      </c>
      <c r="B900" t="s">
        <v>7477</v>
      </c>
      <c r="C900" t="s">
        <v>1335</v>
      </c>
      <c r="D900" t="s">
        <v>1027</v>
      </c>
      <c r="E900">
        <v>1459</v>
      </c>
      <c r="F900" t="s">
        <v>1336</v>
      </c>
      <c r="G900" t="b">
        <v>0</v>
      </c>
      <c r="H900" t="b">
        <v>0</v>
      </c>
      <c r="I900" t="s">
        <v>1051</v>
      </c>
      <c r="J900">
        <v>65</v>
      </c>
      <c r="K900" t="s">
        <v>2</v>
      </c>
      <c r="L900" t="s">
        <v>1549</v>
      </c>
      <c r="M900" t="s">
        <v>3922</v>
      </c>
      <c r="N900" t="s">
        <v>3922</v>
      </c>
      <c r="O900" t="s">
        <v>3922</v>
      </c>
      <c r="P900" t="s">
        <v>1682</v>
      </c>
    </row>
    <row r="901" spans="1:16" x14ac:dyDescent="0.25">
      <c r="A901" t="s">
        <v>7480</v>
      </c>
      <c r="B901" t="s">
        <v>7477</v>
      </c>
      <c r="C901" t="s">
        <v>1335</v>
      </c>
      <c r="D901" t="s">
        <v>1027</v>
      </c>
      <c r="E901">
        <v>1459</v>
      </c>
      <c r="F901" t="s">
        <v>1336</v>
      </c>
      <c r="G901" t="b">
        <v>0</v>
      </c>
      <c r="H901" t="b">
        <v>0</v>
      </c>
      <c r="I901" t="s">
        <v>1051</v>
      </c>
      <c r="J901">
        <v>65</v>
      </c>
      <c r="K901" t="s">
        <v>2</v>
      </c>
      <c r="L901" t="s">
        <v>1549</v>
      </c>
      <c r="M901" t="s">
        <v>3922</v>
      </c>
      <c r="N901" t="s">
        <v>3922</v>
      </c>
      <c r="O901" t="s">
        <v>3922</v>
      </c>
      <c r="P901" t="s">
        <v>1682</v>
      </c>
    </row>
    <row r="902" spans="1:16" x14ac:dyDescent="0.25">
      <c r="A902" t="s">
        <v>7481</v>
      </c>
      <c r="B902" t="s">
        <v>7477</v>
      </c>
      <c r="C902" t="s">
        <v>1335</v>
      </c>
      <c r="D902" t="s">
        <v>1027</v>
      </c>
      <c r="E902">
        <v>1459</v>
      </c>
      <c r="F902" t="s">
        <v>1336</v>
      </c>
      <c r="G902" t="b">
        <v>0</v>
      </c>
      <c r="H902" t="b">
        <v>0</v>
      </c>
      <c r="I902" t="s">
        <v>1051</v>
      </c>
      <c r="J902">
        <v>65</v>
      </c>
      <c r="K902" t="s">
        <v>2</v>
      </c>
      <c r="L902" t="s">
        <v>1549</v>
      </c>
      <c r="M902" t="s">
        <v>3922</v>
      </c>
      <c r="N902" t="s">
        <v>3922</v>
      </c>
      <c r="O902" t="s">
        <v>3922</v>
      </c>
      <c r="P902" t="s">
        <v>1682</v>
      </c>
    </row>
    <row r="903" spans="1:16" x14ac:dyDescent="0.25">
      <c r="A903" t="s">
        <v>7482</v>
      </c>
      <c r="B903" t="s">
        <v>7483</v>
      </c>
      <c r="C903" t="s">
        <v>1335</v>
      </c>
      <c r="D903" t="s">
        <v>1027</v>
      </c>
      <c r="E903">
        <v>1459</v>
      </c>
      <c r="F903" t="s">
        <v>1336</v>
      </c>
      <c r="G903" t="b">
        <v>0</v>
      </c>
      <c r="H903" t="b">
        <v>0</v>
      </c>
      <c r="I903" t="s">
        <v>1051</v>
      </c>
      <c r="J903">
        <v>22</v>
      </c>
      <c r="K903" t="s">
        <v>2</v>
      </c>
      <c r="L903" t="s">
        <v>1549</v>
      </c>
      <c r="M903" t="s">
        <v>3922</v>
      </c>
      <c r="N903" t="s">
        <v>3922</v>
      </c>
      <c r="O903" t="s">
        <v>3922</v>
      </c>
      <c r="P903" t="s">
        <v>1682</v>
      </c>
    </row>
    <row r="904" spans="1:16" x14ac:dyDescent="0.25">
      <c r="A904" t="s">
        <v>7484</v>
      </c>
      <c r="B904" t="s">
        <v>7483</v>
      </c>
      <c r="C904" t="s">
        <v>1335</v>
      </c>
      <c r="D904" t="s">
        <v>1027</v>
      </c>
      <c r="E904">
        <v>1459</v>
      </c>
      <c r="F904" t="s">
        <v>1336</v>
      </c>
      <c r="G904" t="b">
        <v>0</v>
      </c>
      <c r="H904" t="b">
        <v>0</v>
      </c>
      <c r="I904" t="s">
        <v>1051</v>
      </c>
      <c r="J904">
        <v>22</v>
      </c>
      <c r="K904" t="s">
        <v>2</v>
      </c>
      <c r="L904" t="s">
        <v>1549</v>
      </c>
      <c r="M904" t="s">
        <v>3922</v>
      </c>
      <c r="N904" t="s">
        <v>3922</v>
      </c>
      <c r="O904" t="s">
        <v>3922</v>
      </c>
      <c r="P904" t="s">
        <v>1682</v>
      </c>
    </row>
    <row r="905" spans="1:16" x14ac:dyDescent="0.25">
      <c r="A905" t="s">
        <v>7485</v>
      </c>
      <c r="B905" t="s">
        <v>7483</v>
      </c>
      <c r="C905" t="s">
        <v>1335</v>
      </c>
      <c r="D905" t="s">
        <v>1027</v>
      </c>
      <c r="E905">
        <v>1459</v>
      </c>
      <c r="F905" t="s">
        <v>1336</v>
      </c>
      <c r="G905" t="b">
        <v>0</v>
      </c>
      <c r="H905" t="b">
        <v>0</v>
      </c>
      <c r="I905" t="s">
        <v>1051</v>
      </c>
      <c r="J905">
        <v>22</v>
      </c>
      <c r="K905" t="s">
        <v>2</v>
      </c>
      <c r="L905" t="s">
        <v>1549</v>
      </c>
      <c r="M905" t="s">
        <v>3922</v>
      </c>
      <c r="N905" t="s">
        <v>3922</v>
      </c>
      <c r="O905" t="s">
        <v>3922</v>
      </c>
      <c r="P905" t="s">
        <v>1682</v>
      </c>
    </row>
    <row r="906" spans="1:16" x14ac:dyDescent="0.25">
      <c r="A906" t="s">
        <v>7486</v>
      </c>
      <c r="B906" t="s">
        <v>7483</v>
      </c>
      <c r="C906" t="s">
        <v>1335</v>
      </c>
      <c r="D906" t="s">
        <v>1027</v>
      </c>
      <c r="E906">
        <v>1459</v>
      </c>
      <c r="F906" t="s">
        <v>1336</v>
      </c>
      <c r="G906" t="b">
        <v>0</v>
      </c>
      <c r="H906" t="b">
        <v>0</v>
      </c>
      <c r="I906" t="s">
        <v>1051</v>
      </c>
      <c r="J906">
        <v>22</v>
      </c>
      <c r="K906" t="s">
        <v>2</v>
      </c>
      <c r="L906" t="s">
        <v>1549</v>
      </c>
      <c r="M906" t="s">
        <v>3922</v>
      </c>
      <c r="N906" t="s">
        <v>3922</v>
      </c>
      <c r="O906" t="s">
        <v>3922</v>
      </c>
      <c r="P906" t="s">
        <v>1682</v>
      </c>
    </row>
    <row r="907" spans="1:16" x14ac:dyDescent="0.25">
      <c r="A907" t="s">
        <v>7487</v>
      </c>
      <c r="B907" t="s">
        <v>7483</v>
      </c>
      <c r="C907" t="s">
        <v>1335</v>
      </c>
      <c r="D907" t="s">
        <v>1027</v>
      </c>
      <c r="E907">
        <v>1459</v>
      </c>
      <c r="F907" t="s">
        <v>1336</v>
      </c>
      <c r="G907" t="b">
        <v>0</v>
      </c>
      <c r="H907" t="b">
        <v>0</v>
      </c>
      <c r="I907" t="s">
        <v>1051</v>
      </c>
      <c r="J907">
        <v>22</v>
      </c>
      <c r="K907" t="s">
        <v>2</v>
      </c>
      <c r="L907" t="s">
        <v>1549</v>
      </c>
      <c r="M907" t="s">
        <v>3922</v>
      </c>
      <c r="N907" t="s">
        <v>3922</v>
      </c>
      <c r="O907" t="s">
        <v>3922</v>
      </c>
      <c r="P907" t="s">
        <v>1682</v>
      </c>
    </row>
    <row r="908" spans="1:16" x14ac:dyDescent="0.25">
      <c r="A908" t="s">
        <v>7488</v>
      </c>
      <c r="B908" t="s">
        <v>7483</v>
      </c>
      <c r="C908" t="s">
        <v>1335</v>
      </c>
      <c r="D908" t="s">
        <v>1027</v>
      </c>
      <c r="E908">
        <v>1459</v>
      </c>
      <c r="F908" t="s">
        <v>1336</v>
      </c>
      <c r="G908" t="b">
        <v>0</v>
      </c>
      <c r="H908" t="b">
        <v>0</v>
      </c>
      <c r="I908" t="s">
        <v>1051</v>
      </c>
      <c r="J908">
        <v>22</v>
      </c>
      <c r="K908" t="s">
        <v>2</v>
      </c>
      <c r="L908" t="s">
        <v>1549</v>
      </c>
      <c r="M908" t="s">
        <v>3922</v>
      </c>
      <c r="N908" t="s">
        <v>3922</v>
      </c>
      <c r="O908" t="s">
        <v>3922</v>
      </c>
      <c r="P908" t="s">
        <v>1682</v>
      </c>
    </row>
    <row r="909" spans="1:16" x14ac:dyDescent="0.25">
      <c r="A909" t="s">
        <v>7489</v>
      </c>
      <c r="B909" t="s">
        <v>7483</v>
      </c>
      <c r="C909" t="s">
        <v>1335</v>
      </c>
      <c r="D909" t="s">
        <v>1027</v>
      </c>
      <c r="E909">
        <v>1459</v>
      </c>
      <c r="F909" t="s">
        <v>1336</v>
      </c>
      <c r="G909" t="b">
        <v>0</v>
      </c>
      <c r="H909" t="b">
        <v>0</v>
      </c>
      <c r="I909" t="s">
        <v>1051</v>
      </c>
      <c r="J909">
        <v>22</v>
      </c>
      <c r="K909" t="s">
        <v>2</v>
      </c>
      <c r="L909" t="s">
        <v>1549</v>
      </c>
      <c r="M909" t="s">
        <v>3922</v>
      </c>
      <c r="N909" t="s">
        <v>3922</v>
      </c>
      <c r="O909" t="s">
        <v>3922</v>
      </c>
      <c r="P909" t="s">
        <v>1682</v>
      </c>
    </row>
    <row r="910" spans="1:16" x14ac:dyDescent="0.25">
      <c r="A910" t="s">
        <v>7490</v>
      </c>
      <c r="B910" t="s">
        <v>7483</v>
      </c>
      <c r="C910" t="s">
        <v>1335</v>
      </c>
      <c r="D910" t="s">
        <v>1027</v>
      </c>
      <c r="E910">
        <v>1459</v>
      </c>
      <c r="F910" t="s">
        <v>1336</v>
      </c>
      <c r="G910" t="b">
        <v>0</v>
      </c>
      <c r="H910" t="b">
        <v>0</v>
      </c>
      <c r="I910" t="s">
        <v>1051</v>
      </c>
      <c r="J910">
        <v>22</v>
      </c>
      <c r="K910" t="s">
        <v>2</v>
      </c>
      <c r="L910" t="s">
        <v>1549</v>
      </c>
      <c r="M910" t="s">
        <v>3922</v>
      </c>
      <c r="N910" t="s">
        <v>3922</v>
      </c>
      <c r="O910" t="s">
        <v>3922</v>
      </c>
      <c r="P910" t="s">
        <v>1682</v>
      </c>
    </row>
    <row r="911" spans="1:16" x14ac:dyDescent="0.25">
      <c r="A911" t="s">
        <v>7491</v>
      </c>
      <c r="B911" t="s">
        <v>7483</v>
      </c>
      <c r="C911" t="s">
        <v>1335</v>
      </c>
      <c r="D911" t="s">
        <v>1027</v>
      </c>
      <c r="E911">
        <v>1459</v>
      </c>
      <c r="F911" t="s">
        <v>1336</v>
      </c>
      <c r="G911" t="b">
        <v>0</v>
      </c>
      <c r="H911" t="b">
        <v>0</v>
      </c>
      <c r="I911" t="s">
        <v>1051</v>
      </c>
      <c r="J911">
        <v>22</v>
      </c>
      <c r="K911" t="s">
        <v>2</v>
      </c>
      <c r="L911" t="s">
        <v>1549</v>
      </c>
      <c r="M911" t="s">
        <v>3922</v>
      </c>
      <c r="N911" t="s">
        <v>3922</v>
      </c>
      <c r="O911" t="s">
        <v>3922</v>
      </c>
      <c r="P911" t="s">
        <v>1682</v>
      </c>
    </row>
    <row r="912" spans="1:16" x14ac:dyDescent="0.25">
      <c r="A912" t="s">
        <v>7492</v>
      </c>
      <c r="B912" t="s">
        <v>7483</v>
      </c>
      <c r="C912" t="s">
        <v>1335</v>
      </c>
      <c r="D912" t="s">
        <v>1027</v>
      </c>
      <c r="E912">
        <v>1459</v>
      </c>
      <c r="F912" t="s">
        <v>1336</v>
      </c>
      <c r="G912" t="b">
        <v>0</v>
      </c>
      <c r="H912" t="b">
        <v>0</v>
      </c>
      <c r="I912" t="s">
        <v>1051</v>
      </c>
      <c r="J912">
        <v>46</v>
      </c>
      <c r="K912" t="s">
        <v>2</v>
      </c>
      <c r="L912" t="s">
        <v>1549</v>
      </c>
      <c r="M912" t="s">
        <v>3922</v>
      </c>
      <c r="N912" t="s">
        <v>3922</v>
      </c>
      <c r="O912" t="s">
        <v>3922</v>
      </c>
      <c r="P912" t="s">
        <v>1682</v>
      </c>
    </row>
    <row r="913" spans="1:16" ht="409.5" x14ac:dyDescent="0.25">
      <c r="A913" t="s">
        <v>7493</v>
      </c>
      <c r="B913" t="s">
        <v>7494</v>
      </c>
      <c r="C913" t="s">
        <v>6503</v>
      </c>
      <c r="D913" t="s">
        <v>1027</v>
      </c>
      <c r="E913">
        <v>1488</v>
      </c>
      <c r="F913" t="s">
        <v>6504</v>
      </c>
      <c r="G913" t="b">
        <v>0</v>
      </c>
      <c r="H913" t="b">
        <v>0</v>
      </c>
      <c r="I913" t="s">
        <v>1051</v>
      </c>
      <c r="J913">
        <v>78</v>
      </c>
      <c r="K913" t="s">
        <v>0</v>
      </c>
      <c r="L913" t="s">
        <v>3000</v>
      </c>
      <c r="M913" t="s">
        <v>1548</v>
      </c>
      <c r="N913" t="s">
        <v>1548</v>
      </c>
      <c r="O913" t="s">
        <v>1548</v>
      </c>
      <c r="P913" s="36" t="s">
        <v>6505</v>
      </c>
    </row>
    <row r="914" spans="1:16" ht="409.5" x14ac:dyDescent="0.25">
      <c r="A914" t="s">
        <v>7495</v>
      </c>
      <c r="B914" t="s">
        <v>7494</v>
      </c>
      <c r="C914" t="s">
        <v>6503</v>
      </c>
      <c r="D914" t="s">
        <v>1027</v>
      </c>
      <c r="E914">
        <v>1488</v>
      </c>
      <c r="F914" t="s">
        <v>6504</v>
      </c>
      <c r="G914" t="b">
        <v>0</v>
      </c>
      <c r="H914" t="b">
        <v>0</v>
      </c>
      <c r="I914" t="s">
        <v>1051</v>
      </c>
      <c r="J914">
        <v>78</v>
      </c>
      <c r="K914" t="s">
        <v>0</v>
      </c>
      <c r="L914" t="s">
        <v>3000</v>
      </c>
      <c r="M914" t="s">
        <v>1548</v>
      </c>
      <c r="N914" t="s">
        <v>1548</v>
      </c>
      <c r="O914" t="s">
        <v>1548</v>
      </c>
      <c r="P914" s="36" t="s">
        <v>6505</v>
      </c>
    </row>
    <row r="915" spans="1:16" ht="409.5" x14ac:dyDescent="0.25">
      <c r="A915" t="s">
        <v>7496</v>
      </c>
      <c r="B915" t="s">
        <v>7494</v>
      </c>
      <c r="C915" t="s">
        <v>6503</v>
      </c>
      <c r="D915" t="s">
        <v>1027</v>
      </c>
      <c r="E915">
        <v>1488</v>
      </c>
      <c r="F915" t="s">
        <v>6504</v>
      </c>
      <c r="G915" t="b">
        <v>0</v>
      </c>
      <c r="H915" t="b">
        <v>0</v>
      </c>
      <c r="I915" t="s">
        <v>1051</v>
      </c>
      <c r="J915">
        <v>78</v>
      </c>
      <c r="K915" t="s">
        <v>0</v>
      </c>
      <c r="L915" t="s">
        <v>3000</v>
      </c>
      <c r="M915" t="s">
        <v>1548</v>
      </c>
      <c r="N915" t="s">
        <v>1548</v>
      </c>
      <c r="O915" t="s">
        <v>1548</v>
      </c>
      <c r="P915" s="36" t="s">
        <v>6505</v>
      </c>
    </row>
    <row r="916" spans="1:16" ht="409.5" x14ac:dyDescent="0.25">
      <c r="A916" t="s">
        <v>7497</v>
      </c>
      <c r="B916" t="s">
        <v>7498</v>
      </c>
      <c r="C916" t="s">
        <v>6503</v>
      </c>
      <c r="D916" t="s">
        <v>1027</v>
      </c>
      <c r="E916">
        <v>1488</v>
      </c>
      <c r="F916" t="s">
        <v>6504</v>
      </c>
      <c r="G916" t="b">
        <v>0</v>
      </c>
      <c r="H916" t="b">
        <v>0</v>
      </c>
      <c r="I916" t="s">
        <v>1051</v>
      </c>
      <c r="J916">
        <v>78</v>
      </c>
      <c r="K916" t="s">
        <v>0</v>
      </c>
      <c r="L916" t="s">
        <v>3000</v>
      </c>
      <c r="M916" t="s">
        <v>1548</v>
      </c>
      <c r="N916" t="s">
        <v>1548</v>
      </c>
      <c r="O916" t="s">
        <v>1548</v>
      </c>
      <c r="P916" s="36" t="s">
        <v>6505</v>
      </c>
    </row>
    <row r="917" spans="1:16" ht="409.5" x14ac:dyDescent="0.25">
      <c r="A917" t="s">
        <v>7499</v>
      </c>
      <c r="B917" t="s">
        <v>7500</v>
      </c>
      <c r="C917" t="s">
        <v>6503</v>
      </c>
      <c r="D917" t="s">
        <v>1027</v>
      </c>
      <c r="E917">
        <v>1488</v>
      </c>
      <c r="F917" t="s">
        <v>6504</v>
      </c>
      <c r="G917" t="b">
        <v>0</v>
      </c>
      <c r="H917" t="b">
        <v>0</v>
      </c>
      <c r="I917" t="s">
        <v>1051</v>
      </c>
      <c r="J917">
        <v>78</v>
      </c>
      <c r="K917" t="s">
        <v>0</v>
      </c>
      <c r="L917" t="s">
        <v>3000</v>
      </c>
      <c r="M917" t="s">
        <v>1548</v>
      </c>
      <c r="N917" t="s">
        <v>1548</v>
      </c>
      <c r="O917" t="s">
        <v>1548</v>
      </c>
      <c r="P917" s="36" t="s">
        <v>6505</v>
      </c>
    </row>
    <row r="918" spans="1:16" ht="409.5" x14ac:dyDescent="0.25">
      <c r="A918" t="s">
        <v>7501</v>
      </c>
      <c r="B918" t="s">
        <v>7500</v>
      </c>
      <c r="C918" t="s">
        <v>6503</v>
      </c>
      <c r="D918" t="s">
        <v>1027</v>
      </c>
      <c r="E918">
        <v>1488</v>
      </c>
      <c r="F918" t="s">
        <v>6504</v>
      </c>
      <c r="G918" t="b">
        <v>0</v>
      </c>
      <c r="H918" t="b">
        <v>0</v>
      </c>
      <c r="I918" t="s">
        <v>1051</v>
      </c>
      <c r="J918">
        <v>78</v>
      </c>
      <c r="K918" t="s">
        <v>0</v>
      </c>
      <c r="L918" t="s">
        <v>3000</v>
      </c>
      <c r="M918" t="s">
        <v>1548</v>
      </c>
      <c r="N918" t="s">
        <v>1548</v>
      </c>
      <c r="O918" t="s">
        <v>1548</v>
      </c>
      <c r="P918" s="36" t="s">
        <v>6505</v>
      </c>
    </row>
    <row r="919" spans="1:16" ht="409.5" x14ac:dyDescent="0.25">
      <c r="A919" t="s">
        <v>7502</v>
      </c>
      <c r="B919" t="s">
        <v>7503</v>
      </c>
      <c r="C919" t="s">
        <v>6503</v>
      </c>
      <c r="D919" t="s">
        <v>1027</v>
      </c>
      <c r="E919">
        <v>1488</v>
      </c>
      <c r="F919" t="s">
        <v>6504</v>
      </c>
      <c r="G919" t="b">
        <v>0</v>
      </c>
      <c r="H919" t="b">
        <v>0</v>
      </c>
      <c r="I919" t="s">
        <v>1051</v>
      </c>
      <c r="J919">
        <v>78</v>
      </c>
      <c r="K919" t="s">
        <v>0</v>
      </c>
      <c r="L919" t="s">
        <v>3000</v>
      </c>
      <c r="M919" t="s">
        <v>1548</v>
      </c>
      <c r="N919" t="s">
        <v>1548</v>
      </c>
      <c r="O919" t="s">
        <v>1548</v>
      </c>
      <c r="P919" s="36" t="s">
        <v>6505</v>
      </c>
    </row>
    <row r="920" spans="1:16" ht="409.5" x14ac:dyDescent="0.25">
      <c r="A920" t="s">
        <v>7504</v>
      </c>
      <c r="B920" t="s">
        <v>7503</v>
      </c>
      <c r="C920" t="s">
        <v>6503</v>
      </c>
      <c r="D920" t="s">
        <v>1027</v>
      </c>
      <c r="E920">
        <v>1488</v>
      </c>
      <c r="F920" t="s">
        <v>6504</v>
      </c>
      <c r="G920" t="b">
        <v>0</v>
      </c>
      <c r="H920" t="b">
        <v>0</v>
      </c>
      <c r="I920" t="s">
        <v>1051</v>
      </c>
      <c r="J920">
        <v>78</v>
      </c>
      <c r="K920" t="s">
        <v>0</v>
      </c>
      <c r="L920" t="s">
        <v>3000</v>
      </c>
      <c r="M920" t="s">
        <v>1548</v>
      </c>
      <c r="N920" t="s">
        <v>1548</v>
      </c>
      <c r="O920" t="s">
        <v>1548</v>
      </c>
      <c r="P920" s="36" t="s">
        <v>6505</v>
      </c>
    </row>
    <row r="921" spans="1:16" ht="409.5" x14ac:dyDescent="0.25">
      <c r="A921" t="s">
        <v>7505</v>
      </c>
      <c r="B921" t="s">
        <v>7503</v>
      </c>
      <c r="C921" t="s">
        <v>6503</v>
      </c>
      <c r="D921" t="s">
        <v>1027</v>
      </c>
      <c r="E921">
        <v>1488</v>
      </c>
      <c r="F921" t="s">
        <v>6504</v>
      </c>
      <c r="G921" t="b">
        <v>0</v>
      </c>
      <c r="H921" t="b">
        <v>0</v>
      </c>
      <c r="I921" t="s">
        <v>1051</v>
      </c>
      <c r="J921">
        <v>78</v>
      </c>
      <c r="K921" t="s">
        <v>0</v>
      </c>
      <c r="L921" t="s">
        <v>3000</v>
      </c>
      <c r="M921" t="s">
        <v>1548</v>
      </c>
      <c r="N921" t="s">
        <v>1548</v>
      </c>
      <c r="O921" t="s">
        <v>1548</v>
      </c>
      <c r="P921" s="36" t="s">
        <v>6505</v>
      </c>
    </row>
    <row r="922" spans="1:16" ht="409.5" x14ac:dyDescent="0.25">
      <c r="A922" t="s">
        <v>7506</v>
      </c>
      <c r="B922" t="s">
        <v>7503</v>
      </c>
      <c r="C922" t="s">
        <v>6503</v>
      </c>
      <c r="D922" t="s">
        <v>1027</v>
      </c>
      <c r="E922">
        <v>1488</v>
      </c>
      <c r="F922" t="s">
        <v>6504</v>
      </c>
      <c r="G922" t="b">
        <v>0</v>
      </c>
      <c r="H922" t="b">
        <v>0</v>
      </c>
      <c r="I922" t="s">
        <v>1051</v>
      </c>
      <c r="J922">
        <v>78</v>
      </c>
      <c r="K922" t="s">
        <v>0</v>
      </c>
      <c r="L922" t="s">
        <v>3000</v>
      </c>
      <c r="M922" t="s">
        <v>1548</v>
      </c>
      <c r="N922" t="s">
        <v>1548</v>
      </c>
      <c r="O922" t="s">
        <v>1548</v>
      </c>
      <c r="P922" s="36" t="s">
        <v>6505</v>
      </c>
    </row>
    <row r="923" spans="1:16" ht="409.5" x14ac:dyDescent="0.25">
      <c r="A923" t="s">
        <v>7507</v>
      </c>
      <c r="B923" t="s">
        <v>7503</v>
      </c>
      <c r="C923" t="s">
        <v>6503</v>
      </c>
      <c r="D923" t="s">
        <v>1027</v>
      </c>
      <c r="E923">
        <v>1488</v>
      </c>
      <c r="F923" t="s">
        <v>6504</v>
      </c>
      <c r="G923" t="b">
        <v>0</v>
      </c>
      <c r="H923" t="b">
        <v>0</v>
      </c>
      <c r="I923" t="s">
        <v>1051</v>
      </c>
      <c r="J923">
        <v>78</v>
      </c>
      <c r="K923" t="s">
        <v>0</v>
      </c>
      <c r="L923" t="s">
        <v>3000</v>
      </c>
      <c r="M923" t="s">
        <v>1548</v>
      </c>
      <c r="N923" t="s">
        <v>1548</v>
      </c>
      <c r="O923" t="s">
        <v>1548</v>
      </c>
      <c r="P923" s="36" t="s">
        <v>6505</v>
      </c>
    </row>
    <row r="924" spans="1:16" ht="409.5" x14ac:dyDescent="0.25">
      <c r="A924" t="s">
        <v>7508</v>
      </c>
      <c r="B924" t="s">
        <v>7503</v>
      </c>
      <c r="C924" t="s">
        <v>6503</v>
      </c>
      <c r="D924" t="s">
        <v>1027</v>
      </c>
      <c r="E924">
        <v>1488</v>
      </c>
      <c r="F924" t="s">
        <v>6504</v>
      </c>
      <c r="G924" t="b">
        <v>0</v>
      </c>
      <c r="H924" t="b">
        <v>0</v>
      </c>
      <c r="I924" t="s">
        <v>1051</v>
      </c>
      <c r="J924">
        <v>78</v>
      </c>
      <c r="K924" t="s">
        <v>0</v>
      </c>
      <c r="L924" t="s">
        <v>3000</v>
      </c>
      <c r="M924" t="s">
        <v>1548</v>
      </c>
      <c r="N924" t="s">
        <v>1548</v>
      </c>
      <c r="O924" t="s">
        <v>1548</v>
      </c>
      <c r="P924" s="36" t="s">
        <v>6505</v>
      </c>
    </row>
    <row r="925" spans="1:16" ht="409.5" x14ac:dyDescent="0.25">
      <c r="A925" t="s">
        <v>7509</v>
      </c>
      <c r="B925" t="s">
        <v>7503</v>
      </c>
      <c r="C925" t="s">
        <v>6503</v>
      </c>
      <c r="D925" t="s">
        <v>1027</v>
      </c>
      <c r="E925">
        <v>1488</v>
      </c>
      <c r="F925" t="s">
        <v>6504</v>
      </c>
      <c r="G925" t="b">
        <v>0</v>
      </c>
      <c r="H925" t="b">
        <v>0</v>
      </c>
      <c r="I925" t="s">
        <v>1051</v>
      </c>
      <c r="J925">
        <v>78</v>
      </c>
      <c r="K925" t="s">
        <v>0</v>
      </c>
      <c r="L925" t="s">
        <v>3000</v>
      </c>
      <c r="M925" t="s">
        <v>1548</v>
      </c>
      <c r="N925" t="s">
        <v>1548</v>
      </c>
      <c r="O925" t="s">
        <v>1548</v>
      </c>
      <c r="P925" s="36" t="s">
        <v>6505</v>
      </c>
    </row>
    <row r="926" spans="1:16" ht="409.5" x14ac:dyDescent="0.25">
      <c r="A926" t="s">
        <v>7510</v>
      </c>
      <c r="B926" t="s">
        <v>7498</v>
      </c>
      <c r="C926" t="s">
        <v>6503</v>
      </c>
      <c r="D926" t="s">
        <v>1027</v>
      </c>
      <c r="E926">
        <v>1488</v>
      </c>
      <c r="F926" t="s">
        <v>6504</v>
      </c>
      <c r="G926" t="b">
        <v>0</v>
      </c>
      <c r="H926" t="b">
        <v>0</v>
      </c>
      <c r="I926" t="s">
        <v>1051</v>
      </c>
      <c r="J926">
        <v>78</v>
      </c>
      <c r="K926" t="s">
        <v>0</v>
      </c>
      <c r="L926" t="s">
        <v>3000</v>
      </c>
      <c r="M926" t="s">
        <v>1548</v>
      </c>
      <c r="N926" t="s">
        <v>1548</v>
      </c>
      <c r="O926" t="s">
        <v>1548</v>
      </c>
      <c r="P926" s="36" t="s">
        <v>6505</v>
      </c>
    </row>
    <row r="927" spans="1:16" ht="409.5" x14ac:dyDescent="0.25">
      <c r="A927" t="s">
        <v>7511</v>
      </c>
      <c r="B927" t="s">
        <v>7498</v>
      </c>
      <c r="C927" t="s">
        <v>6503</v>
      </c>
      <c r="D927" t="s">
        <v>1027</v>
      </c>
      <c r="E927">
        <v>1488</v>
      </c>
      <c r="F927" t="s">
        <v>6504</v>
      </c>
      <c r="G927" t="b">
        <v>0</v>
      </c>
      <c r="H927" t="b">
        <v>0</v>
      </c>
      <c r="I927" t="s">
        <v>1051</v>
      </c>
      <c r="J927">
        <v>78</v>
      </c>
      <c r="K927" t="s">
        <v>0</v>
      </c>
      <c r="L927" t="s">
        <v>3000</v>
      </c>
      <c r="M927" t="s">
        <v>1548</v>
      </c>
      <c r="N927" t="s">
        <v>1548</v>
      </c>
      <c r="O927" t="s">
        <v>1548</v>
      </c>
      <c r="P927" s="36" t="s">
        <v>6505</v>
      </c>
    </row>
    <row r="928" spans="1:16" ht="409.5" x14ac:dyDescent="0.25">
      <c r="A928" t="s">
        <v>7512</v>
      </c>
      <c r="B928" t="s">
        <v>7513</v>
      </c>
      <c r="C928" t="s">
        <v>6473</v>
      </c>
      <c r="D928" t="s">
        <v>1027</v>
      </c>
      <c r="E928">
        <v>33419</v>
      </c>
      <c r="F928" t="s">
        <v>6474</v>
      </c>
      <c r="G928" t="b">
        <v>0</v>
      </c>
      <c r="H928" t="b">
        <v>0</v>
      </c>
      <c r="I928" t="s">
        <v>1051</v>
      </c>
      <c r="J928">
        <v>78</v>
      </c>
      <c r="K928" t="s">
        <v>0</v>
      </c>
      <c r="L928" t="s">
        <v>3000</v>
      </c>
      <c r="M928" t="s">
        <v>1548</v>
      </c>
      <c r="N928" t="s">
        <v>1548</v>
      </c>
      <c r="O928" t="s">
        <v>1548</v>
      </c>
      <c r="P928" s="36" t="s">
        <v>6448</v>
      </c>
    </row>
    <row r="929" spans="1:16" ht="409.5" x14ac:dyDescent="0.25">
      <c r="A929" t="s">
        <v>7514</v>
      </c>
      <c r="B929" t="s">
        <v>7513</v>
      </c>
      <c r="C929" t="s">
        <v>6473</v>
      </c>
      <c r="D929" t="s">
        <v>1027</v>
      </c>
      <c r="E929">
        <v>33419</v>
      </c>
      <c r="F929" t="s">
        <v>6474</v>
      </c>
      <c r="G929" t="b">
        <v>0</v>
      </c>
      <c r="H929" t="b">
        <v>0</v>
      </c>
      <c r="I929" t="s">
        <v>1051</v>
      </c>
      <c r="J929">
        <v>78</v>
      </c>
      <c r="K929" t="s">
        <v>0</v>
      </c>
      <c r="L929" t="s">
        <v>3000</v>
      </c>
      <c r="M929" t="s">
        <v>1548</v>
      </c>
      <c r="N929" t="s">
        <v>1548</v>
      </c>
      <c r="O929" t="s">
        <v>1548</v>
      </c>
      <c r="P929" s="36" t="s">
        <v>6448</v>
      </c>
    </row>
    <row r="930" spans="1:16" ht="409.5" x14ac:dyDescent="0.25">
      <c r="A930" t="s">
        <v>7515</v>
      </c>
      <c r="B930" t="s">
        <v>7513</v>
      </c>
      <c r="C930" t="s">
        <v>6473</v>
      </c>
      <c r="D930" t="s">
        <v>1027</v>
      </c>
      <c r="E930">
        <v>33419</v>
      </c>
      <c r="F930" t="s">
        <v>6474</v>
      </c>
      <c r="G930" t="b">
        <v>0</v>
      </c>
      <c r="H930" t="b">
        <v>0</v>
      </c>
      <c r="I930" t="s">
        <v>1051</v>
      </c>
      <c r="J930">
        <v>78</v>
      </c>
      <c r="K930" t="s">
        <v>0</v>
      </c>
      <c r="L930" t="s">
        <v>3000</v>
      </c>
      <c r="M930" t="s">
        <v>1548</v>
      </c>
      <c r="N930" t="s">
        <v>1548</v>
      </c>
      <c r="O930" t="s">
        <v>1548</v>
      </c>
      <c r="P930" s="36" t="s">
        <v>6448</v>
      </c>
    </row>
    <row r="931" spans="1:16" ht="409.5" x14ac:dyDescent="0.25">
      <c r="A931" t="s">
        <v>7516</v>
      </c>
      <c r="B931" t="s">
        <v>7513</v>
      </c>
      <c r="C931" t="s">
        <v>6473</v>
      </c>
      <c r="D931" t="s">
        <v>1027</v>
      </c>
      <c r="E931">
        <v>33419</v>
      </c>
      <c r="F931" t="s">
        <v>6474</v>
      </c>
      <c r="G931" t="b">
        <v>0</v>
      </c>
      <c r="H931" t="b">
        <v>0</v>
      </c>
      <c r="I931" t="s">
        <v>1051</v>
      </c>
      <c r="J931">
        <v>78</v>
      </c>
      <c r="K931" t="s">
        <v>0</v>
      </c>
      <c r="L931" t="s">
        <v>3000</v>
      </c>
      <c r="M931" t="s">
        <v>1548</v>
      </c>
      <c r="N931" t="s">
        <v>1548</v>
      </c>
      <c r="O931" t="s">
        <v>1548</v>
      </c>
      <c r="P931" s="36" t="s">
        <v>6448</v>
      </c>
    </row>
    <row r="932" spans="1:16" ht="409.5" x14ac:dyDescent="0.25">
      <c r="A932" t="s">
        <v>7517</v>
      </c>
      <c r="B932" t="s">
        <v>7513</v>
      </c>
      <c r="C932" t="s">
        <v>6473</v>
      </c>
      <c r="D932" t="s">
        <v>1027</v>
      </c>
      <c r="E932">
        <v>33419</v>
      </c>
      <c r="F932" t="s">
        <v>6474</v>
      </c>
      <c r="G932" t="b">
        <v>0</v>
      </c>
      <c r="H932" t="b">
        <v>0</v>
      </c>
      <c r="I932" t="s">
        <v>1051</v>
      </c>
      <c r="J932">
        <v>78</v>
      </c>
      <c r="K932" t="s">
        <v>0</v>
      </c>
      <c r="L932" t="s">
        <v>3000</v>
      </c>
      <c r="M932" t="s">
        <v>1548</v>
      </c>
      <c r="N932" t="s">
        <v>1548</v>
      </c>
      <c r="O932" t="s">
        <v>1548</v>
      </c>
      <c r="P932" s="36" t="s">
        <v>6448</v>
      </c>
    </row>
    <row r="933" spans="1:16" ht="409.5" x14ac:dyDescent="0.25">
      <c r="A933" t="s">
        <v>7518</v>
      </c>
      <c r="B933" t="s">
        <v>7513</v>
      </c>
      <c r="C933" t="s">
        <v>6473</v>
      </c>
      <c r="D933" t="s">
        <v>1027</v>
      </c>
      <c r="E933">
        <v>33419</v>
      </c>
      <c r="F933" t="s">
        <v>6474</v>
      </c>
      <c r="G933" t="b">
        <v>0</v>
      </c>
      <c r="H933" t="b">
        <v>0</v>
      </c>
      <c r="I933" t="s">
        <v>1051</v>
      </c>
      <c r="J933">
        <v>78</v>
      </c>
      <c r="K933" t="s">
        <v>0</v>
      </c>
      <c r="L933" t="s">
        <v>3000</v>
      </c>
      <c r="M933" t="s">
        <v>1548</v>
      </c>
      <c r="N933" t="s">
        <v>1548</v>
      </c>
      <c r="O933" t="s">
        <v>1548</v>
      </c>
      <c r="P933" s="36" t="s">
        <v>6448</v>
      </c>
    </row>
    <row r="934" spans="1:16" ht="409.5" x14ac:dyDescent="0.25">
      <c r="A934" t="s">
        <v>7519</v>
      </c>
      <c r="B934" t="s">
        <v>7513</v>
      </c>
      <c r="C934" t="s">
        <v>6473</v>
      </c>
      <c r="D934" t="s">
        <v>1027</v>
      </c>
      <c r="E934">
        <v>33419</v>
      </c>
      <c r="F934" t="s">
        <v>6474</v>
      </c>
      <c r="G934" t="b">
        <v>0</v>
      </c>
      <c r="H934" t="b">
        <v>0</v>
      </c>
      <c r="I934" t="s">
        <v>1051</v>
      </c>
      <c r="J934">
        <v>78</v>
      </c>
      <c r="K934" t="s">
        <v>0</v>
      </c>
      <c r="L934" t="s">
        <v>3000</v>
      </c>
      <c r="M934" t="s">
        <v>1548</v>
      </c>
      <c r="N934" t="s">
        <v>1548</v>
      </c>
      <c r="O934" t="s">
        <v>1548</v>
      </c>
      <c r="P934" s="36" t="s">
        <v>6448</v>
      </c>
    </row>
    <row r="935" spans="1:16" ht="409.5" x14ac:dyDescent="0.25">
      <c r="A935" t="s">
        <v>7520</v>
      </c>
      <c r="B935" t="s">
        <v>7513</v>
      </c>
      <c r="C935" t="s">
        <v>6473</v>
      </c>
      <c r="D935" t="s">
        <v>1027</v>
      </c>
      <c r="E935">
        <v>33419</v>
      </c>
      <c r="F935" t="s">
        <v>6474</v>
      </c>
      <c r="G935" t="b">
        <v>0</v>
      </c>
      <c r="H935" t="b">
        <v>0</v>
      </c>
      <c r="I935" t="s">
        <v>1051</v>
      </c>
      <c r="J935">
        <v>78</v>
      </c>
      <c r="K935" t="s">
        <v>0</v>
      </c>
      <c r="L935" t="s">
        <v>3000</v>
      </c>
      <c r="M935" t="s">
        <v>1548</v>
      </c>
      <c r="N935" t="s">
        <v>1548</v>
      </c>
      <c r="O935" t="s">
        <v>1548</v>
      </c>
      <c r="P935" s="36" t="s">
        <v>6448</v>
      </c>
    </row>
    <row r="936" spans="1:16" ht="409.5" x14ac:dyDescent="0.25">
      <c r="A936" t="s">
        <v>7521</v>
      </c>
      <c r="B936" t="s">
        <v>7513</v>
      </c>
      <c r="C936" t="s">
        <v>6473</v>
      </c>
      <c r="D936" t="s">
        <v>1027</v>
      </c>
      <c r="E936">
        <v>33419</v>
      </c>
      <c r="F936" t="s">
        <v>6474</v>
      </c>
      <c r="G936" t="b">
        <v>0</v>
      </c>
      <c r="H936" t="b">
        <v>0</v>
      </c>
      <c r="I936" t="s">
        <v>1051</v>
      </c>
      <c r="J936">
        <v>78</v>
      </c>
      <c r="K936" t="s">
        <v>0</v>
      </c>
      <c r="L936" t="s">
        <v>3000</v>
      </c>
      <c r="M936" t="s">
        <v>1548</v>
      </c>
      <c r="N936" t="s">
        <v>1548</v>
      </c>
      <c r="O936" t="s">
        <v>1548</v>
      </c>
      <c r="P936" s="36" t="s">
        <v>6448</v>
      </c>
    </row>
    <row r="937" spans="1:16" ht="409.5" x14ac:dyDescent="0.25">
      <c r="A937" t="s">
        <v>7522</v>
      </c>
      <c r="B937" t="s">
        <v>7513</v>
      </c>
      <c r="C937" t="s">
        <v>6473</v>
      </c>
      <c r="D937" t="s">
        <v>1027</v>
      </c>
      <c r="E937">
        <v>33419</v>
      </c>
      <c r="F937" t="s">
        <v>6474</v>
      </c>
      <c r="G937" t="b">
        <v>0</v>
      </c>
      <c r="H937" t="b">
        <v>0</v>
      </c>
      <c r="I937" t="s">
        <v>1051</v>
      </c>
      <c r="J937">
        <v>78</v>
      </c>
      <c r="K937" t="s">
        <v>0</v>
      </c>
      <c r="L937" t="s">
        <v>3000</v>
      </c>
      <c r="M937" t="s">
        <v>1548</v>
      </c>
      <c r="N937" t="s">
        <v>1548</v>
      </c>
      <c r="O937" t="s">
        <v>1548</v>
      </c>
      <c r="P937" s="36" t="s">
        <v>6448</v>
      </c>
    </row>
    <row r="938" spans="1:16" ht="409.5" x14ac:dyDescent="0.25">
      <c r="A938" t="s">
        <v>7523</v>
      </c>
      <c r="B938" t="s">
        <v>7513</v>
      </c>
      <c r="C938" t="s">
        <v>6473</v>
      </c>
      <c r="D938" t="s">
        <v>1027</v>
      </c>
      <c r="E938">
        <v>33419</v>
      </c>
      <c r="F938" t="s">
        <v>6474</v>
      </c>
      <c r="G938" t="b">
        <v>0</v>
      </c>
      <c r="H938" t="b">
        <v>0</v>
      </c>
      <c r="I938" t="s">
        <v>1051</v>
      </c>
      <c r="J938">
        <v>78</v>
      </c>
      <c r="K938" t="s">
        <v>0</v>
      </c>
      <c r="L938" t="s">
        <v>3000</v>
      </c>
      <c r="M938" t="s">
        <v>1548</v>
      </c>
      <c r="N938" t="s">
        <v>1548</v>
      </c>
      <c r="O938" t="s">
        <v>1548</v>
      </c>
      <c r="P938" s="36" t="s">
        <v>6448</v>
      </c>
    </row>
    <row r="939" spans="1:16" ht="409.5" x14ac:dyDescent="0.25">
      <c r="A939" t="s">
        <v>7524</v>
      </c>
      <c r="B939" t="s">
        <v>7513</v>
      </c>
      <c r="C939" t="s">
        <v>6473</v>
      </c>
      <c r="D939" t="s">
        <v>1027</v>
      </c>
      <c r="E939">
        <v>33419</v>
      </c>
      <c r="F939" t="s">
        <v>6474</v>
      </c>
      <c r="G939" t="b">
        <v>0</v>
      </c>
      <c r="H939" t="b">
        <v>0</v>
      </c>
      <c r="I939" t="s">
        <v>1051</v>
      </c>
      <c r="J939">
        <v>78</v>
      </c>
      <c r="K939" t="s">
        <v>0</v>
      </c>
      <c r="L939" t="s">
        <v>3000</v>
      </c>
      <c r="M939" t="s">
        <v>1548</v>
      </c>
      <c r="N939" t="s">
        <v>1548</v>
      </c>
      <c r="O939" t="s">
        <v>1548</v>
      </c>
      <c r="P939" s="36" t="s">
        <v>6448</v>
      </c>
    </row>
    <row r="940" spans="1:16" ht="409.5" x14ac:dyDescent="0.25">
      <c r="A940" t="s">
        <v>7525</v>
      </c>
      <c r="B940" t="s">
        <v>7513</v>
      </c>
      <c r="C940" t="s">
        <v>6473</v>
      </c>
      <c r="D940" t="s">
        <v>1027</v>
      </c>
      <c r="E940">
        <v>33419</v>
      </c>
      <c r="F940" t="s">
        <v>6474</v>
      </c>
      <c r="G940" t="b">
        <v>0</v>
      </c>
      <c r="H940" t="b">
        <v>0</v>
      </c>
      <c r="I940" t="s">
        <v>1051</v>
      </c>
      <c r="J940">
        <v>78</v>
      </c>
      <c r="K940" t="s">
        <v>0</v>
      </c>
      <c r="L940" t="s">
        <v>3000</v>
      </c>
      <c r="M940" t="s">
        <v>1548</v>
      </c>
      <c r="N940" t="s">
        <v>1548</v>
      </c>
      <c r="O940" t="s">
        <v>1548</v>
      </c>
      <c r="P940" s="36" t="s">
        <v>6448</v>
      </c>
    </row>
    <row r="941" spans="1:16" ht="409.5" x14ac:dyDescent="0.25">
      <c r="A941" t="s">
        <v>7526</v>
      </c>
      <c r="B941" t="s">
        <v>7527</v>
      </c>
      <c r="C941" t="s">
        <v>6645</v>
      </c>
      <c r="D941" t="s">
        <v>1027</v>
      </c>
      <c r="E941">
        <v>33434</v>
      </c>
      <c r="F941" t="s">
        <v>6646</v>
      </c>
      <c r="G941" t="b">
        <v>0</v>
      </c>
      <c r="H941" t="b">
        <v>0</v>
      </c>
      <c r="I941" t="s">
        <v>1051</v>
      </c>
      <c r="J941">
        <v>78</v>
      </c>
      <c r="K941" t="s">
        <v>0</v>
      </c>
      <c r="L941" t="s">
        <v>3000</v>
      </c>
      <c r="M941" t="s">
        <v>1548</v>
      </c>
      <c r="N941" t="s">
        <v>1548</v>
      </c>
      <c r="O941" t="s">
        <v>1548</v>
      </c>
      <c r="P941" s="36" t="s">
        <v>6448</v>
      </c>
    </row>
    <row r="942" spans="1:16" ht="409.5" x14ac:dyDescent="0.25">
      <c r="A942" t="s">
        <v>7528</v>
      </c>
      <c r="B942" t="s">
        <v>7527</v>
      </c>
      <c r="C942" t="s">
        <v>6645</v>
      </c>
      <c r="D942" t="s">
        <v>1027</v>
      </c>
      <c r="E942">
        <v>33434</v>
      </c>
      <c r="F942" t="s">
        <v>6646</v>
      </c>
      <c r="G942" t="b">
        <v>0</v>
      </c>
      <c r="H942" t="b">
        <v>0</v>
      </c>
      <c r="I942" t="s">
        <v>1051</v>
      </c>
      <c r="J942">
        <v>78</v>
      </c>
      <c r="K942" t="s">
        <v>0</v>
      </c>
      <c r="L942" t="s">
        <v>3000</v>
      </c>
      <c r="M942" t="s">
        <v>1548</v>
      </c>
      <c r="N942" t="s">
        <v>1548</v>
      </c>
      <c r="O942" t="s">
        <v>1548</v>
      </c>
      <c r="P942" s="36" t="s">
        <v>6448</v>
      </c>
    </row>
    <row r="943" spans="1:16" ht="409.5" x14ac:dyDescent="0.25">
      <c r="A943" t="s">
        <v>7529</v>
      </c>
      <c r="B943" t="s">
        <v>7527</v>
      </c>
      <c r="C943" t="s">
        <v>6645</v>
      </c>
      <c r="D943" t="s">
        <v>1027</v>
      </c>
      <c r="E943">
        <v>33434</v>
      </c>
      <c r="F943" t="s">
        <v>6646</v>
      </c>
      <c r="G943" t="b">
        <v>0</v>
      </c>
      <c r="H943" t="b">
        <v>0</v>
      </c>
      <c r="I943" t="s">
        <v>1051</v>
      </c>
      <c r="J943">
        <v>78</v>
      </c>
      <c r="K943" t="s">
        <v>0</v>
      </c>
      <c r="L943" t="s">
        <v>3000</v>
      </c>
      <c r="M943" t="s">
        <v>1548</v>
      </c>
      <c r="N943" t="s">
        <v>1548</v>
      </c>
      <c r="O943" t="s">
        <v>1548</v>
      </c>
      <c r="P943" s="36" t="s">
        <v>6448</v>
      </c>
    </row>
    <row r="944" spans="1:16" ht="409.5" x14ac:dyDescent="0.25">
      <c r="A944" t="s">
        <v>7530</v>
      </c>
      <c r="B944" t="s">
        <v>7527</v>
      </c>
      <c r="C944" t="s">
        <v>6645</v>
      </c>
      <c r="D944" t="s">
        <v>1027</v>
      </c>
      <c r="E944">
        <v>33434</v>
      </c>
      <c r="F944" t="s">
        <v>6646</v>
      </c>
      <c r="G944" t="b">
        <v>0</v>
      </c>
      <c r="H944" t="b">
        <v>0</v>
      </c>
      <c r="I944" t="s">
        <v>1051</v>
      </c>
      <c r="J944">
        <v>78</v>
      </c>
      <c r="K944" t="s">
        <v>0</v>
      </c>
      <c r="L944" t="s">
        <v>3000</v>
      </c>
      <c r="M944" t="s">
        <v>1548</v>
      </c>
      <c r="N944" t="s">
        <v>1548</v>
      </c>
      <c r="O944" t="s">
        <v>1548</v>
      </c>
      <c r="P944" s="36" t="s">
        <v>6448</v>
      </c>
    </row>
    <row r="945" spans="1:16" ht="409.5" x14ac:dyDescent="0.25">
      <c r="A945" t="s">
        <v>7531</v>
      </c>
      <c r="B945" t="s">
        <v>7527</v>
      </c>
      <c r="C945" t="s">
        <v>6645</v>
      </c>
      <c r="D945" t="s">
        <v>1027</v>
      </c>
      <c r="E945">
        <v>33434</v>
      </c>
      <c r="F945" t="s">
        <v>6646</v>
      </c>
      <c r="G945" t="b">
        <v>0</v>
      </c>
      <c r="H945" t="b">
        <v>0</v>
      </c>
      <c r="I945" t="s">
        <v>1051</v>
      </c>
      <c r="J945">
        <v>78</v>
      </c>
      <c r="K945" t="s">
        <v>0</v>
      </c>
      <c r="L945" t="s">
        <v>3000</v>
      </c>
      <c r="M945" t="s">
        <v>1548</v>
      </c>
      <c r="N945" t="s">
        <v>1548</v>
      </c>
      <c r="O945" t="s">
        <v>1548</v>
      </c>
      <c r="P945" s="36" t="s">
        <v>6448</v>
      </c>
    </row>
    <row r="946" spans="1:16" ht="409.5" x14ac:dyDescent="0.25">
      <c r="A946" t="s">
        <v>7532</v>
      </c>
      <c r="B946" t="s">
        <v>7527</v>
      </c>
      <c r="C946" t="s">
        <v>6645</v>
      </c>
      <c r="D946" t="s">
        <v>1027</v>
      </c>
      <c r="E946">
        <v>33434</v>
      </c>
      <c r="F946" t="s">
        <v>6646</v>
      </c>
      <c r="G946" t="b">
        <v>0</v>
      </c>
      <c r="H946" t="b">
        <v>0</v>
      </c>
      <c r="I946" t="s">
        <v>1051</v>
      </c>
      <c r="J946">
        <v>78</v>
      </c>
      <c r="K946" t="s">
        <v>0</v>
      </c>
      <c r="L946" t="s">
        <v>3000</v>
      </c>
      <c r="M946" t="s">
        <v>1548</v>
      </c>
      <c r="N946" t="s">
        <v>1548</v>
      </c>
      <c r="O946" t="s">
        <v>1548</v>
      </c>
      <c r="P946" s="36" t="s">
        <v>6448</v>
      </c>
    </row>
    <row r="947" spans="1:16" ht="409.5" x14ac:dyDescent="0.25">
      <c r="A947" t="s">
        <v>7533</v>
      </c>
      <c r="B947" t="s">
        <v>7527</v>
      </c>
      <c r="C947" t="s">
        <v>6645</v>
      </c>
      <c r="D947" t="s">
        <v>1027</v>
      </c>
      <c r="E947">
        <v>33434</v>
      </c>
      <c r="F947" t="s">
        <v>6646</v>
      </c>
      <c r="G947" t="b">
        <v>0</v>
      </c>
      <c r="H947" t="b">
        <v>0</v>
      </c>
      <c r="I947" t="s">
        <v>1051</v>
      </c>
      <c r="J947">
        <v>78</v>
      </c>
      <c r="K947" t="s">
        <v>0</v>
      </c>
      <c r="L947" t="s">
        <v>3000</v>
      </c>
      <c r="M947" t="s">
        <v>1548</v>
      </c>
      <c r="N947" t="s">
        <v>1548</v>
      </c>
      <c r="O947" t="s">
        <v>1548</v>
      </c>
      <c r="P947" s="36" t="s">
        <v>6448</v>
      </c>
    </row>
    <row r="948" spans="1:16" ht="409.5" x14ac:dyDescent="0.25">
      <c r="A948" t="s">
        <v>7534</v>
      </c>
      <c r="B948" t="s">
        <v>7527</v>
      </c>
      <c r="C948" t="s">
        <v>6645</v>
      </c>
      <c r="D948" t="s">
        <v>1027</v>
      </c>
      <c r="E948">
        <v>33434</v>
      </c>
      <c r="F948" t="s">
        <v>6646</v>
      </c>
      <c r="G948" t="b">
        <v>0</v>
      </c>
      <c r="H948" t="b">
        <v>0</v>
      </c>
      <c r="I948" t="s">
        <v>1051</v>
      </c>
      <c r="J948">
        <v>78</v>
      </c>
      <c r="K948" t="s">
        <v>0</v>
      </c>
      <c r="L948" t="s">
        <v>3000</v>
      </c>
      <c r="M948" t="s">
        <v>1548</v>
      </c>
      <c r="N948" t="s">
        <v>1548</v>
      </c>
      <c r="O948" t="s">
        <v>1548</v>
      </c>
      <c r="P948" s="36" t="s">
        <v>6448</v>
      </c>
    </row>
    <row r="949" spans="1:16" ht="409.5" x14ac:dyDescent="0.25">
      <c r="A949" t="s">
        <v>7535</v>
      </c>
      <c r="B949" t="s">
        <v>7527</v>
      </c>
      <c r="C949" t="s">
        <v>6645</v>
      </c>
      <c r="D949" t="s">
        <v>1027</v>
      </c>
      <c r="E949">
        <v>33434</v>
      </c>
      <c r="F949" t="s">
        <v>6646</v>
      </c>
      <c r="G949" t="b">
        <v>0</v>
      </c>
      <c r="H949" t="b">
        <v>0</v>
      </c>
      <c r="I949" t="s">
        <v>1051</v>
      </c>
      <c r="J949">
        <v>78</v>
      </c>
      <c r="K949" t="s">
        <v>0</v>
      </c>
      <c r="L949" t="s">
        <v>3000</v>
      </c>
      <c r="M949" t="s">
        <v>1548</v>
      </c>
      <c r="N949" t="s">
        <v>1548</v>
      </c>
      <c r="O949" t="s">
        <v>1548</v>
      </c>
      <c r="P949" s="36" t="s">
        <v>6448</v>
      </c>
    </row>
    <row r="950" spans="1:16" ht="409.5" x14ac:dyDescent="0.25">
      <c r="A950" t="s">
        <v>7536</v>
      </c>
      <c r="B950" t="s">
        <v>7527</v>
      </c>
      <c r="C950" t="s">
        <v>6645</v>
      </c>
      <c r="D950" t="s">
        <v>1027</v>
      </c>
      <c r="E950">
        <v>33434</v>
      </c>
      <c r="F950" t="s">
        <v>6646</v>
      </c>
      <c r="G950" t="b">
        <v>0</v>
      </c>
      <c r="H950" t="b">
        <v>0</v>
      </c>
      <c r="I950" t="s">
        <v>1051</v>
      </c>
      <c r="J950">
        <v>78</v>
      </c>
      <c r="K950" t="s">
        <v>0</v>
      </c>
      <c r="L950" t="s">
        <v>3000</v>
      </c>
      <c r="M950" t="s">
        <v>1548</v>
      </c>
      <c r="N950" t="s">
        <v>1548</v>
      </c>
      <c r="O950" t="s">
        <v>1548</v>
      </c>
      <c r="P950" s="36" t="s">
        <v>6448</v>
      </c>
    </row>
    <row r="951" spans="1:16" ht="409.5" x14ac:dyDescent="0.25">
      <c r="A951" t="s">
        <v>7537</v>
      </c>
      <c r="B951" t="s">
        <v>7527</v>
      </c>
      <c r="C951" t="s">
        <v>6645</v>
      </c>
      <c r="D951" t="s">
        <v>1027</v>
      </c>
      <c r="E951">
        <v>33434</v>
      </c>
      <c r="F951" t="s">
        <v>6646</v>
      </c>
      <c r="G951" t="b">
        <v>0</v>
      </c>
      <c r="H951" t="b">
        <v>0</v>
      </c>
      <c r="I951" t="s">
        <v>1051</v>
      </c>
      <c r="J951">
        <v>78</v>
      </c>
      <c r="K951" t="s">
        <v>0</v>
      </c>
      <c r="L951" t="s">
        <v>3000</v>
      </c>
      <c r="M951" t="s">
        <v>1548</v>
      </c>
      <c r="N951" t="s">
        <v>1548</v>
      </c>
      <c r="O951" t="s">
        <v>1548</v>
      </c>
      <c r="P951" s="36" t="s">
        <v>6448</v>
      </c>
    </row>
    <row r="952" spans="1:16" ht="409.5" x14ac:dyDescent="0.25">
      <c r="A952" t="s">
        <v>7538</v>
      </c>
      <c r="B952" t="s">
        <v>7527</v>
      </c>
      <c r="C952" t="s">
        <v>6645</v>
      </c>
      <c r="D952" t="s">
        <v>1027</v>
      </c>
      <c r="E952">
        <v>33434</v>
      </c>
      <c r="F952" t="s">
        <v>6646</v>
      </c>
      <c r="G952" t="b">
        <v>0</v>
      </c>
      <c r="H952" t="b">
        <v>0</v>
      </c>
      <c r="I952" t="s">
        <v>1051</v>
      </c>
      <c r="J952">
        <v>78</v>
      </c>
      <c r="K952" t="s">
        <v>0</v>
      </c>
      <c r="L952" t="s">
        <v>3000</v>
      </c>
      <c r="M952" t="s">
        <v>1548</v>
      </c>
      <c r="N952" t="s">
        <v>1548</v>
      </c>
      <c r="O952" t="s">
        <v>1548</v>
      </c>
      <c r="P952" s="36" t="s">
        <v>6448</v>
      </c>
    </row>
    <row r="953" spans="1:16" ht="409.5" x14ac:dyDescent="0.25">
      <c r="A953" t="s">
        <v>7539</v>
      </c>
      <c r="B953" t="s">
        <v>7527</v>
      </c>
      <c r="C953" t="s">
        <v>6645</v>
      </c>
      <c r="D953" t="s">
        <v>1027</v>
      </c>
      <c r="E953">
        <v>33434</v>
      </c>
      <c r="F953" t="s">
        <v>6646</v>
      </c>
      <c r="G953" t="b">
        <v>0</v>
      </c>
      <c r="H953" t="b">
        <v>0</v>
      </c>
      <c r="I953" t="s">
        <v>1051</v>
      </c>
      <c r="J953">
        <v>78</v>
      </c>
      <c r="K953" t="s">
        <v>0</v>
      </c>
      <c r="L953" t="s">
        <v>3000</v>
      </c>
      <c r="M953" t="s">
        <v>1548</v>
      </c>
      <c r="N953" t="s">
        <v>1548</v>
      </c>
      <c r="O953" t="s">
        <v>1548</v>
      </c>
      <c r="P953" s="36" t="s">
        <v>6448</v>
      </c>
    </row>
    <row r="954" spans="1:16" ht="409.5" x14ac:dyDescent="0.25">
      <c r="A954" t="s">
        <v>7540</v>
      </c>
      <c r="B954" t="s">
        <v>7527</v>
      </c>
      <c r="C954" t="s">
        <v>6645</v>
      </c>
      <c r="D954" t="s">
        <v>1027</v>
      </c>
      <c r="E954">
        <v>33434</v>
      </c>
      <c r="F954" t="s">
        <v>6646</v>
      </c>
      <c r="G954" t="b">
        <v>0</v>
      </c>
      <c r="H954" t="b">
        <v>0</v>
      </c>
      <c r="I954" t="s">
        <v>1051</v>
      </c>
      <c r="J954">
        <v>78</v>
      </c>
      <c r="K954" t="s">
        <v>0</v>
      </c>
      <c r="L954" t="s">
        <v>3000</v>
      </c>
      <c r="M954" t="s">
        <v>1548</v>
      </c>
      <c r="N954" t="s">
        <v>1548</v>
      </c>
      <c r="O954" t="s">
        <v>1548</v>
      </c>
      <c r="P954" s="36" t="s">
        <v>6448</v>
      </c>
    </row>
    <row r="955" spans="1:16" ht="409.5" x14ac:dyDescent="0.25">
      <c r="A955" t="s">
        <v>7541</v>
      </c>
      <c r="B955" t="s">
        <v>7527</v>
      </c>
      <c r="C955" t="s">
        <v>6645</v>
      </c>
      <c r="D955" t="s">
        <v>1027</v>
      </c>
      <c r="E955">
        <v>33434</v>
      </c>
      <c r="F955" t="s">
        <v>6646</v>
      </c>
      <c r="G955" t="b">
        <v>0</v>
      </c>
      <c r="H955" t="b">
        <v>0</v>
      </c>
      <c r="I955" t="s">
        <v>1051</v>
      </c>
      <c r="J955">
        <v>78</v>
      </c>
      <c r="K955" t="s">
        <v>0</v>
      </c>
      <c r="L955" t="s">
        <v>3000</v>
      </c>
      <c r="M955" t="s">
        <v>1548</v>
      </c>
      <c r="N955" t="s">
        <v>1548</v>
      </c>
      <c r="O955" t="s">
        <v>1548</v>
      </c>
      <c r="P955" s="36" t="s">
        <v>6448</v>
      </c>
    </row>
    <row r="956" spans="1:16" x14ac:dyDescent="0.25">
      <c r="A956" t="s">
        <v>7542</v>
      </c>
      <c r="B956" t="s">
        <v>7543</v>
      </c>
      <c r="C956" t="s">
        <v>1335</v>
      </c>
      <c r="D956" t="s">
        <v>1027</v>
      </c>
      <c r="E956">
        <v>1459</v>
      </c>
      <c r="F956" t="s">
        <v>1336</v>
      </c>
      <c r="G956" t="b">
        <v>0</v>
      </c>
      <c r="H956" t="b">
        <v>0</v>
      </c>
      <c r="I956" t="s">
        <v>1051</v>
      </c>
      <c r="J956">
        <v>22</v>
      </c>
      <c r="K956" t="s">
        <v>2</v>
      </c>
      <c r="L956" t="s">
        <v>1549</v>
      </c>
      <c r="M956" t="s">
        <v>3922</v>
      </c>
      <c r="N956" t="s">
        <v>3922</v>
      </c>
      <c r="O956" t="s">
        <v>3922</v>
      </c>
      <c r="P956" t="s">
        <v>1682</v>
      </c>
    </row>
    <row r="957" spans="1:16" x14ac:dyDescent="0.25">
      <c r="A957" t="s">
        <v>7544</v>
      </c>
      <c r="B957" t="s">
        <v>7543</v>
      </c>
      <c r="C957" t="s">
        <v>1335</v>
      </c>
      <c r="D957" t="s">
        <v>1027</v>
      </c>
      <c r="E957">
        <v>1459</v>
      </c>
      <c r="F957" t="s">
        <v>1336</v>
      </c>
      <c r="G957" t="b">
        <v>0</v>
      </c>
      <c r="H957" t="b">
        <v>0</v>
      </c>
      <c r="I957" t="s">
        <v>1051</v>
      </c>
      <c r="J957">
        <v>22</v>
      </c>
      <c r="K957" t="s">
        <v>2</v>
      </c>
      <c r="L957" t="s">
        <v>1549</v>
      </c>
      <c r="M957" t="s">
        <v>3922</v>
      </c>
      <c r="N957" t="s">
        <v>3922</v>
      </c>
      <c r="O957" t="s">
        <v>3922</v>
      </c>
      <c r="P957" t="s">
        <v>1682</v>
      </c>
    </row>
    <row r="958" spans="1:16" x14ac:dyDescent="0.25">
      <c r="A958" t="s">
        <v>7545</v>
      </c>
      <c r="B958" t="s">
        <v>7543</v>
      </c>
      <c r="C958" t="s">
        <v>1335</v>
      </c>
      <c r="D958" t="s">
        <v>1027</v>
      </c>
      <c r="E958">
        <v>1459</v>
      </c>
      <c r="F958" t="s">
        <v>1336</v>
      </c>
      <c r="G958" t="b">
        <v>0</v>
      </c>
      <c r="H958" t="b">
        <v>0</v>
      </c>
      <c r="I958" t="s">
        <v>1051</v>
      </c>
      <c r="J958">
        <v>23</v>
      </c>
      <c r="K958" t="s">
        <v>2</v>
      </c>
      <c r="L958" t="s">
        <v>1549</v>
      </c>
      <c r="M958" t="s">
        <v>3922</v>
      </c>
      <c r="N958" t="s">
        <v>3922</v>
      </c>
      <c r="O958" t="s">
        <v>3922</v>
      </c>
      <c r="P958" t="s">
        <v>1682</v>
      </c>
    </row>
    <row r="959" spans="1:16" x14ac:dyDescent="0.25">
      <c r="A959" t="s">
        <v>7546</v>
      </c>
      <c r="B959" t="s">
        <v>7543</v>
      </c>
      <c r="C959" t="s">
        <v>1335</v>
      </c>
      <c r="D959" t="s">
        <v>1027</v>
      </c>
      <c r="E959">
        <v>1459</v>
      </c>
      <c r="F959" t="s">
        <v>1336</v>
      </c>
      <c r="G959" t="b">
        <v>0</v>
      </c>
      <c r="H959" t="b">
        <v>0</v>
      </c>
      <c r="I959" t="s">
        <v>1051</v>
      </c>
      <c r="J959">
        <v>23</v>
      </c>
      <c r="K959" t="s">
        <v>2</v>
      </c>
      <c r="L959" t="s">
        <v>1549</v>
      </c>
      <c r="M959" t="s">
        <v>3922</v>
      </c>
      <c r="N959" t="s">
        <v>3922</v>
      </c>
      <c r="O959" t="s">
        <v>3922</v>
      </c>
      <c r="P959" t="s">
        <v>1682</v>
      </c>
    </row>
    <row r="960" spans="1:16" x14ac:dyDescent="0.25">
      <c r="A960" t="s">
        <v>7547</v>
      </c>
      <c r="B960" t="s">
        <v>7548</v>
      </c>
      <c r="C960" t="s">
        <v>1335</v>
      </c>
      <c r="D960" t="s">
        <v>1027</v>
      </c>
      <c r="E960">
        <v>1459</v>
      </c>
      <c r="F960" t="s">
        <v>1336</v>
      </c>
      <c r="G960" t="b">
        <v>0</v>
      </c>
      <c r="H960" t="b">
        <v>0</v>
      </c>
      <c r="I960" t="s">
        <v>1051</v>
      </c>
      <c r="J960">
        <v>78</v>
      </c>
      <c r="K960" t="s">
        <v>2</v>
      </c>
      <c r="L960" t="s">
        <v>1549</v>
      </c>
      <c r="M960" t="s">
        <v>3922</v>
      </c>
      <c r="N960" t="s">
        <v>3922</v>
      </c>
      <c r="O960" t="s">
        <v>3922</v>
      </c>
      <c r="P960" t="s">
        <v>1682</v>
      </c>
    </row>
    <row r="961" spans="1:16" x14ac:dyDescent="0.25">
      <c r="A961" t="s">
        <v>7549</v>
      </c>
      <c r="B961" t="s">
        <v>7548</v>
      </c>
      <c r="C961" t="s">
        <v>1335</v>
      </c>
      <c r="D961" t="s">
        <v>1027</v>
      </c>
      <c r="E961">
        <v>1459</v>
      </c>
      <c r="F961" t="s">
        <v>1336</v>
      </c>
      <c r="G961" t="b">
        <v>0</v>
      </c>
      <c r="H961" t="b">
        <v>0</v>
      </c>
      <c r="I961" t="s">
        <v>1051</v>
      </c>
      <c r="J961">
        <v>78</v>
      </c>
      <c r="K961" t="s">
        <v>2</v>
      </c>
      <c r="L961" t="s">
        <v>1549</v>
      </c>
      <c r="M961" t="s">
        <v>3922</v>
      </c>
      <c r="N961" t="s">
        <v>3922</v>
      </c>
      <c r="O961" t="s">
        <v>3922</v>
      </c>
      <c r="P961" t="s">
        <v>1682</v>
      </c>
    </row>
    <row r="962" spans="1:16" x14ac:dyDescent="0.25">
      <c r="A962" t="s">
        <v>7550</v>
      </c>
      <c r="B962" t="s">
        <v>7548</v>
      </c>
      <c r="C962" t="s">
        <v>1335</v>
      </c>
      <c r="D962" t="s">
        <v>1027</v>
      </c>
      <c r="E962">
        <v>1459</v>
      </c>
      <c r="F962" t="s">
        <v>1336</v>
      </c>
      <c r="G962" t="b">
        <v>0</v>
      </c>
      <c r="H962" t="b">
        <v>0</v>
      </c>
      <c r="I962" t="s">
        <v>1051</v>
      </c>
      <c r="J962">
        <v>78</v>
      </c>
      <c r="K962" t="s">
        <v>2</v>
      </c>
      <c r="L962" t="s">
        <v>1549</v>
      </c>
      <c r="M962" t="s">
        <v>3922</v>
      </c>
      <c r="N962" t="s">
        <v>3922</v>
      </c>
      <c r="O962" t="s">
        <v>3922</v>
      </c>
      <c r="P962" t="s">
        <v>1682</v>
      </c>
    </row>
    <row r="963" spans="1:16" x14ac:dyDescent="0.25">
      <c r="A963" t="s">
        <v>7551</v>
      </c>
      <c r="B963" t="s">
        <v>7548</v>
      </c>
      <c r="C963" t="s">
        <v>1335</v>
      </c>
      <c r="D963" t="s">
        <v>1027</v>
      </c>
      <c r="E963">
        <v>1459</v>
      </c>
      <c r="F963" t="s">
        <v>1336</v>
      </c>
      <c r="G963" t="b">
        <v>0</v>
      </c>
      <c r="H963" t="b">
        <v>0</v>
      </c>
      <c r="I963" t="s">
        <v>1051</v>
      </c>
      <c r="J963">
        <v>78</v>
      </c>
      <c r="K963" t="s">
        <v>2</v>
      </c>
      <c r="L963" t="s">
        <v>1549</v>
      </c>
      <c r="M963" t="s">
        <v>3922</v>
      </c>
      <c r="N963" t="s">
        <v>3922</v>
      </c>
      <c r="O963" t="s">
        <v>3922</v>
      </c>
      <c r="P963" t="s">
        <v>1682</v>
      </c>
    </row>
    <row r="964" spans="1:16" x14ac:dyDescent="0.25">
      <c r="A964" t="s">
        <v>7552</v>
      </c>
      <c r="B964" t="s">
        <v>7548</v>
      </c>
      <c r="C964" t="s">
        <v>1335</v>
      </c>
      <c r="D964" t="s">
        <v>1027</v>
      </c>
      <c r="E964">
        <v>1459</v>
      </c>
      <c r="F964" t="s">
        <v>1336</v>
      </c>
      <c r="G964" t="b">
        <v>0</v>
      </c>
      <c r="H964" t="b">
        <v>0</v>
      </c>
      <c r="I964" t="s">
        <v>1051</v>
      </c>
      <c r="J964">
        <v>78</v>
      </c>
      <c r="K964" t="s">
        <v>2</v>
      </c>
      <c r="L964" t="s">
        <v>1549</v>
      </c>
      <c r="M964" t="s">
        <v>3922</v>
      </c>
      <c r="N964" t="s">
        <v>3922</v>
      </c>
      <c r="O964" t="s">
        <v>3922</v>
      </c>
      <c r="P964" t="s">
        <v>1682</v>
      </c>
    </row>
    <row r="965" spans="1:16" x14ac:dyDescent="0.25">
      <c r="A965" t="s">
        <v>7553</v>
      </c>
      <c r="B965" t="s">
        <v>7548</v>
      </c>
      <c r="C965" t="s">
        <v>1335</v>
      </c>
      <c r="D965" t="s">
        <v>1027</v>
      </c>
      <c r="E965">
        <v>1459</v>
      </c>
      <c r="F965" t="s">
        <v>1336</v>
      </c>
      <c r="G965" t="b">
        <v>0</v>
      </c>
      <c r="H965" t="b">
        <v>0</v>
      </c>
      <c r="I965" t="s">
        <v>1051</v>
      </c>
      <c r="J965">
        <v>25</v>
      </c>
      <c r="K965" t="s">
        <v>2</v>
      </c>
      <c r="L965" t="s">
        <v>1549</v>
      </c>
      <c r="M965" t="s">
        <v>3922</v>
      </c>
      <c r="N965" t="s">
        <v>3922</v>
      </c>
      <c r="O965" t="s">
        <v>3922</v>
      </c>
      <c r="P965" t="s">
        <v>1682</v>
      </c>
    </row>
    <row r="966" spans="1:16" x14ac:dyDescent="0.25">
      <c r="A966" t="s">
        <v>7554</v>
      </c>
      <c r="B966" t="s">
        <v>7548</v>
      </c>
      <c r="C966" t="s">
        <v>1335</v>
      </c>
      <c r="D966" t="s">
        <v>1027</v>
      </c>
      <c r="E966">
        <v>1459</v>
      </c>
      <c r="F966" t="s">
        <v>1336</v>
      </c>
      <c r="G966" t="b">
        <v>0</v>
      </c>
      <c r="H966" t="b">
        <v>0</v>
      </c>
      <c r="I966" t="s">
        <v>1051</v>
      </c>
      <c r="J966">
        <v>25</v>
      </c>
      <c r="K966" t="s">
        <v>2</v>
      </c>
      <c r="L966" t="s">
        <v>1549</v>
      </c>
      <c r="M966" t="s">
        <v>3922</v>
      </c>
      <c r="N966" t="s">
        <v>3922</v>
      </c>
      <c r="O966" t="s">
        <v>3922</v>
      </c>
      <c r="P966" t="s">
        <v>1682</v>
      </c>
    </row>
    <row r="967" spans="1:16" x14ac:dyDescent="0.25">
      <c r="A967" t="s">
        <v>7555</v>
      </c>
      <c r="B967" t="s">
        <v>7548</v>
      </c>
      <c r="C967" t="s">
        <v>1335</v>
      </c>
      <c r="D967" t="s">
        <v>1027</v>
      </c>
      <c r="E967">
        <v>1459</v>
      </c>
      <c r="F967" t="s">
        <v>1336</v>
      </c>
      <c r="G967" t="b">
        <v>0</v>
      </c>
      <c r="H967" t="b">
        <v>0</v>
      </c>
      <c r="I967" t="s">
        <v>1051</v>
      </c>
      <c r="J967">
        <v>25</v>
      </c>
      <c r="K967" t="s">
        <v>2</v>
      </c>
      <c r="L967" t="s">
        <v>1549</v>
      </c>
      <c r="M967" t="s">
        <v>3922</v>
      </c>
      <c r="N967" t="s">
        <v>3922</v>
      </c>
      <c r="O967" t="s">
        <v>3922</v>
      </c>
      <c r="P967" t="s">
        <v>1682</v>
      </c>
    </row>
    <row r="968" spans="1:16" x14ac:dyDescent="0.25">
      <c r="A968" t="s">
        <v>7556</v>
      </c>
      <c r="B968" t="s">
        <v>7548</v>
      </c>
      <c r="C968" t="s">
        <v>1335</v>
      </c>
      <c r="D968" t="s">
        <v>1027</v>
      </c>
      <c r="E968">
        <v>1459</v>
      </c>
      <c r="F968" t="s">
        <v>1336</v>
      </c>
      <c r="G968" t="b">
        <v>0</v>
      </c>
      <c r="H968" t="b">
        <v>0</v>
      </c>
      <c r="I968" t="s">
        <v>1051</v>
      </c>
      <c r="J968">
        <v>25</v>
      </c>
      <c r="K968" t="s">
        <v>2</v>
      </c>
      <c r="L968" t="s">
        <v>1549</v>
      </c>
      <c r="M968" t="s">
        <v>3922</v>
      </c>
      <c r="N968" t="s">
        <v>3922</v>
      </c>
      <c r="O968" t="s">
        <v>3922</v>
      </c>
      <c r="P968" t="s">
        <v>1682</v>
      </c>
    </row>
    <row r="969" spans="1:16" x14ac:dyDescent="0.25">
      <c r="A969" t="s">
        <v>7557</v>
      </c>
      <c r="B969" t="s">
        <v>7558</v>
      </c>
      <c r="C969" t="s">
        <v>1335</v>
      </c>
      <c r="D969" t="s">
        <v>1027</v>
      </c>
      <c r="E969">
        <v>1459</v>
      </c>
      <c r="F969" t="s">
        <v>1336</v>
      </c>
      <c r="G969" t="b">
        <v>0</v>
      </c>
      <c r="H969" t="b">
        <v>0</v>
      </c>
      <c r="I969" t="s">
        <v>1051</v>
      </c>
      <c r="J969">
        <v>78</v>
      </c>
      <c r="K969" t="s">
        <v>2</v>
      </c>
      <c r="L969" t="s">
        <v>1549</v>
      </c>
      <c r="M969" t="s">
        <v>3922</v>
      </c>
      <c r="N969" t="s">
        <v>3922</v>
      </c>
      <c r="O969" t="s">
        <v>3922</v>
      </c>
      <c r="P969" t="s">
        <v>1682</v>
      </c>
    </row>
    <row r="970" spans="1:16" x14ac:dyDescent="0.25">
      <c r="A970" t="s">
        <v>7559</v>
      </c>
      <c r="B970" t="s">
        <v>7558</v>
      </c>
      <c r="C970" t="s">
        <v>1335</v>
      </c>
      <c r="D970" t="s">
        <v>1027</v>
      </c>
      <c r="E970">
        <v>1459</v>
      </c>
      <c r="F970" t="s">
        <v>1336</v>
      </c>
      <c r="G970" t="b">
        <v>0</v>
      </c>
      <c r="H970" t="b">
        <v>0</v>
      </c>
      <c r="I970" t="s">
        <v>1051</v>
      </c>
      <c r="J970">
        <v>78</v>
      </c>
      <c r="K970" t="s">
        <v>2</v>
      </c>
      <c r="L970" t="s">
        <v>1549</v>
      </c>
      <c r="M970" t="s">
        <v>3922</v>
      </c>
      <c r="N970" t="s">
        <v>3922</v>
      </c>
      <c r="O970" t="s">
        <v>3922</v>
      </c>
      <c r="P970" t="s">
        <v>1682</v>
      </c>
    </row>
    <row r="971" spans="1:16" x14ac:dyDescent="0.25">
      <c r="A971" t="s">
        <v>7560</v>
      </c>
      <c r="B971" t="s">
        <v>7558</v>
      </c>
      <c r="C971" t="s">
        <v>1335</v>
      </c>
      <c r="D971" t="s">
        <v>1027</v>
      </c>
      <c r="E971">
        <v>1459</v>
      </c>
      <c r="F971" t="s">
        <v>1336</v>
      </c>
      <c r="G971" t="b">
        <v>0</v>
      </c>
      <c r="H971" t="b">
        <v>0</v>
      </c>
      <c r="I971" t="s">
        <v>1051</v>
      </c>
      <c r="J971">
        <v>78</v>
      </c>
      <c r="K971" t="s">
        <v>2</v>
      </c>
      <c r="L971" t="s">
        <v>1549</v>
      </c>
      <c r="M971" t="s">
        <v>3922</v>
      </c>
      <c r="N971" t="s">
        <v>3922</v>
      </c>
      <c r="O971" t="s">
        <v>3922</v>
      </c>
      <c r="P971" t="s">
        <v>1682</v>
      </c>
    </row>
    <row r="972" spans="1:16" x14ac:dyDescent="0.25">
      <c r="A972" t="s">
        <v>7561</v>
      </c>
      <c r="B972" t="s">
        <v>7558</v>
      </c>
      <c r="C972" t="s">
        <v>1335</v>
      </c>
      <c r="D972" t="s">
        <v>1027</v>
      </c>
      <c r="E972">
        <v>1459</v>
      </c>
      <c r="F972" t="s">
        <v>1336</v>
      </c>
      <c r="G972" t="b">
        <v>0</v>
      </c>
      <c r="H972" t="b">
        <v>0</v>
      </c>
      <c r="I972" t="s">
        <v>1051</v>
      </c>
      <c r="J972">
        <v>78</v>
      </c>
      <c r="K972" t="s">
        <v>2</v>
      </c>
      <c r="L972" t="s">
        <v>1549</v>
      </c>
      <c r="M972" t="s">
        <v>3922</v>
      </c>
      <c r="N972" t="s">
        <v>3922</v>
      </c>
      <c r="O972" t="s">
        <v>3922</v>
      </c>
      <c r="P972" t="s">
        <v>1682</v>
      </c>
    </row>
    <row r="973" spans="1:16" x14ac:dyDescent="0.25">
      <c r="A973" t="s">
        <v>7562</v>
      </c>
      <c r="B973" t="s">
        <v>7558</v>
      </c>
      <c r="C973" t="s">
        <v>1335</v>
      </c>
      <c r="D973" t="s">
        <v>1027</v>
      </c>
      <c r="E973">
        <v>1459</v>
      </c>
      <c r="F973" t="s">
        <v>1336</v>
      </c>
      <c r="G973" t="b">
        <v>0</v>
      </c>
      <c r="H973" t="b">
        <v>0</v>
      </c>
      <c r="I973" t="s">
        <v>1051</v>
      </c>
      <c r="J973">
        <v>78</v>
      </c>
      <c r="K973" t="s">
        <v>2</v>
      </c>
      <c r="L973" t="s">
        <v>1549</v>
      </c>
      <c r="M973" t="s">
        <v>3922</v>
      </c>
      <c r="N973" t="s">
        <v>3922</v>
      </c>
      <c r="O973" t="s">
        <v>3922</v>
      </c>
      <c r="P973" t="s">
        <v>1682</v>
      </c>
    </row>
    <row r="974" spans="1:16" x14ac:dyDescent="0.25">
      <c r="A974" t="s">
        <v>7563</v>
      </c>
      <c r="B974" t="s">
        <v>7558</v>
      </c>
      <c r="C974" t="s">
        <v>1335</v>
      </c>
      <c r="D974" t="s">
        <v>1027</v>
      </c>
      <c r="E974">
        <v>1459</v>
      </c>
      <c r="F974" t="s">
        <v>1336</v>
      </c>
      <c r="G974" t="b">
        <v>0</v>
      </c>
      <c r="H974" t="b">
        <v>0</v>
      </c>
      <c r="I974" t="s">
        <v>1051</v>
      </c>
      <c r="J974">
        <v>78</v>
      </c>
      <c r="K974" t="s">
        <v>2</v>
      </c>
      <c r="L974" t="s">
        <v>1549</v>
      </c>
      <c r="M974" t="s">
        <v>3922</v>
      </c>
      <c r="N974" t="s">
        <v>3922</v>
      </c>
      <c r="O974" t="s">
        <v>3922</v>
      </c>
      <c r="P974" t="s">
        <v>1682</v>
      </c>
    </row>
    <row r="975" spans="1:16" x14ac:dyDescent="0.25">
      <c r="A975" t="s">
        <v>7564</v>
      </c>
      <c r="B975" t="s">
        <v>7558</v>
      </c>
      <c r="C975" t="s">
        <v>1335</v>
      </c>
      <c r="D975" t="s">
        <v>1027</v>
      </c>
      <c r="E975">
        <v>1459</v>
      </c>
      <c r="F975" t="s">
        <v>1336</v>
      </c>
      <c r="G975" t="b">
        <v>0</v>
      </c>
      <c r="H975" t="b">
        <v>0</v>
      </c>
      <c r="I975" t="s">
        <v>1051</v>
      </c>
      <c r="J975">
        <v>78</v>
      </c>
      <c r="K975" t="s">
        <v>2</v>
      </c>
      <c r="L975" t="s">
        <v>1549</v>
      </c>
      <c r="M975" t="s">
        <v>3922</v>
      </c>
      <c r="N975" t="s">
        <v>3922</v>
      </c>
      <c r="O975" t="s">
        <v>3922</v>
      </c>
      <c r="P975" t="s">
        <v>1682</v>
      </c>
    </row>
    <row r="976" spans="1:16" x14ac:dyDescent="0.25">
      <c r="A976" t="s">
        <v>7565</v>
      </c>
      <c r="B976" t="s">
        <v>7558</v>
      </c>
      <c r="C976" t="s">
        <v>1335</v>
      </c>
      <c r="D976" t="s">
        <v>1027</v>
      </c>
      <c r="E976">
        <v>1459</v>
      </c>
      <c r="F976" t="s">
        <v>1336</v>
      </c>
      <c r="G976" t="b">
        <v>0</v>
      </c>
      <c r="H976" t="b">
        <v>0</v>
      </c>
      <c r="I976" t="s">
        <v>1051</v>
      </c>
      <c r="J976">
        <v>78</v>
      </c>
      <c r="K976" t="s">
        <v>2</v>
      </c>
      <c r="L976" t="s">
        <v>1549</v>
      </c>
      <c r="M976" t="s">
        <v>3922</v>
      </c>
      <c r="N976" t="s">
        <v>3922</v>
      </c>
      <c r="O976" t="s">
        <v>3922</v>
      </c>
      <c r="P976" t="s">
        <v>1682</v>
      </c>
    </row>
    <row r="977" spans="1:16" x14ac:dyDescent="0.25">
      <c r="A977" t="s">
        <v>7566</v>
      </c>
      <c r="B977" t="s">
        <v>7558</v>
      </c>
      <c r="C977" t="s">
        <v>1335</v>
      </c>
      <c r="D977" t="s">
        <v>1027</v>
      </c>
      <c r="E977">
        <v>1459</v>
      </c>
      <c r="F977" t="s">
        <v>1336</v>
      </c>
      <c r="G977" t="b">
        <v>0</v>
      </c>
      <c r="H977" t="b">
        <v>0</v>
      </c>
      <c r="I977" t="s">
        <v>1051</v>
      </c>
      <c r="J977">
        <v>78</v>
      </c>
      <c r="K977" t="s">
        <v>2</v>
      </c>
      <c r="L977" t="s">
        <v>1549</v>
      </c>
      <c r="M977" t="s">
        <v>3922</v>
      </c>
      <c r="N977" t="s">
        <v>3922</v>
      </c>
      <c r="O977" t="s">
        <v>3922</v>
      </c>
      <c r="P977" t="s">
        <v>1682</v>
      </c>
    </row>
    <row r="978" spans="1:16" x14ac:dyDescent="0.25">
      <c r="A978" t="s">
        <v>7567</v>
      </c>
      <c r="B978" t="s">
        <v>7568</v>
      </c>
      <c r="C978" t="s">
        <v>1335</v>
      </c>
      <c r="D978" t="s">
        <v>1027</v>
      </c>
      <c r="E978">
        <v>1459</v>
      </c>
      <c r="F978" t="s">
        <v>1336</v>
      </c>
      <c r="G978" t="b">
        <v>0</v>
      </c>
      <c r="H978" t="b">
        <v>0</v>
      </c>
      <c r="I978" t="s">
        <v>1051</v>
      </c>
      <c r="J978">
        <v>22</v>
      </c>
      <c r="K978" t="s">
        <v>2</v>
      </c>
      <c r="L978" t="s">
        <v>1549</v>
      </c>
      <c r="M978" t="s">
        <v>3922</v>
      </c>
      <c r="N978" t="s">
        <v>3922</v>
      </c>
      <c r="O978" t="s">
        <v>3922</v>
      </c>
      <c r="P978" t="s">
        <v>1682</v>
      </c>
    </row>
    <row r="979" spans="1:16" x14ac:dyDescent="0.25">
      <c r="A979" t="s">
        <v>7569</v>
      </c>
      <c r="B979" t="s">
        <v>7568</v>
      </c>
      <c r="C979" t="s">
        <v>1335</v>
      </c>
      <c r="D979" t="s">
        <v>1027</v>
      </c>
      <c r="E979">
        <v>1459</v>
      </c>
      <c r="F979" t="s">
        <v>1336</v>
      </c>
      <c r="G979" t="b">
        <v>0</v>
      </c>
      <c r="H979" t="b">
        <v>0</v>
      </c>
      <c r="I979" t="s">
        <v>1051</v>
      </c>
      <c r="J979">
        <v>23</v>
      </c>
      <c r="K979" t="s">
        <v>2</v>
      </c>
      <c r="L979" t="s">
        <v>1549</v>
      </c>
      <c r="M979" t="s">
        <v>3922</v>
      </c>
      <c r="N979" t="s">
        <v>3922</v>
      </c>
      <c r="O979" t="s">
        <v>3922</v>
      </c>
      <c r="P979" t="s">
        <v>1682</v>
      </c>
    </row>
    <row r="980" spans="1:16" x14ac:dyDescent="0.25">
      <c r="A980" t="s">
        <v>7570</v>
      </c>
      <c r="B980" t="s">
        <v>7568</v>
      </c>
      <c r="C980" t="s">
        <v>1335</v>
      </c>
      <c r="D980" t="s">
        <v>1027</v>
      </c>
      <c r="E980">
        <v>1459</v>
      </c>
      <c r="F980" t="s">
        <v>1336</v>
      </c>
      <c r="G980" t="b">
        <v>0</v>
      </c>
      <c r="H980" t="b">
        <v>0</v>
      </c>
      <c r="I980" t="s">
        <v>1051</v>
      </c>
      <c r="J980">
        <v>23</v>
      </c>
      <c r="K980" t="s">
        <v>2</v>
      </c>
      <c r="L980" t="s">
        <v>1549</v>
      </c>
      <c r="M980" t="s">
        <v>3922</v>
      </c>
      <c r="N980" t="s">
        <v>3922</v>
      </c>
      <c r="O980" t="s">
        <v>3922</v>
      </c>
      <c r="P980" t="s">
        <v>1682</v>
      </c>
    </row>
    <row r="981" spans="1:16" x14ac:dyDescent="0.25">
      <c r="A981" t="s">
        <v>7571</v>
      </c>
      <c r="B981" t="s">
        <v>7572</v>
      </c>
      <c r="C981" t="s">
        <v>1335</v>
      </c>
      <c r="D981" t="s">
        <v>1027</v>
      </c>
      <c r="E981">
        <v>1459</v>
      </c>
      <c r="F981" t="s">
        <v>1336</v>
      </c>
      <c r="G981" t="b">
        <v>0</v>
      </c>
      <c r="H981" t="b">
        <v>0</v>
      </c>
      <c r="I981" t="s">
        <v>1051</v>
      </c>
      <c r="J981">
        <v>67</v>
      </c>
      <c r="K981" t="s">
        <v>2</v>
      </c>
      <c r="L981" t="s">
        <v>1549</v>
      </c>
      <c r="M981" t="s">
        <v>3922</v>
      </c>
      <c r="N981" t="s">
        <v>3922</v>
      </c>
      <c r="O981" t="s">
        <v>3922</v>
      </c>
      <c r="P981" t="s">
        <v>1682</v>
      </c>
    </row>
    <row r="982" spans="1:16" x14ac:dyDescent="0.25">
      <c r="A982" t="s">
        <v>7573</v>
      </c>
      <c r="B982" t="s">
        <v>7572</v>
      </c>
      <c r="C982" t="s">
        <v>1335</v>
      </c>
      <c r="D982" t="s">
        <v>1027</v>
      </c>
      <c r="E982">
        <v>1459</v>
      </c>
      <c r="F982" t="s">
        <v>1336</v>
      </c>
      <c r="G982" t="b">
        <v>0</v>
      </c>
      <c r="H982" t="b">
        <v>0</v>
      </c>
      <c r="I982" t="s">
        <v>1051</v>
      </c>
      <c r="J982">
        <v>67</v>
      </c>
      <c r="K982" t="s">
        <v>2</v>
      </c>
      <c r="L982" t="s">
        <v>1549</v>
      </c>
      <c r="M982" t="s">
        <v>3922</v>
      </c>
      <c r="N982" t="s">
        <v>3922</v>
      </c>
      <c r="O982" t="s">
        <v>3922</v>
      </c>
      <c r="P982" t="s">
        <v>1682</v>
      </c>
    </row>
    <row r="983" spans="1:16" x14ac:dyDescent="0.25">
      <c r="A983" t="s">
        <v>7574</v>
      </c>
      <c r="B983" t="s">
        <v>7572</v>
      </c>
      <c r="C983" t="s">
        <v>1335</v>
      </c>
      <c r="D983" t="s">
        <v>1027</v>
      </c>
      <c r="E983">
        <v>1459</v>
      </c>
      <c r="F983" t="s">
        <v>1336</v>
      </c>
      <c r="G983" t="b">
        <v>0</v>
      </c>
      <c r="H983" t="b">
        <v>0</v>
      </c>
      <c r="I983" t="s">
        <v>1051</v>
      </c>
      <c r="J983">
        <v>67</v>
      </c>
      <c r="K983" t="s">
        <v>2</v>
      </c>
      <c r="L983" t="s">
        <v>1549</v>
      </c>
      <c r="M983" t="s">
        <v>3922</v>
      </c>
      <c r="N983" t="s">
        <v>3922</v>
      </c>
      <c r="O983" t="s">
        <v>3922</v>
      </c>
      <c r="P983" t="s">
        <v>1682</v>
      </c>
    </row>
    <row r="984" spans="1:16" x14ac:dyDescent="0.25">
      <c r="A984" t="s">
        <v>7575</v>
      </c>
      <c r="B984" t="s">
        <v>7572</v>
      </c>
      <c r="C984" t="s">
        <v>1335</v>
      </c>
      <c r="D984" t="s">
        <v>1027</v>
      </c>
      <c r="E984">
        <v>1459</v>
      </c>
      <c r="F984" t="s">
        <v>1336</v>
      </c>
      <c r="G984" t="b">
        <v>0</v>
      </c>
      <c r="H984" t="b">
        <v>0</v>
      </c>
      <c r="I984" t="s">
        <v>1051</v>
      </c>
      <c r="J984">
        <v>67</v>
      </c>
      <c r="K984" t="s">
        <v>2</v>
      </c>
      <c r="L984" t="s">
        <v>1549</v>
      </c>
      <c r="M984" t="s">
        <v>3922</v>
      </c>
      <c r="N984" t="s">
        <v>3922</v>
      </c>
      <c r="O984" t="s">
        <v>3922</v>
      </c>
      <c r="P984" t="s">
        <v>1682</v>
      </c>
    </row>
    <row r="985" spans="1:16" x14ac:dyDescent="0.25">
      <c r="A985" t="s">
        <v>7576</v>
      </c>
      <c r="B985" t="s">
        <v>7572</v>
      </c>
      <c r="C985" t="s">
        <v>1335</v>
      </c>
      <c r="D985" t="s">
        <v>1027</v>
      </c>
      <c r="E985">
        <v>1459</v>
      </c>
      <c r="F985" t="s">
        <v>1336</v>
      </c>
      <c r="G985" t="b">
        <v>0</v>
      </c>
      <c r="H985" t="b">
        <v>0</v>
      </c>
      <c r="I985" t="s">
        <v>1051</v>
      </c>
      <c r="J985">
        <v>67</v>
      </c>
      <c r="K985" t="s">
        <v>2</v>
      </c>
      <c r="L985" t="s">
        <v>1549</v>
      </c>
      <c r="M985" t="s">
        <v>3922</v>
      </c>
      <c r="N985" t="s">
        <v>3922</v>
      </c>
      <c r="O985" t="s">
        <v>3922</v>
      </c>
      <c r="P985" t="s">
        <v>1682</v>
      </c>
    </row>
    <row r="986" spans="1:16" x14ac:dyDescent="0.25">
      <c r="A986" t="s">
        <v>7577</v>
      </c>
      <c r="B986" t="s">
        <v>7572</v>
      </c>
      <c r="C986" t="s">
        <v>1335</v>
      </c>
      <c r="D986" t="s">
        <v>1027</v>
      </c>
      <c r="E986">
        <v>1459</v>
      </c>
      <c r="F986" t="s">
        <v>1336</v>
      </c>
      <c r="G986" t="b">
        <v>0</v>
      </c>
      <c r="H986" t="b">
        <v>0</v>
      </c>
      <c r="I986" t="s">
        <v>1051</v>
      </c>
      <c r="J986">
        <v>67</v>
      </c>
      <c r="K986" t="s">
        <v>2</v>
      </c>
      <c r="L986" t="s">
        <v>1549</v>
      </c>
      <c r="M986" t="s">
        <v>3922</v>
      </c>
      <c r="N986" t="s">
        <v>3922</v>
      </c>
      <c r="O986" t="s">
        <v>3922</v>
      </c>
      <c r="P986" t="s">
        <v>1682</v>
      </c>
    </row>
    <row r="987" spans="1:16" x14ac:dyDescent="0.25">
      <c r="A987" t="s">
        <v>7578</v>
      </c>
      <c r="B987" t="s">
        <v>7572</v>
      </c>
      <c r="C987" t="s">
        <v>1335</v>
      </c>
      <c r="D987" t="s">
        <v>1027</v>
      </c>
      <c r="E987">
        <v>1459</v>
      </c>
      <c r="F987" t="s">
        <v>1336</v>
      </c>
      <c r="G987" t="b">
        <v>0</v>
      </c>
      <c r="H987" t="b">
        <v>0</v>
      </c>
      <c r="I987" t="s">
        <v>1051</v>
      </c>
      <c r="J987">
        <v>67</v>
      </c>
      <c r="K987" t="s">
        <v>2</v>
      </c>
      <c r="L987" t="s">
        <v>1549</v>
      </c>
      <c r="M987" t="s">
        <v>3922</v>
      </c>
      <c r="N987" t="s">
        <v>3922</v>
      </c>
      <c r="O987" t="s">
        <v>3922</v>
      </c>
      <c r="P987" t="s">
        <v>1682</v>
      </c>
    </row>
    <row r="988" spans="1:16" x14ac:dyDescent="0.25">
      <c r="A988" t="s">
        <v>7579</v>
      </c>
      <c r="B988" t="s">
        <v>7572</v>
      </c>
      <c r="C988" t="s">
        <v>1335</v>
      </c>
      <c r="D988" t="s">
        <v>1027</v>
      </c>
      <c r="E988">
        <v>1459</v>
      </c>
      <c r="F988" t="s">
        <v>1336</v>
      </c>
      <c r="G988" t="b">
        <v>0</v>
      </c>
      <c r="H988" t="b">
        <v>0</v>
      </c>
      <c r="I988" t="s">
        <v>1051</v>
      </c>
      <c r="J988">
        <v>67</v>
      </c>
      <c r="K988" t="s">
        <v>2</v>
      </c>
      <c r="L988" t="s">
        <v>1549</v>
      </c>
      <c r="M988" t="s">
        <v>3922</v>
      </c>
      <c r="N988" t="s">
        <v>3922</v>
      </c>
      <c r="O988" t="s">
        <v>3922</v>
      </c>
      <c r="P988" t="s">
        <v>1682</v>
      </c>
    </row>
    <row r="989" spans="1:16" x14ac:dyDescent="0.25">
      <c r="A989" t="s">
        <v>7580</v>
      </c>
      <c r="B989" t="s">
        <v>7572</v>
      </c>
      <c r="C989" t="s">
        <v>1335</v>
      </c>
      <c r="D989" t="s">
        <v>1027</v>
      </c>
      <c r="E989">
        <v>1459</v>
      </c>
      <c r="F989" t="s">
        <v>1336</v>
      </c>
      <c r="G989" t="b">
        <v>0</v>
      </c>
      <c r="H989" t="b">
        <v>0</v>
      </c>
      <c r="I989" t="s">
        <v>1051</v>
      </c>
      <c r="J989">
        <v>67</v>
      </c>
      <c r="K989" t="s">
        <v>2</v>
      </c>
      <c r="L989" t="s">
        <v>1549</v>
      </c>
      <c r="M989" t="s">
        <v>3922</v>
      </c>
      <c r="N989" t="s">
        <v>3922</v>
      </c>
      <c r="O989" t="s">
        <v>3922</v>
      </c>
      <c r="P989" t="s">
        <v>1682</v>
      </c>
    </row>
    <row r="990" spans="1:16" x14ac:dyDescent="0.25">
      <c r="A990" t="s">
        <v>7581</v>
      </c>
      <c r="B990" t="s">
        <v>7572</v>
      </c>
      <c r="C990" t="s">
        <v>1335</v>
      </c>
      <c r="D990" t="s">
        <v>1027</v>
      </c>
      <c r="E990">
        <v>1459</v>
      </c>
      <c r="F990" t="s">
        <v>1336</v>
      </c>
      <c r="G990" t="b">
        <v>0</v>
      </c>
      <c r="H990" t="b">
        <v>0</v>
      </c>
      <c r="I990" t="s">
        <v>1051</v>
      </c>
      <c r="J990">
        <v>67</v>
      </c>
      <c r="K990" t="s">
        <v>2</v>
      </c>
      <c r="L990" t="s">
        <v>1549</v>
      </c>
      <c r="M990" t="s">
        <v>3922</v>
      </c>
      <c r="N990" t="s">
        <v>3922</v>
      </c>
      <c r="O990" t="s">
        <v>3922</v>
      </c>
      <c r="P990" t="s">
        <v>1682</v>
      </c>
    </row>
    <row r="991" spans="1:16" x14ac:dyDescent="0.25">
      <c r="A991" t="s">
        <v>7582</v>
      </c>
      <c r="B991" t="s">
        <v>7572</v>
      </c>
      <c r="C991" t="s">
        <v>1335</v>
      </c>
      <c r="D991" t="s">
        <v>1027</v>
      </c>
      <c r="E991">
        <v>1459</v>
      </c>
      <c r="F991" t="s">
        <v>1336</v>
      </c>
      <c r="G991" t="b">
        <v>0</v>
      </c>
      <c r="H991" t="b">
        <v>0</v>
      </c>
      <c r="I991" t="s">
        <v>1051</v>
      </c>
      <c r="J991">
        <v>67</v>
      </c>
      <c r="K991" t="s">
        <v>2</v>
      </c>
      <c r="L991" t="s">
        <v>1549</v>
      </c>
      <c r="M991" t="s">
        <v>3922</v>
      </c>
      <c r="N991" t="s">
        <v>3922</v>
      </c>
      <c r="O991" t="s">
        <v>3922</v>
      </c>
      <c r="P991" t="s">
        <v>1682</v>
      </c>
    </row>
    <row r="992" spans="1:16" x14ac:dyDescent="0.25">
      <c r="A992" t="s">
        <v>7583</v>
      </c>
      <c r="B992" t="s">
        <v>7572</v>
      </c>
      <c r="C992" t="s">
        <v>1335</v>
      </c>
      <c r="D992" t="s">
        <v>1027</v>
      </c>
      <c r="E992">
        <v>1459</v>
      </c>
      <c r="F992" t="s">
        <v>1336</v>
      </c>
      <c r="G992" t="b">
        <v>0</v>
      </c>
      <c r="H992" t="b">
        <v>0</v>
      </c>
      <c r="I992" t="s">
        <v>1051</v>
      </c>
      <c r="J992">
        <v>67</v>
      </c>
      <c r="K992" t="s">
        <v>2</v>
      </c>
      <c r="L992" t="s">
        <v>1549</v>
      </c>
      <c r="M992" t="s">
        <v>3922</v>
      </c>
      <c r="N992" t="s">
        <v>3922</v>
      </c>
      <c r="O992" t="s">
        <v>3922</v>
      </c>
      <c r="P992" t="s">
        <v>1682</v>
      </c>
    </row>
    <row r="993" spans="1:16" ht="409.5" x14ac:dyDescent="0.25">
      <c r="A993" t="s">
        <v>7584</v>
      </c>
      <c r="B993" t="s">
        <v>7585</v>
      </c>
      <c r="C993" t="s">
        <v>6503</v>
      </c>
      <c r="D993" t="s">
        <v>1027</v>
      </c>
      <c r="E993">
        <v>1488</v>
      </c>
      <c r="F993" t="s">
        <v>6504</v>
      </c>
      <c r="G993" t="b">
        <v>0</v>
      </c>
      <c r="H993" t="b">
        <v>0</v>
      </c>
      <c r="I993" t="s">
        <v>1051</v>
      </c>
      <c r="J993">
        <v>78</v>
      </c>
      <c r="K993" t="s">
        <v>0</v>
      </c>
      <c r="L993" t="s">
        <v>3000</v>
      </c>
      <c r="M993" t="s">
        <v>1548</v>
      </c>
      <c r="N993" t="s">
        <v>1548</v>
      </c>
      <c r="O993" t="s">
        <v>1548</v>
      </c>
      <c r="P993" s="36" t="s">
        <v>6505</v>
      </c>
    </row>
    <row r="994" spans="1:16" ht="409.5" x14ac:dyDescent="0.25">
      <c r="A994" t="s">
        <v>7586</v>
      </c>
      <c r="B994" t="s">
        <v>7585</v>
      </c>
      <c r="C994" t="s">
        <v>6503</v>
      </c>
      <c r="D994" t="s">
        <v>1027</v>
      </c>
      <c r="E994">
        <v>1488</v>
      </c>
      <c r="F994" t="s">
        <v>6504</v>
      </c>
      <c r="G994" t="b">
        <v>0</v>
      </c>
      <c r="H994" t="b">
        <v>0</v>
      </c>
      <c r="I994" t="s">
        <v>1051</v>
      </c>
      <c r="J994">
        <v>78</v>
      </c>
      <c r="K994" t="s">
        <v>0</v>
      </c>
      <c r="L994" t="s">
        <v>3000</v>
      </c>
      <c r="M994" t="s">
        <v>1548</v>
      </c>
      <c r="N994" t="s">
        <v>1548</v>
      </c>
      <c r="O994" t="s">
        <v>1548</v>
      </c>
      <c r="P994" s="36" t="s">
        <v>6505</v>
      </c>
    </row>
    <row r="995" spans="1:16" ht="409.5" x14ac:dyDescent="0.25">
      <c r="A995" t="s">
        <v>7587</v>
      </c>
      <c r="B995" t="s">
        <v>7585</v>
      </c>
      <c r="C995" t="s">
        <v>6503</v>
      </c>
      <c r="D995" t="s">
        <v>1027</v>
      </c>
      <c r="E995">
        <v>1488</v>
      </c>
      <c r="F995" t="s">
        <v>6504</v>
      </c>
      <c r="G995" t="b">
        <v>0</v>
      </c>
      <c r="H995" t="b">
        <v>0</v>
      </c>
      <c r="I995" t="s">
        <v>1051</v>
      </c>
      <c r="J995">
        <v>78</v>
      </c>
      <c r="K995" t="s">
        <v>0</v>
      </c>
      <c r="L995" t="s">
        <v>3000</v>
      </c>
      <c r="M995" t="s">
        <v>1548</v>
      </c>
      <c r="N995" t="s">
        <v>1548</v>
      </c>
      <c r="O995" t="s">
        <v>1548</v>
      </c>
      <c r="P995" s="36" t="s">
        <v>6505</v>
      </c>
    </row>
    <row r="996" spans="1:16" ht="409.5" x14ac:dyDescent="0.25">
      <c r="A996" t="s">
        <v>7588</v>
      </c>
      <c r="B996" t="s">
        <v>7589</v>
      </c>
      <c r="C996" t="s">
        <v>6503</v>
      </c>
      <c r="D996" t="s">
        <v>1027</v>
      </c>
      <c r="E996">
        <v>1488</v>
      </c>
      <c r="F996" t="s">
        <v>6504</v>
      </c>
      <c r="G996" t="b">
        <v>0</v>
      </c>
      <c r="H996" t="b">
        <v>0</v>
      </c>
      <c r="I996" t="s">
        <v>1051</v>
      </c>
      <c r="J996">
        <v>78</v>
      </c>
      <c r="K996" t="s">
        <v>0</v>
      </c>
      <c r="L996" t="s">
        <v>3000</v>
      </c>
      <c r="M996" t="s">
        <v>1548</v>
      </c>
      <c r="N996" t="s">
        <v>1548</v>
      </c>
      <c r="O996" t="s">
        <v>1548</v>
      </c>
      <c r="P996" s="36" t="s">
        <v>6505</v>
      </c>
    </row>
    <row r="997" spans="1:16" ht="409.5" x14ac:dyDescent="0.25">
      <c r="A997" t="s">
        <v>7590</v>
      </c>
      <c r="B997" t="s">
        <v>7589</v>
      </c>
      <c r="C997" t="s">
        <v>6503</v>
      </c>
      <c r="D997" t="s">
        <v>1027</v>
      </c>
      <c r="E997">
        <v>1488</v>
      </c>
      <c r="F997" t="s">
        <v>6504</v>
      </c>
      <c r="G997" t="b">
        <v>0</v>
      </c>
      <c r="H997" t="b">
        <v>0</v>
      </c>
      <c r="I997" t="s">
        <v>1051</v>
      </c>
      <c r="J997">
        <v>78</v>
      </c>
      <c r="K997" t="s">
        <v>0</v>
      </c>
      <c r="L997" t="s">
        <v>3000</v>
      </c>
      <c r="M997" t="s">
        <v>1548</v>
      </c>
      <c r="N997" t="s">
        <v>1548</v>
      </c>
      <c r="O997" t="s">
        <v>1548</v>
      </c>
      <c r="P997" s="36" t="s">
        <v>6505</v>
      </c>
    </row>
    <row r="998" spans="1:16" ht="409.5" x14ac:dyDescent="0.25">
      <c r="A998" t="s">
        <v>7591</v>
      </c>
      <c r="B998" t="s">
        <v>7589</v>
      </c>
      <c r="C998" t="s">
        <v>6503</v>
      </c>
      <c r="D998" t="s">
        <v>1027</v>
      </c>
      <c r="E998">
        <v>1488</v>
      </c>
      <c r="F998" t="s">
        <v>6504</v>
      </c>
      <c r="G998" t="b">
        <v>0</v>
      </c>
      <c r="H998" t="b">
        <v>0</v>
      </c>
      <c r="I998" t="s">
        <v>1051</v>
      </c>
      <c r="J998">
        <v>78</v>
      </c>
      <c r="K998" t="s">
        <v>0</v>
      </c>
      <c r="L998" t="s">
        <v>3000</v>
      </c>
      <c r="M998" t="s">
        <v>1548</v>
      </c>
      <c r="N998" t="s">
        <v>1548</v>
      </c>
      <c r="O998" t="s">
        <v>1548</v>
      </c>
      <c r="P998" s="36" t="s">
        <v>6505</v>
      </c>
    </row>
    <row r="999" spans="1:16" ht="409.5" x14ac:dyDescent="0.25">
      <c r="A999" t="s">
        <v>7592</v>
      </c>
      <c r="B999" t="s">
        <v>7593</v>
      </c>
      <c r="C999" t="s">
        <v>6503</v>
      </c>
      <c r="D999" t="s">
        <v>1027</v>
      </c>
      <c r="E999">
        <v>1488</v>
      </c>
      <c r="F999" t="s">
        <v>6504</v>
      </c>
      <c r="G999" t="b">
        <v>0</v>
      </c>
      <c r="H999" t="b">
        <v>0</v>
      </c>
      <c r="I999" t="s">
        <v>1051</v>
      </c>
      <c r="J999">
        <v>78</v>
      </c>
      <c r="K999" t="s">
        <v>0</v>
      </c>
      <c r="L999" t="s">
        <v>3000</v>
      </c>
      <c r="M999" t="s">
        <v>1548</v>
      </c>
      <c r="N999" t="s">
        <v>1548</v>
      </c>
      <c r="O999" t="s">
        <v>1548</v>
      </c>
      <c r="P999" s="36" t="s">
        <v>6505</v>
      </c>
    </row>
    <row r="1000" spans="1:16" ht="409.5" x14ac:dyDescent="0.25">
      <c r="A1000" t="s">
        <v>7594</v>
      </c>
      <c r="B1000" t="s">
        <v>7593</v>
      </c>
      <c r="C1000" t="s">
        <v>6503</v>
      </c>
      <c r="D1000" t="s">
        <v>1027</v>
      </c>
      <c r="E1000">
        <v>1488</v>
      </c>
      <c r="F1000" t="s">
        <v>6504</v>
      </c>
      <c r="G1000" t="b">
        <v>0</v>
      </c>
      <c r="H1000" t="b">
        <v>0</v>
      </c>
      <c r="I1000" t="s">
        <v>1051</v>
      </c>
      <c r="J1000">
        <v>78</v>
      </c>
      <c r="K1000" t="s">
        <v>0</v>
      </c>
      <c r="L1000" t="s">
        <v>3000</v>
      </c>
      <c r="M1000" t="s">
        <v>1548</v>
      </c>
      <c r="N1000" t="s">
        <v>1548</v>
      </c>
      <c r="O1000" t="s">
        <v>1548</v>
      </c>
      <c r="P1000" s="36" t="s">
        <v>6505</v>
      </c>
    </row>
    <row r="1001" spans="1:16" ht="409.5" x14ac:dyDescent="0.25">
      <c r="A1001" t="s">
        <v>7595</v>
      </c>
      <c r="B1001" t="s">
        <v>7596</v>
      </c>
      <c r="C1001" t="s">
        <v>6503</v>
      </c>
      <c r="D1001" t="s">
        <v>1027</v>
      </c>
      <c r="E1001">
        <v>1488</v>
      </c>
      <c r="F1001" t="s">
        <v>6504</v>
      </c>
      <c r="G1001" t="b">
        <v>0</v>
      </c>
      <c r="H1001" t="b">
        <v>0</v>
      </c>
      <c r="I1001" t="s">
        <v>1051</v>
      </c>
      <c r="J1001">
        <v>78</v>
      </c>
      <c r="K1001" t="s">
        <v>0</v>
      </c>
      <c r="L1001" t="s">
        <v>3000</v>
      </c>
      <c r="M1001" t="s">
        <v>1548</v>
      </c>
      <c r="N1001" t="s">
        <v>1548</v>
      </c>
      <c r="O1001" t="s">
        <v>1548</v>
      </c>
      <c r="P1001" s="36" t="s">
        <v>6505</v>
      </c>
    </row>
    <row r="1002" spans="1:16" ht="409.5" x14ac:dyDescent="0.25">
      <c r="A1002" t="s">
        <v>7597</v>
      </c>
      <c r="B1002" t="s">
        <v>7596</v>
      </c>
      <c r="C1002" t="s">
        <v>6503</v>
      </c>
      <c r="D1002" t="s">
        <v>1027</v>
      </c>
      <c r="E1002">
        <v>1488</v>
      </c>
      <c r="F1002" t="s">
        <v>6504</v>
      </c>
      <c r="G1002" t="b">
        <v>0</v>
      </c>
      <c r="H1002" t="b">
        <v>0</v>
      </c>
      <c r="I1002" t="s">
        <v>1051</v>
      </c>
      <c r="J1002">
        <v>78</v>
      </c>
      <c r="K1002" t="s">
        <v>0</v>
      </c>
      <c r="L1002" t="s">
        <v>3000</v>
      </c>
      <c r="M1002" t="s">
        <v>1548</v>
      </c>
      <c r="N1002" t="s">
        <v>1548</v>
      </c>
      <c r="O1002" t="s">
        <v>1548</v>
      </c>
      <c r="P1002" s="36" t="s">
        <v>6505</v>
      </c>
    </row>
    <row r="1003" spans="1:16" ht="409.5" x14ac:dyDescent="0.25">
      <c r="A1003" t="s">
        <v>7598</v>
      </c>
      <c r="B1003" t="s">
        <v>7585</v>
      </c>
      <c r="C1003" t="s">
        <v>6503</v>
      </c>
      <c r="D1003" t="s">
        <v>1027</v>
      </c>
      <c r="E1003">
        <v>1488</v>
      </c>
      <c r="F1003" t="s">
        <v>6504</v>
      </c>
      <c r="G1003" t="b">
        <v>0</v>
      </c>
      <c r="H1003" t="b">
        <v>0</v>
      </c>
      <c r="I1003" t="s">
        <v>1051</v>
      </c>
      <c r="J1003">
        <v>78</v>
      </c>
      <c r="K1003" t="s">
        <v>0</v>
      </c>
      <c r="L1003" t="s">
        <v>3000</v>
      </c>
      <c r="M1003" t="s">
        <v>1548</v>
      </c>
      <c r="N1003" t="s">
        <v>1548</v>
      </c>
      <c r="O1003" t="s">
        <v>1548</v>
      </c>
      <c r="P1003" s="36" t="s">
        <v>6505</v>
      </c>
    </row>
    <row r="1004" spans="1:16" ht="409.5" x14ac:dyDescent="0.25">
      <c r="A1004" t="s">
        <v>7599</v>
      </c>
      <c r="B1004" t="s">
        <v>7600</v>
      </c>
      <c r="C1004" t="s">
        <v>6503</v>
      </c>
      <c r="D1004" t="s">
        <v>1027</v>
      </c>
      <c r="E1004">
        <v>1488</v>
      </c>
      <c r="F1004" t="s">
        <v>6504</v>
      </c>
      <c r="G1004" t="b">
        <v>0</v>
      </c>
      <c r="H1004" t="b">
        <v>0</v>
      </c>
      <c r="I1004" t="s">
        <v>1051</v>
      </c>
      <c r="J1004">
        <v>78</v>
      </c>
      <c r="K1004" t="s">
        <v>0</v>
      </c>
      <c r="L1004" t="s">
        <v>3000</v>
      </c>
      <c r="M1004" t="s">
        <v>1548</v>
      </c>
      <c r="N1004" t="s">
        <v>1548</v>
      </c>
      <c r="O1004" t="s">
        <v>1548</v>
      </c>
      <c r="P1004" s="36" t="s">
        <v>6505</v>
      </c>
    </row>
    <row r="1005" spans="1:16" ht="409.5" x14ac:dyDescent="0.25">
      <c r="A1005" t="s">
        <v>7601</v>
      </c>
      <c r="B1005" t="s">
        <v>7602</v>
      </c>
      <c r="C1005" t="s">
        <v>6473</v>
      </c>
      <c r="D1005" t="s">
        <v>1027</v>
      </c>
      <c r="E1005">
        <v>33419</v>
      </c>
      <c r="F1005" t="s">
        <v>6474</v>
      </c>
      <c r="G1005" t="b">
        <v>0</v>
      </c>
      <c r="H1005" t="b">
        <v>0</v>
      </c>
      <c r="I1005" t="s">
        <v>1051</v>
      </c>
      <c r="J1005">
        <v>78</v>
      </c>
      <c r="K1005" t="s">
        <v>0</v>
      </c>
      <c r="L1005" t="s">
        <v>3000</v>
      </c>
      <c r="M1005" t="s">
        <v>1548</v>
      </c>
      <c r="N1005" t="s">
        <v>1548</v>
      </c>
      <c r="O1005" t="s">
        <v>1548</v>
      </c>
      <c r="P1005" s="36" t="s">
        <v>6448</v>
      </c>
    </row>
    <row r="1006" spans="1:16" ht="409.5" x14ac:dyDescent="0.25">
      <c r="A1006" t="s">
        <v>7603</v>
      </c>
      <c r="B1006" t="s">
        <v>7602</v>
      </c>
      <c r="C1006" t="s">
        <v>6473</v>
      </c>
      <c r="D1006" t="s">
        <v>1027</v>
      </c>
      <c r="E1006">
        <v>33419</v>
      </c>
      <c r="F1006" t="s">
        <v>6474</v>
      </c>
      <c r="G1006" t="b">
        <v>0</v>
      </c>
      <c r="H1006" t="b">
        <v>0</v>
      </c>
      <c r="I1006" t="s">
        <v>1051</v>
      </c>
      <c r="J1006">
        <v>78</v>
      </c>
      <c r="K1006" t="s">
        <v>0</v>
      </c>
      <c r="L1006" t="s">
        <v>3000</v>
      </c>
      <c r="M1006" t="s">
        <v>1548</v>
      </c>
      <c r="N1006" t="s">
        <v>1548</v>
      </c>
      <c r="O1006" t="s">
        <v>1548</v>
      </c>
      <c r="P1006" s="36" t="s">
        <v>6448</v>
      </c>
    </row>
    <row r="1007" spans="1:16" ht="409.5" x14ac:dyDescent="0.25">
      <c r="A1007" t="s">
        <v>7604</v>
      </c>
      <c r="B1007" t="s">
        <v>7602</v>
      </c>
      <c r="C1007" t="s">
        <v>6473</v>
      </c>
      <c r="D1007" t="s">
        <v>1027</v>
      </c>
      <c r="E1007">
        <v>33419</v>
      </c>
      <c r="F1007" t="s">
        <v>6474</v>
      </c>
      <c r="G1007" t="b">
        <v>0</v>
      </c>
      <c r="H1007" t="b">
        <v>0</v>
      </c>
      <c r="I1007" t="s">
        <v>1051</v>
      </c>
      <c r="J1007">
        <v>78</v>
      </c>
      <c r="K1007" t="s">
        <v>0</v>
      </c>
      <c r="L1007" t="s">
        <v>3000</v>
      </c>
      <c r="M1007" t="s">
        <v>1548</v>
      </c>
      <c r="N1007" t="s">
        <v>1548</v>
      </c>
      <c r="O1007" t="s">
        <v>1548</v>
      </c>
      <c r="P1007" s="36" t="s">
        <v>6448</v>
      </c>
    </row>
    <row r="1008" spans="1:16" ht="409.5" x14ac:dyDescent="0.25">
      <c r="A1008" t="s">
        <v>7605</v>
      </c>
      <c r="B1008" t="s">
        <v>7602</v>
      </c>
      <c r="C1008" t="s">
        <v>6473</v>
      </c>
      <c r="D1008" t="s">
        <v>1027</v>
      </c>
      <c r="E1008">
        <v>33419</v>
      </c>
      <c r="F1008" t="s">
        <v>6474</v>
      </c>
      <c r="G1008" t="b">
        <v>0</v>
      </c>
      <c r="H1008" t="b">
        <v>0</v>
      </c>
      <c r="I1008" t="s">
        <v>1051</v>
      </c>
      <c r="J1008">
        <v>78</v>
      </c>
      <c r="K1008" t="s">
        <v>0</v>
      </c>
      <c r="L1008" t="s">
        <v>3000</v>
      </c>
      <c r="M1008" t="s">
        <v>1548</v>
      </c>
      <c r="N1008" t="s">
        <v>1548</v>
      </c>
      <c r="O1008" t="s">
        <v>1548</v>
      </c>
      <c r="P1008" s="36" t="s">
        <v>6448</v>
      </c>
    </row>
    <row r="1009" spans="1:16" ht="409.5" x14ac:dyDescent="0.25">
      <c r="A1009" t="s">
        <v>7606</v>
      </c>
      <c r="B1009" t="s">
        <v>7602</v>
      </c>
      <c r="C1009" t="s">
        <v>6473</v>
      </c>
      <c r="D1009" t="s">
        <v>1027</v>
      </c>
      <c r="E1009">
        <v>33419</v>
      </c>
      <c r="F1009" t="s">
        <v>6474</v>
      </c>
      <c r="G1009" t="b">
        <v>0</v>
      </c>
      <c r="H1009" t="b">
        <v>0</v>
      </c>
      <c r="I1009" t="s">
        <v>1051</v>
      </c>
      <c r="J1009">
        <v>78</v>
      </c>
      <c r="K1009" t="s">
        <v>0</v>
      </c>
      <c r="L1009" t="s">
        <v>3000</v>
      </c>
      <c r="M1009" t="s">
        <v>1548</v>
      </c>
      <c r="N1009" t="s">
        <v>1548</v>
      </c>
      <c r="O1009" t="s">
        <v>1548</v>
      </c>
      <c r="P1009" s="36" t="s">
        <v>6448</v>
      </c>
    </row>
    <row r="1010" spans="1:16" ht="409.5" x14ac:dyDescent="0.25">
      <c r="A1010" t="s">
        <v>7607</v>
      </c>
      <c r="B1010" t="s">
        <v>7602</v>
      </c>
      <c r="C1010" t="s">
        <v>6473</v>
      </c>
      <c r="D1010" t="s">
        <v>1027</v>
      </c>
      <c r="E1010">
        <v>33419</v>
      </c>
      <c r="F1010" t="s">
        <v>6474</v>
      </c>
      <c r="G1010" t="b">
        <v>0</v>
      </c>
      <c r="H1010" t="b">
        <v>0</v>
      </c>
      <c r="I1010" t="s">
        <v>1051</v>
      </c>
      <c r="J1010">
        <v>78</v>
      </c>
      <c r="K1010" t="s">
        <v>0</v>
      </c>
      <c r="L1010" t="s">
        <v>3000</v>
      </c>
      <c r="M1010" t="s">
        <v>1548</v>
      </c>
      <c r="N1010" t="s">
        <v>1548</v>
      </c>
      <c r="O1010" t="s">
        <v>1548</v>
      </c>
      <c r="P1010" s="36" t="s">
        <v>6448</v>
      </c>
    </row>
    <row r="1011" spans="1:16" ht="409.5" x14ac:dyDescent="0.25">
      <c r="A1011" t="s">
        <v>7608</v>
      </c>
      <c r="B1011" t="s">
        <v>7602</v>
      </c>
      <c r="C1011" t="s">
        <v>6473</v>
      </c>
      <c r="D1011" t="s">
        <v>1027</v>
      </c>
      <c r="E1011">
        <v>33419</v>
      </c>
      <c r="F1011" t="s">
        <v>6474</v>
      </c>
      <c r="G1011" t="b">
        <v>0</v>
      </c>
      <c r="H1011" t="b">
        <v>0</v>
      </c>
      <c r="I1011" t="s">
        <v>1051</v>
      </c>
      <c r="J1011">
        <v>78</v>
      </c>
      <c r="K1011" t="s">
        <v>0</v>
      </c>
      <c r="L1011" t="s">
        <v>3000</v>
      </c>
      <c r="M1011" t="s">
        <v>1548</v>
      </c>
      <c r="N1011" t="s">
        <v>1548</v>
      </c>
      <c r="O1011" t="s">
        <v>1548</v>
      </c>
      <c r="P1011" s="36" t="s">
        <v>6448</v>
      </c>
    </row>
    <row r="1012" spans="1:16" ht="409.5" x14ac:dyDescent="0.25">
      <c r="A1012" t="s">
        <v>7609</v>
      </c>
      <c r="B1012" t="s">
        <v>7602</v>
      </c>
      <c r="C1012" t="s">
        <v>6473</v>
      </c>
      <c r="D1012" t="s">
        <v>1027</v>
      </c>
      <c r="E1012">
        <v>33419</v>
      </c>
      <c r="F1012" t="s">
        <v>6474</v>
      </c>
      <c r="G1012" t="b">
        <v>0</v>
      </c>
      <c r="H1012" t="b">
        <v>0</v>
      </c>
      <c r="I1012" t="s">
        <v>1051</v>
      </c>
      <c r="J1012">
        <v>78</v>
      </c>
      <c r="K1012" t="s">
        <v>0</v>
      </c>
      <c r="L1012" t="s">
        <v>3000</v>
      </c>
      <c r="M1012" t="s">
        <v>1548</v>
      </c>
      <c r="N1012" t="s">
        <v>1548</v>
      </c>
      <c r="O1012" t="s">
        <v>1548</v>
      </c>
      <c r="P1012" s="36" t="s">
        <v>6448</v>
      </c>
    </row>
    <row r="1013" spans="1:16" ht="409.5" x14ac:dyDescent="0.25">
      <c r="A1013" t="s">
        <v>7610</v>
      </c>
      <c r="B1013" t="s">
        <v>7602</v>
      </c>
      <c r="C1013" t="s">
        <v>6473</v>
      </c>
      <c r="D1013" t="s">
        <v>1027</v>
      </c>
      <c r="E1013">
        <v>33419</v>
      </c>
      <c r="F1013" t="s">
        <v>6474</v>
      </c>
      <c r="G1013" t="b">
        <v>0</v>
      </c>
      <c r="H1013" t="b">
        <v>0</v>
      </c>
      <c r="I1013" t="s">
        <v>1051</v>
      </c>
      <c r="J1013">
        <v>78</v>
      </c>
      <c r="K1013" t="s">
        <v>0</v>
      </c>
      <c r="L1013" t="s">
        <v>3000</v>
      </c>
      <c r="M1013" t="s">
        <v>1548</v>
      </c>
      <c r="N1013" t="s">
        <v>1548</v>
      </c>
      <c r="O1013" t="s">
        <v>1548</v>
      </c>
      <c r="P1013" s="36" t="s">
        <v>6448</v>
      </c>
    </row>
    <row r="1014" spans="1:16" ht="409.5" x14ac:dyDescent="0.25">
      <c r="A1014" t="s">
        <v>7611</v>
      </c>
      <c r="B1014" t="s">
        <v>7602</v>
      </c>
      <c r="C1014" t="s">
        <v>6473</v>
      </c>
      <c r="D1014" t="s">
        <v>1027</v>
      </c>
      <c r="E1014">
        <v>33419</v>
      </c>
      <c r="F1014" t="s">
        <v>6474</v>
      </c>
      <c r="G1014" t="b">
        <v>0</v>
      </c>
      <c r="H1014" t="b">
        <v>0</v>
      </c>
      <c r="I1014" t="s">
        <v>1051</v>
      </c>
      <c r="J1014">
        <v>78</v>
      </c>
      <c r="K1014" t="s">
        <v>0</v>
      </c>
      <c r="L1014" t="s">
        <v>3000</v>
      </c>
      <c r="M1014" t="s">
        <v>1548</v>
      </c>
      <c r="N1014" t="s">
        <v>1548</v>
      </c>
      <c r="O1014" t="s">
        <v>1548</v>
      </c>
      <c r="P1014" s="36" t="s">
        <v>6448</v>
      </c>
    </row>
    <row r="1015" spans="1:16" ht="409.5" x14ac:dyDescent="0.25">
      <c r="A1015" t="s">
        <v>7612</v>
      </c>
      <c r="B1015" t="s">
        <v>7602</v>
      </c>
      <c r="C1015" t="s">
        <v>6473</v>
      </c>
      <c r="D1015" t="s">
        <v>1027</v>
      </c>
      <c r="E1015">
        <v>33419</v>
      </c>
      <c r="F1015" t="s">
        <v>6474</v>
      </c>
      <c r="G1015" t="b">
        <v>0</v>
      </c>
      <c r="H1015" t="b">
        <v>0</v>
      </c>
      <c r="I1015" t="s">
        <v>1051</v>
      </c>
      <c r="J1015">
        <v>78</v>
      </c>
      <c r="K1015" t="s">
        <v>0</v>
      </c>
      <c r="L1015" t="s">
        <v>3000</v>
      </c>
      <c r="M1015" t="s">
        <v>1548</v>
      </c>
      <c r="N1015" t="s">
        <v>1548</v>
      </c>
      <c r="O1015" t="s">
        <v>1548</v>
      </c>
      <c r="P1015" s="36" t="s">
        <v>6448</v>
      </c>
    </row>
    <row r="1016" spans="1:16" ht="409.5" x14ac:dyDescent="0.25">
      <c r="A1016" t="s">
        <v>7613</v>
      </c>
      <c r="B1016" t="s">
        <v>7602</v>
      </c>
      <c r="C1016" t="s">
        <v>6473</v>
      </c>
      <c r="D1016" t="s">
        <v>1027</v>
      </c>
      <c r="E1016">
        <v>33419</v>
      </c>
      <c r="F1016" t="s">
        <v>6474</v>
      </c>
      <c r="G1016" t="b">
        <v>0</v>
      </c>
      <c r="H1016" t="b">
        <v>0</v>
      </c>
      <c r="I1016" t="s">
        <v>1051</v>
      </c>
      <c r="J1016">
        <v>78</v>
      </c>
      <c r="K1016" t="s">
        <v>0</v>
      </c>
      <c r="L1016" t="s">
        <v>3000</v>
      </c>
      <c r="M1016" t="s">
        <v>1548</v>
      </c>
      <c r="N1016" t="s">
        <v>1548</v>
      </c>
      <c r="O1016" t="s">
        <v>1548</v>
      </c>
      <c r="P1016" s="36" t="s">
        <v>6448</v>
      </c>
    </row>
    <row r="1017" spans="1:16" ht="409.5" x14ac:dyDescent="0.25">
      <c r="A1017" t="s">
        <v>7614</v>
      </c>
      <c r="B1017" t="s">
        <v>7602</v>
      </c>
      <c r="C1017" t="s">
        <v>6473</v>
      </c>
      <c r="D1017" t="s">
        <v>1027</v>
      </c>
      <c r="E1017">
        <v>33419</v>
      </c>
      <c r="F1017" t="s">
        <v>6474</v>
      </c>
      <c r="G1017" t="b">
        <v>0</v>
      </c>
      <c r="H1017" t="b">
        <v>0</v>
      </c>
      <c r="I1017" t="s">
        <v>1051</v>
      </c>
      <c r="J1017">
        <v>78</v>
      </c>
      <c r="K1017" t="s">
        <v>0</v>
      </c>
      <c r="L1017" t="s">
        <v>3000</v>
      </c>
      <c r="M1017" t="s">
        <v>1548</v>
      </c>
      <c r="N1017" t="s">
        <v>1548</v>
      </c>
      <c r="O1017" t="s">
        <v>1548</v>
      </c>
      <c r="P1017" s="36" t="s">
        <v>6448</v>
      </c>
    </row>
    <row r="1018" spans="1:16" ht="409.5" x14ac:dyDescent="0.25">
      <c r="A1018" t="s">
        <v>7615</v>
      </c>
      <c r="B1018" t="s">
        <v>7602</v>
      </c>
      <c r="C1018" t="s">
        <v>6473</v>
      </c>
      <c r="D1018" t="s">
        <v>1027</v>
      </c>
      <c r="E1018">
        <v>33419</v>
      </c>
      <c r="F1018" t="s">
        <v>6474</v>
      </c>
      <c r="G1018" t="b">
        <v>0</v>
      </c>
      <c r="H1018" t="b">
        <v>0</v>
      </c>
      <c r="I1018" t="s">
        <v>1051</v>
      </c>
      <c r="J1018">
        <v>78</v>
      </c>
      <c r="K1018" t="s">
        <v>0</v>
      </c>
      <c r="L1018" t="s">
        <v>3000</v>
      </c>
      <c r="M1018" t="s">
        <v>1548</v>
      </c>
      <c r="N1018" t="s">
        <v>1548</v>
      </c>
      <c r="O1018" t="s">
        <v>1548</v>
      </c>
      <c r="P1018" s="36" t="s">
        <v>6448</v>
      </c>
    </row>
    <row r="1019" spans="1:16" ht="409.5" x14ac:dyDescent="0.25">
      <c r="A1019" t="s">
        <v>7616</v>
      </c>
      <c r="B1019" t="s">
        <v>7602</v>
      </c>
      <c r="C1019" t="s">
        <v>6473</v>
      </c>
      <c r="D1019" t="s">
        <v>1027</v>
      </c>
      <c r="E1019">
        <v>33419</v>
      </c>
      <c r="F1019" t="s">
        <v>6474</v>
      </c>
      <c r="G1019" t="b">
        <v>0</v>
      </c>
      <c r="H1019" t="b">
        <v>0</v>
      </c>
      <c r="I1019" t="s">
        <v>1051</v>
      </c>
      <c r="J1019">
        <v>78</v>
      </c>
      <c r="K1019" t="s">
        <v>0</v>
      </c>
      <c r="L1019" t="s">
        <v>3000</v>
      </c>
      <c r="M1019" t="s">
        <v>1548</v>
      </c>
      <c r="N1019" t="s">
        <v>1548</v>
      </c>
      <c r="O1019" t="s">
        <v>1548</v>
      </c>
      <c r="P1019" s="36" t="s">
        <v>6448</v>
      </c>
    </row>
    <row r="1020" spans="1:16" ht="409.5" x14ac:dyDescent="0.25">
      <c r="A1020" t="s">
        <v>7617</v>
      </c>
      <c r="B1020" t="s">
        <v>7618</v>
      </c>
      <c r="C1020" t="s">
        <v>6473</v>
      </c>
      <c r="D1020" t="s">
        <v>1027</v>
      </c>
      <c r="E1020">
        <v>33419</v>
      </c>
      <c r="F1020" t="s">
        <v>6474</v>
      </c>
      <c r="G1020" t="b">
        <v>0</v>
      </c>
      <c r="H1020" t="b">
        <v>0</v>
      </c>
      <c r="I1020" t="s">
        <v>1051</v>
      </c>
      <c r="J1020">
        <v>78</v>
      </c>
      <c r="K1020" t="s">
        <v>0</v>
      </c>
      <c r="L1020" t="s">
        <v>3000</v>
      </c>
      <c r="M1020" t="s">
        <v>1548</v>
      </c>
      <c r="N1020" t="s">
        <v>1548</v>
      </c>
      <c r="O1020" t="s">
        <v>1548</v>
      </c>
      <c r="P1020" s="36" t="s">
        <v>6448</v>
      </c>
    </row>
    <row r="1021" spans="1:16" ht="409.5" x14ac:dyDescent="0.25">
      <c r="A1021" t="s">
        <v>7619</v>
      </c>
      <c r="B1021" t="s">
        <v>7618</v>
      </c>
      <c r="C1021" t="s">
        <v>6473</v>
      </c>
      <c r="D1021" t="s">
        <v>1027</v>
      </c>
      <c r="E1021">
        <v>33419</v>
      </c>
      <c r="F1021" t="s">
        <v>6474</v>
      </c>
      <c r="G1021" t="b">
        <v>0</v>
      </c>
      <c r="H1021" t="b">
        <v>0</v>
      </c>
      <c r="I1021" t="s">
        <v>1051</v>
      </c>
      <c r="J1021">
        <v>78</v>
      </c>
      <c r="K1021" t="s">
        <v>0</v>
      </c>
      <c r="L1021" t="s">
        <v>3000</v>
      </c>
      <c r="M1021" t="s">
        <v>1548</v>
      </c>
      <c r="N1021" t="s">
        <v>1548</v>
      </c>
      <c r="O1021" t="s">
        <v>1548</v>
      </c>
      <c r="P1021" s="36" t="s">
        <v>6448</v>
      </c>
    </row>
    <row r="1022" spans="1:16" ht="409.5" x14ac:dyDescent="0.25">
      <c r="A1022" t="s">
        <v>7620</v>
      </c>
      <c r="B1022" t="s">
        <v>7621</v>
      </c>
      <c r="C1022" t="s">
        <v>7622</v>
      </c>
      <c r="D1022" t="s">
        <v>1027</v>
      </c>
      <c r="G1022" t="b">
        <v>0</v>
      </c>
      <c r="H1022" t="b">
        <v>0</v>
      </c>
      <c r="I1022" t="s">
        <v>1051</v>
      </c>
      <c r="J1022">
        <v>87</v>
      </c>
      <c r="K1022" t="s">
        <v>0</v>
      </c>
      <c r="L1022" t="s">
        <v>3000</v>
      </c>
      <c r="M1022" t="s">
        <v>1548</v>
      </c>
      <c r="N1022" t="s">
        <v>1548</v>
      </c>
      <c r="O1022" t="s">
        <v>3922</v>
      </c>
      <c r="P1022" s="36" t="s">
        <v>7623</v>
      </c>
    </row>
    <row r="1023" spans="1:16" ht="409.5" x14ac:dyDescent="0.25">
      <c r="A1023" t="s">
        <v>7624</v>
      </c>
      <c r="B1023" t="s">
        <v>7621</v>
      </c>
      <c r="C1023" t="s">
        <v>7622</v>
      </c>
      <c r="D1023" t="s">
        <v>1027</v>
      </c>
      <c r="G1023" t="b">
        <v>0</v>
      </c>
      <c r="H1023" t="b">
        <v>0</v>
      </c>
      <c r="I1023" t="s">
        <v>1051</v>
      </c>
      <c r="J1023">
        <v>87</v>
      </c>
      <c r="K1023" t="s">
        <v>0</v>
      </c>
      <c r="L1023" t="s">
        <v>3000</v>
      </c>
      <c r="M1023" t="s">
        <v>1548</v>
      </c>
      <c r="N1023" t="s">
        <v>1548</v>
      </c>
      <c r="O1023" t="s">
        <v>3922</v>
      </c>
      <c r="P1023" s="36" t="s">
        <v>7623</v>
      </c>
    </row>
    <row r="1024" spans="1:16" ht="409.5" x14ac:dyDescent="0.25">
      <c r="A1024" t="s">
        <v>7625</v>
      </c>
      <c r="B1024" t="s">
        <v>7626</v>
      </c>
      <c r="C1024" t="s">
        <v>6473</v>
      </c>
      <c r="D1024" t="s">
        <v>1027</v>
      </c>
      <c r="E1024">
        <v>33419</v>
      </c>
      <c r="F1024" t="s">
        <v>6474</v>
      </c>
      <c r="G1024" t="b">
        <v>0</v>
      </c>
      <c r="H1024" t="b">
        <v>0</v>
      </c>
      <c r="I1024" t="s">
        <v>1051</v>
      </c>
      <c r="J1024">
        <v>78</v>
      </c>
      <c r="K1024" t="s">
        <v>0</v>
      </c>
      <c r="L1024" t="s">
        <v>3000</v>
      </c>
      <c r="M1024" t="s">
        <v>1548</v>
      </c>
      <c r="N1024" t="s">
        <v>1548</v>
      </c>
      <c r="O1024" t="s">
        <v>1548</v>
      </c>
      <c r="P1024" s="36" t="s">
        <v>6448</v>
      </c>
    </row>
    <row r="1025" spans="1:16" ht="409.5" x14ac:dyDescent="0.25">
      <c r="A1025" t="s">
        <v>7627</v>
      </c>
      <c r="B1025" t="s">
        <v>7626</v>
      </c>
      <c r="C1025" t="s">
        <v>6473</v>
      </c>
      <c r="D1025" t="s">
        <v>1027</v>
      </c>
      <c r="E1025">
        <v>33419</v>
      </c>
      <c r="F1025" t="s">
        <v>6474</v>
      </c>
      <c r="G1025" t="b">
        <v>0</v>
      </c>
      <c r="H1025" t="b">
        <v>0</v>
      </c>
      <c r="I1025" t="s">
        <v>1051</v>
      </c>
      <c r="J1025">
        <v>78</v>
      </c>
      <c r="K1025" t="s">
        <v>0</v>
      </c>
      <c r="L1025" t="s">
        <v>3000</v>
      </c>
      <c r="M1025" t="s">
        <v>1548</v>
      </c>
      <c r="N1025" t="s">
        <v>1548</v>
      </c>
      <c r="O1025" t="s">
        <v>1548</v>
      </c>
      <c r="P1025" s="36" t="s">
        <v>6448</v>
      </c>
    </row>
    <row r="1026" spans="1:16" ht="409.5" x14ac:dyDescent="0.25">
      <c r="A1026" t="s">
        <v>7628</v>
      </c>
      <c r="B1026" t="s">
        <v>7626</v>
      </c>
      <c r="C1026" t="s">
        <v>6473</v>
      </c>
      <c r="D1026" t="s">
        <v>1027</v>
      </c>
      <c r="E1026">
        <v>33419</v>
      </c>
      <c r="F1026" t="s">
        <v>6474</v>
      </c>
      <c r="G1026" t="b">
        <v>0</v>
      </c>
      <c r="H1026" t="b">
        <v>0</v>
      </c>
      <c r="I1026" t="s">
        <v>1051</v>
      </c>
      <c r="J1026">
        <v>78</v>
      </c>
      <c r="K1026" t="s">
        <v>0</v>
      </c>
      <c r="L1026" t="s">
        <v>3000</v>
      </c>
      <c r="M1026" t="s">
        <v>1548</v>
      </c>
      <c r="N1026" t="s">
        <v>1548</v>
      </c>
      <c r="O1026" t="s">
        <v>1548</v>
      </c>
      <c r="P1026" s="36" t="s">
        <v>6448</v>
      </c>
    </row>
    <row r="1027" spans="1:16" ht="409.5" x14ac:dyDescent="0.25">
      <c r="A1027" t="s">
        <v>7629</v>
      </c>
      <c r="B1027" t="s">
        <v>7626</v>
      </c>
      <c r="C1027" t="s">
        <v>6473</v>
      </c>
      <c r="D1027" t="s">
        <v>1027</v>
      </c>
      <c r="E1027">
        <v>33419</v>
      </c>
      <c r="F1027" t="s">
        <v>6474</v>
      </c>
      <c r="G1027" t="b">
        <v>0</v>
      </c>
      <c r="H1027" t="b">
        <v>0</v>
      </c>
      <c r="I1027" t="s">
        <v>1051</v>
      </c>
      <c r="J1027">
        <v>78</v>
      </c>
      <c r="K1027" t="s">
        <v>0</v>
      </c>
      <c r="L1027" t="s">
        <v>3000</v>
      </c>
      <c r="M1027" t="s">
        <v>1548</v>
      </c>
      <c r="N1027" t="s">
        <v>1548</v>
      </c>
      <c r="O1027" t="s">
        <v>1548</v>
      </c>
      <c r="P1027" s="36" t="s">
        <v>6448</v>
      </c>
    </row>
    <row r="1028" spans="1:16" ht="409.5" x14ac:dyDescent="0.25">
      <c r="A1028" t="s">
        <v>7630</v>
      </c>
      <c r="B1028" t="s">
        <v>7626</v>
      </c>
      <c r="C1028" t="s">
        <v>6473</v>
      </c>
      <c r="D1028" t="s">
        <v>1027</v>
      </c>
      <c r="E1028">
        <v>33419</v>
      </c>
      <c r="F1028" t="s">
        <v>6474</v>
      </c>
      <c r="G1028" t="b">
        <v>0</v>
      </c>
      <c r="H1028" t="b">
        <v>0</v>
      </c>
      <c r="I1028" t="s">
        <v>1051</v>
      </c>
      <c r="J1028">
        <v>78</v>
      </c>
      <c r="K1028" t="s">
        <v>0</v>
      </c>
      <c r="L1028" t="s">
        <v>3000</v>
      </c>
      <c r="M1028" t="s">
        <v>1548</v>
      </c>
      <c r="N1028" t="s">
        <v>1548</v>
      </c>
      <c r="O1028" t="s">
        <v>1548</v>
      </c>
      <c r="P1028" s="36" t="s">
        <v>6448</v>
      </c>
    </row>
    <row r="1029" spans="1:16" ht="409.5" x14ac:dyDescent="0.25">
      <c r="A1029" t="s">
        <v>7631</v>
      </c>
      <c r="B1029" t="s">
        <v>7626</v>
      </c>
      <c r="C1029" t="s">
        <v>6473</v>
      </c>
      <c r="D1029" t="s">
        <v>1027</v>
      </c>
      <c r="E1029">
        <v>33419</v>
      </c>
      <c r="F1029" t="s">
        <v>6474</v>
      </c>
      <c r="G1029" t="b">
        <v>0</v>
      </c>
      <c r="H1029" t="b">
        <v>0</v>
      </c>
      <c r="I1029" t="s">
        <v>1051</v>
      </c>
      <c r="J1029">
        <v>78</v>
      </c>
      <c r="K1029" t="s">
        <v>0</v>
      </c>
      <c r="L1029" t="s">
        <v>3000</v>
      </c>
      <c r="M1029" t="s">
        <v>1548</v>
      </c>
      <c r="N1029" t="s">
        <v>1548</v>
      </c>
      <c r="O1029" t="s">
        <v>1548</v>
      </c>
      <c r="P1029" s="36" t="s">
        <v>6448</v>
      </c>
    </row>
    <row r="1030" spans="1:16" ht="409.5" x14ac:dyDescent="0.25">
      <c r="A1030" t="s">
        <v>7632</v>
      </c>
      <c r="B1030" t="s">
        <v>7626</v>
      </c>
      <c r="C1030" t="s">
        <v>6473</v>
      </c>
      <c r="D1030" t="s">
        <v>1027</v>
      </c>
      <c r="E1030">
        <v>33419</v>
      </c>
      <c r="F1030" t="s">
        <v>6474</v>
      </c>
      <c r="G1030" t="b">
        <v>0</v>
      </c>
      <c r="H1030" t="b">
        <v>0</v>
      </c>
      <c r="I1030" t="s">
        <v>1051</v>
      </c>
      <c r="J1030">
        <v>78</v>
      </c>
      <c r="K1030" t="s">
        <v>0</v>
      </c>
      <c r="L1030" t="s">
        <v>3000</v>
      </c>
      <c r="M1030" t="s">
        <v>1548</v>
      </c>
      <c r="N1030" t="s">
        <v>1548</v>
      </c>
      <c r="O1030" t="s">
        <v>1548</v>
      </c>
      <c r="P1030" s="36" t="s">
        <v>6448</v>
      </c>
    </row>
    <row r="1031" spans="1:16" ht="409.5" x14ac:dyDescent="0.25">
      <c r="A1031" t="s">
        <v>7633</v>
      </c>
      <c r="B1031" t="s">
        <v>7626</v>
      </c>
      <c r="C1031" t="s">
        <v>6473</v>
      </c>
      <c r="D1031" t="s">
        <v>1027</v>
      </c>
      <c r="E1031">
        <v>33419</v>
      </c>
      <c r="F1031" t="s">
        <v>6474</v>
      </c>
      <c r="G1031" t="b">
        <v>0</v>
      </c>
      <c r="H1031" t="b">
        <v>0</v>
      </c>
      <c r="I1031" t="s">
        <v>1051</v>
      </c>
      <c r="J1031">
        <v>78</v>
      </c>
      <c r="K1031" t="s">
        <v>0</v>
      </c>
      <c r="L1031" t="s">
        <v>3000</v>
      </c>
      <c r="M1031" t="s">
        <v>1548</v>
      </c>
      <c r="N1031" t="s">
        <v>1548</v>
      </c>
      <c r="O1031" t="s">
        <v>1548</v>
      </c>
      <c r="P1031" s="36" t="s">
        <v>6448</v>
      </c>
    </row>
    <row r="1032" spans="1:16" ht="409.5" x14ac:dyDescent="0.25">
      <c r="A1032" t="s">
        <v>7634</v>
      </c>
      <c r="B1032" t="s">
        <v>7626</v>
      </c>
      <c r="C1032" t="s">
        <v>6473</v>
      </c>
      <c r="D1032" t="s">
        <v>1027</v>
      </c>
      <c r="E1032">
        <v>33419</v>
      </c>
      <c r="F1032" t="s">
        <v>6474</v>
      </c>
      <c r="G1032" t="b">
        <v>0</v>
      </c>
      <c r="H1032" t="b">
        <v>0</v>
      </c>
      <c r="I1032" t="s">
        <v>1051</v>
      </c>
      <c r="J1032">
        <v>78</v>
      </c>
      <c r="K1032" t="s">
        <v>0</v>
      </c>
      <c r="L1032" t="s">
        <v>3000</v>
      </c>
      <c r="M1032" t="s">
        <v>1548</v>
      </c>
      <c r="N1032" t="s">
        <v>1548</v>
      </c>
      <c r="O1032" t="s">
        <v>1548</v>
      </c>
      <c r="P1032" s="36" t="s">
        <v>6448</v>
      </c>
    </row>
    <row r="1033" spans="1:16" ht="409.5" x14ac:dyDescent="0.25">
      <c r="A1033" t="s">
        <v>7635</v>
      </c>
      <c r="B1033" t="s">
        <v>7626</v>
      </c>
      <c r="C1033" t="s">
        <v>6473</v>
      </c>
      <c r="D1033" t="s">
        <v>1027</v>
      </c>
      <c r="E1033">
        <v>33419</v>
      </c>
      <c r="F1033" t="s">
        <v>6474</v>
      </c>
      <c r="G1033" t="b">
        <v>0</v>
      </c>
      <c r="H1033" t="b">
        <v>0</v>
      </c>
      <c r="I1033" t="s">
        <v>1051</v>
      </c>
      <c r="J1033">
        <v>78</v>
      </c>
      <c r="K1033" t="s">
        <v>0</v>
      </c>
      <c r="L1033" t="s">
        <v>3000</v>
      </c>
      <c r="M1033" t="s">
        <v>1548</v>
      </c>
      <c r="N1033" t="s">
        <v>1548</v>
      </c>
      <c r="O1033" t="s">
        <v>1548</v>
      </c>
      <c r="P1033" s="36" t="s">
        <v>6448</v>
      </c>
    </row>
    <row r="1034" spans="1:16" ht="409.5" x14ac:dyDescent="0.25">
      <c r="A1034" t="s">
        <v>7636</v>
      </c>
      <c r="B1034" t="s">
        <v>7626</v>
      </c>
      <c r="C1034" t="s">
        <v>6473</v>
      </c>
      <c r="D1034" t="s">
        <v>1027</v>
      </c>
      <c r="E1034">
        <v>33419</v>
      </c>
      <c r="F1034" t="s">
        <v>6474</v>
      </c>
      <c r="G1034" t="b">
        <v>0</v>
      </c>
      <c r="H1034" t="b">
        <v>0</v>
      </c>
      <c r="I1034" t="s">
        <v>1051</v>
      </c>
      <c r="J1034">
        <v>78</v>
      </c>
      <c r="K1034" t="s">
        <v>0</v>
      </c>
      <c r="L1034" t="s">
        <v>3000</v>
      </c>
      <c r="M1034" t="s">
        <v>1548</v>
      </c>
      <c r="N1034" t="s">
        <v>1548</v>
      </c>
      <c r="O1034" t="s">
        <v>1548</v>
      </c>
      <c r="P1034" s="36" t="s">
        <v>6448</v>
      </c>
    </row>
    <row r="1035" spans="1:16" ht="409.5" x14ac:dyDescent="0.25">
      <c r="A1035" t="s">
        <v>7637</v>
      </c>
      <c r="B1035" t="s">
        <v>7626</v>
      </c>
      <c r="C1035" t="s">
        <v>6473</v>
      </c>
      <c r="D1035" t="s">
        <v>1027</v>
      </c>
      <c r="E1035">
        <v>33419</v>
      </c>
      <c r="F1035" t="s">
        <v>6474</v>
      </c>
      <c r="G1035" t="b">
        <v>0</v>
      </c>
      <c r="H1035" t="b">
        <v>0</v>
      </c>
      <c r="I1035" t="s">
        <v>1051</v>
      </c>
      <c r="J1035">
        <v>78</v>
      </c>
      <c r="K1035" t="s">
        <v>0</v>
      </c>
      <c r="L1035" t="s">
        <v>3000</v>
      </c>
      <c r="M1035" t="s">
        <v>1548</v>
      </c>
      <c r="N1035" t="s">
        <v>1548</v>
      </c>
      <c r="O1035" t="s">
        <v>1548</v>
      </c>
      <c r="P1035" s="36" t="s">
        <v>6448</v>
      </c>
    </row>
    <row r="1036" spans="1:16" ht="409.5" x14ac:dyDescent="0.25">
      <c r="A1036" t="s">
        <v>7638</v>
      </c>
      <c r="B1036" t="s">
        <v>7626</v>
      </c>
      <c r="C1036" t="s">
        <v>6473</v>
      </c>
      <c r="D1036" t="s">
        <v>1027</v>
      </c>
      <c r="E1036">
        <v>33419</v>
      </c>
      <c r="F1036" t="s">
        <v>6474</v>
      </c>
      <c r="G1036" t="b">
        <v>0</v>
      </c>
      <c r="H1036" t="b">
        <v>0</v>
      </c>
      <c r="I1036" t="s">
        <v>1051</v>
      </c>
      <c r="J1036">
        <v>78</v>
      </c>
      <c r="K1036" t="s">
        <v>0</v>
      </c>
      <c r="L1036" t="s">
        <v>3000</v>
      </c>
      <c r="M1036" t="s">
        <v>1548</v>
      </c>
      <c r="N1036" t="s">
        <v>1548</v>
      </c>
      <c r="O1036" t="s">
        <v>1548</v>
      </c>
      <c r="P1036" s="36" t="s">
        <v>6448</v>
      </c>
    </row>
    <row r="1037" spans="1:16" ht="409.5" x14ac:dyDescent="0.25">
      <c r="A1037" t="s">
        <v>7639</v>
      </c>
      <c r="B1037" t="s">
        <v>7626</v>
      </c>
      <c r="C1037" t="s">
        <v>6473</v>
      </c>
      <c r="D1037" t="s">
        <v>1027</v>
      </c>
      <c r="E1037">
        <v>33419</v>
      </c>
      <c r="F1037" t="s">
        <v>6474</v>
      </c>
      <c r="G1037" t="b">
        <v>0</v>
      </c>
      <c r="H1037" t="b">
        <v>0</v>
      </c>
      <c r="I1037" t="s">
        <v>1051</v>
      </c>
      <c r="J1037">
        <v>78</v>
      </c>
      <c r="K1037" t="s">
        <v>0</v>
      </c>
      <c r="L1037" t="s">
        <v>3000</v>
      </c>
      <c r="M1037" t="s">
        <v>1548</v>
      </c>
      <c r="N1037" t="s">
        <v>1548</v>
      </c>
      <c r="O1037" t="s">
        <v>1548</v>
      </c>
      <c r="P1037" s="36" t="s">
        <v>6448</v>
      </c>
    </row>
    <row r="1038" spans="1:16" ht="409.5" x14ac:dyDescent="0.25">
      <c r="A1038" t="s">
        <v>7640</v>
      </c>
      <c r="B1038" t="s">
        <v>7626</v>
      </c>
      <c r="C1038" t="s">
        <v>6473</v>
      </c>
      <c r="D1038" t="s">
        <v>1027</v>
      </c>
      <c r="E1038">
        <v>33419</v>
      </c>
      <c r="F1038" t="s">
        <v>6474</v>
      </c>
      <c r="G1038" t="b">
        <v>0</v>
      </c>
      <c r="H1038" t="b">
        <v>0</v>
      </c>
      <c r="I1038" t="s">
        <v>1051</v>
      </c>
      <c r="J1038">
        <v>78</v>
      </c>
      <c r="K1038" t="s">
        <v>0</v>
      </c>
      <c r="L1038" t="s">
        <v>3000</v>
      </c>
      <c r="M1038" t="s">
        <v>1548</v>
      </c>
      <c r="N1038" t="s">
        <v>1548</v>
      </c>
      <c r="O1038" t="s">
        <v>1548</v>
      </c>
      <c r="P1038" s="36" t="s">
        <v>6448</v>
      </c>
    </row>
    <row r="1039" spans="1:16" ht="409.5" x14ac:dyDescent="0.25">
      <c r="A1039" t="s">
        <v>7641</v>
      </c>
      <c r="B1039" t="s">
        <v>7626</v>
      </c>
      <c r="C1039" t="s">
        <v>6473</v>
      </c>
      <c r="D1039" t="s">
        <v>1027</v>
      </c>
      <c r="E1039">
        <v>33419</v>
      </c>
      <c r="F1039" t="s">
        <v>6474</v>
      </c>
      <c r="G1039" t="b">
        <v>0</v>
      </c>
      <c r="H1039" t="b">
        <v>0</v>
      </c>
      <c r="I1039" t="s">
        <v>1051</v>
      </c>
      <c r="J1039">
        <v>78</v>
      </c>
      <c r="K1039" t="s">
        <v>0</v>
      </c>
      <c r="L1039" t="s">
        <v>3000</v>
      </c>
      <c r="M1039" t="s">
        <v>1548</v>
      </c>
      <c r="N1039" t="s">
        <v>1548</v>
      </c>
      <c r="O1039" t="s">
        <v>1548</v>
      </c>
      <c r="P1039" s="36" t="s">
        <v>6448</v>
      </c>
    </row>
    <row r="1040" spans="1:16" ht="409.5" x14ac:dyDescent="0.25">
      <c r="A1040" t="s">
        <v>7642</v>
      </c>
      <c r="B1040" t="s">
        <v>7626</v>
      </c>
      <c r="C1040" t="s">
        <v>6473</v>
      </c>
      <c r="D1040" t="s">
        <v>1027</v>
      </c>
      <c r="E1040">
        <v>33419</v>
      </c>
      <c r="F1040" t="s">
        <v>6474</v>
      </c>
      <c r="G1040" t="b">
        <v>0</v>
      </c>
      <c r="H1040" t="b">
        <v>0</v>
      </c>
      <c r="I1040" t="s">
        <v>1051</v>
      </c>
      <c r="J1040">
        <v>78</v>
      </c>
      <c r="K1040" t="s">
        <v>0</v>
      </c>
      <c r="L1040" t="s">
        <v>3000</v>
      </c>
      <c r="M1040" t="s">
        <v>1548</v>
      </c>
      <c r="N1040" t="s">
        <v>1548</v>
      </c>
      <c r="O1040" t="s">
        <v>1548</v>
      </c>
      <c r="P1040" s="36" t="s">
        <v>6448</v>
      </c>
    </row>
    <row r="1041" spans="1:16" ht="409.5" x14ac:dyDescent="0.25">
      <c r="A1041" t="s">
        <v>7643</v>
      </c>
      <c r="B1041" t="s">
        <v>7626</v>
      </c>
      <c r="C1041" t="s">
        <v>6473</v>
      </c>
      <c r="D1041" t="s">
        <v>1027</v>
      </c>
      <c r="E1041">
        <v>33419</v>
      </c>
      <c r="F1041" t="s">
        <v>6474</v>
      </c>
      <c r="G1041" t="b">
        <v>0</v>
      </c>
      <c r="H1041" t="b">
        <v>0</v>
      </c>
      <c r="I1041" t="s">
        <v>1051</v>
      </c>
      <c r="J1041">
        <v>78</v>
      </c>
      <c r="K1041" t="s">
        <v>0</v>
      </c>
      <c r="L1041" t="s">
        <v>3000</v>
      </c>
      <c r="M1041" t="s">
        <v>1548</v>
      </c>
      <c r="N1041" t="s">
        <v>1548</v>
      </c>
      <c r="O1041" t="s">
        <v>1548</v>
      </c>
      <c r="P1041" s="36" t="s">
        <v>6448</v>
      </c>
    </row>
    <row r="1042" spans="1:16" ht="409.5" x14ac:dyDescent="0.25">
      <c r="A1042" t="s">
        <v>7644</v>
      </c>
      <c r="B1042" t="s">
        <v>7626</v>
      </c>
      <c r="C1042" t="s">
        <v>6473</v>
      </c>
      <c r="D1042" t="s">
        <v>1027</v>
      </c>
      <c r="E1042">
        <v>33419</v>
      </c>
      <c r="F1042" t="s">
        <v>6474</v>
      </c>
      <c r="G1042" t="b">
        <v>0</v>
      </c>
      <c r="H1042" t="b">
        <v>0</v>
      </c>
      <c r="I1042" t="s">
        <v>1051</v>
      </c>
      <c r="J1042">
        <v>78</v>
      </c>
      <c r="K1042" t="s">
        <v>0</v>
      </c>
      <c r="L1042" t="s">
        <v>3000</v>
      </c>
      <c r="M1042" t="s">
        <v>1548</v>
      </c>
      <c r="N1042" t="s">
        <v>1548</v>
      </c>
      <c r="O1042" t="s">
        <v>1548</v>
      </c>
      <c r="P1042" s="36" t="s">
        <v>6448</v>
      </c>
    </row>
    <row r="1043" spans="1:16" ht="409.5" x14ac:dyDescent="0.25">
      <c r="A1043" t="s">
        <v>7645</v>
      </c>
      <c r="B1043" t="s">
        <v>7626</v>
      </c>
      <c r="C1043" t="s">
        <v>6473</v>
      </c>
      <c r="D1043" t="s">
        <v>1027</v>
      </c>
      <c r="E1043">
        <v>33419</v>
      </c>
      <c r="F1043" t="s">
        <v>6474</v>
      </c>
      <c r="G1043" t="b">
        <v>0</v>
      </c>
      <c r="H1043" t="b">
        <v>0</v>
      </c>
      <c r="I1043" t="s">
        <v>1051</v>
      </c>
      <c r="J1043">
        <v>78</v>
      </c>
      <c r="K1043" t="s">
        <v>0</v>
      </c>
      <c r="L1043" t="s">
        <v>3000</v>
      </c>
      <c r="M1043" t="s">
        <v>1548</v>
      </c>
      <c r="N1043" t="s">
        <v>1548</v>
      </c>
      <c r="O1043" t="s">
        <v>1548</v>
      </c>
      <c r="P1043" s="36" t="s">
        <v>6448</v>
      </c>
    </row>
    <row r="1044" spans="1:16" ht="409.5" x14ac:dyDescent="0.25">
      <c r="A1044" t="s">
        <v>7646</v>
      </c>
      <c r="B1044" t="s">
        <v>7626</v>
      </c>
      <c r="C1044" t="s">
        <v>6473</v>
      </c>
      <c r="D1044" t="s">
        <v>1027</v>
      </c>
      <c r="E1044">
        <v>33419</v>
      </c>
      <c r="F1044" t="s">
        <v>6474</v>
      </c>
      <c r="G1044" t="b">
        <v>0</v>
      </c>
      <c r="H1044" t="b">
        <v>0</v>
      </c>
      <c r="I1044" t="s">
        <v>1051</v>
      </c>
      <c r="J1044">
        <v>78</v>
      </c>
      <c r="K1044" t="s">
        <v>0</v>
      </c>
      <c r="L1044" t="s">
        <v>3000</v>
      </c>
      <c r="M1044" t="s">
        <v>1548</v>
      </c>
      <c r="N1044" t="s">
        <v>1548</v>
      </c>
      <c r="O1044" t="s">
        <v>1548</v>
      </c>
      <c r="P1044" s="36" t="s">
        <v>6448</v>
      </c>
    </row>
    <row r="1045" spans="1:16" ht="409.5" x14ac:dyDescent="0.25">
      <c r="A1045" t="s">
        <v>7647</v>
      </c>
      <c r="B1045" t="s">
        <v>7626</v>
      </c>
      <c r="C1045" t="s">
        <v>6473</v>
      </c>
      <c r="D1045" t="s">
        <v>1027</v>
      </c>
      <c r="E1045">
        <v>33419</v>
      </c>
      <c r="F1045" t="s">
        <v>6474</v>
      </c>
      <c r="G1045" t="b">
        <v>0</v>
      </c>
      <c r="H1045" t="b">
        <v>0</v>
      </c>
      <c r="I1045" t="s">
        <v>1051</v>
      </c>
      <c r="J1045">
        <v>78</v>
      </c>
      <c r="K1045" t="s">
        <v>0</v>
      </c>
      <c r="L1045" t="s">
        <v>3000</v>
      </c>
      <c r="M1045" t="s">
        <v>1548</v>
      </c>
      <c r="N1045" t="s">
        <v>1548</v>
      </c>
      <c r="O1045" t="s">
        <v>1548</v>
      </c>
      <c r="P1045" s="36" t="s">
        <v>6448</v>
      </c>
    </row>
    <row r="1046" spans="1:16" ht="409.5" x14ac:dyDescent="0.25">
      <c r="A1046" t="s">
        <v>7648</v>
      </c>
      <c r="B1046" t="s">
        <v>7626</v>
      </c>
      <c r="C1046" t="s">
        <v>6473</v>
      </c>
      <c r="D1046" t="s">
        <v>1027</v>
      </c>
      <c r="E1046">
        <v>33419</v>
      </c>
      <c r="F1046" t="s">
        <v>6474</v>
      </c>
      <c r="G1046" t="b">
        <v>0</v>
      </c>
      <c r="H1046" t="b">
        <v>0</v>
      </c>
      <c r="I1046" t="s">
        <v>1051</v>
      </c>
      <c r="J1046">
        <v>78</v>
      </c>
      <c r="K1046" t="s">
        <v>0</v>
      </c>
      <c r="L1046" t="s">
        <v>3000</v>
      </c>
      <c r="M1046" t="s">
        <v>1548</v>
      </c>
      <c r="N1046" t="s">
        <v>1548</v>
      </c>
      <c r="O1046" t="s">
        <v>1548</v>
      </c>
      <c r="P1046" s="36" t="s">
        <v>6448</v>
      </c>
    </row>
    <row r="1047" spans="1:16" ht="409.5" x14ac:dyDescent="0.25">
      <c r="A1047" t="s">
        <v>7649</v>
      </c>
      <c r="B1047" t="s">
        <v>7650</v>
      </c>
      <c r="C1047" t="s">
        <v>6446</v>
      </c>
      <c r="D1047" t="s">
        <v>1027</v>
      </c>
      <c r="G1047" t="b">
        <v>0</v>
      </c>
      <c r="H1047" t="b">
        <v>0</v>
      </c>
      <c r="I1047" t="s">
        <v>1051</v>
      </c>
      <c r="J1047">
        <v>78</v>
      </c>
      <c r="K1047" t="s">
        <v>0</v>
      </c>
      <c r="L1047" t="s">
        <v>3000</v>
      </c>
      <c r="M1047" t="s">
        <v>1548</v>
      </c>
      <c r="N1047" t="s">
        <v>1548</v>
      </c>
      <c r="O1047" t="s">
        <v>1548</v>
      </c>
      <c r="P1047" s="36" t="s">
        <v>6448</v>
      </c>
    </row>
    <row r="1048" spans="1:16" ht="409.5" x14ac:dyDescent="0.25">
      <c r="A1048" t="s">
        <v>7651</v>
      </c>
      <c r="B1048" t="s">
        <v>7650</v>
      </c>
      <c r="C1048" t="s">
        <v>6446</v>
      </c>
      <c r="D1048" t="s">
        <v>1027</v>
      </c>
      <c r="G1048" t="b">
        <v>0</v>
      </c>
      <c r="H1048" t="b">
        <v>0</v>
      </c>
      <c r="I1048" t="s">
        <v>1051</v>
      </c>
      <c r="J1048">
        <v>78</v>
      </c>
      <c r="K1048" t="s">
        <v>0</v>
      </c>
      <c r="L1048" t="s">
        <v>3000</v>
      </c>
      <c r="M1048" t="s">
        <v>1548</v>
      </c>
      <c r="N1048" t="s">
        <v>1548</v>
      </c>
      <c r="O1048" t="s">
        <v>1548</v>
      </c>
      <c r="P1048" s="36" t="s">
        <v>6448</v>
      </c>
    </row>
    <row r="1049" spans="1:16" ht="409.5" x14ac:dyDescent="0.25">
      <c r="A1049" t="s">
        <v>7652</v>
      </c>
      <c r="B1049" t="s">
        <v>7650</v>
      </c>
      <c r="C1049" t="s">
        <v>6446</v>
      </c>
      <c r="D1049" t="s">
        <v>1027</v>
      </c>
      <c r="G1049" t="b">
        <v>0</v>
      </c>
      <c r="H1049" t="b">
        <v>0</v>
      </c>
      <c r="I1049" t="s">
        <v>1051</v>
      </c>
      <c r="J1049">
        <v>78</v>
      </c>
      <c r="K1049" t="s">
        <v>0</v>
      </c>
      <c r="L1049" t="s">
        <v>3000</v>
      </c>
      <c r="M1049" t="s">
        <v>1548</v>
      </c>
      <c r="N1049" t="s">
        <v>1548</v>
      </c>
      <c r="O1049" t="s">
        <v>1548</v>
      </c>
      <c r="P1049" s="36" t="s">
        <v>6448</v>
      </c>
    </row>
    <row r="1050" spans="1:16" ht="409.5" x14ac:dyDescent="0.25">
      <c r="A1050" t="s">
        <v>7653</v>
      </c>
      <c r="B1050" t="s">
        <v>7650</v>
      </c>
      <c r="C1050" t="s">
        <v>6446</v>
      </c>
      <c r="D1050" t="s">
        <v>1027</v>
      </c>
      <c r="G1050" t="b">
        <v>0</v>
      </c>
      <c r="H1050" t="b">
        <v>0</v>
      </c>
      <c r="I1050" t="s">
        <v>1051</v>
      </c>
      <c r="J1050">
        <v>78</v>
      </c>
      <c r="K1050" t="s">
        <v>0</v>
      </c>
      <c r="L1050" t="s">
        <v>3000</v>
      </c>
      <c r="M1050" t="s">
        <v>1548</v>
      </c>
      <c r="N1050" t="s">
        <v>1548</v>
      </c>
      <c r="O1050" t="s">
        <v>1548</v>
      </c>
      <c r="P1050" s="36" t="s">
        <v>6448</v>
      </c>
    </row>
    <row r="1051" spans="1:16" ht="409.5" x14ac:dyDescent="0.25">
      <c r="A1051" t="s">
        <v>7654</v>
      </c>
      <c r="B1051" t="s">
        <v>7650</v>
      </c>
      <c r="C1051" t="s">
        <v>6446</v>
      </c>
      <c r="D1051" t="s">
        <v>1027</v>
      </c>
      <c r="G1051" t="b">
        <v>0</v>
      </c>
      <c r="H1051" t="b">
        <v>0</v>
      </c>
      <c r="I1051" t="s">
        <v>1051</v>
      </c>
      <c r="J1051">
        <v>78</v>
      </c>
      <c r="K1051" t="s">
        <v>0</v>
      </c>
      <c r="L1051" t="s">
        <v>3000</v>
      </c>
      <c r="M1051" t="s">
        <v>1548</v>
      </c>
      <c r="N1051" t="s">
        <v>1548</v>
      </c>
      <c r="O1051" t="s">
        <v>1548</v>
      </c>
      <c r="P1051" s="36" t="s">
        <v>6448</v>
      </c>
    </row>
    <row r="1052" spans="1:16" ht="409.5" x14ac:dyDescent="0.25">
      <c r="A1052" t="s">
        <v>7655</v>
      </c>
      <c r="B1052" t="s">
        <v>7650</v>
      </c>
      <c r="C1052" t="s">
        <v>6446</v>
      </c>
      <c r="D1052" t="s">
        <v>1027</v>
      </c>
      <c r="G1052" t="b">
        <v>0</v>
      </c>
      <c r="H1052" t="b">
        <v>0</v>
      </c>
      <c r="I1052" t="s">
        <v>1051</v>
      </c>
      <c r="J1052">
        <v>78</v>
      </c>
      <c r="K1052" t="s">
        <v>0</v>
      </c>
      <c r="L1052" t="s">
        <v>3000</v>
      </c>
      <c r="M1052" t="s">
        <v>1548</v>
      </c>
      <c r="N1052" t="s">
        <v>1548</v>
      </c>
      <c r="O1052" t="s">
        <v>1548</v>
      </c>
      <c r="P1052" s="36" t="s">
        <v>6448</v>
      </c>
    </row>
    <row r="1053" spans="1:16" ht="409.5" x14ac:dyDescent="0.25">
      <c r="A1053" t="s">
        <v>7656</v>
      </c>
      <c r="B1053" t="s">
        <v>7650</v>
      </c>
      <c r="C1053" t="s">
        <v>6446</v>
      </c>
      <c r="D1053" t="s">
        <v>1027</v>
      </c>
      <c r="G1053" t="b">
        <v>0</v>
      </c>
      <c r="H1053" t="b">
        <v>0</v>
      </c>
      <c r="I1053" t="s">
        <v>1051</v>
      </c>
      <c r="J1053">
        <v>78</v>
      </c>
      <c r="K1053" t="s">
        <v>0</v>
      </c>
      <c r="L1053" t="s">
        <v>3000</v>
      </c>
      <c r="M1053" t="s">
        <v>1548</v>
      </c>
      <c r="N1053" t="s">
        <v>1548</v>
      </c>
      <c r="O1053" t="s">
        <v>1548</v>
      </c>
      <c r="P1053" s="36" t="s">
        <v>6448</v>
      </c>
    </row>
    <row r="1054" spans="1:16" ht="409.5" x14ac:dyDescent="0.25">
      <c r="A1054" t="s">
        <v>7657</v>
      </c>
      <c r="B1054" t="s">
        <v>7658</v>
      </c>
      <c r="C1054" t="s">
        <v>6446</v>
      </c>
      <c r="D1054" t="s">
        <v>1027</v>
      </c>
      <c r="G1054" t="b">
        <v>0</v>
      </c>
      <c r="H1054" t="b">
        <v>0</v>
      </c>
      <c r="I1054" t="s">
        <v>1051</v>
      </c>
      <c r="J1054">
        <v>78</v>
      </c>
      <c r="K1054" t="s">
        <v>0</v>
      </c>
      <c r="L1054" t="s">
        <v>3000</v>
      </c>
      <c r="M1054" t="s">
        <v>1548</v>
      </c>
      <c r="N1054" t="s">
        <v>1548</v>
      </c>
      <c r="O1054" t="s">
        <v>1548</v>
      </c>
      <c r="P1054" s="36" t="s">
        <v>6448</v>
      </c>
    </row>
    <row r="1055" spans="1:16" ht="409.5" x14ac:dyDescent="0.25">
      <c r="A1055" t="s">
        <v>7659</v>
      </c>
      <c r="B1055" t="s">
        <v>7658</v>
      </c>
      <c r="C1055" t="s">
        <v>6446</v>
      </c>
      <c r="D1055" t="s">
        <v>1027</v>
      </c>
      <c r="G1055" t="b">
        <v>0</v>
      </c>
      <c r="H1055" t="b">
        <v>0</v>
      </c>
      <c r="I1055" t="s">
        <v>1051</v>
      </c>
      <c r="J1055">
        <v>78</v>
      </c>
      <c r="K1055" t="s">
        <v>0</v>
      </c>
      <c r="L1055" t="s">
        <v>3000</v>
      </c>
      <c r="M1055" t="s">
        <v>1548</v>
      </c>
      <c r="N1055" t="s">
        <v>1548</v>
      </c>
      <c r="O1055" t="s">
        <v>1548</v>
      </c>
      <c r="P1055" s="36" t="s">
        <v>6448</v>
      </c>
    </row>
    <row r="1056" spans="1:16" ht="409.5" x14ac:dyDescent="0.25">
      <c r="A1056" t="s">
        <v>7660</v>
      </c>
      <c r="B1056" t="s">
        <v>7658</v>
      </c>
      <c r="C1056" t="s">
        <v>6446</v>
      </c>
      <c r="D1056" t="s">
        <v>1027</v>
      </c>
      <c r="G1056" t="b">
        <v>0</v>
      </c>
      <c r="H1056" t="b">
        <v>0</v>
      </c>
      <c r="I1056" t="s">
        <v>1051</v>
      </c>
      <c r="J1056">
        <v>78</v>
      </c>
      <c r="K1056" t="s">
        <v>0</v>
      </c>
      <c r="L1056" t="s">
        <v>3000</v>
      </c>
      <c r="M1056" t="s">
        <v>1548</v>
      </c>
      <c r="N1056" t="s">
        <v>1548</v>
      </c>
      <c r="O1056" t="s">
        <v>1548</v>
      </c>
      <c r="P1056" s="36" t="s">
        <v>6448</v>
      </c>
    </row>
    <row r="1057" spans="1:16" ht="409.5" x14ac:dyDescent="0.25">
      <c r="A1057" t="s">
        <v>7661</v>
      </c>
      <c r="B1057" t="s">
        <v>7658</v>
      </c>
      <c r="C1057" t="s">
        <v>6446</v>
      </c>
      <c r="D1057" t="s">
        <v>1027</v>
      </c>
      <c r="G1057" t="b">
        <v>0</v>
      </c>
      <c r="H1057" t="b">
        <v>0</v>
      </c>
      <c r="I1057" t="s">
        <v>1051</v>
      </c>
      <c r="J1057">
        <v>78</v>
      </c>
      <c r="K1057" t="s">
        <v>0</v>
      </c>
      <c r="L1057" t="s">
        <v>3000</v>
      </c>
      <c r="M1057" t="s">
        <v>1548</v>
      </c>
      <c r="N1057" t="s">
        <v>1548</v>
      </c>
      <c r="O1057" t="s">
        <v>1548</v>
      </c>
      <c r="P1057" s="36" t="s">
        <v>6448</v>
      </c>
    </row>
    <row r="1058" spans="1:16" ht="409.5" x14ac:dyDescent="0.25">
      <c r="A1058" t="s">
        <v>7662</v>
      </c>
      <c r="B1058" t="s">
        <v>7658</v>
      </c>
      <c r="C1058" t="s">
        <v>6446</v>
      </c>
      <c r="D1058" t="s">
        <v>1027</v>
      </c>
      <c r="G1058" t="b">
        <v>0</v>
      </c>
      <c r="H1058" t="b">
        <v>0</v>
      </c>
      <c r="I1058" t="s">
        <v>1051</v>
      </c>
      <c r="J1058">
        <v>78</v>
      </c>
      <c r="K1058" t="s">
        <v>0</v>
      </c>
      <c r="L1058" t="s">
        <v>3000</v>
      </c>
      <c r="M1058" t="s">
        <v>1548</v>
      </c>
      <c r="N1058" t="s">
        <v>1548</v>
      </c>
      <c r="O1058" t="s">
        <v>1548</v>
      </c>
      <c r="P1058" s="36" t="s">
        <v>6448</v>
      </c>
    </row>
    <row r="1059" spans="1:16" x14ac:dyDescent="0.25">
      <c r="A1059" t="s">
        <v>7663</v>
      </c>
      <c r="B1059" t="s">
        <v>7664</v>
      </c>
      <c r="C1059" t="s">
        <v>1335</v>
      </c>
      <c r="D1059" t="s">
        <v>1027</v>
      </c>
      <c r="E1059">
        <v>1459</v>
      </c>
      <c r="F1059" t="s">
        <v>1336</v>
      </c>
      <c r="G1059" t="b">
        <v>0</v>
      </c>
      <c r="H1059" t="b">
        <v>0</v>
      </c>
      <c r="I1059" t="s">
        <v>1051</v>
      </c>
      <c r="J1059">
        <v>25</v>
      </c>
      <c r="K1059" t="s">
        <v>2</v>
      </c>
      <c r="L1059" t="s">
        <v>1549</v>
      </c>
      <c r="M1059" t="s">
        <v>3922</v>
      </c>
      <c r="N1059" t="s">
        <v>3922</v>
      </c>
      <c r="O1059" t="s">
        <v>3922</v>
      </c>
      <c r="P1059" t="s">
        <v>1682</v>
      </c>
    </row>
    <row r="1060" spans="1:16" x14ac:dyDescent="0.25">
      <c r="A1060" t="s">
        <v>7665</v>
      </c>
      <c r="B1060" t="s">
        <v>7666</v>
      </c>
      <c r="C1060" t="s">
        <v>1335</v>
      </c>
      <c r="D1060" t="s">
        <v>1027</v>
      </c>
      <c r="E1060">
        <v>1459</v>
      </c>
      <c r="F1060" t="s">
        <v>1336</v>
      </c>
      <c r="G1060" t="b">
        <v>0</v>
      </c>
      <c r="H1060" t="b">
        <v>0</v>
      </c>
      <c r="I1060" t="s">
        <v>1051</v>
      </c>
      <c r="J1060">
        <v>25</v>
      </c>
      <c r="K1060" t="s">
        <v>2</v>
      </c>
      <c r="L1060" t="s">
        <v>1549</v>
      </c>
      <c r="M1060" t="s">
        <v>3922</v>
      </c>
      <c r="N1060" t="s">
        <v>3922</v>
      </c>
      <c r="O1060" t="s">
        <v>3922</v>
      </c>
      <c r="P1060" t="s">
        <v>1682</v>
      </c>
    </row>
    <row r="1061" spans="1:16" x14ac:dyDescent="0.25">
      <c r="A1061" t="s">
        <v>7667</v>
      </c>
      <c r="B1061" t="s">
        <v>7666</v>
      </c>
      <c r="C1061" t="s">
        <v>1335</v>
      </c>
      <c r="D1061" t="s">
        <v>1027</v>
      </c>
      <c r="E1061">
        <v>1459</v>
      </c>
      <c r="F1061" t="s">
        <v>1336</v>
      </c>
      <c r="G1061" t="b">
        <v>0</v>
      </c>
      <c r="H1061" t="b">
        <v>0</v>
      </c>
      <c r="I1061" t="s">
        <v>1051</v>
      </c>
      <c r="J1061">
        <v>25</v>
      </c>
      <c r="K1061" t="s">
        <v>2</v>
      </c>
      <c r="L1061" t="s">
        <v>1549</v>
      </c>
      <c r="M1061" t="s">
        <v>3922</v>
      </c>
      <c r="N1061" t="s">
        <v>3922</v>
      </c>
      <c r="O1061" t="s">
        <v>3922</v>
      </c>
      <c r="P1061" t="s">
        <v>1682</v>
      </c>
    </row>
    <row r="1062" spans="1:16" x14ac:dyDescent="0.25">
      <c r="A1062" t="s">
        <v>7668</v>
      </c>
      <c r="B1062" t="s">
        <v>7664</v>
      </c>
      <c r="C1062" t="s">
        <v>1335</v>
      </c>
      <c r="D1062" t="s">
        <v>1027</v>
      </c>
      <c r="E1062">
        <v>1459</v>
      </c>
      <c r="F1062" t="s">
        <v>1336</v>
      </c>
      <c r="G1062" t="b">
        <v>0</v>
      </c>
      <c r="H1062" t="b">
        <v>0</v>
      </c>
      <c r="I1062" t="s">
        <v>1051</v>
      </c>
      <c r="J1062">
        <v>25</v>
      </c>
      <c r="K1062" t="s">
        <v>2</v>
      </c>
      <c r="L1062" t="s">
        <v>1549</v>
      </c>
      <c r="M1062" t="s">
        <v>3922</v>
      </c>
      <c r="N1062" t="s">
        <v>3922</v>
      </c>
      <c r="O1062" t="s">
        <v>3922</v>
      </c>
      <c r="P1062" t="s">
        <v>1682</v>
      </c>
    </row>
    <row r="1063" spans="1:16" x14ac:dyDescent="0.25">
      <c r="A1063" t="s">
        <v>7669</v>
      </c>
      <c r="B1063" t="s">
        <v>7664</v>
      </c>
      <c r="C1063" t="s">
        <v>1335</v>
      </c>
      <c r="D1063" t="s">
        <v>1027</v>
      </c>
      <c r="E1063">
        <v>1459</v>
      </c>
      <c r="F1063" t="s">
        <v>1336</v>
      </c>
      <c r="G1063" t="b">
        <v>0</v>
      </c>
      <c r="H1063" t="b">
        <v>0</v>
      </c>
      <c r="I1063" t="s">
        <v>1051</v>
      </c>
      <c r="J1063">
        <v>25</v>
      </c>
      <c r="K1063" t="s">
        <v>2</v>
      </c>
      <c r="L1063" t="s">
        <v>1549</v>
      </c>
      <c r="M1063" t="s">
        <v>3922</v>
      </c>
      <c r="N1063" t="s">
        <v>3922</v>
      </c>
      <c r="O1063" t="s">
        <v>3922</v>
      </c>
      <c r="P1063" t="s">
        <v>1682</v>
      </c>
    </row>
    <row r="1064" spans="1:16" x14ac:dyDescent="0.25">
      <c r="A1064" t="s">
        <v>7670</v>
      </c>
      <c r="B1064" t="s">
        <v>7664</v>
      </c>
      <c r="C1064" t="s">
        <v>1335</v>
      </c>
      <c r="D1064" t="s">
        <v>1027</v>
      </c>
      <c r="E1064">
        <v>1459</v>
      </c>
      <c r="F1064" t="s">
        <v>1336</v>
      </c>
      <c r="G1064" t="b">
        <v>0</v>
      </c>
      <c r="H1064" t="b">
        <v>0</v>
      </c>
      <c r="I1064" t="s">
        <v>1051</v>
      </c>
      <c r="J1064">
        <v>25</v>
      </c>
      <c r="K1064" t="s">
        <v>2</v>
      </c>
      <c r="L1064" t="s">
        <v>1549</v>
      </c>
      <c r="M1064" t="s">
        <v>3922</v>
      </c>
      <c r="N1064" t="s">
        <v>3922</v>
      </c>
      <c r="O1064" t="s">
        <v>3922</v>
      </c>
      <c r="P1064" t="s">
        <v>1682</v>
      </c>
    </row>
    <row r="1065" spans="1:16" x14ac:dyDescent="0.25">
      <c r="A1065" t="s">
        <v>7671</v>
      </c>
      <c r="B1065" t="s">
        <v>7664</v>
      </c>
      <c r="C1065" t="s">
        <v>1335</v>
      </c>
      <c r="D1065" t="s">
        <v>1027</v>
      </c>
      <c r="E1065">
        <v>1459</v>
      </c>
      <c r="F1065" t="s">
        <v>1336</v>
      </c>
      <c r="G1065" t="b">
        <v>0</v>
      </c>
      <c r="H1065" t="b">
        <v>0</v>
      </c>
      <c r="I1065" t="s">
        <v>1051</v>
      </c>
      <c r="J1065">
        <v>25</v>
      </c>
      <c r="K1065" t="s">
        <v>2</v>
      </c>
      <c r="L1065" t="s">
        <v>1549</v>
      </c>
      <c r="M1065" t="s">
        <v>3922</v>
      </c>
      <c r="N1065" t="s">
        <v>3922</v>
      </c>
      <c r="O1065" t="s">
        <v>3922</v>
      </c>
      <c r="P1065" t="s">
        <v>1682</v>
      </c>
    </row>
    <row r="1066" spans="1:16" x14ac:dyDescent="0.25">
      <c r="A1066" t="s">
        <v>7672</v>
      </c>
      <c r="B1066" t="s">
        <v>7664</v>
      </c>
      <c r="C1066" t="s">
        <v>1335</v>
      </c>
      <c r="D1066" t="s">
        <v>1027</v>
      </c>
      <c r="E1066">
        <v>1459</v>
      </c>
      <c r="F1066" t="s">
        <v>1336</v>
      </c>
      <c r="G1066" t="b">
        <v>0</v>
      </c>
      <c r="H1066" t="b">
        <v>0</v>
      </c>
      <c r="I1066" t="s">
        <v>1051</v>
      </c>
      <c r="J1066">
        <v>25</v>
      </c>
      <c r="K1066" t="s">
        <v>2</v>
      </c>
      <c r="L1066" t="s">
        <v>1549</v>
      </c>
      <c r="M1066" t="s">
        <v>3922</v>
      </c>
      <c r="N1066" t="s">
        <v>3922</v>
      </c>
      <c r="O1066" t="s">
        <v>3922</v>
      </c>
      <c r="P1066" t="s">
        <v>1682</v>
      </c>
    </row>
    <row r="1067" spans="1:16" x14ac:dyDescent="0.25">
      <c r="A1067" t="s">
        <v>7673</v>
      </c>
      <c r="B1067" t="s">
        <v>7664</v>
      </c>
      <c r="C1067" t="s">
        <v>1335</v>
      </c>
      <c r="D1067" t="s">
        <v>1027</v>
      </c>
      <c r="E1067">
        <v>1459</v>
      </c>
      <c r="F1067" t="s">
        <v>1336</v>
      </c>
      <c r="G1067" t="b">
        <v>0</v>
      </c>
      <c r="H1067" t="b">
        <v>0</v>
      </c>
      <c r="I1067" t="s">
        <v>1051</v>
      </c>
      <c r="J1067">
        <v>25</v>
      </c>
      <c r="K1067" t="s">
        <v>2</v>
      </c>
      <c r="L1067" t="s">
        <v>1549</v>
      </c>
      <c r="M1067" t="s">
        <v>3922</v>
      </c>
      <c r="N1067" t="s">
        <v>3922</v>
      </c>
      <c r="O1067" t="s">
        <v>3922</v>
      </c>
      <c r="P1067" t="s">
        <v>1682</v>
      </c>
    </row>
    <row r="1068" spans="1:16" x14ac:dyDescent="0.25">
      <c r="A1068" t="s">
        <v>7674</v>
      </c>
      <c r="B1068" t="s">
        <v>7664</v>
      </c>
      <c r="C1068" t="s">
        <v>1335</v>
      </c>
      <c r="D1068" t="s">
        <v>1027</v>
      </c>
      <c r="E1068">
        <v>1459</v>
      </c>
      <c r="F1068" t="s">
        <v>1336</v>
      </c>
      <c r="G1068" t="b">
        <v>0</v>
      </c>
      <c r="H1068" t="b">
        <v>0</v>
      </c>
      <c r="I1068" t="s">
        <v>1051</v>
      </c>
      <c r="J1068">
        <v>25</v>
      </c>
      <c r="K1068" t="s">
        <v>2</v>
      </c>
      <c r="L1068" t="s">
        <v>1549</v>
      </c>
      <c r="M1068" t="s">
        <v>3922</v>
      </c>
      <c r="N1068" t="s">
        <v>3922</v>
      </c>
      <c r="O1068" t="s">
        <v>3922</v>
      </c>
      <c r="P1068" t="s">
        <v>1682</v>
      </c>
    </row>
    <row r="1069" spans="1:16" x14ac:dyDescent="0.25">
      <c r="A1069" t="s">
        <v>7675</v>
      </c>
      <c r="B1069" t="s">
        <v>7664</v>
      </c>
      <c r="C1069" t="s">
        <v>1335</v>
      </c>
      <c r="D1069" t="s">
        <v>1027</v>
      </c>
      <c r="E1069">
        <v>1459</v>
      </c>
      <c r="F1069" t="s">
        <v>1336</v>
      </c>
      <c r="G1069" t="b">
        <v>0</v>
      </c>
      <c r="H1069" t="b">
        <v>0</v>
      </c>
      <c r="I1069" t="s">
        <v>1051</v>
      </c>
      <c r="J1069">
        <v>25</v>
      </c>
      <c r="K1069" t="s">
        <v>2</v>
      </c>
      <c r="L1069" t="s">
        <v>1549</v>
      </c>
      <c r="M1069" t="s">
        <v>3922</v>
      </c>
      <c r="N1069" t="s">
        <v>3922</v>
      </c>
      <c r="O1069" t="s">
        <v>3922</v>
      </c>
      <c r="P1069" t="s">
        <v>1682</v>
      </c>
    </row>
    <row r="1070" spans="1:16" x14ac:dyDescent="0.25">
      <c r="A1070" t="s">
        <v>7676</v>
      </c>
      <c r="B1070" t="s">
        <v>7664</v>
      </c>
      <c r="C1070" t="s">
        <v>1335</v>
      </c>
      <c r="D1070" t="s">
        <v>1027</v>
      </c>
      <c r="E1070">
        <v>1459</v>
      </c>
      <c r="F1070" t="s">
        <v>1336</v>
      </c>
      <c r="G1070" t="b">
        <v>0</v>
      </c>
      <c r="H1070" t="b">
        <v>0</v>
      </c>
      <c r="I1070" t="s">
        <v>1051</v>
      </c>
      <c r="J1070">
        <v>25</v>
      </c>
      <c r="K1070" t="s">
        <v>2</v>
      </c>
      <c r="L1070" t="s">
        <v>1549</v>
      </c>
      <c r="M1070" t="s">
        <v>3922</v>
      </c>
      <c r="N1070" t="s">
        <v>3922</v>
      </c>
      <c r="O1070" t="s">
        <v>3922</v>
      </c>
      <c r="P1070" t="s">
        <v>1682</v>
      </c>
    </row>
    <row r="1071" spans="1:16" x14ac:dyDescent="0.25">
      <c r="A1071" t="s">
        <v>7677</v>
      </c>
      <c r="B1071" t="s">
        <v>7664</v>
      </c>
      <c r="C1071" t="s">
        <v>1335</v>
      </c>
      <c r="D1071" t="s">
        <v>1027</v>
      </c>
      <c r="E1071">
        <v>1459</v>
      </c>
      <c r="F1071" t="s">
        <v>1336</v>
      </c>
      <c r="G1071" t="b">
        <v>0</v>
      </c>
      <c r="H1071" t="b">
        <v>0</v>
      </c>
      <c r="I1071" t="s">
        <v>1051</v>
      </c>
      <c r="J1071">
        <v>25</v>
      </c>
      <c r="K1071" t="s">
        <v>2</v>
      </c>
      <c r="L1071" t="s">
        <v>1549</v>
      </c>
      <c r="M1071" t="s">
        <v>3922</v>
      </c>
      <c r="N1071" t="s">
        <v>3922</v>
      </c>
      <c r="O1071" t="s">
        <v>3922</v>
      </c>
      <c r="P1071" t="s">
        <v>1682</v>
      </c>
    </row>
    <row r="1072" spans="1:16" x14ac:dyDescent="0.25">
      <c r="A1072" t="s">
        <v>7678</v>
      </c>
      <c r="B1072" t="s">
        <v>7664</v>
      </c>
      <c r="C1072" t="s">
        <v>1335</v>
      </c>
      <c r="D1072" t="s">
        <v>1027</v>
      </c>
      <c r="E1072">
        <v>1459</v>
      </c>
      <c r="F1072" t="s">
        <v>1336</v>
      </c>
      <c r="G1072" t="b">
        <v>0</v>
      </c>
      <c r="H1072" t="b">
        <v>0</v>
      </c>
      <c r="I1072" t="s">
        <v>1051</v>
      </c>
      <c r="J1072">
        <v>25</v>
      </c>
      <c r="K1072" t="s">
        <v>2</v>
      </c>
      <c r="L1072" t="s">
        <v>1549</v>
      </c>
      <c r="M1072" t="s">
        <v>3922</v>
      </c>
      <c r="N1072" t="s">
        <v>3922</v>
      </c>
      <c r="O1072" t="s">
        <v>3922</v>
      </c>
      <c r="P1072" t="s">
        <v>1682</v>
      </c>
    </row>
    <row r="1073" spans="1:16" x14ac:dyDescent="0.25">
      <c r="A1073" t="s">
        <v>7679</v>
      </c>
      <c r="B1073" t="s">
        <v>7666</v>
      </c>
      <c r="C1073" t="s">
        <v>1335</v>
      </c>
      <c r="D1073" t="s">
        <v>1027</v>
      </c>
      <c r="E1073">
        <v>1459</v>
      </c>
      <c r="F1073" t="s">
        <v>1336</v>
      </c>
      <c r="G1073" t="b">
        <v>0</v>
      </c>
      <c r="H1073" t="b">
        <v>0</v>
      </c>
      <c r="I1073" t="s">
        <v>1051</v>
      </c>
      <c r="J1073">
        <v>25</v>
      </c>
      <c r="K1073" t="s">
        <v>2</v>
      </c>
      <c r="L1073" t="s">
        <v>1549</v>
      </c>
      <c r="M1073" t="s">
        <v>3922</v>
      </c>
      <c r="N1073" t="s">
        <v>3922</v>
      </c>
      <c r="O1073" t="s">
        <v>3922</v>
      </c>
      <c r="P1073" t="s">
        <v>1682</v>
      </c>
    </row>
    <row r="1074" spans="1:16" x14ac:dyDescent="0.25">
      <c r="A1074" t="s">
        <v>7680</v>
      </c>
      <c r="B1074" t="s">
        <v>7666</v>
      </c>
      <c r="C1074" t="s">
        <v>1335</v>
      </c>
      <c r="D1074" t="s">
        <v>1027</v>
      </c>
      <c r="E1074">
        <v>1459</v>
      </c>
      <c r="F1074" t="s">
        <v>1336</v>
      </c>
      <c r="G1074" t="b">
        <v>0</v>
      </c>
      <c r="H1074" t="b">
        <v>0</v>
      </c>
      <c r="I1074" t="s">
        <v>1051</v>
      </c>
      <c r="J1074">
        <v>25</v>
      </c>
      <c r="K1074" t="s">
        <v>2</v>
      </c>
      <c r="L1074" t="s">
        <v>1549</v>
      </c>
      <c r="M1074" t="s">
        <v>3922</v>
      </c>
      <c r="N1074" t="s">
        <v>3922</v>
      </c>
      <c r="O1074" t="s">
        <v>3922</v>
      </c>
      <c r="P1074" t="s">
        <v>1682</v>
      </c>
    </row>
    <row r="1075" spans="1:16" x14ac:dyDescent="0.25">
      <c r="A1075" t="s">
        <v>7681</v>
      </c>
      <c r="B1075" t="s">
        <v>7666</v>
      </c>
      <c r="C1075" t="s">
        <v>1335</v>
      </c>
      <c r="D1075" t="s">
        <v>1027</v>
      </c>
      <c r="E1075">
        <v>1459</v>
      </c>
      <c r="F1075" t="s">
        <v>1336</v>
      </c>
      <c r="G1075" t="b">
        <v>0</v>
      </c>
      <c r="H1075" t="b">
        <v>0</v>
      </c>
      <c r="I1075" t="s">
        <v>1051</v>
      </c>
      <c r="J1075">
        <v>25</v>
      </c>
      <c r="K1075" t="s">
        <v>2</v>
      </c>
      <c r="L1075" t="s">
        <v>1549</v>
      </c>
      <c r="M1075" t="s">
        <v>3922</v>
      </c>
      <c r="N1075" t="s">
        <v>3922</v>
      </c>
      <c r="O1075" t="s">
        <v>3922</v>
      </c>
      <c r="P1075" t="s">
        <v>1682</v>
      </c>
    </row>
    <row r="1076" spans="1:16" x14ac:dyDescent="0.25">
      <c r="A1076" t="s">
        <v>7682</v>
      </c>
      <c r="B1076" t="s">
        <v>7666</v>
      </c>
      <c r="C1076" t="s">
        <v>1335</v>
      </c>
      <c r="D1076" t="s">
        <v>1027</v>
      </c>
      <c r="E1076">
        <v>1459</v>
      </c>
      <c r="F1076" t="s">
        <v>1336</v>
      </c>
      <c r="G1076" t="b">
        <v>0</v>
      </c>
      <c r="H1076" t="b">
        <v>0</v>
      </c>
      <c r="I1076" t="s">
        <v>1051</v>
      </c>
      <c r="J1076">
        <v>25</v>
      </c>
      <c r="K1076" t="s">
        <v>2</v>
      </c>
      <c r="L1076" t="s">
        <v>1549</v>
      </c>
      <c r="M1076" t="s">
        <v>3922</v>
      </c>
      <c r="N1076" t="s">
        <v>3922</v>
      </c>
      <c r="O1076" t="s">
        <v>3922</v>
      </c>
      <c r="P1076" t="s">
        <v>1682</v>
      </c>
    </row>
    <row r="1077" spans="1:16" x14ac:dyDescent="0.25">
      <c r="A1077" t="s">
        <v>7683</v>
      </c>
      <c r="B1077" t="s">
        <v>7666</v>
      </c>
      <c r="C1077" t="s">
        <v>1335</v>
      </c>
      <c r="D1077" t="s">
        <v>1027</v>
      </c>
      <c r="E1077">
        <v>1459</v>
      </c>
      <c r="F1077" t="s">
        <v>1336</v>
      </c>
      <c r="G1077" t="b">
        <v>0</v>
      </c>
      <c r="H1077" t="b">
        <v>0</v>
      </c>
      <c r="I1077" t="s">
        <v>1051</v>
      </c>
      <c r="J1077">
        <v>25</v>
      </c>
      <c r="K1077" t="s">
        <v>2</v>
      </c>
      <c r="L1077" t="s">
        <v>1549</v>
      </c>
      <c r="M1077" t="s">
        <v>3922</v>
      </c>
      <c r="N1077" t="s">
        <v>3922</v>
      </c>
      <c r="O1077" t="s">
        <v>3922</v>
      </c>
      <c r="P1077" t="s">
        <v>1682</v>
      </c>
    </row>
    <row r="1078" spans="1:16" x14ac:dyDescent="0.25">
      <c r="A1078" t="s">
        <v>7684</v>
      </c>
      <c r="B1078" t="s">
        <v>7666</v>
      </c>
      <c r="C1078" t="s">
        <v>1335</v>
      </c>
      <c r="D1078" t="s">
        <v>1027</v>
      </c>
      <c r="E1078">
        <v>1459</v>
      </c>
      <c r="F1078" t="s">
        <v>1336</v>
      </c>
      <c r="G1078" t="b">
        <v>0</v>
      </c>
      <c r="H1078" t="b">
        <v>0</v>
      </c>
      <c r="I1078" t="s">
        <v>1051</v>
      </c>
      <c r="J1078">
        <v>25</v>
      </c>
      <c r="K1078" t="s">
        <v>2</v>
      </c>
      <c r="L1078" t="s">
        <v>1549</v>
      </c>
      <c r="M1078" t="s">
        <v>3922</v>
      </c>
      <c r="N1078" t="s">
        <v>3922</v>
      </c>
      <c r="O1078" t="s">
        <v>3922</v>
      </c>
      <c r="P1078" t="s">
        <v>1682</v>
      </c>
    </row>
    <row r="1079" spans="1:16" x14ac:dyDescent="0.25">
      <c r="A1079" t="s">
        <v>7685</v>
      </c>
      <c r="B1079" t="s">
        <v>7666</v>
      </c>
      <c r="C1079" t="s">
        <v>1335</v>
      </c>
      <c r="D1079" t="s">
        <v>1027</v>
      </c>
      <c r="E1079">
        <v>1459</v>
      </c>
      <c r="F1079" t="s">
        <v>1336</v>
      </c>
      <c r="G1079" t="b">
        <v>0</v>
      </c>
      <c r="H1079" t="b">
        <v>0</v>
      </c>
      <c r="I1079" t="s">
        <v>1051</v>
      </c>
      <c r="J1079">
        <v>25</v>
      </c>
      <c r="K1079" t="s">
        <v>2</v>
      </c>
      <c r="L1079" t="s">
        <v>1549</v>
      </c>
      <c r="M1079" t="s">
        <v>3922</v>
      </c>
      <c r="N1079" t="s">
        <v>3922</v>
      </c>
      <c r="O1079" t="s">
        <v>3922</v>
      </c>
      <c r="P1079" t="s">
        <v>1682</v>
      </c>
    </row>
    <row r="1080" spans="1:16" x14ac:dyDescent="0.25">
      <c r="A1080" t="s">
        <v>7686</v>
      </c>
      <c r="B1080" t="s">
        <v>7666</v>
      </c>
      <c r="C1080" t="s">
        <v>1335</v>
      </c>
      <c r="D1080" t="s">
        <v>1027</v>
      </c>
      <c r="E1080">
        <v>1459</v>
      </c>
      <c r="F1080" t="s">
        <v>1336</v>
      </c>
      <c r="G1080" t="b">
        <v>0</v>
      </c>
      <c r="H1080" t="b">
        <v>0</v>
      </c>
      <c r="I1080" t="s">
        <v>1051</v>
      </c>
      <c r="J1080">
        <v>25</v>
      </c>
      <c r="K1080" t="s">
        <v>2</v>
      </c>
      <c r="L1080" t="s">
        <v>1549</v>
      </c>
      <c r="M1080" t="s">
        <v>3922</v>
      </c>
      <c r="N1080" t="s">
        <v>3922</v>
      </c>
      <c r="O1080" t="s">
        <v>3922</v>
      </c>
      <c r="P1080" t="s">
        <v>1682</v>
      </c>
    </row>
    <row r="1081" spans="1:16" x14ac:dyDescent="0.25">
      <c r="A1081" t="s">
        <v>7687</v>
      </c>
      <c r="B1081" t="s">
        <v>7666</v>
      </c>
      <c r="C1081" t="s">
        <v>1335</v>
      </c>
      <c r="D1081" t="s">
        <v>1027</v>
      </c>
      <c r="E1081">
        <v>1459</v>
      </c>
      <c r="F1081" t="s">
        <v>1336</v>
      </c>
      <c r="G1081" t="b">
        <v>0</v>
      </c>
      <c r="H1081" t="b">
        <v>0</v>
      </c>
      <c r="I1081" t="s">
        <v>1051</v>
      </c>
      <c r="J1081">
        <v>25</v>
      </c>
      <c r="K1081" t="s">
        <v>2</v>
      </c>
      <c r="L1081" t="s">
        <v>1549</v>
      </c>
      <c r="M1081" t="s">
        <v>3922</v>
      </c>
      <c r="N1081" t="s">
        <v>3922</v>
      </c>
      <c r="O1081" t="s">
        <v>3922</v>
      </c>
      <c r="P1081" t="s">
        <v>1682</v>
      </c>
    </row>
    <row r="1082" spans="1:16" x14ac:dyDescent="0.25">
      <c r="A1082" t="s">
        <v>7688</v>
      </c>
      <c r="B1082" t="s">
        <v>7666</v>
      </c>
      <c r="C1082" t="s">
        <v>1335</v>
      </c>
      <c r="D1082" t="s">
        <v>1027</v>
      </c>
      <c r="E1082">
        <v>1459</v>
      </c>
      <c r="F1082" t="s">
        <v>1336</v>
      </c>
      <c r="G1082" t="b">
        <v>0</v>
      </c>
      <c r="H1082" t="b">
        <v>0</v>
      </c>
      <c r="I1082" t="s">
        <v>1051</v>
      </c>
      <c r="J1082">
        <v>25</v>
      </c>
      <c r="K1082" t="s">
        <v>2</v>
      </c>
      <c r="L1082" t="s">
        <v>1549</v>
      </c>
      <c r="M1082" t="s">
        <v>3922</v>
      </c>
      <c r="N1082" t="s">
        <v>3922</v>
      </c>
      <c r="O1082" t="s">
        <v>3922</v>
      </c>
      <c r="P1082" t="s">
        <v>1682</v>
      </c>
    </row>
    <row r="1083" spans="1:16" x14ac:dyDescent="0.25">
      <c r="A1083" t="s">
        <v>7689</v>
      </c>
      <c r="B1083" t="s">
        <v>7666</v>
      </c>
      <c r="C1083" t="s">
        <v>1335</v>
      </c>
      <c r="D1083" t="s">
        <v>1027</v>
      </c>
      <c r="E1083">
        <v>1459</v>
      </c>
      <c r="F1083" t="s">
        <v>1336</v>
      </c>
      <c r="G1083" t="b">
        <v>0</v>
      </c>
      <c r="H1083" t="b">
        <v>0</v>
      </c>
      <c r="I1083" t="s">
        <v>1051</v>
      </c>
      <c r="J1083">
        <v>25</v>
      </c>
      <c r="K1083" t="s">
        <v>2</v>
      </c>
      <c r="L1083" t="s">
        <v>1549</v>
      </c>
      <c r="M1083" t="s">
        <v>3922</v>
      </c>
      <c r="N1083" t="s">
        <v>3922</v>
      </c>
      <c r="O1083" t="s">
        <v>3922</v>
      </c>
      <c r="P1083" t="s">
        <v>1682</v>
      </c>
    </row>
    <row r="1084" spans="1:16" x14ac:dyDescent="0.25">
      <c r="A1084" t="s">
        <v>7690</v>
      </c>
      <c r="B1084" t="s">
        <v>7666</v>
      </c>
      <c r="C1084" t="s">
        <v>1335</v>
      </c>
      <c r="D1084" t="s">
        <v>1027</v>
      </c>
      <c r="E1084">
        <v>1459</v>
      </c>
      <c r="F1084" t="s">
        <v>1336</v>
      </c>
      <c r="G1084" t="b">
        <v>0</v>
      </c>
      <c r="H1084" t="b">
        <v>0</v>
      </c>
      <c r="I1084" t="s">
        <v>1051</v>
      </c>
      <c r="J1084">
        <v>25</v>
      </c>
      <c r="K1084" t="s">
        <v>2</v>
      </c>
      <c r="L1084" t="s">
        <v>1549</v>
      </c>
      <c r="M1084" t="s">
        <v>3922</v>
      </c>
      <c r="N1084" t="s">
        <v>3922</v>
      </c>
      <c r="O1084" t="s">
        <v>3922</v>
      </c>
      <c r="P1084" t="s">
        <v>1682</v>
      </c>
    </row>
    <row r="1085" spans="1:16" x14ac:dyDescent="0.25">
      <c r="A1085" t="s">
        <v>7691</v>
      </c>
      <c r="B1085" t="s">
        <v>7666</v>
      </c>
      <c r="C1085" t="s">
        <v>1335</v>
      </c>
      <c r="D1085" t="s">
        <v>1075</v>
      </c>
      <c r="E1085">
        <v>1459</v>
      </c>
      <c r="F1085" t="s">
        <v>1336</v>
      </c>
      <c r="G1085" t="b">
        <v>0</v>
      </c>
      <c r="H1085" t="b">
        <v>0</v>
      </c>
      <c r="I1085" t="s">
        <v>1051</v>
      </c>
      <c r="J1085">
        <v>25</v>
      </c>
      <c r="K1085" t="s">
        <v>2</v>
      </c>
      <c r="L1085" t="s">
        <v>1549</v>
      </c>
      <c r="M1085" t="s">
        <v>3922</v>
      </c>
      <c r="N1085" t="s">
        <v>3922</v>
      </c>
      <c r="O1085" t="s">
        <v>3922</v>
      </c>
      <c r="P1085" t="s">
        <v>1682</v>
      </c>
    </row>
    <row r="1086" spans="1:16" ht="409.5" x14ac:dyDescent="0.25">
      <c r="A1086" t="s">
        <v>7692</v>
      </c>
      <c r="B1086" t="s">
        <v>7693</v>
      </c>
      <c r="C1086" t="s">
        <v>6473</v>
      </c>
      <c r="D1086" t="s">
        <v>1027</v>
      </c>
      <c r="E1086">
        <v>33419</v>
      </c>
      <c r="F1086" t="s">
        <v>6474</v>
      </c>
      <c r="G1086" t="b">
        <v>0</v>
      </c>
      <c r="H1086" t="b">
        <v>0</v>
      </c>
      <c r="I1086" t="s">
        <v>1051</v>
      </c>
      <c r="J1086">
        <v>78</v>
      </c>
      <c r="K1086" t="s">
        <v>0</v>
      </c>
      <c r="L1086" t="s">
        <v>3000</v>
      </c>
      <c r="M1086" t="s">
        <v>1548</v>
      </c>
      <c r="N1086" t="s">
        <v>1548</v>
      </c>
      <c r="O1086" t="s">
        <v>1548</v>
      </c>
      <c r="P1086" s="36" t="s">
        <v>6448</v>
      </c>
    </row>
    <row r="1087" spans="1:16" ht="409.5" x14ac:dyDescent="0.25">
      <c r="A1087" t="s">
        <v>7694</v>
      </c>
      <c r="B1087" t="s">
        <v>7693</v>
      </c>
      <c r="C1087" t="s">
        <v>6473</v>
      </c>
      <c r="D1087" t="s">
        <v>1027</v>
      </c>
      <c r="E1087">
        <v>33419</v>
      </c>
      <c r="F1087" t="s">
        <v>6474</v>
      </c>
      <c r="G1087" t="b">
        <v>0</v>
      </c>
      <c r="H1087" t="b">
        <v>0</v>
      </c>
      <c r="I1087" t="s">
        <v>1051</v>
      </c>
      <c r="J1087">
        <v>78</v>
      </c>
      <c r="K1087" t="s">
        <v>0</v>
      </c>
      <c r="L1087" t="s">
        <v>3000</v>
      </c>
      <c r="M1087" t="s">
        <v>1548</v>
      </c>
      <c r="N1087" t="s">
        <v>1548</v>
      </c>
      <c r="O1087" t="s">
        <v>1548</v>
      </c>
      <c r="P1087" s="36" t="s">
        <v>6448</v>
      </c>
    </row>
    <row r="1088" spans="1:16" ht="409.5" x14ac:dyDescent="0.25">
      <c r="A1088" t="s">
        <v>7695</v>
      </c>
      <c r="B1088" t="s">
        <v>7693</v>
      </c>
      <c r="C1088" t="s">
        <v>6473</v>
      </c>
      <c r="D1088" t="s">
        <v>1027</v>
      </c>
      <c r="E1088">
        <v>33419</v>
      </c>
      <c r="F1088" t="s">
        <v>6474</v>
      </c>
      <c r="G1088" t="b">
        <v>0</v>
      </c>
      <c r="H1088" t="b">
        <v>0</v>
      </c>
      <c r="I1088" t="s">
        <v>1051</v>
      </c>
      <c r="J1088">
        <v>78</v>
      </c>
      <c r="K1088" t="s">
        <v>0</v>
      </c>
      <c r="L1088" t="s">
        <v>3000</v>
      </c>
      <c r="M1088" t="s">
        <v>1548</v>
      </c>
      <c r="N1088" t="s">
        <v>1548</v>
      </c>
      <c r="O1088" t="s">
        <v>1548</v>
      </c>
      <c r="P1088" s="36" t="s">
        <v>6448</v>
      </c>
    </row>
    <row r="1089" spans="1:16" ht="409.5" x14ac:dyDescent="0.25">
      <c r="A1089" t="s">
        <v>7696</v>
      </c>
      <c r="B1089" t="s">
        <v>7693</v>
      </c>
      <c r="C1089" t="s">
        <v>6473</v>
      </c>
      <c r="D1089" t="s">
        <v>1027</v>
      </c>
      <c r="E1089">
        <v>33419</v>
      </c>
      <c r="F1089" t="s">
        <v>6474</v>
      </c>
      <c r="G1089" t="b">
        <v>0</v>
      </c>
      <c r="H1089" t="b">
        <v>0</v>
      </c>
      <c r="I1089" t="s">
        <v>1051</v>
      </c>
      <c r="J1089">
        <v>78</v>
      </c>
      <c r="K1089" t="s">
        <v>0</v>
      </c>
      <c r="L1089" t="s">
        <v>3000</v>
      </c>
      <c r="M1089" t="s">
        <v>1548</v>
      </c>
      <c r="N1089" t="s">
        <v>1548</v>
      </c>
      <c r="O1089" t="s">
        <v>1548</v>
      </c>
      <c r="P1089" s="36" t="s">
        <v>6448</v>
      </c>
    </row>
    <row r="1090" spans="1:16" ht="409.5" x14ac:dyDescent="0.25">
      <c r="A1090" t="s">
        <v>7697</v>
      </c>
      <c r="B1090" t="s">
        <v>7693</v>
      </c>
      <c r="C1090" t="s">
        <v>6473</v>
      </c>
      <c r="D1090" t="s">
        <v>1027</v>
      </c>
      <c r="E1090">
        <v>33419</v>
      </c>
      <c r="F1090" t="s">
        <v>6474</v>
      </c>
      <c r="G1090" t="b">
        <v>0</v>
      </c>
      <c r="H1090" t="b">
        <v>0</v>
      </c>
      <c r="I1090" t="s">
        <v>1051</v>
      </c>
      <c r="J1090">
        <v>78</v>
      </c>
      <c r="K1090" t="s">
        <v>0</v>
      </c>
      <c r="L1090" t="s">
        <v>3000</v>
      </c>
      <c r="M1090" t="s">
        <v>1548</v>
      </c>
      <c r="N1090" t="s">
        <v>1548</v>
      </c>
      <c r="O1090" t="s">
        <v>1548</v>
      </c>
      <c r="P1090" s="36" t="s">
        <v>6448</v>
      </c>
    </row>
    <row r="1091" spans="1:16" ht="409.5" x14ac:dyDescent="0.25">
      <c r="A1091" t="s">
        <v>7698</v>
      </c>
      <c r="B1091" t="s">
        <v>7693</v>
      </c>
      <c r="C1091" t="s">
        <v>6473</v>
      </c>
      <c r="D1091" t="s">
        <v>1027</v>
      </c>
      <c r="E1091">
        <v>33419</v>
      </c>
      <c r="F1091" t="s">
        <v>6474</v>
      </c>
      <c r="G1091" t="b">
        <v>0</v>
      </c>
      <c r="H1091" t="b">
        <v>0</v>
      </c>
      <c r="I1091" t="s">
        <v>1051</v>
      </c>
      <c r="J1091">
        <v>78</v>
      </c>
      <c r="K1091" t="s">
        <v>0</v>
      </c>
      <c r="L1091" t="s">
        <v>3000</v>
      </c>
      <c r="M1091" t="s">
        <v>1548</v>
      </c>
      <c r="N1091" t="s">
        <v>1548</v>
      </c>
      <c r="O1091" t="s">
        <v>1548</v>
      </c>
      <c r="P1091" s="36" t="s">
        <v>6448</v>
      </c>
    </row>
    <row r="1092" spans="1:16" ht="409.5" x14ac:dyDescent="0.25">
      <c r="A1092" t="s">
        <v>7699</v>
      </c>
      <c r="B1092" t="s">
        <v>7693</v>
      </c>
      <c r="C1092" t="s">
        <v>6473</v>
      </c>
      <c r="D1092" t="s">
        <v>1027</v>
      </c>
      <c r="E1092">
        <v>33419</v>
      </c>
      <c r="F1092" t="s">
        <v>6474</v>
      </c>
      <c r="G1092" t="b">
        <v>0</v>
      </c>
      <c r="H1092" t="b">
        <v>0</v>
      </c>
      <c r="I1092" t="s">
        <v>1051</v>
      </c>
      <c r="J1092">
        <v>78</v>
      </c>
      <c r="K1092" t="s">
        <v>0</v>
      </c>
      <c r="L1092" t="s">
        <v>3000</v>
      </c>
      <c r="M1092" t="s">
        <v>1548</v>
      </c>
      <c r="N1092" t="s">
        <v>1548</v>
      </c>
      <c r="O1092" t="s">
        <v>1548</v>
      </c>
      <c r="P1092" s="36" t="s">
        <v>6448</v>
      </c>
    </row>
    <row r="1093" spans="1:16" ht="409.5" x14ac:dyDescent="0.25">
      <c r="A1093" t="s">
        <v>7700</v>
      </c>
      <c r="B1093" t="s">
        <v>7693</v>
      </c>
      <c r="C1093" t="s">
        <v>6473</v>
      </c>
      <c r="D1093" t="s">
        <v>1027</v>
      </c>
      <c r="E1093">
        <v>33419</v>
      </c>
      <c r="F1093" t="s">
        <v>6474</v>
      </c>
      <c r="G1093" t="b">
        <v>0</v>
      </c>
      <c r="H1093" t="b">
        <v>0</v>
      </c>
      <c r="I1093" t="s">
        <v>1051</v>
      </c>
      <c r="J1093">
        <v>78</v>
      </c>
      <c r="K1093" t="s">
        <v>0</v>
      </c>
      <c r="L1093" t="s">
        <v>3000</v>
      </c>
      <c r="M1093" t="s">
        <v>1548</v>
      </c>
      <c r="N1093" t="s">
        <v>1548</v>
      </c>
      <c r="O1093" t="s">
        <v>1548</v>
      </c>
      <c r="P1093" s="36" t="s">
        <v>6448</v>
      </c>
    </row>
    <row r="1094" spans="1:16" ht="409.5" x14ac:dyDescent="0.25">
      <c r="A1094" t="s">
        <v>7701</v>
      </c>
      <c r="B1094" t="s">
        <v>7693</v>
      </c>
      <c r="C1094" t="s">
        <v>6473</v>
      </c>
      <c r="D1094" t="s">
        <v>1027</v>
      </c>
      <c r="E1094">
        <v>33419</v>
      </c>
      <c r="F1094" t="s">
        <v>6474</v>
      </c>
      <c r="G1094" t="b">
        <v>0</v>
      </c>
      <c r="H1094" t="b">
        <v>0</v>
      </c>
      <c r="I1094" t="s">
        <v>1051</v>
      </c>
      <c r="J1094">
        <v>78</v>
      </c>
      <c r="K1094" t="s">
        <v>0</v>
      </c>
      <c r="L1094" t="s">
        <v>3000</v>
      </c>
      <c r="M1094" t="s">
        <v>1548</v>
      </c>
      <c r="N1094" t="s">
        <v>1548</v>
      </c>
      <c r="O1094" t="s">
        <v>1548</v>
      </c>
      <c r="P1094" s="36" t="s">
        <v>6448</v>
      </c>
    </row>
    <row r="1095" spans="1:16" ht="409.5" x14ac:dyDescent="0.25">
      <c r="A1095" t="s">
        <v>7702</v>
      </c>
      <c r="B1095" t="s">
        <v>7693</v>
      </c>
      <c r="C1095" t="s">
        <v>6473</v>
      </c>
      <c r="D1095" t="s">
        <v>1027</v>
      </c>
      <c r="E1095">
        <v>33419</v>
      </c>
      <c r="F1095" t="s">
        <v>6474</v>
      </c>
      <c r="G1095" t="b">
        <v>0</v>
      </c>
      <c r="H1095" t="b">
        <v>0</v>
      </c>
      <c r="I1095" t="s">
        <v>1051</v>
      </c>
      <c r="J1095">
        <v>78</v>
      </c>
      <c r="K1095" t="s">
        <v>0</v>
      </c>
      <c r="L1095" t="s">
        <v>3000</v>
      </c>
      <c r="M1095" t="s">
        <v>1548</v>
      </c>
      <c r="N1095" t="s">
        <v>1548</v>
      </c>
      <c r="O1095" t="s">
        <v>1548</v>
      </c>
      <c r="P1095" s="36" t="s">
        <v>6448</v>
      </c>
    </row>
    <row r="1096" spans="1:16" ht="409.5" x14ac:dyDescent="0.25">
      <c r="A1096" t="s">
        <v>7703</v>
      </c>
      <c r="B1096" t="s">
        <v>7693</v>
      </c>
      <c r="C1096" t="s">
        <v>6473</v>
      </c>
      <c r="D1096" t="s">
        <v>1027</v>
      </c>
      <c r="E1096">
        <v>33419</v>
      </c>
      <c r="F1096" t="s">
        <v>6474</v>
      </c>
      <c r="G1096" t="b">
        <v>0</v>
      </c>
      <c r="H1096" t="b">
        <v>0</v>
      </c>
      <c r="I1096" t="s">
        <v>1051</v>
      </c>
      <c r="J1096">
        <v>78</v>
      </c>
      <c r="K1096" t="s">
        <v>0</v>
      </c>
      <c r="L1096" t="s">
        <v>3000</v>
      </c>
      <c r="M1096" t="s">
        <v>1548</v>
      </c>
      <c r="N1096" t="s">
        <v>1548</v>
      </c>
      <c r="O1096" t="s">
        <v>1548</v>
      </c>
      <c r="P1096" s="36" t="s">
        <v>6448</v>
      </c>
    </row>
    <row r="1097" spans="1:16" ht="409.5" x14ac:dyDescent="0.25">
      <c r="A1097" t="s">
        <v>7704</v>
      </c>
      <c r="B1097" t="s">
        <v>7705</v>
      </c>
      <c r="C1097" t="s">
        <v>6473</v>
      </c>
      <c r="D1097" t="s">
        <v>1027</v>
      </c>
      <c r="E1097">
        <v>33419</v>
      </c>
      <c r="F1097" t="s">
        <v>6474</v>
      </c>
      <c r="G1097" t="b">
        <v>0</v>
      </c>
      <c r="H1097" t="b">
        <v>0</v>
      </c>
      <c r="I1097" t="s">
        <v>1051</v>
      </c>
      <c r="J1097">
        <v>78</v>
      </c>
      <c r="K1097" t="s">
        <v>0</v>
      </c>
      <c r="L1097" t="s">
        <v>3000</v>
      </c>
      <c r="M1097" t="s">
        <v>1548</v>
      </c>
      <c r="N1097" t="s">
        <v>1548</v>
      </c>
      <c r="O1097" t="s">
        <v>1548</v>
      </c>
      <c r="P1097" s="36" t="s">
        <v>6448</v>
      </c>
    </row>
    <row r="1098" spans="1:16" ht="409.5" x14ac:dyDescent="0.25">
      <c r="A1098" t="s">
        <v>7706</v>
      </c>
      <c r="B1098" t="s">
        <v>7705</v>
      </c>
      <c r="C1098" t="s">
        <v>6473</v>
      </c>
      <c r="D1098" t="s">
        <v>1027</v>
      </c>
      <c r="E1098">
        <v>33419</v>
      </c>
      <c r="F1098" t="s">
        <v>6474</v>
      </c>
      <c r="G1098" t="b">
        <v>0</v>
      </c>
      <c r="H1098" t="b">
        <v>0</v>
      </c>
      <c r="I1098" t="s">
        <v>1051</v>
      </c>
      <c r="J1098">
        <v>78</v>
      </c>
      <c r="K1098" t="s">
        <v>0</v>
      </c>
      <c r="L1098" t="s">
        <v>3000</v>
      </c>
      <c r="M1098" t="s">
        <v>1548</v>
      </c>
      <c r="N1098" t="s">
        <v>1548</v>
      </c>
      <c r="O1098" t="s">
        <v>1548</v>
      </c>
      <c r="P1098" s="36" t="s">
        <v>6448</v>
      </c>
    </row>
    <row r="1099" spans="1:16" ht="409.5" x14ac:dyDescent="0.25">
      <c r="A1099" t="s">
        <v>7707</v>
      </c>
      <c r="B1099" t="s">
        <v>7705</v>
      </c>
      <c r="C1099" t="s">
        <v>6473</v>
      </c>
      <c r="D1099" t="s">
        <v>1027</v>
      </c>
      <c r="E1099">
        <v>33419</v>
      </c>
      <c r="F1099" t="s">
        <v>6474</v>
      </c>
      <c r="G1099" t="b">
        <v>0</v>
      </c>
      <c r="H1099" t="b">
        <v>0</v>
      </c>
      <c r="I1099" t="s">
        <v>1051</v>
      </c>
      <c r="J1099">
        <v>78</v>
      </c>
      <c r="K1099" t="s">
        <v>0</v>
      </c>
      <c r="L1099" t="s">
        <v>3000</v>
      </c>
      <c r="M1099" t="s">
        <v>1548</v>
      </c>
      <c r="N1099" t="s">
        <v>1548</v>
      </c>
      <c r="O1099" t="s">
        <v>1548</v>
      </c>
      <c r="P1099" s="36" t="s">
        <v>6448</v>
      </c>
    </row>
    <row r="1100" spans="1:16" ht="409.5" x14ac:dyDescent="0.25">
      <c r="A1100" t="s">
        <v>7708</v>
      </c>
      <c r="B1100" t="s">
        <v>7705</v>
      </c>
      <c r="C1100" t="s">
        <v>6473</v>
      </c>
      <c r="D1100" t="s">
        <v>1027</v>
      </c>
      <c r="E1100">
        <v>33419</v>
      </c>
      <c r="F1100" t="s">
        <v>6474</v>
      </c>
      <c r="G1100" t="b">
        <v>0</v>
      </c>
      <c r="H1100" t="b">
        <v>0</v>
      </c>
      <c r="I1100" t="s">
        <v>1051</v>
      </c>
      <c r="J1100">
        <v>78</v>
      </c>
      <c r="K1100" t="s">
        <v>0</v>
      </c>
      <c r="L1100" t="s">
        <v>3000</v>
      </c>
      <c r="M1100" t="s">
        <v>1548</v>
      </c>
      <c r="N1100" t="s">
        <v>1548</v>
      </c>
      <c r="O1100" t="s">
        <v>1548</v>
      </c>
      <c r="P1100" s="36" t="s">
        <v>6448</v>
      </c>
    </row>
    <row r="1101" spans="1:16" ht="409.5" x14ac:dyDescent="0.25">
      <c r="A1101" t="s">
        <v>7709</v>
      </c>
      <c r="B1101" t="s">
        <v>7705</v>
      </c>
      <c r="C1101" t="s">
        <v>6473</v>
      </c>
      <c r="D1101" t="s">
        <v>1027</v>
      </c>
      <c r="E1101">
        <v>33419</v>
      </c>
      <c r="F1101" t="s">
        <v>6474</v>
      </c>
      <c r="G1101" t="b">
        <v>0</v>
      </c>
      <c r="H1101" t="b">
        <v>0</v>
      </c>
      <c r="I1101" t="s">
        <v>1051</v>
      </c>
      <c r="J1101">
        <v>78</v>
      </c>
      <c r="K1101" t="s">
        <v>0</v>
      </c>
      <c r="L1101" t="s">
        <v>3000</v>
      </c>
      <c r="M1101" t="s">
        <v>1548</v>
      </c>
      <c r="N1101" t="s">
        <v>1548</v>
      </c>
      <c r="O1101" t="s">
        <v>1548</v>
      </c>
      <c r="P1101" s="36" t="s">
        <v>6448</v>
      </c>
    </row>
    <row r="1102" spans="1:16" ht="409.5" x14ac:dyDescent="0.25">
      <c r="A1102" t="s">
        <v>7710</v>
      </c>
      <c r="B1102" t="s">
        <v>7705</v>
      </c>
      <c r="C1102" t="s">
        <v>6473</v>
      </c>
      <c r="D1102" t="s">
        <v>1027</v>
      </c>
      <c r="E1102">
        <v>33419</v>
      </c>
      <c r="F1102" t="s">
        <v>6474</v>
      </c>
      <c r="G1102" t="b">
        <v>0</v>
      </c>
      <c r="H1102" t="b">
        <v>0</v>
      </c>
      <c r="I1102" t="s">
        <v>1051</v>
      </c>
      <c r="J1102">
        <v>78</v>
      </c>
      <c r="K1102" t="s">
        <v>0</v>
      </c>
      <c r="L1102" t="s">
        <v>3000</v>
      </c>
      <c r="M1102" t="s">
        <v>1548</v>
      </c>
      <c r="N1102" t="s">
        <v>1548</v>
      </c>
      <c r="O1102" t="s">
        <v>1548</v>
      </c>
      <c r="P1102" s="36" t="s">
        <v>6448</v>
      </c>
    </row>
    <row r="1103" spans="1:16" ht="409.5" x14ac:dyDescent="0.25">
      <c r="A1103" t="s">
        <v>7711</v>
      </c>
      <c r="B1103" t="s">
        <v>7705</v>
      </c>
      <c r="C1103" t="s">
        <v>6473</v>
      </c>
      <c r="D1103" t="s">
        <v>1027</v>
      </c>
      <c r="E1103">
        <v>33419</v>
      </c>
      <c r="F1103" t="s">
        <v>6474</v>
      </c>
      <c r="G1103" t="b">
        <v>0</v>
      </c>
      <c r="H1103" t="b">
        <v>0</v>
      </c>
      <c r="I1103" t="s">
        <v>1051</v>
      </c>
      <c r="J1103">
        <v>78</v>
      </c>
      <c r="K1103" t="s">
        <v>0</v>
      </c>
      <c r="L1103" t="s">
        <v>3000</v>
      </c>
      <c r="M1103" t="s">
        <v>1548</v>
      </c>
      <c r="N1103" t="s">
        <v>1548</v>
      </c>
      <c r="O1103" t="s">
        <v>1548</v>
      </c>
      <c r="P1103" s="36" t="s">
        <v>6448</v>
      </c>
    </row>
    <row r="1104" spans="1:16" ht="409.5" x14ac:dyDescent="0.25">
      <c r="A1104" t="s">
        <v>7712</v>
      </c>
      <c r="B1104" t="s">
        <v>7705</v>
      </c>
      <c r="C1104" t="s">
        <v>6473</v>
      </c>
      <c r="D1104" t="s">
        <v>1027</v>
      </c>
      <c r="E1104">
        <v>33419</v>
      </c>
      <c r="F1104" t="s">
        <v>6474</v>
      </c>
      <c r="G1104" t="b">
        <v>0</v>
      </c>
      <c r="H1104" t="b">
        <v>0</v>
      </c>
      <c r="I1104" t="s">
        <v>1051</v>
      </c>
      <c r="J1104">
        <v>78</v>
      </c>
      <c r="K1104" t="s">
        <v>0</v>
      </c>
      <c r="L1104" t="s">
        <v>3000</v>
      </c>
      <c r="M1104" t="s">
        <v>1548</v>
      </c>
      <c r="N1104" t="s">
        <v>1548</v>
      </c>
      <c r="O1104" t="s">
        <v>1548</v>
      </c>
      <c r="P1104" s="36" t="s">
        <v>6448</v>
      </c>
    </row>
    <row r="1105" spans="1:16" ht="409.5" x14ac:dyDescent="0.25">
      <c r="A1105" t="s">
        <v>7713</v>
      </c>
      <c r="B1105" t="s">
        <v>7714</v>
      </c>
      <c r="C1105" t="s">
        <v>6473</v>
      </c>
      <c r="D1105" t="s">
        <v>1027</v>
      </c>
      <c r="E1105">
        <v>33419</v>
      </c>
      <c r="F1105" t="s">
        <v>6474</v>
      </c>
      <c r="G1105" t="b">
        <v>0</v>
      </c>
      <c r="H1105" t="b">
        <v>0</v>
      </c>
      <c r="I1105" t="s">
        <v>1051</v>
      </c>
      <c r="J1105">
        <v>78</v>
      </c>
      <c r="K1105" t="s">
        <v>0</v>
      </c>
      <c r="L1105" t="s">
        <v>3000</v>
      </c>
      <c r="M1105" t="s">
        <v>1548</v>
      </c>
      <c r="N1105" t="s">
        <v>1548</v>
      </c>
      <c r="O1105" t="s">
        <v>1548</v>
      </c>
      <c r="P1105" s="36" t="s">
        <v>6448</v>
      </c>
    </row>
    <row r="1106" spans="1:16" ht="409.5" x14ac:dyDescent="0.25">
      <c r="A1106" t="s">
        <v>7715</v>
      </c>
      <c r="B1106" t="s">
        <v>7714</v>
      </c>
      <c r="C1106" t="s">
        <v>6473</v>
      </c>
      <c r="D1106" t="s">
        <v>1027</v>
      </c>
      <c r="E1106">
        <v>33419</v>
      </c>
      <c r="F1106" t="s">
        <v>6474</v>
      </c>
      <c r="G1106" t="b">
        <v>0</v>
      </c>
      <c r="H1106" t="b">
        <v>0</v>
      </c>
      <c r="I1106" t="s">
        <v>1051</v>
      </c>
      <c r="J1106">
        <v>78</v>
      </c>
      <c r="K1106" t="s">
        <v>0</v>
      </c>
      <c r="L1106" t="s">
        <v>3000</v>
      </c>
      <c r="M1106" t="s">
        <v>1548</v>
      </c>
      <c r="N1106" t="s">
        <v>1548</v>
      </c>
      <c r="O1106" t="s">
        <v>1548</v>
      </c>
      <c r="P1106" s="36" t="s">
        <v>6448</v>
      </c>
    </row>
    <row r="1107" spans="1:16" ht="409.5" x14ac:dyDescent="0.25">
      <c r="A1107" t="s">
        <v>7716</v>
      </c>
      <c r="B1107" t="s">
        <v>7714</v>
      </c>
      <c r="C1107" t="s">
        <v>6473</v>
      </c>
      <c r="D1107" t="s">
        <v>1027</v>
      </c>
      <c r="E1107">
        <v>33419</v>
      </c>
      <c r="F1107" t="s">
        <v>6474</v>
      </c>
      <c r="G1107" t="b">
        <v>0</v>
      </c>
      <c r="H1107" t="b">
        <v>0</v>
      </c>
      <c r="I1107" t="s">
        <v>1051</v>
      </c>
      <c r="J1107">
        <v>78</v>
      </c>
      <c r="K1107" t="s">
        <v>0</v>
      </c>
      <c r="L1107" t="s">
        <v>3000</v>
      </c>
      <c r="M1107" t="s">
        <v>1548</v>
      </c>
      <c r="N1107" t="s">
        <v>1548</v>
      </c>
      <c r="O1107" t="s">
        <v>1548</v>
      </c>
      <c r="P1107" s="36" t="s">
        <v>6448</v>
      </c>
    </row>
    <row r="1108" spans="1:16" ht="409.5" x14ac:dyDescent="0.25">
      <c r="A1108" t="s">
        <v>7717</v>
      </c>
      <c r="B1108" t="s">
        <v>7718</v>
      </c>
      <c r="C1108" t="s">
        <v>6473</v>
      </c>
      <c r="D1108" t="s">
        <v>1027</v>
      </c>
      <c r="E1108">
        <v>33419</v>
      </c>
      <c r="F1108" t="s">
        <v>6474</v>
      </c>
      <c r="G1108" t="b">
        <v>0</v>
      </c>
      <c r="H1108" t="b">
        <v>0</v>
      </c>
      <c r="I1108" t="s">
        <v>1051</v>
      </c>
      <c r="J1108">
        <v>78</v>
      </c>
      <c r="K1108" t="s">
        <v>0</v>
      </c>
      <c r="L1108" t="s">
        <v>3000</v>
      </c>
      <c r="M1108" t="s">
        <v>1548</v>
      </c>
      <c r="N1108" t="s">
        <v>1548</v>
      </c>
      <c r="O1108" t="s">
        <v>1548</v>
      </c>
      <c r="P1108" s="36" t="s">
        <v>6448</v>
      </c>
    </row>
    <row r="1109" spans="1:16" ht="409.5" x14ac:dyDescent="0.25">
      <c r="A1109" t="s">
        <v>7719</v>
      </c>
      <c r="B1109" t="s">
        <v>7718</v>
      </c>
      <c r="C1109" t="s">
        <v>6473</v>
      </c>
      <c r="D1109" t="s">
        <v>1027</v>
      </c>
      <c r="E1109">
        <v>33419</v>
      </c>
      <c r="F1109" t="s">
        <v>6474</v>
      </c>
      <c r="G1109" t="b">
        <v>0</v>
      </c>
      <c r="H1109" t="b">
        <v>0</v>
      </c>
      <c r="I1109" t="s">
        <v>1051</v>
      </c>
      <c r="J1109">
        <v>78</v>
      </c>
      <c r="K1109" t="s">
        <v>0</v>
      </c>
      <c r="L1109" t="s">
        <v>3000</v>
      </c>
      <c r="M1109" t="s">
        <v>1548</v>
      </c>
      <c r="N1109" t="s">
        <v>1548</v>
      </c>
      <c r="O1109" t="s">
        <v>1548</v>
      </c>
      <c r="P1109" s="36" t="s">
        <v>6448</v>
      </c>
    </row>
    <row r="1110" spans="1:16" ht="409.5" x14ac:dyDescent="0.25">
      <c r="A1110" t="s">
        <v>7720</v>
      </c>
      <c r="B1110" t="s">
        <v>7718</v>
      </c>
      <c r="C1110" t="s">
        <v>6473</v>
      </c>
      <c r="D1110" t="s">
        <v>1027</v>
      </c>
      <c r="E1110">
        <v>33419</v>
      </c>
      <c r="F1110" t="s">
        <v>6474</v>
      </c>
      <c r="G1110" t="b">
        <v>0</v>
      </c>
      <c r="H1110" t="b">
        <v>0</v>
      </c>
      <c r="I1110" t="s">
        <v>1051</v>
      </c>
      <c r="J1110">
        <v>78</v>
      </c>
      <c r="K1110" t="s">
        <v>0</v>
      </c>
      <c r="L1110" t="s">
        <v>3000</v>
      </c>
      <c r="M1110" t="s">
        <v>1548</v>
      </c>
      <c r="N1110" t="s">
        <v>1548</v>
      </c>
      <c r="O1110" t="s">
        <v>1548</v>
      </c>
      <c r="P1110" s="36" t="s">
        <v>6448</v>
      </c>
    </row>
    <row r="1111" spans="1:16" ht="409.5" x14ac:dyDescent="0.25">
      <c r="A1111" t="s">
        <v>7721</v>
      </c>
      <c r="B1111" t="s">
        <v>7718</v>
      </c>
      <c r="C1111" t="s">
        <v>6473</v>
      </c>
      <c r="D1111" t="s">
        <v>1027</v>
      </c>
      <c r="E1111">
        <v>33419</v>
      </c>
      <c r="F1111" t="s">
        <v>6474</v>
      </c>
      <c r="G1111" t="b">
        <v>0</v>
      </c>
      <c r="H1111" t="b">
        <v>0</v>
      </c>
      <c r="I1111" t="s">
        <v>1051</v>
      </c>
      <c r="J1111">
        <v>78</v>
      </c>
      <c r="K1111" t="s">
        <v>0</v>
      </c>
      <c r="L1111" t="s">
        <v>3000</v>
      </c>
      <c r="M1111" t="s">
        <v>1548</v>
      </c>
      <c r="N1111" t="s">
        <v>1548</v>
      </c>
      <c r="O1111" t="s">
        <v>1548</v>
      </c>
      <c r="P1111" s="36" t="s">
        <v>6448</v>
      </c>
    </row>
    <row r="1112" spans="1:16" ht="409.5" x14ac:dyDescent="0.25">
      <c r="A1112" t="s">
        <v>7722</v>
      </c>
      <c r="B1112" t="s">
        <v>7718</v>
      </c>
      <c r="C1112" t="s">
        <v>6473</v>
      </c>
      <c r="D1112" t="s">
        <v>1027</v>
      </c>
      <c r="E1112">
        <v>33419</v>
      </c>
      <c r="F1112" t="s">
        <v>6474</v>
      </c>
      <c r="G1112" t="b">
        <v>0</v>
      </c>
      <c r="H1112" t="b">
        <v>0</v>
      </c>
      <c r="I1112" t="s">
        <v>1051</v>
      </c>
      <c r="J1112">
        <v>78</v>
      </c>
      <c r="K1112" t="s">
        <v>0</v>
      </c>
      <c r="L1112" t="s">
        <v>3000</v>
      </c>
      <c r="M1112" t="s">
        <v>1548</v>
      </c>
      <c r="N1112" t="s">
        <v>1548</v>
      </c>
      <c r="O1112" t="s">
        <v>1548</v>
      </c>
      <c r="P1112" s="36" t="s">
        <v>6448</v>
      </c>
    </row>
    <row r="1113" spans="1:16" ht="409.5" x14ac:dyDescent="0.25">
      <c r="A1113" t="s">
        <v>7723</v>
      </c>
      <c r="B1113" t="s">
        <v>7724</v>
      </c>
      <c r="C1113" t="s">
        <v>6446</v>
      </c>
      <c r="D1113" t="s">
        <v>1027</v>
      </c>
      <c r="G1113" t="b">
        <v>0</v>
      </c>
      <c r="H1113" t="b">
        <v>0</v>
      </c>
      <c r="I1113" t="s">
        <v>1051</v>
      </c>
      <c r="J1113">
        <v>78</v>
      </c>
      <c r="K1113" t="s">
        <v>0</v>
      </c>
      <c r="L1113" t="s">
        <v>3000</v>
      </c>
      <c r="M1113" t="s">
        <v>1548</v>
      </c>
      <c r="N1113" t="s">
        <v>1548</v>
      </c>
      <c r="O1113" t="s">
        <v>1548</v>
      </c>
      <c r="P1113" s="36" t="s">
        <v>6448</v>
      </c>
    </row>
    <row r="1114" spans="1:16" ht="409.5" x14ac:dyDescent="0.25">
      <c r="A1114" t="s">
        <v>7725</v>
      </c>
      <c r="B1114" t="s">
        <v>7724</v>
      </c>
      <c r="C1114" t="s">
        <v>6446</v>
      </c>
      <c r="D1114" t="s">
        <v>1027</v>
      </c>
      <c r="G1114" t="b">
        <v>0</v>
      </c>
      <c r="H1114" t="b">
        <v>0</v>
      </c>
      <c r="I1114" t="s">
        <v>1051</v>
      </c>
      <c r="J1114">
        <v>78</v>
      </c>
      <c r="K1114" t="s">
        <v>0</v>
      </c>
      <c r="L1114" t="s">
        <v>3000</v>
      </c>
      <c r="M1114" t="s">
        <v>1548</v>
      </c>
      <c r="N1114" t="s">
        <v>1548</v>
      </c>
      <c r="O1114" t="s">
        <v>1548</v>
      </c>
      <c r="P1114" s="36" t="s">
        <v>6448</v>
      </c>
    </row>
    <row r="1115" spans="1:16" ht="409.5" x14ac:dyDescent="0.25">
      <c r="A1115" t="s">
        <v>7726</v>
      </c>
      <c r="B1115" t="s">
        <v>7727</v>
      </c>
      <c r="C1115" t="s">
        <v>6645</v>
      </c>
      <c r="D1115" t="s">
        <v>1027</v>
      </c>
      <c r="E1115">
        <v>33434</v>
      </c>
      <c r="F1115" t="s">
        <v>6646</v>
      </c>
      <c r="G1115" t="b">
        <v>0</v>
      </c>
      <c r="H1115" t="b">
        <v>0</v>
      </c>
      <c r="I1115" t="s">
        <v>1051</v>
      </c>
      <c r="J1115">
        <v>78</v>
      </c>
      <c r="K1115" t="s">
        <v>0</v>
      </c>
      <c r="L1115" t="s">
        <v>3000</v>
      </c>
      <c r="M1115" t="s">
        <v>1548</v>
      </c>
      <c r="N1115" t="s">
        <v>1548</v>
      </c>
      <c r="O1115" t="s">
        <v>1548</v>
      </c>
      <c r="P1115" s="36" t="s">
        <v>6448</v>
      </c>
    </row>
    <row r="1116" spans="1:16" ht="409.5" x14ac:dyDescent="0.25">
      <c r="A1116" t="s">
        <v>7728</v>
      </c>
      <c r="B1116" t="s">
        <v>7729</v>
      </c>
      <c r="C1116" t="s">
        <v>6473</v>
      </c>
      <c r="D1116" t="s">
        <v>1027</v>
      </c>
      <c r="E1116">
        <v>33419</v>
      </c>
      <c r="F1116" t="s">
        <v>6474</v>
      </c>
      <c r="G1116" t="b">
        <v>0</v>
      </c>
      <c r="H1116" t="b">
        <v>0</v>
      </c>
      <c r="I1116" t="s">
        <v>1051</v>
      </c>
      <c r="J1116">
        <v>87</v>
      </c>
      <c r="K1116" t="s">
        <v>0</v>
      </c>
      <c r="L1116" t="s">
        <v>3000</v>
      </c>
      <c r="M1116" t="s">
        <v>1548</v>
      </c>
      <c r="N1116" t="s">
        <v>1548</v>
      </c>
      <c r="O1116" t="s">
        <v>1548</v>
      </c>
      <c r="P1116" s="36" t="s">
        <v>6448</v>
      </c>
    </row>
    <row r="1117" spans="1:16" ht="409.5" x14ac:dyDescent="0.25">
      <c r="A1117" t="s">
        <v>7730</v>
      </c>
      <c r="B1117" t="s">
        <v>7729</v>
      </c>
      <c r="C1117" t="s">
        <v>6473</v>
      </c>
      <c r="D1117" t="s">
        <v>1027</v>
      </c>
      <c r="E1117">
        <v>33419</v>
      </c>
      <c r="F1117" t="s">
        <v>6474</v>
      </c>
      <c r="G1117" t="b">
        <v>0</v>
      </c>
      <c r="H1117" t="b">
        <v>0</v>
      </c>
      <c r="I1117" t="s">
        <v>1051</v>
      </c>
      <c r="J1117">
        <v>87</v>
      </c>
      <c r="K1117" t="s">
        <v>0</v>
      </c>
      <c r="L1117" t="s">
        <v>3000</v>
      </c>
      <c r="M1117" t="s">
        <v>1548</v>
      </c>
      <c r="N1117" t="s">
        <v>1548</v>
      </c>
      <c r="O1117" t="s">
        <v>1548</v>
      </c>
      <c r="P1117" s="36" t="s">
        <v>6448</v>
      </c>
    </row>
    <row r="1118" spans="1:16" ht="409.5" x14ac:dyDescent="0.25">
      <c r="A1118" t="s">
        <v>7731</v>
      </c>
      <c r="B1118" t="s">
        <v>7732</v>
      </c>
      <c r="C1118" t="s">
        <v>6473</v>
      </c>
      <c r="D1118" t="s">
        <v>1027</v>
      </c>
      <c r="E1118">
        <v>33419</v>
      </c>
      <c r="F1118" t="s">
        <v>6474</v>
      </c>
      <c r="G1118" t="b">
        <v>0</v>
      </c>
      <c r="H1118" t="b">
        <v>0</v>
      </c>
      <c r="I1118" t="s">
        <v>1051</v>
      </c>
      <c r="J1118">
        <v>78</v>
      </c>
      <c r="K1118" t="s">
        <v>0</v>
      </c>
      <c r="L1118" t="s">
        <v>3000</v>
      </c>
      <c r="M1118" t="s">
        <v>1548</v>
      </c>
      <c r="N1118" t="s">
        <v>1548</v>
      </c>
      <c r="O1118" t="s">
        <v>1548</v>
      </c>
      <c r="P1118" s="36" t="s">
        <v>6448</v>
      </c>
    </row>
    <row r="1119" spans="1:16" ht="409.5" x14ac:dyDescent="0.25">
      <c r="A1119" t="s">
        <v>7733</v>
      </c>
      <c r="B1119" t="s">
        <v>7732</v>
      </c>
      <c r="C1119" t="s">
        <v>6473</v>
      </c>
      <c r="D1119" t="s">
        <v>1027</v>
      </c>
      <c r="E1119">
        <v>33419</v>
      </c>
      <c r="F1119" t="s">
        <v>6474</v>
      </c>
      <c r="G1119" t="b">
        <v>0</v>
      </c>
      <c r="H1119" t="b">
        <v>0</v>
      </c>
      <c r="I1119" t="s">
        <v>1051</v>
      </c>
      <c r="J1119">
        <v>78</v>
      </c>
      <c r="K1119" t="s">
        <v>0</v>
      </c>
      <c r="L1119" t="s">
        <v>3000</v>
      </c>
      <c r="M1119" t="s">
        <v>1548</v>
      </c>
      <c r="N1119" t="s">
        <v>1548</v>
      </c>
      <c r="O1119" t="s">
        <v>1548</v>
      </c>
      <c r="P1119" s="36" t="s">
        <v>6448</v>
      </c>
    </row>
    <row r="1120" spans="1:16" ht="409.5" x14ac:dyDescent="0.25">
      <c r="A1120" t="s">
        <v>7734</v>
      </c>
      <c r="B1120" t="s">
        <v>7732</v>
      </c>
      <c r="C1120" t="s">
        <v>6473</v>
      </c>
      <c r="D1120" t="s">
        <v>1027</v>
      </c>
      <c r="E1120">
        <v>33419</v>
      </c>
      <c r="F1120" t="s">
        <v>6474</v>
      </c>
      <c r="G1120" t="b">
        <v>0</v>
      </c>
      <c r="H1120" t="b">
        <v>0</v>
      </c>
      <c r="I1120" t="s">
        <v>1051</v>
      </c>
      <c r="J1120">
        <v>78</v>
      </c>
      <c r="K1120" t="s">
        <v>0</v>
      </c>
      <c r="L1120" t="s">
        <v>3000</v>
      </c>
      <c r="M1120" t="s">
        <v>1548</v>
      </c>
      <c r="N1120" t="s">
        <v>1548</v>
      </c>
      <c r="O1120" t="s">
        <v>1548</v>
      </c>
      <c r="P1120" s="36" t="s">
        <v>6448</v>
      </c>
    </row>
    <row r="1121" spans="1:16" ht="409.5" x14ac:dyDescent="0.25">
      <c r="A1121" t="s">
        <v>7735</v>
      </c>
      <c r="B1121" t="s">
        <v>7732</v>
      </c>
      <c r="C1121" t="s">
        <v>6473</v>
      </c>
      <c r="D1121" t="s">
        <v>1027</v>
      </c>
      <c r="E1121">
        <v>33419</v>
      </c>
      <c r="F1121" t="s">
        <v>6474</v>
      </c>
      <c r="G1121" t="b">
        <v>0</v>
      </c>
      <c r="H1121" t="b">
        <v>0</v>
      </c>
      <c r="I1121" t="s">
        <v>1051</v>
      </c>
      <c r="J1121">
        <v>78</v>
      </c>
      <c r="K1121" t="s">
        <v>0</v>
      </c>
      <c r="L1121" t="s">
        <v>3000</v>
      </c>
      <c r="M1121" t="s">
        <v>1548</v>
      </c>
      <c r="N1121" t="s">
        <v>1548</v>
      </c>
      <c r="O1121" t="s">
        <v>1548</v>
      </c>
      <c r="P1121" s="36" t="s">
        <v>6448</v>
      </c>
    </row>
    <row r="1122" spans="1:16" ht="409.5" x14ac:dyDescent="0.25">
      <c r="A1122" t="s">
        <v>7736</v>
      </c>
      <c r="B1122" t="s">
        <v>7737</v>
      </c>
      <c r="C1122" t="s">
        <v>6473</v>
      </c>
      <c r="D1122" t="s">
        <v>1027</v>
      </c>
      <c r="E1122">
        <v>33419</v>
      </c>
      <c r="F1122" t="s">
        <v>6474</v>
      </c>
      <c r="G1122" t="b">
        <v>0</v>
      </c>
      <c r="H1122" t="b">
        <v>0</v>
      </c>
      <c r="I1122" t="s">
        <v>1051</v>
      </c>
      <c r="J1122">
        <v>78</v>
      </c>
      <c r="K1122" t="s">
        <v>0</v>
      </c>
      <c r="L1122" t="s">
        <v>3000</v>
      </c>
      <c r="M1122" t="s">
        <v>1548</v>
      </c>
      <c r="N1122" t="s">
        <v>1548</v>
      </c>
      <c r="O1122" t="s">
        <v>1548</v>
      </c>
      <c r="P1122" s="36" t="s">
        <v>6448</v>
      </c>
    </row>
    <row r="1123" spans="1:16" ht="409.5" x14ac:dyDescent="0.25">
      <c r="A1123" t="s">
        <v>7738</v>
      </c>
      <c r="B1123" t="s">
        <v>7737</v>
      </c>
      <c r="C1123" t="s">
        <v>6473</v>
      </c>
      <c r="D1123" t="s">
        <v>1027</v>
      </c>
      <c r="E1123">
        <v>33419</v>
      </c>
      <c r="F1123" t="s">
        <v>6474</v>
      </c>
      <c r="G1123" t="b">
        <v>0</v>
      </c>
      <c r="H1123" t="b">
        <v>0</v>
      </c>
      <c r="I1123" t="s">
        <v>1051</v>
      </c>
      <c r="J1123">
        <v>78</v>
      </c>
      <c r="K1123" t="s">
        <v>0</v>
      </c>
      <c r="L1123" t="s">
        <v>3000</v>
      </c>
      <c r="M1123" t="s">
        <v>1548</v>
      </c>
      <c r="N1123" t="s">
        <v>1548</v>
      </c>
      <c r="O1123" t="s">
        <v>1548</v>
      </c>
      <c r="P1123" s="36" t="s">
        <v>6448</v>
      </c>
    </row>
    <row r="1124" spans="1:16" ht="409.5" x14ac:dyDescent="0.25">
      <c r="A1124" t="s">
        <v>7739</v>
      </c>
      <c r="B1124" t="s">
        <v>7737</v>
      </c>
      <c r="C1124" t="s">
        <v>6473</v>
      </c>
      <c r="D1124" t="s">
        <v>1027</v>
      </c>
      <c r="E1124">
        <v>33419</v>
      </c>
      <c r="F1124" t="s">
        <v>6474</v>
      </c>
      <c r="G1124" t="b">
        <v>0</v>
      </c>
      <c r="H1124" t="b">
        <v>0</v>
      </c>
      <c r="I1124" t="s">
        <v>1051</v>
      </c>
      <c r="J1124">
        <v>78</v>
      </c>
      <c r="K1124" t="s">
        <v>0</v>
      </c>
      <c r="L1124" t="s">
        <v>3000</v>
      </c>
      <c r="M1124" t="s">
        <v>1548</v>
      </c>
      <c r="N1124" t="s">
        <v>1548</v>
      </c>
      <c r="O1124" t="s">
        <v>1548</v>
      </c>
      <c r="P1124" s="36" t="s">
        <v>6448</v>
      </c>
    </row>
    <row r="1125" spans="1:16" ht="409.5" x14ac:dyDescent="0.25">
      <c r="A1125" t="s">
        <v>7740</v>
      </c>
      <c r="B1125" t="s">
        <v>7737</v>
      </c>
      <c r="C1125" t="s">
        <v>6473</v>
      </c>
      <c r="D1125" t="s">
        <v>1027</v>
      </c>
      <c r="E1125">
        <v>33419</v>
      </c>
      <c r="F1125" t="s">
        <v>6474</v>
      </c>
      <c r="G1125" t="b">
        <v>0</v>
      </c>
      <c r="H1125" t="b">
        <v>0</v>
      </c>
      <c r="I1125" t="s">
        <v>1051</v>
      </c>
      <c r="J1125">
        <v>78</v>
      </c>
      <c r="K1125" t="s">
        <v>0</v>
      </c>
      <c r="L1125" t="s">
        <v>3000</v>
      </c>
      <c r="M1125" t="s">
        <v>1548</v>
      </c>
      <c r="N1125" t="s">
        <v>1548</v>
      </c>
      <c r="O1125" t="s">
        <v>1548</v>
      </c>
      <c r="P1125" s="36" t="s">
        <v>6448</v>
      </c>
    </row>
    <row r="1126" spans="1:16" ht="409.5" x14ac:dyDescent="0.25">
      <c r="A1126" t="s">
        <v>7741</v>
      </c>
      <c r="B1126" t="s">
        <v>7737</v>
      </c>
      <c r="C1126" t="s">
        <v>6473</v>
      </c>
      <c r="D1126" t="s">
        <v>1027</v>
      </c>
      <c r="E1126">
        <v>33419</v>
      </c>
      <c r="F1126" t="s">
        <v>6474</v>
      </c>
      <c r="G1126" t="b">
        <v>0</v>
      </c>
      <c r="H1126" t="b">
        <v>0</v>
      </c>
      <c r="I1126" t="s">
        <v>1051</v>
      </c>
      <c r="J1126">
        <v>78</v>
      </c>
      <c r="K1126" t="s">
        <v>0</v>
      </c>
      <c r="L1126" t="s">
        <v>3000</v>
      </c>
      <c r="M1126" t="s">
        <v>1548</v>
      </c>
      <c r="N1126" t="s">
        <v>1548</v>
      </c>
      <c r="O1126" t="s">
        <v>1548</v>
      </c>
      <c r="P1126" s="36" t="s">
        <v>6448</v>
      </c>
    </row>
    <row r="1127" spans="1:16" ht="409.5" x14ac:dyDescent="0.25">
      <c r="A1127" t="s">
        <v>7742</v>
      </c>
      <c r="B1127" t="s">
        <v>7737</v>
      </c>
      <c r="C1127" t="s">
        <v>6473</v>
      </c>
      <c r="D1127" t="s">
        <v>1027</v>
      </c>
      <c r="E1127">
        <v>33419</v>
      </c>
      <c r="F1127" t="s">
        <v>6474</v>
      </c>
      <c r="G1127" t="b">
        <v>0</v>
      </c>
      <c r="H1127" t="b">
        <v>0</v>
      </c>
      <c r="I1127" t="s">
        <v>1051</v>
      </c>
      <c r="J1127">
        <v>78</v>
      </c>
      <c r="K1127" t="s">
        <v>0</v>
      </c>
      <c r="L1127" t="s">
        <v>3000</v>
      </c>
      <c r="M1127" t="s">
        <v>1548</v>
      </c>
      <c r="N1127" t="s">
        <v>1548</v>
      </c>
      <c r="O1127" t="s">
        <v>1548</v>
      </c>
      <c r="P1127" s="36" t="s">
        <v>6448</v>
      </c>
    </row>
    <row r="1128" spans="1:16" ht="409.5" x14ac:dyDescent="0.25">
      <c r="A1128" t="s">
        <v>7743</v>
      </c>
      <c r="B1128" t="s">
        <v>7737</v>
      </c>
      <c r="C1128" t="s">
        <v>6473</v>
      </c>
      <c r="D1128" t="s">
        <v>1027</v>
      </c>
      <c r="E1128">
        <v>33419</v>
      </c>
      <c r="F1128" t="s">
        <v>6474</v>
      </c>
      <c r="G1128" t="b">
        <v>0</v>
      </c>
      <c r="H1128" t="b">
        <v>0</v>
      </c>
      <c r="I1128" t="s">
        <v>1051</v>
      </c>
      <c r="J1128">
        <v>78</v>
      </c>
      <c r="K1128" t="s">
        <v>0</v>
      </c>
      <c r="L1128" t="s">
        <v>3000</v>
      </c>
      <c r="M1128" t="s">
        <v>1548</v>
      </c>
      <c r="N1128" t="s">
        <v>1548</v>
      </c>
      <c r="O1128" t="s">
        <v>1548</v>
      </c>
      <c r="P1128" s="36" t="s">
        <v>6448</v>
      </c>
    </row>
    <row r="1129" spans="1:16" ht="409.5" x14ac:dyDescent="0.25">
      <c r="A1129" t="s">
        <v>7744</v>
      </c>
      <c r="B1129" t="s">
        <v>7737</v>
      </c>
      <c r="C1129" t="s">
        <v>6473</v>
      </c>
      <c r="D1129" t="s">
        <v>1027</v>
      </c>
      <c r="E1129">
        <v>33419</v>
      </c>
      <c r="F1129" t="s">
        <v>6474</v>
      </c>
      <c r="G1129" t="b">
        <v>0</v>
      </c>
      <c r="H1129" t="b">
        <v>0</v>
      </c>
      <c r="I1129" t="s">
        <v>1051</v>
      </c>
      <c r="J1129">
        <v>78</v>
      </c>
      <c r="K1129" t="s">
        <v>0</v>
      </c>
      <c r="L1129" t="s">
        <v>3000</v>
      </c>
      <c r="M1129" t="s">
        <v>1548</v>
      </c>
      <c r="N1129" t="s">
        <v>1548</v>
      </c>
      <c r="O1129" t="s">
        <v>1548</v>
      </c>
      <c r="P1129" s="36" t="s">
        <v>6448</v>
      </c>
    </row>
    <row r="1130" spans="1:16" ht="409.5" x14ac:dyDescent="0.25">
      <c r="A1130" t="s">
        <v>7745</v>
      </c>
      <c r="B1130" t="s">
        <v>7737</v>
      </c>
      <c r="C1130" t="s">
        <v>6473</v>
      </c>
      <c r="D1130" t="s">
        <v>1027</v>
      </c>
      <c r="E1130">
        <v>33419</v>
      </c>
      <c r="F1130" t="s">
        <v>6474</v>
      </c>
      <c r="G1130" t="b">
        <v>0</v>
      </c>
      <c r="H1130" t="b">
        <v>0</v>
      </c>
      <c r="I1130" t="s">
        <v>1051</v>
      </c>
      <c r="J1130">
        <v>78</v>
      </c>
      <c r="K1130" t="s">
        <v>0</v>
      </c>
      <c r="L1130" t="s">
        <v>3000</v>
      </c>
      <c r="M1130" t="s">
        <v>1548</v>
      </c>
      <c r="N1130" t="s">
        <v>1548</v>
      </c>
      <c r="O1130" t="s">
        <v>1548</v>
      </c>
      <c r="P1130" s="36" t="s">
        <v>6448</v>
      </c>
    </row>
    <row r="1131" spans="1:16" ht="409.5" x14ac:dyDescent="0.25">
      <c r="A1131" t="s">
        <v>7746</v>
      </c>
      <c r="B1131" t="s">
        <v>7737</v>
      </c>
      <c r="C1131" t="s">
        <v>6473</v>
      </c>
      <c r="D1131" t="s">
        <v>1027</v>
      </c>
      <c r="E1131">
        <v>33419</v>
      </c>
      <c r="F1131" t="s">
        <v>6474</v>
      </c>
      <c r="G1131" t="b">
        <v>0</v>
      </c>
      <c r="H1131" t="b">
        <v>0</v>
      </c>
      <c r="I1131" t="s">
        <v>1051</v>
      </c>
      <c r="J1131">
        <v>78</v>
      </c>
      <c r="K1131" t="s">
        <v>0</v>
      </c>
      <c r="L1131" t="s">
        <v>3000</v>
      </c>
      <c r="M1131" t="s">
        <v>1548</v>
      </c>
      <c r="N1131" t="s">
        <v>1548</v>
      </c>
      <c r="O1131" t="s">
        <v>1548</v>
      </c>
      <c r="P1131" s="36" t="s">
        <v>6448</v>
      </c>
    </row>
    <row r="1132" spans="1:16" ht="409.5" x14ac:dyDescent="0.25">
      <c r="A1132" t="s">
        <v>7747</v>
      </c>
      <c r="B1132" t="s">
        <v>7737</v>
      </c>
      <c r="C1132" t="s">
        <v>6473</v>
      </c>
      <c r="D1132" t="s">
        <v>1027</v>
      </c>
      <c r="E1132">
        <v>33419</v>
      </c>
      <c r="F1132" t="s">
        <v>6474</v>
      </c>
      <c r="G1132" t="b">
        <v>0</v>
      </c>
      <c r="H1132" t="b">
        <v>0</v>
      </c>
      <c r="I1132" t="s">
        <v>1051</v>
      </c>
      <c r="J1132">
        <v>78</v>
      </c>
      <c r="K1132" t="s">
        <v>0</v>
      </c>
      <c r="L1132" t="s">
        <v>3000</v>
      </c>
      <c r="M1132" t="s">
        <v>1548</v>
      </c>
      <c r="N1132" t="s">
        <v>1548</v>
      </c>
      <c r="O1132" t="s">
        <v>1548</v>
      </c>
      <c r="P1132" s="36" t="s">
        <v>6448</v>
      </c>
    </row>
    <row r="1133" spans="1:16" ht="409.5" x14ac:dyDescent="0.25">
      <c r="A1133" t="s">
        <v>7748</v>
      </c>
      <c r="B1133" t="s">
        <v>7737</v>
      </c>
      <c r="C1133" t="s">
        <v>6473</v>
      </c>
      <c r="D1133" t="s">
        <v>1027</v>
      </c>
      <c r="E1133">
        <v>33419</v>
      </c>
      <c r="F1133" t="s">
        <v>6474</v>
      </c>
      <c r="G1133" t="b">
        <v>0</v>
      </c>
      <c r="H1133" t="b">
        <v>0</v>
      </c>
      <c r="I1133" t="s">
        <v>1051</v>
      </c>
      <c r="J1133">
        <v>78</v>
      </c>
      <c r="K1133" t="s">
        <v>0</v>
      </c>
      <c r="L1133" t="s">
        <v>3000</v>
      </c>
      <c r="M1133" t="s">
        <v>1548</v>
      </c>
      <c r="N1133" t="s">
        <v>1548</v>
      </c>
      <c r="O1133" t="s">
        <v>1548</v>
      </c>
      <c r="P1133" s="36" t="s">
        <v>6448</v>
      </c>
    </row>
    <row r="1134" spans="1:16" ht="409.5" x14ac:dyDescent="0.25">
      <c r="A1134" t="s">
        <v>7749</v>
      </c>
      <c r="B1134" t="s">
        <v>7737</v>
      </c>
      <c r="C1134" t="s">
        <v>6473</v>
      </c>
      <c r="D1134" t="s">
        <v>1027</v>
      </c>
      <c r="E1134">
        <v>33419</v>
      </c>
      <c r="F1134" t="s">
        <v>6474</v>
      </c>
      <c r="G1134" t="b">
        <v>0</v>
      </c>
      <c r="H1134" t="b">
        <v>0</v>
      </c>
      <c r="I1134" t="s">
        <v>1051</v>
      </c>
      <c r="J1134">
        <v>78</v>
      </c>
      <c r="K1134" t="s">
        <v>0</v>
      </c>
      <c r="L1134" t="s">
        <v>3000</v>
      </c>
      <c r="M1134" t="s">
        <v>1548</v>
      </c>
      <c r="N1134" t="s">
        <v>1548</v>
      </c>
      <c r="O1134" t="s">
        <v>1548</v>
      </c>
      <c r="P1134" s="36" t="s">
        <v>6448</v>
      </c>
    </row>
    <row r="1135" spans="1:16" ht="409.5" x14ac:dyDescent="0.25">
      <c r="A1135" t="s">
        <v>7750</v>
      </c>
      <c r="B1135" t="s">
        <v>7737</v>
      </c>
      <c r="C1135" t="s">
        <v>6473</v>
      </c>
      <c r="D1135" t="s">
        <v>1027</v>
      </c>
      <c r="E1135">
        <v>33419</v>
      </c>
      <c r="F1135" t="s">
        <v>6474</v>
      </c>
      <c r="G1135" t="b">
        <v>0</v>
      </c>
      <c r="H1135" t="b">
        <v>0</v>
      </c>
      <c r="I1135" t="s">
        <v>1051</v>
      </c>
      <c r="J1135">
        <v>78</v>
      </c>
      <c r="K1135" t="s">
        <v>0</v>
      </c>
      <c r="L1135" t="s">
        <v>3000</v>
      </c>
      <c r="M1135" t="s">
        <v>1548</v>
      </c>
      <c r="N1135" t="s">
        <v>1548</v>
      </c>
      <c r="O1135" t="s">
        <v>1548</v>
      </c>
      <c r="P1135" s="36" t="s">
        <v>6448</v>
      </c>
    </row>
    <row r="1136" spans="1:16" ht="409.5" x14ac:dyDescent="0.25">
      <c r="A1136" t="s">
        <v>7751</v>
      </c>
      <c r="B1136" t="s">
        <v>7737</v>
      </c>
      <c r="C1136" t="s">
        <v>6473</v>
      </c>
      <c r="D1136" t="s">
        <v>1027</v>
      </c>
      <c r="E1136">
        <v>33419</v>
      </c>
      <c r="F1136" t="s">
        <v>6474</v>
      </c>
      <c r="G1136" t="b">
        <v>0</v>
      </c>
      <c r="H1136" t="b">
        <v>0</v>
      </c>
      <c r="I1136" t="s">
        <v>1051</v>
      </c>
      <c r="J1136">
        <v>78</v>
      </c>
      <c r="K1136" t="s">
        <v>0</v>
      </c>
      <c r="L1136" t="s">
        <v>3000</v>
      </c>
      <c r="M1136" t="s">
        <v>1548</v>
      </c>
      <c r="N1136" t="s">
        <v>1548</v>
      </c>
      <c r="O1136" t="s">
        <v>1548</v>
      </c>
      <c r="P1136" s="36" t="s">
        <v>6448</v>
      </c>
    </row>
    <row r="1137" spans="1:16" ht="409.5" x14ac:dyDescent="0.25">
      <c r="A1137" t="s">
        <v>7752</v>
      </c>
      <c r="B1137" t="s">
        <v>7737</v>
      </c>
      <c r="C1137" t="s">
        <v>6473</v>
      </c>
      <c r="D1137" t="s">
        <v>1027</v>
      </c>
      <c r="E1137">
        <v>33419</v>
      </c>
      <c r="F1137" t="s">
        <v>6474</v>
      </c>
      <c r="G1137" t="b">
        <v>0</v>
      </c>
      <c r="H1137" t="b">
        <v>0</v>
      </c>
      <c r="I1137" t="s">
        <v>1051</v>
      </c>
      <c r="J1137">
        <v>78</v>
      </c>
      <c r="K1137" t="s">
        <v>0</v>
      </c>
      <c r="L1137" t="s">
        <v>3000</v>
      </c>
      <c r="M1137" t="s">
        <v>1548</v>
      </c>
      <c r="N1137" t="s">
        <v>1548</v>
      </c>
      <c r="O1137" t="s">
        <v>1548</v>
      </c>
      <c r="P1137" s="36" t="s">
        <v>6448</v>
      </c>
    </row>
    <row r="1138" spans="1:16" ht="409.5" x14ac:dyDescent="0.25">
      <c r="A1138" t="s">
        <v>7753</v>
      </c>
      <c r="B1138" t="s">
        <v>7754</v>
      </c>
      <c r="C1138" t="s">
        <v>6473</v>
      </c>
      <c r="D1138" t="s">
        <v>1027</v>
      </c>
      <c r="E1138">
        <v>33419</v>
      </c>
      <c r="F1138" t="s">
        <v>6474</v>
      </c>
      <c r="G1138" t="b">
        <v>0</v>
      </c>
      <c r="H1138" t="b">
        <v>0</v>
      </c>
      <c r="I1138" t="s">
        <v>1051</v>
      </c>
      <c r="J1138">
        <v>78</v>
      </c>
      <c r="K1138" t="s">
        <v>0</v>
      </c>
      <c r="L1138" t="s">
        <v>3000</v>
      </c>
      <c r="M1138" t="s">
        <v>1548</v>
      </c>
      <c r="N1138" t="s">
        <v>1548</v>
      </c>
      <c r="O1138" t="s">
        <v>1548</v>
      </c>
      <c r="P1138" s="36" t="s">
        <v>6448</v>
      </c>
    </row>
    <row r="1139" spans="1:16" ht="409.5" x14ac:dyDescent="0.25">
      <c r="A1139" t="s">
        <v>7755</v>
      </c>
      <c r="B1139" t="s">
        <v>7754</v>
      </c>
      <c r="C1139" t="s">
        <v>6473</v>
      </c>
      <c r="D1139" t="s">
        <v>1027</v>
      </c>
      <c r="E1139">
        <v>33419</v>
      </c>
      <c r="F1139" t="s">
        <v>6474</v>
      </c>
      <c r="G1139" t="b">
        <v>0</v>
      </c>
      <c r="H1139" t="b">
        <v>0</v>
      </c>
      <c r="I1139" t="s">
        <v>1051</v>
      </c>
      <c r="J1139">
        <v>78</v>
      </c>
      <c r="K1139" t="s">
        <v>0</v>
      </c>
      <c r="L1139" t="s">
        <v>3000</v>
      </c>
      <c r="M1139" t="s">
        <v>1548</v>
      </c>
      <c r="N1139" t="s">
        <v>1548</v>
      </c>
      <c r="O1139" t="s">
        <v>1548</v>
      </c>
      <c r="P1139" s="36" t="s">
        <v>6448</v>
      </c>
    </row>
    <row r="1140" spans="1:16" ht="409.5" x14ac:dyDescent="0.25">
      <c r="A1140" t="s">
        <v>7756</v>
      </c>
      <c r="B1140" t="s">
        <v>7754</v>
      </c>
      <c r="C1140" t="s">
        <v>6473</v>
      </c>
      <c r="D1140" t="s">
        <v>1027</v>
      </c>
      <c r="E1140">
        <v>33419</v>
      </c>
      <c r="F1140" t="s">
        <v>6474</v>
      </c>
      <c r="G1140" t="b">
        <v>0</v>
      </c>
      <c r="H1140" t="b">
        <v>0</v>
      </c>
      <c r="I1140" t="s">
        <v>1051</v>
      </c>
      <c r="J1140">
        <v>78</v>
      </c>
      <c r="K1140" t="s">
        <v>0</v>
      </c>
      <c r="L1140" t="s">
        <v>3000</v>
      </c>
      <c r="M1140" t="s">
        <v>1548</v>
      </c>
      <c r="N1140" t="s">
        <v>1548</v>
      </c>
      <c r="O1140" t="s">
        <v>1548</v>
      </c>
      <c r="P1140" s="36" t="s">
        <v>6448</v>
      </c>
    </row>
    <row r="1141" spans="1:16" x14ac:dyDescent="0.25">
      <c r="A1141" t="s">
        <v>7757</v>
      </c>
      <c r="B1141" t="s">
        <v>7758</v>
      </c>
      <c r="C1141" t="s">
        <v>1335</v>
      </c>
      <c r="D1141" t="s">
        <v>1027</v>
      </c>
      <c r="E1141">
        <v>1459</v>
      </c>
      <c r="F1141" t="s">
        <v>1336</v>
      </c>
      <c r="G1141" t="b">
        <v>0</v>
      </c>
      <c r="H1141" t="b">
        <v>0</v>
      </c>
      <c r="I1141" t="s">
        <v>1051</v>
      </c>
      <c r="J1141">
        <v>78</v>
      </c>
      <c r="K1141" t="s">
        <v>2</v>
      </c>
      <c r="L1141" t="s">
        <v>1549</v>
      </c>
      <c r="M1141" t="s">
        <v>3922</v>
      </c>
      <c r="N1141" t="s">
        <v>3922</v>
      </c>
      <c r="O1141" t="s">
        <v>3922</v>
      </c>
      <c r="P1141" t="s">
        <v>1682</v>
      </c>
    </row>
    <row r="1142" spans="1:16" x14ac:dyDescent="0.25">
      <c r="A1142" t="s">
        <v>7759</v>
      </c>
      <c r="B1142" t="s">
        <v>7758</v>
      </c>
      <c r="C1142" t="s">
        <v>1335</v>
      </c>
      <c r="D1142" t="s">
        <v>1027</v>
      </c>
      <c r="E1142">
        <v>1459</v>
      </c>
      <c r="F1142" t="s">
        <v>1336</v>
      </c>
      <c r="G1142" t="b">
        <v>0</v>
      </c>
      <c r="H1142" t="b">
        <v>0</v>
      </c>
      <c r="I1142" t="s">
        <v>1051</v>
      </c>
      <c r="J1142">
        <v>78</v>
      </c>
      <c r="K1142" t="s">
        <v>2</v>
      </c>
      <c r="L1142" t="s">
        <v>1549</v>
      </c>
      <c r="M1142" t="s">
        <v>3922</v>
      </c>
      <c r="N1142" t="s">
        <v>3922</v>
      </c>
      <c r="O1142" t="s">
        <v>3922</v>
      </c>
      <c r="P1142" t="s">
        <v>1682</v>
      </c>
    </row>
    <row r="1143" spans="1:16" x14ac:dyDescent="0.25">
      <c r="A1143" t="s">
        <v>7760</v>
      </c>
      <c r="B1143" t="s">
        <v>7758</v>
      </c>
      <c r="C1143" t="s">
        <v>1335</v>
      </c>
      <c r="D1143" t="s">
        <v>1027</v>
      </c>
      <c r="E1143">
        <v>1459</v>
      </c>
      <c r="F1143" t="s">
        <v>1336</v>
      </c>
      <c r="G1143" t="b">
        <v>0</v>
      </c>
      <c r="H1143" t="b">
        <v>0</v>
      </c>
      <c r="I1143" t="s">
        <v>1051</v>
      </c>
      <c r="J1143">
        <v>78</v>
      </c>
      <c r="K1143" t="s">
        <v>2</v>
      </c>
      <c r="L1143" t="s">
        <v>1549</v>
      </c>
      <c r="M1143" t="s">
        <v>3922</v>
      </c>
      <c r="N1143" t="s">
        <v>3922</v>
      </c>
      <c r="O1143" t="s">
        <v>3922</v>
      </c>
      <c r="P1143" t="s">
        <v>1682</v>
      </c>
    </row>
    <row r="1144" spans="1:16" ht="409.5" x14ac:dyDescent="0.25">
      <c r="A1144" t="s">
        <v>7761</v>
      </c>
      <c r="B1144" t="s">
        <v>7762</v>
      </c>
      <c r="C1144" t="s">
        <v>6473</v>
      </c>
      <c r="D1144" t="s">
        <v>1027</v>
      </c>
      <c r="E1144">
        <v>33419</v>
      </c>
      <c r="F1144" t="s">
        <v>6447</v>
      </c>
      <c r="G1144" t="b">
        <v>0</v>
      </c>
      <c r="H1144" t="b">
        <v>0</v>
      </c>
      <c r="I1144" t="s">
        <v>1051</v>
      </c>
      <c r="J1144">
        <v>87</v>
      </c>
      <c r="K1144" t="s">
        <v>0</v>
      </c>
      <c r="L1144" t="s">
        <v>3000</v>
      </c>
      <c r="M1144" t="s">
        <v>1548</v>
      </c>
      <c r="N1144" t="s">
        <v>1548</v>
      </c>
      <c r="O1144" t="s">
        <v>1548</v>
      </c>
      <c r="P1144" s="36" t="s">
        <v>6448</v>
      </c>
    </row>
    <row r="1145" spans="1:16" ht="409.5" x14ac:dyDescent="0.25">
      <c r="A1145" t="s">
        <v>7763</v>
      </c>
      <c r="B1145" t="s">
        <v>7762</v>
      </c>
      <c r="C1145" t="s">
        <v>6473</v>
      </c>
      <c r="D1145" t="s">
        <v>1027</v>
      </c>
      <c r="E1145">
        <v>33419</v>
      </c>
      <c r="F1145" t="s">
        <v>6447</v>
      </c>
      <c r="G1145" t="b">
        <v>0</v>
      </c>
      <c r="H1145" t="b">
        <v>0</v>
      </c>
      <c r="I1145" t="s">
        <v>1051</v>
      </c>
      <c r="J1145">
        <v>87</v>
      </c>
      <c r="K1145" t="s">
        <v>0</v>
      </c>
      <c r="L1145" t="s">
        <v>3000</v>
      </c>
      <c r="M1145" t="s">
        <v>1548</v>
      </c>
      <c r="N1145" t="s">
        <v>1548</v>
      </c>
      <c r="O1145" t="s">
        <v>1548</v>
      </c>
      <c r="P1145" s="36" t="s">
        <v>6448</v>
      </c>
    </row>
    <row r="1146" spans="1:16" ht="409.5" x14ac:dyDescent="0.25">
      <c r="A1146" t="s">
        <v>7764</v>
      </c>
      <c r="B1146" t="s">
        <v>7765</v>
      </c>
      <c r="C1146" t="s">
        <v>7622</v>
      </c>
      <c r="D1146" t="s">
        <v>1027</v>
      </c>
      <c r="G1146" t="b">
        <v>0</v>
      </c>
      <c r="H1146" t="b">
        <v>0</v>
      </c>
      <c r="I1146" t="s">
        <v>1051</v>
      </c>
      <c r="J1146">
        <v>78</v>
      </c>
      <c r="K1146" t="s">
        <v>0</v>
      </c>
      <c r="L1146" t="s">
        <v>3000</v>
      </c>
      <c r="M1146" t="s">
        <v>1548</v>
      </c>
      <c r="N1146" t="s">
        <v>1548</v>
      </c>
      <c r="O1146" t="s">
        <v>3922</v>
      </c>
      <c r="P1146" s="36" t="s">
        <v>7623</v>
      </c>
    </row>
    <row r="1147" spans="1:16" ht="409.5" x14ac:dyDescent="0.25">
      <c r="A1147" t="s">
        <v>7766</v>
      </c>
      <c r="B1147" t="s">
        <v>7767</v>
      </c>
      <c r="C1147" t="s">
        <v>6473</v>
      </c>
      <c r="D1147" t="s">
        <v>1027</v>
      </c>
      <c r="E1147">
        <v>33419</v>
      </c>
      <c r="F1147" t="s">
        <v>6474</v>
      </c>
      <c r="G1147" t="b">
        <v>0</v>
      </c>
      <c r="H1147" t="b">
        <v>0</v>
      </c>
      <c r="I1147" t="s">
        <v>1051</v>
      </c>
      <c r="J1147">
        <v>78</v>
      </c>
      <c r="K1147" t="s">
        <v>0</v>
      </c>
      <c r="L1147" t="s">
        <v>3000</v>
      </c>
      <c r="M1147" t="s">
        <v>1548</v>
      </c>
      <c r="N1147" t="s">
        <v>1548</v>
      </c>
      <c r="O1147" t="s">
        <v>1548</v>
      </c>
      <c r="P1147" s="36" t="s">
        <v>6448</v>
      </c>
    </row>
    <row r="1148" spans="1:16" ht="409.5" x14ac:dyDescent="0.25">
      <c r="A1148" t="s">
        <v>7768</v>
      </c>
      <c r="B1148" t="s">
        <v>7767</v>
      </c>
      <c r="C1148" t="s">
        <v>6473</v>
      </c>
      <c r="D1148" t="s">
        <v>1027</v>
      </c>
      <c r="E1148">
        <v>33419</v>
      </c>
      <c r="F1148" t="s">
        <v>6474</v>
      </c>
      <c r="G1148" t="b">
        <v>0</v>
      </c>
      <c r="H1148" t="b">
        <v>0</v>
      </c>
      <c r="I1148" t="s">
        <v>1051</v>
      </c>
      <c r="J1148">
        <v>78</v>
      </c>
      <c r="K1148" t="s">
        <v>0</v>
      </c>
      <c r="L1148" t="s">
        <v>3000</v>
      </c>
      <c r="M1148" t="s">
        <v>1548</v>
      </c>
      <c r="N1148" t="s">
        <v>1548</v>
      </c>
      <c r="O1148" t="s">
        <v>1548</v>
      </c>
      <c r="P1148" s="36" t="s">
        <v>6448</v>
      </c>
    </row>
    <row r="1149" spans="1:16" ht="409.5" x14ac:dyDescent="0.25">
      <c r="A1149" t="s">
        <v>7769</v>
      </c>
      <c r="B1149" t="s">
        <v>7767</v>
      </c>
      <c r="C1149" t="s">
        <v>6473</v>
      </c>
      <c r="D1149" t="s">
        <v>1027</v>
      </c>
      <c r="E1149">
        <v>33419</v>
      </c>
      <c r="F1149" t="s">
        <v>6474</v>
      </c>
      <c r="G1149" t="b">
        <v>0</v>
      </c>
      <c r="H1149" t="b">
        <v>0</v>
      </c>
      <c r="I1149" t="s">
        <v>1051</v>
      </c>
      <c r="J1149">
        <v>78</v>
      </c>
      <c r="K1149" t="s">
        <v>0</v>
      </c>
      <c r="L1149" t="s">
        <v>3000</v>
      </c>
      <c r="M1149" t="s">
        <v>1548</v>
      </c>
      <c r="N1149" t="s">
        <v>1548</v>
      </c>
      <c r="O1149" t="s">
        <v>1548</v>
      </c>
      <c r="P1149" s="36" t="s">
        <v>6448</v>
      </c>
    </row>
    <row r="1150" spans="1:16" ht="409.5" x14ac:dyDescent="0.25">
      <c r="A1150" t="s">
        <v>7770</v>
      </c>
      <c r="B1150" t="s">
        <v>7767</v>
      </c>
      <c r="C1150" t="s">
        <v>6473</v>
      </c>
      <c r="D1150" t="s">
        <v>1027</v>
      </c>
      <c r="E1150">
        <v>33419</v>
      </c>
      <c r="F1150" t="s">
        <v>6474</v>
      </c>
      <c r="G1150" t="b">
        <v>0</v>
      </c>
      <c r="H1150" t="b">
        <v>0</v>
      </c>
      <c r="I1150" t="s">
        <v>1051</v>
      </c>
      <c r="J1150">
        <v>78</v>
      </c>
      <c r="K1150" t="s">
        <v>0</v>
      </c>
      <c r="L1150" t="s">
        <v>3000</v>
      </c>
      <c r="M1150" t="s">
        <v>1548</v>
      </c>
      <c r="N1150" t="s">
        <v>1548</v>
      </c>
      <c r="O1150" t="s">
        <v>1548</v>
      </c>
      <c r="P1150" s="36" t="s">
        <v>6448</v>
      </c>
    </row>
    <row r="1151" spans="1:16" ht="409.5" x14ac:dyDescent="0.25">
      <c r="A1151" t="s">
        <v>7771</v>
      </c>
      <c r="B1151" t="s">
        <v>7767</v>
      </c>
      <c r="C1151" t="s">
        <v>6473</v>
      </c>
      <c r="D1151" t="s">
        <v>1027</v>
      </c>
      <c r="E1151">
        <v>33419</v>
      </c>
      <c r="F1151" t="s">
        <v>6474</v>
      </c>
      <c r="G1151" t="b">
        <v>0</v>
      </c>
      <c r="H1151" t="b">
        <v>0</v>
      </c>
      <c r="I1151" t="s">
        <v>1051</v>
      </c>
      <c r="J1151">
        <v>78</v>
      </c>
      <c r="K1151" t="s">
        <v>0</v>
      </c>
      <c r="L1151" t="s">
        <v>3000</v>
      </c>
      <c r="M1151" t="s">
        <v>1548</v>
      </c>
      <c r="N1151" t="s">
        <v>1548</v>
      </c>
      <c r="O1151" t="s">
        <v>1548</v>
      </c>
      <c r="P1151" s="36" t="s">
        <v>6448</v>
      </c>
    </row>
    <row r="1152" spans="1:16" ht="409.5" x14ac:dyDescent="0.25">
      <c r="A1152" t="s">
        <v>7772</v>
      </c>
      <c r="B1152" t="s">
        <v>7767</v>
      </c>
      <c r="C1152" t="s">
        <v>6473</v>
      </c>
      <c r="D1152" t="s">
        <v>1027</v>
      </c>
      <c r="E1152">
        <v>33419</v>
      </c>
      <c r="F1152" t="s">
        <v>6474</v>
      </c>
      <c r="G1152" t="b">
        <v>0</v>
      </c>
      <c r="H1152" t="b">
        <v>0</v>
      </c>
      <c r="I1152" t="s">
        <v>1051</v>
      </c>
      <c r="J1152">
        <v>78</v>
      </c>
      <c r="K1152" t="s">
        <v>0</v>
      </c>
      <c r="L1152" t="s">
        <v>3000</v>
      </c>
      <c r="M1152" t="s">
        <v>1548</v>
      </c>
      <c r="N1152" t="s">
        <v>1548</v>
      </c>
      <c r="O1152" t="s">
        <v>1548</v>
      </c>
      <c r="P1152" s="36" t="s">
        <v>6448</v>
      </c>
    </row>
    <row r="1153" spans="1:16" ht="409.5" x14ac:dyDescent="0.25">
      <c r="A1153" t="s">
        <v>7773</v>
      </c>
      <c r="B1153" t="s">
        <v>7767</v>
      </c>
      <c r="C1153" t="s">
        <v>6473</v>
      </c>
      <c r="D1153" t="s">
        <v>1027</v>
      </c>
      <c r="E1153">
        <v>33419</v>
      </c>
      <c r="F1153" t="s">
        <v>6474</v>
      </c>
      <c r="G1153" t="b">
        <v>0</v>
      </c>
      <c r="H1153" t="b">
        <v>0</v>
      </c>
      <c r="I1153" t="s">
        <v>1051</v>
      </c>
      <c r="J1153">
        <v>78</v>
      </c>
      <c r="K1153" t="s">
        <v>0</v>
      </c>
      <c r="L1153" t="s">
        <v>3000</v>
      </c>
      <c r="M1153" t="s">
        <v>1548</v>
      </c>
      <c r="N1153" t="s">
        <v>1548</v>
      </c>
      <c r="O1153" t="s">
        <v>1548</v>
      </c>
      <c r="P1153" s="36" t="s">
        <v>6448</v>
      </c>
    </row>
    <row r="1154" spans="1:16" ht="409.5" x14ac:dyDescent="0.25">
      <c r="A1154" t="s">
        <v>7774</v>
      </c>
      <c r="B1154" t="s">
        <v>7767</v>
      </c>
      <c r="C1154" t="s">
        <v>6473</v>
      </c>
      <c r="D1154" t="s">
        <v>1027</v>
      </c>
      <c r="E1154">
        <v>33419</v>
      </c>
      <c r="F1154" t="s">
        <v>6474</v>
      </c>
      <c r="G1154" t="b">
        <v>0</v>
      </c>
      <c r="H1154" t="b">
        <v>0</v>
      </c>
      <c r="I1154" t="s">
        <v>1051</v>
      </c>
      <c r="J1154">
        <v>78</v>
      </c>
      <c r="K1154" t="s">
        <v>0</v>
      </c>
      <c r="L1154" t="s">
        <v>3000</v>
      </c>
      <c r="M1154" t="s">
        <v>1548</v>
      </c>
      <c r="N1154" t="s">
        <v>1548</v>
      </c>
      <c r="O1154" t="s">
        <v>1548</v>
      </c>
      <c r="P1154" s="36" t="s">
        <v>6448</v>
      </c>
    </row>
    <row r="1155" spans="1:16" ht="409.5" x14ac:dyDescent="0.25">
      <c r="A1155" t="s">
        <v>7775</v>
      </c>
      <c r="B1155" t="s">
        <v>7767</v>
      </c>
      <c r="C1155" t="s">
        <v>6473</v>
      </c>
      <c r="D1155" t="s">
        <v>1027</v>
      </c>
      <c r="E1155">
        <v>33419</v>
      </c>
      <c r="F1155" t="s">
        <v>6474</v>
      </c>
      <c r="G1155" t="b">
        <v>0</v>
      </c>
      <c r="H1155" t="b">
        <v>0</v>
      </c>
      <c r="I1155" t="s">
        <v>1051</v>
      </c>
      <c r="J1155">
        <v>78</v>
      </c>
      <c r="K1155" t="s">
        <v>0</v>
      </c>
      <c r="L1155" t="s">
        <v>3000</v>
      </c>
      <c r="M1155" t="s">
        <v>1548</v>
      </c>
      <c r="N1155" t="s">
        <v>1548</v>
      </c>
      <c r="O1155" t="s">
        <v>1548</v>
      </c>
      <c r="P1155" s="36" t="s">
        <v>6448</v>
      </c>
    </row>
    <row r="1156" spans="1:16" ht="409.5" x14ac:dyDescent="0.25">
      <c r="A1156" t="s">
        <v>7776</v>
      </c>
      <c r="B1156" t="s">
        <v>7767</v>
      </c>
      <c r="C1156" t="s">
        <v>6473</v>
      </c>
      <c r="D1156" t="s">
        <v>1027</v>
      </c>
      <c r="E1156">
        <v>33419</v>
      </c>
      <c r="F1156" t="s">
        <v>6474</v>
      </c>
      <c r="G1156" t="b">
        <v>0</v>
      </c>
      <c r="H1156" t="b">
        <v>0</v>
      </c>
      <c r="I1156" t="s">
        <v>1051</v>
      </c>
      <c r="J1156">
        <v>78</v>
      </c>
      <c r="K1156" t="s">
        <v>0</v>
      </c>
      <c r="L1156" t="s">
        <v>3000</v>
      </c>
      <c r="M1156" t="s">
        <v>1548</v>
      </c>
      <c r="N1156" t="s">
        <v>1548</v>
      </c>
      <c r="O1156" t="s">
        <v>1548</v>
      </c>
      <c r="P1156" s="36" t="s">
        <v>6448</v>
      </c>
    </row>
    <row r="1157" spans="1:16" ht="409.5" x14ac:dyDescent="0.25">
      <c r="A1157" t="s">
        <v>7777</v>
      </c>
      <c r="B1157" t="s">
        <v>7767</v>
      </c>
      <c r="C1157" t="s">
        <v>6473</v>
      </c>
      <c r="D1157" t="s">
        <v>1027</v>
      </c>
      <c r="E1157">
        <v>33419</v>
      </c>
      <c r="F1157" t="s">
        <v>6474</v>
      </c>
      <c r="G1157" t="b">
        <v>0</v>
      </c>
      <c r="H1157" t="b">
        <v>0</v>
      </c>
      <c r="I1157" t="s">
        <v>1051</v>
      </c>
      <c r="J1157">
        <v>78</v>
      </c>
      <c r="K1157" t="s">
        <v>0</v>
      </c>
      <c r="L1157" t="s">
        <v>3000</v>
      </c>
      <c r="M1157" t="s">
        <v>1548</v>
      </c>
      <c r="N1157" t="s">
        <v>1548</v>
      </c>
      <c r="O1157" t="s">
        <v>1548</v>
      </c>
      <c r="P1157" s="36" t="s">
        <v>6448</v>
      </c>
    </row>
    <row r="1158" spans="1:16" ht="409.5" x14ac:dyDescent="0.25">
      <c r="A1158" t="s">
        <v>7778</v>
      </c>
      <c r="B1158" t="s">
        <v>7767</v>
      </c>
      <c r="C1158" t="s">
        <v>6473</v>
      </c>
      <c r="D1158" t="s">
        <v>1027</v>
      </c>
      <c r="E1158">
        <v>33419</v>
      </c>
      <c r="F1158" t="s">
        <v>6474</v>
      </c>
      <c r="G1158" t="b">
        <v>0</v>
      </c>
      <c r="H1158" t="b">
        <v>0</v>
      </c>
      <c r="I1158" t="s">
        <v>1051</v>
      </c>
      <c r="J1158">
        <v>78</v>
      </c>
      <c r="K1158" t="s">
        <v>0</v>
      </c>
      <c r="L1158" t="s">
        <v>3000</v>
      </c>
      <c r="M1158" t="s">
        <v>1548</v>
      </c>
      <c r="N1158" t="s">
        <v>1548</v>
      </c>
      <c r="O1158" t="s">
        <v>1548</v>
      </c>
      <c r="P1158" s="36" t="s">
        <v>6448</v>
      </c>
    </row>
    <row r="1159" spans="1:16" ht="409.5" x14ac:dyDescent="0.25">
      <c r="A1159" t="s">
        <v>7779</v>
      </c>
      <c r="B1159" t="s">
        <v>7767</v>
      </c>
      <c r="C1159" t="s">
        <v>6473</v>
      </c>
      <c r="D1159" t="s">
        <v>1027</v>
      </c>
      <c r="E1159">
        <v>33419</v>
      </c>
      <c r="F1159" t="s">
        <v>6474</v>
      </c>
      <c r="G1159" t="b">
        <v>0</v>
      </c>
      <c r="H1159" t="b">
        <v>0</v>
      </c>
      <c r="I1159" t="s">
        <v>1051</v>
      </c>
      <c r="J1159">
        <v>78</v>
      </c>
      <c r="K1159" t="s">
        <v>0</v>
      </c>
      <c r="L1159" t="s">
        <v>3000</v>
      </c>
      <c r="M1159" t="s">
        <v>1548</v>
      </c>
      <c r="N1159" t="s">
        <v>1548</v>
      </c>
      <c r="O1159" t="s">
        <v>1548</v>
      </c>
      <c r="P1159" s="36" t="s">
        <v>6448</v>
      </c>
    </row>
    <row r="1160" spans="1:16" ht="409.5" x14ac:dyDescent="0.25">
      <c r="A1160" t="s">
        <v>7780</v>
      </c>
      <c r="B1160" t="s">
        <v>7781</v>
      </c>
      <c r="C1160" t="s">
        <v>6473</v>
      </c>
      <c r="D1160" t="s">
        <v>1027</v>
      </c>
      <c r="E1160">
        <v>33419</v>
      </c>
      <c r="F1160" t="s">
        <v>6474</v>
      </c>
      <c r="G1160" t="b">
        <v>0</v>
      </c>
      <c r="H1160" t="b">
        <v>0</v>
      </c>
      <c r="I1160" t="s">
        <v>1051</v>
      </c>
      <c r="J1160">
        <v>78</v>
      </c>
      <c r="K1160" t="s">
        <v>0</v>
      </c>
      <c r="L1160" t="s">
        <v>3000</v>
      </c>
      <c r="M1160" t="s">
        <v>1548</v>
      </c>
      <c r="N1160" t="s">
        <v>1548</v>
      </c>
      <c r="O1160" t="s">
        <v>1548</v>
      </c>
      <c r="P1160" s="36" t="s">
        <v>6448</v>
      </c>
    </row>
    <row r="1161" spans="1:16" ht="409.5" x14ac:dyDescent="0.25">
      <c r="A1161" t="s">
        <v>7782</v>
      </c>
      <c r="B1161" t="s">
        <v>7781</v>
      </c>
      <c r="C1161" t="s">
        <v>6473</v>
      </c>
      <c r="D1161" t="s">
        <v>1027</v>
      </c>
      <c r="E1161">
        <v>33419</v>
      </c>
      <c r="F1161" t="s">
        <v>6474</v>
      </c>
      <c r="G1161" t="b">
        <v>0</v>
      </c>
      <c r="H1161" t="b">
        <v>0</v>
      </c>
      <c r="I1161" t="s">
        <v>1051</v>
      </c>
      <c r="J1161">
        <v>78</v>
      </c>
      <c r="K1161" t="s">
        <v>0</v>
      </c>
      <c r="L1161" t="s">
        <v>3000</v>
      </c>
      <c r="M1161" t="s">
        <v>1548</v>
      </c>
      <c r="N1161" t="s">
        <v>1548</v>
      </c>
      <c r="O1161" t="s">
        <v>1548</v>
      </c>
      <c r="P1161" s="36" t="s">
        <v>6448</v>
      </c>
    </row>
    <row r="1162" spans="1:16" ht="409.5" x14ac:dyDescent="0.25">
      <c r="A1162" t="s">
        <v>7783</v>
      </c>
      <c r="B1162" t="s">
        <v>7781</v>
      </c>
      <c r="C1162" t="s">
        <v>6473</v>
      </c>
      <c r="D1162" t="s">
        <v>1027</v>
      </c>
      <c r="E1162">
        <v>33419</v>
      </c>
      <c r="F1162" t="s">
        <v>6474</v>
      </c>
      <c r="G1162" t="b">
        <v>0</v>
      </c>
      <c r="H1162" t="b">
        <v>0</v>
      </c>
      <c r="I1162" t="s">
        <v>1051</v>
      </c>
      <c r="J1162">
        <v>78</v>
      </c>
      <c r="K1162" t="s">
        <v>0</v>
      </c>
      <c r="L1162" t="s">
        <v>3000</v>
      </c>
      <c r="M1162" t="s">
        <v>1548</v>
      </c>
      <c r="N1162" t="s">
        <v>1548</v>
      </c>
      <c r="O1162" t="s">
        <v>1548</v>
      </c>
      <c r="P1162" s="36" t="s">
        <v>6448</v>
      </c>
    </row>
    <row r="1163" spans="1:16" ht="409.5" x14ac:dyDescent="0.25">
      <c r="A1163" t="s">
        <v>7784</v>
      </c>
      <c r="B1163" t="s">
        <v>7781</v>
      </c>
      <c r="C1163" t="s">
        <v>6473</v>
      </c>
      <c r="D1163" t="s">
        <v>1027</v>
      </c>
      <c r="E1163">
        <v>33419</v>
      </c>
      <c r="F1163" t="s">
        <v>6474</v>
      </c>
      <c r="G1163" t="b">
        <v>0</v>
      </c>
      <c r="H1163" t="b">
        <v>0</v>
      </c>
      <c r="I1163" t="s">
        <v>1051</v>
      </c>
      <c r="J1163">
        <v>78</v>
      </c>
      <c r="K1163" t="s">
        <v>0</v>
      </c>
      <c r="L1163" t="s">
        <v>3000</v>
      </c>
      <c r="M1163" t="s">
        <v>1548</v>
      </c>
      <c r="N1163" t="s">
        <v>1548</v>
      </c>
      <c r="O1163" t="s">
        <v>1548</v>
      </c>
      <c r="P1163" s="36" t="s">
        <v>6448</v>
      </c>
    </row>
    <row r="1164" spans="1:16" ht="409.5" x14ac:dyDescent="0.25">
      <c r="A1164" t="s">
        <v>7785</v>
      </c>
      <c r="B1164" t="s">
        <v>7781</v>
      </c>
      <c r="C1164" t="s">
        <v>6473</v>
      </c>
      <c r="D1164" t="s">
        <v>1027</v>
      </c>
      <c r="E1164">
        <v>33419</v>
      </c>
      <c r="F1164" t="s">
        <v>6474</v>
      </c>
      <c r="G1164" t="b">
        <v>0</v>
      </c>
      <c r="H1164" t="b">
        <v>0</v>
      </c>
      <c r="I1164" t="s">
        <v>1051</v>
      </c>
      <c r="J1164">
        <v>78</v>
      </c>
      <c r="K1164" t="s">
        <v>0</v>
      </c>
      <c r="L1164" t="s">
        <v>3000</v>
      </c>
      <c r="M1164" t="s">
        <v>1548</v>
      </c>
      <c r="N1164" t="s">
        <v>1548</v>
      </c>
      <c r="O1164" t="s">
        <v>1548</v>
      </c>
      <c r="P1164" s="36" t="s">
        <v>6448</v>
      </c>
    </row>
    <row r="1165" spans="1:16" ht="409.5" x14ac:dyDescent="0.25">
      <c r="A1165" t="s">
        <v>7786</v>
      </c>
      <c r="B1165" t="s">
        <v>7781</v>
      </c>
      <c r="C1165" t="s">
        <v>6473</v>
      </c>
      <c r="D1165" t="s">
        <v>1027</v>
      </c>
      <c r="E1165">
        <v>33419</v>
      </c>
      <c r="F1165" t="s">
        <v>6474</v>
      </c>
      <c r="G1165" t="b">
        <v>0</v>
      </c>
      <c r="H1165" t="b">
        <v>0</v>
      </c>
      <c r="I1165" t="s">
        <v>1051</v>
      </c>
      <c r="J1165">
        <v>78</v>
      </c>
      <c r="K1165" t="s">
        <v>0</v>
      </c>
      <c r="L1165" t="s">
        <v>3000</v>
      </c>
      <c r="M1165" t="s">
        <v>1548</v>
      </c>
      <c r="N1165" t="s">
        <v>1548</v>
      </c>
      <c r="O1165" t="s">
        <v>1548</v>
      </c>
      <c r="P1165" s="36" t="s">
        <v>6448</v>
      </c>
    </row>
    <row r="1166" spans="1:16" ht="409.5" x14ac:dyDescent="0.25">
      <c r="A1166" t="s">
        <v>7787</v>
      </c>
      <c r="B1166" t="s">
        <v>7781</v>
      </c>
      <c r="C1166" t="s">
        <v>6473</v>
      </c>
      <c r="D1166" t="s">
        <v>1027</v>
      </c>
      <c r="E1166">
        <v>33419</v>
      </c>
      <c r="F1166" t="s">
        <v>6474</v>
      </c>
      <c r="G1166" t="b">
        <v>0</v>
      </c>
      <c r="H1166" t="b">
        <v>0</v>
      </c>
      <c r="I1166" t="s">
        <v>1051</v>
      </c>
      <c r="J1166">
        <v>78</v>
      </c>
      <c r="K1166" t="s">
        <v>0</v>
      </c>
      <c r="L1166" t="s">
        <v>3000</v>
      </c>
      <c r="M1166" t="s">
        <v>1548</v>
      </c>
      <c r="N1166" t="s">
        <v>1548</v>
      </c>
      <c r="O1166" t="s">
        <v>1548</v>
      </c>
      <c r="P1166" s="36" t="s">
        <v>6448</v>
      </c>
    </row>
    <row r="1167" spans="1:16" ht="409.5" x14ac:dyDescent="0.25">
      <c r="A1167" t="s">
        <v>7788</v>
      </c>
      <c r="B1167" t="s">
        <v>7789</v>
      </c>
      <c r="C1167" t="s">
        <v>6473</v>
      </c>
      <c r="D1167" t="s">
        <v>1027</v>
      </c>
      <c r="E1167">
        <v>33419</v>
      </c>
      <c r="F1167" t="s">
        <v>6474</v>
      </c>
      <c r="G1167" t="b">
        <v>0</v>
      </c>
      <c r="H1167" t="b">
        <v>0</v>
      </c>
      <c r="I1167" t="s">
        <v>1051</v>
      </c>
      <c r="J1167">
        <v>78</v>
      </c>
      <c r="K1167" t="s">
        <v>0</v>
      </c>
      <c r="L1167" t="s">
        <v>3000</v>
      </c>
      <c r="M1167" t="s">
        <v>1548</v>
      </c>
      <c r="N1167" t="s">
        <v>1548</v>
      </c>
      <c r="O1167" t="s">
        <v>1548</v>
      </c>
      <c r="P1167" s="36" t="s">
        <v>6448</v>
      </c>
    </row>
    <row r="1168" spans="1:16" ht="409.5" x14ac:dyDescent="0.25">
      <c r="A1168" t="s">
        <v>7790</v>
      </c>
      <c r="B1168" t="s">
        <v>7789</v>
      </c>
      <c r="C1168" t="s">
        <v>6473</v>
      </c>
      <c r="D1168" t="s">
        <v>1027</v>
      </c>
      <c r="E1168">
        <v>33419</v>
      </c>
      <c r="F1168" t="s">
        <v>6474</v>
      </c>
      <c r="G1168" t="b">
        <v>0</v>
      </c>
      <c r="H1168" t="b">
        <v>0</v>
      </c>
      <c r="I1168" t="s">
        <v>1051</v>
      </c>
      <c r="J1168">
        <v>78</v>
      </c>
      <c r="K1168" t="s">
        <v>0</v>
      </c>
      <c r="L1168" t="s">
        <v>3000</v>
      </c>
      <c r="M1168" t="s">
        <v>1548</v>
      </c>
      <c r="N1168" t="s">
        <v>1548</v>
      </c>
      <c r="O1168" t="s">
        <v>1548</v>
      </c>
      <c r="P1168" s="36" t="s">
        <v>6448</v>
      </c>
    </row>
    <row r="1169" spans="1:16" ht="409.5" x14ac:dyDescent="0.25">
      <c r="A1169" t="s">
        <v>7791</v>
      </c>
      <c r="B1169" t="s">
        <v>7789</v>
      </c>
      <c r="C1169" t="s">
        <v>6473</v>
      </c>
      <c r="D1169" t="s">
        <v>1027</v>
      </c>
      <c r="E1169">
        <v>33419</v>
      </c>
      <c r="F1169" t="s">
        <v>6474</v>
      </c>
      <c r="G1169" t="b">
        <v>0</v>
      </c>
      <c r="H1169" t="b">
        <v>0</v>
      </c>
      <c r="I1169" t="s">
        <v>1051</v>
      </c>
      <c r="J1169">
        <v>78</v>
      </c>
      <c r="K1169" t="s">
        <v>0</v>
      </c>
      <c r="L1169" t="s">
        <v>3000</v>
      </c>
      <c r="M1169" t="s">
        <v>1548</v>
      </c>
      <c r="N1169" t="s">
        <v>1548</v>
      </c>
      <c r="O1169" t="s">
        <v>1548</v>
      </c>
      <c r="P1169" s="36" t="s">
        <v>6448</v>
      </c>
    </row>
    <row r="1170" spans="1:16" ht="409.5" x14ac:dyDescent="0.25">
      <c r="A1170" t="s">
        <v>7792</v>
      </c>
      <c r="B1170" t="s">
        <v>7789</v>
      </c>
      <c r="C1170" t="s">
        <v>6473</v>
      </c>
      <c r="D1170" t="s">
        <v>1027</v>
      </c>
      <c r="E1170">
        <v>33419</v>
      </c>
      <c r="F1170" t="s">
        <v>6474</v>
      </c>
      <c r="G1170" t="b">
        <v>0</v>
      </c>
      <c r="H1170" t="b">
        <v>0</v>
      </c>
      <c r="I1170" t="s">
        <v>1051</v>
      </c>
      <c r="J1170">
        <v>78</v>
      </c>
      <c r="K1170" t="s">
        <v>0</v>
      </c>
      <c r="L1170" t="s">
        <v>3000</v>
      </c>
      <c r="M1170" t="s">
        <v>1548</v>
      </c>
      <c r="N1170" t="s">
        <v>1548</v>
      </c>
      <c r="O1170" t="s">
        <v>1548</v>
      </c>
      <c r="P1170" s="36" t="s">
        <v>6448</v>
      </c>
    </row>
    <row r="1171" spans="1:16" ht="409.5" x14ac:dyDescent="0.25">
      <c r="A1171" t="s">
        <v>7793</v>
      </c>
      <c r="B1171" t="s">
        <v>7794</v>
      </c>
      <c r="C1171" t="s">
        <v>6446</v>
      </c>
      <c r="D1171" t="s">
        <v>1027</v>
      </c>
      <c r="E1171">
        <v>1402</v>
      </c>
      <c r="F1171" t="s">
        <v>6447</v>
      </c>
      <c r="G1171" t="b">
        <v>0</v>
      </c>
      <c r="H1171" t="b">
        <v>0</v>
      </c>
      <c r="I1171" t="s">
        <v>1051</v>
      </c>
      <c r="J1171">
        <v>78</v>
      </c>
      <c r="K1171" t="s">
        <v>0</v>
      </c>
      <c r="L1171" t="s">
        <v>3000</v>
      </c>
      <c r="M1171" t="s">
        <v>1548</v>
      </c>
      <c r="N1171" t="s">
        <v>1548</v>
      </c>
      <c r="O1171" t="s">
        <v>1548</v>
      </c>
      <c r="P1171" s="36" t="s">
        <v>6448</v>
      </c>
    </row>
    <row r="1172" spans="1:16" ht="409.5" x14ac:dyDescent="0.25">
      <c r="A1172" t="s">
        <v>7795</v>
      </c>
      <c r="B1172" t="s">
        <v>7796</v>
      </c>
      <c r="C1172" t="s">
        <v>6503</v>
      </c>
      <c r="D1172" t="s">
        <v>1027</v>
      </c>
      <c r="E1172">
        <v>1488</v>
      </c>
      <c r="F1172" t="s">
        <v>6504</v>
      </c>
      <c r="G1172" t="b">
        <v>0</v>
      </c>
      <c r="H1172" t="b">
        <v>0</v>
      </c>
      <c r="I1172" t="s">
        <v>1051</v>
      </c>
      <c r="J1172">
        <v>78</v>
      </c>
      <c r="K1172" t="s">
        <v>0</v>
      </c>
      <c r="L1172" t="s">
        <v>3000</v>
      </c>
      <c r="M1172" t="s">
        <v>1548</v>
      </c>
      <c r="N1172" t="s">
        <v>1548</v>
      </c>
      <c r="O1172" t="s">
        <v>1548</v>
      </c>
      <c r="P1172" s="36" t="s">
        <v>6505</v>
      </c>
    </row>
    <row r="1173" spans="1:16" ht="409.5" x14ac:dyDescent="0.25">
      <c r="A1173" t="s">
        <v>7797</v>
      </c>
      <c r="B1173" t="s">
        <v>7798</v>
      </c>
      <c r="C1173" t="s">
        <v>6503</v>
      </c>
      <c r="D1173" t="s">
        <v>1027</v>
      </c>
      <c r="E1173">
        <v>1488</v>
      </c>
      <c r="F1173" t="s">
        <v>6504</v>
      </c>
      <c r="G1173" t="b">
        <v>0</v>
      </c>
      <c r="H1173" t="b">
        <v>0</v>
      </c>
      <c r="I1173" t="s">
        <v>1051</v>
      </c>
      <c r="J1173">
        <v>78</v>
      </c>
      <c r="K1173" t="s">
        <v>0</v>
      </c>
      <c r="L1173" t="s">
        <v>3000</v>
      </c>
      <c r="M1173" t="s">
        <v>1548</v>
      </c>
      <c r="N1173" t="s">
        <v>1548</v>
      </c>
      <c r="O1173" t="s">
        <v>1548</v>
      </c>
      <c r="P1173" s="36" t="s">
        <v>6505</v>
      </c>
    </row>
    <row r="1174" spans="1:16" ht="409.5" x14ac:dyDescent="0.25">
      <c r="A1174" t="s">
        <v>7799</v>
      </c>
      <c r="B1174" t="s">
        <v>7798</v>
      </c>
      <c r="C1174" t="s">
        <v>6503</v>
      </c>
      <c r="D1174" t="s">
        <v>1027</v>
      </c>
      <c r="E1174">
        <v>1488</v>
      </c>
      <c r="F1174" t="s">
        <v>6504</v>
      </c>
      <c r="G1174" t="b">
        <v>0</v>
      </c>
      <c r="H1174" t="b">
        <v>0</v>
      </c>
      <c r="I1174" t="s">
        <v>1051</v>
      </c>
      <c r="J1174">
        <v>78</v>
      </c>
      <c r="K1174" t="s">
        <v>0</v>
      </c>
      <c r="L1174" t="s">
        <v>3000</v>
      </c>
      <c r="M1174" t="s">
        <v>1548</v>
      </c>
      <c r="N1174" t="s">
        <v>1548</v>
      </c>
      <c r="O1174" t="s">
        <v>1548</v>
      </c>
      <c r="P1174" s="36" t="s">
        <v>6505</v>
      </c>
    </row>
    <row r="1175" spans="1:16" ht="409.5" x14ac:dyDescent="0.25">
      <c r="A1175" t="s">
        <v>7800</v>
      </c>
      <c r="B1175" t="s">
        <v>7798</v>
      </c>
      <c r="C1175" t="s">
        <v>6503</v>
      </c>
      <c r="D1175" t="s">
        <v>1027</v>
      </c>
      <c r="E1175">
        <v>1488</v>
      </c>
      <c r="F1175" t="s">
        <v>6504</v>
      </c>
      <c r="G1175" t="b">
        <v>0</v>
      </c>
      <c r="H1175" t="b">
        <v>0</v>
      </c>
      <c r="I1175" t="s">
        <v>1051</v>
      </c>
      <c r="J1175">
        <v>78</v>
      </c>
      <c r="K1175" t="s">
        <v>0</v>
      </c>
      <c r="L1175" t="s">
        <v>3000</v>
      </c>
      <c r="M1175" t="s">
        <v>1548</v>
      </c>
      <c r="N1175" t="s">
        <v>1548</v>
      </c>
      <c r="O1175" t="s">
        <v>1548</v>
      </c>
      <c r="P1175" s="36" t="s">
        <v>6505</v>
      </c>
    </row>
    <row r="1176" spans="1:16" ht="409.5" x14ac:dyDescent="0.25">
      <c r="A1176" t="s">
        <v>7801</v>
      </c>
      <c r="B1176" t="s">
        <v>7798</v>
      </c>
      <c r="C1176" t="s">
        <v>6503</v>
      </c>
      <c r="D1176" t="s">
        <v>1027</v>
      </c>
      <c r="E1176">
        <v>1488</v>
      </c>
      <c r="F1176" t="s">
        <v>6504</v>
      </c>
      <c r="G1176" t="b">
        <v>0</v>
      </c>
      <c r="H1176" t="b">
        <v>0</v>
      </c>
      <c r="I1176" t="s">
        <v>1051</v>
      </c>
      <c r="J1176">
        <v>78</v>
      </c>
      <c r="K1176" t="s">
        <v>0</v>
      </c>
      <c r="L1176" t="s">
        <v>3000</v>
      </c>
      <c r="M1176" t="s">
        <v>1548</v>
      </c>
      <c r="N1176" t="s">
        <v>1548</v>
      </c>
      <c r="O1176" t="s">
        <v>1548</v>
      </c>
      <c r="P1176" s="36" t="s">
        <v>6505</v>
      </c>
    </row>
    <row r="1177" spans="1:16" ht="409.5" x14ac:dyDescent="0.25">
      <c r="A1177" t="s">
        <v>7802</v>
      </c>
      <c r="B1177" t="s">
        <v>7803</v>
      </c>
      <c r="C1177" t="s">
        <v>7622</v>
      </c>
      <c r="D1177" t="s">
        <v>1027</v>
      </c>
      <c r="G1177" t="b">
        <v>0</v>
      </c>
      <c r="H1177" t="b">
        <v>0</v>
      </c>
      <c r="I1177" t="s">
        <v>1051</v>
      </c>
      <c r="J1177">
        <v>87</v>
      </c>
      <c r="K1177" t="s">
        <v>0</v>
      </c>
      <c r="L1177" t="s">
        <v>3000</v>
      </c>
      <c r="M1177" t="s">
        <v>1548</v>
      </c>
      <c r="N1177" t="s">
        <v>1548</v>
      </c>
      <c r="O1177" t="s">
        <v>3922</v>
      </c>
      <c r="P1177" s="36" t="s">
        <v>7623</v>
      </c>
    </row>
    <row r="1178" spans="1:16" ht="409.5" x14ac:dyDescent="0.25">
      <c r="A1178" t="s">
        <v>7804</v>
      </c>
      <c r="B1178" t="s">
        <v>7803</v>
      </c>
      <c r="C1178" t="s">
        <v>7622</v>
      </c>
      <c r="D1178" t="s">
        <v>1027</v>
      </c>
      <c r="G1178" t="b">
        <v>0</v>
      </c>
      <c r="H1178" t="b">
        <v>0</v>
      </c>
      <c r="I1178" t="s">
        <v>1051</v>
      </c>
      <c r="J1178">
        <v>87</v>
      </c>
      <c r="K1178" t="s">
        <v>0</v>
      </c>
      <c r="L1178" t="s">
        <v>3000</v>
      </c>
      <c r="M1178" t="s">
        <v>1548</v>
      </c>
      <c r="N1178" t="s">
        <v>1548</v>
      </c>
      <c r="O1178" t="s">
        <v>3922</v>
      </c>
      <c r="P1178" s="36" t="s">
        <v>7623</v>
      </c>
    </row>
    <row r="1179" spans="1:16" ht="409.5" x14ac:dyDescent="0.25">
      <c r="A1179" t="s">
        <v>7805</v>
      </c>
      <c r="B1179" t="s">
        <v>7806</v>
      </c>
      <c r="C1179" t="s">
        <v>6473</v>
      </c>
      <c r="D1179" t="s">
        <v>1027</v>
      </c>
      <c r="E1179">
        <v>33419</v>
      </c>
      <c r="F1179" t="s">
        <v>6474</v>
      </c>
      <c r="G1179" t="b">
        <v>0</v>
      </c>
      <c r="H1179" t="b">
        <v>0</v>
      </c>
      <c r="I1179" t="s">
        <v>1051</v>
      </c>
      <c r="J1179">
        <v>78</v>
      </c>
      <c r="K1179" t="s">
        <v>0</v>
      </c>
      <c r="L1179" t="s">
        <v>3000</v>
      </c>
      <c r="M1179" t="s">
        <v>1548</v>
      </c>
      <c r="N1179" t="s">
        <v>1548</v>
      </c>
      <c r="O1179" t="s">
        <v>1548</v>
      </c>
      <c r="P1179" s="36" t="s">
        <v>6448</v>
      </c>
    </row>
    <row r="1180" spans="1:16" ht="409.5" x14ac:dyDescent="0.25">
      <c r="A1180" t="s">
        <v>7807</v>
      </c>
      <c r="B1180" t="s">
        <v>7808</v>
      </c>
      <c r="C1180" t="s">
        <v>6473</v>
      </c>
      <c r="D1180" t="s">
        <v>1027</v>
      </c>
      <c r="E1180">
        <v>33419</v>
      </c>
      <c r="F1180" t="s">
        <v>6474</v>
      </c>
      <c r="G1180" t="b">
        <v>0</v>
      </c>
      <c r="H1180" t="b">
        <v>0</v>
      </c>
      <c r="I1180" t="s">
        <v>1051</v>
      </c>
      <c r="J1180">
        <v>78</v>
      </c>
      <c r="K1180" t="s">
        <v>0</v>
      </c>
      <c r="L1180" t="s">
        <v>3000</v>
      </c>
      <c r="M1180" t="s">
        <v>1548</v>
      </c>
      <c r="N1180" t="s">
        <v>1548</v>
      </c>
      <c r="O1180" t="s">
        <v>1548</v>
      </c>
      <c r="P1180" s="36" t="s">
        <v>6448</v>
      </c>
    </row>
    <row r="1181" spans="1:16" ht="409.5" x14ac:dyDescent="0.25">
      <c r="A1181" t="s">
        <v>7809</v>
      </c>
      <c r="B1181" t="s">
        <v>7808</v>
      </c>
      <c r="C1181" t="s">
        <v>6473</v>
      </c>
      <c r="D1181" t="s">
        <v>1027</v>
      </c>
      <c r="E1181">
        <v>33419</v>
      </c>
      <c r="F1181" t="s">
        <v>6474</v>
      </c>
      <c r="G1181" t="b">
        <v>0</v>
      </c>
      <c r="H1181" t="b">
        <v>0</v>
      </c>
      <c r="I1181" t="s">
        <v>1051</v>
      </c>
      <c r="J1181">
        <v>78</v>
      </c>
      <c r="K1181" t="s">
        <v>0</v>
      </c>
      <c r="L1181" t="s">
        <v>3000</v>
      </c>
      <c r="M1181" t="s">
        <v>1548</v>
      </c>
      <c r="N1181" t="s">
        <v>1548</v>
      </c>
      <c r="O1181" t="s">
        <v>1548</v>
      </c>
      <c r="P1181" s="36" t="s">
        <v>6448</v>
      </c>
    </row>
    <row r="1182" spans="1:16" ht="409.5" x14ac:dyDescent="0.25">
      <c r="A1182" t="s">
        <v>7810</v>
      </c>
      <c r="B1182" t="s">
        <v>7811</v>
      </c>
      <c r="C1182" t="s">
        <v>6473</v>
      </c>
      <c r="D1182" t="s">
        <v>1027</v>
      </c>
      <c r="E1182">
        <v>33419</v>
      </c>
      <c r="F1182" t="s">
        <v>6474</v>
      </c>
      <c r="G1182" t="b">
        <v>0</v>
      </c>
      <c r="H1182" t="b">
        <v>0</v>
      </c>
      <c r="I1182" t="s">
        <v>1051</v>
      </c>
      <c r="J1182">
        <v>78</v>
      </c>
      <c r="K1182" t="s">
        <v>0</v>
      </c>
      <c r="L1182" t="s">
        <v>3000</v>
      </c>
      <c r="M1182" t="s">
        <v>1548</v>
      </c>
      <c r="N1182" t="s">
        <v>1548</v>
      </c>
      <c r="O1182" t="s">
        <v>1548</v>
      </c>
      <c r="P1182" s="36" t="s">
        <v>6448</v>
      </c>
    </row>
    <row r="1183" spans="1:16" ht="409.5" x14ac:dyDescent="0.25">
      <c r="A1183" t="s">
        <v>7812</v>
      </c>
      <c r="B1183" t="s">
        <v>7811</v>
      </c>
      <c r="C1183" t="s">
        <v>6473</v>
      </c>
      <c r="D1183" t="s">
        <v>1027</v>
      </c>
      <c r="E1183">
        <v>33419</v>
      </c>
      <c r="F1183" t="s">
        <v>6474</v>
      </c>
      <c r="G1183" t="b">
        <v>0</v>
      </c>
      <c r="H1183" t="b">
        <v>0</v>
      </c>
      <c r="I1183" t="s">
        <v>1051</v>
      </c>
      <c r="J1183">
        <v>78</v>
      </c>
      <c r="K1183" t="s">
        <v>0</v>
      </c>
      <c r="L1183" t="s">
        <v>3000</v>
      </c>
      <c r="M1183" t="s">
        <v>1548</v>
      </c>
      <c r="N1183" t="s">
        <v>1548</v>
      </c>
      <c r="O1183" t="s">
        <v>1548</v>
      </c>
      <c r="P1183" s="36" t="s">
        <v>6448</v>
      </c>
    </row>
    <row r="1184" spans="1:16" ht="409.5" x14ac:dyDescent="0.25">
      <c r="A1184" t="s">
        <v>7813</v>
      </c>
      <c r="B1184" t="s">
        <v>7811</v>
      </c>
      <c r="C1184" t="s">
        <v>6473</v>
      </c>
      <c r="D1184" t="s">
        <v>1027</v>
      </c>
      <c r="E1184">
        <v>33419</v>
      </c>
      <c r="F1184" t="s">
        <v>6474</v>
      </c>
      <c r="G1184" t="b">
        <v>0</v>
      </c>
      <c r="H1184" t="b">
        <v>0</v>
      </c>
      <c r="I1184" t="s">
        <v>1051</v>
      </c>
      <c r="J1184">
        <v>78</v>
      </c>
      <c r="K1184" t="s">
        <v>0</v>
      </c>
      <c r="L1184" t="s">
        <v>3000</v>
      </c>
      <c r="M1184" t="s">
        <v>1548</v>
      </c>
      <c r="N1184" t="s">
        <v>1548</v>
      </c>
      <c r="O1184" t="s">
        <v>1548</v>
      </c>
      <c r="P1184" s="36" t="s">
        <v>6448</v>
      </c>
    </row>
    <row r="1185" spans="1:16" ht="409.5" x14ac:dyDescent="0.25">
      <c r="A1185" t="s">
        <v>7814</v>
      </c>
      <c r="B1185" t="s">
        <v>7811</v>
      </c>
      <c r="C1185" t="s">
        <v>6473</v>
      </c>
      <c r="D1185" t="s">
        <v>1027</v>
      </c>
      <c r="E1185">
        <v>33419</v>
      </c>
      <c r="F1185" t="s">
        <v>6474</v>
      </c>
      <c r="G1185" t="b">
        <v>0</v>
      </c>
      <c r="H1185" t="b">
        <v>0</v>
      </c>
      <c r="I1185" t="s">
        <v>1051</v>
      </c>
      <c r="J1185">
        <v>78</v>
      </c>
      <c r="K1185" t="s">
        <v>0</v>
      </c>
      <c r="L1185" t="s">
        <v>3000</v>
      </c>
      <c r="M1185" t="s">
        <v>1548</v>
      </c>
      <c r="N1185" t="s">
        <v>1548</v>
      </c>
      <c r="O1185" t="s">
        <v>1548</v>
      </c>
      <c r="P1185" s="36" t="s">
        <v>6448</v>
      </c>
    </row>
    <row r="1186" spans="1:16" ht="409.5" x14ac:dyDescent="0.25">
      <c r="A1186" t="s">
        <v>7815</v>
      </c>
      <c r="B1186" t="s">
        <v>7811</v>
      </c>
      <c r="C1186" t="s">
        <v>6473</v>
      </c>
      <c r="D1186" t="s">
        <v>1027</v>
      </c>
      <c r="E1186">
        <v>33419</v>
      </c>
      <c r="F1186" t="s">
        <v>6474</v>
      </c>
      <c r="G1186" t="b">
        <v>0</v>
      </c>
      <c r="H1186" t="b">
        <v>0</v>
      </c>
      <c r="I1186" t="s">
        <v>1051</v>
      </c>
      <c r="J1186">
        <v>78</v>
      </c>
      <c r="K1186" t="s">
        <v>0</v>
      </c>
      <c r="L1186" t="s">
        <v>3000</v>
      </c>
      <c r="M1186" t="s">
        <v>1548</v>
      </c>
      <c r="N1186" t="s">
        <v>1548</v>
      </c>
      <c r="O1186" t="s">
        <v>1548</v>
      </c>
      <c r="P1186" s="36" t="s">
        <v>6448</v>
      </c>
    </row>
    <row r="1187" spans="1:16" ht="409.5" x14ac:dyDescent="0.25">
      <c r="A1187" t="s">
        <v>7816</v>
      </c>
      <c r="B1187" t="s">
        <v>7811</v>
      </c>
      <c r="C1187" t="s">
        <v>6473</v>
      </c>
      <c r="D1187" t="s">
        <v>1027</v>
      </c>
      <c r="E1187">
        <v>33419</v>
      </c>
      <c r="F1187" t="s">
        <v>6474</v>
      </c>
      <c r="G1187" t="b">
        <v>0</v>
      </c>
      <c r="H1187" t="b">
        <v>0</v>
      </c>
      <c r="I1187" t="s">
        <v>1051</v>
      </c>
      <c r="J1187">
        <v>78</v>
      </c>
      <c r="K1187" t="s">
        <v>0</v>
      </c>
      <c r="L1187" t="s">
        <v>3000</v>
      </c>
      <c r="M1187" t="s">
        <v>1548</v>
      </c>
      <c r="N1187" t="s">
        <v>1548</v>
      </c>
      <c r="O1187" t="s">
        <v>1548</v>
      </c>
      <c r="P1187" s="36" t="s">
        <v>6448</v>
      </c>
    </row>
    <row r="1188" spans="1:16" ht="409.5" x14ac:dyDescent="0.25">
      <c r="A1188" t="s">
        <v>7817</v>
      </c>
      <c r="B1188" t="s">
        <v>7818</v>
      </c>
      <c r="C1188" t="s">
        <v>6446</v>
      </c>
      <c r="D1188" t="s">
        <v>1027</v>
      </c>
      <c r="G1188" t="b">
        <v>0</v>
      </c>
      <c r="H1188" t="b">
        <v>0</v>
      </c>
      <c r="I1188" t="s">
        <v>1051</v>
      </c>
      <c r="J1188">
        <v>87</v>
      </c>
      <c r="K1188" t="s">
        <v>0</v>
      </c>
      <c r="L1188" t="s">
        <v>3000</v>
      </c>
      <c r="M1188" t="s">
        <v>1548</v>
      </c>
      <c r="N1188" t="s">
        <v>1548</v>
      </c>
      <c r="O1188" t="s">
        <v>1548</v>
      </c>
      <c r="P1188" s="36" t="s">
        <v>6448</v>
      </c>
    </row>
    <row r="1189" spans="1:16" ht="409.5" x14ac:dyDescent="0.25">
      <c r="A1189" t="s">
        <v>7819</v>
      </c>
      <c r="B1189" t="s">
        <v>7818</v>
      </c>
      <c r="C1189" t="s">
        <v>6446</v>
      </c>
      <c r="D1189" t="s">
        <v>1027</v>
      </c>
      <c r="G1189" t="b">
        <v>0</v>
      </c>
      <c r="H1189" t="b">
        <v>0</v>
      </c>
      <c r="I1189" t="s">
        <v>1051</v>
      </c>
      <c r="J1189">
        <v>87</v>
      </c>
      <c r="K1189" t="s">
        <v>0</v>
      </c>
      <c r="L1189" t="s">
        <v>3000</v>
      </c>
      <c r="M1189" t="s">
        <v>1548</v>
      </c>
      <c r="N1189" t="s">
        <v>1548</v>
      </c>
      <c r="O1189" t="s">
        <v>1548</v>
      </c>
      <c r="P1189" s="36" t="s">
        <v>6448</v>
      </c>
    </row>
    <row r="1190" spans="1:16" x14ac:dyDescent="0.25">
      <c r="A1190" t="s">
        <v>7820</v>
      </c>
      <c r="B1190" t="s">
        <v>7821</v>
      </c>
      <c r="C1190" t="s">
        <v>1335</v>
      </c>
      <c r="D1190" t="s">
        <v>1027</v>
      </c>
      <c r="E1190">
        <v>1459</v>
      </c>
      <c r="F1190" t="s">
        <v>1336</v>
      </c>
      <c r="G1190" t="b">
        <v>0</v>
      </c>
      <c r="H1190" t="b">
        <v>0</v>
      </c>
      <c r="I1190" t="s">
        <v>1051</v>
      </c>
      <c r="J1190">
        <v>91</v>
      </c>
      <c r="K1190" t="s">
        <v>2</v>
      </c>
      <c r="L1190" t="s">
        <v>1549</v>
      </c>
      <c r="M1190" t="s">
        <v>3922</v>
      </c>
      <c r="N1190" t="s">
        <v>3922</v>
      </c>
      <c r="O1190" t="s">
        <v>3922</v>
      </c>
      <c r="P1190" t="s">
        <v>1682</v>
      </c>
    </row>
    <row r="1191" spans="1:16" x14ac:dyDescent="0.25">
      <c r="A1191" t="s">
        <v>7822</v>
      </c>
      <c r="B1191" t="s">
        <v>7821</v>
      </c>
      <c r="C1191" t="s">
        <v>1335</v>
      </c>
      <c r="D1191" t="s">
        <v>1027</v>
      </c>
      <c r="E1191">
        <v>1459</v>
      </c>
      <c r="F1191" t="s">
        <v>1336</v>
      </c>
      <c r="G1191" t="b">
        <v>0</v>
      </c>
      <c r="H1191" t="b">
        <v>0</v>
      </c>
      <c r="I1191" t="s">
        <v>1051</v>
      </c>
      <c r="J1191">
        <v>91</v>
      </c>
      <c r="K1191" t="s">
        <v>2</v>
      </c>
      <c r="L1191" t="s">
        <v>1549</v>
      </c>
      <c r="M1191" t="s">
        <v>3922</v>
      </c>
      <c r="N1191" t="s">
        <v>3922</v>
      </c>
      <c r="O1191" t="s">
        <v>3922</v>
      </c>
      <c r="P1191" t="s">
        <v>1682</v>
      </c>
    </row>
    <row r="1192" spans="1:16" x14ac:dyDescent="0.25">
      <c r="A1192" t="s">
        <v>7823</v>
      </c>
      <c r="B1192" t="s">
        <v>7821</v>
      </c>
      <c r="C1192" t="s">
        <v>1335</v>
      </c>
      <c r="D1192" t="s">
        <v>1027</v>
      </c>
      <c r="E1192">
        <v>1459</v>
      </c>
      <c r="F1192" t="s">
        <v>1336</v>
      </c>
      <c r="G1192" t="b">
        <v>0</v>
      </c>
      <c r="H1192" t="b">
        <v>0</v>
      </c>
      <c r="I1192" t="s">
        <v>1051</v>
      </c>
      <c r="J1192">
        <v>91</v>
      </c>
      <c r="K1192" t="s">
        <v>2</v>
      </c>
      <c r="L1192" t="s">
        <v>1549</v>
      </c>
      <c r="M1192" t="s">
        <v>3922</v>
      </c>
      <c r="N1192" t="s">
        <v>3922</v>
      </c>
      <c r="O1192" t="s">
        <v>3922</v>
      </c>
      <c r="P1192" t="s">
        <v>1682</v>
      </c>
    </row>
    <row r="1193" spans="1:16" ht="409.5" x14ac:dyDescent="0.25">
      <c r="A1193" t="s">
        <v>7824</v>
      </c>
      <c r="B1193" t="s">
        <v>7825</v>
      </c>
      <c r="C1193" t="s">
        <v>6503</v>
      </c>
      <c r="D1193" t="s">
        <v>1027</v>
      </c>
      <c r="E1193">
        <v>1488</v>
      </c>
      <c r="F1193" t="s">
        <v>6504</v>
      </c>
      <c r="G1193" t="b">
        <v>0</v>
      </c>
      <c r="H1193" t="b">
        <v>0</v>
      </c>
      <c r="I1193" t="s">
        <v>1051</v>
      </c>
      <c r="J1193">
        <v>82</v>
      </c>
      <c r="K1193" t="s">
        <v>0</v>
      </c>
      <c r="L1193" t="s">
        <v>3000</v>
      </c>
      <c r="M1193" t="s">
        <v>1548</v>
      </c>
      <c r="N1193" t="s">
        <v>1548</v>
      </c>
      <c r="O1193" t="s">
        <v>1548</v>
      </c>
      <c r="P1193" s="36" t="s">
        <v>6505</v>
      </c>
    </row>
    <row r="1194" spans="1:16" x14ac:dyDescent="0.25">
      <c r="A1194" t="s">
        <v>7826</v>
      </c>
      <c r="B1194" t="s">
        <v>7827</v>
      </c>
      <c r="C1194" t="s">
        <v>1282</v>
      </c>
      <c r="D1194" t="s">
        <v>1027</v>
      </c>
      <c r="G1194" t="b">
        <v>0</v>
      </c>
      <c r="H1194" t="b">
        <v>0</v>
      </c>
      <c r="I1194" t="s">
        <v>1051</v>
      </c>
      <c r="J1194">
        <v>81</v>
      </c>
      <c r="K1194" t="s">
        <v>0</v>
      </c>
      <c r="L1194" t="s">
        <v>1167</v>
      </c>
      <c r="M1194" t="s">
        <v>1168</v>
      </c>
      <c r="N1194" t="s">
        <v>1169</v>
      </c>
      <c r="O1194" t="s">
        <v>1168</v>
      </c>
      <c r="P1194" t="s">
        <v>1283</v>
      </c>
    </row>
    <row r="1195" spans="1:16" ht="409.5" x14ac:dyDescent="0.25">
      <c r="A1195" t="s">
        <v>7828</v>
      </c>
      <c r="B1195" t="s">
        <v>7829</v>
      </c>
      <c r="C1195" t="s">
        <v>7622</v>
      </c>
      <c r="D1195" t="s">
        <v>1027</v>
      </c>
      <c r="G1195" t="b">
        <v>0</v>
      </c>
      <c r="H1195" t="b">
        <v>0</v>
      </c>
      <c r="I1195" t="s">
        <v>1051</v>
      </c>
      <c r="J1195">
        <v>81</v>
      </c>
      <c r="K1195" t="s">
        <v>0</v>
      </c>
      <c r="L1195" t="s">
        <v>3000</v>
      </c>
      <c r="M1195" t="s">
        <v>1548</v>
      </c>
      <c r="N1195" t="s">
        <v>1548</v>
      </c>
      <c r="O1195" t="s">
        <v>3922</v>
      </c>
      <c r="P1195" s="36" t="s">
        <v>7623</v>
      </c>
    </row>
    <row r="1196" spans="1:16" ht="409.5" x14ac:dyDescent="0.25">
      <c r="A1196" t="s">
        <v>7830</v>
      </c>
      <c r="B1196" t="s">
        <v>7831</v>
      </c>
      <c r="C1196" t="s">
        <v>7622</v>
      </c>
      <c r="D1196" t="s">
        <v>1027</v>
      </c>
      <c r="G1196" t="b">
        <v>0</v>
      </c>
      <c r="H1196" t="b">
        <v>0</v>
      </c>
      <c r="I1196" t="s">
        <v>1051</v>
      </c>
      <c r="J1196">
        <v>81</v>
      </c>
      <c r="K1196" t="s">
        <v>0</v>
      </c>
      <c r="L1196" t="s">
        <v>3000</v>
      </c>
      <c r="M1196" t="s">
        <v>1548</v>
      </c>
      <c r="N1196" t="s">
        <v>1548</v>
      </c>
      <c r="O1196" t="s">
        <v>3922</v>
      </c>
      <c r="P1196" s="36" t="s">
        <v>7623</v>
      </c>
    </row>
    <row r="1197" spans="1:16" ht="390" x14ac:dyDescent="0.25">
      <c r="A1197" t="s">
        <v>7832</v>
      </c>
      <c r="B1197" t="s">
        <v>7833</v>
      </c>
      <c r="C1197" t="s">
        <v>7395</v>
      </c>
      <c r="D1197" t="s">
        <v>1027</v>
      </c>
      <c r="E1197">
        <v>1679</v>
      </c>
      <c r="F1197" t="s">
        <v>7396</v>
      </c>
      <c r="G1197" t="b">
        <v>0</v>
      </c>
      <c r="H1197" t="b">
        <v>0</v>
      </c>
      <c r="I1197" t="s">
        <v>1051</v>
      </c>
      <c r="J1197">
        <v>81</v>
      </c>
      <c r="K1197" t="s">
        <v>0</v>
      </c>
      <c r="L1197" t="s">
        <v>3000</v>
      </c>
      <c r="M1197" t="s">
        <v>1548</v>
      </c>
      <c r="N1197" t="s">
        <v>1548</v>
      </c>
      <c r="O1197" t="s">
        <v>3922</v>
      </c>
      <c r="P1197" s="36" t="s">
        <v>7397</v>
      </c>
    </row>
    <row r="1198" spans="1:16" ht="390" x14ac:dyDescent="0.25">
      <c r="A1198" t="s">
        <v>7834</v>
      </c>
      <c r="B1198" t="s">
        <v>7835</v>
      </c>
      <c r="C1198" t="s">
        <v>7395</v>
      </c>
      <c r="D1198" t="s">
        <v>1027</v>
      </c>
      <c r="E1198">
        <v>1679</v>
      </c>
      <c r="F1198" t="s">
        <v>7396</v>
      </c>
      <c r="G1198" t="b">
        <v>0</v>
      </c>
      <c r="H1198" t="b">
        <v>0</v>
      </c>
      <c r="I1198" t="s">
        <v>1051</v>
      </c>
      <c r="J1198">
        <v>81</v>
      </c>
      <c r="K1198" t="s">
        <v>0</v>
      </c>
      <c r="L1198" t="s">
        <v>3000</v>
      </c>
      <c r="M1198" t="s">
        <v>1548</v>
      </c>
      <c r="N1198" t="s">
        <v>1548</v>
      </c>
      <c r="O1198" t="s">
        <v>3922</v>
      </c>
      <c r="P1198" s="36" t="s">
        <v>7397</v>
      </c>
    </row>
    <row r="1199" spans="1:16" ht="409.5" x14ac:dyDescent="0.25">
      <c r="A1199" t="s">
        <v>7836</v>
      </c>
      <c r="B1199" t="s">
        <v>7837</v>
      </c>
      <c r="C1199" t="s">
        <v>6473</v>
      </c>
      <c r="D1199" t="s">
        <v>1027</v>
      </c>
      <c r="E1199">
        <v>33419</v>
      </c>
      <c r="F1199" t="s">
        <v>6474</v>
      </c>
      <c r="G1199" t="b">
        <v>0</v>
      </c>
      <c r="H1199" t="b">
        <v>0</v>
      </c>
      <c r="I1199" t="s">
        <v>1051</v>
      </c>
      <c r="J1199">
        <v>78</v>
      </c>
      <c r="K1199" t="s">
        <v>0</v>
      </c>
      <c r="L1199" t="s">
        <v>3000</v>
      </c>
      <c r="M1199" t="s">
        <v>1548</v>
      </c>
      <c r="N1199" t="s">
        <v>1548</v>
      </c>
      <c r="O1199" t="s">
        <v>1548</v>
      </c>
      <c r="P1199" s="36" t="s">
        <v>6448</v>
      </c>
    </row>
    <row r="1200" spans="1:16" ht="409.5" x14ac:dyDescent="0.25">
      <c r="A1200" t="s">
        <v>7838</v>
      </c>
      <c r="B1200" t="s">
        <v>7837</v>
      </c>
      <c r="C1200" t="s">
        <v>6473</v>
      </c>
      <c r="D1200" t="s">
        <v>1027</v>
      </c>
      <c r="E1200">
        <v>33419</v>
      </c>
      <c r="F1200" t="s">
        <v>6474</v>
      </c>
      <c r="G1200" t="b">
        <v>0</v>
      </c>
      <c r="H1200" t="b">
        <v>0</v>
      </c>
      <c r="I1200" t="s">
        <v>1051</v>
      </c>
      <c r="J1200">
        <v>78</v>
      </c>
      <c r="K1200" t="s">
        <v>0</v>
      </c>
      <c r="L1200" t="s">
        <v>3000</v>
      </c>
      <c r="M1200" t="s">
        <v>1548</v>
      </c>
      <c r="N1200" t="s">
        <v>1548</v>
      </c>
      <c r="O1200" t="s">
        <v>1548</v>
      </c>
      <c r="P1200" s="36" t="s">
        <v>6448</v>
      </c>
    </row>
    <row r="1201" spans="1:16" ht="409.5" x14ac:dyDescent="0.25">
      <c r="A1201" t="s">
        <v>7839</v>
      </c>
      <c r="B1201" t="s">
        <v>7837</v>
      </c>
      <c r="C1201" t="s">
        <v>6473</v>
      </c>
      <c r="D1201" t="s">
        <v>1027</v>
      </c>
      <c r="E1201">
        <v>33419</v>
      </c>
      <c r="F1201" t="s">
        <v>6474</v>
      </c>
      <c r="G1201" t="b">
        <v>0</v>
      </c>
      <c r="H1201" t="b">
        <v>0</v>
      </c>
      <c r="I1201" t="s">
        <v>1051</v>
      </c>
      <c r="J1201">
        <v>78</v>
      </c>
      <c r="K1201" t="s">
        <v>0</v>
      </c>
      <c r="L1201" t="s">
        <v>3000</v>
      </c>
      <c r="M1201" t="s">
        <v>1548</v>
      </c>
      <c r="N1201" t="s">
        <v>1548</v>
      </c>
      <c r="O1201" t="s">
        <v>1548</v>
      </c>
      <c r="P1201" s="36" t="s">
        <v>6448</v>
      </c>
    </row>
    <row r="1202" spans="1:16" ht="409.5" x14ac:dyDescent="0.25">
      <c r="A1202" t="s">
        <v>7840</v>
      </c>
      <c r="B1202" t="s">
        <v>7837</v>
      </c>
      <c r="C1202" t="s">
        <v>6473</v>
      </c>
      <c r="D1202" t="s">
        <v>1027</v>
      </c>
      <c r="E1202">
        <v>33419</v>
      </c>
      <c r="F1202" t="s">
        <v>6474</v>
      </c>
      <c r="G1202" t="b">
        <v>0</v>
      </c>
      <c r="H1202" t="b">
        <v>0</v>
      </c>
      <c r="I1202" t="s">
        <v>1051</v>
      </c>
      <c r="J1202">
        <v>78</v>
      </c>
      <c r="K1202" t="s">
        <v>0</v>
      </c>
      <c r="L1202" t="s">
        <v>3000</v>
      </c>
      <c r="M1202" t="s">
        <v>1548</v>
      </c>
      <c r="N1202" t="s">
        <v>1548</v>
      </c>
      <c r="O1202" t="s">
        <v>1548</v>
      </c>
      <c r="P1202" s="36" t="s">
        <v>6448</v>
      </c>
    </row>
    <row r="1203" spans="1:16" ht="409.5" x14ac:dyDescent="0.25">
      <c r="A1203" t="s">
        <v>7841</v>
      </c>
      <c r="B1203" t="s">
        <v>7837</v>
      </c>
      <c r="C1203" t="s">
        <v>6473</v>
      </c>
      <c r="D1203" t="s">
        <v>1027</v>
      </c>
      <c r="E1203">
        <v>33419</v>
      </c>
      <c r="F1203" t="s">
        <v>6474</v>
      </c>
      <c r="G1203" t="b">
        <v>0</v>
      </c>
      <c r="H1203" t="b">
        <v>0</v>
      </c>
      <c r="I1203" t="s">
        <v>1051</v>
      </c>
      <c r="J1203">
        <v>78</v>
      </c>
      <c r="K1203" t="s">
        <v>0</v>
      </c>
      <c r="L1203" t="s">
        <v>3000</v>
      </c>
      <c r="M1203" t="s">
        <v>1548</v>
      </c>
      <c r="N1203" t="s">
        <v>1548</v>
      </c>
      <c r="O1203" t="s">
        <v>1548</v>
      </c>
      <c r="P1203" s="36" t="s">
        <v>6448</v>
      </c>
    </row>
    <row r="1204" spans="1:16" ht="409.5" x14ac:dyDescent="0.25">
      <c r="A1204" t="s">
        <v>7842</v>
      </c>
      <c r="B1204" t="s">
        <v>7843</v>
      </c>
      <c r="C1204" t="s">
        <v>6473</v>
      </c>
      <c r="D1204" t="s">
        <v>1027</v>
      </c>
      <c r="E1204">
        <v>33419</v>
      </c>
      <c r="F1204" t="s">
        <v>6474</v>
      </c>
      <c r="G1204" t="b">
        <v>0</v>
      </c>
      <c r="H1204" t="b">
        <v>0</v>
      </c>
      <c r="I1204" t="s">
        <v>1051</v>
      </c>
      <c r="J1204">
        <v>78</v>
      </c>
      <c r="K1204" t="s">
        <v>0</v>
      </c>
      <c r="L1204" t="s">
        <v>3000</v>
      </c>
      <c r="M1204" t="s">
        <v>1548</v>
      </c>
      <c r="N1204" t="s">
        <v>1548</v>
      </c>
      <c r="O1204" t="s">
        <v>1548</v>
      </c>
      <c r="P1204" s="36" t="s">
        <v>6448</v>
      </c>
    </row>
    <row r="1205" spans="1:16" ht="409.5" x14ac:dyDescent="0.25">
      <c r="A1205" t="s">
        <v>7844</v>
      </c>
      <c r="B1205" t="s">
        <v>7843</v>
      </c>
      <c r="C1205" t="s">
        <v>6473</v>
      </c>
      <c r="D1205" t="s">
        <v>1027</v>
      </c>
      <c r="E1205">
        <v>33419</v>
      </c>
      <c r="F1205" t="s">
        <v>6474</v>
      </c>
      <c r="G1205" t="b">
        <v>0</v>
      </c>
      <c r="H1205" t="b">
        <v>0</v>
      </c>
      <c r="I1205" t="s">
        <v>1051</v>
      </c>
      <c r="J1205">
        <v>78</v>
      </c>
      <c r="K1205" t="s">
        <v>0</v>
      </c>
      <c r="L1205" t="s">
        <v>3000</v>
      </c>
      <c r="M1205" t="s">
        <v>1548</v>
      </c>
      <c r="N1205" t="s">
        <v>1548</v>
      </c>
      <c r="O1205" t="s">
        <v>1548</v>
      </c>
      <c r="P1205" s="36" t="s">
        <v>6448</v>
      </c>
    </row>
    <row r="1206" spans="1:16" ht="409.5" x14ac:dyDescent="0.25">
      <c r="A1206" t="s">
        <v>7845</v>
      </c>
      <c r="B1206" t="s">
        <v>7843</v>
      </c>
      <c r="C1206" t="s">
        <v>6473</v>
      </c>
      <c r="D1206" t="s">
        <v>1027</v>
      </c>
      <c r="E1206">
        <v>33419</v>
      </c>
      <c r="F1206" t="s">
        <v>6474</v>
      </c>
      <c r="G1206" t="b">
        <v>0</v>
      </c>
      <c r="H1206" t="b">
        <v>0</v>
      </c>
      <c r="I1206" t="s">
        <v>1051</v>
      </c>
      <c r="J1206">
        <v>78</v>
      </c>
      <c r="K1206" t="s">
        <v>0</v>
      </c>
      <c r="L1206" t="s">
        <v>3000</v>
      </c>
      <c r="M1206" t="s">
        <v>1548</v>
      </c>
      <c r="N1206" t="s">
        <v>1548</v>
      </c>
      <c r="O1206" t="s">
        <v>1548</v>
      </c>
      <c r="P1206" s="36" t="s">
        <v>6448</v>
      </c>
    </row>
    <row r="1207" spans="1:16" ht="409.5" x14ac:dyDescent="0.25">
      <c r="A1207" t="s">
        <v>7846</v>
      </c>
      <c r="B1207" t="s">
        <v>7843</v>
      </c>
      <c r="C1207" t="s">
        <v>6473</v>
      </c>
      <c r="D1207" t="s">
        <v>1027</v>
      </c>
      <c r="E1207">
        <v>33419</v>
      </c>
      <c r="F1207" t="s">
        <v>6474</v>
      </c>
      <c r="G1207" t="b">
        <v>0</v>
      </c>
      <c r="H1207" t="b">
        <v>0</v>
      </c>
      <c r="I1207" t="s">
        <v>1051</v>
      </c>
      <c r="J1207">
        <v>78</v>
      </c>
      <c r="K1207" t="s">
        <v>0</v>
      </c>
      <c r="L1207" t="s">
        <v>3000</v>
      </c>
      <c r="M1207" t="s">
        <v>1548</v>
      </c>
      <c r="N1207" t="s">
        <v>1548</v>
      </c>
      <c r="O1207" t="s">
        <v>1548</v>
      </c>
      <c r="P1207" s="36" t="s">
        <v>6448</v>
      </c>
    </row>
    <row r="1208" spans="1:16" ht="409.5" x14ac:dyDescent="0.25">
      <c r="A1208" t="s">
        <v>7847</v>
      </c>
      <c r="B1208" t="s">
        <v>7848</v>
      </c>
      <c r="C1208" t="s">
        <v>6446</v>
      </c>
      <c r="D1208" t="s">
        <v>1027</v>
      </c>
      <c r="E1208">
        <v>1402</v>
      </c>
      <c r="F1208" t="s">
        <v>6447</v>
      </c>
      <c r="G1208" t="b">
        <v>0</v>
      </c>
      <c r="H1208" t="b">
        <v>0</v>
      </c>
      <c r="I1208" t="s">
        <v>1051</v>
      </c>
      <c r="J1208">
        <v>78</v>
      </c>
      <c r="K1208" t="s">
        <v>0</v>
      </c>
      <c r="L1208" t="s">
        <v>3000</v>
      </c>
      <c r="M1208" t="s">
        <v>1548</v>
      </c>
      <c r="N1208" t="s">
        <v>1548</v>
      </c>
      <c r="O1208" t="s">
        <v>1548</v>
      </c>
      <c r="P1208" s="36" t="s">
        <v>6448</v>
      </c>
    </row>
    <row r="1209" spans="1:16" ht="409.5" x14ac:dyDescent="0.25">
      <c r="A1209" t="s">
        <v>7849</v>
      </c>
      <c r="B1209" t="s">
        <v>7850</v>
      </c>
      <c r="C1209" t="s">
        <v>6446</v>
      </c>
      <c r="D1209" t="s">
        <v>1027</v>
      </c>
      <c r="E1209">
        <v>1402</v>
      </c>
      <c r="F1209" t="s">
        <v>6447</v>
      </c>
      <c r="G1209" t="b">
        <v>0</v>
      </c>
      <c r="H1209" t="b">
        <v>0</v>
      </c>
      <c r="I1209" t="s">
        <v>1051</v>
      </c>
      <c r="J1209">
        <v>78</v>
      </c>
      <c r="K1209" t="s">
        <v>0</v>
      </c>
      <c r="L1209" t="s">
        <v>3000</v>
      </c>
      <c r="M1209" t="s">
        <v>1548</v>
      </c>
      <c r="N1209" t="s">
        <v>1548</v>
      </c>
      <c r="O1209" t="s">
        <v>1548</v>
      </c>
      <c r="P1209" s="36" t="s">
        <v>6448</v>
      </c>
    </row>
    <row r="1210" spans="1:16" ht="409.5" x14ac:dyDescent="0.25">
      <c r="A1210" t="s">
        <v>7851</v>
      </c>
      <c r="B1210" t="s">
        <v>7850</v>
      </c>
      <c r="C1210" t="s">
        <v>6446</v>
      </c>
      <c r="D1210" t="s">
        <v>1027</v>
      </c>
      <c r="E1210">
        <v>1402</v>
      </c>
      <c r="F1210" t="s">
        <v>6447</v>
      </c>
      <c r="G1210" t="b">
        <v>0</v>
      </c>
      <c r="H1210" t="b">
        <v>0</v>
      </c>
      <c r="I1210" t="s">
        <v>1051</v>
      </c>
      <c r="J1210">
        <v>78</v>
      </c>
      <c r="K1210" t="s">
        <v>0</v>
      </c>
      <c r="L1210" t="s">
        <v>3000</v>
      </c>
      <c r="M1210" t="s">
        <v>1548</v>
      </c>
      <c r="N1210" t="s">
        <v>1548</v>
      </c>
      <c r="O1210" t="s">
        <v>1548</v>
      </c>
      <c r="P1210" s="36" t="s">
        <v>6448</v>
      </c>
    </row>
    <row r="1211" spans="1:16" ht="409.5" x14ac:dyDescent="0.25">
      <c r="A1211" t="s">
        <v>7852</v>
      </c>
      <c r="B1211" t="s">
        <v>7848</v>
      </c>
      <c r="C1211" t="s">
        <v>6446</v>
      </c>
      <c r="D1211" t="s">
        <v>1027</v>
      </c>
      <c r="E1211">
        <v>1402</v>
      </c>
      <c r="F1211" t="s">
        <v>6447</v>
      </c>
      <c r="G1211" t="b">
        <v>0</v>
      </c>
      <c r="H1211" t="b">
        <v>0</v>
      </c>
      <c r="I1211" t="s">
        <v>1051</v>
      </c>
      <c r="J1211">
        <v>78</v>
      </c>
      <c r="K1211" t="s">
        <v>0</v>
      </c>
      <c r="L1211" t="s">
        <v>3000</v>
      </c>
      <c r="M1211" t="s">
        <v>1548</v>
      </c>
      <c r="N1211" t="s">
        <v>1548</v>
      </c>
      <c r="O1211" t="s">
        <v>1548</v>
      </c>
      <c r="P1211" s="36" t="s">
        <v>6448</v>
      </c>
    </row>
    <row r="1212" spans="1:16" ht="390" x14ac:dyDescent="0.25">
      <c r="A1212" t="s">
        <v>7853</v>
      </c>
      <c r="B1212" t="s">
        <v>7854</v>
      </c>
      <c r="C1212" t="s">
        <v>7395</v>
      </c>
      <c r="D1212" t="s">
        <v>1027</v>
      </c>
      <c r="E1212">
        <v>1679</v>
      </c>
      <c r="F1212" t="s">
        <v>7396</v>
      </c>
      <c r="G1212" t="b">
        <v>0</v>
      </c>
      <c r="H1212" t="b">
        <v>0</v>
      </c>
      <c r="I1212" t="s">
        <v>1051</v>
      </c>
      <c r="J1212">
        <v>81</v>
      </c>
      <c r="K1212" t="s">
        <v>0</v>
      </c>
      <c r="L1212" t="s">
        <v>3000</v>
      </c>
      <c r="M1212" t="s">
        <v>1548</v>
      </c>
      <c r="N1212" t="s">
        <v>1548</v>
      </c>
      <c r="O1212" t="s">
        <v>3922</v>
      </c>
      <c r="P1212" s="36" t="s">
        <v>7397</v>
      </c>
    </row>
    <row r="1213" spans="1:16" ht="390" x14ac:dyDescent="0.25">
      <c r="A1213" t="s">
        <v>7855</v>
      </c>
      <c r="B1213" t="s">
        <v>7856</v>
      </c>
      <c r="C1213" t="s">
        <v>7395</v>
      </c>
      <c r="D1213" t="s">
        <v>1027</v>
      </c>
      <c r="E1213">
        <v>1679</v>
      </c>
      <c r="F1213" t="s">
        <v>7396</v>
      </c>
      <c r="G1213" t="b">
        <v>0</v>
      </c>
      <c r="H1213" t="b">
        <v>0</v>
      </c>
      <c r="I1213" t="s">
        <v>1051</v>
      </c>
      <c r="J1213">
        <v>81</v>
      </c>
      <c r="K1213" t="s">
        <v>0</v>
      </c>
      <c r="L1213" t="s">
        <v>3000</v>
      </c>
      <c r="M1213" t="s">
        <v>1548</v>
      </c>
      <c r="N1213" t="s">
        <v>1548</v>
      </c>
      <c r="O1213" t="s">
        <v>3922</v>
      </c>
      <c r="P1213" s="36" t="s">
        <v>7397</v>
      </c>
    </row>
    <row r="1214" spans="1:16" ht="409.5" x14ac:dyDescent="0.25">
      <c r="A1214" t="s">
        <v>7857</v>
      </c>
      <c r="B1214" t="s">
        <v>7858</v>
      </c>
      <c r="C1214" t="s">
        <v>6446</v>
      </c>
      <c r="D1214" t="s">
        <v>1027</v>
      </c>
      <c r="E1214">
        <v>1402</v>
      </c>
      <c r="F1214" t="s">
        <v>6447</v>
      </c>
      <c r="G1214" t="b">
        <v>0</v>
      </c>
      <c r="H1214" t="b">
        <v>0</v>
      </c>
      <c r="I1214" t="s">
        <v>1051</v>
      </c>
      <c r="J1214">
        <v>78</v>
      </c>
      <c r="K1214" t="s">
        <v>0</v>
      </c>
      <c r="L1214" t="s">
        <v>3000</v>
      </c>
      <c r="M1214" t="s">
        <v>1548</v>
      </c>
      <c r="N1214" t="s">
        <v>1548</v>
      </c>
      <c r="O1214" t="s">
        <v>1548</v>
      </c>
      <c r="P1214" s="36" t="s">
        <v>6448</v>
      </c>
    </row>
    <row r="1215" spans="1:16" ht="409.5" x14ac:dyDescent="0.25">
      <c r="A1215" t="s">
        <v>7859</v>
      </c>
      <c r="B1215" t="s">
        <v>7858</v>
      </c>
      <c r="C1215" t="s">
        <v>6446</v>
      </c>
      <c r="D1215" t="s">
        <v>1027</v>
      </c>
      <c r="E1215">
        <v>1402</v>
      </c>
      <c r="F1215" t="s">
        <v>6447</v>
      </c>
      <c r="G1215" t="b">
        <v>0</v>
      </c>
      <c r="H1215" t="b">
        <v>0</v>
      </c>
      <c r="I1215" t="s">
        <v>1051</v>
      </c>
      <c r="J1215">
        <v>78</v>
      </c>
      <c r="K1215" t="s">
        <v>0</v>
      </c>
      <c r="L1215" t="s">
        <v>3000</v>
      </c>
      <c r="M1215" t="s">
        <v>1548</v>
      </c>
      <c r="N1215" t="s">
        <v>1548</v>
      </c>
      <c r="O1215" t="s">
        <v>1548</v>
      </c>
      <c r="P1215" s="36" t="s">
        <v>6448</v>
      </c>
    </row>
    <row r="1216" spans="1:16" ht="409.5" x14ac:dyDescent="0.25">
      <c r="A1216" t="s">
        <v>7860</v>
      </c>
      <c r="B1216" t="s">
        <v>7861</v>
      </c>
      <c r="C1216" t="s">
        <v>6446</v>
      </c>
      <c r="D1216" t="s">
        <v>1027</v>
      </c>
      <c r="E1216">
        <v>1402</v>
      </c>
      <c r="F1216" t="s">
        <v>6447</v>
      </c>
      <c r="G1216" t="b">
        <v>0</v>
      </c>
      <c r="H1216" t="b">
        <v>0</v>
      </c>
      <c r="I1216" t="s">
        <v>1051</v>
      </c>
      <c r="J1216">
        <v>78</v>
      </c>
      <c r="K1216" t="s">
        <v>0</v>
      </c>
      <c r="L1216" t="s">
        <v>3000</v>
      </c>
      <c r="M1216" t="s">
        <v>1548</v>
      </c>
      <c r="N1216" t="s">
        <v>1548</v>
      </c>
      <c r="O1216" t="s">
        <v>1548</v>
      </c>
      <c r="P1216" s="36" t="s">
        <v>6448</v>
      </c>
    </row>
    <row r="1217" spans="1:16" ht="409.5" x14ac:dyDescent="0.25">
      <c r="A1217" t="s">
        <v>7862</v>
      </c>
      <c r="B1217" t="s">
        <v>7863</v>
      </c>
      <c r="C1217" t="s">
        <v>6446</v>
      </c>
      <c r="D1217" t="s">
        <v>1027</v>
      </c>
      <c r="E1217">
        <v>1402</v>
      </c>
      <c r="F1217" t="s">
        <v>6447</v>
      </c>
      <c r="G1217" t="b">
        <v>0</v>
      </c>
      <c r="H1217" t="b">
        <v>0</v>
      </c>
      <c r="I1217" t="s">
        <v>1051</v>
      </c>
      <c r="J1217">
        <v>78</v>
      </c>
      <c r="K1217" t="s">
        <v>0</v>
      </c>
      <c r="L1217" t="s">
        <v>3000</v>
      </c>
      <c r="M1217" t="s">
        <v>1548</v>
      </c>
      <c r="N1217" t="s">
        <v>1548</v>
      </c>
      <c r="O1217" t="s">
        <v>1548</v>
      </c>
      <c r="P1217" s="36" t="s">
        <v>6448</v>
      </c>
    </row>
    <row r="1218" spans="1:16" ht="409.5" x14ac:dyDescent="0.25">
      <c r="A1218" t="s">
        <v>7864</v>
      </c>
      <c r="B1218" t="s">
        <v>7858</v>
      </c>
      <c r="C1218" t="s">
        <v>6446</v>
      </c>
      <c r="D1218" t="s">
        <v>1027</v>
      </c>
      <c r="E1218">
        <v>1402</v>
      </c>
      <c r="F1218" t="s">
        <v>6447</v>
      </c>
      <c r="G1218" t="b">
        <v>0</v>
      </c>
      <c r="H1218" t="b">
        <v>0</v>
      </c>
      <c r="I1218" t="s">
        <v>1051</v>
      </c>
      <c r="J1218">
        <v>78</v>
      </c>
      <c r="K1218" t="s">
        <v>0</v>
      </c>
      <c r="L1218" t="s">
        <v>3000</v>
      </c>
      <c r="M1218" t="s">
        <v>1548</v>
      </c>
      <c r="N1218" t="s">
        <v>1548</v>
      </c>
      <c r="O1218" t="s">
        <v>1548</v>
      </c>
      <c r="P1218" s="36" t="s">
        <v>6448</v>
      </c>
    </row>
    <row r="1219" spans="1:16" ht="409.5" x14ac:dyDescent="0.25">
      <c r="A1219" t="s">
        <v>7865</v>
      </c>
      <c r="B1219" t="s">
        <v>7858</v>
      </c>
      <c r="C1219" t="s">
        <v>6446</v>
      </c>
      <c r="D1219" t="s">
        <v>1027</v>
      </c>
      <c r="E1219">
        <v>1402</v>
      </c>
      <c r="F1219" t="s">
        <v>6447</v>
      </c>
      <c r="G1219" t="b">
        <v>0</v>
      </c>
      <c r="H1219" t="b">
        <v>0</v>
      </c>
      <c r="I1219" t="s">
        <v>1051</v>
      </c>
      <c r="J1219">
        <v>78</v>
      </c>
      <c r="K1219" t="s">
        <v>0</v>
      </c>
      <c r="L1219" t="s">
        <v>3000</v>
      </c>
      <c r="M1219" t="s">
        <v>1548</v>
      </c>
      <c r="N1219" t="s">
        <v>1548</v>
      </c>
      <c r="O1219" t="s">
        <v>1548</v>
      </c>
      <c r="P1219" s="36" t="s">
        <v>6448</v>
      </c>
    </row>
    <row r="1220" spans="1:16" ht="409.5" x14ac:dyDescent="0.25">
      <c r="A1220" t="s">
        <v>7866</v>
      </c>
      <c r="B1220" t="s">
        <v>7867</v>
      </c>
      <c r="C1220" t="s">
        <v>6446</v>
      </c>
      <c r="D1220" t="s">
        <v>1027</v>
      </c>
      <c r="E1220">
        <v>1402</v>
      </c>
      <c r="F1220" t="s">
        <v>6447</v>
      </c>
      <c r="G1220" t="b">
        <v>0</v>
      </c>
      <c r="H1220" t="b">
        <v>0</v>
      </c>
      <c r="I1220" t="s">
        <v>1051</v>
      </c>
      <c r="J1220">
        <v>78</v>
      </c>
      <c r="K1220" t="s">
        <v>0</v>
      </c>
      <c r="L1220" t="s">
        <v>3000</v>
      </c>
      <c r="M1220" t="s">
        <v>1548</v>
      </c>
      <c r="N1220" t="s">
        <v>1548</v>
      </c>
      <c r="O1220" t="s">
        <v>1548</v>
      </c>
      <c r="P1220" s="36" t="s">
        <v>6448</v>
      </c>
    </row>
    <row r="1221" spans="1:16" ht="409.5" x14ac:dyDescent="0.25">
      <c r="A1221" t="s">
        <v>7868</v>
      </c>
      <c r="B1221" t="s">
        <v>7867</v>
      </c>
      <c r="C1221" t="s">
        <v>6446</v>
      </c>
      <c r="D1221" t="s">
        <v>1027</v>
      </c>
      <c r="E1221">
        <v>1402</v>
      </c>
      <c r="F1221" t="s">
        <v>6447</v>
      </c>
      <c r="G1221" t="b">
        <v>0</v>
      </c>
      <c r="H1221" t="b">
        <v>0</v>
      </c>
      <c r="I1221" t="s">
        <v>1051</v>
      </c>
      <c r="J1221">
        <v>78</v>
      </c>
      <c r="K1221" t="s">
        <v>0</v>
      </c>
      <c r="L1221" t="s">
        <v>3000</v>
      </c>
      <c r="M1221" t="s">
        <v>1548</v>
      </c>
      <c r="N1221" t="s">
        <v>1548</v>
      </c>
      <c r="O1221" t="s">
        <v>1548</v>
      </c>
      <c r="P1221" s="36" t="s">
        <v>6448</v>
      </c>
    </row>
    <row r="1222" spans="1:16" ht="409.5" x14ac:dyDescent="0.25">
      <c r="A1222" t="s">
        <v>7869</v>
      </c>
      <c r="B1222" t="s">
        <v>7870</v>
      </c>
      <c r="C1222" t="s">
        <v>6446</v>
      </c>
      <c r="D1222" t="s">
        <v>1027</v>
      </c>
      <c r="E1222">
        <v>1402</v>
      </c>
      <c r="F1222" t="s">
        <v>6447</v>
      </c>
      <c r="G1222" t="b">
        <v>0</v>
      </c>
      <c r="H1222" t="b">
        <v>0</v>
      </c>
      <c r="I1222" t="s">
        <v>1051</v>
      </c>
      <c r="J1222">
        <v>78</v>
      </c>
      <c r="K1222" t="s">
        <v>0</v>
      </c>
      <c r="L1222" t="s">
        <v>3000</v>
      </c>
      <c r="M1222" t="s">
        <v>1548</v>
      </c>
      <c r="N1222" t="s">
        <v>1548</v>
      </c>
      <c r="O1222" t="s">
        <v>1548</v>
      </c>
      <c r="P1222" s="36" t="s">
        <v>6448</v>
      </c>
    </row>
    <row r="1223" spans="1:16" ht="409.5" x14ac:dyDescent="0.25">
      <c r="A1223" t="s">
        <v>7871</v>
      </c>
      <c r="B1223" t="s">
        <v>7870</v>
      </c>
      <c r="C1223" t="s">
        <v>6446</v>
      </c>
      <c r="D1223" t="s">
        <v>1027</v>
      </c>
      <c r="E1223">
        <v>1402</v>
      </c>
      <c r="F1223" t="s">
        <v>6447</v>
      </c>
      <c r="G1223" t="b">
        <v>0</v>
      </c>
      <c r="H1223" t="b">
        <v>0</v>
      </c>
      <c r="I1223" t="s">
        <v>1051</v>
      </c>
      <c r="J1223">
        <v>78</v>
      </c>
      <c r="K1223" t="s">
        <v>0</v>
      </c>
      <c r="L1223" t="s">
        <v>3000</v>
      </c>
      <c r="M1223" t="s">
        <v>1548</v>
      </c>
      <c r="N1223" t="s">
        <v>1548</v>
      </c>
      <c r="O1223" t="s">
        <v>1548</v>
      </c>
      <c r="P1223" s="36" t="s">
        <v>6448</v>
      </c>
    </row>
    <row r="1224" spans="1:16" ht="409.5" x14ac:dyDescent="0.25">
      <c r="A1224" t="s">
        <v>7872</v>
      </c>
      <c r="B1224" t="s">
        <v>7870</v>
      </c>
      <c r="C1224" t="s">
        <v>6446</v>
      </c>
      <c r="D1224" t="s">
        <v>1027</v>
      </c>
      <c r="E1224">
        <v>1402</v>
      </c>
      <c r="F1224" t="s">
        <v>6447</v>
      </c>
      <c r="G1224" t="b">
        <v>0</v>
      </c>
      <c r="H1224" t="b">
        <v>0</v>
      </c>
      <c r="I1224" t="s">
        <v>1051</v>
      </c>
      <c r="J1224">
        <v>78</v>
      </c>
      <c r="K1224" t="s">
        <v>0</v>
      </c>
      <c r="L1224" t="s">
        <v>3000</v>
      </c>
      <c r="M1224" t="s">
        <v>1548</v>
      </c>
      <c r="N1224" t="s">
        <v>1548</v>
      </c>
      <c r="O1224" t="s">
        <v>1548</v>
      </c>
      <c r="P1224" s="36" t="s">
        <v>6448</v>
      </c>
    </row>
    <row r="1225" spans="1:16" x14ac:dyDescent="0.25">
      <c r="A1225" t="s">
        <v>7873</v>
      </c>
      <c r="B1225" t="s">
        <v>7874</v>
      </c>
      <c r="C1225" t="s">
        <v>1335</v>
      </c>
      <c r="D1225" t="s">
        <v>1027</v>
      </c>
      <c r="E1225">
        <v>1459</v>
      </c>
      <c r="F1225" t="s">
        <v>1336</v>
      </c>
      <c r="G1225" t="b">
        <v>0</v>
      </c>
      <c r="H1225" t="b">
        <v>0</v>
      </c>
      <c r="I1225" t="s">
        <v>1051</v>
      </c>
      <c r="J1225">
        <v>23</v>
      </c>
      <c r="K1225" t="s">
        <v>2</v>
      </c>
      <c r="L1225" t="s">
        <v>1549</v>
      </c>
      <c r="M1225" t="s">
        <v>3922</v>
      </c>
      <c r="N1225" t="s">
        <v>3922</v>
      </c>
      <c r="O1225" t="s">
        <v>3922</v>
      </c>
      <c r="P1225" t="s">
        <v>1682</v>
      </c>
    </row>
    <row r="1226" spans="1:16" x14ac:dyDescent="0.25">
      <c r="A1226" t="s">
        <v>7875</v>
      </c>
      <c r="B1226" t="s">
        <v>7874</v>
      </c>
      <c r="C1226" t="s">
        <v>1335</v>
      </c>
      <c r="D1226" t="s">
        <v>1027</v>
      </c>
      <c r="E1226">
        <v>1459</v>
      </c>
      <c r="F1226" t="s">
        <v>1336</v>
      </c>
      <c r="G1226" t="b">
        <v>0</v>
      </c>
      <c r="H1226" t="b">
        <v>0</v>
      </c>
      <c r="I1226" t="s">
        <v>1051</v>
      </c>
      <c r="J1226">
        <v>22</v>
      </c>
      <c r="K1226" t="s">
        <v>2</v>
      </c>
      <c r="L1226" t="s">
        <v>1549</v>
      </c>
      <c r="M1226" t="s">
        <v>3922</v>
      </c>
      <c r="N1226" t="s">
        <v>3922</v>
      </c>
      <c r="O1226" t="s">
        <v>3922</v>
      </c>
      <c r="P1226" t="s">
        <v>1682</v>
      </c>
    </row>
    <row r="1227" spans="1:16" x14ac:dyDescent="0.25">
      <c r="A1227" t="s">
        <v>7876</v>
      </c>
      <c r="B1227" t="s">
        <v>7874</v>
      </c>
      <c r="C1227" t="s">
        <v>1335</v>
      </c>
      <c r="D1227" t="s">
        <v>1027</v>
      </c>
      <c r="E1227">
        <v>1459</v>
      </c>
      <c r="F1227" t="s">
        <v>1336</v>
      </c>
      <c r="G1227" t="b">
        <v>0</v>
      </c>
      <c r="H1227" t="b">
        <v>0</v>
      </c>
      <c r="I1227" t="s">
        <v>1051</v>
      </c>
      <c r="J1227">
        <v>23</v>
      </c>
      <c r="K1227" t="s">
        <v>2</v>
      </c>
      <c r="L1227" t="s">
        <v>1549</v>
      </c>
      <c r="M1227" t="s">
        <v>3922</v>
      </c>
      <c r="N1227" t="s">
        <v>3922</v>
      </c>
      <c r="O1227" t="s">
        <v>3922</v>
      </c>
      <c r="P1227" t="s">
        <v>1682</v>
      </c>
    </row>
    <row r="1228" spans="1:16" x14ac:dyDescent="0.25">
      <c r="A1228" t="s">
        <v>7877</v>
      </c>
      <c r="B1228" t="s">
        <v>7874</v>
      </c>
      <c r="C1228" t="s">
        <v>1335</v>
      </c>
      <c r="D1228" t="s">
        <v>1027</v>
      </c>
      <c r="E1228">
        <v>1459</v>
      </c>
      <c r="F1228" t="s">
        <v>1336</v>
      </c>
      <c r="G1228" t="b">
        <v>0</v>
      </c>
      <c r="H1228" t="b">
        <v>0</v>
      </c>
      <c r="I1228" t="s">
        <v>1051</v>
      </c>
      <c r="J1228">
        <v>23</v>
      </c>
      <c r="K1228" t="s">
        <v>2</v>
      </c>
      <c r="L1228" t="s">
        <v>1549</v>
      </c>
      <c r="M1228" t="s">
        <v>3922</v>
      </c>
      <c r="N1228" t="s">
        <v>3922</v>
      </c>
      <c r="O1228" t="s">
        <v>3922</v>
      </c>
      <c r="P1228" t="s">
        <v>1682</v>
      </c>
    </row>
    <row r="1229" spans="1:16" ht="409.5" x14ac:dyDescent="0.25">
      <c r="A1229" t="s">
        <v>7878</v>
      </c>
      <c r="B1229" t="s">
        <v>7879</v>
      </c>
      <c r="C1229" t="s">
        <v>6503</v>
      </c>
      <c r="D1229" t="s">
        <v>1027</v>
      </c>
      <c r="E1229">
        <v>1488</v>
      </c>
      <c r="F1229" t="s">
        <v>6504</v>
      </c>
      <c r="G1229" t="b">
        <v>0</v>
      </c>
      <c r="H1229" t="b">
        <v>0</v>
      </c>
      <c r="I1229" t="s">
        <v>1051</v>
      </c>
      <c r="J1229">
        <v>78</v>
      </c>
      <c r="K1229" t="s">
        <v>0</v>
      </c>
      <c r="L1229" t="s">
        <v>3000</v>
      </c>
      <c r="M1229" t="s">
        <v>1548</v>
      </c>
      <c r="N1229" t="s">
        <v>1548</v>
      </c>
      <c r="O1229" t="s">
        <v>1548</v>
      </c>
      <c r="P1229" s="36" t="s">
        <v>6505</v>
      </c>
    </row>
    <row r="1230" spans="1:16" ht="409.5" x14ac:dyDescent="0.25">
      <c r="A1230" t="s">
        <v>7880</v>
      </c>
      <c r="B1230" t="s">
        <v>7879</v>
      </c>
      <c r="C1230" t="s">
        <v>6503</v>
      </c>
      <c r="D1230" t="s">
        <v>1027</v>
      </c>
      <c r="E1230">
        <v>1488</v>
      </c>
      <c r="F1230" t="s">
        <v>6504</v>
      </c>
      <c r="G1230" t="b">
        <v>0</v>
      </c>
      <c r="H1230" t="b">
        <v>0</v>
      </c>
      <c r="I1230" t="s">
        <v>1051</v>
      </c>
      <c r="J1230">
        <v>78</v>
      </c>
      <c r="K1230" t="s">
        <v>0</v>
      </c>
      <c r="L1230" t="s">
        <v>3000</v>
      </c>
      <c r="M1230" t="s">
        <v>1548</v>
      </c>
      <c r="N1230" t="s">
        <v>1548</v>
      </c>
      <c r="O1230" t="s">
        <v>1548</v>
      </c>
      <c r="P1230" s="36" t="s">
        <v>6505</v>
      </c>
    </row>
    <row r="1231" spans="1:16" ht="409.5" x14ac:dyDescent="0.25">
      <c r="A1231" t="s">
        <v>7881</v>
      </c>
      <c r="B1231" t="s">
        <v>7882</v>
      </c>
      <c r="C1231" t="s">
        <v>7622</v>
      </c>
      <c r="D1231" t="s">
        <v>1027</v>
      </c>
      <c r="G1231" t="b">
        <v>0</v>
      </c>
      <c r="H1231" t="b">
        <v>0</v>
      </c>
      <c r="I1231" t="s">
        <v>1051</v>
      </c>
      <c r="J1231">
        <v>81</v>
      </c>
      <c r="K1231" t="s">
        <v>0</v>
      </c>
      <c r="L1231" t="s">
        <v>3000</v>
      </c>
      <c r="M1231" t="s">
        <v>1548</v>
      </c>
      <c r="N1231" t="s">
        <v>1548</v>
      </c>
      <c r="O1231" t="s">
        <v>3922</v>
      </c>
      <c r="P1231" s="36" t="s">
        <v>7623</v>
      </c>
    </row>
    <row r="1232" spans="1:16" ht="409.5" x14ac:dyDescent="0.25">
      <c r="A1232" t="s">
        <v>7883</v>
      </c>
      <c r="B1232" t="s">
        <v>7884</v>
      </c>
      <c r="C1232" t="s">
        <v>6446</v>
      </c>
      <c r="D1232" t="s">
        <v>1027</v>
      </c>
      <c r="E1232">
        <v>1402</v>
      </c>
      <c r="F1232" t="s">
        <v>6447</v>
      </c>
      <c r="G1232" t="b">
        <v>0</v>
      </c>
      <c r="H1232" t="b">
        <v>0</v>
      </c>
      <c r="I1232" t="s">
        <v>1051</v>
      </c>
      <c r="J1232">
        <v>78</v>
      </c>
      <c r="K1232" t="s">
        <v>0</v>
      </c>
      <c r="L1232" t="s">
        <v>3000</v>
      </c>
      <c r="M1232" t="s">
        <v>1548</v>
      </c>
      <c r="N1232" t="s">
        <v>1548</v>
      </c>
      <c r="O1232" t="s">
        <v>1548</v>
      </c>
      <c r="P1232" s="36" t="s">
        <v>6448</v>
      </c>
    </row>
    <row r="1233" spans="1:16" ht="409.5" x14ac:dyDescent="0.25">
      <c r="A1233" t="s">
        <v>7885</v>
      </c>
      <c r="B1233" t="s">
        <v>7884</v>
      </c>
      <c r="C1233" t="s">
        <v>6446</v>
      </c>
      <c r="D1233" t="s">
        <v>1027</v>
      </c>
      <c r="E1233">
        <v>1402</v>
      </c>
      <c r="F1233" t="s">
        <v>6447</v>
      </c>
      <c r="G1233" t="b">
        <v>0</v>
      </c>
      <c r="H1233" t="b">
        <v>0</v>
      </c>
      <c r="I1233" t="s">
        <v>1051</v>
      </c>
      <c r="J1233">
        <v>78</v>
      </c>
      <c r="K1233" t="s">
        <v>0</v>
      </c>
      <c r="L1233" t="s">
        <v>3000</v>
      </c>
      <c r="M1233" t="s">
        <v>1548</v>
      </c>
      <c r="N1233" t="s">
        <v>1548</v>
      </c>
      <c r="O1233" t="s">
        <v>1548</v>
      </c>
      <c r="P1233" s="36" t="s">
        <v>6448</v>
      </c>
    </row>
    <row r="1234" spans="1:16" ht="409.5" x14ac:dyDescent="0.25">
      <c r="A1234" t="s">
        <v>7886</v>
      </c>
      <c r="B1234" t="s">
        <v>7887</v>
      </c>
      <c r="C1234" t="s">
        <v>6446</v>
      </c>
      <c r="D1234" t="s">
        <v>1027</v>
      </c>
      <c r="E1234">
        <v>1402</v>
      </c>
      <c r="F1234" t="s">
        <v>6447</v>
      </c>
      <c r="G1234" t="b">
        <v>0</v>
      </c>
      <c r="H1234" t="b">
        <v>0</v>
      </c>
      <c r="I1234" t="s">
        <v>1051</v>
      </c>
      <c r="J1234">
        <v>78</v>
      </c>
      <c r="K1234" t="s">
        <v>0</v>
      </c>
      <c r="L1234" t="s">
        <v>3000</v>
      </c>
      <c r="M1234" t="s">
        <v>1548</v>
      </c>
      <c r="N1234" t="s">
        <v>1548</v>
      </c>
      <c r="O1234" t="s">
        <v>1548</v>
      </c>
      <c r="P1234" s="36" t="s">
        <v>6448</v>
      </c>
    </row>
    <row r="1235" spans="1:16" ht="409.5" x14ac:dyDescent="0.25">
      <c r="A1235" t="s">
        <v>7888</v>
      </c>
      <c r="B1235" t="s">
        <v>7889</v>
      </c>
      <c r="C1235" t="s">
        <v>6446</v>
      </c>
      <c r="D1235" t="s">
        <v>1027</v>
      </c>
      <c r="E1235">
        <v>1402</v>
      </c>
      <c r="F1235" t="s">
        <v>6447</v>
      </c>
      <c r="G1235" t="b">
        <v>0</v>
      </c>
      <c r="H1235" t="b">
        <v>0</v>
      </c>
      <c r="I1235" t="s">
        <v>1051</v>
      </c>
      <c r="J1235">
        <v>78</v>
      </c>
      <c r="K1235" t="s">
        <v>0</v>
      </c>
      <c r="L1235" t="s">
        <v>3000</v>
      </c>
      <c r="M1235" t="s">
        <v>1548</v>
      </c>
      <c r="N1235" t="s">
        <v>1548</v>
      </c>
      <c r="O1235" t="s">
        <v>1548</v>
      </c>
      <c r="P1235" s="36" t="s">
        <v>6448</v>
      </c>
    </row>
    <row r="1236" spans="1:16" ht="409.5" x14ac:dyDescent="0.25">
      <c r="A1236" t="s">
        <v>7890</v>
      </c>
      <c r="B1236" t="s">
        <v>7891</v>
      </c>
      <c r="C1236" t="s">
        <v>6446</v>
      </c>
      <c r="D1236" t="s">
        <v>1027</v>
      </c>
      <c r="E1236">
        <v>1402</v>
      </c>
      <c r="F1236" t="s">
        <v>6447</v>
      </c>
      <c r="G1236" t="b">
        <v>0</v>
      </c>
      <c r="H1236" t="b">
        <v>0</v>
      </c>
      <c r="I1236" t="s">
        <v>1051</v>
      </c>
      <c r="J1236">
        <v>78</v>
      </c>
      <c r="K1236" t="s">
        <v>0</v>
      </c>
      <c r="L1236" t="s">
        <v>3000</v>
      </c>
      <c r="M1236" t="s">
        <v>1548</v>
      </c>
      <c r="N1236" t="s">
        <v>1548</v>
      </c>
      <c r="O1236" t="s">
        <v>1548</v>
      </c>
      <c r="P1236" s="36" t="s">
        <v>6448</v>
      </c>
    </row>
    <row r="1237" spans="1:16" ht="409.5" x14ac:dyDescent="0.25">
      <c r="A1237" t="s">
        <v>7892</v>
      </c>
      <c r="B1237" t="s">
        <v>7893</v>
      </c>
      <c r="C1237" t="s">
        <v>6446</v>
      </c>
      <c r="D1237" t="s">
        <v>1027</v>
      </c>
      <c r="E1237">
        <v>1402</v>
      </c>
      <c r="F1237" t="s">
        <v>6447</v>
      </c>
      <c r="G1237" t="b">
        <v>0</v>
      </c>
      <c r="H1237" t="b">
        <v>0</v>
      </c>
      <c r="I1237" t="s">
        <v>1051</v>
      </c>
      <c r="J1237">
        <v>78</v>
      </c>
      <c r="K1237" t="s">
        <v>0</v>
      </c>
      <c r="L1237" t="s">
        <v>3000</v>
      </c>
      <c r="M1237" t="s">
        <v>1548</v>
      </c>
      <c r="N1237" t="s">
        <v>1548</v>
      </c>
      <c r="O1237" t="s">
        <v>1548</v>
      </c>
      <c r="P1237" s="36" t="s">
        <v>6448</v>
      </c>
    </row>
    <row r="1238" spans="1:16" ht="409.5" x14ac:dyDescent="0.25">
      <c r="A1238" t="s">
        <v>7894</v>
      </c>
      <c r="B1238" t="s">
        <v>7893</v>
      </c>
      <c r="C1238" t="s">
        <v>6446</v>
      </c>
      <c r="D1238" t="s">
        <v>1027</v>
      </c>
      <c r="E1238">
        <v>1402</v>
      </c>
      <c r="F1238" t="s">
        <v>6447</v>
      </c>
      <c r="G1238" t="b">
        <v>0</v>
      </c>
      <c r="H1238" t="b">
        <v>0</v>
      </c>
      <c r="I1238" t="s">
        <v>1051</v>
      </c>
      <c r="J1238">
        <v>78</v>
      </c>
      <c r="K1238" t="s">
        <v>0</v>
      </c>
      <c r="L1238" t="s">
        <v>3000</v>
      </c>
      <c r="M1238" t="s">
        <v>1548</v>
      </c>
      <c r="N1238" t="s">
        <v>1548</v>
      </c>
      <c r="O1238" t="s">
        <v>1548</v>
      </c>
      <c r="P1238" s="36" t="s">
        <v>6448</v>
      </c>
    </row>
    <row r="1239" spans="1:16" ht="409.5" x14ac:dyDescent="0.25">
      <c r="A1239" t="s">
        <v>7895</v>
      </c>
      <c r="B1239" t="s">
        <v>7896</v>
      </c>
      <c r="C1239" t="s">
        <v>6446</v>
      </c>
      <c r="D1239" t="s">
        <v>1027</v>
      </c>
      <c r="E1239">
        <v>1402</v>
      </c>
      <c r="F1239" t="s">
        <v>6447</v>
      </c>
      <c r="G1239" t="b">
        <v>0</v>
      </c>
      <c r="H1239" t="b">
        <v>0</v>
      </c>
      <c r="I1239" t="s">
        <v>1051</v>
      </c>
      <c r="J1239">
        <v>78</v>
      </c>
      <c r="K1239" t="s">
        <v>0</v>
      </c>
      <c r="L1239" t="s">
        <v>3000</v>
      </c>
      <c r="M1239" t="s">
        <v>1548</v>
      </c>
      <c r="N1239" t="s">
        <v>1548</v>
      </c>
      <c r="O1239" t="s">
        <v>1548</v>
      </c>
      <c r="P1239" s="36" t="s">
        <v>6448</v>
      </c>
    </row>
    <row r="1240" spans="1:16" ht="409.5" x14ac:dyDescent="0.25">
      <c r="A1240" t="s">
        <v>7897</v>
      </c>
      <c r="B1240" t="s">
        <v>7898</v>
      </c>
      <c r="C1240" t="s">
        <v>6446</v>
      </c>
      <c r="D1240" t="s">
        <v>1027</v>
      </c>
      <c r="E1240">
        <v>1402</v>
      </c>
      <c r="F1240" t="s">
        <v>6447</v>
      </c>
      <c r="G1240" t="b">
        <v>0</v>
      </c>
      <c r="H1240" t="b">
        <v>0</v>
      </c>
      <c r="I1240" t="s">
        <v>1051</v>
      </c>
      <c r="J1240">
        <v>78</v>
      </c>
      <c r="K1240" t="s">
        <v>0</v>
      </c>
      <c r="L1240" t="s">
        <v>3000</v>
      </c>
      <c r="M1240" t="s">
        <v>1548</v>
      </c>
      <c r="N1240" t="s">
        <v>1548</v>
      </c>
      <c r="O1240" t="s">
        <v>1548</v>
      </c>
      <c r="P1240" s="36" t="s">
        <v>6448</v>
      </c>
    </row>
    <row r="1241" spans="1:16" ht="409.5" x14ac:dyDescent="0.25">
      <c r="A1241" t="s">
        <v>7899</v>
      </c>
      <c r="B1241" t="s">
        <v>7884</v>
      </c>
      <c r="C1241" t="s">
        <v>6446</v>
      </c>
      <c r="D1241" t="s">
        <v>1027</v>
      </c>
      <c r="E1241">
        <v>1402</v>
      </c>
      <c r="F1241" t="s">
        <v>6447</v>
      </c>
      <c r="G1241" t="b">
        <v>0</v>
      </c>
      <c r="H1241" t="b">
        <v>0</v>
      </c>
      <c r="I1241" t="s">
        <v>1051</v>
      </c>
      <c r="J1241">
        <v>78</v>
      </c>
      <c r="K1241" t="s">
        <v>0</v>
      </c>
      <c r="L1241" t="s">
        <v>3000</v>
      </c>
      <c r="M1241" t="s">
        <v>1548</v>
      </c>
      <c r="N1241" t="s">
        <v>1548</v>
      </c>
      <c r="O1241" t="s">
        <v>1548</v>
      </c>
      <c r="P1241" s="36" t="s">
        <v>6448</v>
      </c>
    </row>
    <row r="1242" spans="1:16" ht="409.5" x14ac:dyDescent="0.25">
      <c r="A1242" t="s">
        <v>7900</v>
      </c>
      <c r="B1242" t="s">
        <v>7884</v>
      </c>
      <c r="C1242" t="s">
        <v>6446</v>
      </c>
      <c r="D1242" t="s">
        <v>1027</v>
      </c>
      <c r="E1242">
        <v>1402</v>
      </c>
      <c r="F1242" t="s">
        <v>6447</v>
      </c>
      <c r="G1242" t="b">
        <v>0</v>
      </c>
      <c r="H1242" t="b">
        <v>0</v>
      </c>
      <c r="I1242" t="s">
        <v>1051</v>
      </c>
      <c r="J1242">
        <v>78</v>
      </c>
      <c r="K1242" t="s">
        <v>0</v>
      </c>
      <c r="L1242" t="s">
        <v>3000</v>
      </c>
      <c r="M1242" t="s">
        <v>1548</v>
      </c>
      <c r="N1242" t="s">
        <v>1548</v>
      </c>
      <c r="O1242" t="s">
        <v>1548</v>
      </c>
      <c r="P1242" s="36" t="s">
        <v>6448</v>
      </c>
    </row>
    <row r="1243" spans="1:16" ht="409.5" x14ac:dyDescent="0.25">
      <c r="A1243" t="s">
        <v>7901</v>
      </c>
      <c r="B1243" t="s">
        <v>7884</v>
      </c>
      <c r="C1243" t="s">
        <v>6446</v>
      </c>
      <c r="D1243" t="s">
        <v>1027</v>
      </c>
      <c r="E1243">
        <v>1402</v>
      </c>
      <c r="F1243" t="s">
        <v>6447</v>
      </c>
      <c r="G1243" t="b">
        <v>0</v>
      </c>
      <c r="H1243" t="b">
        <v>0</v>
      </c>
      <c r="I1243" t="s">
        <v>1051</v>
      </c>
      <c r="J1243">
        <v>78</v>
      </c>
      <c r="K1243" t="s">
        <v>0</v>
      </c>
      <c r="L1243" t="s">
        <v>3000</v>
      </c>
      <c r="M1243" t="s">
        <v>1548</v>
      </c>
      <c r="N1243" t="s">
        <v>1548</v>
      </c>
      <c r="O1243" t="s">
        <v>1548</v>
      </c>
      <c r="P1243" s="36" t="s">
        <v>6448</v>
      </c>
    </row>
    <row r="1244" spans="1:16" ht="409.5" x14ac:dyDescent="0.25">
      <c r="A1244" t="s">
        <v>7902</v>
      </c>
      <c r="B1244" t="s">
        <v>7884</v>
      </c>
      <c r="C1244" t="s">
        <v>6446</v>
      </c>
      <c r="D1244" t="s">
        <v>1027</v>
      </c>
      <c r="E1244">
        <v>1402</v>
      </c>
      <c r="F1244" t="s">
        <v>6447</v>
      </c>
      <c r="G1244" t="b">
        <v>0</v>
      </c>
      <c r="H1244" t="b">
        <v>0</v>
      </c>
      <c r="I1244" t="s">
        <v>1051</v>
      </c>
      <c r="J1244">
        <v>78</v>
      </c>
      <c r="K1244" t="s">
        <v>0</v>
      </c>
      <c r="L1244" t="s">
        <v>3000</v>
      </c>
      <c r="M1244" t="s">
        <v>1548</v>
      </c>
      <c r="N1244" t="s">
        <v>1548</v>
      </c>
      <c r="O1244" t="s">
        <v>1548</v>
      </c>
      <c r="P1244" s="36" t="s">
        <v>6448</v>
      </c>
    </row>
    <row r="1245" spans="1:16" ht="409.5" x14ac:dyDescent="0.25">
      <c r="A1245" t="s">
        <v>7903</v>
      </c>
      <c r="B1245" t="s">
        <v>7884</v>
      </c>
      <c r="C1245" t="s">
        <v>6446</v>
      </c>
      <c r="D1245" t="s">
        <v>1027</v>
      </c>
      <c r="E1245">
        <v>1402</v>
      </c>
      <c r="F1245" t="s">
        <v>6447</v>
      </c>
      <c r="G1245" t="b">
        <v>0</v>
      </c>
      <c r="H1245" t="b">
        <v>0</v>
      </c>
      <c r="I1245" t="s">
        <v>1051</v>
      </c>
      <c r="J1245">
        <v>78</v>
      </c>
      <c r="K1245" t="s">
        <v>0</v>
      </c>
      <c r="L1245" t="s">
        <v>3000</v>
      </c>
      <c r="M1245" t="s">
        <v>1548</v>
      </c>
      <c r="N1245" t="s">
        <v>1548</v>
      </c>
      <c r="O1245" t="s">
        <v>1548</v>
      </c>
      <c r="P1245" s="36" t="s">
        <v>6448</v>
      </c>
    </row>
    <row r="1246" spans="1:16" ht="390" x14ac:dyDescent="0.25">
      <c r="A1246" t="s">
        <v>7904</v>
      </c>
      <c r="B1246" t="s">
        <v>7905</v>
      </c>
      <c r="C1246" t="s">
        <v>7395</v>
      </c>
      <c r="D1246" t="s">
        <v>1027</v>
      </c>
      <c r="E1246">
        <v>1679</v>
      </c>
      <c r="F1246" t="s">
        <v>7396</v>
      </c>
      <c r="G1246" t="b">
        <v>0</v>
      </c>
      <c r="H1246" t="b">
        <v>0</v>
      </c>
      <c r="I1246" t="s">
        <v>1051</v>
      </c>
      <c r="J1246">
        <v>81</v>
      </c>
      <c r="K1246" t="s">
        <v>0</v>
      </c>
      <c r="L1246" t="s">
        <v>3000</v>
      </c>
      <c r="M1246" t="s">
        <v>1548</v>
      </c>
      <c r="N1246" t="s">
        <v>1548</v>
      </c>
      <c r="O1246" t="s">
        <v>3922</v>
      </c>
      <c r="P1246" s="36" t="s">
        <v>7397</v>
      </c>
    </row>
    <row r="1247" spans="1:16" ht="409.5" x14ac:dyDescent="0.25">
      <c r="A1247" t="s">
        <v>7906</v>
      </c>
      <c r="B1247" t="s">
        <v>7907</v>
      </c>
      <c r="C1247" t="s">
        <v>6503</v>
      </c>
      <c r="D1247" t="s">
        <v>1027</v>
      </c>
      <c r="E1247">
        <v>1488</v>
      </c>
      <c r="F1247" t="s">
        <v>6504</v>
      </c>
      <c r="G1247" t="b">
        <v>0</v>
      </c>
      <c r="H1247" t="b">
        <v>0</v>
      </c>
      <c r="I1247" t="s">
        <v>1051</v>
      </c>
      <c r="J1247">
        <v>78</v>
      </c>
      <c r="K1247" t="s">
        <v>0</v>
      </c>
      <c r="L1247" t="s">
        <v>3000</v>
      </c>
      <c r="M1247" t="s">
        <v>1548</v>
      </c>
      <c r="N1247" t="s">
        <v>1548</v>
      </c>
      <c r="O1247" t="s">
        <v>1548</v>
      </c>
      <c r="P1247" s="36" t="s">
        <v>6505</v>
      </c>
    </row>
    <row r="1248" spans="1:16" ht="409.5" x14ac:dyDescent="0.25">
      <c r="A1248" t="s">
        <v>7908</v>
      </c>
      <c r="B1248" t="s">
        <v>7907</v>
      </c>
      <c r="C1248" t="s">
        <v>6503</v>
      </c>
      <c r="D1248" t="s">
        <v>1027</v>
      </c>
      <c r="E1248">
        <v>1488</v>
      </c>
      <c r="F1248" t="s">
        <v>6504</v>
      </c>
      <c r="G1248" t="b">
        <v>0</v>
      </c>
      <c r="H1248" t="b">
        <v>0</v>
      </c>
      <c r="I1248" t="s">
        <v>1051</v>
      </c>
      <c r="J1248">
        <v>78</v>
      </c>
      <c r="K1248" t="s">
        <v>0</v>
      </c>
      <c r="L1248" t="s">
        <v>3000</v>
      </c>
      <c r="M1248" t="s">
        <v>1548</v>
      </c>
      <c r="N1248" t="s">
        <v>1548</v>
      </c>
      <c r="O1248" t="s">
        <v>1548</v>
      </c>
      <c r="P1248" s="36" t="s">
        <v>6505</v>
      </c>
    </row>
    <row r="1249" spans="1:16" ht="409.5" x14ac:dyDescent="0.25">
      <c r="A1249" t="s">
        <v>7909</v>
      </c>
      <c r="B1249" t="s">
        <v>7910</v>
      </c>
      <c r="C1249" t="s">
        <v>7622</v>
      </c>
      <c r="D1249" t="s">
        <v>1027</v>
      </c>
      <c r="G1249" t="b">
        <v>0</v>
      </c>
      <c r="H1249" t="b">
        <v>0</v>
      </c>
      <c r="I1249" t="s">
        <v>1051</v>
      </c>
      <c r="J1249">
        <v>87</v>
      </c>
      <c r="K1249" t="s">
        <v>0</v>
      </c>
      <c r="L1249" t="s">
        <v>3000</v>
      </c>
      <c r="M1249" t="s">
        <v>1548</v>
      </c>
      <c r="N1249" t="s">
        <v>1548</v>
      </c>
      <c r="O1249" t="s">
        <v>3922</v>
      </c>
      <c r="P1249" s="36" t="s">
        <v>7623</v>
      </c>
    </row>
    <row r="1250" spans="1:16" ht="409.5" x14ac:dyDescent="0.25">
      <c r="A1250" t="s">
        <v>7911</v>
      </c>
      <c r="B1250" t="s">
        <v>7912</v>
      </c>
      <c r="C1250" t="s">
        <v>6473</v>
      </c>
      <c r="D1250" t="s">
        <v>1027</v>
      </c>
      <c r="E1250">
        <v>33419</v>
      </c>
      <c r="F1250" t="s">
        <v>6447</v>
      </c>
      <c r="G1250" t="b">
        <v>0</v>
      </c>
      <c r="H1250" t="b">
        <v>0</v>
      </c>
      <c r="I1250" t="s">
        <v>1051</v>
      </c>
      <c r="J1250">
        <v>78</v>
      </c>
      <c r="K1250" t="s">
        <v>0</v>
      </c>
      <c r="L1250" t="s">
        <v>3000</v>
      </c>
      <c r="M1250" t="s">
        <v>1548</v>
      </c>
      <c r="N1250" t="s">
        <v>1548</v>
      </c>
      <c r="O1250" t="s">
        <v>1548</v>
      </c>
      <c r="P1250" s="36" t="s">
        <v>6448</v>
      </c>
    </row>
    <row r="1251" spans="1:16" ht="409.5" x14ac:dyDescent="0.25">
      <c r="A1251" t="s">
        <v>7913</v>
      </c>
      <c r="B1251" t="s">
        <v>7912</v>
      </c>
      <c r="C1251" t="s">
        <v>6473</v>
      </c>
      <c r="D1251" t="s">
        <v>1027</v>
      </c>
      <c r="E1251">
        <v>33419</v>
      </c>
      <c r="F1251" t="s">
        <v>6447</v>
      </c>
      <c r="G1251" t="b">
        <v>0</v>
      </c>
      <c r="H1251" t="b">
        <v>0</v>
      </c>
      <c r="I1251" t="s">
        <v>1051</v>
      </c>
      <c r="J1251">
        <v>78</v>
      </c>
      <c r="K1251" t="s">
        <v>0</v>
      </c>
      <c r="L1251" t="s">
        <v>3000</v>
      </c>
      <c r="M1251" t="s">
        <v>1548</v>
      </c>
      <c r="N1251" t="s">
        <v>1548</v>
      </c>
      <c r="O1251" t="s">
        <v>1548</v>
      </c>
      <c r="P1251" s="36" t="s">
        <v>6448</v>
      </c>
    </row>
    <row r="1252" spans="1:16" ht="409.5" x14ac:dyDescent="0.25">
      <c r="A1252" t="s">
        <v>7914</v>
      </c>
      <c r="B1252" t="s">
        <v>7915</v>
      </c>
      <c r="C1252" t="s">
        <v>6473</v>
      </c>
      <c r="D1252" t="s">
        <v>1027</v>
      </c>
      <c r="E1252">
        <v>33419</v>
      </c>
      <c r="F1252" t="s">
        <v>6447</v>
      </c>
      <c r="G1252" t="b">
        <v>0</v>
      </c>
      <c r="H1252" t="b">
        <v>0</v>
      </c>
      <c r="I1252" t="s">
        <v>1051</v>
      </c>
      <c r="J1252">
        <v>78</v>
      </c>
      <c r="K1252" t="s">
        <v>0</v>
      </c>
      <c r="L1252" t="s">
        <v>3000</v>
      </c>
      <c r="M1252" t="s">
        <v>1548</v>
      </c>
      <c r="N1252" t="s">
        <v>1548</v>
      </c>
      <c r="O1252" t="s">
        <v>1548</v>
      </c>
      <c r="P1252" s="36" t="s">
        <v>6448</v>
      </c>
    </row>
    <row r="1253" spans="1:16" ht="409.5" x14ac:dyDescent="0.25">
      <c r="A1253" t="s">
        <v>7916</v>
      </c>
      <c r="B1253" t="s">
        <v>7915</v>
      </c>
      <c r="C1253" t="s">
        <v>6473</v>
      </c>
      <c r="D1253" t="s">
        <v>1027</v>
      </c>
      <c r="E1253">
        <v>33419</v>
      </c>
      <c r="F1253" t="s">
        <v>6447</v>
      </c>
      <c r="G1253" t="b">
        <v>0</v>
      </c>
      <c r="H1253" t="b">
        <v>0</v>
      </c>
      <c r="I1253" t="s">
        <v>1051</v>
      </c>
      <c r="J1253">
        <v>78</v>
      </c>
      <c r="K1253" t="s">
        <v>0</v>
      </c>
      <c r="L1253" t="s">
        <v>3000</v>
      </c>
      <c r="M1253" t="s">
        <v>1548</v>
      </c>
      <c r="N1253" t="s">
        <v>1548</v>
      </c>
      <c r="O1253" t="s">
        <v>1548</v>
      </c>
      <c r="P1253" s="36" t="s">
        <v>6448</v>
      </c>
    </row>
    <row r="1254" spans="1:16" ht="409.5" x14ac:dyDescent="0.25">
      <c r="A1254" t="s">
        <v>7917</v>
      </c>
      <c r="B1254" t="s">
        <v>7918</v>
      </c>
      <c r="C1254" t="s">
        <v>6473</v>
      </c>
      <c r="D1254" t="s">
        <v>1027</v>
      </c>
      <c r="E1254">
        <v>33419</v>
      </c>
      <c r="F1254" t="s">
        <v>6474</v>
      </c>
      <c r="G1254" t="b">
        <v>0</v>
      </c>
      <c r="H1254" t="b">
        <v>0</v>
      </c>
      <c r="I1254" t="s">
        <v>1051</v>
      </c>
      <c r="J1254">
        <v>78</v>
      </c>
      <c r="K1254" t="s">
        <v>0</v>
      </c>
      <c r="L1254" t="s">
        <v>3000</v>
      </c>
      <c r="M1254" t="s">
        <v>1548</v>
      </c>
      <c r="N1254" t="s">
        <v>1548</v>
      </c>
      <c r="O1254" t="s">
        <v>1548</v>
      </c>
      <c r="P1254" s="36" t="s">
        <v>6448</v>
      </c>
    </row>
    <row r="1255" spans="1:16" ht="409.5" x14ac:dyDescent="0.25">
      <c r="A1255" t="s">
        <v>7919</v>
      </c>
      <c r="B1255" t="s">
        <v>7918</v>
      </c>
      <c r="C1255" t="s">
        <v>6473</v>
      </c>
      <c r="D1255" t="s">
        <v>1027</v>
      </c>
      <c r="E1255">
        <v>33419</v>
      </c>
      <c r="F1255" t="s">
        <v>6474</v>
      </c>
      <c r="G1255" t="b">
        <v>0</v>
      </c>
      <c r="H1255" t="b">
        <v>0</v>
      </c>
      <c r="I1255" t="s">
        <v>1051</v>
      </c>
      <c r="J1255">
        <v>78</v>
      </c>
      <c r="K1255" t="s">
        <v>0</v>
      </c>
      <c r="L1255" t="s">
        <v>3000</v>
      </c>
      <c r="M1255" t="s">
        <v>1548</v>
      </c>
      <c r="N1255" t="s">
        <v>1548</v>
      </c>
      <c r="O1255" t="s">
        <v>1548</v>
      </c>
      <c r="P1255" s="36" t="s">
        <v>6448</v>
      </c>
    </row>
    <row r="1256" spans="1:16" ht="409.5" x14ac:dyDescent="0.25">
      <c r="A1256" t="s">
        <v>7920</v>
      </c>
      <c r="B1256" t="s">
        <v>7921</v>
      </c>
      <c r="C1256" t="s">
        <v>6473</v>
      </c>
      <c r="D1256" t="s">
        <v>1027</v>
      </c>
      <c r="E1256">
        <v>33419</v>
      </c>
      <c r="F1256" t="s">
        <v>6474</v>
      </c>
      <c r="G1256" t="b">
        <v>0</v>
      </c>
      <c r="H1256" t="b">
        <v>0</v>
      </c>
      <c r="I1256" t="s">
        <v>1051</v>
      </c>
      <c r="J1256">
        <v>78</v>
      </c>
      <c r="K1256" t="s">
        <v>0</v>
      </c>
      <c r="L1256" t="s">
        <v>3000</v>
      </c>
      <c r="M1256" t="s">
        <v>1548</v>
      </c>
      <c r="N1256" t="s">
        <v>1548</v>
      </c>
      <c r="O1256" t="s">
        <v>1548</v>
      </c>
      <c r="P1256" s="36" t="s">
        <v>6448</v>
      </c>
    </row>
    <row r="1257" spans="1:16" ht="409.5" x14ac:dyDescent="0.25">
      <c r="A1257" t="s">
        <v>7922</v>
      </c>
      <c r="B1257" t="s">
        <v>7921</v>
      </c>
      <c r="C1257" t="s">
        <v>6473</v>
      </c>
      <c r="D1257" t="s">
        <v>1027</v>
      </c>
      <c r="E1257">
        <v>33419</v>
      </c>
      <c r="F1257" t="s">
        <v>6474</v>
      </c>
      <c r="G1257" t="b">
        <v>0</v>
      </c>
      <c r="H1257" t="b">
        <v>0</v>
      </c>
      <c r="I1257" t="s">
        <v>1051</v>
      </c>
      <c r="J1257">
        <v>78</v>
      </c>
      <c r="K1257" t="s">
        <v>0</v>
      </c>
      <c r="L1257" t="s">
        <v>3000</v>
      </c>
      <c r="M1257" t="s">
        <v>1548</v>
      </c>
      <c r="N1257" t="s">
        <v>1548</v>
      </c>
      <c r="O1257" t="s">
        <v>1548</v>
      </c>
      <c r="P1257" s="36" t="s">
        <v>6448</v>
      </c>
    </row>
    <row r="1258" spans="1:16" ht="409.5" x14ac:dyDescent="0.25">
      <c r="A1258" t="s">
        <v>7923</v>
      </c>
      <c r="B1258" t="s">
        <v>7921</v>
      </c>
      <c r="C1258" t="s">
        <v>6473</v>
      </c>
      <c r="D1258" t="s">
        <v>1027</v>
      </c>
      <c r="E1258">
        <v>33419</v>
      </c>
      <c r="F1258" t="s">
        <v>6474</v>
      </c>
      <c r="G1258" t="b">
        <v>0</v>
      </c>
      <c r="H1258" t="b">
        <v>0</v>
      </c>
      <c r="I1258" t="s">
        <v>1051</v>
      </c>
      <c r="J1258">
        <v>78</v>
      </c>
      <c r="K1258" t="s">
        <v>0</v>
      </c>
      <c r="L1258" t="s">
        <v>3000</v>
      </c>
      <c r="M1258" t="s">
        <v>1548</v>
      </c>
      <c r="N1258" t="s">
        <v>1548</v>
      </c>
      <c r="O1258" t="s">
        <v>1548</v>
      </c>
      <c r="P1258" s="36" t="s">
        <v>6448</v>
      </c>
    </row>
    <row r="1259" spans="1:16" ht="409.5" x14ac:dyDescent="0.25">
      <c r="A1259" t="s">
        <v>7924</v>
      </c>
      <c r="B1259" t="s">
        <v>7921</v>
      </c>
      <c r="C1259" t="s">
        <v>6473</v>
      </c>
      <c r="D1259" t="s">
        <v>1027</v>
      </c>
      <c r="E1259">
        <v>33419</v>
      </c>
      <c r="F1259" t="s">
        <v>6474</v>
      </c>
      <c r="G1259" t="b">
        <v>0</v>
      </c>
      <c r="H1259" t="b">
        <v>0</v>
      </c>
      <c r="I1259" t="s">
        <v>1051</v>
      </c>
      <c r="J1259">
        <v>78</v>
      </c>
      <c r="K1259" t="s">
        <v>0</v>
      </c>
      <c r="L1259" t="s">
        <v>3000</v>
      </c>
      <c r="M1259" t="s">
        <v>1548</v>
      </c>
      <c r="N1259" t="s">
        <v>1548</v>
      </c>
      <c r="O1259" t="s">
        <v>1548</v>
      </c>
      <c r="P1259" s="36" t="s">
        <v>6448</v>
      </c>
    </row>
    <row r="1260" spans="1:16" ht="409.5" x14ac:dyDescent="0.25">
      <c r="A1260" t="s">
        <v>7925</v>
      </c>
      <c r="B1260" t="s">
        <v>7921</v>
      </c>
      <c r="C1260" t="s">
        <v>6473</v>
      </c>
      <c r="D1260" t="s">
        <v>1027</v>
      </c>
      <c r="E1260">
        <v>33419</v>
      </c>
      <c r="F1260" t="s">
        <v>6474</v>
      </c>
      <c r="G1260" t="b">
        <v>0</v>
      </c>
      <c r="H1260" t="b">
        <v>0</v>
      </c>
      <c r="I1260" t="s">
        <v>1051</v>
      </c>
      <c r="J1260">
        <v>78</v>
      </c>
      <c r="K1260" t="s">
        <v>0</v>
      </c>
      <c r="L1260" t="s">
        <v>3000</v>
      </c>
      <c r="M1260" t="s">
        <v>1548</v>
      </c>
      <c r="N1260" t="s">
        <v>1548</v>
      </c>
      <c r="O1260" t="s">
        <v>1548</v>
      </c>
      <c r="P1260" s="36" t="s">
        <v>6448</v>
      </c>
    </row>
    <row r="1261" spans="1:16" ht="409.5" x14ac:dyDescent="0.25">
      <c r="A1261" t="s">
        <v>7926</v>
      </c>
      <c r="B1261" t="s">
        <v>7921</v>
      </c>
      <c r="C1261" t="s">
        <v>6473</v>
      </c>
      <c r="D1261" t="s">
        <v>1027</v>
      </c>
      <c r="E1261">
        <v>33419</v>
      </c>
      <c r="F1261" t="s">
        <v>6474</v>
      </c>
      <c r="G1261" t="b">
        <v>0</v>
      </c>
      <c r="H1261" t="b">
        <v>0</v>
      </c>
      <c r="I1261" t="s">
        <v>1051</v>
      </c>
      <c r="J1261">
        <v>78</v>
      </c>
      <c r="K1261" t="s">
        <v>0</v>
      </c>
      <c r="L1261" t="s">
        <v>3000</v>
      </c>
      <c r="M1261" t="s">
        <v>1548</v>
      </c>
      <c r="N1261" t="s">
        <v>1548</v>
      </c>
      <c r="O1261" t="s">
        <v>1548</v>
      </c>
      <c r="P1261" s="36" t="s">
        <v>6448</v>
      </c>
    </row>
    <row r="1262" spans="1:16" ht="409.5" x14ac:dyDescent="0.25">
      <c r="A1262" t="s">
        <v>7927</v>
      </c>
      <c r="B1262" t="s">
        <v>7921</v>
      </c>
      <c r="C1262" t="s">
        <v>6473</v>
      </c>
      <c r="D1262" t="s">
        <v>1027</v>
      </c>
      <c r="E1262">
        <v>33419</v>
      </c>
      <c r="F1262" t="s">
        <v>6474</v>
      </c>
      <c r="G1262" t="b">
        <v>0</v>
      </c>
      <c r="H1262" t="b">
        <v>0</v>
      </c>
      <c r="I1262" t="s">
        <v>1051</v>
      </c>
      <c r="J1262">
        <v>78</v>
      </c>
      <c r="K1262" t="s">
        <v>0</v>
      </c>
      <c r="L1262" t="s">
        <v>3000</v>
      </c>
      <c r="M1262" t="s">
        <v>1548</v>
      </c>
      <c r="N1262" t="s">
        <v>1548</v>
      </c>
      <c r="O1262" t="s">
        <v>1548</v>
      </c>
      <c r="P1262" s="36" t="s">
        <v>6448</v>
      </c>
    </row>
    <row r="1263" spans="1:16" ht="409.5" x14ac:dyDescent="0.25">
      <c r="A1263" t="s">
        <v>7928</v>
      </c>
      <c r="B1263" t="s">
        <v>7921</v>
      </c>
      <c r="C1263" t="s">
        <v>6473</v>
      </c>
      <c r="D1263" t="s">
        <v>1027</v>
      </c>
      <c r="E1263">
        <v>33419</v>
      </c>
      <c r="F1263" t="s">
        <v>6474</v>
      </c>
      <c r="G1263" t="b">
        <v>0</v>
      </c>
      <c r="H1263" t="b">
        <v>0</v>
      </c>
      <c r="I1263" t="s">
        <v>1051</v>
      </c>
      <c r="J1263">
        <v>78</v>
      </c>
      <c r="K1263" t="s">
        <v>0</v>
      </c>
      <c r="L1263" t="s">
        <v>3000</v>
      </c>
      <c r="M1263" t="s">
        <v>1548</v>
      </c>
      <c r="N1263" t="s">
        <v>1548</v>
      </c>
      <c r="O1263" t="s">
        <v>1548</v>
      </c>
      <c r="P1263" s="36" t="s">
        <v>6448</v>
      </c>
    </row>
    <row r="1264" spans="1:16" ht="409.5" x14ac:dyDescent="0.25">
      <c r="A1264" t="s">
        <v>7929</v>
      </c>
      <c r="B1264" t="s">
        <v>7930</v>
      </c>
      <c r="C1264" t="s">
        <v>6446</v>
      </c>
      <c r="D1264" t="s">
        <v>1027</v>
      </c>
      <c r="E1264">
        <v>1402</v>
      </c>
      <c r="F1264" t="s">
        <v>6447</v>
      </c>
      <c r="G1264" t="b">
        <v>0</v>
      </c>
      <c r="H1264" t="b">
        <v>0</v>
      </c>
      <c r="I1264" t="s">
        <v>1051</v>
      </c>
      <c r="J1264">
        <v>78</v>
      </c>
      <c r="K1264" t="s">
        <v>0</v>
      </c>
      <c r="L1264" t="s">
        <v>3000</v>
      </c>
      <c r="M1264" t="s">
        <v>1548</v>
      </c>
      <c r="N1264" t="s">
        <v>1548</v>
      </c>
      <c r="O1264" t="s">
        <v>1548</v>
      </c>
      <c r="P1264" s="36" t="s">
        <v>6448</v>
      </c>
    </row>
    <row r="1265" spans="1:16" ht="409.5" x14ac:dyDescent="0.25">
      <c r="A1265" t="s">
        <v>7931</v>
      </c>
      <c r="B1265" t="s">
        <v>7932</v>
      </c>
      <c r="C1265" t="s">
        <v>6446</v>
      </c>
      <c r="D1265" t="s">
        <v>1027</v>
      </c>
      <c r="E1265">
        <v>1402</v>
      </c>
      <c r="F1265" t="s">
        <v>6447</v>
      </c>
      <c r="G1265" t="b">
        <v>0</v>
      </c>
      <c r="H1265" t="b">
        <v>0</v>
      </c>
      <c r="I1265" t="s">
        <v>1051</v>
      </c>
      <c r="J1265">
        <v>78</v>
      </c>
      <c r="K1265" t="s">
        <v>0</v>
      </c>
      <c r="L1265" t="s">
        <v>3000</v>
      </c>
      <c r="M1265" t="s">
        <v>1548</v>
      </c>
      <c r="N1265" t="s">
        <v>1548</v>
      </c>
      <c r="O1265" t="s">
        <v>1548</v>
      </c>
      <c r="P1265" s="36" t="s">
        <v>6448</v>
      </c>
    </row>
    <row r="1266" spans="1:16" ht="409.5" x14ac:dyDescent="0.25">
      <c r="A1266" t="s">
        <v>7933</v>
      </c>
      <c r="B1266" t="s">
        <v>7932</v>
      </c>
      <c r="C1266" t="s">
        <v>6446</v>
      </c>
      <c r="D1266" t="s">
        <v>1027</v>
      </c>
      <c r="E1266">
        <v>1402</v>
      </c>
      <c r="F1266" t="s">
        <v>6447</v>
      </c>
      <c r="G1266" t="b">
        <v>0</v>
      </c>
      <c r="H1266" t="b">
        <v>0</v>
      </c>
      <c r="I1266" t="s">
        <v>1051</v>
      </c>
      <c r="J1266">
        <v>78</v>
      </c>
      <c r="K1266" t="s">
        <v>0</v>
      </c>
      <c r="L1266" t="s">
        <v>3000</v>
      </c>
      <c r="M1266" t="s">
        <v>1548</v>
      </c>
      <c r="N1266" t="s">
        <v>1548</v>
      </c>
      <c r="O1266" t="s">
        <v>1548</v>
      </c>
      <c r="P1266" s="36" t="s">
        <v>6448</v>
      </c>
    </row>
    <row r="1267" spans="1:16" ht="409.5" x14ac:dyDescent="0.25">
      <c r="A1267" t="s">
        <v>7934</v>
      </c>
      <c r="B1267" t="s">
        <v>7935</v>
      </c>
      <c r="C1267" t="s">
        <v>6446</v>
      </c>
      <c r="D1267" t="s">
        <v>1027</v>
      </c>
      <c r="E1267">
        <v>1402</v>
      </c>
      <c r="F1267" t="s">
        <v>6447</v>
      </c>
      <c r="G1267" t="b">
        <v>0</v>
      </c>
      <c r="H1267" t="b">
        <v>0</v>
      </c>
      <c r="I1267" t="s">
        <v>1051</v>
      </c>
      <c r="J1267">
        <v>78</v>
      </c>
      <c r="K1267" t="s">
        <v>0</v>
      </c>
      <c r="L1267" t="s">
        <v>3000</v>
      </c>
      <c r="M1267" t="s">
        <v>1548</v>
      </c>
      <c r="N1267" t="s">
        <v>1548</v>
      </c>
      <c r="O1267" t="s">
        <v>1548</v>
      </c>
      <c r="P1267" s="36" t="s">
        <v>6448</v>
      </c>
    </row>
    <row r="1268" spans="1:16" ht="409.5" x14ac:dyDescent="0.25">
      <c r="A1268" t="s">
        <v>7936</v>
      </c>
      <c r="B1268" t="s">
        <v>7935</v>
      </c>
      <c r="C1268" t="s">
        <v>6446</v>
      </c>
      <c r="D1268" t="s">
        <v>1027</v>
      </c>
      <c r="E1268">
        <v>1402</v>
      </c>
      <c r="F1268" t="s">
        <v>6447</v>
      </c>
      <c r="G1268" t="b">
        <v>0</v>
      </c>
      <c r="H1268" t="b">
        <v>0</v>
      </c>
      <c r="I1268" t="s">
        <v>1051</v>
      </c>
      <c r="J1268">
        <v>78</v>
      </c>
      <c r="K1268" t="s">
        <v>0</v>
      </c>
      <c r="L1268" t="s">
        <v>3000</v>
      </c>
      <c r="M1268" t="s">
        <v>1548</v>
      </c>
      <c r="N1268" t="s">
        <v>1548</v>
      </c>
      <c r="O1268" t="s">
        <v>1548</v>
      </c>
      <c r="P1268" s="36" t="s">
        <v>6448</v>
      </c>
    </row>
    <row r="1269" spans="1:16" ht="409.5" x14ac:dyDescent="0.25">
      <c r="A1269" t="s">
        <v>7937</v>
      </c>
      <c r="B1269" t="s">
        <v>7938</v>
      </c>
      <c r="C1269" t="s">
        <v>6446</v>
      </c>
      <c r="D1269" t="s">
        <v>1027</v>
      </c>
      <c r="E1269">
        <v>1402</v>
      </c>
      <c r="F1269" t="s">
        <v>6447</v>
      </c>
      <c r="G1269" t="b">
        <v>0</v>
      </c>
      <c r="H1269" t="b">
        <v>0</v>
      </c>
      <c r="I1269" t="s">
        <v>1051</v>
      </c>
      <c r="J1269">
        <v>78</v>
      </c>
      <c r="K1269" t="s">
        <v>0</v>
      </c>
      <c r="L1269" t="s">
        <v>3000</v>
      </c>
      <c r="M1269" t="s">
        <v>1548</v>
      </c>
      <c r="N1269" t="s">
        <v>1548</v>
      </c>
      <c r="O1269" t="s">
        <v>1548</v>
      </c>
      <c r="P1269" s="36" t="s">
        <v>6448</v>
      </c>
    </row>
    <row r="1270" spans="1:16" ht="409.5" x14ac:dyDescent="0.25">
      <c r="A1270" t="s">
        <v>7939</v>
      </c>
      <c r="B1270" t="s">
        <v>7938</v>
      </c>
      <c r="C1270" t="s">
        <v>6446</v>
      </c>
      <c r="D1270" t="s">
        <v>1027</v>
      </c>
      <c r="E1270">
        <v>1402</v>
      </c>
      <c r="F1270" t="s">
        <v>6447</v>
      </c>
      <c r="G1270" t="b">
        <v>0</v>
      </c>
      <c r="H1270" t="b">
        <v>0</v>
      </c>
      <c r="I1270" t="s">
        <v>1051</v>
      </c>
      <c r="J1270">
        <v>78</v>
      </c>
      <c r="K1270" t="s">
        <v>0</v>
      </c>
      <c r="L1270" t="s">
        <v>3000</v>
      </c>
      <c r="M1270" t="s">
        <v>1548</v>
      </c>
      <c r="N1270" t="s">
        <v>1548</v>
      </c>
      <c r="O1270" t="s">
        <v>1548</v>
      </c>
      <c r="P1270" s="36" t="s">
        <v>6448</v>
      </c>
    </row>
    <row r="1271" spans="1:16" ht="409.5" x14ac:dyDescent="0.25">
      <c r="A1271" t="s">
        <v>7940</v>
      </c>
      <c r="B1271" t="s">
        <v>7938</v>
      </c>
      <c r="C1271" t="s">
        <v>6446</v>
      </c>
      <c r="D1271" t="s">
        <v>1027</v>
      </c>
      <c r="E1271">
        <v>1402</v>
      </c>
      <c r="F1271" t="s">
        <v>6447</v>
      </c>
      <c r="G1271" t="b">
        <v>0</v>
      </c>
      <c r="H1271" t="b">
        <v>0</v>
      </c>
      <c r="I1271" t="s">
        <v>1051</v>
      </c>
      <c r="J1271">
        <v>78</v>
      </c>
      <c r="K1271" t="s">
        <v>0</v>
      </c>
      <c r="L1271" t="s">
        <v>3000</v>
      </c>
      <c r="M1271" t="s">
        <v>1548</v>
      </c>
      <c r="N1271" t="s">
        <v>1548</v>
      </c>
      <c r="O1271" t="s">
        <v>1548</v>
      </c>
      <c r="P1271" s="36" t="s">
        <v>6448</v>
      </c>
    </row>
    <row r="1272" spans="1:16" ht="409.5" x14ac:dyDescent="0.25">
      <c r="A1272" t="s">
        <v>7941</v>
      </c>
      <c r="B1272" t="s">
        <v>7942</v>
      </c>
      <c r="C1272" t="s">
        <v>6446</v>
      </c>
      <c r="D1272" t="s">
        <v>1027</v>
      </c>
      <c r="E1272">
        <v>1402</v>
      </c>
      <c r="F1272" t="s">
        <v>6447</v>
      </c>
      <c r="G1272" t="b">
        <v>0</v>
      </c>
      <c r="H1272" t="b">
        <v>0</v>
      </c>
      <c r="I1272" t="s">
        <v>1051</v>
      </c>
      <c r="J1272">
        <v>78</v>
      </c>
      <c r="K1272" t="s">
        <v>0</v>
      </c>
      <c r="L1272" t="s">
        <v>3000</v>
      </c>
      <c r="M1272" t="s">
        <v>1548</v>
      </c>
      <c r="N1272" t="s">
        <v>1548</v>
      </c>
      <c r="O1272" t="s">
        <v>1548</v>
      </c>
      <c r="P1272" s="36" t="s">
        <v>6448</v>
      </c>
    </row>
    <row r="1273" spans="1:16" ht="409.5" x14ac:dyDescent="0.25">
      <c r="A1273" t="s">
        <v>7943</v>
      </c>
      <c r="B1273" t="s">
        <v>7944</v>
      </c>
      <c r="C1273" t="s">
        <v>6446</v>
      </c>
      <c r="D1273" t="s">
        <v>1027</v>
      </c>
      <c r="E1273">
        <v>1402</v>
      </c>
      <c r="F1273" t="s">
        <v>6447</v>
      </c>
      <c r="G1273" t="b">
        <v>0</v>
      </c>
      <c r="H1273" t="b">
        <v>0</v>
      </c>
      <c r="I1273" t="s">
        <v>1051</v>
      </c>
      <c r="J1273">
        <v>78</v>
      </c>
      <c r="K1273" t="s">
        <v>0</v>
      </c>
      <c r="L1273" t="s">
        <v>3000</v>
      </c>
      <c r="M1273" t="s">
        <v>1548</v>
      </c>
      <c r="N1273" t="s">
        <v>1548</v>
      </c>
      <c r="O1273" t="s">
        <v>1548</v>
      </c>
      <c r="P1273" s="36" t="s">
        <v>6448</v>
      </c>
    </row>
    <row r="1274" spans="1:16" ht="409.5" x14ac:dyDescent="0.25">
      <c r="A1274" t="s">
        <v>7945</v>
      </c>
      <c r="B1274" t="s">
        <v>7944</v>
      </c>
      <c r="C1274" t="s">
        <v>6446</v>
      </c>
      <c r="D1274" t="s">
        <v>1027</v>
      </c>
      <c r="E1274">
        <v>1402</v>
      </c>
      <c r="F1274" t="s">
        <v>6447</v>
      </c>
      <c r="G1274" t="b">
        <v>0</v>
      </c>
      <c r="H1274" t="b">
        <v>0</v>
      </c>
      <c r="I1274" t="s">
        <v>1051</v>
      </c>
      <c r="J1274">
        <v>78</v>
      </c>
      <c r="K1274" t="s">
        <v>0</v>
      </c>
      <c r="L1274" t="s">
        <v>3000</v>
      </c>
      <c r="M1274" t="s">
        <v>1548</v>
      </c>
      <c r="N1274" t="s">
        <v>1548</v>
      </c>
      <c r="O1274" t="s">
        <v>1548</v>
      </c>
      <c r="P1274" s="36" t="s">
        <v>6448</v>
      </c>
    </row>
    <row r="1275" spans="1:16" ht="409.5" x14ac:dyDescent="0.25">
      <c r="A1275" t="s">
        <v>7946</v>
      </c>
      <c r="B1275" t="s">
        <v>7944</v>
      </c>
      <c r="C1275" t="s">
        <v>6446</v>
      </c>
      <c r="D1275" t="s">
        <v>1027</v>
      </c>
      <c r="E1275">
        <v>1402</v>
      </c>
      <c r="F1275" t="s">
        <v>6447</v>
      </c>
      <c r="G1275" t="b">
        <v>0</v>
      </c>
      <c r="H1275" t="b">
        <v>0</v>
      </c>
      <c r="I1275" t="s">
        <v>1051</v>
      </c>
      <c r="J1275">
        <v>78</v>
      </c>
      <c r="K1275" t="s">
        <v>0</v>
      </c>
      <c r="L1275" t="s">
        <v>3000</v>
      </c>
      <c r="M1275" t="s">
        <v>1548</v>
      </c>
      <c r="N1275" t="s">
        <v>1548</v>
      </c>
      <c r="O1275" t="s">
        <v>1548</v>
      </c>
      <c r="P1275" s="36" t="s">
        <v>6448</v>
      </c>
    </row>
    <row r="1276" spans="1:16" ht="409.5" x14ac:dyDescent="0.25">
      <c r="A1276" t="s">
        <v>7947</v>
      </c>
      <c r="B1276" t="s">
        <v>7948</v>
      </c>
      <c r="C1276" t="s">
        <v>6446</v>
      </c>
      <c r="D1276" t="s">
        <v>1027</v>
      </c>
      <c r="E1276">
        <v>1402</v>
      </c>
      <c r="F1276" t="s">
        <v>6447</v>
      </c>
      <c r="G1276" t="b">
        <v>0</v>
      </c>
      <c r="H1276" t="b">
        <v>0</v>
      </c>
      <c r="I1276" t="s">
        <v>1051</v>
      </c>
      <c r="J1276">
        <v>78</v>
      </c>
      <c r="K1276" t="s">
        <v>0</v>
      </c>
      <c r="L1276" t="s">
        <v>3000</v>
      </c>
      <c r="M1276" t="s">
        <v>1548</v>
      </c>
      <c r="N1276" t="s">
        <v>1548</v>
      </c>
      <c r="O1276" t="s">
        <v>1548</v>
      </c>
      <c r="P1276" s="36" t="s">
        <v>6448</v>
      </c>
    </row>
    <row r="1277" spans="1:16" ht="409.5" x14ac:dyDescent="0.25">
      <c r="A1277" t="s">
        <v>7949</v>
      </c>
      <c r="B1277" t="s">
        <v>7950</v>
      </c>
      <c r="C1277" t="s">
        <v>6446</v>
      </c>
      <c r="D1277" t="s">
        <v>1027</v>
      </c>
      <c r="E1277">
        <v>1402</v>
      </c>
      <c r="F1277" t="s">
        <v>6447</v>
      </c>
      <c r="G1277" t="b">
        <v>0</v>
      </c>
      <c r="H1277" t="b">
        <v>0</v>
      </c>
      <c r="I1277" t="s">
        <v>1051</v>
      </c>
      <c r="J1277">
        <v>78</v>
      </c>
      <c r="K1277" t="s">
        <v>0</v>
      </c>
      <c r="L1277" t="s">
        <v>3000</v>
      </c>
      <c r="M1277" t="s">
        <v>1548</v>
      </c>
      <c r="N1277" t="s">
        <v>1548</v>
      </c>
      <c r="O1277" t="s">
        <v>1548</v>
      </c>
      <c r="P1277" s="36" t="s">
        <v>6448</v>
      </c>
    </row>
    <row r="1278" spans="1:16" ht="409.5" x14ac:dyDescent="0.25">
      <c r="A1278" t="s">
        <v>7951</v>
      </c>
      <c r="B1278" t="s">
        <v>7950</v>
      </c>
      <c r="C1278" t="s">
        <v>6446</v>
      </c>
      <c r="D1278" t="s">
        <v>1027</v>
      </c>
      <c r="E1278">
        <v>1402</v>
      </c>
      <c r="F1278" t="s">
        <v>6447</v>
      </c>
      <c r="G1278" t="b">
        <v>0</v>
      </c>
      <c r="H1278" t="b">
        <v>0</v>
      </c>
      <c r="I1278" t="s">
        <v>1051</v>
      </c>
      <c r="J1278">
        <v>78</v>
      </c>
      <c r="K1278" t="s">
        <v>0</v>
      </c>
      <c r="L1278" t="s">
        <v>3000</v>
      </c>
      <c r="M1278" t="s">
        <v>1548</v>
      </c>
      <c r="N1278" t="s">
        <v>1548</v>
      </c>
      <c r="O1278" t="s">
        <v>1548</v>
      </c>
      <c r="P1278" s="36" t="s">
        <v>6448</v>
      </c>
    </row>
    <row r="1279" spans="1:16" ht="409.5" x14ac:dyDescent="0.25">
      <c r="A1279" t="s">
        <v>7952</v>
      </c>
      <c r="B1279" t="s">
        <v>7953</v>
      </c>
      <c r="C1279" t="s">
        <v>6446</v>
      </c>
      <c r="D1279" t="s">
        <v>1027</v>
      </c>
      <c r="E1279">
        <v>1402</v>
      </c>
      <c r="F1279" t="s">
        <v>6447</v>
      </c>
      <c r="G1279" t="b">
        <v>0</v>
      </c>
      <c r="H1279" t="b">
        <v>0</v>
      </c>
      <c r="I1279" t="s">
        <v>1051</v>
      </c>
      <c r="J1279">
        <v>78</v>
      </c>
      <c r="K1279" t="s">
        <v>0</v>
      </c>
      <c r="L1279" t="s">
        <v>3000</v>
      </c>
      <c r="M1279" t="s">
        <v>1548</v>
      </c>
      <c r="N1279" t="s">
        <v>1548</v>
      </c>
      <c r="O1279" t="s">
        <v>1548</v>
      </c>
      <c r="P1279" s="36" t="s">
        <v>6448</v>
      </c>
    </row>
    <row r="1280" spans="1:16" ht="409.5" x14ac:dyDescent="0.25">
      <c r="A1280" t="s">
        <v>7954</v>
      </c>
      <c r="B1280" t="s">
        <v>7955</v>
      </c>
      <c r="C1280" t="s">
        <v>6446</v>
      </c>
      <c r="D1280" t="s">
        <v>1027</v>
      </c>
      <c r="E1280">
        <v>1402</v>
      </c>
      <c r="F1280" t="s">
        <v>6447</v>
      </c>
      <c r="G1280" t="b">
        <v>0</v>
      </c>
      <c r="H1280" t="b">
        <v>0</v>
      </c>
      <c r="I1280" t="s">
        <v>1051</v>
      </c>
      <c r="J1280">
        <v>78</v>
      </c>
      <c r="K1280" t="s">
        <v>0</v>
      </c>
      <c r="L1280" t="s">
        <v>3000</v>
      </c>
      <c r="M1280" t="s">
        <v>1548</v>
      </c>
      <c r="N1280" t="s">
        <v>1548</v>
      </c>
      <c r="O1280" t="s">
        <v>1548</v>
      </c>
      <c r="P1280" s="36" t="s">
        <v>6448</v>
      </c>
    </row>
    <row r="1281" spans="1:16" ht="409.5" x14ac:dyDescent="0.25">
      <c r="A1281" t="s">
        <v>7956</v>
      </c>
      <c r="B1281" t="s">
        <v>7957</v>
      </c>
      <c r="C1281" t="s">
        <v>6446</v>
      </c>
      <c r="D1281" t="s">
        <v>1027</v>
      </c>
      <c r="E1281">
        <v>1402</v>
      </c>
      <c r="F1281" t="s">
        <v>6447</v>
      </c>
      <c r="G1281" t="b">
        <v>0</v>
      </c>
      <c r="H1281" t="b">
        <v>0</v>
      </c>
      <c r="I1281" t="s">
        <v>1051</v>
      </c>
      <c r="J1281">
        <v>78</v>
      </c>
      <c r="K1281" t="s">
        <v>0</v>
      </c>
      <c r="L1281" t="s">
        <v>3000</v>
      </c>
      <c r="M1281" t="s">
        <v>1548</v>
      </c>
      <c r="N1281" t="s">
        <v>1548</v>
      </c>
      <c r="O1281" t="s">
        <v>1548</v>
      </c>
      <c r="P1281" s="36" t="s">
        <v>6448</v>
      </c>
    </row>
    <row r="1282" spans="1:16" ht="409.5" x14ac:dyDescent="0.25">
      <c r="A1282" t="s">
        <v>7958</v>
      </c>
      <c r="B1282" t="s">
        <v>7957</v>
      </c>
      <c r="C1282" t="s">
        <v>6446</v>
      </c>
      <c r="D1282" t="s">
        <v>1027</v>
      </c>
      <c r="E1282">
        <v>1402</v>
      </c>
      <c r="F1282" t="s">
        <v>6447</v>
      </c>
      <c r="G1282" t="b">
        <v>0</v>
      </c>
      <c r="H1282" t="b">
        <v>0</v>
      </c>
      <c r="I1282" t="s">
        <v>1051</v>
      </c>
      <c r="J1282">
        <v>78</v>
      </c>
      <c r="K1282" t="s">
        <v>0</v>
      </c>
      <c r="L1282" t="s">
        <v>3000</v>
      </c>
      <c r="M1282" t="s">
        <v>1548</v>
      </c>
      <c r="N1282" t="s">
        <v>1548</v>
      </c>
      <c r="O1282" t="s">
        <v>1548</v>
      </c>
      <c r="P1282" s="36" t="s">
        <v>6448</v>
      </c>
    </row>
    <row r="1283" spans="1:16" ht="409.5" x14ac:dyDescent="0.25">
      <c r="A1283" t="s">
        <v>7959</v>
      </c>
      <c r="B1283" t="s">
        <v>7935</v>
      </c>
      <c r="C1283" t="s">
        <v>6446</v>
      </c>
      <c r="D1283" t="s">
        <v>1027</v>
      </c>
      <c r="E1283">
        <v>1402</v>
      </c>
      <c r="F1283" t="s">
        <v>6447</v>
      </c>
      <c r="G1283" t="b">
        <v>0</v>
      </c>
      <c r="H1283" t="b">
        <v>0</v>
      </c>
      <c r="I1283" t="s">
        <v>1051</v>
      </c>
      <c r="J1283">
        <v>78</v>
      </c>
      <c r="K1283" t="s">
        <v>0</v>
      </c>
      <c r="L1283" t="s">
        <v>3000</v>
      </c>
      <c r="M1283" t="s">
        <v>1548</v>
      </c>
      <c r="N1283" t="s">
        <v>1548</v>
      </c>
      <c r="O1283" t="s">
        <v>1548</v>
      </c>
      <c r="P1283" s="36" t="s">
        <v>6448</v>
      </c>
    </row>
    <row r="1284" spans="1:16" ht="409.5" x14ac:dyDescent="0.25">
      <c r="A1284" t="s">
        <v>7960</v>
      </c>
      <c r="B1284" t="s">
        <v>7935</v>
      </c>
      <c r="C1284" t="s">
        <v>6446</v>
      </c>
      <c r="D1284" t="s">
        <v>1027</v>
      </c>
      <c r="E1284">
        <v>1402</v>
      </c>
      <c r="F1284" t="s">
        <v>6447</v>
      </c>
      <c r="G1284" t="b">
        <v>0</v>
      </c>
      <c r="H1284" t="b">
        <v>0</v>
      </c>
      <c r="I1284" t="s">
        <v>1051</v>
      </c>
      <c r="J1284">
        <v>78</v>
      </c>
      <c r="K1284" t="s">
        <v>0</v>
      </c>
      <c r="L1284" t="s">
        <v>3000</v>
      </c>
      <c r="M1284" t="s">
        <v>1548</v>
      </c>
      <c r="N1284" t="s">
        <v>1548</v>
      </c>
      <c r="O1284" t="s">
        <v>1548</v>
      </c>
      <c r="P1284" s="36" t="s">
        <v>6448</v>
      </c>
    </row>
    <row r="1285" spans="1:16" ht="409.5" x14ac:dyDescent="0.25">
      <c r="A1285" t="s">
        <v>7961</v>
      </c>
      <c r="B1285" t="s">
        <v>7935</v>
      </c>
      <c r="C1285" t="s">
        <v>6446</v>
      </c>
      <c r="D1285" t="s">
        <v>1027</v>
      </c>
      <c r="E1285">
        <v>1402</v>
      </c>
      <c r="F1285" t="s">
        <v>6447</v>
      </c>
      <c r="G1285" t="b">
        <v>0</v>
      </c>
      <c r="H1285" t="b">
        <v>0</v>
      </c>
      <c r="I1285" t="s">
        <v>1051</v>
      </c>
      <c r="J1285">
        <v>78</v>
      </c>
      <c r="K1285" t="s">
        <v>0</v>
      </c>
      <c r="L1285" t="s">
        <v>3000</v>
      </c>
      <c r="M1285" t="s">
        <v>1548</v>
      </c>
      <c r="N1285" t="s">
        <v>1548</v>
      </c>
      <c r="O1285" t="s">
        <v>1548</v>
      </c>
      <c r="P1285" s="36" t="s">
        <v>6448</v>
      </c>
    </row>
    <row r="1286" spans="1:16" ht="409.5" x14ac:dyDescent="0.25">
      <c r="A1286" t="s">
        <v>7962</v>
      </c>
      <c r="B1286" t="s">
        <v>7935</v>
      </c>
      <c r="C1286" t="s">
        <v>6446</v>
      </c>
      <c r="D1286" t="s">
        <v>1027</v>
      </c>
      <c r="E1286">
        <v>1402</v>
      </c>
      <c r="F1286" t="s">
        <v>6447</v>
      </c>
      <c r="G1286" t="b">
        <v>0</v>
      </c>
      <c r="H1286" t="b">
        <v>0</v>
      </c>
      <c r="I1286" t="s">
        <v>1051</v>
      </c>
      <c r="J1286">
        <v>78</v>
      </c>
      <c r="K1286" t="s">
        <v>0</v>
      </c>
      <c r="L1286" t="s">
        <v>3000</v>
      </c>
      <c r="M1286" t="s">
        <v>1548</v>
      </c>
      <c r="N1286" t="s">
        <v>1548</v>
      </c>
      <c r="O1286" t="s">
        <v>1548</v>
      </c>
      <c r="P1286" s="36" t="s">
        <v>6448</v>
      </c>
    </row>
    <row r="1287" spans="1:16" ht="409.5" x14ac:dyDescent="0.25">
      <c r="A1287" t="s">
        <v>7963</v>
      </c>
      <c r="B1287" t="s">
        <v>7938</v>
      </c>
      <c r="C1287" t="s">
        <v>6446</v>
      </c>
      <c r="D1287" t="s">
        <v>1027</v>
      </c>
      <c r="E1287">
        <v>1402</v>
      </c>
      <c r="F1287" t="s">
        <v>6447</v>
      </c>
      <c r="G1287" t="b">
        <v>0</v>
      </c>
      <c r="H1287" t="b">
        <v>0</v>
      </c>
      <c r="I1287" t="s">
        <v>1051</v>
      </c>
      <c r="J1287">
        <v>78</v>
      </c>
      <c r="K1287" t="s">
        <v>0</v>
      </c>
      <c r="L1287" t="s">
        <v>3000</v>
      </c>
      <c r="M1287" t="s">
        <v>1548</v>
      </c>
      <c r="N1287" t="s">
        <v>1548</v>
      </c>
      <c r="O1287" t="s">
        <v>1548</v>
      </c>
      <c r="P1287" s="36" t="s">
        <v>6448</v>
      </c>
    </row>
    <row r="1288" spans="1:16" ht="409.5" x14ac:dyDescent="0.25">
      <c r="A1288" t="s">
        <v>7964</v>
      </c>
      <c r="B1288" t="s">
        <v>7948</v>
      </c>
      <c r="C1288" t="s">
        <v>6446</v>
      </c>
      <c r="D1288" t="s">
        <v>1027</v>
      </c>
      <c r="E1288">
        <v>1402</v>
      </c>
      <c r="F1288" t="s">
        <v>6447</v>
      </c>
      <c r="G1288" t="b">
        <v>0</v>
      </c>
      <c r="H1288" t="b">
        <v>0</v>
      </c>
      <c r="I1288" t="s">
        <v>1051</v>
      </c>
      <c r="J1288">
        <v>78</v>
      </c>
      <c r="K1288" t="s">
        <v>0</v>
      </c>
      <c r="L1288" t="s">
        <v>3000</v>
      </c>
      <c r="M1288" t="s">
        <v>1548</v>
      </c>
      <c r="N1288" t="s">
        <v>1548</v>
      </c>
      <c r="O1288" t="s">
        <v>1548</v>
      </c>
      <c r="P1288" s="36" t="s">
        <v>6448</v>
      </c>
    </row>
    <row r="1289" spans="1:16" ht="409.5" x14ac:dyDescent="0.25">
      <c r="A1289" t="s">
        <v>7965</v>
      </c>
      <c r="B1289" t="s">
        <v>7948</v>
      </c>
      <c r="C1289" t="s">
        <v>6446</v>
      </c>
      <c r="D1289" t="s">
        <v>1027</v>
      </c>
      <c r="E1289">
        <v>1402</v>
      </c>
      <c r="F1289" t="s">
        <v>6447</v>
      </c>
      <c r="G1289" t="b">
        <v>0</v>
      </c>
      <c r="H1289" t="b">
        <v>0</v>
      </c>
      <c r="I1289" t="s">
        <v>1051</v>
      </c>
      <c r="J1289">
        <v>78</v>
      </c>
      <c r="K1289" t="s">
        <v>0</v>
      </c>
      <c r="L1289" t="s">
        <v>3000</v>
      </c>
      <c r="M1289" t="s">
        <v>1548</v>
      </c>
      <c r="N1289" t="s">
        <v>1548</v>
      </c>
      <c r="O1289" t="s">
        <v>1548</v>
      </c>
      <c r="P1289" s="36" t="s">
        <v>6448</v>
      </c>
    </row>
    <row r="1290" spans="1:16" ht="409.5" x14ac:dyDescent="0.25">
      <c r="A1290" t="s">
        <v>7966</v>
      </c>
      <c r="B1290" t="s">
        <v>7967</v>
      </c>
      <c r="C1290" t="s">
        <v>6446</v>
      </c>
      <c r="D1290" t="s">
        <v>1027</v>
      </c>
      <c r="E1290">
        <v>1402</v>
      </c>
      <c r="F1290" t="s">
        <v>6447</v>
      </c>
      <c r="G1290" t="b">
        <v>0</v>
      </c>
      <c r="H1290" t="b">
        <v>0</v>
      </c>
      <c r="I1290" t="s">
        <v>1051</v>
      </c>
      <c r="J1290">
        <v>78</v>
      </c>
      <c r="K1290" t="s">
        <v>0</v>
      </c>
      <c r="L1290" t="s">
        <v>3000</v>
      </c>
      <c r="M1290" t="s">
        <v>1548</v>
      </c>
      <c r="N1290" t="s">
        <v>1548</v>
      </c>
      <c r="O1290" t="s">
        <v>1548</v>
      </c>
      <c r="P1290" s="36" t="s">
        <v>6448</v>
      </c>
    </row>
    <row r="1291" spans="1:16" ht="409.5" x14ac:dyDescent="0.25">
      <c r="A1291" t="s">
        <v>7968</v>
      </c>
      <c r="B1291" t="s">
        <v>7953</v>
      </c>
      <c r="C1291" t="s">
        <v>6446</v>
      </c>
      <c r="D1291" t="s">
        <v>1027</v>
      </c>
      <c r="E1291">
        <v>1402</v>
      </c>
      <c r="F1291" t="s">
        <v>6447</v>
      </c>
      <c r="G1291" t="b">
        <v>0</v>
      </c>
      <c r="H1291" t="b">
        <v>0</v>
      </c>
      <c r="I1291" t="s">
        <v>1051</v>
      </c>
      <c r="J1291">
        <v>78</v>
      </c>
      <c r="K1291" t="s">
        <v>0</v>
      </c>
      <c r="L1291" t="s">
        <v>3000</v>
      </c>
      <c r="M1291" t="s">
        <v>1548</v>
      </c>
      <c r="N1291" t="s">
        <v>1548</v>
      </c>
      <c r="O1291" t="s">
        <v>1548</v>
      </c>
      <c r="P1291" s="36" t="s">
        <v>6448</v>
      </c>
    </row>
    <row r="1292" spans="1:16" ht="409.5" x14ac:dyDescent="0.25">
      <c r="A1292" t="s">
        <v>7969</v>
      </c>
      <c r="B1292" t="s">
        <v>7953</v>
      </c>
      <c r="C1292" t="s">
        <v>6446</v>
      </c>
      <c r="D1292" t="s">
        <v>1027</v>
      </c>
      <c r="E1292">
        <v>1402</v>
      </c>
      <c r="F1292" t="s">
        <v>6447</v>
      </c>
      <c r="G1292" t="b">
        <v>0</v>
      </c>
      <c r="H1292" t="b">
        <v>0</v>
      </c>
      <c r="I1292" t="s">
        <v>1051</v>
      </c>
      <c r="J1292">
        <v>78</v>
      </c>
      <c r="K1292" t="s">
        <v>0</v>
      </c>
      <c r="L1292" t="s">
        <v>3000</v>
      </c>
      <c r="M1292" t="s">
        <v>1548</v>
      </c>
      <c r="N1292" t="s">
        <v>1548</v>
      </c>
      <c r="O1292" t="s">
        <v>1548</v>
      </c>
      <c r="P1292" s="36" t="s">
        <v>6448</v>
      </c>
    </row>
    <row r="1293" spans="1:16" ht="409.5" x14ac:dyDescent="0.25">
      <c r="A1293" t="s">
        <v>7970</v>
      </c>
      <c r="B1293" t="s">
        <v>7953</v>
      </c>
      <c r="C1293" t="s">
        <v>6446</v>
      </c>
      <c r="D1293" t="s">
        <v>1027</v>
      </c>
      <c r="E1293">
        <v>1402</v>
      </c>
      <c r="F1293" t="s">
        <v>6447</v>
      </c>
      <c r="G1293" t="b">
        <v>0</v>
      </c>
      <c r="H1293" t="b">
        <v>0</v>
      </c>
      <c r="I1293" t="s">
        <v>1051</v>
      </c>
      <c r="J1293">
        <v>78</v>
      </c>
      <c r="K1293" t="s">
        <v>0</v>
      </c>
      <c r="L1293" t="s">
        <v>3000</v>
      </c>
      <c r="M1293" t="s">
        <v>1548</v>
      </c>
      <c r="N1293" t="s">
        <v>1548</v>
      </c>
      <c r="O1293" t="s">
        <v>1548</v>
      </c>
      <c r="P1293" s="36" t="s">
        <v>6448</v>
      </c>
    </row>
    <row r="1294" spans="1:16" ht="409.5" x14ac:dyDescent="0.25">
      <c r="A1294" t="s">
        <v>7971</v>
      </c>
      <c r="B1294" t="s">
        <v>7948</v>
      </c>
      <c r="C1294" t="s">
        <v>6446</v>
      </c>
      <c r="D1294" t="s">
        <v>1027</v>
      </c>
      <c r="E1294">
        <v>1402</v>
      </c>
      <c r="F1294" t="s">
        <v>6447</v>
      </c>
      <c r="G1294" t="b">
        <v>0</v>
      </c>
      <c r="H1294" t="b">
        <v>0</v>
      </c>
      <c r="I1294" t="s">
        <v>1051</v>
      </c>
      <c r="J1294">
        <v>78</v>
      </c>
      <c r="K1294" t="s">
        <v>0</v>
      </c>
      <c r="L1294" t="s">
        <v>3000</v>
      </c>
      <c r="M1294" t="s">
        <v>1548</v>
      </c>
      <c r="N1294" t="s">
        <v>1548</v>
      </c>
      <c r="O1294" t="s">
        <v>1548</v>
      </c>
      <c r="P1294" s="36" t="s">
        <v>6448</v>
      </c>
    </row>
    <row r="1295" spans="1:16" ht="409.5" x14ac:dyDescent="0.25">
      <c r="A1295" t="s">
        <v>7972</v>
      </c>
      <c r="B1295" t="s">
        <v>7935</v>
      </c>
      <c r="C1295" t="s">
        <v>6446</v>
      </c>
      <c r="D1295" t="s">
        <v>1027</v>
      </c>
      <c r="E1295">
        <v>1402</v>
      </c>
      <c r="F1295" t="s">
        <v>6447</v>
      </c>
      <c r="G1295" t="b">
        <v>0</v>
      </c>
      <c r="H1295" t="b">
        <v>0</v>
      </c>
      <c r="I1295" t="s">
        <v>1051</v>
      </c>
      <c r="J1295">
        <v>78</v>
      </c>
      <c r="K1295" t="s">
        <v>0</v>
      </c>
      <c r="L1295" t="s">
        <v>3000</v>
      </c>
      <c r="M1295" t="s">
        <v>1548</v>
      </c>
      <c r="N1295" t="s">
        <v>1548</v>
      </c>
      <c r="O1295" t="s">
        <v>1548</v>
      </c>
      <c r="P1295" s="36" t="s">
        <v>6448</v>
      </c>
    </row>
    <row r="1296" spans="1:16" ht="409.5" x14ac:dyDescent="0.25">
      <c r="A1296" t="s">
        <v>7973</v>
      </c>
      <c r="B1296" t="s">
        <v>7944</v>
      </c>
      <c r="C1296" t="s">
        <v>6446</v>
      </c>
      <c r="D1296" t="s">
        <v>1027</v>
      </c>
      <c r="E1296">
        <v>1402</v>
      </c>
      <c r="F1296" t="s">
        <v>6447</v>
      </c>
      <c r="G1296" t="b">
        <v>0</v>
      </c>
      <c r="H1296" t="b">
        <v>0</v>
      </c>
      <c r="I1296" t="s">
        <v>1051</v>
      </c>
      <c r="J1296">
        <v>78</v>
      </c>
      <c r="K1296" t="s">
        <v>0</v>
      </c>
      <c r="L1296" t="s">
        <v>3000</v>
      </c>
      <c r="M1296" t="s">
        <v>1548</v>
      </c>
      <c r="N1296" t="s">
        <v>1548</v>
      </c>
      <c r="O1296" t="s">
        <v>1548</v>
      </c>
      <c r="P1296" s="36" t="s">
        <v>6448</v>
      </c>
    </row>
    <row r="1297" spans="1:16" ht="409.5" x14ac:dyDescent="0.25">
      <c r="A1297" t="s">
        <v>7974</v>
      </c>
      <c r="B1297" t="s">
        <v>7948</v>
      </c>
      <c r="C1297" t="s">
        <v>6446</v>
      </c>
      <c r="D1297" t="s">
        <v>1027</v>
      </c>
      <c r="E1297">
        <v>1402</v>
      </c>
      <c r="F1297" t="s">
        <v>6447</v>
      </c>
      <c r="G1297" t="b">
        <v>0</v>
      </c>
      <c r="H1297" t="b">
        <v>0</v>
      </c>
      <c r="I1297" t="s">
        <v>1051</v>
      </c>
      <c r="J1297">
        <v>78</v>
      </c>
      <c r="K1297" t="s">
        <v>0</v>
      </c>
      <c r="L1297" t="s">
        <v>3000</v>
      </c>
      <c r="M1297" t="s">
        <v>1548</v>
      </c>
      <c r="N1297" t="s">
        <v>1548</v>
      </c>
      <c r="O1297" t="s">
        <v>1548</v>
      </c>
      <c r="P1297" s="36" t="s">
        <v>6448</v>
      </c>
    </row>
    <row r="1298" spans="1:16" ht="409.5" x14ac:dyDescent="0.25">
      <c r="A1298" t="s">
        <v>7975</v>
      </c>
      <c r="B1298" t="s">
        <v>7938</v>
      </c>
      <c r="C1298" t="s">
        <v>6446</v>
      </c>
      <c r="D1298" t="s">
        <v>1027</v>
      </c>
      <c r="E1298">
        <v>1402</v>
      </c>
      <c r="F1298" t="s">
        <v>6447</v>
      </c>
      <c r="G1298" t="b">
        <v>0</v>
      </c>
      <c r="H1298" t="b">
        <v>0</v>
      </c>
      <c r="I1298" t="s">
        <v>1051</v>
      </c>
      <c r="J1298">
        <v>78</v>
      </c>
      <c r="K1298" t="s">
        <v>0</v>
      </c>
      <c r="L1298" t="s">
        <v>3000</v>
      </c>
      <c r="M1298" t="s">
        <v>1548</v>
      </c>
      <c r="N1298" t="s">
        <v>1548</v>
      </c>
      <c r="O1298" t="s">
        <v>1548</v>
      </c>
      <c r="P1298" s="36" t="s">
        <v>6448</v>
      </c>
    </row>
    <row r="1299" spans="1:16" ht="409.5" x14ac:dyDescent="0.25">
      <c r="A1299" t="s">
        <v>7976</v>
      </c>
      <c r="B1299" t="s">
        <v>7918</v>
      </c>
      <c r="C1299" t="s">
        <v>6473</v>
      </c>
      <c r="D1299" t="s">
        <v>1075</v>
      </c>
      <c r="E1299">
        <v>33419</v>
      </c>
      <c r="F1299" t="s">
        <v>6474</v>
      </c>
      <c r="G1299" t="b">
        <v>0</v>
      </c>
      <c r="H1299" t="b">
        <v>0</v>
      </c>
      <c r="I1299" t="s">
        <v>1051</v>
      </c>
      <c r="J1299">
        <v>78</v>
      </c>
      <c r="K1299" t="s">
        <v>0</v>
      </c>
      <c r="L1299" t="s">
        <v>3000</v>
      </c>
      <c r="M1299" t="s">
        <v>1548</v>
      </c>
      <c r="N1299" t="s">
        <v>1548</v>
      </c>
      <c r="O1299" t="s">
        <v>1548</v>
      </c>
      <c r="P1299" s="36" t="s">
        <v>6448</v>
      </c>
    </row>
    <row r="1300" spans="1:16" ht="390" x14ac:dyDescent="0.25">
      <c r="A1300" t="s">
        <v>7977</v>
      </c>
      <c r="B1300" t="s">
        <v>7978</v>
      </c>
      <c r="C1300" t="s">
        <v>7395</v>
      </c>
      <c r="D1300" t="s">
        <v>1027</v>
      </c>
      <c r="E1300">
        <v>1679</v>
      </c>
      <c r="F1300" t="s">
        <v>7396</v>
      </c>
      <c r="G1300" t="b">
        <v>0</v>
      </c>
      <c r="H1300" t="b">
        <v>0</v>
      </c>
      <c r="I1300" t="s">
        <v>1051</v>
      </c>
      <c r="J1300">
        <v>78</v>
      </c>
      <c r="K1300" t="s">
        <v>0</v>
      </c>
      <c r="L1300" t="s">
        <v>3000</v>
      </c>
      <c r="M1300" t="s">
        <v>1548</v>
      </c>
      <c r="N1300" t="s">
        <v>1548</v>
      </c>
      <c r="O1300" t="s">
        <v>3922</v>
      </c>
      <c r="P1300" s="36" t="s">
        <v>7397</v>
      </c>
    </row>
    <row r="1301" spans="1:16" ht="390" x14ac:dyDescent="0.25">
      <c r="A1301" t="s">
        <v>7979</v>
      </c>
      <c r="B1301" t="s">
        <v>7980</v>
      </c>
      <c r="C1301" t="s">
        <v>7395</v>
      </c>
      <c r="D1301" t="s">
        <v>1027</v>
      </c>
      <c r="E1301">
        <v>1679</v>
      </c>
      <c r="F1301" t="s">
        <v>7396</v>
      </c>
      <c r="G1301" t="b">
        <v>0</v>
      </c>
      <c r="H1301" t="b">
        <v>0</v>
      </c>
      <c r="I1301" t="s">
        <v>1051</v>
      </c>
      <c r="J1301">
        <v>81</v>
      </c>
      <c r="K1301" t="s">
        <v>0</v>
      </c>
      <c r="L1301" t="s">
        <v>3000</v>
      </c>
      <c r="M1301" t="s">
        <v>1548</v>
      </c>
      <c r="N1301" t="s">
        <v>1548</v>
      </c>
      <c r="O1301" t="s">
        <v>3922</v>
      </c>
      <c r="P1301" s="36" t="s">
        <v>7397</v>
      </c>
    </row>
    <row r="1302" spans="1:16" ht="409.5" x14ac:dyDescent="0.25">
      <c r="A1302" t="s">
        <v>7981</v>
      </c>
      <c r="B1302" t="s">
        <v>7982</v>
      </c>
      <c r="C1302" t="s">
        <v>6446</v>
      </c>
      <c r="D1302" t="s">
        <v>1027</v>
      </c>
      <c r="E1302">
        <v>1402</v>
      </c>
      <c r="F1302" t="s">
        <v>6447</v>
      </c>
      <c r="G1302" t="b">
        <v>0</v>
      </c>
      <c r="H1302" t="b">
        <v>0</v>
      </c>
      <c r="I1302" t="s">
        <v>1051</v>
      </c>
      <c r="J1302">
        <v>78</v>
      </c>
      <c r="K1302" t="s">
        <v>0</v>
      </c>
      <c r="L1302" t="s">
        <v>3000</v>
      </c>
      <c r="M1302" t="s">
        <v>1548</v>
      </c>
      <c r="N1302" t="s">
        <v>1548</v>
      </c>
      <c r="O1302" t="s">
        <v>1548</v>
      </c>
      <c r="P1302" s="36" t="s">
        <v>6448</v>
      </c>
    </row>
    <row r="1303" spans="1:16" ht="409.5" x14ac:dyDescent="0.25">
      <c r="A1303" t="s">
        <v>7983</v>
      </c>
      <c r="B1303" t="s">
        <v>7982</v>
      </c>
      <c r="C1303" t="s">
        <v>6446</v>
      </c>
      <c r="D1303" t="s">
        <v>1027</v>
      </c>
      <c r="E1303">
        <v>1402</v>
      </c>
      <c r="F1303" t="s">
        <v>6447</v>
      </c>
      <c r="G1303" t="b">
        <v>0</v>
      </c>
      <c r="H1303" t="b">
        <v>0</v>
      </c>
      <c r="I1303" t="s">
        <v>1051</v>
      </c>
      <c r="J1303">
        <v>78</v>
      </c>
      <c r="K1303" t="s">
        <v>0</v>
      </c>
      <c r="L1303" t="s">
        <v>3000</v>
      </c>
      <c r="M1303" t="s">
        <v>1548</v>
      </c>
      <c r="N1303" t="s">
        <v>1548</v>
      </c>
      <c r="O1303" t="s">
        <v>1548</v>
      </c>
      <c r="P1303" s="36" t="s">
        <v>6448</v>
      </c>
    </row>
    <row r="1304" spans="1:16" ht="409.5" x14ac:dyDescent="0.25">
      <c r="A1304" t="s">
        <v>7984</v>
      </c>
      <c r="B1304" t="s">
        <v>7982</v>
      </c>
      <c r="C1304" t="s">
        <v>6446</v>
      </c>
      <c r="D1304" t="s">
        <v>1027</v>
      </c>
      <c r="E1304">
        <v>1402</v>
      </c>
      <c r="F1304" t="s">
        <v>6447</v>
      </c>
      <c r="G1304" t="b">
        <v>0</v>
      </c>
      <c r="H1304" t="b">
        <v>0</v>
      </c>
      <c r="I1304" t="s">
        <v>1051</v>
      </c>
      <c r="J1304">
        <v>78</v>
      </c>
      <c r="K1304" t="s">
        <v>0</v>
      </c>
      <c r="L1304" t="s">
        <v>3000</v>
      </c>
      <c r="M1304" t="s">
        <v>1548</v>
      </c>
      <c r="N1304" t="s">
        <v>1548</v>
      </c>
      <c r="O1304" t="s">
        <v>1548</v>
      </c>
      <c r="P1304" s="36" t="s">
        <v>6448</v>
      </c>
    </row>
    <row r="1305" spans="1:16" ht="409.5" x14ac:dyDescent="0.25">
      <c r="A1305" t="s">
        <v>7985</v>
      </c>
      <c r="B1305" t="s">
        <v>7986</v>
      </c>
      <c r="C1305" t="s">
        <v>6446</v>
      </c>
      <c r="D1305" t="s">
        <v>1027</v>
      </c>
      <c r="E1305">
        <v>1402</v>
      </c>
      <c r="F1305" t="s">
        <v>6447</v>
      </c>
      <c r="G1305" t="b">
        <v>0</v>
      </c>
      <c r="H1305" t="b">
        <v>0</v>
      </c>
      <c r="I1305" t="s">
        <v>1051</v>
      </c>
      <c r="J1305">
        <v>78</v>
      </c>
      <c r="K1305" t="s">
        <v>0</v>
      </c>
      <c r="L1305" t="s">
        <v>3000</v>
      </c>
      <c r="M1305" t="s">
        <v>1548</v>
      </c>
      <c r="N1305" t="s">
        <v>1548</v>
      </c>
      <c r="O1305" t="s">
        <v>1548</v>
      </c>
      <c r="P1305" s="36" t="s">
        <v>6448</v>
      </c>
    </row>
    <row r="1306" spans="1:16" ht="409.5" x14ac:dyDescent="0.25">
      <c r="A1306" t="s">
        <v>7987</v>
      </c>
      <c r="B1306" t="s">
        <v>7988</v>
      </c>
      <c r="C1306" t="s">
        <v>6446</v>
      </c>
      <c r="D1306" t="s">
        <v>1027</v>
      </c>
      <c r="E1306">
        <v>1402</v>
      </c>
      <c r="F1306" t="s">
        <v>6447</v>
      </c>
      <c r="G1306" t="b">
        <v>0</v>
      </c>
      <c r="H1306" t="b">
        <v>0</v>
      </c>
      <c r="I1306" t="s">
        <v>1051</v>
      </c>
      <c r="J1306">
        <v>78</v>
      </c>
      <c r="K1306" t="s">
        <v>0</v>
      </c>
      <c r="L1306" t="s">
        <v>3000</v>
      </c>
      <c r="M1306" t="s">
        <v>1548</v>
      </c>
      <c r="N1306" t="s">
        <v>1548</v>
      </c>
      <c r="O1306" t="s">
        <v>1548</v>
      </c>
      <c r="P1306" s="36" t="s">
        <v>6448</v>
      </c>
    </row>
    <row r="1307" spans="1:16" ht="409.5" x14ac:dyDescent="0.25">
      <c r="A1307" t="s">
        <v>7989</v>
      </c>
      <c r="B1307" t="s">
        <v>7988</v>
      </c>
      <c r="C1307" t="s">
        <v>6446</v>
      </c>
      <c r="D1307" t="s">
        <v>1027</v>
      </c>
      <c r="E1307">
        <v>1402</v>
      </c>
      <c r="F1307" t="s">
        <v>6447</v>
      </c>
      <c r="G1307" t="b">
        <v>0</v>
      </c>
      <c r="H1307" t="b">
        <v>0</v>
      </c>
      <c r="I1307" t="s">
        <v>1051</v>
      </c>
      <c r="J1307">
        <v>78</v>
      </c>
      <c r="K1307" t="s">
        <v>0</v>
      </c>
      <c r="L1307" t="s">
        <v>3000</v>
      </c>
      <c r="M1307" t="s">
        <v>1548</v>
      </c>
      <c r="N1307" t="s">
        <v>1548</v>
      </c>
      <c r="O1307" t="s">
        <v>1548</v>
      </c>
      <c r="P1307" s="36" t="s">
        <v>6448</v>
      </c>
    </row>
    <row r="1308" spans="1:16" ht="409.5" x14ac:dyDescent="0.25">
      <c r="A1308" t="s">
        <v>7990</v>
      </c>
      <c r="B1308" t="s">
        <v>7988</v>
      </c>
      <c r="C1308" t="s">
        <v>6446</v>
      </c>
      <c r="D1308" t="s">
        <v>1027</v>
      </c>
      <c r="E1308">
        <v>1402</v>
      </c>
      <c r="F1308" t="s">
        <v>6447</v>
      </c>
      <c r="G1308" t="b">
        <v>0</v>
      </c>
      <c r="H1308" t="b">
        <v>0</v>
      </c>
      <c r="I1308" t="s">
        <v>1051</v>
      </c>
      <c r="J1308">
        <v>78</v>
      </c>
      <c r="K1308" t="s">
        <v>0</v>
      </c>
      <c r="L1308" t="s">
        <v>3000</v>
      </c>
      <c r="M1308" t="s">
        <v>1548</v>
      </c>
      <c r="N1308" t="s">
        <v>1548</v>
      </c>
      <c r="O1308" t="s">
        <v>1548</v>
      </c>
      <c r="P1308" s="36" t="s">
        <v>6448</v>
      </c>
    </row>
    <row r="1309" spans="1:16" ht="409.5" x14ac:dyDescent="0.25">
      <c r="A1309" t="s">
        <v>7991</v>
      </c>
      <c r="B1309" t="s">
        <v>7992</v>
      </c>
      <c r="C1309" t="s">
        <v>6446</v>
      </c>
      <c r="D1309" t="s">
        <v>1027</v>
      </c>
      <c r="E1309">
        <v>1402</v>
      </c>
      <c r="F1309" t="s">
        <v>6447</v>
      </c>
      <c r="G1309" t="b">
        <v>0</v>
      </c>
      <c r="H1309" t="b">
        <v>0</v>
      </c>
      <c r="I1309" t="s">
        <v>1051</v>
      </c>
      <c r="J1309">
        <v>78</v>
      </c>
      <c r="K1309" t="s">
        <v>0</v>
      </c>
      <c r="L1309" t="s">
        <v>3000</v>
      </c>
      <c r="M1309" t="s">
        <v>1548</v>
      </c>
      <c r="N1309" t="s">
        <v>1548</v>
      </c>
      <c r="O1309" t="s">
        <v>1548</v>
      </c>
      <c r="P1309" s="36" t="s">
        <v>6448</v>
      </c>
    </row>
    <row r="1310" spans="1:16" ht="409.5" x14ac:dyDescent="0.25">
      <c r="A1310" t="s">
        <v>7993</v>
      </c>
      <c r="B1310" t="s">
        <v>7992</v>
      </c>
      <c r="C1310" t="s">
        <v>6446</v>
      </c>
      <c r="D1310" t="s">
        <v>1027</v>
      </c>
      <c r="E1310">
        <v>1402</v>
      </c>
      <c r="F1310" t="s">
        <v>6447</v>
      </c>
      <c r="G1310" t="b">
        <v>0</v>
      </c>
      <c r="H1310" t="b">
        <v>0</v>
      </c>
      <c r="I1310" t="s">
        <v>1051</v>
      </c>
      <c r="J1310">
        <v>78</v>
      </c>
      <c r="K1310" t="s">
        <v>0</v>
      </c>
      <c r="L1310" t="s">
        <v>3000</v>
      </c>
      <c r="M1310" t="s">
        <v>1548</v>
      </c>
      <c r="N1310" t="s">
        <v>1548</v>
      </c>
      <c r="O1310" t="s">
        <v>1548</v>
      </c>
      <c r="P1310" s="36" t="s">
        <v>6448</v>
      </c>
    </row>
    <row r="1311" spans="1:16" ht="390" x14ac:dyDescent="0.25">
      <c r="A1311" t="s">
        <v>7994</v>
      </c>
      <c r="B1311" t="s">
        <v>7995</v>
      </c>
      <c r="C1311" t="s">
        <v>7395</v>
      </c>
      <c r="D1311" t="s">
        <v>1027</v>
      </c>
      <c r="E1311">
        <v>1679</v>
      </c>
      <c r="F1311" t="s">
        <v>7396</v>
      </c>
      <c r="G1311" t="b">
        <v>0</v>
      </c>
      <c r="H1311" t="b">
        <v>0</v>
      </c>
      <c r="I1311" t="s">
        <v>1051</v>
      </c>
      <c r="J1311">
        <v>78</v>
      </c>
      <c r="K1311" t="s">
        <v>0</v>
      </c>
      <c r="L1311" t="s">
        <v>3000</v>
      </c>
      <c r="M1311" t="s">
        <v>1548</v>
      </c>
      <c r="N1311" t="s">
        <v>1548</v>
      </c>
      <c r="O1311" t="s">
        <v>3922</v>
      </c>
      <c r="P1311" s="36" t="s">
        <v>7397</v>
      </c>
    </row>
    <row r="1312" spans="1:16" ht="409.5" x14ac:dyDescent="0.25">
      <c r="A1312" t="s">
        <v>7996</v>
      </c>
      <c r="B1312" t="s">
        <v>7997</v>
      </c>
      <c r="C1312" t="s">
        <v>7622</v>
      </c>
      <c r="D1312" t="s">
        <v>1027</v>
      </c>
      <c r="G1312" t="b">
        <v>0</v>
      </c>
      <c r="H1312" t="b">
        <v>0</v>
      </c>
      <c r="I1312" t="s">
        <v>1051</v>
      </c>
      <c r="J1312">
        <v>81</v>
      </c>
      <c r="K1312" t="s">
        <v>0</v>
      </c>
      <c r="L1312" t="s">
        <v>3000</v>
      </c>
      <c r="M1312" t="s">
        <v>1548</v>
      </c>
      <c r="N1312" t="s">
        <v>1548</v>
      </c>
      <c r="O1312" t="s">
        <v>3922</v>
      </c>
      <c r="P1312" s="36" t="s">
        <v>7623</v>
      </c>
    </row>
    <row r="1313" spans="1:16" ht="409.5" x14ac:dyDescent="0.25">
      <c r="A1313" t="s">
        <v>7998</v>
      </c>
      <c r="B1313" t="s">
        <v>7999</v>
      </c>
      <c r="C1313" t="s">
        <v>7622</v>
      </c>
      <c r="D1313" t="s">
        <v>1027</v>
      </c>
      <c r="G1313" t="b">
        <v>0</v>
      </c>
      <c r="H1313" t="b">
        <v>0</v>
      </c>
      <c r="I1313" t="s">
        <v>1051</v>
      </c>
      <c r="J1313">
        <v>81</v>
      </c>
      <c r="K1313" t="s">
        <v>0</v>
      </c>
      <c r="L1313" t="s">
        <v>3000</v>
      </c>
      <c r="M1313" t="s">
        <v>1548</v>
      </c>
      <c r="N1313" t="s">
        <v>1548</v>
      </c>
      <c r="O1313" t="s">
        <v>3922</v>
      </c>
      <c r="P1313" s="36" t="s">
        <v>7623</v>
      </c>
    </row>
    <row r="1314" spans="1:16" ht="409.5" x14ac:dyDescent="0.25">
      <c r="A1314" t="s">
        <v>8000</v>
      </c>
      <c r="B1314" t="s">
        <v>8001</v>
      </c>
      <c r="C1314" t="s">
        <v>7622</v>
      </c>
      <c r="D1314" t="s">
        <v>1027</v>
      </c>
      <c r="G1314" t="b">
        <v>0</v>
      </c>
      <c r="H1314" t="b">
        <v>0</v>
      </c>
      <c r="I1314" t="s">
        <v>1051</v>
      </c>
      <c r="J1314">
        <v>81</v>
      </c>
      <c r="K1314" t="s">
        <v>0</v>
      </c>
      <c r="L1314" t="s">
        <v>3000</v>
      </c>
      <c r="M1314" t="s">
        <v>1548</v>
      </c>
      <c r="N1314" t="s">
        <v>1548</v>
      </c>
      <c r="O1314" t="s">
        <v>3922</v>
      </c>
      <c r="P1314" s="36" t="s">
        <v>7623</v>
      </c>
    </row>
    <row r="1315" spans="1:16" ht="409.5" x14ac:dyDescent="0.25">
      <c r="A1315" t="s">
        <v>8002</v>
      </c>
      <c r="B1315" t="s">
        <v>8001</v>
      </c>
      <c r="C1315" t="s">
        <v>7622</v>
      </c>
      <c r="D1315" t="s">
        <v>1027</v>
      </c>
      <c r="G1315" t="b">
        <v>0</v>
      </c>
      <c r="H1315" t="b">
        <v>0</v>
      </c>
      <c r="I1315" t="s">
        <v>1051</v>
      </c>
      <c r="J1315">
        <v>81</v>
      </c>
      <c r="K1315" t="s">
        <v>0</v>
      </c>
      <c r="L1315" t="s">
        <v>3000</v>
      </c>
      <c r="M1315" t="s">
        <v>1548</v>
      </c>
      <c r="N1315" t="s">
        <v>1548</v>
      </c>
      <c r="O1315" t="s">
        <v>3922</v>
      </c>
      <c r="P1315" s="36" t="s">
        <v>7623</v>
      </c>
    </row>
    <row r="1316" spans="1:16" ht="409.5" x14ac:dyDescent="0.25">
      <c r="A1316" t="s">
        <v>8003</v>
      </c>
      <c r="B1316" t="s">
        <v>8004</v>
      </c>
      <c r="C1316" t="s">
        <v>6473</v>
      </c>
      <c r="D1316" t="s">
        <v>1027</v>
      </c>
      <c r="E1316">
        <v>33419</v>
      </c>
      <c r="F1316" t="s">
        <v>6474</v>
      </c>
      <c r="G1316" t="b">
        <v>0</v>
      </c>
      <c r="H1316" t="b">
        <v>0</v>
      </c>
      <c r="I1316" t="s">
        <v>1051</v>
      </c>
      <c r="J1316">
        <v>78</v>
      </c>
      <c r="K1316" t="s">
        <v>0</v>
      </c>
      <c r="L1316" t="s">
        <v>3000</v>
      </c>
      <c r="M1316" t="s">
        <v>1548</v>
      </c>
      <c r="N1316" t="s">
        <v>1548</v>
      </c>
      <c r="O1316" t="s">
        <v>1548</v>
      </c>
      <c r="P1316" s="36" t="s">
        <v>6448</v>
      </c>
    </row>
    <row r="1317" spans="1:16" ht="409.5" x14ac:dyDescent="0.25">
      <c r="A1317" t="s">
        <v>8005</v>
      </c>
      <c r="B1317" t="s">
        <v>8004</v>
      </c>
      <c r="C1317" t="s">
        <v>6473</v>
      </c>
      <c r="D1317" t="s">
        <v>1027</v>
      </c>
      <c r="E1317">
        <v>33419</v>
      </c>
      <c r="F1317" t="s">
        <v>6474</v>
      </c>
      <c r="G1317" t="b">
        <v>0</v>
      </c>
      <c r="H1317" t="b">
        <v>0</v>
      </c>
      <c r="I1317" t="s">
        <v>1051</v>
      </c>
      <c r="J1317">
        <v>78</v>
      </c>
      <c r="K1317" t="s">
        <v>0</v>
      </c>
      <c r="L1317" t="s">
        <v>3000</v>
      </c>
      <c r="M1317" t="s">
        <v>1548</v>
      </c>
      <c r="N1317" t="s">
        <v>1548</v>
      </c>
      <c r="O1317" t="s">
        <v>1548</v>
      </c>
      <c r="P1317" s="36" t="s">
        <v>6448</v>
      </c>
    </row>
    <row r="1318" spans="1:16" ht="409.5" x14ac:dyDescent="0.25">
      <c r="A1318" t="s">
        <v>8006</v>
      </c>
      <c r="B1318" t="s">
        <v>8007</v>
      </c>
      <c r="C1318" t="s">
        <v>6446</v>
      </c>
      <c r="D1318" t="s">
        <v>1027</v>
      </c>
      <c r="E1318">
        <v>1402</v>
      </c>
      <c r="F1318" t="s">
        <v>6447</v>
      </c>
      <c r="G1318" t="b">
        <v>0</v>
      </c>
      <c r="H1318" t="b">
        <v>0</v>
      </c>
      <c r="I1318" t="s">
        <v>1051</v>
      </c>
      <c r="J1318">
        <v>78</v>
      </c>
      <c r="K1318" t="s">
        <v>0</v>
      </c>
      <c r="L1318" t="s">
        <v>3000</v>
      </c>
      <c r="M1318" t="s">
        <v>1548</v>
      </c>
      <c r="N1318" t="s">
        <v>1548</v>
      </c>
      <c r="O1318" t="s">
        <v>1548</v>
      </c>
      <c r="P1318" s="36" t="s">
        <v>6448</v>
      </c>
    </row>
    <row r="1319" spans="1:16" ht="409.5" x14ac:dyDescent="0.25">
      <c r="A1319" t="s">
        <v>8008</v>
      </c>
      <c r="B1319" t="s">
        <v>8009</v>
      </c>
      <c r="C1319" t="s">
        <v>6446</v>
      </c>
      <c r="D1319" t="s">
        <v>1027</v>
      </c>
      <c r="E1319">
        <v>1402</v>
      </c>
      <c r="F1319" t="s">
        <v>6447</v>
      </c>
      <c r="G1319" t="b">
        <v>0</v>
      </c>
      <c r="H1319" t="b">
        <v>0</v>
      </c>
      <c r="I1319" t="s">
        <v>1051</v>
      </c>
      <c r="J1319">
        <v>78</v>
      </c>
      <c r="K1319" t="s">
        <v>0</v>
      </c>
      <c r="L1319" t="s">
        <v>3000</v>
      </c>
      <c r="M1319" t="s">
        <v>1548</v>
      </c>
      <c r="N1319" t="s">
        <v>1548</v>
      </c>
      <c r="O1319" t="s">
        <v>1548</v>
      </c>
      <c r="P1319" s="36" t="s">
        <v>6448</v>
      </c>
    </row>
    <row r="1320" spans="1:16" ht="409.5" x14ac:dyDescent="0.25">
      <c r="A1320" t="s">
        <v>8010</v>
      </c>
      <c r="B1320" t="s">
        <v>8009</v>
      </c>
      <c r="C1320" t="s">
        <v>6446</v>
      </c>
      <c r="D1320" t="s">
        <v>1027</v>
      </c>
      <c r="E1320">
        <v>1402</v>
      </c>
      <c r="F1320" t="s">
        <v>6447</v>
      </c>
      <c r="G1320" t="b">
        <v>0</v>
      </c>
      <c r="H1320" t="b">
        <v>0</v>
      </c>
      <c r="I1320" t="s">
        <v>1051</v>
      </c>
      <c r="J1320">
        <v>78</v>
      </c>
      <c r="K1320" t="s">
        <v>0</v>
      </c>
      <c r="L1320" t="s">
        <v>3000</v>
      </c>
      <c r="M1320" t="s">
        <v>1548</v>
      </c>
      <c r="N1320" t="s">
        <v>1548</v>
      </c>
      <c r="O1320" t="s">
        <v>1548</v>
      </c>
      <c r="P1320" s="36" t="s">
        <v>6448</v>
      </c>
    </row>
    <row r="1321" spans="1:16" ht="409.5" x14ac:dyDescent="0.25">
      <c r="A1321" t="s">
        <v>8011</v>
      </c>
      <c r="B1321" t="s">
        <v>8009</v>
      </c>
      <c r="C1321" t="s">
        <v>6446</v>
      </c>
      <c r="D1321" t="s">
        <v>1027</v>
      </c>
      <c r="E1321">
        <v>1402</v>
      </c>
      <c r="F1321" t="s">
        <v>6447</v>
      </c>
      <c r="G1321" t="b">
        <v>0</v>
      </c>
      <c r="H1321" t="b">
        <v>0</v>
      </c>
      <c r="I1321" t="s">
        <v>1051</v>
      </c>
      <c r="J1321">
        <v>78</v>
      </c>
      <c r="K1321" t="s">
        <v>0</v>
      </c>
      <c r="L1321" t="s">
        <v>3000</v>
      </c>
      <c r="M1321" t="s">
        <v>1548</v>
      </c>
      <c r="N1321" t="s">
        <v>1548</v>
      </c>
      <c r="O1321" t="s">
        <v>1548</v>
      </c>
      <c r="P1321" s="36" t="s">
        <v>6448</v>
      </c>
    </row>
    <row r="1322" spans="1:16" ht="409.5" x14ac:dyDescent="0.25">
      <c r="A1322" t="s">
        <v>8012</v>
      </c>
      <c r="B1322" t="s">
        <v>8013</v>
      </c>
      <c r="C1322" t="s">
        <v>6446</v>
      </c>
      <c r="D1322" t="s">
        <v>1027</v>
      </c>
      <c r="E1322">
        <v>1402</v>
      </c>
      <c r="F1322" t="s">
        <v>6447</v>
      </c>
      <c r="G1322" t="b">
        <v>0</v>
      </c>
      <c r="H1322" t="b">
        <v>0</v>
      </c>
      <c r="I1322" t="s">
        <v>1051</v>
      </c>
      <c r="J1322">
        <v>78</v>
      </c>
      <c r="K1322" t="s">
        <v>0</v>
      </c>
      <c r="L1322" t="s">
        <v>3000</v>
      </c>
      <c r="M1322" t="s">
        <v>1548</v>
      </c>
      <c r="N1322" t="s">
        <v>1548</v>
      </c>
      <c r="O1322" t="s">
        <v>1548</v>
      </c>
      <c r="P1322" s="36" t="s">
        <v>6448</v>
      </c>
    </row>
    <row r="1323" spans="1:16" ht="409.5" x14ac:dyDescent="0.25">
      <c r="A1323" t="s">
        <v>8014</v>
      </c>
      <c r="B1323" t="s">
        <v>8015</v>
      </c>
      <c r="C1323" t="s">
        <v>6446</v>
      </c>
      <c r="D1323" t="s">
        <v>1027</v>
      </c>
      <c r="E1323">
        <v>1402</v>
      </c>
      <c r="F1323" t="s">
        <v>6447</v>
      </c>
      <c r="G1323" t="b">
        <v>0</v>
      </c>
      <c r="H1323" t="b">
        <v>0</v>
      </c>
      <c r="I1323" t="s">
        <v>1051</v>
      </c>
      <c r="J1323">
        <v>78</v>
      </c>
      <c r="K1323" t="s">
        <v>0</v>
      </c>
      <c r="L1323" t="s">
        <v>3000</v>
      </c>
      <c r="M1323" t="s">
        <v>1548</v>
      </c>
      <c r="N1323" t="s">
        <v>1548</v>
      </c>
      <c r="O1323" t="s">
        <v>1548</v>
      </c>
      <c r="P1323" s="36" t="s">
        <v>6448</v>
      </c>
    </row>
    <row r="1324" spans="1:16" ht="409.5" x14ac:dyDescent="0.25">
      <c r="A1324" t="s">
        <v>8016</v>
      </c>
      <c r="B1324" t="s">
        <v>8017</v>
      </c>
      <c r="C1324" t="s">
        <v>6446</v>
      </c>
      <c r="D1324" t="s">
        <v>1027</v>
      </c>
      <c r="E1324">
        <v>1402</v>
      </c>
      <c r="F1324" t="s">
        <v>6447</v>
      </c>
      <c r="G1324" t="b">
        <v>0</v>
      </c>
      <c r="H1324" t="b">
        <v>0</v>
      </c>
      <c r="I1324" t="s">
        <v>1051</v>
      </c>
      <c r="J1324">
        <v>78</v>
      </c>
      <c r="K1324" t="s">
        <v>0</v>
      </c>
      <c r="L1324" t="s">
        <v>3000</v>
      </c>
      <c r="M1324" t="s">
        <v>1548</v>
      </c>
      <c r="N1324" t="s">
        <v>1548</v>
      </c>
      <c r="O1324" t="s">
        <v>1548</v>
      </c>
      <c r="P1324" s="36" t="s">
        <v>6448</v>
      </c>
    </row>
    <row r="1325" spans="1:16" ht="409.5" x14ac:dyDescent="0.25">
      <c r="A1325" t="s">
        <v>8018</v>
      </c>
      <c r="B1325" t="s">
        <v>8019</v>
      </c>
      <c r="C1325" t="s">
        <v>6446</v>
      </c>
      <c r="D1325" t="s">
        <v>1027</v>
      </c>
      <c r="E1325">
        <v>1402</v>
      </c>
      <c r="F1325" t="s">
        <v>6447</v>
      </c>
      <c r="G1325" t="b">
        <v>0</v>
      </c>
      <c r="H1325" t="b">
        <v>0</v>
      </c>
      <c r="I1325" t="s">
        <v>1051</v>
      </c>
      <c r="J1325">
        <v>78</v>
      </c>
      <c r="K1325" t="s">
        <v>0</v>
      </c>
      <c r="L1325" t="s">
        <v>3000</v>
      </c>
      <c r="M1325" t="s">
        <v>1548</v>
      </c>
      <c r="N1325" t="s">
        <v>1548</v>
      </c>
      <c r="O1325" t="s">
        <v>1548</v>
      </c>
      <c r="P1325" s="36" t="s">
        <v>6448</v>
      </c>
    </row>
    <row r="1326" spans="1:16" ht="409.5" x14ac:dyDescent="0.25">
      <c r="A1326" t="s">
        <v>8020</v>
      </c>
      <c r="B1326" t="s">
        <v>8019</v>
      </c>
      <c r="C1326" t="s">
        <v>6446</v>
      </c>
      <c r="D1326" t="s">
        <v>1027</v>
      </c>
      <c r="E1326">
        <v>1402</v>
      </c>
      <c r="F1326" t="s">
        <v>6447</v>
      </c>
      <c r="G1326" t="b">
        <v>0</v>
      </c>
      <c r="H1326" t="b">
        <v>0</v>
      </c>
      <c r="I1326" t="s">
        <v>1051</v>
      </c>
      <c r="J1326">
        <v>78</v>
      </c>
      <c r="K1326" t="s">
        <v>0</v>
      </c>
      <c r="L1326" t="s">
        <v>3000</v>
      </c>
      <c r="M1326" t="s">
        <v>1548</v>
      </c>
      <c r="N1326" t="s">
        <v>1548</v>
      </c>
      <c r="O1326" t="s">
        <v>1548</v>
      </c>
      <c r="P1326" s="36" t="s">
        <v>6448</v>
      </c>
    </row>
    <row r="1327" spans="1:16" ht="409.5" x14ac:dyDescent="0.25">
      <c r="A1327" t="s">
        <v>8021</v>
      </c>
      <c r="B1327" t="s">
        <v>8022</v>
      </c>
      <c r="C1327" t="s">
        <v>6446</v>
      </c>
      <c r="D1327" t="s">
        <v>1027</v>
      </c>
      <c r="E1327">
        <v>1402</v>
      </c>
      <c r="F1327" t="s">
        <v>6447</v>
      </c>
      <c r="G1327" t="b">
        <v>0</v>
      </c>
      <c r="H1327" t="b">
        <v>0</v>
      </c>
      <c r="I1327" t="s">
        <v>1051</v>
      </c>
      <c r="J1327">
        <v>78</v>
      </c>
      <c r="K1327" t="s">
        <v>0</v>
      </c>
      <c r="L1327" t="s">
        <v>3000</v>
      </c>
      <c r="M1327" t="s">
        <v>1548</v>
      </c>
      <c r="N1327" t="s">
        <v>1548</v>
      </c>
      <c r="O1327" t="s">
        <v>1548</v>
      </c>
      <c r="P1327" s="36" t="s">
        <v>6448</v>
      </c>
    </row>
    <row r="1328" spans="1:16" ht="409.5" x14ac:dyDescent="0.25">
      <c r="A1328" t="s">
        <v>8023</v>
      </c>
      <c r="B1328" t="s">
        <v>8024</v>
      </c>
      <c r="C1328" t="s">
        <v>6446</v>
      </c>
      <c r="D1328" t="s">
        <v>1027</v>
      </c>
      <c r="E1328">
        <v>1402</v>
      </c>
      <c r="F1328" t="s">
        <v>6447</v>
      </c>
      <c r="G1328" t="b">
        <v>0</v>
      </c>
      <c r="H1328" t="b">
        <v>0</v>
      </c>
      <c r="I1328" t="s">
        <v>1051</v>
      </c>
      <c r="J1328">
        <v>78</v>
      </c>
      <c r="K1328" t="s">
        <v>0</v>
      </c>
      <c r="L1328" t="s">
        <v>3000</v>
      </c>
      <c r="M1328" t="s">
        <v>1548</v>
      </c>
      <c r="N1328" t="s">
        <v>1548</v>
      </c>
      <c r="O1328" t="s">
        <v>1548</v>
      </c>
      <c r="P1328" s="36" t="s">
        <v>6448</v>
      </c>
    </row>
    <row r="1329" spans="1:16" ht="409.5" x14ac:dyDescent="0.25">
      <c r="A1329" t="s">
        <v>8025</v>
      </c>
      <c r="B1329" t="s">
        <v>8024</v>
      </c>
      <c r="C1329" t="s">
        <v>6446</v>
      </c>
      <c r="D1329" t="s">
        <v>1027</v>
      </c>
      <c r="E1329">
        <v>1402</v>
      </c>
      <c r="F1329" t="s">
        <v>6447</v>
      </c>
      <c r="G1329" t="b">
        <v>0</v>
      </c>
      <c r="H1329" t="b">
        <v>0</v>
      </c>
      <c r="I1329" t="s">
        <v>1051</v>
      </c>
      <c r="J1329">
        <v>78</v>
      </c>
      <c r="K1329" t="s">
        <v>0</v>
      </c>
      <c r="L1329" t="s">
        <v>3000</v>
      </c>
      <c r="M1329" t="s">
        <v>1548</v>
      </c>
      <c r="N1329" t="s">
        <v>1548</v>
      </c>
      <c r="O1329" t="s">
        <v>1548</v>
      </c>
      <c r="P1329" s="36" t="s">
        <v>6448</v>
      </c>
    </row>
    <row r="1330" spans="1:16" ht="409.5" x14ac:dyDescent="0.25">
      <c r="A1330" t="s">
        <v>8026</v>
      </c>
      <c r="B1330" t="s">
        <v>8024</v>
      </c>
      <c r="C1330" t="s">
        <v>6446</v>
      </c>
      <c r="D1330" t="s">
        <v>1027</v>
      </c>
      <c r="E1330">
        <v>1402</v>
      </c>
      <c r="F1330" t="s">
        <v>6447</v>
      </c>
      <c r="G1330" t="b">
        <v>0</v>
      </c>
      <c r="H1330" t="b">
        <v>0</v>
      </c>
      <c r="I1330" t="s">
        <v>1051</v>
      </c>
      <c r="J1330">
        <v>78</v>
      </c>
      <c r="K1330" t="s">
        <v>0</v>
      </c>
      <c r="L1330" t="s">
        <v>3000</v>
      </c>
      <c r="M1330" t="s">
        <v>1548</v>
      </c>
      <c r="N1330" t="s">
        <v>1548</v>
      </c>
      <c r="O1330" t="s">
        <v>1548</v>
      </c>
      <c r="P1330" s="36" t="s">
        <v>6448</v>
      </c>
    </row>
    <row r="1331" spans="1:16" ht="409.5" x14ac:dyDescent="0.25">
      <c r="A1331" t="s">
        <v>8027</v>
      </c>
      <c r="B1331" t="s">
        <v>8028</v>
      </c>
      <c r="C1331" t="s">
        <v>6446</v>
      </c>
      <c r="D1331" t="s">
        <v>1027</v>
      </c>
      <c r="E1331">
        <v>1402</v>
      </c>
      <c r="F1331" t="s">
        <v>6447</v>
      </c>
      <c r="G1331" t="b">
        <v>0</v>
      </c>
      <c r="H1331" t="b">
        <v>0</v>
      </c>
      <c r="I1331" t="s">
        <v>1051</v>
      </c>
      <c r="J1331">
        <v>78</v>
      </c>
      <c r="K1331" t="s">
        <v>0</v>
      </c>
      <c r="L1331" t="s">
        <v>3000</v>
      </c>
      <c r="M1331" t="s">
        <v>1548</v>
      </c>
      <c r="N1331" t="s">
        <v>1548</v>
      </c>
      <c r="O1331" t="s">
        <v>1548</v>
      </c>
      <c r="P1331" s="36" t="s">
        <v>6448</v>
      </c>
    </row>
    <row r="1332" spans="1:16" ht="409.5" x14ac:dyDescent="0.25">
      <c r="A1332" t="s">
        <v>8029</v>
      </c>
      <c r="B1332" t="s">
        <v>8030</v>
      </c>
      <c r="C1332" t="s">
        <v>6446</v>
      </c>
      <c r="D1332" t="s">
        <v>1027</v>
      </c>
      <c r="E1332">
        <v>1402</v>
      </c>
      <c r="F1332" t="s">
        <v>6447</v>
      </c>
      <c r="G1332" t="b">
        <v>0</v>
      </c>
      <c r="H1332" t="b">
        <v>0</v>
      </c>
      <c r="I1332" t="s">
        <v>1051</v>
      </c>
      <c r="J1332">
        <v>78</v>
      </c>
      <c r="K1332" t="s">
        <v>0</v>
      </c>
      <c r="L1332" t="s">
        <v>3000</v>
      </c>
      <c r="M1332" t="s">
        <v>1548</v>
      </c>
      <c r="N1332" t="s">
        <v>1548</v>
      </c>
      <c r="O1332" t="s">
        <v>1548</v>
      </c>
      <c r="P1332" s="36" t="s">
        <v>6448</v>
      </c>
    </row>
    <row r="1333" spans="1:16" ht="409.5" x14ac:dyDescent="0.25">
      <c r="A1333" t="s">
        <v>8031</v>
      </c>
      <c r="B1333" t="s">
        <v>8032</v>
      </c>
      <c r="C1333" t="s">
        <v>6446</v>
      </c>
      <c r="D1333" t="s">
        <v>1027</v>
      </c>
      <c r="E1333">
        <v>1402</v>
      </c>
      <c r="F1333" t="s">
        <v>6447</v>
      </c>
      <c r="G1333" t="b">
        <v>0</v>
      </c>
      <c r="H1333" t="b">
        <v>0</v>
      </c>
      <c r="I1333" t="s">
        <v>1051</v>
      </c>
      <c r="J1333">
        <v>78</v>
      </c>
      <c r="K1333" t="s">
        <v>0</v>
      </c>
      <c r="L1333" t="s">
        <v>3000</v>
      </c>
      <c r="M1333" t="s">
        <v>1548</v>
      </c>
      <c r="N1333" t="s">
        <v>1548</v>
      </c>
      <c r="O1333" t="s">
        <v>1548</v>
      </c>
      <c r="P1333" s="36" t="s">
        <v>6448</v>
      </c>
    </row>
    <row r="1334" spans="1:16" ht="409.5" x14ac:dyDescent="0.25">
      <c r="A1334" t="s">
        <v>8033</v>
      </c>
      <c r="B1334" t="s">
        <v>8009</v>
      </c>
      <c r="C1334" t="s">
        <v>6446</v>
      </c>
      <c r="D1334" t="s">
        <v>1027</v>
      </c>
      <c r="E1334">
        <v>1402</v>
      </c>
      <c r="F1334" t="s">
        <v>6447</v>
      </c>
      <c r="G1334" t="b">
        <v>0</v>
      </c>
      <c r="H1334" t="b">
        <v>0</v>
      </c>
      <c r="I1334" t="s">
        <v>1051</v>
      </c>
      <c r="J1334">
        <v>78</v>
      </c>
      <c r="K1334" t="s">
        <v>0</v>
      </c>
      <c r="L1334" t="s">
        <v>3000</v>
      </c>
      <c r="M1334" t="s">
        <v>1548</v>
      </c>
      <c r="N1334" t="s">
        <v>1548</v>
      </c>
      <c r="O1334" t="s">
        <v>1548</v>
      </c>
      <c r="P1334" s="36" t="s">
        <v>6448</v>
      </c>
    </row>
    <row r="1335" spans="1:16" ht="409.5" x14ac:dyDescent="0.25">
      <c r="A1335" t="s">
        <v>8034</v>
      </c>
      <c r="B1335" t="s">
        <v>8009</v>
      </c>
      <c r="C1335" t="s">
        <v>6446</v>
      </c>
      <c r="D1335" t="s">
        <v>1027</v>
      </c>
      <c r="E1335">
        <v>1402</v>
      </c>
      <c r="F1335" t="s">
        <v>6447</v>
      </c>
      <c r="G1335" t="b">
        <v>0</v>
      </c>
      <c r="H1335" t="b">
        <v>0</v>
      </c>
      <c r="I1335" t="s">
        <v>1051</v>
      </c>
      <c r="J1335">
        <v>78</v>
      </c>
      <c r="K1335" t="s">
        <v>0</v>
      </c>
      <c r="L1335" t="s">
        <v>3000</v>
      </c>
      <c r="M1335" t="s">
        <v>1548</v>
      </c>
      <c r="N1335" t="s">
        <v>1548</v>
      </c>
      <c r="O1335" t="s">
        <v>1548</v>
      </c>
      <c r="P1335" s="36" t="s">
        <v>6448</v>
      </c>
    </row>
    <row r="1336" spans="1:16" ht="409.5" x14ac:dyDescent="0.25">
      <c r="A1336" t="s">
        <v>8035</v>
      </c>
      <c r="B1336" t="s">
        <v>8009</v>
      </c>
      <c r="C1336" t="s">
        <v>6446</v>
      </c>
      <c r="D1336" t="s">
        <v>1027</v>
      </c>
      <c r="E1336">
        <v>1402</v>
      </c>
      <c r="F1336" t="s">
        <v>6447</v>
      </c>
      <c r="G1336" t="b">
        <v>0</v>
      </c>
      <c r="H1336" t="b">
        <v>0</v>
      </c>
      <c r="I1336" t="s">
        <v>1051</v>
      </c>
      <c r="J1336">
        <v>78</v>
      </c>
      <c r="K1336" t="s">
        <v>0</v>
      </c>
      <c r="L1336" t="s">
        <v>3000</v>
      </c>
      <c r="M1336" t="s">
        <v>1548</v>
      </c>
      <c r="N1336" t="s">
        <v>1548</v>
      </c>
      <c r="O1336" t="s">
        <v>1548</v>
      </c>
      <c r="P1336" s="36" t="s">
        <v>6448</v>
      </c>
    </row>
    <row r="1337" spans="1:16" ht="409.5" x14ac:dyDescent="0.25">
      <c r="A1337" t="s">
        <v>8036</v>
      </c>
      <c r="B1337" t="s">
        <v>8009</v>
      </c>
      <c r="C1337" t="s">
        <v>6446</v>
      </c>
      <c r="D1337" t="s">
        <v>1027</v>
      </c>
      <c r="E1337">
        <v>1402</v>
      </c>
      <c r="F1337" t="s">
        <v>6447</v>
      </c>
      <c r="G1337" t="b">
        <v>0</v>
      </c>
      <c r="H1337" t="b">
        <v>0</v>
      </c>
      <c r="I1337" t="s">
        <v>1051</v>
      </c>
      <c r="J1337">
        <v>78</v>
      </c>
      <c r="K1337" t="s">
        <v>0</v>
      </c>
      <c r="L1337" t="s">
        <v>3000</v>
      </c>
      <c r="M1337" t="s">
        <v>1548</v>
      </c>
      <c r="N1337" t="s">
        <v>1548</v>
      </c>
      <c r="O1337" t="s">
        <v>1548</v>
      </c>
      <c r="P1337" s="36" t="s">
        <v>6448</v>
      </c>
    </row>
    <row r="1338" spans="1:16" ht="409.5" x14ac:dyDescent="0.25">
      <c r="A1338" t="s">
        <v>8037</v>
      </c>
      <c r="B1338" t="s">
        <v>8009</v>
      </c>
      <c r="C1338" t="s">
        <v>6446</v>
      </c>
      <c r="D1338" t="s">
        <v>1027</v>
      </c>
      <c r="E1338">
        <v>1402</v>
      </c>
      <c r="F1338" t="s">
        <v>6447</v>
      </c>
      <c r="G1338" t="b">
        <v>0</v>
      </c>
      <c r="H1338" t="b">
        <v>0</v>
      </c>
      <c r="I1338" t="s">
        <v>1051</v>
      </c>
      <c r="J1338">
        <v>78</v>
      </c>
      <c r="K1338" t="s">
        <v>0</v>
      </c>
      <c r="L1338" t="s">
        <v>3000</v>
      </c>
      <c r="M1338" t="s">
        <v>1548</v>
      </c>
      <c r="N1338" t="s">
        <v>1548</v>
      </c>
      <c r="O1338" t="s">
        <v>1548</v>
      </c>
      <c r="P1338" s="36" t="s">
        <v>6448</v>
      </c>
    </row>
    <row r="1339" spans="1:16" ht="390" x14ac:dyDescent="0.25">
      <c r="A1339" t="s">
        <v>8038</v>
      </c>
      <c r="B1339" t="s">
        <v>8039</v>
      </c>
      <c r="C1339" t="s">
        <v>7395</v>
      </c>
      <c r="D1339" t="s">
        <v>1027</v>
      </c>
      <c r="E1339">
        <v>1679</v>
      </c>
      <c r="F1339" t="s">
        <v>7396</v>
      </c>
      <c r="G1339" t="b">
        <v>0</v>
      </c>
      <c r="H1339" t="b">
        <v>0</v>
      </c>
      <c r="I1339" t="s">
        <v>1051</v>
      </c>
      <c r="J1339">
        <v>81</v>
      </c>
      <c r="K1339" t="s">
        <v>0</v>
      </c>
      <c r="L1339" t="s">
        <v>3000</v>
      </c>
      <c r="M1339" t="s">
        <v>1548</v>
      </c>
      <c r="N1339" t="s">
        <v>1548</v>
      </c>
      <c r="O1339" t="s">
        <v>3922</v>
      </c>
      <c r="P1339" s="36" t="s">
        <v>7397</v>
      </c>
    </row>
    <row r="1340" spans="1:16" ht="390" x14ac:dyDescent="0.25">
      <c r="A1340" t="s">
        <v>8040</v>
      </c>
      <c r="B1340" t="s">
        <v>8041</v>
      </c>
      <c r="C1340" t="s">
        <v>7395</v>
      </c>
      <c r="D1340" t="s">
        <v>1027</v>
      </c>
      <c r="E1340">
        <v>1679</v>
      </c>
      <c r="F1340" t="s">
        <v>7396</v>
      </c>
      <c r="G1340" t="b">
        <v>0</v>
      </c>
      <c r="H1340" t="b">
        <v>0</v>
      </c>
      <c r="I1340" t="s">
        <v>1051</v>
      </c>
      <c r="J1340">
        <v>81</v>
      </c>
      <c r="K1340" t="s">
        <v>0</v>
      </c>
      <c r="L1340" t="s">
        <v>3000</v>
      </c>
      <c r="M1340" t="s">
        <v>1548</v>
      </c>
      <c r="N1340" t="s">
        <v>1548</v>
      </c>
      <c r="O1340" t="s">
        <v>3922</v>
      </c>
      <c r="P1340" s="36" t="s">
        <v>7397</v>
      </c>
    </row>
    <row r="1341" spans="1:16" ht="390" x14ac:dyDescent="0.25">
      <c r="A1341" t="s">
        <v>8042</v>
      </c>
      <c r="B1341" t="s">
        <v>8041</v>
      </c>
      <c r="C1341" t="s">
        <v>7395</v>
      </c>
      <c r="D1341" t="s">
        <v>1027</v>
      </c>
      <c r="E1341">
        <v>1679</v>
      </c>
      <c r="F1341" t="s">
        <v>7396</v>
      </c>
      <c r="G1341" t="b">
        <v>0</v>
      </c>
      <c r="H1341" t="b">
        <v>0</v>
      </c>
      <c r="I1341" t="s">
        <v>1051</v>
      </c>
      <c r="J1341">
        <v>81</v>
      </c>
      <c r="K1341" t="s">
        <v>0</v>
      </c>
      <c r="L1341" t="s">
        <v>3000</v>
      </c>
      <c r="M1341" t="s">
        <v>1548</v>
      </c>
      <c r="N1341" t="s">
        <v>1548</v>
      </c>
      <c r="O1341" t="s">
        <v>3922</v>
      </c>
      <c r="P1341" s="36" t="s">
        <v>7397</v>
      </c>
    </row>
    <row r="1342" spans="1:16" ht="390" x14ac:dyDescent="0.25">
      <c r="A1342" t="s">
        <v>8043</v>
      </c>
      <c r="B1342" t="s">
        <v>8044</v>
      </c>
      <c r="C1342" t="s">
        <v>7395</v>
      </c>
      <c r="D1342" t="s">
        <v>1027</v>
      </c>
      <c r="E1342">
        <v>1679</v>
      </c>
      <c r="F1342" t="s">
        <v>7396</v>
      </c>
      <c r="G1342" t="b">
        <v>0</v>
      </c>
      <c r="H1342" t="b">
        <v>0</v>
      </c>
      <c r="I1342" t="s">
        <v>1051</v>
      </c>
      <c r="J1342">
        <v>81</v>
      </c>
      <c r="K1342" t="s">
        <v>0</v>
      </c>
      <c r="L1342" t="s">
        <v>3000</v>
      </c>
      <c r="M1342" t="s">
        <v>1548</v>
      </c>
      <c r="N1342" t="s">
        <v>1548</v>
      </c>
      <c r="O1342" t="s">
        <v>3922</v>
      </c>
      <c r="P1342" s="36" t="s">
        <v>7397</v>
      </c>
    </row>
    <row r="1343" spans="1:16" ht="390" x14ac:dyDescent="0.25">
      <c r="A1343" t="s">
        <v>8045</v>
      </c>
      <c r="B1343" t="s">
        <v>8044</v>
      </c>
      <c r="C1343" t="s">
        <v>7395</v>
      </c>
      <c r="D1343" t="s">
        <v>1027</v>
      </c>
      <c r="E1343">
        <v>1679</v>
      </c>
      <c r="F1343" t="s">
        <v>7396</v>
      </c>
      <c r="G1343" t="b">
        <v>0</v>
      </c>
      <c r="H1343" t="b">
        <v>0</v>
      </c>
      <c r="I1343" t="s">
        <v>1051</v>
      </c>
      <c r="J1343">
        <v>81</v>
      </c>
      <c r="K1343" t="s">
        <v>0</v>
      </c>
      <c r="L1343" t="s">
        <v>3000</v>
      </c>
      <c r="M1343" t="s">
        <v>1548</v>
      </c>
      <c r="N1343" t="s">
        <v>1548</v>
      </c>
      <c r="O1343" t="s">
        <v>3922</v>
      </c>
      <c r="P1343" s="36" t="s">
        <v>7397</v>
      </c>
    </row>
    <row r="1344" spans="1:16" ht="390" x14ac:dyDescent="0.25">
      <c r="A1344" t="s">
        <v>8046</v>
      </c>
      <c r="B1344" t="s">
        <v>8047</v>
      </c>
      <c r="C1344" t="s">
        <v>7395</v>
      </c>
      <c r="D1344" t="s">
        <v>1027</v>
      </c>
      <c r="E1344">
        <v>1679</v>
      </c>
      <c r="F1344" t="s">
        <v>7396</v>
      </c>
      <c r="G1344" t="b">
        <v>0</v>
      </c>
      <c r="H1344" t="b">
        <v>0</v>
      </c>
      <c r="I1344" t="s">
        <v>1051</v>
      </c>
      <c r="J1344">
        <v>81</v>
      </c>
      <c r="K1344" t="s">
        <v>0</v>
      </c>
      <c r="L1344" t="s">
        <v>3000</v>
      </c>
      <c r="M1344" t="s">
        <v>1548</v>
      </c>
      <c r="N1344" t="s">
        <v>1548</v>
      </c>
      <c r="O1344" t="s">
        <v>3922</v>
      </c>
      <c r="P1344" s="36" t="s">
        <v>7397</v>
      </c>
    </row>
    <row r="1345" spans="1:16" ht="390" x14ac:dyDescent="0.25">
      <c r="A1345" t="s">
        <v>8048</v>
      </c>
      <c r="B1345" t="s">
        <v>8049</v>
      </c>
      <c r="C1345" t="s">
        <v>7395</v>
      </c>
      <c r="D1345" t="s">
        <v>1027</v>
      </c>
      <c r="E1345">
        <v>1679</v>
      </c>
      <c r="F1345" t="s">
        <v>7396</v>
      </c>
      <c r="G1345" t="b">
        <v>0</v>
      </c>
      <c r="H1345" t="b">
        <v>0</v>
      </c>
      <c r="I1345" t="s">
        <v>1051</v>
      </c>
      <c r="J1345">
        <v>81</v>
      </c>
      <c r="K1345" t="s">
        <v>0</v>
      </c>
      <c r="L1345" t="s">
        <v>3000</v>
      </c>
      <c r="M1345" t="s">
        <v>1548</v>
      </c>
      <c r="N1345" t="s">
        <v>1548</v>
      </c>
      <c r="O1345" t="s">
        <v>3922</v>
      </c>
      <c r="P1345" s="36" t="s">
        <v>7397</v>
      </c>
    </row>
    <row r="1346" spans="1:16" ht="390" x14ac:dyDescent="0.25">
      <c r="A1346" t="s">
        <v>8050</v>
      </c>
      <c r="B1346" t="s">
        <v>8051</v>
      </c>
      <c r="C1346" t="s">
        <v>7395</v>
      </c>
      <c r="D1346" t="s">
        <v>1027</v>
      </c>
      <c r="E1346">
        <v>1679</v>
      </c>
      <c r="F1346" t="s">
        <v>7396</v>
      </c>
      <c r="G1346" t="b">
        <v>0</v>
      </c>
      <c r="H1346" t="b">
        <v>0</v>
      </c>
      <c r="I1346" t="s">
        <v>1051</v>
      </c>
      <c r="J1346">
        <v>81</v>
      </c>
      <c r="K1346" t="s">
        <v>0</v>
      </c>
      <c r="L1346" t="s">
        <v>3000</v>
      </c>
      <c r="M1346" t="s">
        <v>1548</v>
      </c>
      <c r="N1346" t="s">
        <v>1548</v>
      </c>
      <c r="O1346" t="s">
        <v>3922</v>
      </c>
      <c r="P1346" s="36" t="s">
        <v>7397</v>
      </c>
    </row>
    <row r="1347" spans="1:16" ht="390" x14ac:dyDescent="0.25">
      <c r="A1347" t="s">
        <v>8052</v>
      </c>
      <c r="B1347" t="s">
        <v>8051</v>
      </c>
      <c r="C1347" t="s">
        <v>7395</v>
      </c>
      <c r="D1347" t="s">
        <v>1027</v>
      </c>
      <c r="E1347">
        <v>1679</v>
      </c>
      <c r="F1347" t="s">
        <v>7396</v>
      </c>
      <c r="G1347" t="b">
        <v>0</v>
      </c>
      <c r="H1347" t="b">
        <v>0</v>
      </c>
      <c r="I1347" t="s">
        <v>1051</v>
      </c>
      <c r="J1347">
        <v>81</v>
      </c>
      <c r="K1347" t="s">
        <v>0</v>
      </c>
      <c r="L1347" t="s">
        <v>3000</v>
      </c>
      <c r="M1347" t="s">
        <v>1548</v>
      </c>
      <c r="N1347" t="s">
        <v>1548</v>
      </c>
      <c r="O1347" t="s">
        <v>3922</v>
      </c>
      <c r="P1347" s="36" t="s">
        <v>7397</v>
      </c>
    </row>
    <row r="1348" spans="1:16" x14ac:dyDescent="0.25">
      <c r="A1348" t="s">
        <v>8053</v>
      </c>
      <c r="B1348" t="s">
        <v>8054</v>
      </c>
      <c r="C1348" t="s">
        <v>1335</v>
      </c>
      <c r="D1348" t="s">
        <v>1027</v>
      </c>
      <c r="E1348">
        <v>1459</v>
      </c>
      <c r="F1348" t="s">
        <v>1336</v>
      </c>
      <c r="G1348" t="b">
        <v>0</v>
      </c>
      <c r="H1348" t="b">
        <v>0</v>
      </c>
      <c r="I1348" t="s">
        <v>1051</v>
      </c>
      <c r="J1348">
        <v>78</v>
      </c>
      <c r="K1348" t="s">
        <v>2</v>
      </c>
      <c r="L1348" t="s">
        <v>1549</v>
      </c>
      <c r="M1348" t="s">
        <v>3922</v>
      </c>
      <c r="N1348" t="s">
        <v>3922</v>
      </c>
      <c r="O1348" t="s">
        <v>3922</v>
      </c>
      <c r="P1348" t="s">
        <v>1682</v>
      </c>
    </row>
    <row r="1349" spans="1:16" x14ac:dyDescent="0.25">
      <c r="A1349" t="s">
        <v>8055</v>
      </c>
      <c r="B1349" t="s">
        <v>8054</v>
      </c>
      <c r="C1349" t="s">
        <v>1335</v>
      </c>
      <c r="D1349" t="s">
        <v>1027</v>
      </c>
      <c r="E1349">
        <v>1459</v>
      </c>
      <c r="F1349" t="s">
        <v>1336</v>
      </c>
      <c r="G1349" t="b">
        <v>0</v>
      </c>
      <c r="H1349" t="b">
        <v>0</v>
      </c>
      <c r="I1349" t="s">
        <v>1051</v>
      </c>
      <c r="J1349">
        <v>78</v>
      </c>
      <c r="K1349" t="s">
        <v>2</v>
      </c>
      <c r="L1349" t="s">
        <v>1549</v>
      </c>
      <c r="M1349" t="s">
        <v>3922</v>
      </c>
      <c r="N1349" t="s">
        <v>3922</v>
      </c>
      <c r="O1349" t="s">
        <v>3922</v>
      </c>
      <c r="P1349" t="s">
        <v>1682</v>
      </c>
    </row>
    <row r="1350" spans="1:16" x14ac:dyDescent="0.25">
      <c r="A1350" t="s">
        <v>8056</v>
      </c>
      <c r="B1350" t="s">
        <v>8054</v>
      </c>
      <c r="C1350" t="s">
        <v>1335</v>
      </c>
      <c r="D1350" t="s">
        <v>1027</v>
      </c>
      <c r="E1350">
        <v>1459</v>
      </c>
      <c r="F1350" t="s">
        <v>1336</v>
      </c>
      <c r="G1350" t="b">
        <v>0</v>
      </c>
      <c r="H1350" t="b">
        <v>0</v>
      </c>
      <c r="I1350" t="s">
        <v>1051</v>
      </c>
      <c r="J1350">
        <v>78</v>
      </c>
      <c r="K1350" t="s">
        <v>2</v>
      </c>
      <c r="L1350" t="s">
        <v>1549</v>
      </c>
      <c r="M1350" t="s">
        <v>3922</v>
      </c>
      <c r="N1350" t="s">
        <v>3922</v>
      </c>
      <c r="O1350" t="s">
        <v>3922</v>
      </c>
      <c r="P1350" t="s">
        <v>1682</v>
      </c>
    </row>
    <row r="1351" spans="1:16" x14ac:dyDescent="0.25">
      <c r="A1351" t="s">
        <v>8057</v>
      </c>
      <c r="B1351" t="s">
        <v>8054</v>
      </c>
      <c r="C1351" t="s">
        <v>1335</v>
      </c>
      <c r="D1351" t="s">
        <v>1027</v>
      </c>
      <c r="E1351">
        <v>1459</v>
      </c>
      <c r="F1351" t="s">
        <v>1336</v>
      </c>
      <c r="G1351" t="b">
        <v>0</v>
      </c>
      <c r="H1351" t="b">
        <v>0</v>
      </c>
      <c r="I1351" t="s">
        <v>1051</v>
      </c>
      <c r="J1351">
        <v>78</v>
      </c>
      <c r="K1351" t="s">
        <v>2</v>
      </c>
      <c r="L1351" t="s">
        <v>1549</v>
      </c>
      <c r="M1351" t="s">
        <v>3922</v>
      </c>
      <c r="N1351" t="s">
        <v>3922</v>
      </c>
      <c r="O1351" t="s">
        <v>3922</v>
      </c>
      <c r="P1351" t="s">
        <v>1682</v>
      </c>
    </row>
    <row r="1352" spans="1:16" x14ac:dyDescent="0.25">
      <c r="A1352" t="s">
        <v>8058</v>
      </c>
      <c r="B1352" t="s">
        <v>8054</v>
      </c>
      <c r="C1352" t="s">
        <v>1335</v>
      </c>
      <c r="D1352" t="s">
        <v>1027</v>
      </c>
      <c r="E1352">
        <v>1459</v>
      </c>
      <c r="F1352" t="s">
        <v>1336</v>
      </c>
      <c r="G1352" t="b">
        <v>0</v>
      </c>
      <c r="H1352" t="b">
        <v>0</v>
      </c>
      <c r="I1352" t="s">
        <v>1051</v>
      </c>
      <c r="J1352">
        <v>78</v>
      </c>
      <c r="K1352" t="s">
        <v>2</v>
      </c>
      <c r="L1352" t="s">
        <v>1549</v>
      </c>
      <c r="M1352" t="s">
        <v>3922</v>
      </c>
      <c r="N1352" t="s">
        <v>3922</v>
      </c>
      <c r="O1352" t="s">
        <v>3922</v>
      </c>
      <c r="P1352" t="s">
        <v>1682</v>
      </c>
    </row>
    <row r="1353" spans="1:16" ht="409.5" x14ac:dyDescent="0.25">
      <c r="A1353" t="s">
        <v>8059</v>
      </c>
      <c r="B1353" t="s">
        <v>8060</v>
      </c>
      <c r="C1353" t="s">
        <v>6503</v>
      </c>
      <c r="D1353" t="s">
        <v>1027</v>
      </c>
      <c r="E1353">
        <v>1488</v>
      </c>
      <c r="F1353" t="s">
        <v>6504</v>
      </c>
      <c r="G1353" t="b">
        <v>0</v>
      </c>
      <c r="H1353" t="b">
        <v>0</v>
      </c>
      <c r="I1353" t="s">
        <v>1051</v>
      </c>
      <c r="J1353">
        <v>78</v>
      </c>
      <c r="K1353" t="s">
        <v>0</v>
      </c>
      <c r="L1353" t="s">
        <v>3000</v>
      </c>
      <c r="M1353" t="s">
        <v>1548</v>
      </c>
      <c r="N1353" t="s">
        <v>1548</v>
      </c>
      <c r="O1353" t="s">
        <v>1548</v>
      </c>
      <c r="P1353" s="36" t="s">
        <v>6505</v>
      </c>
    </row>
    <row r="1354" spans="1:16" ht="409.5" x14ac:dyDescent="0.25">
      <c r="A1354" t="s">
        <v>8061</v>
      </c>
      <c r="B1354" t="s">
        <v>8060</v>
      </c>
      <c r="C1354" t="s">
        <v>6503</v>
      </c>
      <c r="D1354" t="s">
        <v>1027</v>
      </c>
      <c r="E1354">
        <v>1488</v>
      </c>
      <c r="F1354" t="s">
        <v>6504</v>
      </c>
      <c r="G1354" t="b">
        <v>0</v>
      </c>
      <c r="H1354" t="b">
        <v>0</v>
      </c>
      <c r="I1354" t="s">
        <v>1051</v>
      </c>
      <c r="J1354">
        <v>78</v>
      </c>
      <c r="K1354" t="s">
        <v>0</v>
      </c>
      <c r="L1354" t="s">
        <v>3000</v>
      </c>
      <c r="M1354" t="s">
        <v>1548</v>
      </c>
      <c r="N1354" t="s">
        <v>1548</v>
      </c>
      <c r="O1354" t="s">
        <v>1548</v>
      </c>
      <c r="P1354" s="36" t="s">
        <v>6505</v>
      </c>
    </row>
    <row r="1355" spans="1:16" ht="409.5" x14ac:dyDescent="0.25">
      <c r="A1355" t="s">
        <v>8062</v>
      </c>
      <c r="B1355" t="s">
        <v>8063</v>
      </c>
      <c r="C1355" t="s">
        <v>7622</v>
      </c>
      <c r="D1355" t="s">
        <v>1027</v>
      </c>
      <c r="G1355" t="b">
        <v>0</v>
      </c>
      <c r="H1355" t="b">
        <v>0</v>
      </c>
      <c r="I1355" t="s">
        <v>1051</v>
      </c>
      <c r="J1355">
        <v>78</v>
      </c>
      <c r="K1355" t="s">
        <v>0</v>
      </c>
      <c r="L1355" t="s">
        <v>3000</v>
      </c>
      <c r="M1355" t="s">
        <v>1548</v>
      </c>
      <c r="N1355" t="s">
        <v>1548</v>
      </c>
      <c r="O1355" t="s">
        <v>3922</v>
      </c>
      <c r="P1355" s="36" t="s">
        <v>7623</v>
      </c>
    </row>
    <row r="1356" spans="1:16" ht="409.5" x14ac:dyDescent="0.25">
      <c r="A1356" t="s">
        <v>8064</v>
      </c>
      <c r="B1356" t="s">
        <v>8063</v>
      </c>
      <c r="C1356" t="s">
        <v>7622</v>
      </c>
      <c r="D1356" t="s">
        <v>1027</v>
      </c>
      <c r="G1356" t="b">
        <v>0</v>
      </c>
      <c r="H1356" t="b">
        <v>0</v>
      </c>
      <c r="I1356" t="s">
        <v>1051</v>
      </c>
      <c r="J1356">
        <v>78</v>
      </c>
      <c r="K1356" t="s">
        <v>0</v>
      </c>
      <c r="L1356" t="s">
        <v>3000</v>
      </c>
      <c r="M1356" t="s">
        <v>1548</v>
      </c>
      <c r="N1356" t="s">
        <v>1548</v>
      </c>
      <c r="O1356" t="s">
        <v>3922</v>
      </c>
      <c r="P1356" s="36" t="s">
        <v>7623</v>
      </c>
    </row>
    <row r="1357" spans="1:16" ht="409.5" x14ac:dyDescent="0.25">
      <c r="A1357" t="s">
        <v>8065</v>
      </c>
      <c r="B1357" t="s">
        <v>8066</v>
      </c>
      <c r="C1357" t="s">
        <v>7622</v>
      </c>
      <c r="D1357" t="s">
        <v>1027</v>
      </c>
      <c r="G1357" t="b">
        <v>0</v>
      </c>
      <c r="H1357" t="b">
        <v>0</v>
      </c>
      <c r="I1357" t="s">
        <v>1051</v>
      </c>
      <c r="J1357">
        <v>81</v>
      </c>
      <c r="K1357" t="s">
        <v>0</v>
      </c>
      <c r="L1357" t="s">
        <v>3000</v>
      </c>
      <c r="M1357" t="s">
        <v>1548</v>
      </c>
      <c r="N1357" t="s">
        <v>1548</v>
      </c>
      <c r="O1357" t="s">
        <v>3922</v>
      </c>
      <c r="P1357" s="36" t="s">
        <v>7623</v>
      </c>
    </row>
    <row r="1358" spans="1:16" ht="409.5" x14ac:dyDescent="0.25">
      <c r="A1358" t="s">
        <v>8067</v>
      </c>
      <c r="B1358" t="s">
        <v>8063</v>
      </c>
      <c r="C1358" t="s">
        <v>7622</v>
      </c>
      <c r="D1358" t="s">
        <v>1027</v>
      </c>
      <c r="G1358" t="b">
        <v>0</v>
      </c>
      <c r="H1358" t="b">
        <v>0</v>
      </c>
      <c r="I1358" t="s">
        <v>1051</v>
      </c>
      <c r="J1358">
        <v>81</v>
      </c>
      <c r="K1358" t="s">
        <v>0</v>
      </c>
      <c r="L1358" t="s">
        <v>3000</v>
      </c>
      <c r="M1358" t="s">
        <v>1548</v>
      </c>
      <c r="N1358" t="s">
        <v>1548</v>
      </c>
      <c r="O1358" t="s">
        <v>3922</v>
      </c>
      <c r="P1358" s="36" t="s">
        <v>7623</v>
      </c>
    </row>
    <row r="1359" spans="1:16" ht="409.5" x14ac:dyDescent="0.25">
      <c r="A1359" t="s">
        <v>8068</v>
      </c>
      <c r="B1359" t="s">
        <v>8063</v>
      </c>
      <c r="C1359" t="s">
        <v>7622</v>
      </c>
      <c r="D1359" t="s">
        <v>1027</v>
      </c>
      <c r="G1359" t="b">
        <v>0</v>
      </c>
      <c r="H1359" t="b">
        <v>0</v>
      </c>
      <c r="I1359" t="s">
        <v>1051</v>
      </c>
      <c r="J1359">
        <v>81</v>
      </c>
      <c r="K1359" t="s">
        <v>0</v>
      </c>
      <c r="L1359" t="s">
        <v>3000</v>
      </c>
      <c r="M1359" t="s">
        <v>1548</v>
      </c>
      <c r="N1359" t="s">
        <v>1548</v>
      </c>
      <c r="O1359" t="s">
        <v>3922</v>
      </c>
      <c r="P1359" s="36" t="s">
        <v>7623</v>
      </c>
    </row>
    <row r="1360" spans="1:16" ht="409.5" x14ac:dyDescent="0.25">
      <c r="A1360" t="s">
        <v>8069</v>
      </c>
      <c r="B1360" t="s">
        <v>8070</v>
      </c>
      <c r="C1360" t="s">
        <v>6446</v>
      </c>
      <c r="D1360" t="s">
        <v>1027</v>
      </c>
      <c r="E1360">
        <v>1402</v>
      </c>
      <c r="F1360" t="s">
        <v>6447</v>
      </c>
      <c r="G1360" t="b">
        <v>0</v>
      </c>
      <c r="H1360" t="b">
        <v>0</v>
      </c>
      <c r="I1360" t="s">
        <v>1051</v>
      </c>
      <c r="J1360">
        <v>78</v>
      </c>
      <c r="K1360" t="s">
        <v>0</v>
      </c>
      <c r="L1360" t="s">
        <v>3000</v>
      </c>
      <c r="M1360" t="s">
        <v>1548</v>
      </c>
      <c r="N1360" t="s">
        <v>1548</v>
      </c>
      <c r="O1360" t="s">
        <v>1548</v>
      </c>
      <c r="P1360" s="36" t="s">
        <v>6448</v>
      </c>
    </row>
    <row r="1361" spans="1:16" ht="409.5" x14ac:dyDescent="0.25">
      <c r="A1361" t="s">
        <v>8071</v>
      </c>
      <c r="B1361" t="s">
        <v>8070</v>
      </c>
      <c r="C1361" t="s">
        <v>6446</v>
      </c>
      <c r="D1361" t="s">
        <v>1027</v>
      </c>
      <c r="E1361">
        <v>1402</v>
      </c>
      <c r="F1361" t="s">
        <v>6447</v>
      </c>
      <c r="G1361" t="b">
        <v>0</v>
      </c>
      <c r="H1361" t="b">
        <v>0</v>
      </c>
      <c r="I1361" t="s">
        <v>1051</v>
      </c>
      <c r="J1361">
        <v>78</v>
      </c>
      <c r="K1361" t="s">
        <v>0</v>
      </c>
      <c r="L1361" t="s">
        <v>3000</v>
      </c>
      <c r="M1361" t="s">
        <v>1548</v>
      </c>
      <c r="N1361" t="s">
        <v>1548</v>
      </c>
      <c r="O1361" t="s">
        <v>1548</v>
      </c>
      <c r="P1361" s="36" t="s">
        <v>6448</v>
      </c>
    </row>
    <row r="1362" spans="1:16" ht="409.5" x14ac:dyDescent="0.25">
      <c r="A1362" t="s">
        <v>8072</v>
      </c>
      <c r="B1362" t="s">
        <v>8073</v>
      </c>
      <c r="C1362" t="s">
        <v>6446</v>
      </c>
      <c r="D1362" t="s">
        <v>1027</v>
      </c>
      <c r="E1362">
        <v>1402</v>
      </c>
      <c r="F1362" t="s">
        <v>6447</v>
      </c>
      <c r="G1362" t="b">
        <v>0</v>
      </c>
      <c r="H1362" t="b">
        <v>0</v>
      </c>
      <c r="I1362" t="s">
        <v>1051</v>
      </c>
      <c r="J1362">
        <v>78</v>
      </c>
      <c r="K1362" t="s">
        <v>0</v>
      </c>
      <c r="L1362" t="s">
        <v>3000</v>
      </c>
      <c r="M1362" t="s">
        <v>1548</v>
      </c>
      <c r="N1362" t="s">
        <v>1548</v>
      </c>
      <c r="O1362" t="s">
        <v>1548</v>
      </c>
      <c r="P1362" s="36" t="s">
        <v>6448</v>
      </c>
    </row>
    <row r="1363" spans="1:16" ht="409.5" x14ac:dyDescent="0.25">
      <c r="A1363" t="s">
        <v>8074</v>
      </c>
      <c r="B1363" t="s">
        <v>8075</v>
      </c>
      <c r="C1363" t="s">
        <v>6446</v>
      </c>
      <c r="D1363" t="s">
        <v>1027</v>
      </c>
      <c r="E1363">
        <v>1402</v>
      </c>
      <c r="F1363" t="s">
        <v>6447</v>
      </c>
      <c r="G1363" t="b">
        <v>0</v>
      </c>
      <c r="H1363" t="b">
        <v>0</v>
      </c>
      <c r="I1363" t="s">
        <v>1051</v>
      </c>
      <c r="J1363">
        <v>78</v>
      </c>
      <c r="K1363" t="s">
        <v>0</v>
      </c>
      <c r="L1363" t="s">
        <v>3000</v>
      </c>
      <c r="M1363" t="s">
        <v>1548</v>
      </c>
      <c r="N1363" t="s">
        <v>1548</v>
      </c>
      <c r="O1363" t="s">
        <v>1548</v>
      </c>
      <c r="P1363" s="36" t="s">
        <v>6448</v>
      </c>
    </row>
    <row r="1364" spans="1:16" ht="409.5" x14ac:dyDescent="0.25">
      <c r="A1364" t="s">
        <v>8076</v>
      </c>
      <c r="B1364" t="s">
        <v>8077</v>
      </c>
      <c r="C1364" t="s">
        <v>6446</v>
      </c>
      <c r="D1364" t="s">
        <v>1027</v>
      </c>
      <c r="E1364">
        <v>1402</v>
      </c>
      <c r="F1364" t="s">
        <v>6447</v>
      </c>
      <c r="G1364" t="b">
        <v>0</v>
      </c>
      <c r="H1364" t="b">
        <v>0</v>
      </c>
      <c r="I1364" t="s">
        <v>1051</v>
      </c>
      <c r="J1364">
        <v>78</v>
      </c>
      <c r="K1364" t="s">
        <v>0</v>
      </c>
      <c r="L1364" t="s">
        <v>3000</v>
      </c>
      <c r="M1364" t="s">
        <v>1548</v>
      </c>
      <c r="N1364" t="s">
        <v>1548</v>
      </c>
      <c r="O1364" t="s">
        <v>1548</v>
      </c>
      <c r="P1364" s="36" t="s">
        <v>6448</v>
      </c>
    </row>
    <row r="1365" spans="1:16" ht="409.5" x14ac:dyDescent="0.25">
      <c r="A1365" t="s">
        <v>8078</v>
      </c>
      <c r="B1365" t="s">
        <v>8077</v>
      </c>
      <c r="C1365" t="s">
        <v>6446</v>
      </c>
      <c r="D1365" t="s">
        <v>1027</v>
      </c>
      <c r="E1365">
        <v>1402</v>
      </c>
      <c r="F1365" t="s">
        <v>6447</v>
      </c>
      <c r="G1365" t="b">
        <v>0</v>
      </c>
      <c r="H1365" t="b">
        <v>0</v>
      </c>
      <c r="I1365" t="s">
        <v>1051</v>
      </c>
      <c r="J1365">
        <v>78</v>
      </c>
      <c r="K1365" t="s">
        <v>0</v>
      </c>
      <c r="L1365" t="s">
        <v>3000</v>
      </c>
      <c r="M1365" t="s">
        <v>1548</v>
      </c>
      <c r="N1365" t="s">
        <v>1548</v>
      </c>
      <c r="O1365" t="s">
        <v>1548</v>
      </c>
      <c r="P1365" s="36" t="s">
        <v>6448</v>
      </c>
    </row>
    <row r="1366" spans="1:16" ht="409.5" x14ac:dyDescent="0.25">
      <c r="A1366" t="s">
        <v>8079</v>
      </c>
      <c r="B1366" t="s">
        <v>8077</v>
      </c>
      <c r="C1366" t="s">
        <v>6446</v>
      </c>
      <c r="D1366" t="s">
        <v>1027</v>
      </c>
      <c r="E1366">
        <v>1402</v>
      </c>
      <c r="F1366" t="s">
        <v>6447</v>
      </c>
      <c r="G1366" t="b">
        <v>0</v>
      </c>
      <c r="H1366" t="b">
        <v>0</v>
      </c>
      <c r="I1366" t="s">
        <v>1051</v>
      </c>
      <c r="J1366">
        <v>78</v>
      </c>
      <c r="K1366" t="s">
        <v>0</v>
      </c>
      <c r="L1366" t="s">
        <v>3000</v>
      </c>
      <c r="M1366" t="s">
        <v>1548</v>
      </c>
      <c r="N1366" t="s">
        <v>1548</v>
      </c>
      <c r="O1366" t="s">
        <v>1548</v>
      </c>
      <c r="P1366" s="36" t="s">
        <v>6448</v>
      </c>
    </row>
    <row r="1367" spans="1:16" ht="409.5" x14ac:dyDescent="0.25">
      <c r="A1367" t="s">
        <v>8080</v>
      </c>
      <c r="B1367" t="s">
        <v>8081</v>
      </c>
      <c r="C1367" t="s">
        <v>6446</v>
      </c>
      <c r="D1367" t="s">
        <v>1027</v>
      </c>
      <c r="E1367">
        <v>1402</v>
      </c>
      <c r="F1367" t="s">
        <v>6447</v>
      </c>
      <c r="G1367" t="b">
        <v>0</v>
      </c>
      <c r="H1367" t="b">
        <v>0</v>
      </c>
      <c r="I1367" t="s">
        <v>1051</v>
      </c>
      <c r="J1367">
        <v>78</v>
      </c>
      <c r="K1367" t="s">
        <v>0</v>
      </c>
      <c r="L1367" t="s">
        <v>3000</v>
      </c>
      <c r="M1367" t="s">
        <v>1548</v>
      </c>
      <c r="N1367" t="s">
        <v>1548</v>
      </c>
      <c r="O1367" t="s">
        <v>1548</v>
      </c>
      <c r="P1367" s="36" t="s">
        <v>6448</v>
      </c>
    </row>
    <row r="1368" spans="1:16" ht="409.5" x14ac:dyDescent="0.25">
      <c r="A1368" t="s">
        <v>8082</v>
      </c>
      <c r="B1368" t="s">
        <v>8083</v>
      </c>
      <c r="C1368" t="s">
        <v>6446</v>
      </c>
      <c r="D1368" t="s">
        <v>1027</v>
      </c>
      <c r="E1368">
        <v>1402</v>
      </c>
      <c r="F1368" t="s">
        <v>6447</v>
      </c>
      <c r="G1368" t="b">
        <v>0</v>
      </c>
      <c r="H1368" t="b">
        <v>0</v>
      </c>
      <c r="I1368" t="s">
        <v>1051</v>
      </c>
      <c r="J1368">
        <v>78</v>
      </c>
      <c r="K1368" t="s">
        <v>0</v>
      </c>
      <c r="L1368" t="s">
        <v>3000</v>
      </c>
      <c r="M1368" t="s">
        <v>1548</v>
      </c>
      <c r="N1368" t="s">
        <v>1548</v>
      </c>
      <c r="O1368" t="s">
        <v>1548</v>
      </c>
      <c r="P1368" s="36" t="s">
        <v>6448</v>
      </c>
    </row>
    <row r="1369" spans="1:16" ht="409.5" x14ac:dyDescent="0.25">
      <c r="A1369" t="s">
        <v>8084</v>
      </c>
      <c r="B1369" t="s">
        <v>8083</v>
      </c>
      <c r="C1369" t="s">
        <v>6446</v>
      </c>
      <c r="D1369" t="s">
        <v>1027</v>
      </c>
      <c r="E1369">
        <v>1402</v>
      </c>
      <c r="F1369" t="s">
        <v>6447</v>
      </c>
      <c r="G1369" t="b">
        <v>0</v>
      </c>
      <c r="H1369" t="b">
        <v>0</v>
      </c>
      <c r="I1369" t="s">
        <v>1051</v>
      </c>
      <c r="J1369">
        <v>78</v>
      </c>
      <c r="K1369" t="s">
        <v>0</v>
      </c>
      <c r="L1369" t="s">
        <v>3000</v>
      </c>
      <c r="M1369" t="s">
        <v>1548</v>
      </c>
      <c r="N1369" t="s">
        <v>1548</v>
      </c>
      <c r="O1369" t="s">
        <v>1548</v>
      </c>
      <c r="P1369" s="36" t="s">
        <v>6448</v>
      </c>
    </row>
    <row r="1370" spans="1:16" ht="409.5" x14ac:dyDescent="0.25">
      <c r="A1370" t="s">
        <v>8085</v>
      </c>
      <c r="B1370" t="s">
        <v>8086</v>
      </c>
      <c r="C1370" t="s">
        <v>6446</v>
      </c>
      <c r="D1370" t="s">
        <v>1027</v>
      </c>
      <c r="E1370">
        <v>1402</v>
      </c>
      <c r="F1370" t="s">
        <v>6447</v>
      </c>
      <c r="G1370" t="b">
        <v>0</v>
      </c>
      <c r="H1370" t="b">
        <v>0</v>
      </c>
      <c r="I1370" t="s">
        <v>1051</v>
      </c>
      <c r="J1370">
        <v>78</v>
      </c>
      <c r="K1370" t="s">
        <v>0</v>
      </c>
      <c r="L1370" t="s">
        <v>3000</v>
      </c>
      <c r="M1370" t="s">
        <v>1548</v>
      </c>
      <c r="N1370" t="s">
        <v>1548</v>
      </c>
      <c r="O1370" t="s">
        <v>1548</v>
      </c>
      <c r="P1370" s="36" t="s">
        <v>6448</v>
      </c>
    </row>
    <row r="1371" spans="1:16" ht="409.5" x14ac:dyDescent="0.25">
      <c r="A1371" t="s">
        <v>8087</v>
      </c>
      <c r="B1371" t="s">
        <v>8088</v>
      </c>
      <c r="C1371" t="s">
        <v>6446</v>
      </c>
      <c r="D1371" t="s">
        <v>1027</v>
      </c>
      <c r="E1371">
        <v>1402</v>
      </c>
      <c r="F1371" t="s">
        <v>6447</v>
      </c>
      <c r="G1371" t="b">
        <v>0</v>
      </c>
      <c r="H1371" t="b">
        <v>0</v>
      </c>
      <c r="I1371" t="s">
        <v>1051</v>
      </c>
      <c r="J1371">
        <v>78</v>
      </c>
      <c r="K1371" t="s">
        <v>0</v>
      </c>
      <c r="L1371" t="s">
        <v>3000</v>
      </c>
      <c r="M1371" t="s">
        <v>1548</v>
      </c>
      <c r="N1371" t="s">
        <v>1548</v>
      </c>
      <c r="O1371" t="s">
        <v>1548</v>
      </c>
      <c r="P1371" s="36" t="s">
        <v>6448</v>
      </c>
    </row>
    <row r="1372" spans="1:16" ht="409.5" x14ac:dyDescent="0.25">
      <c r="A1372" t="s">
        <v>8089</v>
      </c>
      <c r="B1372" t="s">
        <v>8070</v>
      </c>
      <c r="C1372" t="s">
        <v>6446</v>
      </c>
      <c r="D1372" t="s">
        <v>1027</v>
      </c>
      <c r="E1372">
        <v>1402</v>
      </c>
      <c r="F1372" t="s">
        <v>6447</v>
      </c>
      <c r="G1372" t="b">
        <v>0</v>
      </c>
      <c r="H1372" t="b">
        <v>0</v>
      </c>
      <c r="I1372" t="s">
        <v>1051</v>
      </c>
      <c r="J1372">
        <v>78</v>
      </c>
      <c r="K1372" t="s">
        <v>0</v>
      </c>
      <c r="L1372" t="s">
        <v>3000</v>
      </c>
      <c r="M1372" t="s">
        <v>1548</v>
      </c>
      <c r="N1372" t="s">
        <v>1548</v>
      </c>
      <c r="O1372" t="s">
        <v>1548</v>
      </c>
      <c r="P1372" s="36" t="s">
        <v>6448</v>
      </c>
    </row>
    <row r="1373" spans="1:16" ht="409.5" x14ac:dyDescent="0.25">
      <c r="A1373" t="s">
        <v>8090</v>
      </c>
      <c r="B1373" t="s">
        <v>8070</v>
      </c>
      <c r="C1373" t="s">
        <v>6446</v>
      </c>
      <c r="D1373" t="s">
        <v>1027</v>
      </c>
      <c r="E1373">
        <v>1402</v>
      </c>
      <c r="F1373" t="s">
        <v>6447</v>
      </c>
      <c r="G1373" t="b">
        <v>0</v>
      </c>
      <c r="H1373" t="b">
        <v>0</v>
      </c>
      <c r="I1373" t="s">
        <v>1051</v>
      </c>
      <c r="J1373">
        <v>78</v>
      </c>
      <c r="K1373" t="s">
        <v>0</v>
      </c>
      <c r="L1373" t="s">
        <v>3000</v>
      </c>
      <c r="M1373" t="s">
        <v>1548</v>
      </c>
      <c r="N1373" t="s">
        <v>1548</v>
      </c>
      <c r="O1373" t="s">
        <v>1548</v>
      </c>
      <c r="P1373" s="36" t="s">
        <v>6448</v>
      </c>
    </row>
    <row r="1374" spans="1:16" ht="409.5" x14ac:dyDescent="0.25">
      <c r="A1374" t="s">
        <v>8091</v>
      </c>
      <c r="B1374" t="s">
        <v>8073</v>
      </c>
      <c r="C1374" t="s">
        <v>6446</v>
      </c>
      <c r="D1374" t="s">
        <v>1027</v>
      </c>
      <c r="E1374">
        <v>1402</v>
      </c>
      <c r="F1374" t="s">
        <v>6447</v>
      </c>
      <c r="G1374" t="b">
        <v>0</v>
      </c>
      <c r="H1374" t="b">
        <v>0</v>
      </c>
      <c r="I1374" t="s">
        <v>1051</v>
      </c>
      <c r="J1374">
        <v>78</v>
      </c>
      <c r="K1374" t="s">
        <v>0</v>
      </c>
      <c r="L1374" t="s">
        <v>3000</v>
      </c>
      <c r="M1374" t="s">
        <v>1548</v>
      </c>
      <c r="N1374" t="s">
        <v>1548</v>
      </c>
      <c r="O1374" t="s">
        <v>1548</v>
      </c>
      <c r="P1374" s="36" t="s">
        <v>6448</v>
      </c>
    </row>
    <row r="1375" spans="1:16" ht="409.5" x14ac:dyDescent="0.25">
      <c r="A1375" t="s">
        <v>8092</v>
      </c>
      <c r="B1375" t="s">
        <v>8073</v>
      </c>
      <c r="C1375" t="s">
        <v>6446</v>
      </c>
      <c r="D1375" t="s">
        <v>1027</v>
      </c>
      <c r="E1375">
        <v>1402</v>
      </c>
      <c r="F1375" t="s">
        <v>6447</v>
      </c>
      <c r="G1375" t="b">
        <v>0</v>
      </c>
      <c r="H1375" t="b">
        <v>0</v>
      </c>
      <c r="I1375" t="s">
        <v>1051</v>
      </c>
      <c r="J1375">
        <v>78</v>
      </c>
      <c r="K1375" t="s">
        <v>0</v>
      </c>
      <c r="L1375" t="s">
        <v>3000</v>
      </c>
      <c r="M1375" t="s">
        <v>1548</v>
      </c>
      <c r="N1375" t="s">
        <v>1548</v>
      </c>
      <c r="O1375" t="s">
        <v>1548</v>
      </c>
      <c r="P1375" s="36" t="s">
        <v>6448</v>
      </c>
    </row>
    <row r="1376" spans="1:16" ht="409.5" x14ac:dyDescent="0.25">
      <c r="A1376" t="s">
        <v>8093</v>
      </c>
      <c r="B1376" t="s">
        <v>8073</v>
      </c>
      <c r="C1376" t="s">
        <v>6446</v>
      </c>
      <c r="D1376" t="s">
        <v>1027</v>
      </c>
      <c r="E1376">
        <v>1402</v>
      </c>
      <c r="F1376" t="s">
        <v>6447</v>
      </c>
      <c r="G1376" t="b">
        <v>0</v>
      </c>
      <c r="H1376" t="b">
        <v>0</v>
      </c>
      <c r="I1376" t="s">
        <v>1051</v>
      </c>
      <c r="J1376">
        <v>78</v>
      </c>
      <c r="K1376" t="s">
        <v>0</v>
      </c>
      <c r="L1376" t="s">
        <v>3000</v>
      </c>
      <c r="M1376" t="s">
        <v>1548</v>
      </c>
      <c r="N1376" t="s">
        <v>1548</v>
      </c>
      <c r="O1376" t="s">
        <v>1548</v>
      </c>
      <c r="P1376" s="36" t="s">
        <v>6448</v>
      </c>
    </row>
    <row r="1377" spans="1:16" ht="409.5" x14ac:dyDescent="0.25">
      <c r="A1377" t="s">
        <v>8094</v>
      </c>
      <c r="B1377" t="s">
        <v>8073</v>
      </c>
      <c r="C1377" t="s">
        <v>6446</v>
      </c>
      <c r="D1377" t="s">
        <v>1027</v>
      </c>
      <c r="E1377">
        <v>1402</v>
      </c>
      <c r="F1377" t="s">
        <v>6447</v>
      </c>
      <c r="G1377" t="b">
        <v>0</v>
      </c>
      <c r="H1377" t="b">
        <v>0</v>
      </c>
      <c r="I1377" t="s">
        <v>1051</v>
      </c>
      <c r="J1377">
        <v>78</v>
      </c>
      <c r="K1377" t="s">
        <v>0</v>
      </c>
      <c r="L1377" t="s">
        <v>3000</v>
      </c>
      <c r="M1377" t="s">
        <v>1548</v>
      </c>
      <c r="N1377" t="s">
        <v>1548</v>
      </c>
      <c r="O1377" t="s">
        <v>1548</v>
      </c>
      <c r="P1377" s="36" t="s">
        <v>6448</v>
      </c>
    </row>
    <row r="1378" spans="1:16" ht="409.5" x14ac:dyDescent="0.25">
      <c r="A1378" t="s">
        <v>8095</v>
      </c>
      <c r="B1378" t="s">
        <v>8077</v>
      </c>
      <c r="C1378" t="s">
        <v>6446</v>
      </c>
      <c r="D1378" t="s">
        <v>1027</v>
      </c>
      <c r="E1378">
        <v>1402</v>
      </c>
      <c r="F1378" t="s">
        <v>6447</v>
      </c>
      <c r="G1378" t="b">
        <v>0</v>
      </c>
      <c r="H1378" t="b">
        <v>0</v>
      </c>
      <c r="I1378" t="s">
        <v>1051</v>
      </c>
      <c r="J1378">
        <v>78</v>
      </c>
      <c r="K1378" t="s">
        <v>0</v>
      </c>
      <c r="L1378" t="s">
        <v>3000</v>
      </c>
      <c r="M1378" t="s">
        <v>1548</v>
      </c>
      <c r="N1378" t="s">
        <v>1548</v>
      </c>
      <c r="O1378" t="s">
        <v>1548</v>
      </c>
      <c r="P1378" s="36" t="s">
        <v>6448</v>
      </c>
    </row>
    <row r="1379" spans="1:16" ht="409.5" x14ac:dyDescent="0.25">
      <c r="A1379" t="s">
        <v>8096</v>
      </c>
      <c r="B1379" t="s">
        <v>8097</v>
      </c>
      <c r="C1379" t="s">
        <v>6446</v>
      </c>
      <c r="D1379" t="s">
        <v>1027</v>
      </c>
      <c r="E1379">
        <v>1402</v>
      </c>
      <c r="F1379" t="s">
        <v>6447</v>
      </c>
      <c r="G1379" t="b">
        <v>0</v>
      </c>
      <c r="H1379" t="b">
        <v>0</v>
      </c>
      <c r="I1379" t="s">
        <v>1051</v>
      </c>
      <c r="J1379">
        <v>78</v>
      </c>
      <c r="K1379" t="s">
        <v>0</v>
      </c>
      <c r="L1379" t="s">
        <v>3000</v>
      </c>
      <c r="M1379" t="s">
        <v>1548</v>
      </c>
      <c r="N1379" t="s">
        <v>1548</v>
      </c>
      <c r="O1379" t="s">
        <v>1548</v>
      </c>
      <c r="P1379" s="36" t="s">
        <v>6448</v>
      </c>
    </row>
    <row r="1380" spans="1:16" ht="409.5" x14ac:dyDescent="0.25">
      <c r="A1380" t="s">
        <v>8098</v>
      </c>
      <c r="B1380" t="s">
        <v>8099</v>
      </c>
      <c r="C1380" t="s">
        <v>6446</v>
      </c>
      <c r="D1380" t="s">
        <v>1027</v>
      </c>
      <c r="E1380">
        <v>1402</v>
      </c>
      <c r="F1380" t="s">
        <v>6447</v>
      </c>
      <c r="G1380" t="b">
        <v>0</v>
      </c>
      <c r="H1380" t="b">
        <v>0</v>
      </c>
      <c r="I1380" t="s">
        <v>1051</v>
      </c>
      <c r="J1380">
        <v>78</v>
      </c>
      <c r="K1380" t="s">
        <v>0</v>
      </c>
      <c r="L1380" t="s">
        <v>3000</v>
      </c>
      <c r="M1380" t="s">
        <v>1548</v>
      </c>
      <c r="N1380" t="s">
        <v>1548</v>
      </c>
      <c r="O1380" t="s">
        <v>1548</v>
      </c>
      <c r="P1380" s="36" t="s">
        <v>6448</v>
      </c>
    </row>
    <row r="1381" spans="1:16" ht="409.5" x14ac:dyDescent="0.25">
      <c r="A1381" t="s">
        <v>8100</v>
      </c>
      <c r="B1381" t="s">
        <v>8101</v>
      </c>
      <c r="C1381" t="s">
        <v>6446</v>
      </c>
      <c r="D1381" t="s">
        <v>1027</v>
      </c>
      <c r="E1381">
        <v>1402</v>
      </c>
      <c r="F1381" t="s">
        <v>6447</v>
      </c>
      <c r="G1381" t="b">
        <v>0</v>
      </c>
      <c r="H1381" t="b">
        <v>0</v>
      </c>
      <c r="I1381" t="s">
        <v>1051</v>
      </c>
      <c r="J1381">
        <v>78</v>
      </c>
      <c r="K1381" t="s">
        <v>0</v>
      </c>
      <c r="L1381" t="s">
        <v>3000</v>
      </c>
      <c r="M1381" t="s">
        <v>1548</v>
      </c>
      <c r="N1381" t="s">
        <v>1548</v>
      </c>
      <c r="O1381" t="s">
        <v>1548</v>
      </c>
      <c r="P1381" s="36" t="s">
        <v>6448</v>
      </c>
    </row>
    <row r="1382" spans="1:16" ht="409.5" x14ac:dyDescent="0.25">
      <c r="A1382" t="s">
        <v>8102</v>
      </c>
      <c r="B1382" t="s">
        <v>8101</v>
      </c>
      <c r="C1382" t="s">
        <v>6446</v>
      </c>
      <c r="D1382" t="s">
        <v>1027</v>
      </c>
      <c r="E1382">
        <v>1402</v>
      </c>
      <c r="F1382" t="s">
        <v>6447</v>
      </c>
      <c r="G1382" t="b">
        <v>0</v>
      </c>
      <c r="H1382" t="b">
        <v>0</v>
      </c>
      <c r="I1382" t="s">
        <v>1051</v>
      </c>
      <c r="J1382">
        <v>78</v>
      </c>
      <c r="K1382" t="s">
        <v>0</v>
      </c>
      <c r="L1382" t="s">
        <v>3000</v>
      </c>
      <c r="M1382" t="s">
        <v>1548</v>
      </c>
      <c r="N1382" t="s">
        <v>1548</v>
      </c>
      <c r="O1382" t="s">
        <v>1548</v>
      </c>
      <c r="P1382" s="36" t="s">
        <v>6448</v>
      </c>
    </row>
    <row r="1383" spans="1:16" ht="409.5" x14ac:dyDescent="0.25">
      <c r="A1383" t="s">
        <v>8103</v>
      </c>
      <c r="B1383" t="s">
        <v>8099</v>
      </c>
      <c r="C1383" t="s">
        <v>6446</v>
      </c>
      <c r="D1383" t="s">
        <v>1027</v>
      </c>
      <c r="E1383">
        <v>1402</v>
      </c>
      <c r="F1383" t="s">
        <v>6447</v>
      </c>
      <c r="G1383" t="b">
        <v>0</v>
      </c>
      <c r="H1383" t="b">
        <v>0</v>
      </c>
      <c r="I1383" t="s">
        <v>1051</v>
      </c>
      <c r="J1383">
        <v>78</v>
      </c>
      <c r="K1383" t="s">
        <v>0</v>
      </c>
      <c r="L1383" t="s">
        <v>3000</v>
      </c>
      <c r="M1383" t="s">
        <v>1548</v>
      </c>
      <c r="N1383" t="s">
        <v>1548</v>
      </c>
      <c r="O1383" t="s">
        <v>1548</v>
      </c>
      <c r="P1383" s="36" t="s">
        <v>6448</v>
      </c>
    </row>
    <row r="1384" spans="1:16" ht="409.5" x14ac:dyDescent="0.25">
      <c r="A1384" t="s">
        <v>8104</v>
      </c>
      <c r="B1384" t="s">
        <v>8075</v>
      </c>
      <c r="C1384" t="s">
        <v>6446</v>
      </c>
      <c r="D1384" t="s">
        <v>1027</v>
      </c>
      <c r="E1384">
        <v>1402</v>
      </c>
      <c r="F1384" t="s">
        <v>6447</v>
      </c>
      <c r="G1384" t="b">
        <v>0</v>
      </c>
      <c r="H1384" t="b">
        <v>0</v>
      </c>
      <c r="I1384" t="s">
        <v>1051</v>
      </c>
      <c r="J1384">
        <v>78</v>
      </c>
      <c r="K1384" t="s">
        <v>0</v>
      </c>
      <c r="L1384" t="s">
        <v>3000</v>
      </c>
      <c r="M1384" t="s">
        <v>1548</v>
      </c>
      <c r="N1384" t="s">
        <v>1548</v>
      </c>
      <c r="O1384" t="s">
        <v>1548</v>
      </c>
      <c r="P1384" s="36" t="s">
        <v>6448</v>
      </c>
    </row>
    <row r="1385" spans="1:16" ht="409.5" x14ac:dyDescent="0.25">
      <c r="A1385" t="s">
        <v>8105</v>
      </c>
      <c r="B1385" t="s">
        <v>8106</v>
      </c>
      <c r="C1385" t="s">
        <v>6446</v>
      </c>
      <c r="D1385" t="s">
        <v>1027</v>
      </c>
      <c r="E1385">
        <v>1402</v>
      </c>
      <c r="F1385" t="s">
        <v>6447</v>
      </c>
      <c r="G1385" t="b">
        <v>0</v>
      </c>
      <c r="H1385" t="b">
        <v>0</v>
      </c>
      <c r="I1385" t="s">
        <v>1051</v>
      </c>
      <c r="J1385">
        <v>78</v>
      </c>
      <c r="K1385" t="s">
        <v>0</v>
      </c>
      <c r="L1385" t="s">
        <v>3000</v>
      </c>
      <c r="M1385" t="s">
        <v>1548</v>
      </c>
      <c r="N1385" t="s">
        <v>1548</v>
      </c>
      <c r="O1385" t="s">
        <v>1548</v>
      </c>
      <c r="P1385" s="36" t="s">
        <v>6448</v>
      </c>
    </row>
    <row r="1386" spans="1:16" ht="409.5" x14ac:dyDescent="0.25">
      <c r="A1386" t="s">
        <v>8107</v>
      </c>
      <c r="B1386" t="s">
        <v>8099</v>
      </c>
      <c r="C1386" t="s">
        <v>6446</v>
      </c>
      <c r="D1386" t="s">
        <v>1027</v>
      </c>
      <c r="E1386">
        <v>1402</v>
      </c>
      <c r="F1386" t="s">
        <v>6447</v>
      </c>
      <c r="G1386" t="b">
        <v>0</v>
      </c>
      <c r="H1386" t="b">
        <v>0</v>
      </c>
      <c r="I1386" t="s">
        <v>1051</v>
      </c>
      <c r="J1386">
        <v>78</v>
      </c>
      <c r="K1386" t="s">
        <v>0</v>
      </c>
      <c r="L1386" t="s">
        <v>3000</v>
      </c>
      <c r="M1386" t="s">
        <v>1548</v>
      </c>
      <c r="N1386" t="s">
        <v>1548</v>
      </c>
      <c r="O1386" t="s">
        <v>1548</v>
      </c>
      <c r="P1386" s="36" t="s">
        <v>6448</v>
      </c>
    </row>
    <row r="1387" spans="1:16" ht="409.5" x14ac:dyDescent="0.25">
      <c r="A1387" t="s">
        <v>8108</v>
      </c>
      <c r="B1387" t="s">
        <v>8070</v>
      </c>
      <c r="C1387" t="s">
        <v>6446</v>
      </c>
      <c r="D1387" t="s">
        <v>1027</v>
      </c>
      <c r="E1387">
        <v>1402</v>
      </c>
      <c r="F1387" t="s">
        <v>6447</v>
      </c>
      <c r="G1387" t="b">
        <v>0</v>
      </c>
      <c r="H1387" t="b">
        <v>0</v>
      </c>
      <c r="I1387" t="s">
        <v>1051</v>
      </c>
      <c r="J1387">
        <v>78</v>
      </c>
      <c r="K1387" t="s">
        <v>0</v>
      </c>
      <c r="L1387" t="s">
        <v>3000</v>
      </c>
      <c r="M1387" t="s">
        <v>1548</v>
      </c>
      <c r="N1387" t="s">
        <v>1548</v>
      </c>
      <c r="O1387" t="s">
        <v>1548</v>
      </c>
      <c r="P1387" s="36" t="s">
        <v>6448</v>
      </c>
    </row>
    <row r="1388" spans="1:16" ht="409.5" x14ac:dyDescent="0.25">
      <c r="A1388" t="s">
        <v>8109</v>
      </c>
      <c r="B1388" t="s">
        <v>8070</v>
      </c>
      <c r="C1388" t="s">
        <v>6446</v>
      </c>
      <c r="D1388" t="s">
        <v>1027</v>
      </c>
      <c r="E1388">
        <v>1402</v>
      </c>
      <c r="F1388" t="s">
        <v>6447</v>
      </c>
      <c r="G1388" t="b">
        <v>0</v>
      </c>
      <c r="H1388" t="b">
        <v>0</v>
      </c>
      <c r="I1388" t="s">
        <v>1051</v>
      </c>
      <c r="J1388">
        <v>78</v>
      </c>
      <c r="K1388" t="s">
        <v>0</v>
      </c>
      <c r="L1388" t="s">
        <v>3000</v>
      </c>
      <c r="M1388" t="s">
        <v>1548</v>
      </c>
      <c r="N1388" t="s">
        <v>1548</v>
      </c>
      <c r="O1388" t="s">
        <v>1548</v>
      </c>
      <c r="P1388" s="36" t="s">
        <v>6448</v>
      </c>
    </row>
    <row r="1389" spans="1:16" ht="409.5" x14ac:dyDescent="0.25">
      <c r="A1389" t="s">
        <v>8110</v>
      </c>
      <c r="B1389" t="s">
        <v>8111</v>
      </c>
      <c r="C1389" t="s">
        <v>6645</v>
      </c>
      <c r="D1389" t="s">
        <v>1027</v>
      </c>
      <c r="E1389">
        <v>33434</v>
      </c>
      <c r="F1389" t="s">
        <v>6646</v>
      </c>
      <c r="G1389" t="b">
        <v>0</v>
      </c>
      <c r="H1389" t="b">
        <v>0</v>
      </c>
      <c r="I1389" t="s">
        <v>1051</v>
      </c>
      <c r="J1389">
        <v>78</v>
      </c>
      <c r="K1389" t="s">
        <v>0</v>
      </c>
      <c r="L1389" t="s">
        <v>3000</v>
      </c>
      <c r="M1389" t="s">
        <v>1548</v>
      </c>
      <c r="N1389" t="s">
        <v>1548</v>
      </c>
      <c r="O1389" t="s">
        <v>1548</v>
      </c>
      <c r="P1389" s="36" t="s">
        <v>6448</v>
      </c>
    </row>
    <row r="1390" spans="1:16" ht="409.5" x14ac:dyDescent="0.25">
      <c r="A1390" t="s">
        <v>8112</v>
      </c>
      <c r="B1390" t="s">
        <v>8077</v>
      </c>
      <c r="C1390" t="s">
        <v>6446</v>
      </c>
      <c r="D1390" t="s">
        <v>1027</v>
      </c>
      <c r="E1390">
        <v>1402</v>
      </c>
      <c r="F1390" t="s">
        <v>6447</v>
      </c>
      <c r="G1390" t="b">
        <v>0</v>
      </c>
      <c r="H1390" t="b">
        <v>0</v>
      </c>
      <c r="I1390" t="s">
        <v>1051</v>
      </c>
      <c r="J1390">
        <v>78</v>
      </c>
      <c r="K1390" t="s">
        <v>0</v>
      </c>
      <c r="L1390" t="s">
        <v>3000</v>
      </c>
      <c r="M1390" t="s">
        <v>1548</v>
      </c>
      <c r="N1390" t="s">
        <v>1548</v>
      </c>
      <c r="O1390" t="s">
        <v>1548</v>
      </c>
      <c r="P1390" s="36" t="s">
        <v>6448</v>
      </c>
    </row>
    <row r="1391" spans="1:16" x14ac:dyDescent="0.25">
      <c r="A1391" t="s">
        <v>8113</v>
      </c>
      <c r="B1391" t="s">
        <v>8111</v>
      </c>
      <c r="C1391" t="s">
        <v>1228</v>
      </c>
      <c r="D1391" t="s">
        <v>1027</v>
      </c>
      <c r="E1391">
        <v>1660</v>
      </c>
      <c r="F1391" t="s">
        <v>1229</v>
      </c>
      <c r="G1391" t="b">
        <v>0</v>
      </c>
      <c r="H1391" t="b">
        <v>0</v>
      </c>
      <c r="I1391" t="s">
        <v>1051</v>
      </c>
      <c r="J1391">
        <v>78</v>
      </c>
      <c r="K1391" t="s">
        <v>0</v>
      </c>
      <c r="L1391" t="s">
        <v>1167</v>
      </c>
      <c r="M1391" t="s">
        <v>1168</v>
      </c>
      <c r="N1391" t="s">
        <v>1169</v>
      </c>
      <c r="O1391" t="s">
        <v>1168</v>
      </c>
      <c r="P1391" t="s">
        <v>1230</v>
      </c>
    </row>
    <row r="1392" spans="1:16" x14ac:dyDescent="0.25">
      <c r="A1392" t="s">
        <v>8114</v>
      </c>
      <c r="B1392" t="s">
        <v>8111</v>
      </c>
      <c r="C1392" t="s">
        <v>1228</v>
      </c>
      <c r="D1392" t="s">
        <v>1027</v>
      </c>
      <c r="E1392">
        <v>1660</v>
      </c>
      <c r="F1392" t="s">
        <v>1229</v>
      </c>
      <c r="G1392" t="b">
        <v>0</v>
      </c>
      <c r="H1392" t="b">
        <v>0</v>
      </c>
      <c r="I1392" t="s">
        <v>1051</v>
      </c>
      <c r="J1392">
        <v>78</v>
      </c>
      <c r="K1392" t="s">
        <v>2</v>
      </c>
      <c r="L1392" t="s">
        <v>1167</v>
      </c>
      <c r="M1392" t="s">
        <v>1168</v>
      </c>
      <c r="N1392" t="s">
        <v>1169</v>
      </c>
      <c r="O1392" t="s">
        <v>1168</v>
      </c>
      <c r="P1392" t="s">
        <v>1230</v>
      </c>
    </row>
    <row r="1393" spans="1:16" x14ac:dyDescent="0.25">
      <c r="A1393" t="s">
        <v>8115</v>
      </c>
      <c r="B1393" t="s">
        <v>8111</v>
      </c>
      <c r="C1393" t="s">
        <v>1228</v>
      </c>
      <c r="D1393" t="s">
        <v>1027</v>
      </c>
      <c r="E1393">
        <v>1660</v>
      </c>
      <c r="F1393" t="s">
        <v>1229</v>
      </c>
      <c r="G1393" t="b">
        <v>0</v>
      </c>
      <c r="H1393" t="b">
        <v>0</v>
      </c>
      <c r="I1393" t="s">
        <v>1051</v>
      </c>
      <c r="J1393">
        <v>78</v>
      </c>
      <c r="K1393" t="s">
        <v>0</v>
      </c>
      <c r="L1393" t="s">
        <v>1167</v>
      </c>
      <c r="M1393" t="s">
        <v>1168</v>
      </c>
      <c r="N1393" t="s">
        <v>1169</v>
      </c>
      <c r="O1393" t="s">
        <v>1168</v>
      </c>
      <c r="P1393" t="s">
        <v>1230</v>
      </c>
    </row>
    <row r="1394" spans="1:16" x14ac:dyDescent="0.25">
      <c r="A1394" t="s">
        <v>8116</v>
      </c>
      <c r="B1394" t="s">
        <v>8111</v>
      </c>
      <c r="C1394" t="s">
        <v>1228</v>
      </c>
      <c r="D1394" t="s">
        <v>1027</v>
      </c>
      <c r="E1394">
        <v>1660</v>
      </c>
      <c r="F1394" t="s">
        <v>1229</v>
      </c>
      <c r="G1394" t="b">
        <v>0</v>
      </c>
      <c r="H1394" t="b">
        <v>0</v>
      </c>
      <c r="I1394" t="s">
        <v>1051</v>
      </c>
      <c r="J1394">
        <v>78</v>
      </c>
      <c r="K1394" t="s">
        <v>2</v>
      </c>
      <c r="L1394" t="s">
        <v>1167</v>
      </c>
      <c r="M1394" t="s">
        <v>1168</v>
      </c>
      <c r="N1394" t="s">
        <v>1169</v>
      </c>
      <c r="O1394" t="s">
        <v>1168</v>
      </c>
      <c r="P1394" t="s">
        <v>1230</v>
      </c>
    </row>
    <row r="1395" spans="1:16" x14ac:dyDescent="0.25">
      <c r="A1395" t="s">
        <v>8117</v>
      </c>
      <c r="B1395" t="s">
        <v>8111</v>
      </c>
      <c r="C1395" t="s">
        <v>1228</v>
      </c>
      <c r="D1395" t="s">
        <v>1027</v>
      </c>
      <c r="E1395">
        <v>1660</v>
      </c>
      <c r="F1395" t="s">
        <v>1229</v>
      </c>
      <c r="G1395" t="b">
        <v>0</v>
      </c>
      <c r="H1395" t="b">
        <v>0</v>
      </c>
      <c r="I1395" t="s">
        <v>1051</v>
      </c>
      <c r="J1395">
        <v>78</v>
      </c>
      <c r="K1395" t="s">
        <v>0</v>
      </c>
      <c r="L1395" t="s">
        <v>1167</v>
      </c>
      <c r="M1395" t="s">
        <v>1168</v>
      </c>
      <c r="N1395" t="s">
        <v>1169</v>
      </c>
      <c r="O1395" t="s">
        <v>1168</v>
      </c>
      <c r="P1395" t="s">
        <v>1230</v>
      </c>
    </row>
    <row r="1396" spans="1:16" ht="390" x14ac:dyDescent="0.25">
      <c r="A1396" t="s">
        <v>8118</v>
      </c>
      <c r="B1396" t="s">
        <v>8119</v>
      </c>
      <c r="C1396" t="s">
        <v>7395</v>
      </c>
      <c r="D1396" t="s">
        <v>1027</v>
      </c>
      <c r="E1396">
        <v>1679</v>
      </c>
      <c r="F1396" t="s">
        <v>7396</v>
      </c>
      <c r="G1396" t="b">
        <v>0</v>
      </c>
      <c r="H1396" t="b">
        <v>0</v>
      </c>
      <c r="I1396" t="s">
        <v>1051</v>
      </c>
      <c r="J1396">
        <v>81</v>
      </c>
      <c r="K1396" t="s">
        <v>0</v>
      </c>
      <c r="L1396" t="s">
        <v>3000</v>
      </c>
      <c r="M1396" t="s">
        <v>1548</v>
      </c>
      <c r="N1396" t="s">
        <v>1548</v>
      </c>
      <c r="O1396" t="s">
        <v>3922</v>
      </c>
      <c r="P1396" s="36" t="s">
        <v>7397</v>
      </c>
    </row>
    <row r="1397" spans="1:16" ht="390" x14ac:dyDescent="0.25">
      <c r="A1397" t="s">
        <v>8120</v>
      </c>
      <c r="B1397" t="s">
        <v>8121</v>
      </c>
      <c r="C1397" t="s">
        <v>7395</v>
      </c>
      <c r="D1397" t="s">
        <v>1027</v>
      </c>
      <c r="E1397">
        <v>1679</v>
      </c>
      <c r="F1397" t="s">
        <v>7396</v>
      </c>
      <c r="G1397" t="b">
        <v>0</v>
      </c>
      <c r="H1397" t="b">
        <v>0</v>
      </c>
      <c r="I1397" t="s">
        <v>1051</v>
      </c>
      <c r="J1397">
        <v>81</v>
      </c>
      <c r="K1397" t="s">
        <v>0</v>
      </c>
      <c r="L1397" t="s">
        <v>3000</v>
      </c>
      <c r="M1397" t="s">
        <v>1548</v>
      </c>
      <c r="N1397" t="s">
        <v>1548</v>
      </c>
      <c r="O1397" t="s">
        <v>3922</v>
      </c>
      <c r="P1397" s="36" t="s">
        <v>7397</v>
      </c>
    </row>
    <row r="1398" spans="1:16" ht="390" x14ac:dyDescent="0.25">
      <c r="A1398" t="s">
        <v>8122</v>
      </c>
      <c r="B1398" t="s">
        <v>8121</v>
      </c>
      <c r="C1398" t="s">
        <v>7395</v>
      </c>
      <c r="D1398" t="s">
        <v>1027</v>
      </c>
      <c r="E1398">
        <v>1679</v>
      </c>
      <c r="F1398" t="s">
        <v>7396</v>
      </c>
      <c r="G1398" t="b">
        <v>0</v>
      </c>
      <c r="H1398" t="b">
        <v>0</v>
      </c>
      <c r="I1398" t="s">
        <v>1051</v>
      </c>
      <c r="J1398">
        <v>81</v>
      </c>
      <c r="K1398" t="s">
        <v>0</v>
      </c>
      <c r="L1398" t="s">
        <v>3000</v>
      </c>
      <c r="M1398" t="s">
        <v>1548</v>
      </c>
      <c r="N1398" t="s">
        <v>1548</v>
      </c>
      <c r="O1398" t="s">
        <v>3922</v>
      </c>
      <c r="P1398" s="36" t="s">
        <v>7397</v>
      </c>
    </row>
    <row r="1399" spans="1:16" ht="390" x14ac:dyDescent="0.25">
      <c r="A1399" t="s">
        <v>8123</v>
      </c>
      <c r="B1399" t="s">
        <v>8124</v>
      </c>
      <c r="C1399" t="s">
        <v>7395</v>
      </c>
      <c r="D1399" t="s">
        <v>1027</v>
      </c>
      <c r="E1399">
        <v>1679</v>
      </c>
      <c r="F1399" t="s">
        <v>7396</v>
      </c>
      <c r="G1399" t="b">
        <v>0</v>
      </c>
      <c r="H1399" t="b">
        <v>0</v>
      </c>
      <c r="I1399" t="s">
        <v>1051</v>
      </c>
      <c r="J1399">
        <v>81</v>
      </c>
      <c r="K1399" t="s">
        <v>0</v>
      </c>
      <c r="L1399" t="s">
        <v>3000</v>
      </c>
      <c r="M1399" t="s">
        <v>1548</v>
      </c>
      <c r="N1399" t="s">
        <v>1548</v>
      </c>
      <c r="O1399" t="s">
        <v>3922</v>
      </c>
      <c r="P1399" s="36" t="s">
        <v>7397</v>
      </c>
    </row>
    <row r="1400" spans="1:16" ht="390" x14ac:dyDescent="0.25">
      <c r="A1400" t="s">
        <v>8125</v>
      </c>
      <c r="B1400" t="s">
        <v>8124</v>
      </c>
      <c r="C1400" t="s">
        <v>7395</v>
      </c>
      <c r="D1400" t="s">
        <v>1027</v>
      </c>
      <c r="E1400">
        <v>1679</v>
      </c>
      <c r="F1400" t="s">
        <v>7396</v>
      </c>
      <c r="G1400" t="b">
        <v>0</v>
      </c>
      <c r="H1400" t="b">
        <v>0</v>
      </c>
      <c r="I1400" t="s">
        <v>1051</v>
      </c>
      <c r="J1400">
        <v>81</v>
      </c>
      <c r="K1400" t="s">
        <v>0</v>
      </c>
      <c r="L1400" t="s">
        <v>3000</v>
      </c>
      <c r="M1400" t="s">
        <v>1548</v>
      </c>
      <c r="N1400" t="s">
        <v>1548</v>
      </c>
      <c r="O1400" t="s">
        <v>3922</v>
      </c>
      <c r="P1400" s="36" t="s">
        <v>7397</v>
      </c>
    </row>
    <row r="1401" spans="1:16" ht="390" x14ac:dyDescent="0.25">
      <c r="A1401" t="s">
        <v>8126</v>
      </c>
      <c r="B1401" t="s">
        <v>8127</v>
      </c>
      <c r="C1401" t="s">
        <v>7395</v>
      </c>
      <c r="D1401" t="s">
        <v>1027</v>
      </c>
      <c r="E1401">
        <v>1679</v>
      </c>
      <c r="F1401" t="s">
        <v>7396</v>
      </c>
      <c r="G1401" t="b">
        <v>0</v>
      </c>
      <c r="H1401" t="b">
        <v>0</v>
      </c>
      <c r="I1401" t="s">
        <v>1051</v>
      </c>
      <c r="J1401">
        <v>81</v>
      </c>
      <c r="K1401" t="s">
        <v>0</v>
      </c>
      <c r="L1401" t="s">
        <v>3000</v>
      </c>
      <c r="M1401" t="s">
        <v>1548</v>
      </c>
      <c r="N1401" t="s">
        <v>1548</v>
      </c>
      <c r="O1401" t="s">
        <v>3922</v>
      </c>
      <c r="P1401" s="36" t="s">
        <v>7397</v>
      </c>
    </row>
    <row r="1402" spans="1:16" ht="390" x14ac:dyDescent="0.25">
      <c r="A1402" t="s">
        <v>8128</v>
      </c>
      <c r="B1402" t="s">
        <v>8127</v>
      </c>
      <c r="C1402" t="s">
        <v>7395</v>
      </c>
      <c r="D1402" t="s">
        <v>1027</v>
      </c>
      <c r="E1402">
        <v>1679</v>
      </c>
      <c r="F1402" t="s">
        <v>7396</v>
      </c>
      <c r="G1402" t="b">
        <v>0</v>
      </c>
      <c r="H1402" t="b">
        <v>0</v>
      </c>
      <c r="I1402" t="s">
        <v>1051</v>
      </c>
      <c r="J1402">
        <v>81</v>
      </c>
      <c r="K1402" t="s">
        <v>0</v>
      </c>
      <c r="L1402" t="s">
        <v>3000</v>
      </c>
      <c r="M1402" t="s">
        <v>1548</v>
      </c>
      <c r="N1402" t="s">
        <v>1548</v>
      </c>
      <c r="O1402" t="s">
        <v>3922</v>
      </c>
      <c r="P1402" s="36" t="s">
        <v>7397</v>
      </c>
    </row>
    <row r="1403" spans="1:16" ht="390" x14ac:dyDescent="0.25">
      <c r="A1403" t="s">
        <v>8129</v>
      </c>
      <c r="B1403" t="s">
        <v>8130</v>
      </c>
      <c r="C1403" t="s">
        <v>7395</v>
      </c>
      <c r="D1403" t="s">
        <v>1027</v>
      </c>
      <c r="E1403">
        <v>1679</v>
      </c>
      <c r="F1403" t="s">
        <v>7396</v>
      </c>
      <c r="G1403" t="b">
        <v>0</v>
      </c>
      <c r="H1403" t="b">
        <v>0</v>
      </c>
      <c r="I1403" t="s">
        <v>1051</v>
      </c>
      <c r="J1403">
        <v>81</v>
      </c>
      <c r="K1403" t="s">
        <v>0</v>
      </c>
      <c r="L1403" t="s">
        <v>3000</v>
      </c>
      <c r="M1403" t="s">
        <v>1548</v>
      </c>
      <c r="N1403" t="s">
        <v>1548</v>
      </c>
      <c r="O1403" t="s">
        <v>3922</v>
      </c>
      <c r="P1403" s="36" t="s">
        <v>7397</v>
      </c>
    </row>
    <row r="1404" spans="1:16" ht="390" x14ac:dyDescent="0.25">
      <c r="A1404" t="s">
        <v>8131</v>
      </c>
      <c r="B1404" t="s">
        <v>8130</v>
      </c>
      <c r="C1404" t="s">
        <v>7395</v>
      </c>
      <c r="D1404" t="s">
        <v>1027</v>
      </c>
      <c r="E1404">
        <v>1679</v>
      </c>
      <c r="F1404" t="s">
        <v>7396</v>
      </c>
      <c r="G1404" t="b">
        <v>0</v>
      </c>
      <c r="H1404" t="b">
        <v>0</v>
      </c>
      <c r="I1404" t="s">
        <v>1051</v>
      </c>
      <c r="J1404">
        <v>81</v>
      </c>
      <c r="K1404" t="s">
        <v>0</v>
      </c>
      <c r="L1404" t="s">
        <v>3000</v>
      </c>
      <c r="M1404" t="s">
        <v>1548</v>
      </c>
      <c r="N1404" t="s">
        <v>1548</v>
      </c>
      <c r="O1404" t="s">
        <v>3922</v>
      </c>
      <c r="P1404" s="36" t="s">
        <v>7397</v>
      </c>
    </row>
    <row r="1405" spans="1:16" ht="409.5" x14ac:dyDescent="0.25">
      <c r="A1405" t="s">
        <v>8132</v>
      </c>
      <c r="B1405" t="s">
        <v>8133</v>
      </c>
      <c r="C1405" t="s">
        <v>6503</v>
      </c>
      <c r="D1405" t="s">
        <v>1027</v>
      </c>
      <c r="E1405">
        <v>1488</v>
      </c>
      <c r="F1405" t="s">
        <v>6504</v>
      </c>
      <c r="G1405" t="b">
        <v>0</v>
      </c>
      <c r="H1405" t="b">
        <v>0</v>
      </c>
      <c r="I1405" t="s">
        <v>1051</v>
      </c>
      <c r="J1405">
        <v>78</v>
      </c>
      <c r="K1405" t="s">
        <v>0</v>
      </c>
      <c r="L1405" t="s">
        <v>3000</v>
      </c>
      <c r="M1405" t="s">
        <v>1548</v>
      </c>
      <c r="N1405" t="s">
        <v>1548</v>
      </c>
      <c r="O1405" t="s">
        <v>1548</v>
      </c>
      <c r="P1405" s="36" t="s">
        <v>6505</v>
      </c>
    </row>
    <row r="1406" spans="1:16" ht="409.5" x14ac:dyDescent="0.25">
      <c r="A1406" t="s">
        <v>8134</v>
      </c>
      <c r="B1406" t="s">
        <v>8133</v>
      </c>
      <c r="C1406" t="s">
        <v>6503</v>
      </c>
      <c r="D1406" t="s">
        <v>1027</v>
      </c>
      <c r="E1406">
        <v>1488</v>
      </c>
      <c r="F1406" t="s">
        <v>6504</v>
      </c>
      <c r="G1406" t="b">
        <v>0</v>
      </c>
      <c r="H1406" t="b">
        <v>0</v>
      </c>
      <c r="I1406" t="s">
        <v>1051</v>
      </c>
      <c r="J1406">
        <v>78</v>
      </c>
      <c r="K1406" t="s">
        <v>0</v>
      </c>
      <c r="L1406" t="s">
        <v>3000</v>
      </c>
      <c r="M1406" t="s">
        <v>1548</v>
      </c>
      <c r="N1406" t="s">
        <v>1548</v>
      </c>
      <c r="O1406" t="s">
        <v>1548</v>
      </c>
      <c r="P1406" s="36" t="s">
        <v>6505</v>
      </c>
    </row>
    <row r="1407" spans="1:16" ht="409.5" x14ac:dyDescent="0.25">
      <c r="A1407" t="s">
        <v>8135</v>
      </c>
      <c r="B1407" t="s">
        <v>8133</v>
      </c>
      <c r="C1407" t="s">
        <v>6503</v>
      </c>
      <c r="D1407" t="s">
        <v>1027</v>
      </c>
      <c r="E1407">
        <v>1488</v>
      </c>
      <c r="F1407" t="s">
        <v>6504</v>
      </c>
      <c r="G1407" t="b">
        <v>0</v>
      </c>
      <c r="H1407" t="b">
        <v>0</v>
      </c>
      <c r="I1407" t="s">
        <v>1051</v>
      </c>
      <c r="J1407">
        <v>78</v>
      </c>
      <c r="K1407" t="s">
        <v>0</v>
      </c>
      <c r="L1407" t="s">
        <v>3000</v>
      </c>
      <c r="M1407" t="s">
        <v>1548</v>
      </c>
      <c r="N1407" t="s">
        <v>1548</v>
      </c>
      <c r="O1407" t="s">
        <v>1548</v>
      </c>
      <c r="P1407" s="36" t="s">
        <v>6505</v>
      </c>
    </row>
    <row r="1408" spans="1:16" ht="409.5" x14ac:dyDescent="0.25">
      <c r="A1408" t="s">
        <v>8136</v>
      </c>
      <c r="B1408" t="s">
        <v>8133</v>
      </c>
      <c r="C1408" t="s">
        <v>6503</v>
      </c>
      <c r="D1408" t="s">
        <v>1027</v>
      </c>
      <c r="E1408">
        <v>1488</v>
      </c>
      <c r="F1408" t="s">
        <v>6504</v>
      </c>
      <c r="G1408" t="b">
        <v>0</v>
      </c>
      <c r="H1408" t="b">
        <v>0</v>
      </c>
      <c r="I1408" t="s">
        <v>1051</v>
      </c>
      <c r="J1408">
        <v>78</v>
      </c>
      <c r="K1408" t="s">
        <v>0</v>
      </c>
      <c r="L1408" t="s">
        <v>3000</v>
      </c>
      <c r="M1408" t="s">
        <v>1548</v>
      </c>
      <c r="N1408" t="s">
        <v>1548</v>
      </c>
      <c r="O1408" t="s">
        <v>1548</v>
      </c>
      <c r="P1408" s="36" t="s">
        <v>6505</v>
      </c>
    </row>
    <row r="1409" spans="1:16" ht="409.5" x14ac:dyDescent="0.25">
      <c r="A1409" t="s">
        <v>8137</v>
      </c>
      <c r="B1409" t="s">
        <v>8138</v>
      </c>
      <c r="C1409" t="s">
        <v>7622</v>
      </c>
      <c r="D1409" t="s">
        <v>1027</v>
      </c>
      <c r="G1409" t="b">
        <v>0</v>
      </c>
      <c r="H1409" t="b">
        <v>0</v>
      </c>
      <c r="I1409" t="s">
        <v>1051</v>
      </c>
      <c r="J1409">
        <v>81</v>
      </c>
      <c r="K1409" t="s">
        <v>0</v>
      </c>
      <c r="L1409" t="s">
        <v>3000</v>
      </c>
      <c r="M1409" t="s">
        <v>1548</v>
      </c>
      <c r="N1409" t="s">
        <v>1548</v>
      </c>
      <c r="O1409" t="s">
        <v>3922</v>
      </c>
      <c r="P1409" s="36" t="s">
        <v>7623</v>
      </c>
    </row>
    <row r="1410" spans="1:16" ht="409.5" x14ac:dyDescent="0.25">
      <c r="A1410" t="s">
        <v>8139</v>
      </c>
      <c r="B1410" t="s">
        <v>8140</v>
      </c>
      <c r="C1410" t="s">
        <v>6446</v>
      </c>
      <c r="D1410" t="s">
        <v>1027</v>
      </c>
      <c r="E1410">
        <v>1402</v>
      </c>
      <c r="F1410" t="s">
        <v>6447</v>
      </c>
      <c r="G1410" t="b">
        <v>0</v>
      </c>
      <c r="H1410" t="b">
        <v>0</v>
      </c>
      <c r="I1410" t="s">
        <v>1051</v>
      </c>
      <c r="J1410">
        <v>78</v>
      </c>
      <c r="K1410" t="s">
        <v>0</v>
      </c>
      <c r="L1410" t="s">
        <v>3000</v>
      </c>
      <c r="M1410" t="s">
        <v>1548</v>
      </c>
      <c r="N1410" t="s">
        <v>1548</v>
      </c>
      <c r="O1410" t="s">
        <v>1548</v>
      </c>
      <c r="P1410" s="36" t="s">
        <v>6448</v>
      </c>
    </row>
    <row r="1411" spans="1:16" ht="409.5" x14ac:dyDescent="0.25">
      <c r="A1411" t="s">
        <v>8141</v>
      </c>
      <c r="B1411" t="s">
        <v>8142</v>
      </c>
      <c r="C1411" t="s">
        <v>6446</v>
      </c>
      <c r="D1411" t="s">
        <v>1027</v>
      </c>
      <c r="E1411">
        <v>1402</v>
      </c>
      <c r="F1411" t="s">
        <v>6447</v>
      </c>
      <c r="G1411" t="b">
        <v>0</v>
      </c>
      <c r="H1411" t="b">
        <v>0</v>
      </c>
      <c r="I1411" t="s">
        <v>1051</v>
      </c>
      <c r="J1411">
        <v>78</v>
      </c>
      <c r="K1411" t="s">
        <v>0</v>
      </c>
      <c r="L1411" t="s">
        <v>3000</v>
      </c>
      <c r="M1411" t="s">
        <v>1548</v>
      </c>
      <c r="N1411" t="s">
        <v>1548</v>
      </c>
      <c r="O1411" t="s">
        <v>1548</v>
      </c>
      <c r="P1411" s="36" t="s">
        <v>6448</v>
      </c>
    </row>
    <row r="1412" spans="1:16" ht="409.5" x14ac:dyDescent="0.25">
      <c r="A1412" t="s">
        <v>8143</v>
      </c>
      <c r="B1412" t="s">
        <v>8142</v>
      </c>
      <c r="C1412" t="s">
        <v>6446</v>
      </c>
      <c r="D1412" t="s">
        <v>1027</v>
      </c>
      <c r="E1412">
        <v>1402</v>
      </c>
      <c r="F1412" t="s">
        <v>6447</v>
      </c>
      <c r="G1412" t="b">
        <v>0</v>
      </c>
      <c r="H1412" t="b">
        <v>0</v>
      </c>
      <c r="I1412" t="s">
        <v>1051</v>
      </c>
      <c r="J1412">
        <v>78</v>
      </c>
      <c r="K1412" t="s">
        <v>0</v>
      </c>
      <c r="L1412" t="s">
        <v>3000</v>
      </c>
      <c r="M1412" t="s">
        <v>1548</v>
      </c>
      <c r="N1412" t="s">
        <v>1548</v>
      </c>
      <c r="O1412" t="s">
        <v>1548</v>
      </c>
      <c r="P1412" s="36" t="s">
        <v>6448</v>
      </c>
    </row>
    <row r="1413" spans="1:16" ht="390" x14ac:dyDescent="0.25">
      <c r="A1413" t="s">
        <v>8144</v>
      </c>
      <c r="B1413" t="s">
        <v>8145</v>
      </c>
      <c r="C1413" t="s">
        <v>7395</v>
      </c>
      <c r="D1413" t="s">
        <v>1027</v>
      </c>
      <c r="E1413">
        <v>1679</v>
      </c>
      <c r="F1413" t="s">
        <v>7396</v>
      </c>
      <c r="G1413" t="b">
        <v>0</v>
      </c>
      <c r="H1413" t="b">
        <v>0</v>
      </c>
      <c r="I1413" t="s">
        <v>1051</v>
      </c>
      <c r="J1413">
        <v>81</v>
      </c>
      <c r="K1413" t="s">
        <v>0</v>
      </c>
      <c r="L1413" t="s">
        <v>3000</v>
      </c>
      <c r="M1413" t="s">
        <v>1548</v>
      </c>
      <c r="N1413" t="s">
        <v>1548</v>
      </c>
      <c r="O1413" t="s">
        <v>3922</v>
      </c>
      <c r="P1413" s="36" t="s">
        <v>7397</v>
      </c>
    </row>
    <row r="1414" spans="1:16" ht="390" x14ac:dyDescent="0.25">
      <c r="A1414" t="s">
        <v>8146</v>
      </c>
      <c r="B1414" t="s">
        <v>8145</v>
      </c>
      <c r="C1414" t="s">
        <v>7395</v>
      </c>
      <c r="D1414" t="s">
        <v>1027</v>
      </c>
      <c r="E1414">
        <v>1679</v>
      </c>
      <c r="F1414" t="s">
        <v>7396</v>
      </c>
      <c r="G1414" t="b">
        <v>0</v>
      </c>
      <c r="H1414" t="b">
        <v>0</v>
      </c>
      <c r="I1414" t="s">
        <v>1051</v>
      </c>
      <c r="J1414">
        <v>81</v>
      </c>
      <c r="K1414" t="s">
        <v>0</v>
      </c>
      <c r="L1414" t="s">
        <v>3000</v>
      </c>
      <c r="M1414" t="s">
        <v>1548</v>
      </c>
      <c r="N1414" t="s">
        <v>1548</v>
      </c>
      <c r="O1414" t="s">
        <v>3922</v>
      </c>
      <c r="P1414" s="36" t="s">
        <v>7397</v>
      </c>
    </row>
    <row r="1415" spans="1:16" x14ac:dyDescent="0.25">
      <c r="A1415" t="s">
        <v>8147</v>
      </c>
      <c r="B1415" t="s">
        <v>8148</v>
      </c>
      <c r="C1415" t="s">
        <v>1335</v>
      </c>
      <c r="D1415" t="s">
        <v>1027</v>
      </c>
      <c r="E1415">
        <v>1459</v>
      </c>
      <c r="F1415" t="s">
        <v>1336</v>
      </c>
      <c r="G1415" t="b">
        <v>0</v>
      </c>
      <c r="H1415" t="b">
        <v>0</v>
      </c>
      <c r="I1415" t="s">
        <v>1051</v>
      </c>
      <c r="J1415">
        <v>42</v>
      </c>
      <c r="K1415" t="s">
        <v>2</v>
      </c>
      <c r="L1415" t="s">
        <v>1549</v>
      </c>
      <c r="M1415" t="s">
        <v>3922</v>
      </c>
      <c r="N1415" t="s">
        <v>3922</v>
      </c>
      <c r="O1415" t="s">
        <v>3922</v>
      </c>
      <c r="P1415" t="s">
        <v>1682</v>
      </c>
    </row>
    <row r="1416" spans="1:16" x14ac:dyDescent="0.25">
      <c r="A1416" t="s">
        <v>8149</v>
      </c>
      <c r="B1416" t="s">
        <v>8148</v>
      </c>
      <c r="C1416" t="s">
        <v>1335</v>
      </c>
      <c r="D1416" t="s">
        <v>1027</v>
      </c>
      <c r="E1416">
        <v>1459</v>
      </c>
      <c r="F1416" t="s">
        <v>1336</v>
      </c>
      <c r="G1416" t="b">
        <v>0</v>
      </c>
      <c r="H1416" t="b">
        <v>0</v>
      </c>
      <c r="I1416" t="s">
        <v>1051</v>
      </c>
      <c r="J1416">
        <v>42</v>
      </c>
      <c r="K1416" t="s">
        <v>2</v>
      </c>
      <c r="L1416" t="s">
        <v>1549</v>
      </c>
      <c r="M1416" t="s">
        <v>3922</v>
      </c>
      <c r="N1416" t="s">
        <v>3922</v>
      </c>
      <c r="O1416" t="s">
        <v>3922</v>
      </c>
      <c r="P1416" t="s">
        <v>1682</v>
      </c>
    </row>
    <row r="1417" spans="1:16" x14ac:dyDescent="0.25">
      <c r="A1417" t="s">
        <v>8150</v>
      </c>
      <c r="B1417" t="s">
        <v>8148</v>
      </c>
      <c r="C1417" t="s">
        <v>1335</v>
      </c>
      <c r="D1417" t="s">
        <v>1027</v>
      </c>
      <c r="E1417">
        <v>1459</v>
      </c>
      <c r="F1417" t="s">
        <v>1336</v>
      </c>
      <c r="G1417" t="b">
        <v>0</v>
      </c>
      <c r="H1417" t="b">
        <v>0</v>
      </c>
      <c r="I1417" t="s">
        <v>1051</v>
      </c>
      <c r="J1417">
        <v>42</v>
      </c>
      <c r="K1417" t="s">
        <v>2</v>
      </c>
      <c r="L1417" t="s">
        <v>1549</v>
      </c>
      <c r="M1417" t="s">
        <v>3922</v>
      </c>
      <c r="N1417" t="s">
        <v>3922</v>
      </c>
      <c r="O1417" t="s">
        <v>3922</v>
      </c>
      <c r="P1417" t="s">
        <v>1682</v>
      </c>
    </row>
    <row r="1418" spans="1:16" x14ac:dyDescent="0.25">
      <c r="A1418" t="s">
        <v>8151</v>
      </c>
      <c r="B1418" t="s">
        <v>8148</v>
      </c>
      <c r="C1418" t="s">
        <v>1335</v>
      </c>
      <c r="D1418" t="s">
        <v>1027</v>
      </c>
      <c r="E1418">
        <v>1459</v>
      </c>
      <c r="F1418" t="s">
        <v>1336</v>
      </c>
      <c r="G1418" t="b">
        <v>0</v>
      </c>
      <c r="H1418" t="b">
        <v>0</v>
      </c>
      <c r="I1418" t="s">
        <v>1051</v>
      </c>
      <c r="J1418">
        <v>42</v>
      </c>
      <c r="K1418" t="s">
        <v>2</v>
      </c>
      <c r="L1418" t="s">
        <v>1549</v>
      </c>
      <c r="M1418" t="s">
        <v>3922</v>
      </c>
      <c r="N1418" t="s">
        <v>3922</v>
      </c>
      <c r="O1418" t="s">
        <v>3922</v>
      </c>
      <c r="P1418" t="s">
        <v>1682</v>
      </c>
    </row>
    <row r="1419" spans="1:16" x14ac:dyDescent="0.25">
      <c r="A1419" t="s">
        <v>8152</v>
      </c>
      <c r="B1419" t="s">
        <v>8148</v>
      </c>
      <c r="C1419" t="s">
        <v>1335</v>
      </c>
      <c r="D1419" t="s">
        <v>1027</v>
      </c>
      <c r="E1419">
        <v>1459</v>
      </c>
      <c r="F1419" t="s">
        <v>1336</v>
      </c>
      <c r="G1419" t="b">
        <v>0</v>
      </c>
      <c r="H1419" t="b">
        <v>0</v>
      </c>
      <c r="I1419" t="s">
        <v>1051</v>
      </c>
      <c r="J1419">
        <v>44</v>
      </c>
      <c r="K1419" t="s">
        <v>2</v>
      </c>
      <c r="L1419" t="s">
        <v>1549</v>
      </c>
      <c r="M1419" t="s">
        <v>3922</v>
      </c>
      <c r="N1419" t="s">
        <v>3922</v>
      </c>
      <c r="O1419" t="s">
        <v>3922</v>
      </c>
      <c r="P1419" t="s">
        <v>1682</v>
      </c>
    </row>
    <row r="1420" spans="1:16" ht="409.5" x14ac:dyDescent="0.25">
      <c r="A1420" t="s">
        <v>8153</v>
      </c>
      <c r="B1420" t="s">
        <v>8154</v>
      </c>
      <c r="C1420" t="s">
        <v>7622</v>
      </c>
      <c r="D1420" t="s">
        <v>1027</v>
      </c>
      <c r="G1420" t="b">
        <v>0</v>
      </c>
      <c r="H1420" t="b">
        <v>0</v>
      </c>
      <c r="I1420" t="s">
        <v>1051</v>
      </c>
      <c r="J1420">
        <v>81</v>
      </c>
      <c r="K1420" t="s">
        <v>0</v>
      </c>
      <c r="L1420" t="s">
        <v>3000</v>
      </c>
      <c r="M1420" t="s">
        <v>1548</v>
      </c>
      <c r="N1420" t="s">
        <v>1548</v>
      </c>
      <c r="O1420" t="s">
        <v>3922</v>
      </c>
      <c r="P1420" s="36" t="s">
        <v>7623</v>
      </c>
    </row>
    <row r="1421" spans="1:16" ht="409.5" x14ac:dyDescent="0.25">
      <c r="A1421" t="s">
        <v>8155</v>
      </c>
      <c r="B1421" t="s">
        <v>8156</v>
      </c>
      <c r="C1421" t="s">
        <v>6473</v>
      </c>
      <c r="D1421" t="s">
        <v>1027</v>
      </c>
      <c r="E1421">
        <v>33419</v>
      </c>
      <c r="F1421" t="s">
        <v>6474</v>
      </c>
      <c r="G1421" t="b">
        <v>0</v>
      </c>
      <c r="H1421" t="b">
        <v>0</v>
      </c>
      <c r="I1421" t="s">
        <v>1051</v>
      </c>
      <c r="J1421">
        <v>78</v>
      </c>
      <c r="K1421" t="s">
        <v>0</v>
      </c>
      <c r="L1421" t="s">
        <v>3000</v>
      </c>
      <c r="M1421" t="s">
        <v>1548</v>
      </c>
      <c r="N1421" t="s">
        <v>1548</v>
      </c>
      <c r="O1421" t="s">
        <v>1548</v>
      </c>
      <c r="P1421" s="36" t="s">
        <v>6448</v>
      </c>
    </row>
    <row r="1422" spans="1:16" ht="409.5" x14ac:dyDescent="0.25">
      <c r="A1422" t="s">
        <v>8157</v>
      </c>
      <c r="B1422" t="s">
        <v>8156</v>
      </c>
      <c r="C1422" t="s">
        <v>6473</v>
      </c>
      <c r="D1422" t="s">
        <v>1027</v>
      </c>
      <c r="E1422">
        <v>33419</v>
      </c>
      <c r="F1422" t="s">
        <v>6474</v>
      </c>
      <c r="G1422" t="b">
        <v>0</v>
      </c>
      <c r="H1422" t="b">
        <v>0</v>
      </c>
      <c r="I1422" t="s">
        <v>1051</v>
      </c>
      <c r="J1422">
        <v>78</v>
      </c>
      <c r="K1422" t="s">
        <v>0</v>
      </c>
      <c r="L1422" t="s">
        <v>3000</v>
      </c>
      <c r="M1422" t="s">
        <v>1548</v>
      </c>
      <c r="N1422" t="s">
        <v>1548</v>
      </c>
      <c r="O1422" t="s">
        <v>1548</v>
      </c>
      <c r="P1422" s="36" t="s">
        <v>6448</v>
      </c>
    </row>
    <row r="1423" spans="1:16" ht="390" x14ac:dyDescent="0.25">
      <c r="A1423" t="s">
        <v>8158</v>
      </c>
      <c r="B1423" t="s">
        <v>8159</v>
      </c>
      <c r="C1423" t="s">
        <v>7395</v>
      </c>
      <c r="D1423" t="s">
        <v>1027</v>
      </c>
      <c r="E1423">
        <v>1679</v>
      </c>
      <c r="F1423" t="s">
        <v>7396</v>
      </c>
      <c r="G1423" t="b">
        <v>0</v>
      </c>
      <c r="H1423" t="b">
        <v>0</v>
      </c>
      <c r="I1423" t="s">
        <v>1051</v>
      </c>
      <c r="J1423">
        <v>81</v>
      </c>
      <c r="K1423" t="s">
        <v>0</v>
      </c>
      <c r="L1423" t="s">
        <v>3000</v>
      </c>
      <c r="M1423" t="s">
        <v>1548</v>
      </c>
      <c r="N1423" t="s">
        <v>1548</v>
      </c>
      <c r="O1423" t="s">
        <v>3922</v>
      </c>
      <c r="P1423" s="36" t="s">
        <v>7397</v>
      </c>
    </row>
    <row r="1424" spans="1:16" ht="390" x14ac:dyDescent="0.25">
      <c r="A1424" t="s">
        <v>8160</v>
      </c>
      <c r="B1424" t="s">
        <v>8161</v>
      </c>
      <c r="C1424" t="s">
        <v>7395</v>
      </c>
      <c r="D1424" t="s">
        <v>1027</v>
      </c>
      <c r="E1424">
        <v>1679</v>
      </c>
      <c r="F1424" t="s">
        <v>7396</v>
      </c>
      <c r="G1424" t="b">
        <v>0</v>
      </c>
      <c r="H1424" t="b">
        <v>0</v>
      </c>
      <c r="I1424" t="s">
        <v>1051</v>
      </c>
      <c r="J1424">
        <v>81</v>
      </c>
      <c r="K1424" t="s">
        <v>0</v>
      </c>
      <c r="L1424" t="s">
        <v>3000</v>
      </c>
      <c r="M1424" t="s">
        <v>1548</v>
      </c>
      <c r="N1424" t="s">
        <v>1548</v>
      </c>
      <c r="O1424" t="s">
        <v>3922</v>
      </c>
      <c r="P1424" s="36" t="s">
        <v>7397</v>
      </c>
    </row>
    <row r="1425" spans="1:16" ht="390" x14ac:dyDescent="0.25">
      <c r="A1425" t="s">
        <v>8162</v>
      </c>
      <c r="B1425" t="s">
        <v>8161</v>
      </c>
      <c r="C1425" t="s">
        <v>7395</v>
      </c>
      <c r="D1425" t="s">
        <v>1027</v>
      </c>
      <c r="E1425">
        <v>1679</v>
      </c>
      <c r="F1425" t="s">
        <v>7396</v>
      </c>
      <c r="G1425" t="b">
        <v>0</v>
      </c>
      <c r="H1425" t="b">
        <v>0</v>
      </c>
      <c r="I1425" t="s">
        <v>1051</v>
      </c>
      <c r="J1425">
        <v>81</v>
      </c>
      <c r="K1425" t="s">
        <v>0</v>
      </c>
      <c r="L1425" t="s">
        <v>3000</v>
      </c>
      <c r="M1425" t="s">
        <v>1548</v>
      </c>
      <c r="N1425" t="s">
        <v>1548</v>
      </c>
      <c r="O1425" t="s">
        <v>3922</v>
      </c>
      <c r="P1425" s="36" t="s">
        <v>7397</v>
      </c>
    </row>
    <row r="1426" spans="1:16" x14ac:dyDescent="0.25">
      <c r="A1426" t="s">
        <v>8163</v>
      </c>
      <c r="B1426" t="s">
        <v>8164</v>
      </c>
      <c r="C1426" t="s">
        <v>1335</v>
      </c>
      <c r="D1426" t="s">
        <v>1027</v>
      </c>
      <c r="E1426">
        <v>1459</v>
      </c>
      <c r="F1426" t="s">
        <v>1336</v>
      </c>
      <c r="G1426" t="b">
        <v>0</v>
      </c>
      <c r="H1426" t="b">
        <v>0</v>
      </c>
      <c r="I1426" t="s">
        <v>1051</v>
      </c>
      <c r="J1426">
        <v>82</v>
      </c>
      <c r="K1426" t="s">
        <v>2</v>
      </c>
      <c r="L1426" t="s">
        <v>1549</v>
      </c>
      <c r="M1426" t="s">
        <v>3922</v>
      </c>
      <c r="N1426" t="s">
        <v>3922</v>
      </c>
      <c r="O1426" t="s">
        <v>3922</v>
      </c>
      <c r="P1426" t="s">
        <v>1682</v>
      </c>
    </row>
    <row r="1427" spans="1:16" x14ac:dyDescent="0.25">
      <c r="A1427" t="s">
        <v>8165</v>
      </c>
      <c r="B1427" t="s">
        <v>8164</v>
      </c>
      <c r="C1427" t="s">
        <v>1335</v>
      </c>
      <c r="D1427" t="s">
        <v>1027</v>
      </c>
      <c r="E1427">
        <v>1459</v>
      </c>
      <c r="F1427" t="s">
        <v>1336</v>
      </c>
      <c r="G1427" t="b">
        <v>0</v>
      </c>
      <c r="H1427" t="b">
        <v>0</v>
      </c>
      <c r="I1427" t="s">
        <v>1051</v>
      </c>
      <c r="J1427">
        <v>58</v>
      </c>
      <c r="K1427" t="s">
        <v>2</v>
      </c>
      <c r="L1427" t="s">
        <v>1549</v>
      </c>
      <c r="M1427" t="s">
        <v>3922</v>
      </c>
      <c r="N1427" t="s">
        <v>3922</v>
      </c>
      <c r="O1427" t="s">
        <v>3922</v>
      </c>
      <c r="P1427" t="s">
        <v>1682</v>
      </c>
    </row>
    <row r="1428" spans="1:16" ht="409.5" x14ac:dyDescent="0.25">
      <c r="A1428" t="s">
        <v>8166</v>
      </c>
      <c r="B1428" t="s">
        <v>8167</v>
      </c>
      <c r="C1428" t="s">
        <v>6446</v>
      </c>
      <c r="D1428" t="s">
        <v>1027</v>
      </c>
      <c r="E1428">
        <v>1402</v>
      </c>
      <c r="F1428" t="s">
        <v>6447</v>
      </c>
      <c r="G1428" t="b">
        <v>0</v>
      </c>
      <c r="H1428" t="b">
        <v>0</v>
      </c>
      <c r="I1428" t="s">
        <v>1051</v>
      </c>
      <c r="J1428">
        <v>78</v>
      </c>
      <c r="K1428" t="s">
        <v>0</v>
      </c>
      <c r="L1428" t="s">
        <v>3000</v>
      </c>
      <c r="M1428" t="s">
        <v>1548</v>
      </c>
      <c r="N1428" t="s">
        <v>1548</v>
      </c>
      <c r="O1428" t="s">
        <v>1548</v>
      </c>
      <c r="P1428" s="36" t="s">
        <v>6448</v>
      </c>
    </row>
    <row r="1429" spans="1:16" ht="409.5" x14ac:dyDescent="0.25">
      <c r="A1429" t="s">
        <v>8168</v>
      </c>
      <c r="B1429" t="s">
        <v>8167</v>
      </c>
      <c r="C1429" t="s">
        <v>6446</v>
      </c>
      <c r="D1429" t="s">
        <v>1027</v>
      </c>
      <c r="E1429">
        <v>1402</v>
      </c>
      <c r="F1429" t="s">
        <v>6447</v>
      </c>
      <c r="G1429" t="b">
        <v>0</v>
      </c>
      <c r="H1429" t="b">
        <v>0</v>
      </c>
      <c r="I1429" t="s">
        <v>1051</v>
      </c>
      <c r="J1429">
        <v>78</v>
      </c>
      <c r="K1429" t="s">
        <v>0</v>
      </c>
      <c r="L1429" t="s">
        <v>3000</v>
      </c>
      <c r="M1429" t="s">
        <v>1548</v>
      </c>
      <c r="N1429" t="s">
        <v>1548</v>
      </c>
      <c r="O1429" t="s">
        <v>1548</v>
      </c>
      <c r="P1429" s="36" t="s">
        <v>6448</v>
      </c>
    </row>
    <row r="1430" spans="1:16" ht="409.5" x14ac:dyDescent="0.25">
      <c r="A1430" t="s">
        <v>8169</v>
      </c>
      <c r="B1430" t="s">
        <v>8170</v>
      </c>
      <c r="C1430" t="s">
        <v>6446</v>
      </c>
      <c r="D1430" t="s">
        <v>1027</v>
      </c>
      <c r="E1430">
        <v>1402</v>
      </c>
      <c r="F1430" t="s">
        <v>6447</v>
      </c>
      <c r="G1430" t="b">
        <v>0</v>
      </c>
      <c r="H1430" t="b">
        <v>0</v>
      </c>
      <c r="I1430" t="s">
        <v>1051</v>
      </c>
      <c r="J1430">
        <v>78</v>
      </c>
      <c r="K1430" t="s">
        <v>0</v>
      </c>
      <c r="L1430" t="s">
        <v>3000</v>
      </c>
      <c r="M1430" t="s">
        <v>1548</v>
      </c>
      <c r="N1430" t="s">
        <v>1548</v>
      </c>
      <c r="O1430" t="s">
        <v>1548</v>
      </c>
      <c r="P1430" s="36" t="s">
        <v>6448</v>
      </c>
    </row>
    <row r="1431" spans="1:16" ht="409.5" x14ac:dyDescent="0.25">
      <c r="A1431" t="s">
        <v>8171</v>
      </c>
      <c r="B1431" t="s">
        <v>8170</v>
      </c>
      <c r="C1431" t="s">
        <v>6446</v>
      </c>
      <c r="D1431" t="s">
        <v>1027</v>
      </c>
      <c r="E1431">
        <v>1402</v>
      </c>
      <c r="F1431" t="s">
        <v>6447</v>
      </c>
      <c r="G1431" t="b">
        <v>0</v>
      </c>
      <c r="H1431" t="b">
        <v>0</v>
      </c>
      <c r="I1431" t="s">
        <v>1051</v>
      </c>
      <c r="J1431">
        <v>78</v>
      </c>
      <c r="K1431" t="s">
        <v>0</v>
      </c>
      <c r="L1431" t="s">
        <v>3000</v>
      </c>
      <c r="M1431" t="s">
        <v>1548</v>
      </c>
      <c r="N1431" t="s">
        <v>1548</v>
      </c>
      <c r="O1431" t="s">
        <v>1548</v>
      </c>
      <c r="P1431" s="36" t="s">
        <v>6448</v>
      </c>
    </row>
    <row r="1432" spans="1:16" ht="409.5" x14ac:dyDescent="0.25">
      <c r="A1432" t="s">
        <v>8172</v>
      </c>
      <c r="B1432" t="s">
        <v>8170</v>
      </c>
      <c r="C1432" t="s">
        <v>6446</v>
      </c>
      <c r="D1432" t="s">
        <v>1027</v>
      </c>
      <c r="E1432">
        <v>1402</v>
      </c>
      <c r="F1432" t="s">
        <v>6447</v>
      </c>
      <c r="G1432" t="b">
        <v>0</v>
      </c>
      <c r="H1432" t="b">
        <v>0</v>
      </c>
      <c r="I1432" t="s">
        <v>1051</v>
      </c>
      <c r="J1432">
        <v>78</v>
      </c>
      <c r="K1432" t="s">
        <v>0</v>
      </c>
      <c r="L1432" t="s">
        <v>3000</v>
      </c>
      <c r="M1432" t="s">
        <v>1548</v>
      </c>
      <c r="N1432" t="s">
        <v>1548</v>
      </c>
      <c r="O1432" t="s">
        <v>1548</v>
      </c>
      <c r="P1432" s="36" t="s">
        <v>6448</v>
      </c>
    </row>
    <row r="1433" spans="1:16" ht="409.5" x14ac:dyDescent="0.25">
      <c r="A1433" t="s">
        <v>8173</v>
      </c>
      <c r="B1433" t="s">
        <v>8174</v>
      </c>
      <c r="C1433" t="s">
        <v>6446</v>
      </c>
      <c r="D1433" t="s">
        <v>1027</v>
      </c>
      <c r="E1433">
        <v>1402</v>
      </c>
      <c r="F1433" t="s">
        <v>6447</v>
      </c>
      <c r="G1433" t="b">
        <v>0</v>
      </c>
      <c r="H1433" t="b">
        <v>0</v>
      </c>
      <c r="I1433" t="s">
        <v>1051</v>
      </c>
      <c r="J1433">
        <v>78</v>
      </c>
      <c r="K1433" t="s">
        <v>0</v>
      </c>
      <c r="L1433" t="s">
        <v>3000</v>
      </c>
      <c r="M1433" t="s">
        <v>1548</v>
      </c>
      <c r="N1433" t="s">
        <v>1548</v>
      </c>
      <c r="O1433" t="s">
        <v>1548</v>
      </c>
      <c r="P1433" s="36" t="s">
        <v>6448</v>
      </c>
    </row>
    <row r="1434" spans="1:16" ht="409.5" x14ac:dyDescent="0.25">
      <c r="A1434" t="s">
        <v>8175</v>
      </c>
      <c r="B1434" t="s">
        <v>8174</v>
      </c>
      <c r="C1434" t="s">
        <v>6446</v>
      </c>
      <c r="D1434" t="s">
        <v>1027</v>
      </c>
      <c r="E1434">
        <v>1402</v>
      </c>
      <c r="F1434" t="s">
        <v>6447</v>
      </c>
      <c r="G1434" t="b">
        <v>0</v>
      </c>
      <c r="H1434" t="b">
        <v>0</v>
      </c>
      <c r="I1434" t="s">
        <v>1051</v>
      </c>
      <c r="J1434">
        <v>78</v>
      </c>
      <c r="K1434" t="s">
        <v>0</v>
      </c>
      <c r="L1434" t="s">
        <v>3000</v>
      </c>
      <c r="M1434" t="s">
        <v>1548</v>
      </c>
      <c r="N1434" t="s">
        <v>1548</v>
      </c>
      <c r="O1434" t="s">
        <v>1548</v>
      </c>
      <c r="P1434" s="36" t="s">
        <v>6448</v>
      </c>
    </row>
    <row r="1435" spans="1:16" ht="409.5" x14ac:dyDescent="0.25">
      <c r="A1435" t="s">
        <v>8176</v>
      </c>
      <c r="B1435" t="s">
        <v>8174</v>
      </c>
      <c r="C1435" t="s">
        <v>6446</v>
      </c>
      <c r="D1435" t="s">
        <v>1027</v>
      </c>
      <c r="E1435">
        <v>1402</v>
      </c>
      <c r="F1435" t="s">
        <v>6447</v>
      </c>
      <c r="G1435" t="b">
        <v>0</v>
      </c>
      <c r="H1435" t="b">
        <v>0</v>
      </c>
      <c r="I1435" t="s">
        <v>1051</v>
      </c>
      <c r="J1435">
        <v>78</v>
      </c>
      <c r="K1435" t="s">
        <v>0</v>
      </c>
      <c r="L1435" t="s">
        <v>3000</v>
      </c>
      <c r="M1435" t="s">
        <v>1548</v>
      </c>
      <c r="N1435" t="s">
        <v>1548</v>
      </c>
      <c r="O1435" t="s">
        <v>1548</v>
      </c>
      <c r="P1435" s="36" t="s">
        <v>6448</v>
      </c>
    </row>
    <row r="1436" spans="1:16" ht="409.5" x14ac:dyDescent="0.25">
      <c r="A1436" t="s">
        <v>8177</v>
      </c>
      <c r="B1436" t="s">
        <v>8167</v>
      </c>
      <c r="C1436" t="s">
        <v>6446</v>
      </c>
      <c r="D1436" t="s">
        <v>1027</v>
      </c>
      <c r="E1436">
        <v>1402</v>
      </c>
      <c r="F1436" t="s">
        <v>6447</v>
      </c>
      <c r="G1436" t="b">
        <v>0</v>
      </c>
      <c r="H1436" t="b">
        <v>0</v>
      </c>
      <c r="I1436" t="s">
        <v>1051</v>
      </c>
      <c r="J1436">
        <v>78</v>
      </c>
      <c r="K1436" t="s">
        <v>0</v>
      </c>
      <c r="L1436" t="s">
        <v>3000</v>
      </c>
      <c r="M1436" t="s">
        <v>1548</v>
      </c>
      <c r="N1436" t="s">
        <v>1548</v>
      </c>
      <c r="O1436" t="s">
        <v>1548</v>
      </c>
      <c r="P1436" s="36" t="s">
        <v>6448</v>
      </c>
    </row>
    <row r="1437" spans="1:16" ht="390" x14ac:dyDescent="0.25">
      <c r="A1437" t="s">
        <v>8178</v>
      </c>
      <c r="B1437" t="s">
        <v>8179</v>
      </c>
      <c r="C1437" t="s">
        <v>7395</v>
      </c>
      <c r="D1437" t="s">
        <v>1027</v>
      </c>
      <c r="E1437">
        <v>1679</v>
      </c>
      <c r="F1437" t="s">
        <v>7396</v>
      </c>
      <c r="G1437" t="b">
        <v>0</v>
      </c>
      <c r="H1437" t="b">
        <v>0</v>
      </c>
      <c r="I1437" t="s">
        <v>1051</v>
      </c>
      <c r="J1437">
        <v>81</v>
      </c>
      <c r="K1437" t="s">
        <v>0</v>
      </c>
      <c r="L1437" t="s">
        <v>3000</v>
      </c>
      <c r="M1437" t="s">
        <v>1548</v>
      </c>
      <c r="N1437" t="s">
        <v>1548</v>
      </c>
      <c r="O1437" t="s">
        <v>3922</v>
      </c>
      <c r="P1437" s="36" t="s">
        <v>7397</v>
      </c>
    </row>
    <row r="1438" spans="1:16" ht="390" x14ac:dyDescent="0.25">
      <c r="A1438" t="s">
        <v>8180</v>
      </c>
      <c r="B1438" t="s">
        <v>8179</v>
      </c>
      <c r="C1438" t="s">
        <v>7395</v>
      </c>
      <c r="D1438" t="s">
        <v>1027</v>
      </c>
      <c r="E1438">
        <v>1679</v>
      </c>
      <c r="F1438" t="s">
        <v>7396</v>
      </c>
      <c r="G1438" t="b">
        <v>0</v>
      </c>
      <c r="H1438" t="b">
        <v>0</v>
      </c>
      <c r="I1438" t="s">
        <v>1051</v>
      </c>
      <c r="J1438">
        <v>81</v>
      </c>
      <c r="K1438" t="s">
        <v>0</v>
      </c>
      <c r="L1438" t="s">
        <v>3000</v>
      </c>
      <c r="M1438" t="s">
        <v>1548</v>
      </c>
      <c r="N1438" t="s">
        <v>1548</v>
      </c>
      <c r="O1438" t="s">
        <v>3922</v>
      </c>
      <c r="P1438" s="36" t="s">
        <v>7397</v>
      </c>
    </row>
    <row r="1439" spans="1:16" ht="409.5" x14ac:dyDescent="0.25">
      <c r="A1439" t="s">
        <v>8181</v>
      </c>
      <c r="B1439" t="s">
        <v>8182</v>
      </c>
      <c r="C1439" t="s">
        <v>6473</v>
      </c>
      <c r="D1439" t="s">
        <v>1027</v>
      </c>
      <c r="E1439">
        <v>33419</v>
      </c>
      <c r="F1439" t="s">
        <v>6474</v>
      </c>
      <c r="G1439" t="b">
        <v>0</v>
      </c>
      <c r="H1439" t="b">
        <v>0</v>
      </c>
      <c r="I1439" t="s">
        <v>1051</v>
      </c>
      <c r="J1439">
        <v>78</v>
      </c>
      <c r="K1439" t="s">
        <v>0</v>
      </c>
      <c r="L1439" t="s">
        <v>3000</v>
      </c>
      <c r="M1439" t="s">
        <v>1548</v>
      </c>
      <c r="N1439" t="s">
        <v>1548</v>
      </c>
      <c r="O1439" t="s">
        <v>1548</v>
      </c>
      <c r="P1439" s="36" t="s">
        <v>6448</v>
      </c>
    </row>
    <row r="1440" spans="1:16" ht="409.5" x14ac:dyDescent="0.25">
      <c r="A1440" t="s">
        <v>8183</v>
      </c>
      <c r="B1440" t="s">
        <v>8184</v>
      </c>
      <c r="C1440" t="s">
        <v>6473</v>
      </c>
      <c r="D1440" t="s">
        <v>1027</v>
      </c>
      <c r="E1440">
        <v>33419</v>
      </c>
      <c r="F1440" t="s">
        <v>6474</v>
      </c>
      <c r="G1440" t="b">
        <v>0</v>
      </c>
      <c r="H1440" t="b">
        <v>0</v>
      </c>
      <c r="I1440" t="s">
        <v>1051</v>
      </c>
      <c r="J1440">
        <v>78</v>
      </c>
      <c r="K1440" t="s">
        <v>0</v>
      </c>
      <c r="L1440" t="s">
        <v>3000</v>
      </c>
      <c r="M1440" t="s">
        <v>1548</v>
      </c>
      <c r="N1440" t="s">
        <v>1548</v>
      </c>
      <c r="O1440" t="s">
        <v>1548</v>
      </c>
      <c r="P1440" s="36" t="s">
        <v>6448</v>
      </c>
    </row>
    <row r="1441" spans="1:16" ht="409.5" x14ac:dyDescent="0.25">
      <c r="A1441" t="s">
        <v>8185</v>
      </c>
      <c r="B1441" t="s">
        <v>8184</v>
      </c>
      <c r="C1441" t="s">
        <v>6473</v>
      </c>
      <c r="D1441" t="s">
        <v>1027</v>
      </c>
      <c r="E1441">
        <v>33419</v>
      </c>
      <c r="F1441" t="s">
        <v>6474</v>
      </c>
      <c r="G1441" t="b">
        <v>0</v>
      </c>
      <c r="H1441" t="b">
        <v>0</v>
      </c>
      <c r="I1441" t="s">
        <v>1051</v>
      </c>
      <c r="J1441">
        <v>78</v>
      </c>
      <c r="K1441" t="s">
        <v>0</v>
      </c>
      <c r="L1441" t="s">
        <v>3000</v>
      </c>
      <c r="M1441" t="s">
        <v>1548</v>
      </c>
      <c r="N1441" t="s">
        <v>1548</v>
      </c>
      <c r="O1441" t="s">
        <v>1548</v>
      </c>
      <c r="P1441" s="36" t="s">
        <v>6448</v>
      </c>
    </row>
    <row r="1442" spans="1:16" ht="409.5" x14ac:dyDescent="0.25">
      <c r="A1442" t="s">
        <v>8186</v>
      </c>
      <c r="B1442" t="s">
        <v>8184</v>
      </c>
      <c r="C1442" t="s">
        <v>6473</v>
      </c>
      <c r="D1442" t="s">
        <v>1027</v>
      </c>
      <c r="E1442">
        <v>33419</v>
      </c>
      <c r="F1442" t="s">
        <v>6474</v>
      </c>
      <c r="G1442" t="b">
        <v>0</v>
      </c>
      <c r="H1442" t="b">
        <v>0</v>
      </c>
      <c r="I1442" t="s">
        <v>1051</v>
      </c>
      <c r="J1442">
        <v>78</v>
      </c>
      <c r="K1442" t="s">
        <v>0</v>
      </c>
      <c r="L1442" t="s">
        <v>3000</v>
      </c>
      <c r="M1442" t="s">
        <v>1548</v>
      </c>
      <c r="N1442" t="s">
        <v>1548</v>
      </c>
      <c r="O1442" t="s">
        <v>1548</v>
      </c>
      <c r="P1442" s="36" t="s">
        <v>6448</v>
      </c>
    </row>
    <row r="1443" spans="1:16" ht="409.5" x14ac:dyDescent="0.25">
      <c r="A1443" t="s">
        <v>8187</v>
      </c>
      <c r="B1443" t="s">
        <v>8188</v>
      </c>
      <c r="C1443" t="s">
        <v>6446</v>
      </c>
      <c r="D1443" t="s">
        <v>1027</v>
      </c>
      <c r="E1443">
        <v>1402</v>
      </c>
      <c r="F1443" t="s">
        <v>6447</v>
      </c>
      <c r="G1443" t="b">
        <v>0</v>
      </c>
      <c r="H1443" t="b">
        <v>0</v>
      </c>
      <c r="I1443" t="s">
        <v>1051</v>
      </c>
      <c r="J1443">
        <v>78</v>
      </c>
      <c r="K1443" t="s">
        <v>0</v>
      </c>
      <c r="L1443" t="s">
        <v>3000</v>
      </c>
      <c r="M1443" t="s">
        <v>1548</v>
      </c>
      <c r="N1443" t="s">
        <v>1548</v>
      </c>
      <c r="O1443" t="s">
        <v>1548</v>
      </c>
      <c r="P1443" s="36" t="s">
        <v>6448</v>
      </c>
    </row>
    <row r="1444" spans="1:16" ht="409.5" x14ac:dyDescent="0.25">
      <c r="A1444" t="s">
        <v>8189</v>
      </c>
      <c r="B1444" t="s">
        <v>8190</v>
      </c>
      <c r="C1444" t="s">
        <v>6446</v>
      </c>
      <c r="D1444" t="s">
        <v>1027</v>
      </c>
      <c r="E1444">
        <v>1402</v>
      </c>
      <c r="F1444" t="s">
        <v>6447</v>
      </c>
      <c r="G1444" t="b">
        <v>0</v>
      </c>
      <c r="H1444" t="b">
        <v>0</v>
      </c>
      <c r="I1444" t="s">
        <v>1051</v>
      </c>
      <c r="J1444">
        <v>78</v>
      </c>
      <c r="K1444" t="s">
        <v>0</v>
      </c>
      <c r="L1444" t="s">
        <v>3000</v>
      </c>
      <c r="M1444" t="s">
        <v>1548</v>
      </c>
      <c r="N1444" t="s">
        <v>1548</v>
      </c>
      <c r="O1444" t="s">
        <v>1548</v>
      </c>
      <c r="P1444" s="36" t="s">
        <v>6448</v>
      </c>
    </row>
    <row r="1445" spans="1:16" ht="409.5" x14ac:dyDescent="0.25">
      <c r="A1445" t="s">
        <v>8191</v>
      </c>
      <c r="B1445" t="s">
        <v>8190</v>
      </c>
      <c r="C1445" t="s">
        <v>6446</v>
      </c>
      <c r="D1445" t="s">
        <v>1027</v>
      </c>
      <c r="E1445">
        <v>1402</v>
      </c>
      <c r="F1445" t="s">
        <v>6447</v>
      </c>
      <c r="G1445" t="b">
        <v>0</v>
      </c>
      <c r="H1445" t="b">
        <v>0</v>
      </c>
      <c r="I1445" t="s">
        <v>1051</v>
      </c>
      <c r="J1445">
        <v>78</v>
      </c>
      <c r="K1445" t="s">
        <v>0</v>
      </c>
      <c r="L1445" t="s">
        <v>3000</v>
      </c>
      <c r="M1445" t="s">
        <v>1548</v>
      </c>
      <c r="N1445" t="s">
        <v>1548</v>
      </c>
      <c r="O1445" t="s">
        <v>1548</v>
      </c>
      <c r="P1445" s="36" t="s">
        <v>6448</v>
      </c>
    </row>
    <row r="1446" spans="1:16" ht="409.5" x14ac:dyDescent="0.25">
      <c r="A1446" t="s">
        <v>8192</v>
      </c>
      <c r="B1446" t="s">
        <v>8188</v>
      </c>
      <c r="C1446" t="s">
        <v>6446</v>
      </c>
      <c r="D1446" t="s">
        <v>1027</v>
      </c>
      <c r="E1446">
        <v>1402</v>
      </c>
      <c r="F1446" t="s">
        <v>6447</v>
      </c>
      <c r="G1446" t="b">
        <v>0</v>
      </c>
      <c r="H1446" t="b">
        <v>0</v>
      </c>
      <c r="I1446" t="s">
        <v>1051</v>
      </c>
      <c r="J1446">
        <v>78</v>
      </c>
      <c r="K1446" t="s">
        <v>0</v>
      </c>
      <c r="L1446" t="s">
        <v>3000</v>
      </c>
      <c r="M1446" t="s">
        <v>1548</v>
      </c>
      <c r="N1446" t="s">
        <v>1548</v>
      </c>
      <c r="O1446" t="s">
        <v>1548</v>
      </c>
      <c r="P1446" s="36" t="s">
        <v>6448</v>
      </c>
    </row>
    <row r="1447" spans="1:16" ht="409.5" x14ac:dyDescent="0.25">
      <c r="A1447" t="s">
        <v>8193</v>
      </c>
      <c r="B1447" t="s">
        <v>8190</v>
      </c>
      <c r="C1447" t="s">
        <v>6446</v>
      </c>
      <c r="D1447" t="s">
        <v>1027</v>
      </c>
      <c r="E1447">
        <v>1402</v>
      </c>
      <c r="F1447" t="s">
        <v>6447</v>
      </c>
      <c r="G1447" t="b">
        <v>0</v>
      </c>
      <c r="H1447" t="b">
        <v>0</v>
      </c>
      <c r="I1447" t="s">
        <v>1051</v>
      </c>
      <c r="J1447">
        <v>78</v>
      </c>
      <c r="K1447" t="s">
        <v>0</v>
      </c>
      <c r="L1447" t="s">
        <v>3000</v>
      </c>
      <c r="M1447" t="s">
        <v>1548</v>
      </c>
      <c r="N1447" t="s">
        <v>1548</v>
      </c>
      <c r="O1447" t="s">
        <v>1548</v>
      </c>
      <c r="P1447" s="36" t="s">
        <v>6448</v>
      </c>
    </row>
    <row r="1448" spans="1:16" ht="409.5" x14ac:dyDescent="0.25">
      <c r="A1448" t="s">
        <v>8194</v>
      </c>
      <c r="B1448" t="s">
        <v>8190</v>
      </c>
      <c r="C1448" t="s">
        <v>6446</v>
      </c>
      <c r="D1448" t="s">
        <v>1027</v>
      </c>
      <c r="E1448">
        <v>1402</v>
      </c>
      <c r="F1448" t="s">
        <v>6447</v>
      </c>
      <c r="G1448" t="b">
        <v>0</v>
      </c>
      <c r="H1448" t="b">
        <v>0</v>
      </c>
      <c r="I1448" t="s">
        <v>1051</v>
      </c>
      <c r="J1448">
        <v>78</v>
      </c>
      <c r="K1448" t="s">
        <v>0</v>
      </c>
      <c r="L1448" t="s">
        <v>3000</v>
      </c>
      <c r="M1448" t="s">
        <v>1548</v>
      </c>
      <c r="N1448" t="s">
        <v>1548</v>
      </c>
      <c r="O1448" t="s">
        <v>1548</v>
      </c>
      <c r="P1448" s="36" t="s">
        <v>6448</v>
      </c>
    </row>
    <row r="1449" spans="1:16" ht="409.5" x14ac:dyDescent="0.25">
      <c r="A1449" t="s">
        <v>8195</v>
      </c>
      <c r="B1449" t="s">
        <v>8190</v>
      </c>
      <c r="C1449" t="s">
        <v>6446</v>
      </c>
      <c r="D1449" t="s">
        <v>1027</v>
      </c>
      <c r="E1449">
        <v>1402</v>
      </c>
      <c r="F1449" t="s">
        <v>6447</v>
      </c>
      <c r="G1449" t="b">
        <v>0</v>
      </c>
      <c r="H1449" t="b">
        <v>0</v>
      </c>
      <c r="I1449" t="s">
        <v>1051</v>
      </c>
      <c r="J1449">
        <v>78</v>
      </c>
      <c r="K1449" t="s">
        <v>0</v>
      </c>
      <c r="L1449" t="s">
        <v>3000</v>
      </c>
      <c r="M1449" t="s">
        <v>1548</v>
      </c>
      <c r="N1449" t="s">
        <v>1548</v>
      </c>
      <c r="O1449" t="s">
        <v>1548</v>
      </c>
      <c r="P1449" s="36" t="s">
        <v>6448</v>
      </c>
    </row>
    <row r="1450" spans="1:16" ht="409.5" x14ac:dyDescent="0.25">
      <c r="A1450" t="s">
        <v>8196</v>
      </c>
      <c r="B1450" t="s">
        <v>8190</v>
      </c>
      <c r="C1450" t="s">
        <v>6446</v>
      </c>
      <c r="D1450" t="s">
        <v>1027</v>
      </c>
      <c r="E1450">
        <v>1402</v>
      </c>
      <c r="F1450" t="s">
        <v>6447</v>
      </c>
      <c r="G1450" t="b">
        <v>0</v>
      </c>
      <c r="H1450" t="b">
        <v>0</v>
      </c>
      <c r="I1450" t="s">
        <v>1051</v>
      </c>
      <c r="J1450">
        <v>78</v>
      </c>
      <c r="K1450" t="s">
        <v>0</v>
      </c>
      <c r="L1450" t="s">
        <v>3000</v>
      </c>
      <c r="M1450" t="s">
        <v>1548</v>
      </c>
      <c r="N1450" t="s">
        <v>1548</v>
      </c>
      <c r="O1450" t="s">
        <v>1548</v>
      </c>
      <c r="P1450" s="36" t="s">
        <v>6448</v>
      </c>
    </row>
    <row r="1451" spans="1:16" ht="409.5" x14ac:dyDescent="0.25">
      <c r="A1451" t="s">
        <v>8197</v>
      </c>
      <c r="B1451" t="s">
        <v>8190</v>
      </c>
      <c r="C1451" t="s">
        <v>6446</v>
      </c>
      <c r="D1451" t="s">
        <v>1027</v>
      </c>
      <c r="E1451">
        <v>1402</v>
      </c>
      <c r="F1451" t="s">
        <v>6447</v>
      </c>
      <c r="G1451" t="b">
        <v>0</v>
      </c>
      <c r="H1451" t="b">
        <v>0</v>
      </c>
      <c r="I1451" t="s">
        <v>1051</v>
      </c>
      <c r="J1451">
        <v>78</v>
      </c>
      <c r="K1451" t="s">
        <v>0</v>
      </c>
      <c r="L1451" t="s">
        <v>3000</v>
      </c>
      <c r="M1451" t="s">
        <v>1548</v>
      </c>
      <c r="N1451" t="s">
        <v>1548</v>
      </c>
      <c r="O1451" t="s">
        <v>1548</v>
      </c>
      <c r="P1451" s="36" t="s">
        <v>6448</v>
      </c>
    </row>
    <row r="1452" spans="1:16" ht="409.5" x14ac:dyDescent="0.25">
      <c r="A1452" t="s">
        <v>8198</v>
      </c>
      <c r="B1452" t="s">
        <v>8190</v>
      </c>
      <c r="C1452" t="s">
        <v>6446</v>
      </c>
      <c r="D1452" t="s">
        <v>1027</v>
      </c>
      <c r="E1452">
        <v>1402</v>
      </c>
      <c r="F1452" t="s">
        <v>6447</v>
      </c>
      <c r="G1452" t="b">
        <v>0</v>
      </c>
      <c r="H1452" t="b">
        <v>0</v>
      </c>
      <c r="I1452" t="s">
        <v>1051</v>
      </c>
      <c r="J1452">
        <v>78</v>
      </c>
      <c r="K1452" t="s">
        <v>0</v>
      </c>
      <c r="L1452" t="s">
        <v>3000</v>
      </c>
      <c r="M1452" t="s">
        <v>1548</v>
      </c>
      <c r="N1452" t="s">
        <v>1548</v>
      </c>
      <c r="O1452" t="s">
        <v>1548</v>
      </c>
      <c r="P1452" s="36" t="s">
        <v>6448</v>
      </c>
    </row>
    <row r="1453" spans="1:16" ht="409.5" x14ac:dyDescent="0.25">
      <c r="A1453" t="s">
        <v>8199</v>
      </c>
      <c r="B1453" t="s">
        <v>8200</v>
      </c>
      <c r="C1453" t="s">
        <v>6446</v>
      </c>
      <c r="D1453" t="s">
        <v>1027</v>
      </c>
      <c r="E1453">
        <v>1402</v>
      </c>
      <c r="F1453" t="s">
        <v>6447</v>
      </c>
      <c r="G1453" t="b">
        <v>0</v>
      </c>
      <c r="H1453" t="b">
        <v>0</v>
      </c>
      <c r="I1453" t="s">
        <v>1051</v>
      </c>
      <c r="J1453">
        <v>78</v>
      </c>
      <c r="K1453" t="s">
        <v>0</v>
      </c>
      <c r="L1453" t="s">
        <v>3000</v>
      </c>
      <c r="M1453" t="s">
        <v>1548</v>
      </c>
      <c r="N1453" t="s">
        <v>1548</v>
      </c>
      <c r="O1453" t="s">
        <v>1548</v>
      </c>
      <c r="P1453" s="36" t="s">
        <v>6448</v>
      </c>
    </row>
    <row r="1454" spans="1:16" ht="409.5" x14ac:dyDescent="0.25">
      <c r="A1454" t="s">
        <v>8201</v>
      </c>
      <c r="B1454" t="s">
        <v>8200</v>
      </c>
      <c r="C1454" t="s">
        <v>6446</v>
      </c>
      <c r="D1454" t="s">
        <v>1027</v>
      </c>
      <c r="E1454">
        <v>1402</v>
      </c>
      <c r="F1454" t="s">
        <v>6447</v>
      </c>
      <c r="G1454" t="b">
        <v>0</v>
      </c>
      <c r="H1454" t="b">
        <v>0</v>
      </c>
      <c r="I1454" t="s">
        <v>1051</v>
      </c>
      <c r="J1454">
        <v>78</v>
      </c>
      <c r="K1454" t="s">
        <v>0</v>
      </c>
      <c r="L1454" t="s">
        <v>3000</v>
      </c>
      <c r="M1454" t="s">
        <v>1548</v>
      </c>
      <c r="N1454" t="s">
        <v>1548</v>
      </c>
      <c r="O1454" t="s">
        <v>1548</v>
      </c>
      <c r="P1454" s="36" t="s">
        <v>6448</v>
      </c>
    </row>
    <row r="1455" spans="1:16" ht="409.5" x14ac:dyDescent="0.25">
      <c r="A1455" t="s">
        <v>8202</v>
      </c>
      <c r="B1455" t="s">
        <v>8203</v>
      </c>
      <c r="C1455" t="s">
        <v>6446</v>
      </c>
      <c r="D1455" t="s">
        <v>1027</v>
      </c>
      <c r="E1455">
        <v>1402</v>
      </c>
      <c r="F1455" t="s">
        <v>6447</v>
      </c>
      <c r="G1455" t="b">
        <v>0</v>
      </c>
      <c r="H1455" t="b">
        <v>0</v>
      </c>
      <c r="I1455" t="s">
        <v>1051</v>
      </c>
      <c r="J1455">
        <v>78</v>
      </c>
      <c r="K1455" t="s">
        <v>0</v>
      </c>
      <c r="L1455" t="s">
        <v>3000</v>
      </c>
      <c r="M1455" t="s">
        <v>1548</v>
      </c>
      <c r="N1455" t="s">
        <v>1548</v>
      </c>
      <c r="O1455" t="s">
        <v>1548</v>
      </c>
      <c r="P1455" s="36" t="s">
        <v>6448</v>
      </c>
    </row>
    <row r="1456" spans="1:16" ht="409.5" x14ac:dyDescent="0.25">
      <c r="A1456" t="s">
        <v>8204</v>
      </c>
      <c r="B1456" t="s">
        <v>8205</v>
      </c>
      <c r="C1456" t="s">
        <v>6446</v>
      </c>
      <c r="D1456" t="s">
        <v>1027</v>
      </c>
      <c r="E1456">
        <v>1402</v>
      </c>
      <c r="F1456" t="s">
        <v>6447</v>
      </c>
      <c r="G1456" t="b">
        <v>0</v>
      </c>
      <c r="H1456" t="b">
        <v>0</v>
      </c>
      <c r="I1456" t="s">
        <v>1051</v>
      </c>
      <c r="J1456">
        <v>78</v>
      </c>
      <c r="K1456" t="s">
        <v>0</v>
      </c>
      <c r="L1456" t="s">
        <v>3000</v>
      </c>
      <c r="M1456" t="s">
        <v>1548</v>
      </c>
      <c r="N1456" t="s">
        <v>1548</v>
      </c>
      <c r="O1456" t="s">
        <v>1548</v>
      </c>
      <c r="P1456" s="36" t="s">
        <v>6448</v>
      </c>
    </row>
    <row r="1457" spans="1:16" ht="409.5" x14ac:dyDescent="0.25">
      <c r="A1457" t="s">
        <v>8206</v>
      </c>
      <c r="B1457" t="s">
        <v>8203</v>
      </c>
      <c r="C1457" t="s">
        <v>6446</v>
      </c>
      <c r="D1457" t="s">
        <v>1027</v>
      </c>
      <c r="E1457">
        <v>1402</v>
      </c>
      <c r="F1457" t="s">
        <v>6447</v>
      </c>
      <c r="G1457" t="b">
        <v>0</v>
      </c>
      <c r="H1457" t="b">
        <v>0</v>
      </c>
      <c r="I1457" t="s">
        <v>1051</v>
      </c>
      <c r="J1457">
        <v>78</v>
      </c>
      <c r="K1457" t="s">
        <v>0</v>
      </c>
      <c r="L1457" t="s">
        <v>3000</v>
      </c>
      <c r="M1457" t="s">
        <v>1548</v>
      </c>
      <c r="N1457" t="s">
        <v>1548</v>
      </c>
      <c r="O1457" t="s">
        <v>1548</v>
      </c>
      <c r="P1457" s="36" t="s">
        <v>6448</v>
      </c>
    </row>
    <row r="1458" spans="1:16" ht="409.5" x14ac:dyDescent="0.25">
      <c r="A1458" t="s">
        <v>8207</v>
      </c>
      <c r="B1458" t="s">
        <v>8205</v>
      </c>
      <c r="C1458" t="s">
        <v>6446</v>
      </c>
      <c r="D1458" t="s">
        <v>1027</v>
      </c>
      <c r="E1458">
        <v>1402</v>
      </c>
      <c r="F1458" t="s">
        <v>6447</v>
      </c>
      <c r="G1458" t="b">
        <v>0</v>
      </c>
      <c r="H1458" t="b">
        <v>0</v>
      </c>
      <c r="I1458" t="s">
        <v>1051</v>
      </c>
      <c r="J1458">
        <v>78</v>
      </c>
      <c r="K1458" t="s">
        <v>0</v>
      </c>
      <c r="L1458" t="s">
        <v>3000</v>
      </c>
      <c r="M1458" t="s">
        <v>1548</v>
      </c>
      <c r="N1458" t="s">
        <v>1548</v>
      </c>
      <c r="O1458" t="s">
        <v>1548</v>
      </c>
      <c r="P1458" s="36" t="s">
        <v>6448</v>
      </c>
    </row>
    <row r="1459" spans="1:16" ht="409.5" x14ac:dyDescent="0.25">
      <c r="A1459" t="s">
        <v>8208</v>
      </c>
      <c r="B1459" t="s">
        <v>8188</v>
      </c>
      <c r="C1459" t="s">
        <v>6446</v>
      </c>
      <c r="D1459" t="s">
        <v>1027</v>
      </c>
      <c r="E1459">
        <v>1402</v>
      </c>
      <c r="F1459" t="s">
        <v>6447</v>
      </c>
      <c r="G1459" t="b">
        <v>0</v>
      </c>
      <c r="H1459" t="b">
        <v>0</v>
      </c>
      <c r="I1459" t="s">
        <v>1051</v>
      </c>
      <c r="J1459">
        <v>78</v>
      </c>
      <c r="K1459" t="s">
        <v>0</v>
      </c>
      <c r="L1459" t="s">
        <v>3000</v>
      </c>
      <c r="M1459" t="s">
        <v>1548</v>
      </c>
      <c r="N1459" t="s">
        <v>1548</v>
      </c>
      <c r="O1459" t="s">
        <v>1548</v>
      </c>
      <c r="P1459" s="36" t="s">
        <v>6448</v>
      </c>
    </row>
    <row r="1460" spans="1:16" ht="409.5" x14ac:dyDescent="0.25">
      <c r="A1460" t="s">
        <v>8209</v>
      </c>
      <c r="B1460" t="s">
        <v>8188</v>
      </c>
      <c r="C1460" t="s">
        <v>6446</v>
      </c>
      <c r="D1460" t="s">
        <v>1027</v>
      </c>
      <c r="E1460">
        <v>1402</v>
      </c>
      <c r="F1460" t="s">
        <v>6447</v>
      </c>
      <c r="G1460" t="b">
        <v>0</v>
      </c>
      <c r="H1460" t="b">
        <v>0</v>
      </c>
      <c r="I1460" t="s">
        <v>1051</v>
      </c>
      <c r="J1460">
        <v>78</v>
      </c>
      <c r="K1460" t="s">
        <v>0</v>
      </c>
      <c r="L1460" t="s">
        <v>3000</v>
      </c>
      <c r="M1460" t="s">
        <v>1548</v>
      </c>
      <c r="N1460" t="s">
        <v>1548</v>
      </c>
      <c r="O1460" t="s">
        <v>1548</v>
      </c>
      <c r="P1460" s="36" t="s">
        <v>6448</v>
      </c>
    </row>
    <row r="1461" spans="1:16" ht="409.5" x14ac:dyDescent="0.25">
      <c r="A1461" t="s">
        <v>8210</v>
      </c>
      <c r="B1461" t="s">
        <v>8182</v>
      </c>
      <c r="C1461" t="s">
        <v>6473</v>
      </c>
      <c r="D1461" t="s">
        <v>1075</v>
      </c>
      <c r="E1461">
        <v>33419</v>
      </c>
      <c r="F1461" t="s">
        <v>6474</v>
      </c>
      <c r="G1461" t="b">
        <v>0</v>
      </c>
      <c r="H1461" t="b">
        <v>0</v>
      </c>
      <c r="I1461" t="s">
        <v>1051</v>
      </c>
      <c r="J1461">
        <v>78</v>
      </c>
      <c r="K1461" t="s">
        <v>0</v>
      </c>
      <c r="L1461" t="s">
        <v>3000</v>
      </c>
      <c r="M1461" t="s">
        <v>1548</v>
      </c>
      <c r="N1461" t="s">
        <v>1548</v>
      </c>
      <c r="O1461" t="s">
        <v>1548</v>
      </c>
      <c r="P1461" s="36" t="s">
        <v>6448</v>
      </c>
    </row>
    <row r="1462" spans="1:16" ht="409.5" x14ac:dyDescent="0.25">
      <c r="A1462" t="s">
        <v>8211</v>
      </c>
      <c r="B1462" t="s">
        <v>8212</v>
      </c>
      <c r="C1462" t="s">
        <v>6503</v>
      </c>
      <c r="D1462" t="s">
        <v>1027</v>
      </c>
      <c r="E1462">
        <v>1488</v>
      </c>
      <c r="F1462" t="s">
        <v>6504</v>
      </c>
      <c r="G1462" t="b">
        <v>0</v>
      </c>
      <c r="H1462" t="b">
        <v>0</v>
      </c>
      <c r="I1462" t="s">
        <v>1051</v>
      </c>
      <c r="J1462">
        <v>78</v>
      </c>
      <c r="K1462" t="s">
        <v>0</v>
      </c>
      <c r="L1462" t="s">
        <v>3000</v>
      </c>
      <c r="M1462" t="s">
        <v>1548</v>
      </c>
      <c r="N1462" t="s">
        <v>1548</v>
      </c>
      <c r="O1462" t="s">
        <v>1548</v>
      </c>
      <c r="P1462" s="36" t="s">
        <v>6505</v>
      </c>
    </row>
    <row r="1463" spans="1:16" ht="409.5" x14ac:dyDescent="0.25">
      <c r="A1463" t="s">
        <v>8213</v>
      </c>
      <c r="B1463" t="s">
        <v>8214</v>
      </c>
      <c r="C1463" t="s">
        <v>6503</v>
      </c>
      <c r="D1463" t="s">
        <v>1027</v>
      </c>
      <c r="E1463">
        <v>1488</v>
      </c>
      <c r="F1463" t="s">
        <v>6504</v>
      </c>
      <c r="G1463" t="b">
        <v>0</v>
      </c>
      <c r="H1463" t="b">
        <v>0</v>
      </c>
      <c r="I1463" t="s">
        <v>1051</v>
      </c>
      <c r="J1463">
        <v>81</v>
      </c>
      <c r="K1463" t="s">
        <v>0</v>
      </c>
      <c r="L1463" t="s">
        <v>3000</v>
      </c>
      <c r="M1463" t="s">
        <v>1548</v>
      </c>
      <c r="N1463" t="s">
        <v>1548</v>
      </c>
      <c r="O1463" t="s">
        <v>1548</v>
      </c>
      <c r="P1463" s="36" t="s">
        <v>6505</v>
      </c>
    </row>
    <row r="1464" spans="1:16" ht="409.5" x14ac:dyDescent="0.25">
      <c r="A1464" t="s">
        <v>8215</v>
      </c>
      <c r="B1464" t="s">
        <v>8216</v>
      </c>
      <c r="C1464" t="s">
        <v>6503</v>
      </c>
      <c r="D1464" t="s">
        <v>1027</v>
      </c>
      <c r="E1464">
        <v>1488</v>
      </c>
      <c r="F1464" t="s">
        <v>6504</v>
      </c>
      <c r="G1464" t="b">
        <v>0</v>
      </c>
      <c r="H1464" t="b">
        <v>0</v>
      </c>
      <c r="I1464" t="s">
        <v>1051</v>
      </c>
      <c r="J1464">
        <v>81</v>
      </c>
      <c r="K1464" t="s">
        <v>0</v>
      </c>
      <c r="L1464" t="s">
        <v>3000</v>
      </c>
      <c r="M1464" t="s">
        <v>1548</v>
      </c>
      <c r="N1464" t="s">
        <v>1548</v>
      </c>
      <c r="O1464" t="s">
        <v>1548</v>
      </c>
      <c r="P1464" s="36" t="s">
        <v>6505</v>
      </c>
    </row>
    <row r="1465" spans="1:16" ht="409.5" x14ac:dyDescent="0.25">
      <c r="A1465" t="s">
        <v>8217</v>
      </c>
      <c r="B1465" t="s">
        <v>8218</v>
      </c>
      <c r="C1465" t="s">
        <v>6473</v>
      </c>
      <c r="D1465" t="s">
        <v>1027</v>
      </c>
      <c r="E1465">
        <v>33419</v>
      </c>
      <c r="F1465" t="s">
        <v>6474</v>
      </c>
      <c r="G1465" t="b">
        <v>0</v>
      </c>
      <c r="H1465" t="b">
        <v>0</v>
      </c>
      <c r="I1465" t="s">
        <v>1051</v>
      </c>
      <c r="J1465">
        <v>78</v>
      </c>
      <c r="K1465" t="s">
        <v>0</v>
      </c>
      <c r="L1465" t="s">
        <v>3000</v>
      </c>
      <c r="M1465" t="s">
        <v>1548</v>
      </c>
      <c r="N1465" t="s">
        <v>1548</v>
      </c>
      <c r="O1465" t="s">
        <v>1548</v>
      </c>
      <c r="P1465" s="36" t="s">
        <v>6448</v>
      </c>
    </row>
    <row r="1466" spans="1:16" ht="409.5" x14ac:dyDescent="0.25">
      <c r="A1466" t="s">
        <v>8219</v>
      </c>
      <c r="B1466" t="s">
        <v>8218</v>
      </c>
      <c r="C1466" t="s">
        <v>6473</v>
      </c>
      <c r="D1466" t="s">
        <v>1027</v>
      </c>
      <c r="E1466">
        <v>33419</v>
      </c>
      <c r="F1466" t="s">
        <v>6474</v>
      </c>
      <c r="G1466" t="b">
        <v>0</v>
      </c>
      <c r="H1466" t="b">
        <v>0</v>
      </c>
      <c r="I1466" t="s">
        <v>1051</v>
      </c>
      <c r="J1466">
        <v>78</v>
      </c>
      <c r="K1466" t="s">
        <v>0</v>
      </c>
      <c r="L1466" t="s">
        <v>3000</v>
      </c>
      <c r="M1466" t="s">
        <v>1548</v>
      </c>
      <c r="N1466" t="s">
        <v>1548</v>
      </c>
      <c r="O1466" t="s">
        <v>1548</v>
      </c>
      <c r="P1466" s="36" t="s">
        <v>6448</v>
      </c>
    </row>
    <row r="1467" spans="1:16" ht="409.5" x14ac:dyDescent="0.25">
      <c r="A1467" t="s">
        <v>8220</v>
      </c>
      <c r="B1467" t="s">
        <v>8221</v>
      </c>
      <c r="C1467" t="s">
        <v>6473</v>
      </c>
      <c r="D1467" t="s">
        <v>1027</v>
      </c>
      <c r="E1467">
        <v>33419</v>
      </c>
      <c r="F1467" t="s">
        <v>6474</v>
      </c>
      <c r="G1467" t="b">
        <v>0</v>
      </c>
      <c r="H1467" t="b">
        <v>0</v>
      </c>
      <c r="I1467" t="s">
        <v>1051</v>
      </c>
      <c r="J1467">
        <v>78</v>
      </c>
      <c r="K1467" t="s">
        <v>0</v>
      </c>
      <c r="L1467" t="s">
        <v>3000</v>
      </c>
      <c r="M1467" t="s">
        <v>1548</v>
      </c>
      <c r="N1467" t="s">
        <v>1548</v>
      </c>
      <c r="O1467" t="s">
        <v>1548</v>
      </c>
      <c r="P1467" s="36" t="s">
        <v>6448</v>
      </c>
    </row>
    <row r="1468" spans="1:16" ht="409.5" x14ac:dyDescent="0.25">
      <c r="A1468" t="s">
        <v>8222</v>
      </c>
      <c r="B1468" t="s">
        <v>8223</v>
      </c>
      <c r="C1468" t="s">
        <v>6473</v>
      </c>
      <c r="D1468" t="s">
        <v>1027</v>
      </c>
      <c r="E1468">
        <v>33419</v>
      </c>
      <c r="F1468" t="s">
        <v>6474</v>
      </c>
      <c r="G1468" t="b">
        <v>0</v>
      </c>
      <c r="H1468" t="b">
        <v>0</v>
      </c>
      <c r="I1468" t="s">
        <v>1051</v>
      </c>
      <c r="J1468">
        <v>78</v>
      </c>
      <c r="K1468" t="s">
        <v>0</v>
      </c>
      <c r="L1468" t="s">
        <v>3000</v>
      </c>
      <c r="M1468" t="s">
        <v>1548</v>
      </c>
      <c r="N1468" t="s">
        <v>1548</v>
      </c>
      <c r="O1468" t="s">
        <v>1548</v>
      </c>
      <c r="P1468" s="36" t="s">
        <v>6448</v>
      </c>
    </row>
    <row r="1469" spans="1:16" ht="409.5" x14ac:dyDescent="0.25">
      <c r="A1469" t="s">
        <v>8224</v>
      </c>
      <c r="B1469" t="s">
        <v>8223</v>
      </c>
      <c r="C1469" t="s">
        <v>6473</v>
      </c>
      <c r="D1469" t="s">
        <v>1027</v>
      </c>
      <c r="E1469">
        <v>33419</v>
      </c>
      <c r="F1469" t="s">
        <v>6474</v>
      </c>
      <c r="G1469" t="b">
        <v>0</v>
      </c>
      <c r="H1469" t="b">
        <v>0</v>
      </c>
      <c r="I1469" t="s">
        <v>1051</v>
      </c>
      <c r="J1469">
        <v>78</v>
      </c>
      <c r="K1469" t="s">
        <v>0</v>
      </c>
      <c r="L1469" t="s">
        <v>3000</v>
      </c>
      <c r="M1469" t="s">
        <v>1548</v>
      </c>
      <c r="N1469" t="s">
        <v>1548</v>
      </c>
      <c r="O1469" t="s">
        <v>1548</v>
      </c>
      <c r="P1469" s="36" t="s">
        <v>6448</v>
      </c>
    </row>
    <row r="1470" spans="1:16" ht="409.5" x14ac:dyDescent="0.25">
      <c r="A1470" t="s">
        <v>8225</v>
      </c>
      <c r="B1470" t="s">
        <v>8226</v>
      </c>
      <c r="C1470" t="s">
        <v>6446</v>
      </c>
      <c r="D1470" t="s">
        <v>1027</v>
      </c>
      <c r="E1470">
        <v>1402</v>
      </c>
      <c r="F1470" t="s">
        <v>6447</v>
      </c>
      <c r="G1470" t="b">
        <v>0</v>
      </c>
      <c r="H1470" t="b">
        <v>0</v>
      </c>
      <c r="I1470" t="s">
        <v>1051</v>
      </c>
      <c r="J1470">
        <v>78</v>
      </c>
      <c r="K1470" t="s">
        <v>0</v>
      </c>
      <c r="L1470" t="s">
        <v>3000</v>
      </c>
      <c r="M1470" t="s">
        <v>1548</v>
      </c>
      <c r="N1470" t="s">
        <v>1548</v>
      </c>
      <c r="O1470" t="s">
        <v>1548</v>
      </c>
      <c r="P1470" s="36" t="s">
        <v>6448</v>
      </c>
    </row>
    <row r="1471" spans="1:16" ht="409.5" x14ac:dyDescent="0.25">
      <c r="A1471" t="s">
        <v>8227</v>
      </c>
      <c r="B1471" t="s">
        <v>8226</v>
      </c>
      <c r="C1471" t="s">
        <v>6446</v>
      </c>
      <c r="D1471" t="s">
        <v>1027</v>
      </c>
      <c r="E1471">
        <v>1402</v>
      </c>
      <c r="F1471" t="s">
        <v>6447</v>
      </c>
      <c r="G1471" t="b">
        <v>0</v>
      </c>
      <c r="H1471" t="b">
        <v>0</v>
      </c>
      <c r="I1471" t="s">
        <v>1051</v>
      </c>
      <c r="J1471">
        <v>78</v>
      </c>
      <c r="K1471" t="s">
        <v>0</v>
      </c>
      <c r="L1471" t="s">
        <v>3000</v>
      </c>
      <c r="M1471" t="s">
        <v>1548</v>
      </c>
      <c r="N1471" t="s">
        <v>1548</v>
      </c>
      <c r="O1471" t="s">
        <v>1548</v>
      </c>
      <c r="P1471" s="36" t="s">
        <v>6448</v>
      </c>
    </row>
    <row r="1472" spans="1:16" ht="409.5" x14ac:dyDescent="0.25">
      <c r="A1472" t="s">
        <v>8228</v>
      </c>
      <c r="B1472" t="s">
        <v>8226</v>
      </c>
      <c r="C1472" t="s">
        <v>6446</v>
      </c>
      <c r="D1472" t="s">
        <v>1027</v>
      </c>
      <c r="E1472">
        <v>1402</v>
      </c>
      <c r="F1472" t="s">
        <v>6447</v>
      </c>
      <c r="G1472" t="b">
        <v>0</v>
      </c>
      <c r="H1472" t="b">
        <v>0</v>
      </c>
      <c r="I1472" t="s">
        <v>1051</v>
      </c>
      <c r="J1472">
        <v>78</v>
      </c>
      <c r="K1472" t="s">
        <v>0</v>
      </c>
      <c r="L1472" t="s">
        <v>3000</v>
      </c>
      <c r="M1472" t="s">
        <v>1548</v>
      </c>
      <c r="N1472" t="s">
        <v>1548</v>
      </c>
      <c r="O1472" t="s">
        <v>1548</v>
      </c>
      <c r="P1472" s="36" t="s">
        <v>6448</v>
      </c>
    </row>
    <row r="1473" spans="1:16" ht="409.5" x14ac:dyDescent="0.25">
      <c r="A1473" t="s">
        <v>8229</v>
      </c>
      <c r="B1473" t="s">
        <v>8230</v>
      </c>
      <c r="C1473" t="s">
        <v>6446</v>
      </c>
      <c r="D1473" t="s">
        <v>1027</v>
      </c>
      <c r="E1473">
        <v>1402</v>
      </c>
      <c r="F1473" t="s">
        <v>6447</v>
      </c>
      <c r="G1473" t="b">
        <v>0</v>
      </c>
      <c r="H1473" t="b">
        <v>0</v>
      </c>
      <c r="I1473" t="s">
        <v>1051</v>
      </c>
      <c r="J1473">
        <v>78</v>
      </c>
      <c r="K1473" t="s">
        <v>0</v>
      </c>
      <c r="L1473" t="s">
        <v>3000</v>
      </c>
      <c r="M1473" t="s">
        <v>1548</v>
      </c>
      <c r="N1473" t="s">
        <v>1548</v>
      </c>
      <c r="O1473" t="s">
        <v>1548</v>
      </c>
      <c r="P1473" s="36" t="s">
        <v>6448</v>
      </c>
    </row>
    <row r="1474" spans="1:16" ht="409.5" x14ac:dyDescent="0.25">
      <c r="A1474" t="s">
        <v>8231</v>
      </c>
      <c r="B1474" t="s">
        <v>8230</v>
      </c>
      <c r="C1474" t="s">
        <v>6446</v>
      </c>
      <c r="D1474" t="s">
        <v>1027</v>
      </c>
      <c r="E1474">
        <v>1402</v>
      </c>
      <c r="F1474" t="s">
        <v>6447</v>
      </c>
      <c r="G1474" t="b">
        <v>0</v>
      </c>
      <c r="H1474" t="b">
        <v>0</v>
      </c>
      <c r="I1474" t="s">
        <v>1051</v>
      </c>
      <c r="J1474">
        <v>78</v>
      </c>
      <c r="K1474" t="s">
        <v>0</v>
      </c>
      <c r="L1474" t="s">
        <v>3000</v>
      </c>
      <c r="M1474" t="s">
        <v>1548</v>
      </c>
      <c r="N1474" t="s">
        <v>1548</v>
      </c>
      <c r="O1474" t="s">
        <v>1548</v>
      </c>
      <c r="P1474" s="36" t="s">
        <v>6448</v>
      </c>
    </row>
    <row r="1475" spans="1:16" ht="409.5" x14ac:dyDescent="0.25">
      <c r="A1475" t="s">
        <v>8232</v>
      </c>
      <c r="B1475" t="s">
        <v>8230</v>
      </c>
      <c r="C1475" t="s">
        <v>6446</v>
      </c>
      <c r="D1475" t="s">
        <v>1027</v>
      </c>
      <c r="E1475">
        <v>1402</v>
      </c>
      <c r="F1475" t="s">
        <v>6447</v>
      </c>
      <c r="G1475" t="b">
        <v>0</v>
      </c>
      <c r="H1475" t="b">
        <v>0</v>
      </c>
      <c r="I1475" t="s">
        <v>1051</v>
      </c>
      <c r="J1475">
        <v>78</v>
      </c>
      <c r="K1475" t="s">
        <v>0</v>
      </c>
      <c r="L1475" t="s">
        <v>3000</v>
      </c>
      <c r="M1475" t="s">
        <v>1548</v>
      </c>
      <c r="N1475" t="s">
        <v>1548</v>
      </c>
      <c r="O1475" t="s">
        <v>1548</v>
      </c>
      <c r="P1475" s="36" t="s">
        <v>6448</v>
      </c>
    </row>
    <row r="1476" spans="1:16" ht="409.5" x14ac:dyDescent="0.25">
      <c r="A1476" t="s">
        <v>8233</v>
      </c>
      <c r="B1476" t="s">
        <v>8234</v>
      </c>
      <c r="C1476" t="s">
        <v>6446</v>
      </c>
      <c r="D1476" t="s">
        <v>1027</v>
      </c>
      <c r="E1476">
        <v>1402</v>
      </c>
      <c r="F1476" t="s">
        <v>6447</v>
      </c>
      <c r="G1476" t="b">
        <v>0</v>
      </c>
      <c r="H1476" t="b">
        <v>0</v>
      </c>
      <c r="I1476" t="s">
        <v>1051</v>
      </c>
      <c r="J1476">
        <v>78</v>
      </c>
      <c r="K1476" t="s">
        <v>0</v>
      </c>
      <c r="L1476" t="s">
        <v>3000</v>
      </c>
      <c r="M1476" t="s">
        <v>1548</v>
      </c>
      <c r="N1476" t="s">
        <v>1548</v>
      </c>
      <c r="O1476" t="s">
        <v>1548</v>
      </c>
      <c r="P1476" s="36" t="s">
        <v>6448</v>
      </c>
    </row>
    <row r="1477" spans="1:16" ht="409.5" x14ac:dyDescent="0.25">
      <c r="A1477" t="s">
        <v>8235</v>
      </c>
      <c r="B1477" t="s">
        <v>8230</v>
      </c>
      <c r="C1477" t="s">
        <v>6446</v>
      </c>
      <c r="D1477" t="s">
        <v>1027</v>
      </c>
      <c r="E1477">
        <v>1402</v>
      </c>
      <c r="F1477" t="s">
        <v>6447</v>
      </c>
      <c r="G1477" t="b">
        <v>0</v>
      </c>
      <c r="H1477" t="b">
        <v>0</v>
      </c>
      <c r="I1477" t="s">
        <v>1051</v>
      </c>
      <c r="J1477">
        <v>78</v>
      </c>
      <c r="K1477" t="s">
        <v>0</v>
      </c>
      <c r="L1477" t="s">
        <v>3000</v>
      </c>
      <c r="M1477" t="s">
        <v>1548</v>
      </c>
      <c r="N1477" t="s">
        <v>1548</v>
      </c>
      <c r="O1477" t="s">
        <v>1548</v>
      </c>
      <c r="P1477" s="36" t="s">
        <v>6448</v>
      </c>
    </row>
    <row r="1478" spans="1:16" ht="409.5" x14ac:dyDescent="0.25">
      <c r="A1478" t="s">
        <v>8236</v>
      </c>
      <c r="B1478" t="s">
        <v>8234</v>
      </c>
      <c r="C1478" t="s">
        <v>6446</v>
      </c>
      <c r="D1478" t="s">
        <v>1027</v>
      </c>
      <c r="E1478">
        <v>1402</v>
      </c>
      <c r="F1478" t="s">
        <v>6447</v>
      </c>
      <c r="G1478" t="b">
        <v>0</v>
      </c>
      <c r="H1478" t="b">
        <v>0</v>
      </c>
      <c r="I1478" t="s">
        <v>1051</v>
      </c>
      <c r="J1478">
        <v>78</v>
      </c>
      <c r="K1478" t="s">
        <v>0</v>
      </c>
      <c r="L1478" t="s">
        <v>3000</v>
      </c>
      <c r="M1478" t="s">
        <v>1548</v>
      </c>
      <c r="N1478" t="s">
        <v>1548</v>
      </c>
      <c r="O1478" t="s">
        <v>1548</v>
      </c>
      <c r="P1478" s="36" t="s">
        <v>6448</v>
      </c>
    </row>
    <row r="1479" spans="1:16" ht="409.5" x14ac:dyDescent="0.25">
      <c r="A1479" t="s">
        <v>8237</v>
      </c>
      <c r="B1479" t="s">
        <v>8234</v>
      </c>
      <c r="C1479" t="s">
        <v>6446</v>
      </c>
      <c r="D1479" t="s">
        <v>1027</v>
      </c>
      <c r="E1479">
        <v>1402</v>
      </c>
      <c r="F1479" t="s">
        <v>6447</v>
      </c>
      <c r="G1479" t="b">
        <v>0</v>
      </c>
      <c r="H1479" t="b">
        <v>0</v>
      </c>
      <c r="I1479" t="s">
        <v>1051</v>
      </c>
      <c r="J1479">
        <v>78</v>
      </c>
      <c r="K1479" t="s">
        <v>0</v>
      </c>
      <c r="L1479" t="s">
        <v>3000</v>
      </c>
      <c r="M1479" t="s">
        <v>1548</v>
      </c>
      <c r="N1479" t="s">
        <v>1548</v>
      </c>
      <c r="O1479" t="s">
        <v>1548</v>
      </c>
      <c r="P1479" s="36" t="s">
        <v>6448</v>
      </c>
    </row>
    <row r="1480" spans="1:16" ht="409.5" x14ac:dyDescent="0.25">
      <c r="A1480" t="s">
        <v>8238</v>
      </c>
      <c r="B1480" t="s">
        <v>8234</v>
      </c>
      <c r="C1480" t="s">
        <v>6446</v>
      </c>
      <c r="D1480" t="s">
        <v>1027</v>
      </c>
      <c r="E1480">
        <v>1402</v>
      </c>
      <c r="F1480" t="s">
        <v>6447</v>
      </c>
      <c r="G1480" t="b">
        <v>0</v>
      </c>
      <c r="H1480" t="b">
        <v>0</v>
      </c>
      <c r="I1480" t="s">
        <v>1051</v>
      </c>
      <c r="J1480">
        <v>78</v>
      </c>
      <c r="K1480" t="s">
        <v>0</v>
      </c>
      <c r="L1480" t="s">
        <v>3000</v>
      </c>
      <c r="M1480" t="s">
        <v>1548</v>
      </c>
      <c r="N1480" t="s">
        <v>1548</v>
      </c>
      <c r="O1480" t="s">
        <v>1548</v>
      </c>
      <c r="P1480" s="36" t="s">
        <v>6448</v>
      </c>
    </row>
    <row r="1481" spans="1:16" ht="409.5" x14ac:dyDescent="0.25">
      <c r="A1481" t="s">
        <v>8239</v>
      </c>
      <c r="B1481" t="s">
        <v>8234</v>
      </c>
      <c r="C1481" t="s">
        <v>6446</v>
      </c>
      <c r="D1481" t="s">
        <v>1027</v>
      </c>
      <c r="E1481">
        <v>1402</v>
      </c>
      <c r="F1481" t="s">
        <v>6447</v>
      </c>
      <c r="G1481" t="b">
        <v>0</v>
      </c>
      <c r="H1481" t="b">
        <v>0</v>
      </c>
      <c r="I1481" t="s">
        <v>1051</v>
      </c>
      <c r="J1481">
        <v>78</v>
      </c>
      <c r="K1481" t="s">
        <v>0</v>
      </c>
      <c r="L1481" t="s">
        <v>3000</v>
      </c>
      <c r="M1481" t="s">
        <v>1548</v>
      </c>
      <c r="N1481" t="s">
        <v>1548</v>
      </c>
      <c r="O1481" t="s">
        <v>1548</v>
      </c>
      <c r="P1481" s="36" t="s">
        <v>6448</v>
      </c>
    </row>
    <row r="1482" spans="1:16" ht="409.5" x14ac:dyDescent="0.25">
      <c r="A1482" t="s">
        <v>8240</v>
      </c>
      <c r="B1482" t="s">
        <v>8234</v>
      </c>
      <c r="C1482" t="s">
        <v>6446</v>
      </c>
      <c r="D1482" t="s">
        <v>1027</v>
      </c>
      <c r="E1482">
        <v>1402</v>
      </c>
      <c r="F1482" t="s">
        <v>6447</v>
      </c>
      <c r="G1482" t="b">
        <v>0</v>
      </c>
      <c r="H1482" t="b">
        <v>0</v>
      </c>
      <c r="I1482" t="s">
        <v>1051</v>
      </c>
      <c r="J1482">
        <v>78</v>
      </c>
      <c r="K1482" t="s">
        <v>0</v>
      </c>
      <c r="L1482" t="s">
        <v>3000</v>
      </c>
      <c r="M1482" t="s">
        <v>1548</v>
      </c>
      <c r="N1482" t="s">
        <v>1548</v>
      </c>
      <c r="O1482" t="s">
        <v>1548</v>
      </c>
      <c r="P1482" s="36" t="s">
        <v>6448</v>
      </c>
    </row>
    <row r="1483" spans="1:16" ht="409.5" x14ac:dyDescent="0.25">
      <c r="A1483" t="s">
        <v>8241</v>
      </c>
      <c r="B1483" t="s">
        <v>8234</v>
      </c>
      <c r="C1483" t="s">
        <v>6446</v>
      </c>
      <c r="D1483" t="s">
        <v>1027</v>
      </c>
      <c r="E1483">
        <v>1402</v>
      </c>
      <c r="F1483" t="s">
        <v>6447</v>
      </c>
      <c r="G1483" t="b">
        <v>0</v>
      </c>
      <c r="H1483" t="b">
        <v>0</v>
      </c>
      <c r="I1483" t="s">
        <v>1051</v>
      </c>
      <c r="J1483">
        <v>78</v>
      </c>
      <c r="K1483" t="s">
        <v>0</v>
      </c>
      <c r="L1483" t="s">
        <v>3000</v>
      </c>
      <c r="M1483" t="s">
        <v>1548</v>
      </c>
      <c r="N1483" t="s">
        <v>1548</v>
      </c>
      <c r="O1483" t="s">
        <v>1548</v>
      </c>
      <c r="P1483" s="36" t="s">
        <v>6448</v>
      </c>
    </row>
    <row r="1484" spans="1:16" ht="409.5" x14ac:dyDescent="0.25">
      <c r="A1484" t="s">
        <v>8242</v>
      </c>
      <c r="B1484" t="s">
        <v>8234</v>
      </c>
      <c r="C1484" t="s">
        <v>6446</v>
      </c>
      <c r="D1484" t="s">
        <v>1027</v>
      </c>
      <c r="E1484">
        <v>1402</v>
      </c>
      <c r="F1484" t="s">
        <v>6447</v>
      </c>
      <c r="G1484" t="b">
        <v>0</v>
      </c>
      <c r="H1484" t="b">
        <v>0</v>
      </c>
      <c r="I1484" t="s">
        <v>1051</v>
      </c>
      <c r="J1484">
        <v>78</v>
      </c>
      <c r="K1484" t="s">
        <v>0</v>
      </c>
      <c r="L1484" t="s">
        <v>3000</v>
      </c>
      <c r="M1484" t="s">
        <v>1548</v>
      </c>
      <c r="N1484" t="s">
        <v>1548</v>
      </c>
      <c r="O1484" t="s">
        <v>1548</v>
      </c>
      <c r="P1484" s="36" t="s">
        <v>6448</v>
      </c>
    </row>
    <row r="1485" spans="1:16" ht="409.5" x14ac:dyDescent="0.25">
      <c r="A1485" t="s">
        <v>8243</v>
      </c>
      <c r="B1485" t="s">
        <v>8234</v>
      </c>
      <c r="C1485" t="s">
        <v>6446</v>
      </c>
      <c r="D1485" t="s">
        <v>1027</v>
      </c>
      <c r="E1485">
        <v>1402</v>
      </c>
      <c r="F1485" t="s">
        <v>6447</v>
      </c>
      <c r="G1485" t="b">
        <v>0</v>
      </c>
      <c r="H1485" t="b">
        <v>0</v>
      </c>
      <c r="I1485" t="s">
        <v>1051</v>
      </c>
      <c r="J1485">
        <v>78</v>
      </c>
      <c r="K1485" t="s">
        <v>0</v>
      </c>
      <c r="L1485" t="s">
        <v>3000</v>
      </c>
      <c r="M1485" t="s">
        <v>1548</v>
      </c>
      <c r="N1485" t="s">
        <v>1548</v>
      </c>
      <c r="O1485" t="s">
        <v>1548</v>
      </c>
      <c r="P1485" s="36" t="s">
        <v>6448</v>
      </c>
    </row>
    <row r="1486" spans="1:16" ht="409.5" x14ac:dyDescent="0.25">
      <c r="A1486" t="s">
        <v>8244</v>
      </c>
      <c r="B1486" t="s">
        <v>8234</v>
      </c>
      <c r="C1486" t="s">
        <v>6446</v>
      </c>
      <c r="D1486" t="s">
        <v>1027</v>
      </c>
      <c r="E1486">
        <v>1402</v>
      </c>
      <c r="F1486" t="s">
        <v>6447</v>
      </c>
      <c r="G1486" t="b">
        <v>0</v>
      </c>
      <c r="H1486" t="b">
        <v>0</v>
      </c>
      <c r="I1486" t="s">
        <v>1051</v>
      </c>
      <c r="J1486">
        <v>78</v>
      </c>
      <c r="K1486" t="s">
        <v>0</v>
      </c>
      <c r="L1486" t="s">
        <v>3000</v>
      </c>
      <c r="M1486" t="s">
        <v>1548</v>
      </c>
      <c r="N1486" t="s">
        <v>1548</v>
      </c>
      <c r="O1486" t="s">
        <v>1548</v>
      </c>
      <c r="P1486" s="36" t="s">
        <v>6448</v>
      </c>
    </row>
    <row r="1487" spans="1:16" ht="409.5" x14ac:dyDescent="0.25">
      <c r="A1487" t="s">
        <v>8245</v>
      </c>
      <c r="B1487" t="s">
        <v>8246</v>
      </c>
      <c r="C1487" t="s">
        <v>6446</v>
      </c>
      <c r="D1487" t="s">
        <v>1027</v>
      </c>
      <c r="E1487">
        <v>1402</v>
      </c>
      <c r="F1487" t="s">
        <v>6447</v>
      </c>
      <c r="G1487" t="b">
        <v>0</v>
      </c>
      <c r="H1487" t="b">
        <v>0</v>
      </c>
      <c r="I1487" t="s">
        <v>1051</v>
      </c>
      <c r="J1487">
        <v>78</v>
      </c>
      <c r="K1487" t="s">
        <v>0</v>
      </c>
      <c r="L1487" t="s">
        <v>3000</v>
      </c>
      <c r="M1487" t="s">
        <v>1548</v>
      </c>
      <c r="N1487" t="s">
        <v>1548</v>
      </c>
      <c r="O1487" t="s">
        <v>1548</v>
      </c>
      <c r="P1487" s="36" t="s">
        <v>6448</v>
      </c>
    </row>
    <row r="1488" spans="1:16" ht="409.5" x14ac:dyDescent="0.25">
      <c r="A1488" t="s">
        <v>8247</v>
      </c>
      <c r="B1488" t="s">
        <v>8246</v>
      </c>
      <c r="C1488" t="s">
        <v>6446</v>
      </c>
      <c r="D1488" t="s">
        <v>1027</v>
      </c>
      <c r="E1488">
        <v>1402</v>
      </c>
      <c r="F1488" t="s">
        <v>6447</v>
      </c>
      <c r="G1488" t="b">
        <v>0</v>
      </c>
      <c r="H1488" t="b">
        <v>0</v>
      </c>
      <c r="I1488" t="s">
        <v>1051</v>
      </c>
      <c r="J1488">
        <v>78</v>
      </c>
      <c r="K1488" t="s">
        <v>0</v>
      </c>
      <c r="L1488" t="s">
        <v>3000</v>
      </c>
      <c r="M1488" t="s">
        <v>1548</v>
      </c>
      <c r="N1488" t="s">
        <v>1548</v>
      </c>
      <c r="O1488" t="s">
        <v>1548</v>
      </c>
      <c r="P1488" s="36" t="s">
        <v>6448</v>
      </c>
    </row>
    <row r="1489" spans="1:16" ht="409.5" x14ac:dyDescent="0.25">
      <c r="A1489" t="s">
        <v>8248</v>
      </c>
      <c r="B1489" t="s">
        <v>8246</v>
      </c>
      <c r="C1489" t="s">
        <v>6446</v>
      </c>
      <c r="D1489" t="s">
        <v>1027</v>
      </c>
      <c r="E1489">
        <v>1402</v>
      </c>
      <c r="F1489" t="s">
        <v>6447</v>
      </c>
      <c r="G1489" t="b">
        <v>0</v>
      </c>
      <c r="H1489" t="b">
        <v>0</v>
      </c>
      <c r="I1489" t="s">
        <v>1051</v>
      </c>
      <c r="J1489">
        <v>78</v>
      </c>
      <c r="K1489" t="s">
        <v>0</v>
      </c>
      <c r="L1489" t="s">
        <v>3000</v>
      </c>
      <c r="M1489" t="s">
        <v>1548</v>
      </c>
      <c r="N1489" t="s">
        <v>1548</v>
      </c>
      <c r="O1489" t="s">
        <v>1548</v>
      </c>
      <c r="P1489" s="36" t="s">
        <v>6448</v>
      </c>
    </row>
    <row r="1490" spans="1:16" ht="409.5" x14ac:dyDescent="0.25">
      <c r="A1490" t="s">
        <v>8249</v>
      </c>
      <c r="B1490" t="s">
        <v>8250</v>
      </c>
      <c r="C1490" t="s">
        <v>6446</v>
      </c>
      <c r="D1490" t="s">
        <v>1027</v>
      </c>
      <c r="E1490">
        <v>1402</v>
      </c>
      <c r="F1490" t="s">
        <v>6447</v>
      </c>
      <c r="G1490" t="b">
        <v>0</v>
      </c>
      <c r="H1490" t="b">
        <v>0</v>
      </c>
      <c r="I1490" t="s">
        <v>1051</v>
      </c>
      <c r="J1490">
        <v>78</v>
      </c>
      <c r="K1490" t="s">
        <v>0</v>
      </c>
      <c r="L1490" t="s">
        <v>3000</v>
      </c>
      <c r="M1490" t="s">
        <v>1548</v>
      </c>
      <c r="N1490" t="s">
        <v>1548</v>
      </c>
      <c r="O1490" t="s">
        <v>1548</v>
      </c>
      <c r="P1490" s="36" t="s">
        <v>6448</v>
      </c>
    </row>
    <row r="1491" spans="1:16" ht="409.5" x14ac:dyDescent="0.25">
      <c r="A1491" t="s">
        <v>8251</v>
      </c>
      <c r="B1491" t="s">
        <v>8250</v>
      </c>
      <c r="C1491" t="s">
        <v>6446</v>
      </c>
      <c r="D1491" t="s">
        <v>1027</v>
      </c>
      <c r="E1491">
        <v>1402</v>
      </c>
      <c r="F1491" t="s">
        <v>6447</v>
      </c>
      <c r="G1491" t="b">
        <v>0</v>
      </c>
      <c r="H1491" t="b">
        <v>0</v>
      </c>
      <c r="I1491" t="s">
        <v>1051</v>
      </c>
      <c r="J1491">
        <v>78</v>
      </c>
      <c r="K1491" t="s">
        <v>0</v>
      </c>
      <c r="L1491" t="s">
        <v>3000</v>
      </c>
      <c r="M1491" t="s">
        <v>1548</v>
      </c>
      <c r="N1491" t="s">
        <v>1548</v>
      </c>
      <c r="O1491" t="s">
        <v>1548</v>
      </c>
      <c r="P1491" s="36" t="s">
        <v>6448</v>
      </c>
    </row>
    <row r="1492" spans="1:16" ht="409.5" x14ac:dyDescent="0.25">
      <c r="A1492" t="s">
        <v>8252</v>
      </c>
      <c r="B1492" t="s">
        <v>8250</v>
      </c>
      <c r="C1492" t="s">
        <v>6446</v>
      </c>
      <c r="D1492" t="s">
        <v>1027</v>
      </c>
      <c r="E1492">
        <v>1402</v>
      </c>
      <c r="F1492" t="s">
        <v>6447</v>
      </c>
      <c r="G1492" t="b">
        <v>0</v>
      </c>
      <c r="H1492" t="b">
        <v>0</v>
      </c>
      <c r="I1492" t="s">
        <v>1051</v>
      </c>
      <c r="J1492">
        <v>78</v>
      </c>
      <c r="K1492" t="s">
        <v>0</v>
      </c>
      <c r="L1492" t="s">
        <v>3000</v>
      </c>
      <c r="M1492" t="s">
        <v>1548</v>
      </c>
      <c r="N1492" t="s">
        <v>1548</v>
      </c>
      <c r="O1492" t="s">
        <v>1548</v>
      </c>
      <c r="P1492" s="36" t="s">
        <v>6448</v>
      </c>
    </row>
    <row r="1493" spans="1:16" ht="409.5" x14ac:dyDescent="0.25">
      <c r="A1493" t="s">
        <v>8253</v>
      </c>
      <c r="B1493" t="s">
        <v>8254</v>
      </c>
      <c r="C1493" t="s">
        <v>6446</v>
      </c>
      <c r="D1493" t="s">
        <v>1027</v>
      </c>
      <c r="E1493">
        <v>1402</v>
      </c>
      <c r="F1493" t="s">
        <v>6447</v>
      </c>
      <c r="G1493" t="b">
        <v>0</v>
      </c>
      <c r="H1493" t="b">
        <v>0</v>
      </c>
      <c r="I1493" t="s">
        <v>1051</v>
      </c>
      <c r="J1493">
        <v>78</v>
      </c>
      <c r="K1493" t="s">
        <v>0</v>
      </c>
      <c r="L1493" t="s">
        <v>3000</v>
      </c>
      <c r="M1493" t="s">
        <v>1548</v>
      </c>
      <c r="N1493" t="s">
        <v>1548</v>
      </c>
      <c r="O1493" t="s">
        <v>1548</v>
      </c>
      <c r="P1493" s="36" t="s">
        <v>6448</v>
      </c>
    </row>
    <row r="1494" spans="1:16" ht="409.5" x14ac:dyDescent="0.25">
      <c r="A1494" t="s">
        <v>8255</v>
      </c>
      <c r="B1494" t="s">
        <v>8254</v>
      </c>
      <c r="C1494" t="s">
        <v>6446</v>
      </c>
      <c r="D1494" t="s">
        <v>1027</v>
      </c>
      <c r="E1494">
        <v>1402</v>
      </c>
      <c r="F1494" t="s">
        <v>6447</v>
      </c>
      <c r="G1494" t="b">
        <v>0</v>
      </c>
      <c r="H1494" t="b">
        <v>0</v>
      </c>
      <c r="I1494" t="s">
        <v>1051</v>
      </c>
      <c r="J1494">
        <v>78</v>
      </c>
      <c r="K1494" t="s">
        <v>0</v>
      </c>
      <c r="L1494" t="s">
        <v>3000</v>
      </c>
      <c r="M1494" t="s">
        <v>1548</v>
      </c>
      <c r="N1494" t="s">
        <v>1548</v>
      </c>
      <c r="O1494" t="s">
        <v>1548</v>
      </c>
      <c r="P1494" s="36" t="s">
        <v>6448</v>
      </c>
    </row>
    <row r="1495" spans="1:16" ht="409.5" x14ac:dyDescent="0.25">
      <c r="A1495" t="s">
        <v>8256</v>
      </c>
      <c r="B1495" t="s">
        <v>8257</v>
      </c>
      <c r="C1495" t="s">
        <v>6446</v>
      </c>
      <c r="D1495" t="s">
        <v>1027</v>
      </c>
      <c r="E1495">
        <v>1402</v>
      </c>
      <c r="F1495" t="s">
        <v>6447</v>
      </c>
      <c r="G1495" t="b">
        <v>0</v>
      </c>
      <c r="H1495" t="b">
        <v>0</v>
      </c>
      <c r="I1495" t="s">
        <v>1051</v>
      </c>
      <c r="J1495">
        <v>78</v>
      </c>
      <c r="K1495" t="s">
        <v>0</v>
      </c>
      <c r="L1495" t="s">
        <v>3000</v>
      </c>
      <c r="M1495" t="s">
        <v>1548</v>
      </c>
      <c r="N1495" t="s">
        <v>1548</v>
      </c>
      <c r="O1495" t="s">
        <v>1548</v>
      </c>
      <c r="P1495" s="36" t="s">
        <v>6448</v>
      </c>
    </row>
    <row r="1496" spans="1:16" ht="409.5" x14ac:dyDescent="0.25">
      <c r="A1496" t="s">
        <v>8258</v>
      </c>
      <c r="B1496" t="s">
        <v>8257</v>
      </c>
      <c r="C1496" t="s">
        <v>6446</v>
      </c>
      <c r="D1496" t="s">
        <v>1027</v>
      </c>
      <c r="E1496">
        <v>1402</v>
      </c>
      <c r="F1496" t="s">
        <v>6447</v>
      </c>
      <c r="G1496" t="b">
        <v>0</v>
      </c>
      <c r="H1496" t="b">
        <v>0</v>
      </c>
      <c r="I1496" t="s">
        <v>1051</v>
      </c>
      <c r="J1496">
        <v>78</v>
      </c>
      <c r="K1496" t="s">
        <v>0</v>
      </c>
      <c r="L1496" t="s">
        <v>3000</v>
      </c>
      <c r="M1496" t="s">
        <v>1548</v>
      </c>
      <c r="N1496" t="s">
        <v>1548</v>
      </c>
      <c r="O1496" t="s">
        <v>1548</v>
      </c>
      <c r="P1496" s="36" t="s">
        <v>6448</v>
      </c>
    </row>
    <row r="1497" spans="1:16" ht="409.5" x14ac:dyDescent="0.25">
      <c r="A1497" t="s">
        <v>8259</v>
      </c>
      <c r="B1497" t="s">
        <v>8257</v>
      </c>
      <c r="C1497" t="s">
        <v>6446</v>
      </c>
      <c r="D1497" t="s">
        <v>1027</v>
      </c>
      <c r="E1497">
        <v>1402</v>
      </c>
      <c r="F1497" t="s">
        <v>6447</v>
      </c>
      <c r="G1497" t="b">
        <v>0</v>
      </c>
      <c r="H1497" t="b">
        <v>0</v>
      </c>
      <c r="I1497" t="s">
        <v>1051</v>
      </c>
      <c r="J1497">
        <v>78</v>
      </c>
      <c r="K1497" t="s">
        <v>0</v>
      </c>
      <c r="L1497" t="s">
        <v>3000</v>
      </c>
      <c r="M1497" t="s">
        <v>1548</v>
      </c>
      <c r="N1497" t="s">
        <v>1548</v>
      </c>
      <c r="O1497" t="s">
        <v>1548</v>
      </c>
      <c r="P1497" s="36" t="s">
        <v>6448</v>
      </c>
    </row>
    <row r="1498" spans="1:16" ht="409.5" x14ac:dyDescent="0.25">
      <c r="A1498" t="s">
        <v>8260</v>
      </c>
      <c r="B1498" t="s">
        <v>8234</v>
      </c>
      <c r="C1498" t="s">
        <v>6446</v>
      </c>
      <c r="D1498" t="s">
        <v>1027</v>
      </c>
      <c r="E1498">
        <v>1402</v>
      </c>
      <c r="F1498" t="s">
        <v>6447</v>
      </c>
      <c r="G1498" t="b">
        <v>0</v>
      </c>
      <c r="H1498" t="b">
        <v>0</v>
      </c>
      <c r="I1498" t="s">
        <v>1051</v>
      </c>
      <c r="J1498">
        <v>78</v>
      </c>
      <c r="K1498" t="s">
        <v>0</v>
      </c>
      <c r="L1498" t="s">
        <v>3000</v>
      </c>
      <c r="M1498" t="s">
        <v>1548</v>
      </c>
      <c r="N1498" t="s">
        <v>1548</v>
      </c>
      <c r="O1498" t="s">
        <v>1548</v>
      </c>
      <c r="P1498" s="36" t="s">
        <v>6448</v>
      </c>
    </row>
    <row r="1499" spans="1:16" ht="409.5" x14ac:dyDescent="0.25">
      <c r="A1499" t="s">
        <v>8261</v>
      </c>
      <c r="B1499" t="s">
        <v>8234</v>
      </c>
      <c r="C1499" t="s">
        <v>6446</v>
      </c>
      <c r="D1499" t="s">
        <v>1027</v>
      </c>
      <c r="E1499">
        <v>1402</v>
      </c>
      <c r="F1499" t="s">
        <v>6447</v>
      </c>
      <c r="G1499" t="b">
        <v>0</v>
      </c>
      <c r="H1499" t="b">
        <v>0</v>
      </c>
      <c r="I1499" t="s">
        <v>1051</v>
      </c>
      <c r="J1499">
        <v>78</v>
      </c>
      <c r="K1499" t="s">
        <v>0</v>
      </c>
      <c r="L1499" t="s">
        <v>3000</v>
      </c>
      <c r="M1499" t="s">
        <v>1548</v>
      </c>
      <c r="N1499" t="s">
        <v>1548</v>
      </c>
      <c r="O1499" t="s">
        <v>1548</v>
      </c>
      <c r="P1499" s="36" t="s">
        <v>6448</v>
      </c>
    </row>
    <row r="1500" spans="1:16" ht="409.5" x14ac:dyDescent="0.25">
      <c r="A1500" t="s">
        <v>8262</v>
      </c>
      <c r="B1500" t="s">
        <v>8234</v>
      </c>
      <c r="C1500" t="s">
        <v>6446</v>
      </c>
      <c r="D1500" t="s">
        <v>1027</v>
      </c>
      <c r="E1500">
        <v>1402</v>
      </c>
      <c r="F1500" t="s">
        <v>6447</v>
      </c>
      <c r="G1500" t="b">
        <v>0</v>
      </c>
      <c r="H1500" t="b">
        <v>0</v>
      </c>
      <c r="I1500" t="s">
        <v>1051</v>
      </c>
      <c r="J1500">
        <v>78</v>
      </c>
      <c r="K1500" t="s">
        <v>0</v>
      </c>
      <c r="L1500" t="s">
        <v>3000</v>
      </c>
      <c r="M1500" t="s">
        <v>1548</v>
      </c>
      <c r="N1500" t="s">
        <v>1548</v>
      </c>
      <c r="O1500" t="s">
        <v>1548</v>
      </c>
      <c r="P1500" s="36" t="s">
        <v>6448</v>
      </c>
    </row>
    <row r="1501" spans="1:16" ht="409.5" x14ac:dyDescent="0.25">
      <c r="A1501" t="s">
        <v>8263</v>
      </c>
      <c r="B1501" t="s">
        <v>8234</v>
      </c>
      <c r="C1501" t="s">
        <v>6446</v>
      </c>
      <c r="D1501" t="s">
        <v>1027</v>
      </c>
      <c r="E1501">
        <v>1402</v>
      </c>
      <c r="F1501" t="s">
        <v>6447</v>
      </c>
      <c r="G1501" t="b">
        <v>0</v>
      </c>
      <c r="H1501" t="b">
        <v>0</v>
      </c>
      <c r="I1501" t="s">
        <v>1051</v>
      </c>
      <c r="J1501">
        <v>78</v>
      </c>
      <c r="K1501" t="s">
        <v>0</v>
      </c>
      <c r="L1501" t="s">
        <v>3000</v>
      </c>
      <c r="M1501" t="s">
        <v>1548</v>
      </c>
      <c r="N1501" t="s">
        <v>1548</v>
      </c>
      <c r="O1501" t="s">
        <v>1548</v>
      </c>
      <c r="P1501" s="36" t="s">
        <v>6448</v>
      </c>
    </row>
    <row r="1502" spans="1:16" ht="409.5" x14ac:dyDescent="0.25">
      <c r="A1502" t="s">
        <v>8264</v>
      </c>
      <c r="B1502" t="s">
        <v>8234</v>
      </c>
      <c r="C1502" t="s">
        <v>6446</v>
      </c>
      <c r="D1502" t="s">
        <v>1027</v>
      </c>
      <c r="E1502">
        <v>1402</v>
      </c>
      <c r="F1502" t="s">
        <v>6447</v>
      </c>
      <c r="G1502" t="b">
        <v>0</v>
      </c>
      <c r="H1502" t="b">
        <v>0</v>
      </c>
      <c r="I1502" t="s">
        <v>1051</v>
      </c>
      <c r="J1502">
        <v>78</v>
      </c>
      <c r="K1502" t="s">
        <v>0</v>
      </c>
      <c r="L1502" t="s">
        <v>3000</v>
      </c>
      <c r="M1502" t="s">
        <v>1548</v>
      </c>
      <c r="N1502" t="s">
        <v>1548</v>
      </c>
      <c r="O1502" t="s">
        <v>1548</v>
      </c>
      <c r="P1502" s="36" t="s">
        <v>6448</v>
      </c>
    </row>
    <row r="1503" spans="1:16" ht="390" x14ac:dyDescent="0.25">
      <c r="A1503" t="s">
        <v>8265</v>
      </c>
      <c r="B1503" t="s">
        <v>8266</v>
      </c>
      <c r="C1503" t="s">
        <v>7395</v>
      </c>
      <c r="D1503" t="s">
        <v>1027</v>
      </c>
      <c r="E1503">
        <v>1679</v>
      </c>
      <c r="F1503" t="s">
        <v>7396</v>
      </c>
      <c r="G1503" t="b">
        <v>0</v>
      </c>
      <c r="H1503" t="b">
        <v>0</v>
      </c>
      <c r="I1503" t="s">
        <v>1051</v>
      </c>
      <c r="J1503">
        <v>81</v>
      </c>
      <c r="K1503" t="s">
        <v>0</v>
      </c>
      <c r="L1503" t="s">
        <v>3000</v>
      </c>
      <c r="M1503" t="s">
        <v>1548</v>
      </c>
      <c r="N1503" t="s">
        <v>1548</v>
      </c>
      <c r="O1503" t="s">
        <v>3922</v>
      </c>
      <c r="P1503" s="36" t="s">
        <v>7397</v>
      </c>
    </row>
    <row r="1504" spans="1:16" ht="390" x14ac:dyDescent="0.25">
      <c r="A1504" t="s">
        <v>8267</v>
      </c>
      <c r="B1504" t="s">
        <v>8268</v>
      </c>
      <c r="C1504" t="s">
        <v>7395</v>
      </c>
      <c r="D1504" t="s">
        <v>1027</v>
      </c>
      <c r="E1504">
        <v>1679</v>
      </c>
      <c r="F1504" t="s">
        <v>7396</v>
      </c>
      <c r="G1504" t="b">
        <v>0</v>
      </c>
      <c r="H1504" t="b">
        <v>0</v>
      </c>
      <c r="I1504" t="s">
        <v>1051</v>
      </c>
      <c r="J1504">
        <v>81</v>
      </c>
      <c r="K1504" t="s">
        <v>0</v>
      </c>
      <c r="L1504" t="s">
        <v>3000</v>
      </c>
      <c r="M1504" t="s">
        <v>1548</v>
      </c>
      <c r="N1504" t="s">
        <v>1548</v>
      </c>
      <c r="O1504" t="s">
        <v>3922</v>
      </c>
      <c r="P1504" s="36" t="s">
        <v>7397</v>
      </c>
    </row>
    <row r="1505" spans="1:16" ht="390" x14ac:dyDescent="0.25">
      <c r="A1505" t="s">
        <v>8269</v>
      </c>
      <c r="B1505" t="s">
        <v>8270</v>
      </c>
      <c r="C1505" t="s">
        <v>7395</v>
      </c>
      <c r="D1505" t="s">
        <v>1027</v>
      </c>
      <c r="E1505">
        <v>1679</v>
      </c>
      <c r="F1505" t="s">
        <v>7396</v>
      </c>
      <c r="G1505" t="b">
        <v>0</v>
      </c>
      <c r="H1505" t="b">
        <v>0</v>
      </c>
      <c r="I1505" t="s">
        <v>1051</v>
      </c>
      <c r="J1505">
        <v>81</v>
      </c>
      <c r="K1505" t="s">
        <v>0</v>
      </c>
      <c r="L1505" t="s">
        <v>3000</v>
      </c>
      <c r="M1505" t="s">
        <v>1548</v>
      </c>
      <c r="N1505" t="s">
        <v>1548</v>
      </c>
      <c r="O1505" t="s">
        <v>3922</v>
      </c>
      <c r="P1505" s="36" t="s">
        <v>7397</v>
      </c>
    </row>
    <row r="1506" spans="1:16" ht="390" x14ac:dyDescent="0.25">
      <c r="A1506" t="s">
        <v>8271</v>
      </c>
      <c r="B1506" t="s">
        <v>8270</v>
      </c>
      <c r="C1506" t="s">
        <v>7395</v>
      </c>
      <c r="D1506" t="s">
        <v>1027</v>
      </c>
      <c r="E1506">
        <v>1679</v>
      </c>
      <c r="F1506" t="s">
        <v>7396</v>
      </c>
      <c r="G1506" t="b">
        <v>0</v>
      </c>
      <c r="H1506" t="b">
        <v>0</v>
      </c>
      <c r="I1506" t="s">
        <v>1051</v>
      </c>
      <c r="J1506">
        <v>81</v>
      </c>
      <c r="K1506" t="s">
        <v>0</v>
      </c>
      <c r="L1506" t="s">
        <v>3000</v>
      </c>
      <c r="M1506" t="s">
        <v>1548</v>
      </c>
      <c r="N1506" t="s">
        <v>1548</v>
      </c>
      <c r="O1506" t="s">
        <v>3922</v>
      </c>
      <c r="P1506" s="36" t="s">
        <v>7397</v>
      </c>
    </row>
    <row r="1507" spans="1:16" ht="390" x14ac:dyDescent="0.25">
      <c r="A1507" t="s">
        <v>8272</v>
      </c>
      <c r="B1507" t="s">
        <v>8273</v>
      </c>
      <c r="C1507" t="s">
        <v>7395</v>
      </c>
      <c r="D1507" t="s">
        <v>1027</v>
      </c>
      <c r="E1507">
        <v>1679</v>
      </c>
      <c r="F1507" t="s">
        <v>7396</v>
      </c>
      <c r="G1507" t="b">
        <v>0</v>
      </c>
      <c r="H1507" t="b">
        <v>0</v>
      </c>
      <c r="I1507" t="s">
        <v>1051</v>
      </c>
      <c r="J1507">
        <v>81</v>
      </c>
      <c r="K1507" t="s">
        <v>0</v>
      </c>
      <c r="L1507" t="s">
        <v>3000</v>
      </c>
      <c r="M1507" t="s">
        <v>1548</v>
      </c>
      <c r="N1507" t="s">
        <v>1548</v>
      </c>
      <c r="O1507" t="s">
        <v>3922</v>
      </c>
      <c r="P1507" s="36" t="s">
        <v>7397</v>
      </c>
    </row>
    <row r="1508" spans="1:16" ht="390" x14ac:dyDescent="0.25">
      <c r="A1508" t="s">
        <v>8274</v>
      </c>
      <c r="B1508" t="s">
        <v>8273</v>
      </c>
      <c r="C1508" t="s">
        <v>7395</v>
      </c>
      <c r="D1508" t="s">
        <v>1027</v>
      </c>
      <c r="E1508">
        <v>1679</v>
      </c>
      <c r="F1508" t="s">
        <v>7396</v>
      </c>
      <c r="G1508" t="b">
        <v>0</v>
      </c>
      <c r="H1508" t="b">
        <v>0</v>
      </c>
      <c r="I1508" t="s">
        <v>1051</v>
      </c>
      <c r="J1508">
        <v>81</v>
      </c>
      <c r="K1508" t="s">
        <v>0</v>
      </c>
      <c r="L1508" t="s">
        <v>3000</v>
      </c>
      <c r="M1508" t="s">
        <v>1548</v>
      </c>
      <c r="N1508" t="s">
        <v>1548</v>
      </c>
      <c r="O1508" t="s">
        <v>3922</v>
      </c>
      <c r="P1508" s="36" t="s">
        <v>7397</v>
      </c>
    </row>
    <row r="1509" spans="1:16" ht="390" x14ac:dyDescent="0.25">
      <c r="A1509" t="s">
        <v>8275</v>
      </c>
      <c r="B1509" t="s">
        <v>8276</v>
      </c>
      <c r="C1509" t="s">
        <v>7395</v>
      </c>
      <c r="D1509" t="s">
        <v>1027</v>
      </c>
      <c r="E1509">
        <v>1679</v>
      </c>
      <c r="F1509" t="s">
        <v>7396</v>
      </c>
      <c r="G1509" t="b">
        <v>0</v>
      </c>
      <c r="H1509" t="b">
        <v>0</v>
      </c>
      <c r="I1509" t="s">
        <v>1051</v>
      </c>
      <c r="J1509">
        <v>81</v>
      </c>
      <c r="K1509" t="s">
        <v>0</v>
      </c>
      <c r="L1509" t="s">
        <v>3000</v>
      </c>
      <c r="M1509" t="s">
        <v>1548</v>
      </c>
      <c r="N1509" t="s">
        <v>1548</v>
      </c>
      <c r="O1509" t="s">
        <v>3922</v>
      </c>
      <c r="P1509" s="36" t="s">
        <v>7397</v>
      </c>
    </row>
    <row r="1510" spans="1:16" ht="390" x14ac:dyDescent="0.25">
      <c r="A1510" t="s">
        <v>8277</v>
      </c>
      <c r="B1510" t="s">
        <v>8276</v>
      </c>
      <c r="C1510" t="s">
        <v>7395</v>
      </c>
      <c r="D1510" t="s">
        <v>1027</v>
      </c>
      <c r="E1510">
        <v>1679</v>
      </c>
      <c r="F1510" t="s">
        <v>7396</v>
      </c>
      <c r="G1510" t="b">
        <v>0</v>
      </c>
      <c r="H1510" t="b">
        <v>0</v>
      </c>
      <c r="I1510" t="s">
        <v>1051</v>
      </c>
      <c r="J1510">
        <v>81</v>
      </c>
      <c r="K1510" t="s">
        <v>0</v>
      </c>
      <c r="L1510" t="s">
        <v>3000</v>
      </c>
      <c r="M1510" t="s">
        <v>1548</v>
      </c>
      <c r="N1510" t="s">
        <v>1548</v>
      </c>
      <c r="O1510" t="s">
        <v>3922</v>
      </c>
      <c r="P1510" s="36" t="s">
        <v>7397</v>
      </c>
    </row>
    <row r="1511" spans="1:16" x14ac:dyDescent="0.25">
      <c r="A1511" t="s">
        <v>8278</v>
      </c>
      <c r="B1511" t="s">
        <v>8279</v>
      </c>
      <c r="C1511" t="s">
        <v>1335</v>
      </c>
      <c r="D1511" t="s">
        <v>1027</v>
      </c>
      <c r="E1511">
        <v>1459</v>
      </c>
      <c r="F1511" t="s">
        <v>1336</v>
      </c>
      <c r="G1511" t="b">
        <v>0</v>
      </c>
      <c r="H1511" t="b">
        <v>0</v>
      </c>
      <c r="I1511" t="s">
        <v>1051</v>
      </c>
      <c r="J1511" t="s">
        <v>1053</v>
      </c>
      <c r="K1511" t="s">
        <v>1043</v>
      </c>
    </row>
    <row r="1512" spans="1:16" x14ac:dyDescent="0.25">
      <c r="A1512" t="s">
        <v>8280</v>
      </c>
      <c r="B1512" t="s">
        <v>8279</v>
      </c>
      <c r="C1512" t="s">
        <v>1335</v>
      </c>
      <c r="D1512" t="s">
        <v>1027</v>
      </c>
      <c r="E1512">
        <v>1459</v>
      </c>
      <c r="F1512" t="s">
        <v>1336</v>
      </c>
      <c r="G1512" t="b">
        <v>0</v>
      </c>
      <c r="H1512" t="b">
        <v>0</v>
      </c>
      <c r="I1512" t="s">
        <v>1051</v>
      </c>
      <c r="J1512" t="s">
        <v>1053</v>
      </c>
      <c r="K1512" t="s">
        <v>1043</v>
      </c>
    </row>
    <row r="1513" spans="1:16" x14ac:dyDescent="0.25">
      <c r="A1513" t="s">
        <v>8281</v>
      </c>
      <c r="B1513" t="s">
        <v>8279</v>
      </c>
      <c r="C1513" t="s">
        <v>1335</v>
      </c>
      <c r="D1513" t="s">
        <v>1027</v>
      </c>
      <c r="E1513">
        <v>1459</v>
      </c>
      <c r="F1513" t="s">
        <v>1336</v>
      </c>
      <c r="G1513" t="b">
        <v>0</v>
      </c>
      <c r="H1513" t="b">
        <v>0</v>
      </c>
      <c r="I1513" t="s">
        <v>1051</v>
      </c>
      <c r="J1513" t="s">
        <v>1053</v>
      </c>
      <c r="K1513" t="s">
        <v>1043</v>
      </c>
    </row>
    <row r="1514" spans="1:16" x14ac:dyDescent="0.25">
      <c r="A1514" t="s">
        <v>8282</v>
      </c>
      <c r="B1514" t="s">
        <v>8279</v>
      </c>
      <c r="C1514" t="s">
        <v>1335</v>
      </c>
      <c r="D1514" t="s">
        <v>1027</v>
      </c>
      <c r="E1514">
        <v>1459</v>
      </c>
      <c r="F1514" t="s">
        <v>1336</v>
      </c>
      <c r="G1514" t="b">
        <v>0</v>
      </c>
      <c r="H1514" t="b">
        <v>0</v>
      </c>
      <c r="I1514" t="s">
        <v>1051</v>
      </c>
      <c r="J1514" t="s">
        <v>1053</v>
      </c>
      <c r="K1514" t="s">
        <v>1043</v>
      </c>
    </row>
    <row r="1515" spans="1:16" x14ac:dyDescent="0.25">
      <c r="A1515" t="s">
        <v>8283</v>
      </c>
      <c r="B1515" t="s">
        <v>8279</v>
      </c>
      <c r="C1515" t="s">
        <v>1335</v>
      </c>
      <c r="D1515" t="s">
        <v>1027</v>
      </c>
      <c r="E1515">
        <v>1459</v>
      </c>
      <c r="F1515" t="s">
        <v>1336</v>
      </c>
      <c r="G1515" t="b">
        <v>0</v>
      </c>
      <c r="H1515" t="b">
        <v>0</v>
      </c>
      <c r="I1515" t="s">
        <v>1051</v>
      </c>
      <c r="J1515" t="s">
        <v>1053</v>
      </c>
      <c r="K1515" t="s">
        <v>1043</v>
      </c>
    </row>
    <row r="1516" spans="1:16" ht="409.5" x14ac:dyDescent="0.25">
      <c r="A1516" t="s">
        <v>8284</v>
      </c>
      <c r="B1516" t="s">
        <v>8285</v>
      </c>
      <c r="C1516" t="s">
        <v>6503</v>
      </c>
      <c r="D1516" t="s">
        <v>1027</v>
      </c>
      <c r="E1516">
        <v>1488</v>
      </c>
      <c r="F1516" t="s">
        <v>6504</v>
      </c>
      <c r="G1516" t="b">
        <v>0</v>
      </c>
      <c r="H1516" t="b">
        <v>0</v>
      </c>
      <c r="I1516" t="s">
        <v>1051</v>
      </c>
      <c r="J1516">
        <v>78</v>
      </c>
      <c r="K1516" t="s">
        <v>0</v>
      </c>
      <c r="L1516" t="s">
        <v>3000</v>
      </c>
      <c r="M1516" t="s">
        <v>1548</v>
      </c>
      <c r="N1516" t="s">
        <v>1548</v>
      </c>
      <c r="O1516" t="s">
        <v>1548</v>
      </c>
      <c r="P1516" s="36" t="s">
        <v>6505</v>
      </c>
    </row>
    <row r="1517" spans="1:16" ht="409.5" x14ac:dyDescent="0.25">
      <c r="A1517" t="s">
        <v>8286</v>
      </c>
      <c r="B1517" t="s">
        <v>8287</v>
      </c>
      <c r="C1517" t="s">
        <v>6503</v>
      </c>
      <c r="D1517" t="s">
        <v>1027</v>
      </c>
      <c r="E1517">
        <v>1488</v>
      </c>
      <c r="F1517" t="s">
        <v>6504</v>
      </c>
      <c r="G1517" t="b">
        <v>0</v>
      </c>
      <c r="H1517" t="b">
        <v>0</v>
      </c>
      <c r="I1517" t="s">
        <v>1051</v>
      </c>
      <c r="J1517">
        <v>78</v>
      </c>
      <c r="K1517" t="s">
        <v>0</v>
      </c>
      <c r="L1517" t="s">
        <v>3000</v>
      </c>
      <c r="M1517" t="s">
        <v>1548</v>
      </c>
      <c r="N1517" t="s">
        <v>1548</v>
      </c>
      <c r="O1517" t="s">
        <v>1548</v>
      </c>
      <c r="P1517" s="36" t="s">
        <v>6505</v>
      </c>
    </row>
    <row r="1518" spans="1:16" ht="409.5" x14ac:dyDescent="0.25">
      <c r="A1518" t="s">
        <v>8288</v>
      </c>
      <c r="B1518" t="s">
        <v>8289</v>
      </c>
      <c r="C1518" t="s">
        <v>6503</v>
      </c>
      <c r="D1518" t="s">
        <v>1027</v>
      </c>
      <c r="E1518">
        <v>1488</v>
      </c>
      <c r="F1518" t="s">
        <v>6504</v>
      </c>
      <c r="G1518" t="b">
        <v>0</v>
      </c>
      <c r="H1518" t="b">
        <v>0</v>
      </c>
      <c r="I1518" t="s">
        <v>1051</v>
      </c>
      <c r="J1518">
        <v>78</v>
      </c>
      <c r="K1518" t="s">
        <v>0</v>
      </c>
      <c r="L1518" t="s">
        <v>3000</v>
      </c>
      <c r="M1518" t="s">
        <v>1548</v>
      </c>
      <c r="N1518" t="s">
        <v>1548</v>
      </c>
      <c r="O1518" t="s">
        <v>1548</v>
      </c>
      <c r="P1518" s="36" t="s">
        <v>6505</v>
      </c>
    </row>
    <row r="1519" spans="1:16" ht="409.5" x14ac:dyDescent="0.25">
      <c r="A1519" t="s">
        <v>8290</v>
      </c>
      <c r="B1519" t="s">
        <v>8291</v>
      </c>
      <c r="C1519" t="s">
        <v>6473</v>
      </c>
      <c r="D1519" t="s">
        <v>1027</v>
      </c>
      <c r="E1519">
        <v>33419</v>
      </c>
      <c r="F1519" t="s">
        <v>6474</v>
      </c>
      <c r="G1519" t="b">
        <v>0</v>
      </c>
      <c r="H1519" t="b">
        <v>0</v>
      </c>
      <c r="I1519" t="s">
        <v>1051</v>
      </c>
      <c r="J1519">
        <v>78</v>
      </c>
      <c r="K1519" t="s">
        <v>0</v>
      </c>
      <c r="L1519" t="s">
        <v>3000</v>
      </c>
      <c r="M1519" t="s">
        <v>1548</v>
      </c>
      <c r="N1519" t="s">
        <v>1548</v>
      </c>
      <c r="O1519" t="s">
        <v>1548</v>
      </c>
      <c r="P1519" s="36" t="s">
        <v>6448</v>
      </c>
    </row>
    <row r="1520" spans="1:16" ht="409.5" x14ac:dyDescent="0.25">
      <c r="A1520" t="s">
        <v>8292</v>
      </c>
      <c r="B1520" t="s">
        <v>8291</v>
      </c>
      <c r="C1520" t="s">
        <v>6473</v>
      </c>
      <c r="D1520" t="s">
        <v>1027</v>
      </c>
      <c r="E1520">
        <v>33419</v>
      </c>
      <c r="F1520" t="s">
        <v>6474</v>
      </c>
      <c r="G1520" t="b">
        <v>0</v>
      </c>
      <c r="H1520" t="b">
        <v>0</v>
      </c>
      <c r="I1520" t="s">
        <v>1051</v>
      </c>
      <c r="J1520">
        <v>78</v>
      </c>
      <c r="K1520" t="s">
        <v>0</v>
      </c>
      <c r="L1520" t="s">
        <v>3000</v>
      </c>
      <c r="M1520" t="s">
        <v>1548</v>
      </c>
      <c r="N1520" t="s">
        <v>1548</v>
      </c>
      <c r="O1520" t="s">
        <v>1548</v>
      </c>
      <c r="P1520" s="36" t="s">
        <v>6448</v>
      </c>
    </row>
    <row r="1521" spans="1:16" ht="409.5" x14ac:dyDescent="0.25">
      <c r="A1521" t="s">
        <v>8293</v>
      </c>
      <c r="B1521" t="s">
        <v>8294</v>
      </c>
      <c r="C1521" t="s">
        <v>6473</v>
      </c>
      <c r="D1521" t="s">
        <v>1027</v>
      </c>
      <c r="E1521">
        <v>33419</v>
      </c>
      <c r="F1521" t="s">
        <v>6474</v>
      </c>
      <c r="G1521" t="b">
        <v>0</v>
      </c>
      <c r="H1521" t="b">
        <v>0</v>
      </c>
      <c r="I1521" t="s">
        <v>1051</v>
      </c>
      <c r="J1521">
        <v>78</v>
      </c>
      <c r="K1521" t="s">
        <v>0</v>
      </c>
      <c r="L1521" t="s">
        <v>3000</v>
      </c>
      <c r="M1521" t="s">
        <v>1548</v>
      </c>
      <c r="N1521" t="s">
        <v>1548</v>
      </c>
      <c r="O1521" t="s">
        <v>1548</v>
      </c>
      <c r="P1521" s="36" t="s">
        <v>6448</v>
      </c>
    </row>
    <row r="1522" spans="1:16" ht="409.5" x14ac:dyDescent="0.25">
      <c r="A1522" t="s">
        <v>8295</v>
      </c>
      <c r="B1522" t="s">
        <v>8296</v>
      </c>
      <c r="C1522" t="s">
        <v>6473</v>
      </c>
      <c r="D1522" t="s">
        <v>1027</v>
      </c>
      <c r="E1522">
        <v>33419</v>
      </c>
      <c r="F1522" t="s">
        <v>6474</v>
      </c>
      <c r="G1522" t="b">
        <v>0</v>
      </c>
      <c r="H1522" t="b">
        <v>0</v>
      </c>
      <c r="I1522" t="s">
        <v>1051</v>
      </c>
      <c r="J1522">
        <v>78</v>
      </c>
      <c r="K1522" t="s">
        <v>0</v>
      </c>
      <c r="L1522" t="s">
        <v>3000</v>
      </c>
      <c r="M1522" t="s">
        <v>1548</v>
      </c>
      <c r="N1522" t="s">
        <v>1548</v>
      </c>
      <c r="O1522" t="s">
        <v>1548</v>
      </c>
      <c r="P1522" s="36" t="s">
        <v>6448</v>
      </c>
    </row>
    <row r="1523" spans="1:16" ht="409.5" x14ac:dyDescent="0.25">
      <c r="A1523" t="s">
        <v>8297</v>
      </c>
      <c r="B1523" t="s">
        <v>8296</v>
      </c>
      <c r="C1523" t="s">
        <v>6473</v>
      </c>
      <c r="D1523" t="s">
        <v>1027</v>
      </c>
      <c r="E1523">
        <v>33419</v>
      </c>
      <c r="F1523" t="s">
        <v>6474</v>
      </c>
      <c r="G1523" t="b">
        <v>0</v>
      </c>
      <c r="H1523" t="b">
        <v>0</v>
      </c>
      <c r="I1523" t="s">
        <v>1051</v>
      </c>
      <c r="J1523">
        <v>78</v>
      </c>
      <c r="K1523" t="s">
        <v>0</v>
      </c>
      <c r="L1523" t="s">
        <v>3000</v>
      </c>
      <c r="M1523" t="s">
        <v>1548</v>
      </c>
      <c r="N1523" t="s">
        <v>1548</v>
      </c>
      <c r="O1523" t="s">
        <v>1548</v>
      </c>
      <c r="P1523" s="36" t="s">
        <v>6448</v>
      </c>
    </row>
    <row r="1524" spans="1:16" ht="409.5" x14ac:dyDescent="0.25">
      <c r="A1524" t="s">
        <v>8298</v>
      </c>
      <c r="B1524" t="s">
        <v>8299</v>
      </c>
      <c r="C1524" t="s">
        <v>6473</v>
      </c>
      <c r="D1524" t="s">
        <v>1027</v>
      </c>
      <c r="E1524">
        <v>33419</v>
      </c>
      <c r="F1524" t="s">
        <v>6474</v>
      </c>
      <c r="G1524" t="b">
        <v>0</v>
      </c>
      <c r="H1524" t="b">
        <v>0</v>
      </c>
      <c r="I1524" t="s">
        <v>1051</v>
      </c>
      <c r="J1524">
        <v>78</v>
      </c>
      <c r="K1524" t="s">
        <v>0</v>
      </c>
      <c r="L1524" t="s">
        <v>3000</v>
      </c>
      <c r="M1524" t="s">
        <v>1548</v>
      </c>
      <c r="N1524" t="s">
        <v>1548</v>
      </c>
      <c r="O1524" t="s">
        <v>1548</v>
      </c>
      <c r="P1524" s="36" t="s">
        <v>6448</v>
      </c>
    </row>
    <row r="1525" spans="1:16" ht="409.5" x14ac:dyDescent="0.25">
      <c r="A1525" t="s">
        <v>8300</v>
      </c>
      <c r="B1525" t="s">
        <v>8301</v>
      </c>
      <c r="C1525" t="s">
        <v>6473</v>
      </c>
      <c r="D1525" t="s">
        <v>1027</v>
      </c>
      <c r="E1525">
        <v>33419</v>
      </c>
      <c r="F1525" t="s">
        <v>6474</v>
      </c>
      <c r="G1525" t="b">
        <v>0</v>
      </c>
      <c r="H1525" t="b">
        <v>0</v>
      </c>
      <c r="I1525" t="s">
        <v>1051</v>
      </c>
      <c r="J1525">
        <v>78</v>
      </c>
      <c r="K1525" t="s">
        <v>0</v>
      </c>
      <c r="L1525" t="s">
        <v>3000</v>
      </c>
      <c r="M1525" t="s">
        <v>1548</v>
      </c>
      <c r="N1525" t="s">
        <v>1548</v>
      </c>
      <c r="O1525" t="s">
        <v>1548</v>
      </c>
      <c r="P1525" s="36" t="s">
        <v>6448</v>
      </c>
    </row>
    <row r="1526" spans="1:16" ht="409.5" x14ac:dyDescent="0.25">
      <c r="A1526" t="s">
        <v>8302</v>
      </c>
      <c r="B1526" t="s">
        <v>8301</v>
      </c>
      <c r="C1526" t="s">
        <v>6473</v>
      </c>
      <c r="D1526" t="s">
        <v>1027</v>
      </c>
      <c r="E1526">
        <v>33419</v>
      </c>
      <c r="F1526" t="s">
        <v>6474</v>
      </c>
      <c r="G1526" t="b">
        <v>0</v>
      </c>
      <c r="H1526" t="b">
        <v>0</v>
      </c>
      <c r="I1526" t="s">
        <v>1051</v>
      </c>
      <c r="J1526">
        <v>78</v>
      </c>
      <c r="K1526" t="s">
        <v>0</v>
      </c>
      <c r="L1526" t="s">
        <v>3000</v>
      </c>
      <c r="M1526" t="s">
        <v>1548</v>
      </c>
      <c r="N1526" t="s">
        <v>1548</v>
      </c>
      <c r="O1526" t="s">
        <v>1548</v>
      </c>
      <c r="P1526" s="36" t="s">
        <v>6448</v>
      </c>
    </row>
    <row r="1527" spans="1:16" ht="409.5" x14ac:dyDescent="0.25">
      <c r="A1527" t="s">
        <v>8303</v>
      </c>
      <c r="B1527" t="s">
        <v>8304</v>
      </c>
      <c r="C1527" t="s">
        <v>6473</v>
      </c>
      <c r="D1527" t="s">
        <v>1027</v>
      </c>
      <c r="E1527">
        <v>33419</v>
      </c>
      <c r="F1527" t="s">
        <v>6474</v>
      </c>
      <c r="G1527" t="b">
        <v>0</v>
      </c>
      <c r="H1527" t="b">
        <v>0</v>
      </c>
      <c r="I1527" t="s">
        <v>1051</v>
      </c>
      <c r="J1527">
        <v>78</v>
      </c>
      <c r="K1527" t="s">
        <v>0</v>
      </c>
      <c r="L1527" t="s">
        <v>3000</v>
      </c>
      <c r="M1527" t="s">
        <v>1548</v>
      </c>
      <c r="N1527" t="s">
        <v>1548</v>
      </c>
      <c r="O1527" t="s">
        <v>1548</v>
      </c>
      <c r="P1527" s="36" t="s">
        <v>6448</v>
      </c>
    </row>
    <row r="1528" spans="1:16" ht="409.5" x14ac:dyDescent="0.25">
      <c r="A1528" t="s">
        <v>8305</v>
      </c>
      <c r="B1528" t="s">
        <v>8306</v>
      </c>
      <c r="C1528" t="s">
        <v>6473</v>
      </c>
      <c r="D1528" t="s">
        <v>1027</v>
      </c>
      <c r="E1528">
        <v>33419</v>
      </c>
      <c r="F1528" t="s">
        <v>6474</v>
      </c>
      <c r="G1528" t="b">
        <v>0</v>
      </c>
      <c r="H1528" t="b">
        <v>0</v>
      </c>
      <c r="I1528" t="s">
        <v>1051</v>
      </c>
      <c r="J1528">
        <v>78</v>
      </c>
      <c r="K1528" t="s">
        <v>0</v>
      </c>
      <c r="L1528" t="s">
        <v>3000</v>
      </c>
      <c r="M1528" t="s">
        <v>1548</v>
      </c>
      <c r="N1528" t="s">
        <v>1548</v>
      </c>
      <c r="O1528" t="s">
        <v>1548</v>
      </c>
      <c r="P1528" s="36" t="s">
        <v>6448</v>
      </c>
    </row>
    <row r="1529" spans="1:16" ht="409.5" x14ac:dyDescent="0.25">
      <c r="A1529" t="s">
        <v>8307</v>
      </c>
      <c r="B1529" t="s">
        <v>8308</v>
      </c>
      <c r="C1529" t="s">
        <v>6473</v>
      </c>
      <c r="D1529" t="s">
        <v>1027</v>
      </c>
      <c r="E1529">
        <v>33419</v>
      </c>
      <c r="F1529" t="s">
        <v>6474</v>
      </c>
      <c r="G1529" t="b">
        <v>0</v>
      </c>
      <c r="H1529" t="b">
        <v>0</v>
      </c>
      <c r="I1529" t="s">
        <v>1051</v>
      </c>
      <c r="J1529">
        <v>78</v>
      </c>
      <c r="K1529" t="s">
        <v>0</v>
      </c>
      <c r="L1529" t="s">
        <v>3000</v>
      </c>
      <c r="M1529" t="s">
        <v>1548</v>
      </c>
      <c r="N1529" t="s">
        <v>1548</v>
      </c>
      <c r="O1529" t="s">
        <v>1548</v>
      </c>
      <c r="P1529" s="36" t="s">
        <v>6448</v>
      </c>
    </row>
    <row r="1530" spans="1:16" ht="409.5" x14ac:dyDescent="0.25">
      <c r="A1530" t="s">
        <v>8309</v>
      </c>
      <c r="B1530" t="s">
        <v>8310</v>
      </c>
      <c r="C1530" t="s">
        <v>6473</v>
      </c>
      <c r="D1530" t="s">
        <v>1027</v>
      </c>
      <c r="E1530">
        <v>33419</v>
      </c>
      <c r="F1530" t="s">
        <v>6474</v>
      </c>
      <c r="G1530" t="b">
        <v>0</v>
      </c>
      <c r="H1530" t="b">
        <v>0</v>
      </c>
      <c r="I1530" t="s">
        <v>1051</v>
      </c>
      <c r="J1530">
        <v>78</v>
      </c>
      <c r="K1530" t="s">
        <v>0</v>
      </c>
      <c r="L1530" t="s">
        <v>3000</v>
      </c>
      <c r="M1530" t="s">
        <v>1548</v>
      </c>
      <c r="N1530" t="s">
        <v>1548</v>
      </c>
      <c r="O1530" t="s">
        <v>1548</v>
      </c>
      <c r="P1530" s="36" t="s">
        <v>6448</v>
      </c>
    </row>
    <row r="1531" spans="1:16" ht="409.5" x14ac:dyDescent="0.25">
      <c r="A1531" t="s">
        <v>8311</v>
      </c>
      <c r="B1531" t="s">
        <v>8312</v>
      </c>
      <c r="C1531" t="s">
        <v>6473</v>
      </c>
      <c r="D1531" t="s">
        <v>1027</v>
      </c>
      <c r="E1531">
        <v>33419</v>
      </c>
      <c r="F1531" t="s">
        <v>6474</v>
      </c>
      <c r="G1531" t="b">
        <v>0</v>
      </c>
      <c r="H1531" t="b">
        <v>0</v>
      </c>
      <c r="I1531" t="s">
        <v>1051</v>
      </c>
      <c r="J1531">
        <v>78</v>
      </c>
      <c r="K1531" t="s">
        <v>0</v>
      </c>
      <c r="L1531" t="s">
        <v>3000</v>
      </c>
      <c r="M1531" t="s">
        <v>1548</v>
      </c>
      <c r="N1531" t="s">
        <v>1548</v>
      </c>
      <c r="O1531" t="s">
        <v>1548</v>
      </c>
      <c r="P1531" s="36" t="s">
        <v>6448</v>
      </c>
    </row>
    <row r="1532" spans="1:16" ht="409.5" x14ac:dyDescent="0.25">
      <c r="A1532" t="s">
        <v>8313</v>
      </c>
      <c r="B1532" t="s">
        <v>8312</v>
      </c>
      <c r="C1532" t="s">
        <v>6473</v>
      </c>
      <c r="D1532" t="s">
        <v>1027</v>
      </c>
      <c r="E1532">
        <v>33419</v>
      </c>
      <c r="F1532" t="s">
        <v>6474</v>
      </c>
      <c r="G1532" t="b">
        <v>0</v>
      </c>
      <c r="H1532" t="b">
        <v>0</v>
      </c>
      <c r="I1532" t="s">
        <v>1051</v>
      </c>
      <c r="J1532">
        <v>78</v>
      </c>
      <c r="K1532" t="s">
        <v>0</v>
      </c>
      <c r="L1532" t="s">
        <v>3000</v>
      </c>
      <c r="M1532" t="s">
        <v>1548</v>
      </c>
      <c r="N1532" t="s">
        <v>1548</v>
      </c>
      <c r="O1532" t="s">
        <v>1548</v>
      </c>
      <c r="P1532" s="36" t="s">
        <v>6448</v>
      </c>
    </row>
    <row r="1533" spans="1:16" ht="409.5" x14ac:dyDescent="0.25">
      <c r="A1533" t="s">
        <v>8314</v>
      </c>
      <c r="B1533" t="s">
        <v>8294</v>
      </c>
      <c r="C1533" t="s">
        <v>6473</v>
      </c>
      <c r="D1533" t="s">
        <v>1027</v>
      </c>
      <c r="E1533">
        <v>33419</v>
      </c>
      <c r="F1533" t="s">
        <v>6474</v>
      </c>
      <c r="G1533" t="b">
        <v>0</v>
      </c>
      <c r="H1533" t="b">
        <v>0</v>
      </c>
      <c r="I1533" t="s">
        <v>1051</v>
      </c>
      <c r="J1533">
        <v>78</v>
      </c>
      <c r="K1533" t="s">
        <v>0</v>
      </c>
      <c r="L1533" t="s">
        <v>3000</v>
      </c>
      <c r="M1533" t="s">
        <v>1548</v>
      </c>
      <c r="N1533" t="s">
        <v>1548</v>
      </c>
      <c r="O1533" t="s">
        <v>1548</v>
      </c>
      <c r="P1533" s="36" t="s">
        <v>6448</v>
      </c>
    </row>
    <row r="1534" spans="1:16" ht="409.5" x14ac:dyDescent="0.25">
      <c r="A1534" t="s">
        <v>8315</v>
      </c>
      <c r="B1534" t="s">
        <v>8316</v>
      </c>
      <c r="C1534" t="s">
        <v>6473</v>
      </c>
      <c r="D1534" t="s">
        <v>1027</v>
      </c>
      <c r="E1534">
        <v>33419</v>
      </c>
      <c r="F1534" t="s">
        <v>6474</v>
      </c>
      <c r="G1534" t="b">
        <v>0</v>
      </c>
      <c r="H1534" t="b">
        <v>0</v>
      </c>
      <c r="I1534" t="s">
        <v>1051</v>
      </c>
      <c r="J1534">
        <v>78</v>
      </c>
      <c r="K1534" t="s">
        <v>0</v>
      </c>
      <c r="L1534" t="s">
        <v>3000</v>
      </c>
      <c r="M1534" t="s">
        <v>1548</v>
      </c>
      <c r="N1534" t="s">
        <v>1548</v>
      </c>
      <c r="O1534" t="s">
        <v>1548</v>
      </c>
      <c r="P1534" s="36" t="s">
        <v>6448</v>
      </c>
    </row>
    <row r="1535" spans="1:16" ht="390" x14ac:dyDescent="0.25">
      <c r="A1535" t="s">
        <v>8317</v>
      </c>
      <c r="B1535" t="s">
        <v>8318</v>
      </c>
      <c r="C1535" t="s">
        <v>7395</v>
      </c>
      <c r="D1535" t="s">
        <v>1027</v>
      </c>
      <c r="E1535">
        <v>1679</v>
      </c>
      <c r="F1535" t="s">
        <v>7396</v>
      </c>
      <c r="G1535" t="b">
        <v>0</v>
      </c>
      <c r="H1535" t="b">
        <v>0</v>
      </c>
      <c r="I1535" t="s">
        <v>1051</v>
      </c>
      <c r="J1535">
        <v>81</v>
      </c>
      <c r="K1535" t="s">
        <v>0</v>
      </c>
      <c r="L1535" t="s">
        <v>3000</v>
      </c>
      <c r="M1535" t="s">
        <v>1548</v>
      </c>
      <c r="N1535" t="s">
        <v>1548</v>
      </c>
      <c r="O1535" t="s">
        <v>3922</v>
      </c>
      <c r="P1535" s="36" t="s">
        <v>7397</v>
      </c>
    </row>
    <row r="1536" spans="1:16" ht="390" x14ac:dyDescent="0.25">
      <c r="A1536" t="s">
        <v>8319</v>
      </c>
      <c r="B1536" t="s">
        <v>8320</v>
      </c>
      <c r="C1536" t="s">
        <v>7395</v>
      </c>
      <c r="D1536" t="s">
        <v>1027</v>
      </c>
      <c r="E1536">
        <v>1679</v>
      </c>
      <c r="F1536" t="s">
        <v>7396</v>
      </c>
      <c r="G1536" t="b">
        <v>0</v>
      </c>
      <c r="H1536" t="b">
        <v>0</v>
      </c>
      <c r="I1536" t="s">
        <v>1051</v>
      </c>
      <c r="J1536">
        <v>81</v>
      </c>
      <c r="K1536" t="s">
        <v>0</v>
      </c>
      <c r="L1536" t="s">
        <v>3000</v>
      </c>
      <c r="M1536" t="s">
        <v>1548</v>
      </c>
      <c r="N1536" t="s">
        <v>1548</v>
      </c>
      <c r="O1536" t="s">
        <v>3922</v>
      </c>
      <c r="P1536" s="36" t="s">
        <v>7397</v>
      </c>
    </row>
    <row r="1537" spans="1:16" ht="390" x14ac:dyDescent="0.25">
      <c r="A1537" t="s">
        <v>8321</v>
      </c>
      <c r="B1537" t="s">
        <v>8320</v>
      </c>
      <c r="C1537" t="s">
        <v>7395</v>
      </c>
      <c r="D1537" t="s">
        <v>1027</v>
      </c>
      <c r="E1537">
        <v>1679</v>
      </c>
      <c r="F1537" t="s">
        <v>7396</v>
      </c>
      <c r="G1537" t="b">
        <v>0</v>
      </c>
      <c r="H1537" t="b">
        <v>0</v>
      </c>
      <c r="I1537" t="s">
        <v>1051</v>
      </c>
      <c r="J1537">
        <v>81</v>
      </c>
      <c r="K1537" t="s">
        <v>0</v>
      </c>
      <c r="L1537" t="s">
        <v>3000</v>
      </c>
      <c r="M1537" t="s">
        <v>1548</v>
      </c>
      <c r="N1537" t="s">
        <v>1548</v>
      </c>
      <c r="O1537" t="s">
        <v>3922</v>
      </c>
      <c r="P1537" s="36" t="s">
        <v>7397</v>
      </c>
    </row>
    <row r="1538" spans="1:16" x14ac:dyDescent="0.25">
      <c r="A1538" t="s">
        <v>8322</v>
      </c>
      <c r="B1538" t="s">
        <v>8323</v>
      </c>
      <c r="C1538" t="s">
        <v>1335</v>
      </c>
      <c r="D1538" t="s">
        <v>1027</v>
      </c>
      <c r="E1538">
        <v>1459</v>
      </c>
      <c r="F1538" t="s">
        <v>1336</v>
      </c>
      <c r="G1538" t="b">
        <v>0</v>
      </c>
      <c r="H1538" t="b">
        <v>0</v>
      </c>
      <c r="I1538" t="s">
        <v>1051</v>
      </c>
      <c r="J1538" t="s">
        <v>1053</v>
      </c>
      <c r="K1538" t="s">
        <v>1043</v>
      </c>
    </row>
    <row r="1539" spans="1:16" ht="409.5" x14ac:dyDescent="0.25">
      <c r="A1539" t="s">
        <v>8324</v>
      </c>
      <c r="B1539" t="s">
        <v>8325</v>
      </c>
      <c r="C1539" t="s">
        <v>6503</v>
      </c>
      <c r="D1539" t="s">
        <v>1027</v>
      </c>
      <c r="E1539">
        <v>1488</v>
      </c>
      <c r="F1539" t="s">
        <v>6504</v>
      </c>
      <c r="G1539" t="b">
        <v>0</v>
      </c>
      <c r="H1539" t="b">
        <v>0</v>
      </c>
      <c r="I1539" t="s">
        <v>1051</v>
      </c>
      <c r="J1539">
        <v>78</v>
      </c>
      <c r="K1539" t="s">
        <v>0</v>
      </c>
      <c r="L1539" t="s">
        <v>3000</v>
      </c>
      <c r="M1539" t="s">
        <v>1548</v>
      </c>
      <c r="N1539" t="s">
        <v>1548</v>
      </c>
      <c r="O1539" t="s">
        <v>1548</v>
      </c>
      <c r="P1539" s="36" t="s">
        <v>6505</v>
      </c>
    </row>
    <row r="1540" spans="1:16" ht="409.5" x14ac:dyDescent="0.25">
      <c r="A1540" t="s">
        <v>8326</v>
      </c>
      <c r="B1540" t="s">
        <v>8327</v>
      </c>
      <c r="C1540" t="s">
        <v>6503</v>
      </c>
      <c r="D1540" t="s">
        <v>1027</v>
      </c>
      <c r="E1540">
        <v>1488</v>
      </c>
      <c r="F1540" t="s">
        <v>6504</v>
      </c>
      <c r="G1540" t="b">
        <v>0</v>
      </c>
      <c r="H1540" t="b">
        <v>0</v>
      </c>
      <c r="I1540" t="s">
        <v>1051</v>
      </c>
      <c r="J1540">
        <v>78</v>
      </c>
      <c r="K1540" t="s">
        <v>0</v>
      </c>
      <c r="L1540" t="s">
        <v>3000</v>
      </c>
      <c r="M1540" t="s">
        <v>1548</v>
      </c>
      <c r="N1540" t="s">
        <v>1548</v>
      </c>
      <c r="O1540" t="s">
        <v>1548</v>
      </c>
      <c r="P1540" s="36" t="s">
        <v>6505</v>
      </c>
    </row>
    <row r="1541" spans="1:16" ht="409.5" x14ac:dyDescent="0.25">
      <c r="A1541" t="s">
        <v>8328</v>
      </c>
      <c r="B1541" t="s">
        <v>8329</v>
      </c>
      <c r="C1541" t="s">
        <v>6503</v>
      </c>
      <c r="D1541" t="s">
        <v>1027</v>
      </c>
      <c r="E1541">
        <v>1488</v>
      </c>
      <c r="F1541" t="s">
        <v>6504</v>
      </c>
      <c r="G1541" t="b">
        <v>0</v>
      </c>
      <c r="H1541" t="b">
        <v>0</v>
      </c>
      <c r="I1541" t="s">
        <v>1051</v>
      </c>
      <c r="J1541">
        <v>78</v>
      </c>
      <c r="K1541" t="s">
        <v>0</v>
      </c>
      <c r="L1541" t="s">
        <v>3000</v>
      </c>
      <c r="M1541" t="s">
        <v>1548</v>
      </c>
      <c r="N1541" t="s">
        <v>1548</v>
      </c>
      <c r="O1541" t="s">
        <v>1548</v>
      </c>
      <c r="P1541" s="36" t="s">
        <v>6505</v>
      </c>
    </row>
    <row r="1542" spans="1:16" ht="409.5" x14ac:dyDescent="0.25">
      <c r="A1542" t="s">
        <v>8330</v>
      </c>
      <c r="B1542" t="s">
        <v>8331</v>
      </c>
      <c r="C1542" t="s">
        <v>6503</v>
      </c>
      <c r="D1542" t="s">
        <v>1027</v>
      </c>
      <c r="E1542">
        <v>1488</v>
      </c>
      <c r="F1542" t="s">
        <v>6504</v>
      </c>
      <c r="G1542" t="b">
        <v>0</v>
      </c>
      <c r="H1542" t="b">
        <v>0</v>
      </c>
      <c r="I1542" t="s">
        <v>1051</v>
      </c>
      <c r="J1542">
        <v>78</v>
      </c>
      <c r="K1542" t="s">
        <v>0</v>
      </c>
      <c r="L1542" t="s">
        <v>3000</v>
      </c>
      <c r="M1542" t="s">
        <v>1548</v>
      </c>
      <c r="N1542" t="s">
        <v>1548</v>
      </c>
      <c r="O1542" t="s">
        <v>1548</v>
      </c>
      <c r="P1542" s="36" t="s">
        <v>6505</v>
      </c>
    </row>
    <row r="1543" spans="1:16" ht="409.5" x14ac:dyDescent="0.25">
      <c r="A1543" t="s">
        <v>8332</v>
      </c>
      <c r="B1543" t="s">
        <v>8333</v>
      </c>
      <c r="C1543" t="s">
        <v>6503</v>
      </c>
      <c r="D1543" t="s">
        <v>1027</v>
      </c>
      <c r="E1543">
        <v>1488</v>
      </c>
      <c r="F1543" t="s">
        <v>6504</v>
      </c>
      <c r="G1543" t="b">
        <v>0</v>
      </c>
      <c r="H1543" t="b">
        <v>0</v>
      </c>
      <c r="I1543" t="s">
        <v>1051</v>
      </c>
      <c r="J1543">
        <v>78</v>
      </c>
      <c r="K1543" t="s">
        <v>0</v>
      </c>
      <c r="L1543" t="s">
        <v>3000</v>
      </c>
      <c r="M1543" t="s">
        <v>1548</v>
      </c>
      <c r="N1543" t="s">
        <v>1548</v>
      </c>
      <c r="O1543" t="s">
        <v>1548</v>
      </c>
      <c r="P1543" s="36" t="s">
        <v>6505</v>
      </c>
    </row>
    <row r="1544" spans="1:16" ht="409.5" x14ac:dyDescent="0.25">
      <c r="A1544" t="s">
        <v>8334</v>
      </c>
      <c r="B1544" t="s">
        <v>8335</v>
      </c>
      <c r="C1544" t="s">
        <v>6503</v>
      </c>
      <c r="D1544" t="s">
        <v>1027</v>
      </c>
      <c r="E1544">
        <v>1488</v>
      </c>
      <c r="F1544" t="s">
        <v>6504</v>
      </c>
      <c r="G1544" t="b">
        <v>0</v>
      </c>
      <c r="H1544" t="b">
        <v>0</v>
      </c>
      <c r="I1544" t="s">
        <v>1051</v>
      </c>
      <c r="J1544">
        <v>78</v>
      </c>
      <c r="K1544" t="s">
        <v>0</v>
      </c>
      <c r="L1544" t="s">
        <v>3000</v>
      </c>
      <c r="M1544" t="s">
        <v>1548</v>
      </c>
      <c r="N1544" t="s">
        <v>1548</v>
      </c>
      <c r="O1544" t="s">
        <v>1548</v>
      </c>
      <c r="P1544" s="36" t="s">
        <v>6505</v>
      </c>
    </row>
    <row r="1545" spans="1:16" ht="409.5" x14ac:dyDescent="0.25">
      <c r="A1545" t="s">
        <v>8336</v>
      </c>
      <c r="B1545" t="s">
        <v>8337</v>
      </c>
      <c r="C1545" t="s">
        <v>6503</v>
      </c>
      <c r="D1545" t="s">
        <v>1027</v>
      </c>
      <c r="E1545">
        <v>1488</v>
      </c>
      <c r="F1545" t="s">
        <v>6504</v>
      </c>
      <c r="G1545" t="b">
        <v>0</v>
      </c>
      <c r="H1545" t="b">
        <v>0</v>
      </c>
      <c r="I1545" t="s">
        <v>1051</v>
      </c>
      <c r="J1545">
        <v>81</v>
      </c>
      <c r="K1545" t="s">
        <v>0</v>
      </c>
      <c r="L1545" t="s">
        <v>3000</v>
      </c>
      <c r="M1545" t="s">
        <v>1548</v>
      </c>
      <c r="N1545" t="s">
        <v>1548</v>
      </c>
      <c r="O1545" t="s">
        <v>1548</v>
      </c>
      <c r="P1545" s="36" t="s">
        <v>6505</v>
      </c>
    </row>
    <row r="1546" spans="1:16" ht="409.5" x14ac:dyDescent="0.25">
      <c r="A1546" t="s">
        <v>8338</v>
      </c>
      <c r="B1546" t="s">
        <v>8337</v>
      </c>
      <c r="C1546" t="s">
        <v>6503</v>
      </c>
      <c r="D1546" t="s">
        <v>1027</v>
      </c>
      <c r="E1546">
        <v>1488</v>
      </c>
      <c r="F1546" t="s">
        <v>6504</v>
      </c>
      <c r="G1546" t="b">
        <v>0</v>
      </c>
      <c r="H1546" t="b">
        <v>0</v>
      </c>
      <c r="I1546" t="s">
        <v>1051</v>
      </c>
      <c r="J1546">
        <v>81</v>
      </c>
      <c r="K1546" t="s">
        <v>0</v>
      </c>
      <c r="L1546" t="s">
        <v>3000</v>
      </c>
      <c r="M1546" t="s">
        <v>1548</v>
      </c>
      <c r="N1546" t="s">
        <v>1548</v>
      </c>
      <c r="O1546" t="s">
        <v>1548</v>
      </c>
      <c r="P1546" s="36" t="s">
        <v>6505</v>
      </c>
    </row>
    <row r="1547" spans="1:16" ht="409.5" x14ac:dyDescent="0.25">
      <c r="A1547" t="s">
        <v>8339</v>
      </c>
      <c r="B1547" t="s">
        <v>8340</v>
      </c>
      <c r="C1547" t="s">
        <v>6503</v>
      </c>
      <c r="D1547" t="s">
        <v>1027</v>
      </c>
      <c r="E1547">
        <v>1488</v>
      </c>
      <c r="F1547" t="s">
        <v>6504</v>
      </c>
      <c r="G1547" t="b">
        <v>0</v>
      </c>
      <c r="H1547" t="b">
        <v>0</v>
      </c>
      <c r="I1547" t="s">
        <v>1051</v>
      </c>
      <c r="J1547">
        <v>81</v>
      </c>
      <c r="K1547" t="s">
        <v>0</v>
      </c>
      <c r="L1547" t="s">
        <v>3000</v>
      </c>
      <c r="M1547" t="s">
        <v>1548</v>
      </c>
      <c r="N1547" t="s">
        <v>1548</v>
      </c>
      <c r="O1547" t="s">
        <v>1548</v>
      </c>
      <c r="P1547" s="36" t="s">
        <v>6505</v>
      </c>
    </row>
    <row r="1548" spans="1:16" ht="409.5" x14ac:dyDescent="0.25">
      <c r="A1548" t="s">
        <v>8341</v>
      </c>
      <c r="B1548" t="s">
        <v>8340</v>
      </c>
      <c r="C1548" t="s">
        <v>6503</v>
      </c>
      <c r="D1548" t="s">
        <v>1027</v>
      </c>
      <c r="E1548">
        <v>1488</v>
      </c>
      <c r="F1548" t="s">
        <v>6504</v>
      </c>
      <c r="G1548" t="b">
        <v>0</v>
      </c>
      <c r="H1548" t="b">
        <v>0</v>
      </c>
      <c r="I1548" t="s">
        <v>1051</v>
      </c>
      <c r="J1548">
        <v>81</v>
      </c>
      <c r="K1548" t="s">
        <v>0</v>
      </c>
      <c r="L1548" t="s">
        <v>3000</v>
      </c>
      <c r="M1548" t="s">
        <v>1548</v>
      </c>
      <c r="N1548" t="s">
        <v>1548</v>
      </c>
      <c r="O1548" t="s">
        <v>1548</v>
      </c>
      <c r="P1548" s="36" t="s">
        <v>6505</v>
      </c>
    </row>
    <row r="1549" spans="1:16" ht="409.5" x14ac:dyDescent="0.25">
      <c r="A1549" t="s">
        <v>8342</v>
      </c>
      <c r="B1549" t="s">
        <v>8343</v>
      </c>
      <c r="C1549" t="s">
        <v>7622</v>
      </c>
      <c r="D1549" t="s">
        <v>1027</v>
      </c>
      <c r="G1549" t="b">
        <v>0</v>
      </c>
      <c r="H1549" t="b">
        <v>0</v>
      </c>
      <c r="I1549" t="s">
        <v>1051</v>
      </c>
      <c r="J1549">
        <v>78</v>
      </c>
      <c r="K1549" t="s">
        <v>0</v>
      </c>
      <c r="L1549" t="s">
        <v>3000</v>
      </c>
      <c r="M1549" t="s">
        <v>1548</v>
      </c>
      <c r="N1549" t="s">
        <v>1548</v>
      </c>
      <c r="O1549" t="s">
        <v>3922</v>
      </c>
      <c r="P1549" s="36" t="s">
        <v>7623</v>
      </c>
    </row>
    <row r="1550" spans="1:16" ht="409.5" x14ac:dyDescent="0.25">
      <c r="A1550" t="s">
        <v>8344</v>
      </c>
      <c r="B1550" t="s">
        <v>8345</v>
      </c>
      <c r="C1550" t="s">
        <v>6473</v>
      </c>
      <c r="D1550" t="s">
        <v>1027</v>
      </c>
      <c r="E1550">
        <v>33419</v>
      </c>
      <c r="F1550" t="s">
        <v>6474</v>
      </c>
      <c r="G1550" t="b">
        <v>0</v>
      </c>
      <c r="H1550" t="b">
        <v>0</v>
      </c>
      <c r="I1550" t="s">
        <v>1051</v>
      </c>
      <c r="J1550">
        <v>78</v>
      </c>
      <c r="K1550" t="s">
        <v>0</v>
      </c>
      <c r="L1550" t="s">
        <v>3000</v>
      </c>
      <c r="M1550" t="s">
        <v>1548</v>
      </c>
      <c r="N1550" t="s">
        <v>1548</v>
      </c>
      <c r="O1550" t="s">
        <v>1548</v>
      </c>
      <c r="P1550" s="36" t="s">
        <v>6448</v>
      </c>
    </row>
    <row r="1551" spans="1:16" ht="409.5" x14ac:dyDescent="0.25">
      <c r="A1551" t="s">
        <v>8346</v>
      </c>
      <c r="B1551" t="s">
        <v>8345</v>
      </c>
      <c r="C1551" t="s">
        <v>6473</v>
      </c>
      <c r="D1551" t="s">
        <v>1027</v>
      </c>
      <c r="E1551">
        <v>33419</v>
      </c>
      <c r="F1551" t="s">
        <v>6474</v>
      </c>
      <c r="G1551" t="b">
        <v>0</v>
      </c>
      <c r="H1551" t="b">
        <v>0</v>
      </c>
      <c r="I1551" t="s">
        <v>1051</v>
      </c>
      <c r="J1551">
        <v>78</v>
      </c>
      <c r="K1551" t="s">
        <v>0</v>
      </c>
      <c r="L1551" t="s">
        <v>3000</v>
      </c>
      <c r="M1551" t="s">
        <v>1548</v>
      </c>
      <c r="N1551" t="s">
        <v>1548</v>
      </c>
      <c r="O1551" t="s">
        <v>1548</v>
      </c>
      <c r="P1551" s="36" t="s">
        <v>6448</v>
      </c>
    </row>
    <row r="1552" spans="1:16" ht="409.5" x14ac:dyDescent="0.25">
      <c r="A1552" t="s">
        <v>8347</v>
      </c>
      <c r="B1552" t="s">
        <v>8348</v>
      </c>
      <c r="C1552" t="s">
        <v>6473</v>
      </c>
      <c r="D1552" t="s">
        <v>1027</v>
      </c>
      <c r="E1552">
        <v>33419</v>
      </c>
      <c r="F1552" t="s">
        <v>6474</v>
      </c>
      <c r="G1552" t="b">
        <v>0</v>
      </c>
      <c r="H1552" t="b">
        <v>0</v>
      </c>
      <c r="I1552" t="s">
        <v>1051</v>
      </c>
      <c r="J1552">
        <v>78</v>
      </c>
      <c r="K1552" t="s">
        <v>0</v>
      </c>
      <c r="L1552" t="s">
        <v>3000</v>
      </c>
      <c r="M1552" t="s">
        <v>1548</v>
      </c>
      <c r="N1552" t="s">
        <v>1548</v>
      </c>
      <c r="O1552" t="s">
        <v>1548</v>
      </c>
      <c r="P1552" s="36" t="s">
        <v>6448</v>
      </c>
    </row>
    <row r="1553" spans="1:16" ht="409.5" x14ac:dyDescent="0.25">
      <c r="A1553" t="s">
        <v>8349</v>
      </c>
      <c r="B1553" t="s">
        <v>8348</v>
      </c>
      <c r="C1553" t="s">
        <v>6473</v>
      </c>
      <c r="D1553" t="s">
        <v>1027</v>
      </c>
      <c r="E1553">
        <v>33419</v>
      </c>
      <c r="F1553" t="s">
        <v>6474</v>
      </c>
      <c r="G1553" t="b">
        <v>0</v>
      </c>
      <c r="H1553" t="b">
        <v>0</v>
      </c>
      <c r="I1553" t="s">
        <v>1051</v>
      </c>
      <c r="J1553">
        <v>78</v>
      </c>
      <c r="K1553" t="s">
        <v>0</v>
      </c>
      <c r="L1553" t="s">
        <v>3000</v>
      </c>
      <c r="M1553" t="s">
        <v>1548</v>
      </c>
      <c r="N1553" t="s">
        <v>1548</v>
      </c>
      <c r="O1553" t="s">
        <v>1548</v>
      </c>
      <c r="P1553" s="36" t="s">
        <v>6448</v>
      </c>
    </row>
    <row r="1554" spans="1:16" ht="409.5" x14ac:dyDescent="0.25">
      <c r="A1554" t="s">
        <v>8350</v>
      </c>
      <c r="B1554" t="s">
        <v>8351</v>
      </c>
      <c r="C1554" t="s">
        <v>6473</v>
      </c>
      <c r="D1554" t="s">
        <v>1027</v>
      </c>
      <c r="E1554">
        <v>33419</v>
      </c>
      <c r="F1554" t="s">
        <v>6474</v>
      </c>
      <c r="G1554" t="b">
        <v>0</v>
      </c>
      <c r="H1554" t="b">
        <v>0</v>
      </c>
      <c r="I1554" t="s">
        <v>1051</v>
      </c>
      <c r="J1554">
        <v>78</v>
      </c>
      <c r="K1554" t="s">
        <v>0</v>
      </c>
      <c r="L1554" t="s">
        <v>3000</v>
      </c>
      <c r="M1554" t="s">
        <v>1548</v>
      </c>
      <c r="N1554" t="s">
        <v>1548</v>
      </c>
      <c r="O1554" t="s">
        <v>1548</v>
      </c>
      <c r="P1554" s="36" t="s">
        <v>6448</v>
      </c>
    </row>
    <row r="1555" spans="1:16" ht="409.5" x14ac:dyDescent="0.25">
      <c r="A1555" t="s">
        <v>8352</v>
      </c>
      <c r="B1555" t="s">
        <v>8351</v>
      </c>
      <c r="C1555" t="s">
        <v>6473</v>
      </c>
      <c r="D1555" t="s">
        <v>1027</v>
      </c>
      <c r="E1555">
        <v>33419</v>
      </c>
      <c r="F1555" t="s">
        <v>6474</v>
      </c>
      <c r="G1555" t="b">
        <v>0</v>
      </c>
      <c r="H1555" t="b">
        <v>0</v>
      </c>
      <c r="I1555" t="s">
        <v>1051</v>
      </c>
      <c r="J1555">
        <v>78</v>
      </c>
      <c r="K1555" t="s">
        <v>0</v>
      </c>
      <c r="L1555" t="s">
        <v>3000</v>
      </c>
      <c r="M1555" t="s">
        <v>1548</v>
      </c>
      <c r="N1555" t="s">
        <v>1548</v>
      </c>
      <c r="O1555" t="s">
        <v>1548</v>
      </c>
      <c r="P1555" s="36" t="s">
        <v>6448</v>
      </c>
    </row>
    <row r="1556" spans="1:16" ht="409.5" x14ac:dyDescent="0.25">
      <c r="A1556" t="s">
        <v>8353</v>
      </c>
      <c r="B1556" t="s">
        <v>8354</v>
      </c>
      <c r="C1556" t="s">
        <v>6473</v>
      </c>
      <c r="D1556" t="s">
        <v>1027</v>
      </c>
      <c r="E1556">
        <v>33419</v>
      </c>
      <c r="F1556" t="s">
        <v>6474</v>
      </c>
      <c r="G1556" t="b">
        <v>0</v>
      </c>
      <c r="H1556" t="b">
        <v>0</v>
      </c>
      <c r="I1556" t="s">
        <v>1051</v>
      </c>
      <c r="J1556">
        <v>78</v>
      </c>
      <c r="K1556" t="s">
        <v>0</v>
      </c>
      <c r="L1556" t="s">
        <v>3000</v>
      </c>
      <c r="M1556" t="s">
        <v>1548</v>
      </c>
      <c r="N1556" t="s">
        <v>1548</v>
      </c>
      <c r="O1556" t="s">
        <v>1548</v>
      </c>
      <c r="P1556" s="36" t="s">
        <v>6448</v>
      </c>
    </row>
    <row r="1557" spans="1:16" ht="409.5" x14ac:dyDescent="0.25">
      <c r="A1557" t="s">
        <v>8355</v>
      </c>
      <c r="B1557" t="s">
        <v>8356</v>
      </c>
      <c r="C1557" t="s">
        <v>6473</v>
      </c>
      <c r="D1557" t="s">
        <v>1027</v>
      </c>
      <c r="E1557">
        <v>33419</v>
      </c>
      <c r="F1557" t="s">
        <v>6474</v>
      </c>
      <c r="G1557" t="b">
        <v>0</v>
      </c>
      <c r="H1557" t="b">
        <v>0</v>
      </c>
      <c r="I1557" t="s">
        <v>1051</v>
      </c>
      <c r="J1557">
        <v>78</v>
      </c>
      <c r="K1557" t="s">
        <v>0</v>
      </c>
      <c r="L1557" t="s">
        <v>3000</v>
      </c>
      <c r="M1557" t="s">
        <v>1548</v>
      </c>
      <c r="N1557" t="s">
        <v>1548</v>
      </c>
      <c r="O1557" t="s">
        <v>1548</v>
      </c>
      <c r="P1557" s="36" t="s">
        <v>6448</v>
      </c>
    </row>
    <row r="1558" spans="1:16" ht="409.5" x14ac:dyDescent="0.25">
      <c r="A1558" t="s">
        <v>8357</v>
      </c>
      <c r="B1558" t="s">
        <v>8354</v>
      </c>
      <c r="C1558" t="s">
        <v>6473</v>
      </c>
      <c r="D1558" t="s">
        <v>1027</v>
      </c>
      <c r="E1558">
        <v>33419</v>
      </c>
      <c r="F1558" t="s">
        <v>6474</v>
      </c>
      <c r="G1558" t="b">
        <v>0</v>
      </c>
      <c r="H1558" t="b">
        <v>0</v>
      </c>
      <c r="I1558" t="s">
        <v>1051</v>
      </c>
      <c r="J1558">
        <v>78</v>
      </c>
      <c r="K1558" t="s">
        <v>0</v>
      </c>
      <c r="L1558" t="s">
        <v>3000</v>
      </c>
      <c r="M1558" t="s">
        <v>1548</v>
      </c>
      <c r="N1558" t="s">
        <v>1548</v>
      </c>
      <c r="O1558" t="s">
        <v>1548</v>
      </c>
      <c r="P1558" s="36" t="s">
        <v>6448</v>
      </c>
    </row>
    <row r="1559" spans="1:16" ht="409.5" x14ac:dyDescent="0.25">
      <c r="A1559" t="s">
        <v>8358</v>
      </c>
      <c r="B1559" t="s">
        <v>8359</v>
      </c>
      <c r="C1559" t="s">
        <v>6473</v>
      </c>
      <c r="D1559" t="s">
        <v>1027</v>
      </c>
      <c r="E1559">
        <v>33419</v>
      </c>
      <c r="F1559" t="s">
        <v>6474</v>
      </c>
      <c r="G1559" t="b">
        <v>0</v>
      </c>
      <c r="H1559" t="b">
        <v>0</v>
      </c>
      <c r="I1559" t="s">
        <v>1051</v>
      </c>
      <c r="J1559">
        <v>78</v>
      </c>
      <c r="K1559" t="s">
        <v>0</v>
      </c>
      <c r="L1559" t="s">
        <v>3000</v>
      </c>
      <c r="M1559" t="s">
        <v>1548</v>
      </c>
      <c r="N1559" t="s">
        <v>1548</v>
      </c>
      <c r="O1559" t="s">
        <v>1548</v>
      </c>
      <c r="P1559" s="36" t="s">
        <v>6448</v>
      </c>
    </row>
    <row r="1560" spans="1:16" ht="409.5" x14ac:dyDescent="0.25">
      <c r="A1560" t="s">
        <v>8360</v>
      </c>
      <c r="B1560" t="s">
        <v>8359</v>
      </c>
      <c r="C1560" t="s">
        <v>6473</v>
      </c>
      <c r="D1560" t="s">
        <v>1027</v>
      </c>
      <c r="E1560">
        <v>33419</v>
      </c>
      <c r="F1560" t="s">
        <v>6474</v>
      </c>
      <c r="G1560" t="b">
        <v>0</v>
      </c>
      <c r="H1560" t="b">
        <v>0</v>
      </c>
      <c r="I1560" t="s">
        <v>1051</v>
      </c>
      <c r="J1560">
        <v>78</v>
      </c>
      <c r="K1560" t="s">
        <v>0</v>
      </c>
      <c r="L1560" t="s">
        <v>3000</v>
      </c>
      <c r="M1560" t="s">
        <v>1548</v>
      </c>
      <c r="N1560" t="s">
        <v>1548</v>
      </c>
      <c r="O1560" t="s">
        <v>1548</v>
      </c>
      <c r="P1560" s="36" t="s">
        <v>6448</v>
      </c>
    </row>
    <row r="1561" spans="1:16" ht="409.5" x14ac:dyDescent="0.25">
      <c r="A1561" t="s">
        <v>8361</v>
      </c>
      <c r="B1561" t="s">
        <v>8362</v>
      </c>
      <c r="C1561" t="s">
        <v>6473</v>
      </c>
      <c r="D1561" t="s">
        <v>1027</v>
      </c>
      <c r="E1561">
        <v>33419</v>
      </c>
      <c r="F1561" t="s">
        <v>6474</v>
      </c>
      <c r="G1561" t="b">
        <v>0</v>
      </c>
      <c r="H1561" t="b">
        <v>0</v>
      </c>
      <c r="I1561" t="s">
        <v>1051</v>
      </c>
      <c r="J1561">
        <v>78</v>
      </c>
      <c r="K1561" t="s">
        <v>0</v>
      </c>
      <c r="L1561" t="s">
        <v>3000</v>
      </c>
      <c r="M1561" t="s">
        <v>1548</v>
      </c>
      <c r="N1561" t="s">
        <v>1548</v>
      </c>
      <c r="O1561" t="s">
        <v>1548</v>
      </c>
      <c r="P1561" s="36" t="s">
        <v>6448</v>
      </c>
    </row>
    <row r="1562" spans="1:16" ht="409.5" x14ac:dyDescent="0.25">
      <c r="A1562" t="s">
        <v>8363</v>
      </c>
      <c r="B1562" t="s">
        <v>8362</v>
      </c>
      <c r="C1562" t="s">
        <v>6473</v>
      </c>
      <c r="D1562" t="s">
        <v>1027</v>
      </c>
      <c r="E1562">
        <v>33419</v>
      </c>
      <c r="F1562" t="s">
        <v>6474</v>
      </c>
      <c r="G1562" t="b">
        <v>0</v>
      </c>
      <c r="H1562" t="b">
        <v>0</v>
      </c>
      <c r="I1562" t="s">
        <v>1051</v>
      </c>
      <c r="J1562">
        <v>78</v>
      </c>
      <c r="K1562" t="s">
        <v>0</v>
      </c>
      <c r="L1562" t="s">
        <v>3000</v>
      </c>
      <c r="M1562" t="s">
        <v>1548</v>
      </c>
      <c r="N1562" t="s">
        <v>1548</v>
      </c>
      <c r="O1562" t="s">
        <v>1548</v>
      </c>
      <c r="P1562" s="36" t="s">
        <v>6448</v>
      </c>
    </row>
    <row r="1563" spans="1:16" ht="409.5" x14ac:dyDescent="0.25">
      <c r="A1563" t="s">
        <v>8364</v>
      </c>
      <c r="B1563" t="s">
        <v>8365</v>
      </c>
      <c r="C1563" t="s">
        <v>6473</v>
      </c>
      <c r="D1563" t="s">
        <v>1027</v>
      </c>
      <c r="E1563">
        <v>33419</v>
      </c>
      <c r="F1563" t="s">
        <v>6474</v>
      </c>
      <c r="G1563" t="b">
        <v>0</v>
      </c>
      <c r="H1563" t="b">
        <v>0</v>
      </c>
      <c r="I1563" t="s">
        <v>1051</v>
      </c>
      <c r="J1563">
        <v>78</v>
      </c>
      <c r="K1563" t="s">
        <v>0</v>
      </c>
      <c r="L1563" t="s">
        <v>3000</v>
      </c>
      <c r="M1563" t="s">
        <v>1548</v>
      </c>
      <c r="N1563" t="s">
        <v>1548</v>
      </c>
      <c r="O1563" t="s">
        <v>1548</v>
      </c>
      <c r="P1563" s="36" t="s">
        <v>6448</v>
      </c>
    </row>
    <row r="1564" spans="1:16" ht="409.5" x14ac:dyDescent="0.25">
      <c r="A1564" t="s">
        <v>8366</v>
      </c>
      <c r="B1564" t="s">
        <v>8365</v>
      </c>
      <c r="C1564" t="s">
        <v>6473</v>
      </c>
      <c r="D1564" t="s">
        <v>1027</v>
      </c>
      <c r="E1564">
        <v>33419</v>
      </c>
      <c r="F1564" t="s">
        <v>6474</v>
      </c>
      <c r="G1564" t="b">
        <v>0</v>
      </c>
      <c r="H1564" t="b">
        <v>0</v>
      </c>
      <c r="I1564" t="s">
        <v>1051</v>
      </c>
      <c r="J1564">
        <v>78</v>
      </c>
      <c r="K1564" t="s">
        <v>0</v>
      </c>
      <c r="L1564" t="s">
        <v>3000</v>
      </c>
      <c r="M1564" t="s">
        <v>1548</v>
      </c>
      <c r="N1564" t="s">
        <v>1548</v>
      </c>
      <c r="O1564" t="s">
        <v>1548</v>
      </c>
      <c r="P1564" s="36" t="s">
        <v>6448</v>
      </c>
    </row>
    <row r="1565" spans="1:16" ht="409.5" x14ac:dyDescent="0.25">
      <c r="A1565" t="s">
        <v>8367</v>
      </c>
      <c r="B1565" t="s">
        <v>8368</v>
      </c>
      <c r="C1565" t="s">
        <v>6473</v>
      </c>
      <c r="D1565" t="s">
        <v>1027</v>
      </c>
      <c r="E1565">
        <v>33419</v>
      </c>
      <c r="F1565" t="s">
        <v>6474</v>
      </c>
      <c r="G1565" t="b">
        <v>0</v>
      </c>
      <c r="H1565" t="b">
        <v>0</v>
      </c>
      <c r="I1565" t="s">
        <v>1051</v>
      </c>
      <c r="J1565">
        <v>78</v>
      </c>
      <c r="K1565" t="s">
        <v>0</v>
      </c>
      <c r="L1565" t="s">
        <v>3000</v>
      </c>
      <c r="M1565" t="s">
        <v>1548</v>
      </c>
      <c r="N1565" t="s">
        <v>1548</v>
      </c>
      <c r="O1565" t="s">
        <v>1548</v>
      </c>
      <c r="P1565" s="36" t="s">
        <v>6448</v>
      </c>
    </row>
    <row r="1566" spans="1:16" ht="409.5" x14ac:dyDescent="0.25">
      <c r="A1566" t="s">
        <v>8369</v>
      </c>
      <c r="B1566" t="s">
        <v>8370</v>
      </c>
      <c r="C1566" t="s">
        <v>6473</v>
      </c>
      <c r="D1566" t="s">
        <v>1027</v>
      </c>
      <c r="E1566">
        <v>33419</v>
      </c>
      <c r="F1566" t="s">
        <v>6474</v>
      </c>
      <c r="G1566" t="b">
        <v>0</v>
      </c>
      <c r="H1566" t="b">
        <v>0</v>
      </c>
      <c r="I1566" t="s">
        <v>1051</v>
      </c>
      <c r="J1566">
        <v>78</v>
      </c>
      <c r="K1566" t="s">
        <v>0</v>
      </c>
      <c r="L1566" t="s">
        <v>3000</v>
      </c>
      <c r="M1566" t="s">
        <v>1548</v>
      </c>
      <c r="N1566" t="s">
        <v>1548</v>
      </c>
      <c r="O1566" t="s">
        <v>1548</v>
      </c>
      <c r="P1566" s="36" t="s">
        <v>6448</v>
      </c>
    </row>
    <row r="1567" spans="1:16" ht="409.5" x14ac:dyDescent="0.25">
      <c r="A1567" t="s">
        <v>8371</v>
      </c>
      <c r="B1567" t="s">
        <v>8372</v>
      </c>
      <c r="C1567" t="s">
        <v>6473</v>
      </c>
      <c r="D1567" t="s">
        <v>1027</v>
      </c>
      <c r="E1567">
        <v>33419</v>
      </c>
      <c r="F1567" t="s">
        <v>6474</v>
      </c>
      <c r="G1567" t="b">
        <v>0</v>
      </c>
      <c r="H1567" t="b">
        <v>0</v>
      </c>
      <c r="I1567" t="s">
        <v>1051</v>
      </c>
      <c r="J1567">
        <v>78</v>
      </c>
      <c r="K1567" t="s">
        <v>0</v>
      </c>
      <c r="L1567" t="s">
        <v>3000</v>
      </c>
      <c r="M1567" t="s">
        <v>1548</v>
      </c>
      <c r="N1567" t="s">
        <v>1548</v>
      </c>
      <c r="O1567" t="s">
        <v>1548</v>
      </c>
      <c r="P1567" s="36" t="s">
        <v>6448</v>
      </c>
    </row>
    <row r="1568" spans="1:16" ht="409.5" x14ac:dyDescent="0.25">
      <c r="A1568" t="s">
        <v>8373</v>
      </c>
      <c r="B1568" t="s">
        <v>8374</v>
      </c>
      <c r="C1568" t="s">
        <v>6473</v>
      </c>
      <c r="D1568" t="s">
        <v>1027</v>
      </c>
      <c r="E1568">
        <v>33419</v>
      </c>
      <c r="F1568" t="s">
        <v>6474</v>
      </c>
      <c r="G1568" t="b">
        <v>0</v>
      </c>
      <c r="H1568" t="b">
        <v>0</v>
      </c>
      <c r="I1568" t="s">
        <v>1051</v>
      </c>
      <c r="J1568">
        <v>78</v>
      </c>
      <c r="K1568" t="s">
        <v>0</v>
      </c>
      <c r="L1568" t="s">
        <v>3000</v>
      </c>
      <c r="M1568" t="s">
        <v>1548</v>
      </c>
      <c r="N1568" t="s">
        <v>1548</v>
      </c>
      <c r="O1568" t="s">
        <v>1548</v>
      </c>
      <c r="P1568" s="36" t="s">
        <v>6448</v>
      </c>
    </row>
    <row r="1569" spans="1:16" ht="409.5" x14ac:dyDescent="0.25">
      <c r="A1569" t="s">
        <v>8375</v>
      </c>
      <c r="B1569" t="s">
        <v>8374</v>
      </c>
      <c r="C1569" t="s">
        <v>6473</v>
      </c>
      <c r="D1569" t="s">
        <v>1027</v>
      </c>
      <c r="E1569">
        <v>33419</v>
      </c>
      <c r="F1569" t="s">
        <v>6474</v>
      </c>
      <c r="G1569" t="b">
        <v>0</v>
      </c>
      <c r="H1569" t="b">
        <v>0</v>
      </c>
      <c r="I1569" t="s">
        <v>1051</v>
      </c>
      <c r="J1569">
        <v>78</v>
      </c>
      <c r="K1569" t="s">
        <v>0</v>
      </c>
      <c r="L1569" t="s">
        <v>3000</v>
      </c>
      <c r="M1569" t="s">
        <v>1548</v>
      </c>
      <c r="N1569" t="s">
        <v>1548</v>
      </c>
      <c r="O1569" t="s">
        <v>1548</v>
      </c>
      <c r="P1569" s="36" t="s">
        <v>6448</v>
      </c>
    </row>
    <row r="1570" spans="1:16" ht="409.5" x14ac:dyDescent="0.25">
      <c r="A1570" t="s">
        <v>8376</v>
      </c>
      <c r="B1570" t="s">
        <v>8351</v>
      </c>
      <c r="C1570" t="s">
        <v>6473</v>
      </c>
      <c r="D1570" t="s">
        <v>1027</v>
      </c>
      <c r="E1570">
        <v>33419</v>
      </c>
      <c r="F1570" t="s">
        <v>6474</v>
      </c>
      <c r="G1570" t="b">
        <v>0</v>
      </c>
      <c r="H1570" t="b">
        <v>0</v>
      </c>
      <c r="I1570" t="s">
        <v>1051</v>
      </c>
      <c r="J1570">
        <v>78</v>
      </c>
      <c r="K1570" t="s">
        <v>0</v>
      </c>
      <c r="L1570" t="s">
        <v>3000</v>
      </c>
      <c r="M1570" t="s">
        <v>1548</v>
      </c>
      <c r="N1570" t="s">
        <v>1548</v>
      </c>
      <c r="O1570" t="s">
        <v>1548</v>
      </c>
      <c r="P1570" s="36" t="s">
        <v>6448</v>
      </c>
    </row>
    <row r="1571" spans="1:16" ht="409.5" x14ac:dyDescent="0.25">
      <c r="A1571" t="s">
        <v>8377</v>
      </c>
      <c r="B1571" t="s">
        <v>8351</v>
      </c>
      <c r="C1571" t="s">
        <v>6473</v>
      </c>
      <c r="D1571" t="s">
        <v>1027</v>
      </c>
      <c r="E1571">
        <v>33419</v>
      </c>
      <c r="F1571" t="s">
        <v>6474</v>
      </c>
      <c r="G1571" t="b">
        <v>0</v>
      </c>
      <c r="H1571" t="b">
        <v>0</v>
      </c>
      <c r="I1571" t="s">
        <v>1051</v>
      </c>
      <c r="J1571">
        <v>78</v>
      </c>
      <c r="K1571" t="s">
        <v>0</v>
      </c>
      <c r="L1571" t="s">
        <v>3000</v>
      </c>
      <c r="M1571" t="s">
        <v>1548</v>
      </c>
      <c r="N1571" t="s">
        <v>1548</v>
      </c>
      <c r="O1571" t="s">
        <v>1548</v>
      </c>
      <c r="P1571" s="36" t="s">
        <v>6448</v>
      </c>
    </row>
    <row r="1572" spans="1:16" ht="409.5" x14ac:dyDescent="0.25">
      <c r="A1572" t="s">
        <v>8378</v>
      </c>
      <c r="B1572" t="s">
        <v>8379</v>
      </c>
      <c r="C1572" t="s">
        <v>6446</v>
      </c>
      <c r="D1572" t="s">
        <v>1027</v>
      </c>
      <c r="G1572" t="b">
        <v>0</v>
      </c>
      <c r="H1572" t="b">
        <v>0</v>
      </c>
      <c r="I1572" t="s">
        <v>1051</v>
      </c>
      <c r="J1572">
        <v>78</v>
      </c>
      <c r="K1572" t="s">
        <v>0</v>
      </c>
      <c r="L1572" t="s">
        <v>3000</v>
      </c>
      <c r="M1572" t="s">
        <v>1548</v>
      </c>
      <c r="N1572" t="s">
        <v>1548</v>
      </c>
      <c r="O1572" t="s">
        <v>1548</v>
      </c>
      <c r="P1572" s="36" t="s">
        <v>6448</v>
      </c>
    </row>
    <row r="1573" spans="1:16" ht="409.5" x14ac:dyDescent="0.25">
      <c r="A1573" t="s">
        <v>8380</v>
      </c>
      <c r="B1573" t="s">
        <v>8381</v>
      </c>
      <c r="C1573" t="s">
        <v>6503</v>
      </c>
      <c r="D1573" t="s">
        <v>1027</v>
      </c>
      <c r="E1573">
        <v>1488</v>
      </c>
      <c r="F1573" t="s">
        <v>6504</v>
      </c>
      <c r="G1573" t="b">
        <v>0</v>
      </c>
      <c r="H1573" t="b">
        <v>0</v>
      </c>
      <c r="I1573" t="s">
        <v>1051</v>
      </c>
      <c r="J1573">
        <v>78</v>
      </c>
      <c r="K1573" t="s">
        <v>0</v>
      </c>
      <c r="L1573" t="s">
        <v>3000</v>
      </c>
      <c r="M1573" t="s">
        <v>1548</v>
      </c>
      <c r="N1573" t="s">
        <v>1548</v>
      </c>
      <c r="O1573" t="s">
        <v>1548</v>
      </c>
      <c r="P1573" s="36" t="s">
        <v>6505</v>
      </c>
    </row>
    <row r="1574" spans="1:16" ht="409.5" x14ac:dyDescent="0.25">
      <c r="A1574" t="s">
        <v>8382</v>
      </c>
      <c r="B1574" t="s">
        <v>8383</v>
      </c>
      <c r="C1574" t="s">
        <v>6503</v>
      </c>
      <c r="D1574" t="s">
        <v>1027</v>
      </c>
      <c r="E1574">
        <v>1488</v>
      </c>
      <c r="F1574" t="s">
        <v>6504</v>
      </c>
      <c r="G1574" t="b">
        <v>0</v>
      </c>
      <c r="H1574" t="b">
        <v>0</v>
      </c>
      <c r="I1574" t="s">
        <v>1051</v>
      </c>
      <c r="J1574">
        <v>78</v>
      </c>
      <c r="K1574" t="s">
        <v>0</v>
      </c>
      <c r="L1574" t="s">
        <v>3000</v>
      </c>
      <c r="M1574" t="s">
        <v>1548</v>
      </c>
      <c r="N1574" t="s">
        <v>1548</v>
      </c>
      <c r="O1574" t="s">
        <v>1548</v>
      </c>
      <c r="P1574" s="36" t="s">
        <v>6505</v>
      </c>
    </row>
    <row r="1575" spans="1:16" ht="409.5" x14ac:dyDescent="0.25">
      <c r="A1575" t="s">
        <v>8384</v>
      </c>
      <c r="B1575" t="s">
        <v>8385</v>
      </c>
      <c r="C1575" t="s">
        <v>6503</v>
      </c>
      <c r="D1575" t="s">
        <v>1027</v>
      </c>
      <c r="E1575">
        <v>1488</v>
      </c>
      <c r="F1575" t="s">
        <v>6504</v>
      </c>
      <c r="G1575" t="b">
        <v>0</v>
      </c>
      <c r="H1575" t="b">
        <v>0</v>
      </c>
      <c r="I1575" t="s">
        <v>1051</v>
      </c>
      <c r="J1575">
        <v>78</v>
      </c>
      <c r="K1575" t="s">
        <v>0</v>
      </c>
      <c r="L1575" t="s">
        <v>3000</v>
      </c>
      <c r="M1575" t="s">
        <v>1548</v>
      </c>
      <c r="N1575" t="s">
        <v>1548</v>
      </c>
      <c r="O1575" t="s">
        <v>1548</v>
      </c>
      <c r="P1575" s="36" t="s">
        <v>6505</v>
      </c>
    </row>
    <row r="1576" spans="1:16" ht="409.5" x14ac:dyDescent="0.25">
      <c r="A1576" t="s">
        <v>8386</v>
      </c>
      <c r="B1576" t="s">
        <v>8387</v>
      </c>
      <c r="C1576" t="s">
        <v>6503</v>
      </c>
      <c r="D1576" t="s">
        <v>1027</v>
      </c>
      <c r="E1576">
        <v>1488</v>
      </c>
      <c r="F1576" t="s">
        <v>6504</v>
      </c>
      <c r="G1576" t="b">
        <v>0</v>
      </c>
      <c r="H1576" t="b">
        <v>0</v>
      </c>
      <c r="I1576" t="s">
        <v>1051</v>
      </c>
      <c r="J1576">
        <v>78</v>
      </c>
      <c r="K1576" t="s">
        <v>0</v>
      </c>
      <c r="L1576" t="s">
        <v>3000</v>
      </c>
      <c r="M1576" t="s">
        <v>1548</v>
      </c>
      <c r="N1576" t="s">
        <v>1548</v>
      </c>
      <c r="O1576" t="s">
        <v>1548</v>
      </c>
      <c r="P1576" s="36" t="s">
        <v>6505</v>
      </c>
    </row>
    <row r="1577" spans="1:16" ht="409.5" x14ac:dyDescent="0.25">
      <c r="A1577" t="s">
        <v>8388</v>
      </c>
      <c r="B1577" t="s">
        <v>8389</v>
      </c>
      <c r="C1577" t="s">
        <v>6503</v>
      </c>
      <c r="D1577" t="s">
        <v>1027</v>
      </c>
      <c r="E1577">
        <v>1488</v>
      </c>
      <c r="F1577" t="s">
        <v>6504</v>
      </c>
      <c r="G1577" t="b">
        <v>0</v>
      </c>
      <c r="H1577" t="b">
        <v>0</v>
      </c>
      <c r="I1577" t="s">
        <v>1051</v>
      </c>
      <c r="J1577">
        <v>78</v>
      </c>
      <c r="K1577" t="s">
        <v>0</v>
      </c>
      <c r="L1577" t="s">
        <v>3000</v>
      </c>
      <c r="M1577" t="s">
        <v>1548</v>
      </c>
      <c r="N1577" t="s">
        <v>1548</v>
      </c>
      <c r="O1577" t="s">
        <v>1548</v>
      </c>
      <c r="P1577" s="36" t="s">
        <v>6505</v>
      </c>
    </row>
    <row r="1578" spans="1:16" ht="409.5" x14ac:dyDescent="0.25">
      <c r="A1578" t="s">
        <v>8390</v>
      </c>
      <c r="B1578" t="s">
        <v>8383</v>
      </c>
      <c r="C1578" t="s">
        <v>6503</v>
      </c>
      <c r="D1578" t="s">
        <v>1027</v>
      </c>
      <c r="E1578">
        <v>1488</v>
      </c>
      <c r="F1578" t="s">
        <v>6504</v>
      </c>
      <c r="G1578" t="b">
        <v>0</v>
      </c>
      <c r="H1578" t="b">
        <v>0</v>
      </c>
      <c r="I1578" t="s">
        <v>1051</v>
      </c>
      <c r="J1578">
        <v>78</v>
      </c>
      <c r="K1578" t="s">
        <v>0</v>
      </c>
      <c r="L1578" t="s">
        <v>3000</v>
      </c>
      <c r="M1578" t="s">
        <v>1548</v>
      </c>
      <c r="N1578" t="s">
        <v>1548</v>
      </c>
      <c r="O1578" t="s">
        <v>1548</v>
      </c>
      <c r="P1578" s="36" t="s">
        <v>6505</v>
      </c>
    </row>
    <row r="1579" spans="1:16" ht="409.5" x14ac:dyDescent="0.25">
      <c r="A1579" t="s">
        <v>8391</v>
      </c>
      <c r="B1579" t="s">
        <v>8392</v>
      </c>
      <c r="C1579" t="s">
        <v>6446</v>
      </c>
      <c r="D1579" t="s">
        <v>1027</v>
      </c>
      <c r="G1579" t="b">
        <v>0</v>
      </c>
      <c r="H1579" t="b">
        <v>0</v>
      </c>
      <c r="I1579" t="s">
        <v>1051</v>
      </c>
      <c r="J1579">
        <v>78</v>
      </c>
      <c r="K1579" t="s">
        <v>0</v>
      </c>
      <c r="L1579" t="s">
        <v>3000</v>
      </c>
      <c r="M1579" t="s">
        <v>1548</v>
      </c>
      <c r="N1579" t="s">
        <v>1548</v>
      </c>
      <c r="O1579" t="s">
        <v>1548</v>
      </c>
      <c r="P1579" s="36" t="s">
        <v>6448</v>
      </c>
    </row>
    <row r="1580" spans="1:16" ht="409.5" x14ac:dyDescent="0.25">
      <c r="A1580" t="s">
        <v>8393</v>
      </c>
      <c r="B1580" t="s">
        <v>8394</v>
      </c>
      <c r="C1580" t="s">
        <v>6446</v>
      </c>
      <c r="D1580" t="s">
        <v>1027</v>
      </c>
      <c r="G1580" t="b">
        <v>0</v>
      </c>
      <c r="H1580" t="b">
        <v>0</v>
      </c>
      <c r="I1580" t="s">
        <v>1051</v>
      </c>
      <c r="J1580">
        <v>78</v>
      </c>
      <c r="K1580" t="s">
        <v>0</v>
      </c>
      <c r="L1580" t="s">
        <v>3000</v>
      </c>
      <c r="M1580" t="s">
        <v>1548</v>
      </c>
      <c r="N1580" t="s">
        <v>1548</v>
      </c>
      <c r="O1580" t="s">
        <v>1548</v>
      </c>
      <c r="P1580" s="36" t="s">
        <v>6448</v>
      </c>
    </row>
    <row r="1581" spans="1:16" ht="390" x14ac:dyDescent="0.25">
      <c r="A1581" t="s">
        <v>8395</v>
      </c>
      <c r="B1581" t="s">
        <v>8396</v>
      </c>
      <c r="C1581" t="s">
        <v>7395</v>
      </c>
      <c r="D1581" t="s">
        <v>1027</v>
      </c>
      <c r="E1581">
        <v>1679</v>
      </c>
      <c r="F1581" t="s">
        <v>7396</v>
      </c>
      <c r="G1581" t="b">
        <v>0</v>
      </c>
      <c r="H1581" t="b">
        <v>0</v>
      </c>
      <c r="I1581" t="s">
        <v>1051</v>
      </c>
      <c r="J1581">
        <v>81</v>
      </c>
      <c r="K1581" t="s">
        <v>0</v>
      </c>
      <c r="L1581" t="s">
        <v>3000</v>
      </c>
      <c r="M1581" t="s">
        <v>1548</v>
      </c>
      <c r="N1581" t="s">
        <v>1548</v>
      </c>
      <c r="O1581" t="s">
        <v>3922</v>
      </c>
      <c r="P1581" s="36" t="s">
        <v>7397</v>
      </c>
    </row>
    <row r="1582" spans="1:16" ht="390" x14ac:dyDescent="0.25">
      <c r="A1582" t="s">
        <v>8397</v>
      </c>
      <c r="B1582" t="s">
        <v>8396</v>
      </c>
      <c r="C1582" t="s">
        <v>7395</v>
      </c>
      <c r="D1582" t="s">
        <v>1027</v>
      </c>
      <c r="E1582">
        <v>1679</v>
      </c>
      <c r="F1582" t="s">
        <v>7396</v>
      </c>
      <c r="G1582" t="b">
        <v>0</v>
      </c>
      <c r="H1582" t="b">
        <v>0</v>
      </c>
      <c r="I1582" t="s">
        <v>1051</v>
      </c>
      <c r="J1582">
        <v>81</v>
      </c>
      <c r="K1582" t="s">
        <v>0</v>
      </c>
      <c r="L1582" t="s">
        <v>3000</v>
      </c>
      <c r="M1582" t="s">
        <v>1548</v>
      </c>
      <c r="N1582" t="s">
        <v>1548</v>
      </c>
      <c r="O1582" t="s">
        <v>3922</v>
      </c>
      <c r="P1582" s="36" t="s">
        <v>7397</v>
      </c>
    </row>
    <row r="1583" spans="1:16" ht="409.5" x14ac:dyDescent="0.25">
      <c r="A1583" t="s">
        <v>8398</v>
      </c>
      <c r="B1583" t="s">
        <v>8399</v>
      </c>
      <c r="C1583" t="s">
        <v>6503</v>
      </c>
      <c r="D1583" t="s">
        <v>1027</v>
      </c>
      <c r="E1583">
        <v>1488</v>
      </c>
      <c r="F1583" t="s">
        <v>6504</v>
      </c>
      <c r="G1583" t="b">
        <v>0</v>
      </c>
      <c r="H1583" t="b">
        <v>0</v>
      </c>
      <c r="I1583" t="s">
        <v>1051</v>
      </c>
      <c r="J1583">
        <v>78</v>
      </c>
      <c r="K1583" t="s">
        <v>0</v>
      </c>
      <c r="L1583" t="s">
        <v>3000</v>
      </c>
      <c r="M1583" t="s">
        <v>1548</v>
      </c>
      <c r="N1583" t="s">
        <v>1548</v>
      </c>
      <c r="O1583" t="s">
        <v>1548</v>
      </c>
      <c r="P1583" s="36" t="s">
        <v>6505</v>
      </c>
    </row>
    <row r="1584" spans="1:16" ht="409.5" x14ac:dyDescent="0.25">
      <c r="A1584" t="s">
        <v>8400</v>
      </c>
      <c r="B1584" t="s">
        <v>8401</v>
      </c>
      <c r="C1584" t="s">
        <v>6473</v>
      </c>
      <c r="D1584" t="s">
        <v>1027</v>
      </c>
      <c r="E1584">
        <v>33419</v>
      </c>
      <c r="F1584" t="s">
        <v>6474</v>
      </c>
      <c r="G1584" t="b">
        <v>0</v>
      </c>
      <c r="H1584" t="b">
        <v>0</v>
      </c>
      <c r="I1584" t="s">
        <v>1051</v>
      </c>
      <c r="J1584">
        <v>78</v>
      </c>
      <c r="K1584" t="s">
        <v>0</v>
      </c>
      <c r="L1584" t="s">
        <v>3000</v>
      </c>
      <c r="M1584" t="s">
        <v>1548</v>
      </c>
      <c r="N1584" t="s">
        <v>1548</v>
      </c>
      <c r="O1584" t="s">
        <v>1548</v>
      </c>
      <c r="P1584" s="36" t="s">
        <v>6448</v>
      </c>
    </row>
    <row r="1585" spans="1:16" ht="409.5" x14ac:dyDescent="0.25">
      <c r="A1585" t="s">
        <v>8402</v>
      </c>
      <c r="B1585" t="s">
        <v>8403</v>
      </c>
      <c r="C1585" t="s">
        <v>6473</v>
      </c>
      <c r="D1585" t="s">
        <v>1027</v>
      </c>
      <c r="E1585">
        <v>33419</v>
      </c>
      <c r="F1585" t="s">
        <v>6474</v>
      </c>
      <c r="G1585" t="b">
        <v>0</v>
      </c>
      <c r="H1585" t="b">
        <v>0</v>
      </c>
      <c r="I1585" t="s">
        <v>1051</v>
      </c>
      <c r="J1585">
        <v>78</v>
      </c>
      <c r="K1585" t="s">
        <v>0</v>
      </c>
      <c r="L1585" t="s">
        <v>3000</v>
      </c>
      <c r="M1585" t="s">
        <v>1548</v>
      </c>
      <c r="N1585" t="s">
        <v>1548</v>
      </c>
      <c r="O1585" t="s">
        <v>1548</v>
      </c>
      <c r="P1585" s="36" t="s">
        <v>6448</v>
      </c>
    </row>
    <row r="1586" spans="1:16" ht="409.5" x14ac:dyDescent="0.25">
      <c r="A1586" t="s">
        <v>8404</v>
      </c>
      <c r="B1586" t="s">
        <v>8405</v>
      </c>
      <c r="C1586" t="s">
        <v>6473</v>
      </c>
      <c r="D1586" t="s">
        <v>1027</v>
      </c>
      <c r="E1586">
        <v>33419</v>
      </c>
      <c r="F1586" t="s">
        <v>6474</v>
      </c>
      <c r="G1586" t="b">
        <v>0</v>
      </c>
      <c r="H1586" t="b">
        <v>0</v>
      </c>
      <c r="I1586" t="s">
        <v>1051</v>
      </c>
      <c r="J1586">
        <v>78</v>
      </c>
      <c r="K1586" t="s">
        <v>0</v>
      </c>
      <c r="L1586" t="s">
        <v>3000</v>
      </c>
      <c r="M1586" t="s">
        <v>1548</v>
      </c>
      <c r="N1586" t="s">
        <v>1548</v>
      </c>
      <c r="O1586" t="s">
        <v>1548</v>
      </c>
      <c r="P1586" s="36" t="s">
        <v>6448</v>
      </c>
    </row>
    <row r="1587" spans="1:16" ht="409.5" x14ac:dyDescent="0.25">
      <c r="A1587" t="s">
        <v>8406</v>
      </c>
      <c r="B1587" t="s">
        <v>8407</v>
      </c>
      <c r="C1587" t="s">
        <v>6473</v>
      </c>
      <c r="D1587" t="s">
        <v>1027</v>
      </c>
      <c r="E1587">
        <v>33419</v>
      </c>
      <c r="F1587" t="s">
        <v>6474</v>
      </c>
      <c r="G1587" t="b">
        <v>0</v>
      </c>
      <c r="H1587" t="b">
        <v>0</v>
      </c>
      <c r="I1587" t="s">
        <v>1051</v>
      </c>
      <c r="J1587">
        <v>78</v>
      </c>
      <c r="K1587" t="s">
        <v>0</v>
      </c>
      <c r="L1587" t="s">
        <v>3000</v>
      </c>
      <c r="M1587" t="s">
        <v>1548</v>
      </c>
      <c r="N1587" t="s">
        <v>1548</v>
      </c>
      <c r="O1587" t="s">
        <v>1548</v>
      </c>
      <c r="P1587" s="36" t="s">
        <v>6448</v>
      </c>
    </row>
    <row r="1588" spans="1:16" ht="409.5" x14ac:dyDescent="0.25">
      <c r="A1588" t="s">
        <v>8408</v>
      </c>
      <c r="B1588" t="s">
        <v>8407</v>
      </c>
      <c r="C1588" t="s">
        <v>6473</v>
      </c>
      <c r="D1588" t="s">
        <v>1027</v>
      </c>
      <c r="E1588">
        <v>33419</v>
      </c>
      <c r="F1588" t="s">
        <v>6474</v>
      </c>
      <c r="G1588" t="b">
        <v>0</v>
      </c>
      <c r="H1588" t="b">
        <v>0</v>
      </c>
      <c r="I1588" t="s">
        <v>1051</v>
      </c>
      <c r="J1588">
        <v>78</v>
      </c>
      <c r="K1588" t="s">
        <v>0</v>
      </c>
      <c r="L1588" t="s">
        <v>3000</v>
      </c>
      <c r="M1588" t="s">
        <v>1548</v>
      </c>
      <c r="N1588" t="s">
        <v>1548</v>
      </c>
      <c r="O1588" t="s">
        <v>1548</v>
      </c>
      <c r="P1588" s="36" t="s">
        <v>6448</v>
      </c>
    </row>
    <row r="1589" spans="1:16" ht="409.5" x14ac:dyDescent="0.25">
      <c r="A1589" t="s">
        <v>8409</v>
      </c>
      <c r="B1589" t="s">
        <v>8410</v>
      </c>
      <c r="C1589" t="s">
        <v>6446</v>
      </c>
      <c r="D1589" t="s">
        <v>1027</v>
      </c>
      <c r="E1589">
        <v>1402</v>
      </c>
      <c r="F1589" t="s">
        <v>6447</v>
      </c>
      <c r="G1589" t="b">
        <v>0</v>
      </c>
      <c r="H1589" t="b">
        <v>0</v>
      </c>
      <c r="I1589" t="s">
        <v>1051</v>
      </c>
      <c r="J1589">
        <v>78</v>
      </c>
      <c r="K1589" t="s">
        <v>0</v>
      </c>
      <c r="L1589" t="s">
        <v>3000</v>
      </c>
      <c r="M1589" t="s">
        <v>1548</v>
      </c>
      <c r="N1589" t="s">
        <v>1548</v>
      </c>
      <c r="O1589" t="s">
        <v>1548</v>
      </c>
      <c r="P1589" s="36" t="s">
        <v>6448</v>
      </c>
    </row>
    <row r="1590" spans="1:16" ht="409.5" x14ac:dyDescent="0.25">
      <c r="A1590" t="s">
        <v>8411</v>
      </c>
      <c r="B1590" t="s">
        <v>8412</v>
      </c>
      <c r="C1590" t="s">
        <v>6446</v>
      </c>
      <c r="D1590" t="s">
        <v>1027</v>
      </c>
      <c r="G1590" t="b">
        <v>0</v>
      </c>
      <c r="H1590" t="b">
        <v>0</v>
      </c>
      <c r="I1590" t="s">
        <v>1051</v>
      </c>
      <c r="J1590">
        <v>78</v>
      </c>
      <c r="K1590" t="s">
        <v>0</v>
      </c>
      <c r="L1590" t="s">
        <v>3000</v>
      </c>
      <c r="M1590" t="s">
        <v>1548</v>
      </c>
      <c r="N1590" t="s">
        <v>1548</v>
      </c>
      <c r="O1590" t="s">
        <v>1548</v>
      </c>
      <c r="P1590" s="36" t="s">
        <v>6448</v>
      </c>
    </row>
    <row r="1591" spans="1:16" ht="409.5" x14ac:dyDescent="0.25">
      <c r="A1591" t="s">
        <v>8413</v>
      </c>
      <c r="B1591" t="s">
        <v>8414</v>
      </c>
      <c r="C1591" t="s">
        <v>6446</v>
      </c>
      <c r="D1591" t="s">
        <v>1027</v>
      </c>
      <c r="G1591" t="b">
        <v>0</v>
      </c>
      <c r="H1591" t="b">
        <v>0</v>
      </c>
      <c r="I1591" t="s">
        <v>1051</v>
      </c>
      <c r="J1591">
        <v>78</v>
      </c>
      <c r="K1591" t="s">
        <v>0</v>
      </c>
      <c r="L1591" t="s">
        <v>3000</v>
      </c>
      <c r="M1591" t="s">
        <v>1548</v>
      </c>
      <c r="N1591" t="s">
        <v>1548</v>
      </c>
      <c r="O1591" t="s">
        <v>1548</v>
      </c>
      <c r="P1591" s="36" t="s">
        <v>6448</v>
      </c>
    </row>
    <row r="1592" spans="1:16" ht="409.5" x14ac:dyDescent="0.25">
      <c r="A1592" t="s">
        <v>8415</v>
      </c>
      <c r="B1592" t="s">
        <v>8414</v>
      </c>
      <c r="C1592" t="s">
        <v>6446</v>
      </c>
      <c r="D1592" t="s">
        <v>1027</v>
      </c>
      <c r="G1592" t="b">
        <v>0</v>
      </c>
      <c r="H1592" t="b">
        <v>0</v>
      </c>
      <c r="I1592" t="s">
        <v>1051</v>
      </c>
      <c r="J1592">
        <v>78</v>
      </c>
      <c r="K1592" t="s">
        <v>0</v>
      </c>
      <c r="L1592" t="s">
        <v>3000</v>
      </c>
      <c r="M1592" t="s">
        <v>1548</v>
      </c>
      <c r="N1592" t="s">
        <v>1548</v>
      </c>
      <c r="O1592" t="s">
        <v>1548</v>
      </c>
      <c r="P1592" s="36" t="s">
        <v>6448</v>
      </c>
    </row>
    <row r="1593" spans="1:16" ht="409.5" x14ac:dyDescent="0.25">
      <c r="A1593" t="s">
        <v>8416</v>
      </c>
      <c r="B1593" t="s">
        <v>8414</v>
      </c>
      <c r="C1593" t="s">
        <v>6446</v>
      </c>
      <c r="D1593" t="s">
        <v>1027</v>
      </c>
      <c r="G1593" t="b">
        <v>0</v>
      </c>
      <c r="H1593" t="b">
        <v>0</v>
      </c>
      <c r="I1593" t="s">
        <v>1051</v>
      </c>
      <c r="J1593">
        <v>78</v>
      </c>
      <c r="K1593" t="s">
        <v>0</v>
      </c>
      <c r="L1593" t="s">
        <v>3000</v>
      </c>
      <c r="M1593" t="s">
        <v>1548</v>
      </c>
      <c r="N1593" t="s">
        <v>1548</v>
      </c>
      <c r="O1593" t="s">
        <v>1548</v>
      </c>
      <c r="P1593" s="36" t="s">
        <v>6448</v>
      </c>
    </row>
    <row r="1594" spans="1:16" ht="409.5" x14ac:dyDescent="0.25">
      <c r="A1594" t="s">
        <v>8417</v>
      </c>
      <c r="B1594" t="s">
        <v>8418</v>
      </c>
      <c r="C1594" t="s">
        <v>6503</v>
      </c>
      <c r="D1594" t="s">
        <v>1027</v>
      </c>
      <c r="E1594">
        <v>1488</v>
      </c>
      <c r="F1594" t="s">
        <v>6504</v>
      </c>
      <c r="G1594" t="b">
        <v>0</v>
      </c>
      <c r="H1594" t="b">
        <v>0</v>
      </c>
      <c r="I1594" t="s">
        <v>1051</v>
      </c>
      <c r="J1594">
        <v>81</v>
      </c>
      <c r="K1594" t="s">
        <v>0</v>
      </c>
      <c r="L1594" t="s">
        <v>3000</v>
      </c>
      <c r="M1594" t="s">
        <v>1548</v>
      </c>
      <c r="N1594" t="s">
        <v>1548</v>
      </c>
      <c r="O1594" t="s">
        <v>1548</v>
      </c>
      <c r="P1594" s="36" t="s">
        <v>6505</v>
      </c>
    </row>
    <row r="1595" spans="1:16" ht="409.5" x14ac:dyDescent="0.25">
      <c r="A1595" t="s">
        <v>8419</v>
      </c>
      <c r="B1595" t="s">
        <v>8420</v>
      </c>
      <c r="C1595" t="s">
        <v>6473</v>
      </c>
      <c r="D1595" t="s">
        <v>1027</v>
      </c>
      <c r="E1595">
        <v>33419</v>
      </c>
      <c r="F1595" t="s">
        <v>6474</v>
      </c>
      <c r="G1595" t="b">
        <v>0</v>
      </c>
      <c r="H1595" t="b">
        <v>0</v>
      </c>
      <c r="I1595" t="s">
        <v>1051</v>
      </c>
      <c r="J1595">
        <v>78</v>
      </c>
      <c r="K1595" t="s">
        <v>0</v>
      </c>
      <c r="L1595" t="s">
        <v>3000</v>
      </c>
      <c r="M1595" t="s">
        <v>1548</v>
      </c>
      <c r="N1595" t="s">
        <v>1548</v>
      </c>
      <c r="O1595" t="s">
        <v>1548</v>
      </c>
      <c r="P1595" s="36" t="s">
        <v>6448</v>
      </c>
    </row>
    <row r="1596" spans="1:16" ht="409.5" x14ac:dyDescent="0.25">
      <c r="A1596" t="s">
        <v>8421</v>
      </c>
      <c r="B1596" t="s">
        <v>8422</v>
      </c>
      <c r="C1596" t="s">
        <v>6473</v>
      </c>
      <c r="D1596" t="s">
        <v>1027</v>
      </c>
      <c r="E1596">
        <v>33419</v>
      </c>
      <c r="F1596" t="s">
        <v>6474</v>
      </c>
      <c r="G1596" t="b">
        <v>0</v>
      </c>
      <c r="H1596" t="b">
        <v>0</v>
      </c>
      <c r="I1596" t="s">
        <v>1051</v>
      </c>
      <c r="J1596">
        <v>78</v>
      </c>
      <c r="K1596" t="s">
        <v>0</v>
      </c>
      <c r="L1596" t="s">
        <v>3000</v>
      </c>
      <c r="M1596" t="s">
        <v>1548</v>
      </c>
      <c r="N1596" t="s">
        <v>1548</v>
      </c>
      <c r="O1596" t="s">
        <v>1548</v>
      </c>
      <c r="P1596" s="36" t="s">
        <v>6448</v>
      </c>
    </row>
    <row r="1597" spans="1:16" ht="409.5" x14ac:dyDescent="0.25">
      <c r="A1597" t="s">
        <v>8423</v>
      </c>
      <c r="B1597" t="s">
        <v>8422</v>
      </c>
      <c r="C1597" t="s">
        <v>6473</v>
      </c>
      <c r="D1597" t="s">
        <v>1027</v>
      </c>
      <c r="E1597">
        <v>33419</v>
      </c>
      <c r="F1597" t="s">
        <v>6474</v>
      </c>
      <c r="G1597" t="b">
        <v>0</v>
      </c>
      <c r="H1597" t="b">
        <v>0</v>
      </c>
      <c r="I1597" t="s">
        <v>1051</v>
      </c>
      <c r="J1597">
        <v>78</v>
      </c>
      <c r="K1597" t="s">
        <v>0</v>
      </c>
      <c r="L1597" t="s">
        <v>3000</v>
      </c>
      <c r="M1597" t="s">
        <v>1548</v>
      </c>
      <c r="N1597" t="s">
        <v>1548</v>
      </c>
      <c r="O1597" t="s">
        <v>1548</v>
      </c>
      <c r="P1597" s="36" t="s">
        <v>6448</v>
      </c>
    </row>
    <row r="1598" spans="1:16" ht="409.5" x14ac:dyDescent="0.25">
      <c r="A1598" t="s">
        <v>8424</v>
      </c>
      <c r="B1598" t="s">
        <v>8425</v>
      </c>
      <c r="C1598" t="s">
        <v>6473</v>
      </c>
      <c r="D1598" t="s">
        <v>1027</v>
      </c>
      <c r="E1598">
        <v>33419</v>
      </c>
      <c r="F1598" t="s">
        <v>6474</v>
      </c>
      <c r="G1598" t="b">
        <v>0</v>
      </c>
      <c r="H1598" t="b">
        <v>0</v>
      </c>
      <c r="I1598" t="s">
        <v>1051</v>
      </c>
      <c r="J1598">
        <v>78</v>
      </c>
      <c r="K1598" t="s">
        <v>0</v>
      </c>
      <c r="L1598" t="s">
        <v>3000</v>
      </c>
      <c r="M1598" t="s">
        <v>1548</v>
      </c>
      <c r="N1598" t="s">
        <v>1548</v>
      </c>
      <c r="O1598" t="s">
        <v>1548</v>
      </c>
      <c r="P1598" s="36" t="s">
        <v>6448</v>
      </c>
    </row>
    <row r="1599" spans="1:16" ht="409.5" x14ac:dyDescent="0.25">
      <c r="A1599" t="s">
        <v>8426</v>
      </c>
      <c r="B1599" t="s">
        <v>8427</v>
      </c>
      <c r="C1599" t="s">
        <v>6473</v>
      </c>
      <c r="D1599" t="s">
        <v>1027</v>
      </c>
      <c r="E1599">
        <v>33419</v>
      </c>
      <c r="F1599" t="s">
        <v>6474</v>
      </c>
      <c r="G1599" t="b">
        <v>0</v>
      </c>
      <c r="H1599" t="b">
        <v>0</v>
      </c>
      <c r="I1599" t="s">
        <v>1051</v>
      </c>
      <c r="J1599">
        <v>78</v>
      </c>
      <c r="K1599" t="s">
        <v>0</v>
      </c>
      <c r="L1599" t="s">
        <v>3000</v>
      </c>
      <c r="M1599" t="s">
        <v>1548</v>
      </c>
      <c r="N1599" t="s">
        <v>1548</v>
      </c>
      <c r="O1599" t="s">
        <v>1548</v>
      </c>
      <c r="P1599" s="36" t="s">
        <v>6448</v>
      </c>
    </row>
    <row r="1600" spans="1:16" ht="409.5" x14ac:dyDescent="0.25">
      <c r="A1600" t="s">
        <v>8428</v>
      </c>
      <c r="B1600" t="s">
        <v>8429</v>
      </c>
      <c r="C1600" t="s">
        <v>6473</v>
      </c>
      <c r="D1600" t="s">
        <v>1027</v>
      </c>
      <c r="E1600">
        <v>33419</v>
      </c>
      <c r="F1600" t="s">
        <v>6474</v>
      </c>
      <c r="G1600" t="b">
        <v>0</v>
      </c>
      <c r="H1600" t="b">
        <v>0</v>
      </c>
      <c r="I1600" t="s">
        <v>1051</v>
      </c>
      <c r="J1600">
        <v>78</v>
      </c>
      <c r="K1600" t="s">
        <v>0</v>
      </c>
      <c r="L1600" t="s">
        <v>3000</v>
      </c>
      <c r="M1600" t="s">
        <v>1548</v>
      </c>
      <c r="N1600" t="s">
        <v>1548</v>
      </c>
      <c r="O1600" t="s">
        <v>1548</v>
      </c>
      <c r="P1600" s="36" t="s">
        <v>6448</v>
      </c>
    </row>
    <row r="1601" spans="1:16" ht="409.5" x14ac:dyDescent="0.25">
      <c r="A1601" t="s">
        <v>8430</v>
      </c>
      <c r="B1601" t="s">
        <v>8431</v>
      </c>
      <c r="C1601" t="s">
        <v>6473</v>
      </c>
      <c r="D1601" t="s">
        <v>1027</v>
      </c>
      <c r="E1601">
        <v>33419</v>
      </c>
      <c r="F1601" t="s">
        <v>6474</v>
      </c>
      <c r="G1601" t="b">
        <v>0</v>
      </c>
      <c r="H1601" t="b">
        <v>0</v>
      </c>
      <c r="I1601" t="s">
        <v>1051</v>
      </c>
      <c r="J1601">
        <v>78</v>
      </c>
      <c r="K1601" t="s">
        <v>0</v>
      </c>
      <c r="L1601" t="s">
        <v>3000</v>
      </c>
      <c r="M1601" t="s">
        <v>1548</v>
      </c>
      <c r="N1601" t="s">
        <v>1548</v>
      </c>
      <c r="O1601" t="s">
        <v>1548</v>
      </c>
      <c r="P1601" s="36" t="s">
        <v>6448</v>
      </c>
    </row>
    <row r="1602" spans="1:16" ht="409.5" x14ac:dyDescent="0.25">
      <c r="A1602" t="s">
        <v>8432</v>
      </c>
      <c r="B1602" t="s">
        <v>8433</v>
      </c>
      <c r="C1602" t="s">
        <v>6473</v>
      </c>
      <c r="D1602" t="s">
        <v>1027</v>
      </c>
      <c r="E1602">
        <v>33419</v>
      </c>
      <c r="F1602" t="s">
        <v>6474</v>
      </c>
      <c r="G1602" t="b">
        <v>0</v>
      </c>
      <c r="H1602" t="b">
        <v>0</v>
      </c>
      <c r="I1602" t="s">
        <v>1051</v>
      </c>
      <c r="J1602">
        <v>78</v>
      </c>
      <c r="K1602" t="s">
        <v>0</v>
      </c>
      <c r="L1602" t="s">
        <v>3000</v>
      </c>
      <c r="M1602" t="s">
        <v>1548</v>
      </c>
      <c r="N1602" t="s">
        <v>1548</v>
      </c>
      <c r="O1602" t="s">
        <v>1548</v>
      </c>
      <c r="P1602" s="36" t="s">
        <v>6448</v>
      </c>
    </row>
    <row r="1603" spans="1:16" ht="409.5" x14ac:dyDescent="0.25">
      <c r="A1603" t="s">
        <v>8434</v>
      </c>
      <c r="B1603" t="s">
        <v>8435</v>
      </c>
      <c r="C1603" t="s">
        <v>6473</v>
      </c>
      <c r="D1603" t="s">
        <v>1027</v>
      </c>
      <c r="E1603">
        <v>33419</v>
      </c>
      <c r="F1603" t="s">
        <v>6474</v>
      </c>
      <c r="G1603" t="b">
        <v>0</v>
      </c>
      <c r="H1603" t="b">
        <v>0</v>
      </c>
      <c r="I1603" t="s">
        <v>1051</v>
      </c>
      <c r="J1603">
        <v>78</v>
      </c>
      <c r="K1603" t="s">
        <v>0</v>
      </c>
      <c r="L1603" t="s">
        <v>3000</v>
      </c>
      <c r="M1603" t="s">
        <v>1548</v>
      </c>
      <c r="N1603" t="s">
        <v>1548</v>
      </c>
      <c r="O1603" t="s">
        <v>1548</v>
      </c>
      <c r="P1603" s="36" t="s">
        <v>6448</v>
      </c>
    </row>
    <row r="1604" spans="1:16" ht="409.5" x14ac:dyDescent="0.25">
      <c r="A1604" t="s">
        <v>8436</v>
      </c>
      <c r="B1604" t="s">
        <v>8437</v>
      </c>
      <c r="C1604" t="s">
        <v>6446</v>
      </c>
      <c r="D1604" t="s">
        <v>1027</v>
      </c>
      <c r="G1604" t="b">
        <v>0</v>
      </c>
      <c r="H1604" t="b">
        <v>0</v>
      </c>
      <c r="I1604" t="s">
        <v>1051</v>
      </c>
      <c r="J1604">
        <v>78</v>
      </c>
      <c r="K1604" t="s">
        <v>0</v>
      </c>
      <c r="L1604" t="s">
        <v>3000</v>
      </c>
      <c r="M1604" t="s">
        <v>1548</v>
      </c>
      <c r="N1604" t="s">
        <v>1548</v>
      </c>
      <c r="O1604" t="s">
        <v>1548</v>
      </c>
      <c r="P1604" s="36" t="s">
        <v>6448</v>
      </c>
    </row>
    <row r="1605" spans="1:16" ht="409.5" x14ac:dyDescent="0.25">
      <c r="A1605" t="s">
        <v>8438</v>
      </c>
      <c r="B1605" t="s">
        <v>8437</v>
      </c>
      <c r="C1605" t="s">
        <v>6446</v>
      </c>
      <c r="D1605" t="s">
        <v>1027</v>
      </c>
      <c r="G1605" t="b">
        <v>0</v>
      </c>
      <c r="H1605" t="b">
        <v>0</v>
      </c>
      <c r="I1605" t="s">
        <v>1051</v>
      </c>
      <c r="J1605">
        <v>78</v>
      </c>
      <c r="K1605" t="s">
        <v>0</v>
      </c>
      <c r="L1605" t="s">
        <v>3000</v>
      </c>
      <c r="M1605" t="s">
        <v>1548</v>
      </c>
      <c r="N1605" t="s">
        <v>1548</v>
      </c>
      <c r="O1605" t="s">
        <v>1548</v>
      </c>
      <c r="P1605" s="36" t="s">
        <v>6448</v>
      </c>
    </row>
    <row r="1606" spans="1:16" ht="409.5" x14ac:dyDescent="0.25">
      <c r="A1606" t="s">
        <v>8439</v>
      </c>
      <c r="B1606" t="s">
        <v>8440</v>
      </c>
      <c r="C1606" t="s">
        <v>6446</v>
      </c>
      <c r="D1606" t="s">
        <v>1027</v>
      </c>
      <c r="G1606" t="b">
        <v>0</v>
      </c>
      <c r="H1606" t="b">
        <v>0</v>
      </c>
      <c r="I1606" t="s">
        <v>1051</v>
      </c>
      <c r="J1606">
        <v>78</v>
      </c>
      <c r="K1606" t="s">
        <v>0</v>
      </c>
      <c r="L1606" t="s">
        <v>3000</v>
      </c>
      <c r="M1606" t="s">
        <v>1548</v>
      </c>
      <c r="N1606" t="s">
        <v>1548</v>
      </c>
      <c r="O1606" t="s">
        <v>1548</v>
      </c>
      <c r="P1606" s="36" t="s">
        <v>6448</v>
      </c>
    </row>
    <row r="1607" spans="1:16" ht="409.5" x14ac:dyDescent="0.25">
      <c r="A1607" t="s">
        <v>8441</v>
      </c>
      <c r="B1607" t="s">
        <v>8440</v>
      </c>
      <c r="C1607" t="s">
        <v>6446</v>
      </c>
      <c r="D1607" t="s">
        <v>1027</v>
      </c>
      <c r="G1607" t="b">
        <v>0</v>
      </c>
      <c r="H1607" t="b">
        <v>0</v>
      </c>
      <c r="I1607" t="s">
        <v>1051</v>
      </c>
      <c r="J1607">
        <v>78</v>
      </c>
      <c r="K1607" t="s">
        <v>0</v>
      </c>
      <c r="L1607" t="s">
        <v>3000</v>
      </c>
      <c r="M1607" t="s">
        <v>1548</v>
      </c>
      <c r="N1607" t="s">
        <v>1548</v>
      </c>
      <c r="O1607" t="s">
        <v>1548</v>
      </c>
      <c r="P1607" s="36" t="s">
        <v>6448</v>
      </c>
    </row>
    <row r="1608" spans="1:16" ht="409.5" x14ac:dyDescent="0.25">
      <c r="A1608" t="s">
        <v>8442</v>
      </c>
      <c r="B1608" t="s">
        <v>8443</v>
      </c>
      <c r="C1608" t="s">
        <v>6446</v>
      </c>
      <c r="D1608" t="s">
        <v>1027</v>
      </c>
      <c r="G1608" t="b">
        <v>0</v>
      </c>
      <c r="H1608" t="b">
        <v>0</v>
      </c>
      <c r="I1608" t="s">
        <v>1051</v>
      </c>
      <c r="J1608">
        <v>78</v>
      </c>
      <c r="K1608" t="s">
        <v>0</v>
      </c>
      <c r="L1608" t="s">
        <v>3000</v>
      </c>
      <c r="M1608" t="s">
        <v>1548</v>
      </c>
      <c r="N1608" t="s">
        <v>1548</v>
      </c>
      <c r="O1608" t="s">
        <v>1548</v>
      </c>
      <c r="P1608" s="36" t="s">
        <v>6448</v>
      </c>
    </row>
    <row r="1609" spans="1:16" ht="409.5" x14ac:dyDescent="0.25">
      <c r="A1609" t="s">
        <v>8444</v>
      </c>
      <c r="B1609" t="s">
        <v>8445</v>
      </c>
      <c r="C1609" t="s">
        <v>6446</v>
      </c>
      <c r="D1609" t="s">
        <v>1027</v>
      </c>
      <c r="G1609" t="b">
        <v>0</v>
      </c>
      <c r="H1609" t="b">
        <v>0</v>
      </c>
      <c r="I1609" t="s">
        <v>1051</v>
      </c>
      <c r="J1609">
        <v>78</v>
      </c>
      <c r="K1609" t="s">
        <v>0</v>
      </c>
      <c r="L1609" t="s">
        <v>3000</v>
      </c>
      <c r="M1609" t="s">
        <v>1548</v>
      </c>
      <c r="N1609" t="s">
        <v>1548</v>
      </c>
      <c r="O1609" t="s">
        <v>1548</v>
      </c>
      <c r="P1609" s="36" t="s">
        <v>6448</v>
      </c>
    </row>
    <row r="1610" spans="1:16" ht="409.5" x14ac:dyDescent="0.25">
      <c r="A1610" t="s">
        <v>8446</v>
      </c>
      <c r="B1610" t="s">
        <v>8447</v>
      </c>
      <c r="C1610" t="s">
        <v>6446</v>
      </c>
      <c r="D1610" t="s">
        <v>1027</v>
      </c>
      <c r="G1610" t="b">
        <v>0</v>
      </c>
      <c r="H1610" t="b">
        <v>0</v>
      </c>
      <c r="I1610" t="s">
        <v>1051</v>
      </c>
      <c r="J1610">
        <v>78</v>
      </c>
      <c r="K1610" t="s">
        <v>0</v>
      </c>
      <c r="L1610" t="s">
        <v>3000</v>
      </c>
      <c r="M1610" t="s">
        <v>1548</v>
      </c>
      <c r="N1610" t="s">
        <v>1548</v>
      </c>
      <c r="O1610" t="s">
        <v>1548</v>
      </c>
      <c r="P1610" s="36" t="s">
        <v>6448</v>
      </c>
    </row>
    <row r="1611" spans="1:16" ht="409.5" x14ac:dyDescent="0.25">
      <c r="A1611" t="s">
        <v>8448</v>
      </c>
      <c r="B1611" t="s">
        <v>8449</v>
      </c>
      <c r="C1611" t="s">
        <v>6446</v>
      </c>
      <c r="D1611" t="s">
        <v>1027</v>
      </c>
      <c r="G1611" t="b">
        <v>0</v>
      </c>
      <c r="H1611" t="b">
        <v>0</v>
      </c>
      <c r="I1611" t="s">
        <v>1051</v>
      </c>
      <c r="J1611">
        <v>78</v>
      </c>
      <c r="K1611" t="s">
        <v>0</v>
      </c>
      <c r="L1611" t="s">
        <v>3000</v>
      </c>
      <c r="M1611" t="s">
        <v>1548</v>
      </c>
      <c r="N1611" t="s">
        <v>1548</v>
      </c>
      <c r="O1611" t="s">
        <v>1548</v>
      </c>
      <c r="P1611" s="36" t="s">
        <v>6448</v>
      </c>
    </row>
    <row r="1612" spans="1:16" ht="409.5" x14ac:dyDescent="0.25">
      <c r="A1612" t="s">
        <v>8450</v>
      </c>
      <c r="B1612" t="s">
        <v>8440</v>
      </c>
      <c r="C1612" t="s">
        <v>6446</v>
      </c>
      <c r="D1612" t="s">
        <v>1027</v>
      </c>
      <c r="G1612" t="b">
        <v>0</v>
      </c>
      <c r="H1612" t="b">
        <v>0</v>
      </c>
      <c r="I1612" t="s">
        <v>1051</v>
      </c>
      <c r="J1612">
        <v>78</v>
      </c>
      <c r="K1612" t="s">
        <v>0</v>
      </c>
      <c r="L1612" t="s">
        <v>3000</v>
      </c>
      <c r="M1612" t="s">
        <v>1548</v>
      </c>
      <c r="N1612" t="s">
        <v>1548</v>
      </c>
      <c r="O1612" t="s">
        <v>1548</v>
      </c>
      <c r="P1612" s="36" t="s">
        <v>6448</v>
      </c>
    </row>
    <row r="1613" spans="1:16" ht="409.5" x14ac:dyDescent="0.25">
      <c r="A1613" t="s">
        <v>8451</v>
      </c>
      <c r="B1613" t="s">
        <v>8452</v>
      </c>
      <c r="C1613" t="s">
        <v>6645</v>
      </c>
      <c r="D1613" t="s">
        <v>1027</v>
      </c>
      <c r="E1613">
        <v>33434</v>
      </c>
      <c r="F1613" t="s">
        <v>6646</v>
      </c>
      <c r="G1613" t="b">
        <v>0</v>
      </c>
      <c r="H1613" t="b">
        <v>0</v>
      </c>
      <c r="I1613" t="s">
        <v>1051</v>
      </c>
      <c r="J1613">
        <v>78</v>
      </c>
      <c r="K1613" t="s">
        <v>0</v>
      </c>
      <c r="L1613" t="s">
        <v>3000</v>
      </c>
      <c r="M1613" t="s">
        <v>1548</v>
      </c>
      <c r="N1613" t="s">
        <v>1548</v>
      </c>
      <c r="O1613" t="s">
        <v>1548</v>
      </c>
      <c r="P1613" s="36" t="s">
        <v>6448</v>
      </c>
    </row>
    <row r="1614" spans="1:16" ht="409.5" x14ac:dyDescent="0.25">
      <c r="A1614" t="s">
        <v>8453</v>
      </c>
      <c r="B1614" t="s">
        <v>8454</v>
      </c>
      <c r="C1614" t="s">
        <v>6503</v>
      </c>
      <c r="D1614" t="s">
        <v>1027</v>
      </c>
      <c r="E1614">
        <v>1488</v>
      </c>
      <c r="F1614" t="s">
        <v>6504</v>
      </c>
      <c r="G1614" t="b">
        <v>0</v>
      </c>
      <c r="H1614" t="b">
        <v>0</v>
      </c>
      <c r="I1614" t="s">
        <v>1051</v>
      </c>
      <c r="J1614">
        <v>81</v>
      </c>
      <c r="K1614" t="s">
        <v>0</v>
      </c>
      <c r="L1614" t="s">
        <v>3000</v>
      </c>
      <c r="M1614" t="s">
        <v>1548</v>
      </c>
      <c r="N1614" t="s">
        <v>1548</v>
      </c>
      <c r="O1614" t="s">
        <v>1548</v>
      </c>
      <c r="P1614" s="36" t="s">
        <v>6505</v>
      </c>
    </row>
    <row r="1615" spans="1:16" ht="409.5" x14ac:dyDescent="0.25">
      <c r="A1615" t="s">
        <v>8455</v>
      </c>
      <c r="B1615" t="s">
        <v>8456</v>
      </c>
      <c r="C1615" t="s">
        <v>6503</v>
      </c>
      <c r="D1615" t="s">
        <v>1027</v>
      </c>
      <c r="E1615">
        <v>1488</v>
      </c>
      <c r="F1615" t="s">
        <v>6504</v>
      </c>
      <c r="G1615" t="b">
        <v>0</v>
      </c>
      <c r="H1615" t="b">
        <v>0</v>
      </c>
      <c r="I1615" t="s">
        <v>1051</v>
      </c>
      <c r="J1615">
        <v>81</v>
      </c>
      <c r="K1615" t="s">
        <v>0</v>
      </c>
      <c r="L1615" t="s">
        <v>3000</v>
      </c>
      <c r="M1615" t="s">
        <v>1548</v>
      </c>
      <c r="N1615" t="s">
        <v>1548</v>
      </c>
      <c r="O1615" t="s">
        <v>1548</v>
      </c>
      <c r="P1615" s="36" t="s">
        <v>6505</v>
      </c>
    </row>
    <row r="1616" spans="1:16" ht="409.5" x14ac:dyDescent="0.25">
      <c r="A1616" t="s">
        <v>8457</v>
      </c>
      <c r="B1616" t="s">
        <v>8458</v>
      </c>
      <c r="C1616" t="s">
        <v>6473</v>
      </c>
      <c r="D1616" t="s">
        <v>1027</v>
      </c>
      <c r="E1616">
        <v>33419</v>
      </c>
      <c r="F1616" t="s">
        <v>6474</v>
      </c>
      <c r="G1616" t="b">
        <v>0</v>
      </c>
      <c r="H1616" t="b">
        <v>0</v>
      </c>
      <c r="I1616" t="s">
        <v>1051</v>
      </c>
      <c r="J1616">
        <v>78</v>
      </c>
      <c r="K1616" t="s">
        <v>0</v>
      </c>
      <c r="L1616" t="s">
        <v>3000</v>
      </c>
      <c r="M1616" t="s">
        <v>1548</v>
      </c>
      <c r="N1616" t="s">
        <v>1548</v>
      </c>
      <c r="O1616" t="s">
        <v>1548</v>
      </c>
      <c r="P1616" s="36" t="s">
        <v>6448</v>
      </c>
    </row>
    <row r="1617" spans="1:16" ht="409.5" x14ac:dyDescent="0.25">
      <c r="A1617" t="s">
        <v>8459</v>
      </c>
      <c r="B1617" t="s">
        <v>8460</v>
      </c>
      <c r="C1617" t="s">
        <v>6473</v>
      </c>
      <c r="D1617" t="s">
        <v>1027</v>
      </c>
      <c r="E1617">
        <v>33419</v>
      </c>
      <c r="F1617" t="s">
        <v>6474</v>
      </c>
      <c r="G1617" t="b">
        <v>0</v>
      </c>
      <c r="H1617" t="b">
        <v>0</v>
      </c>
      <c r="I1617" t="s">
        <v>1051</v>
      </c>
      <c r="J1617">
        <v>78</v>
      </c>
      <c r="K1617" t="s">
        <v>0</v>
      </c>
      <c r="L1617" t="s">
        <v>3000</v>
      </c>
      <c r="M1617" t="s">
        <v>1548</v>
      </c>
      <c r="N1617" t="s">
        <v>1548</v>
      </c>
      <c r="O1617" t="s">
        <v>1548</v>
      </c>
      <c r="P1617" s="36" t="s">
        <v>6448</v>
      </c>
    </row>
    <row r="1618" spans="1:16" ht="409.5" x14ac:dyDescent="0.25">
      <c r="A1618" t="s">
        <v>8461</v>
      </c>
      <c r="B1618" t="s">
        <v>8462</v>
      </c>
      <c r="C1618" t="s">
        <v>6473</v>
      </c>
      <c r="D1618" t="s">
        <v>1027</v>
      </c>
      <c r="E1618">
        <v>33419</v>
      </c>
      <c r="F1618" t="s">
        <v>6474</v>
      </c>
      <c r="G1618" t="b">
        <v>0</v>
      </c>
      <c r="H1618" t="b">
        <v>0</v>
      </c>
      <c r="I1618" t="s">
        <v>1051</v>
      </c>
      <c r="J1618">
        <v>78</v>
      </c>
      <c r="K1618" t="s">
        <v>0</v>
      </c>
      <c r="L1618" t="s">
        <v>3000</v>
      </c>
      <c r="M1618" t="s">
        <v>1548</v>
      </c>
      <c r="N1618" t="s">
        <v>1548</v>
      </c>
      <c r="O1618" t="s">
        <v>1548</v>
      </c>
      <c r="P1618" s="36" t="s">
        <v>6448</v>
      </c>
    </row>
    <row r="1619" spans="1:16" ht="409.5" x14ac:dyDescent="0.25">
      <c r="A1619" t="s">
        <v>8463</v>
      </c>
      <c r="B1619" t="s">
        <v>8464</v>
      </c>
      <c r="C1619" t="s">
        <v>6473</v>
      </c>
      <c r="D1619" t="s">
        <v>1027</v>
      </c>
      <c r="E1619">
        <v>33419</v>
      </c>
      <c r="F1619" t="s">
        <v>6474</v>
      </c>
      <c r="G1619" t="b">
        <v>0</v>
      </c>
      <c r="H1619" t="b">
        <v>0</v>
      </c>
      <c r="I1619" t="s">
        <v>1051</v>
      </c>
      <c r="J1619">
        <v>78</v>
      </c>
      <c r="K1619" t="s">
        <v>0</v>
      </c>
      <c r="L1619" t="s">
        <v>3000</v>
      </c>
      <c r="M1619" t="s">
        <v>1548</v>
      </c>
      <c r="N1619" t="s">
        <v>1548</v>
      </c>
      <c r="O1619" t="s">
        <v>1548</v>
      </c>
      <c r="P1619" s="36" t="s">
        <v>6448</v>
      </c>
    </row>
    <row r="1620" spans="1:16" ht="409.5" x14ac:dyDescent="0.25">
      <c r="A1620" t="s">
        <v>8465</v>
      </c>
      <c r="B1620" t="s">
        <v>8464</v>
      </c>
      <c r="C1620" t="s">
        <v>6473</v>
      </c>
      <c r="D1620" t="s">
        <v>1027</v>
      </c>
      <c r="E1620">
        <v>33419</v>
      </c>
      <c r="F1620" t="s">
        <v>6474</v>
      </c>
      <c r="G1620" t="b">
        <v>0</v>
      </c>
      <c r="H1620" t="b">
        <v>0</v>
      </c>
      <c r="I1620" t="s">
        <v>1051</v>
      </c>
      <c r="J1620">
        <v>78</v>
      </c>
      <c r="K1620" t="s">
        <v>0</v>
      </c>
      <c r="L1620" t="s">
        <v>3000</v>
      </c>
      <c r="M1620" t="s">
        <v>1548</v>
      </c>
      <c r="N1620" t="s">
        <v>1548</v>
      </c>
      <c r="O1620" t="s">
        <v>1548</v>
      </c>
      <c r="P1620" s="36" t="s">
        <v>6448</v>
      </c>
    </row>
    <row r="1621" spans="1:16" ht="409.5" x14ac:dyDescent="0.25">
      <c r="A1621" t="s">
        <v>8466</v>
      </c>
      <c r="B1621" t="s">
        <v>8467</v>
      </c>
      <c r="C1621" t="s">
        <v>6473</v>
      </c>
      <c r="D1621" t="s">
        <v>1027</v>
      </c>
      <c r="E1621">
        <v>33419</v>
      </c>
      <c r="F1621" t="s">
        <v>6474</v>
      </c>
      <c r="G1621" t="b">
        <v>0</v>
      </c>
      <c r="H1621" t="b">
        <v>0</v>
      </c>
      <c r="I1621" t="s">
        <v>1051</v>
      </c>
      <c r="J1621">
        <v>78</v>
      </c>
      <c r="K1621" t="s">
        <v>0</v>
      </c>
      <c r="L1621" t="s">
        <v>3000</v>
      </c>
      <c r="M1621" t="s">
        <v>1548</v>
      </c>
      <c r="N1621" t="s">
        <v>1548</v>
      </c>
      <c r="O1621" t="s">
        <v>1548</v>
      </c>
      <c r="P1621" s="36" t="s">
        <v>6448</v>
      </c>
    </row>
    <row r="1622" spans="1:16" ht="409.5" x14ac:dyDescent="0.25">
      <c r="A1622" t="s">
        <v>8468</v>
      </c>
      <c r="B1622" t="s">
        <v>8467</v>
      </c>
      <c r="C1622" t="s">
        <v>6473</v>
      </c>
      <c r="D1622" t="s">
        <v>1027</v>
      </c>
      <c r="E1622">
        <v>33419</v>
      </c>
      <c r="F1622" t="s">
        <v>6474</v>
      </c>
      <c r="G1622" t="b">
        <v>0</v>
      </c>
      <c r="H1622" t="b">
        <v>0</v>
      </c>
      <c r="I1622" t="s">
        <v>1051</v>
      </c>
      <c r="J1622">
        <v>78</v>
      </c>
      <c r="K1622" t="s">
        <v>0</v>
      </c>
      <c r="L1622" t="s">
        <v>3000</v>
      </c>
      <c r="M1622" t="s">
        <v>1548</v>
      </c>
      <c r="N1622" t="s">
        <v>1548</v>
      </c>
      <c r="O1622" t="s">
        <v>1548</v>
      </c>
      <c r="P1622" s="36" t="s">
        <v>6448</v>
      </c>
    </row>
    <row r="1623" spans="1:16" ht="409.5" x14ac:dyDescent="0.25">
      <c r="A1623" t="s">
        <v>8469</v>
      </c>
      <c r="B1623" t="s">
        <v>8467</v>
      </c>
      <c r="C1623" t="s">
        <v>6473</v>
      </c>
      <c r="D1623" t="s">
        <v>1027</v>
      </c>
      <c r="E1623">
        <v>33419</v>
      </c>
      <c r="F1623" t="s">
        <v>6474</v>
      </c>
      <c r="G1623" t="b">
        <v>0</v>
      </c>
      <c r="H1623" t="b">
        <v>0</v>
      </c>
      <c r="I1623" t="s">
        <v>1051</v>
      </c>
      <c r="J1623">
        <v>78</v>
      </c>
      <c r="K1623" t="s">
        <v>0</v>
      </c>
      <c r="L1623" t="s">
        <v>3000</v>
      </c>
      <c r="M1623" t="s">
        <v>1548</v>
      </c>
      <c r="N1623" t="s">
        <v>1548</v>
      </c>
      <c r="O1623" t="s">
        <v>1548</v>
      </c>
      <c r="P1623" s="36" t="s">
        <v>6448</v>
      </c>
    </row>
    <row r="1624" spans="1:16" ht="409.5" x14ac:dyDescent="0.25">
      <c r="A1624" t="s">
        <v>8470</v>
      </c>
      <c r="B1624" t="s">
        <v>8467</v>
      </c>
      <c r="C1624" t="s">
        <v>6473</v>
      </c>
      <c r="D1624" t="s">
        <v>1027</v>
      </c>
      <c r="E1624">
        <v>33419</v>
      </c>
      <c r="F1624" t="s">
        <v>6474</v>
      </c>
      <c r="G1624" t="b">
        <v>0</v>
      </c>
      <c r="H1624" t="b">
        <v>0</v>
      </c>
      <c r="I1624" t="s">
        <v>1051</v>
      </c>
      <c r="J1624">
        <v>78</v>
      </c>
      <c r="K1624" t="s">
        <v>0</v>
      </c>
      <c r="L1624" t="s">
        <v>3000</v>
      </c>
      <c r="M1624" t="s">
        <v>1548</v>
      </c>
      <c r="N1624" t="s">
        <v>1548</v>
      </c>
      <c r="O1624" t="s">
        <v>1548</v>
      </c>
      <c r="P1624" s="36" t="s">
        <v>6448</v>
      </c>
    </row>
    <row r="1625" spans="1:16" ht="409.5" x14ac:dyDescent="0.25">
      <c r="A1625" t="s">
        <v>8471</v>
      </c>
      <c r="B1625" t="s">
        <v>8472</v>
      </c>
      <c r="C1625" t="s">
        <v>6473</v>
      </c>
      <c r="D1625" t="s">
        <v>1027</v>
      </c>
      <c r="E1625">
        <v>33419</v>
      </c>
      <c r="F1625" t="s">
        <v>6474</v>
      </c>
      <c r="G1625" t="b">
        <v>0</v>
      </c>
      <c r="H1625" t="b">
        <v>0</v>
      </c>
      <c r="I1625" t="s">
        <v>1051</v>
      </c>
      <c r="J1625">
        <v>78</v>
      </c>
      <c r="K1625" t="s">
        <v>0</v>
      </c>
      <c r="L1625" t="s">
        <v>3000</v>
      </c>
      <c r="M1625" t="s">
        <v>1548</v>
      </c>
      <c r="N1625" t="s">
        <v>1548</v>
      </c>
      <c r="O1625" t="s">
        <v>1548</v>
      </c>
      <c r="P1625" s="36" t="s">
        <v>6448</v>
      </c>
    </row>
    <row r="1626" spans="1:16" ht="409.5" x14ac:dyDescent="0.25">
      <c r="A1626" t="s">
        <v>8473</v>
      </c>
      <c r="B1626" t="s">
        <v>8472</v>
      </c>
      <c r="C1626" t="s">
        <v>6473</v>
      </c>
      <c r="D1626" t="s">
        <v>1027</v>
      </c>
      <c r="E1626">
        <v>33419</v>
      </c>
      <c r="F1626" t="s">
        <v>6474</v>
      </c>
      <c r="G1626" t="b">
        <v>0</v>
      </c>
      <c r="H1626" t="b">
        <v>0</v>
      </c>
      <c r="I1626" t="s">
        <v>1051</v>
      </c>
      <c r="J1626">
        <v>78</v>
      </c>
      <c r="K1626" t="s">
        <v>0</v>
      </c>
      <c r="L1626" t="s">
        <v>3000</v>
      </c>
      <c r="M1626" t="s">
        <v>1548</v>
      </c>
      <c r="N1626" t="s">
        <v>1548</v>
      </c>
      <c r="O1626" t="s">
        <v>1548</v>
      </c>
      <c r="P1626" s="36" t="s">
        <v>6448</v>
      </c>
    </row>
    <row r="1627" spans="1:16" ht="409.5" x14ac:dyDescent="0.25">
      <c r="A1627" t="s">
        <v>8474</v>
      </c>
      <c r="B1627" t="s">
        <v>8472</v>
      </c>
      <c r="C1627" t="s">
        <v>6473</v>
      </c>
      <c r="D1627" t="s">
        <v>1027</v>
      </c>
      <c r="E1627">
        <v>33419</v>
      </c>
      <c r="F1627" t="s">
        <v>6474</v>
      </c>
      <c r="G1627" t="b">
        <v>0</v>
      </c>
      <c r="H1627" t="b">
        <v>0</v>
      </c>
      <c r="I1627" t="s">
        <v>1051</v>
      </c>
      <c r="J1627">
        <v>78</v>
      </c>
      <c r="K1627" t="s">
        <v>0</v>
      </c>
      <c r="L1627" t="s">
        <v>3000</v>
      </c>
      <c r="M1627" t="s">
        <v>1548</v>
      </c>
      <c r="N1627" t="s">
        <v>1548</v>
      </c>
      <c r="O1627" t="s">
        <v>1548</v>
      </c>
      <c r="P1627" s="36" t="s">
        <v>6448</v>
      </c>
    </row>
    <row r="1628" spans="1:16" ht="409.5" x14ac:dyDescent="0.25">
      <c r="A1628" t="s">
        <v>8475</v>
      </c>
      <c r="B1628" t="s">
        <v>8476</v>
      </c>
      <c r="C1628" t="s">
        <v>6473</v>
      </c>
      <c r="D1628" t="s">
        <v>1027</v>
      </c>
      <c r="E1628">
        <v>33419</v>
      </c>
      <c r="F1628" t="s">
        <v>6474</v>
      </c>
      <c r="G1628" t="b">
        <v>0</v>
      </c>
      <c r="H1628" t="b">
        <v>0</v>
      </c>
      <c r="I1628" t="s">
        <v>1051</v>
      </c>
      <c r="J1628">
        <v>78</v>
      </c>
      <c r="K1628" t="s">
        <v>0</v>
      </c>
      <c r="L1628" t="s">
        <v>3000</v>
      </c>
      <c r="M1628" t="s">
        <v>1548</v>
      </c>
      <c r="N1628" t="s">
        <v>1548</v>
      </c>
      <c r="O1628" t="s">
        <v>1548</v>
      </c>
      <c r="P1628" s="36" t="s">
        <v>6448</v>
      </c>
    </row>
    <row r="1629" spans="1:16" ht="409.5" x14ac:dyDescent="0.25">
      <c r="A1629" t="s">
        <v>8477</v>
      </c>
      <c r="B1629" t="s">
        <v>8478</v>
      </c>
      <c r="C1629" t="s">
        <v>6473</v>
      </c>
      <c r="D1629" t="s">
        <v>1027</v>
      </c>
      <c r="E1629">
        <v>33419</v>
      </c>
      <c r="F1629" t="s">
        <v>6474</v>
      </c>
      <c r="G1629" t="b">
        <v>0</v>
      </c>
      <c r="H1629" t="b">
        <v>0</v>
      </c>
      <c r="I1629" t="s">
        <v>1051</v>
      </c>
      <c r="J1629">
        <v>78</v>
      </c>
      <c r="K1629" t="s">
        <v>0</v>
      </c>
      <c r="L1629" t="s">
        <v>3000</v>
      </c>
      <c r="M1629" t="s">
        <v>1548</v>
      </c>
      <c r="N1629" t="s">
        <v>1548</v>
      </c>
      <c r="O1629" t="s">
        <v>1548</v>
      </c>
      <c r="P1629" s="36" t="s">
        <v>6448</v>
      </c>
    </row>
    <row r="1630" spans="1:16" ht="409.5" x14ac:dyDescent="0.25">
      <c r="A1630" t="s">
        <v>8479</v>
      </c>
      <c r="B1630" t="s">
        <v>8458</v>
      </c>
      <c r="C1630" t="s">
        <v>6473</v>
      </c>
      <c r="D1630" t="s">
        <v>1027</v>
      </c>
      <c r="E1630">
        <v>33419</v>
      </c>
      <c r="F1630" t="s">
        <v>6474</v>
      </c>
      <c r="G1630" t="b">
        <v>0</v>
      </c>
      <c r="H1630" t="b">
        <v>0</v>
      </c>
      <c r="I1630" t="s">
        <v>1051</v>
      </c>
      <c r="J1630">
        <v>78</v>
      </c>
      <c r="K1630" t="s">
        <v>0</v>
      </c>
      <c r="L1630" t="s">
        <v>3000</v>
      </c>
      <c r="M1630" t="s">
        <v>1548</v>
      </c>
      <c r="N1630" t="s">
        <v>1548</v>
      </c>
      <c r="O1630" t="s">
        <v>1548</v>
      </c>
      <c r="P1630" s="36" t="s">
        <v>6448</v>
      </c>
    </row>
    <row r="1631" spans="1:16" ht="409.5" x14ac:dyDescent="0.25">
      <c r="A1631" t="s">
        <v>8480</v>
      </c>
      <c r="B1631" t="s">
        <v>8458</v>
      </c>
      <c r="C1631" t="s">
        <v>6473</v>
      </c>
      <c r="D1631" t="s">
        <v>1027</v>
      </c>
      <c r="E1631">
        <v>33419</v>
      </c>
      <c r="F1631" t="s">
        <v>6474</v>
      </c>
      <c r="G1631" t="b">
        <v>0</v>
      </c>
      <c r="H1631" t="b">
        <v>0</v>
      </c>
      <c r="I1631" t="s">
        <v>1051</v>
      </c>
      <c r="J1631">
        <v>78</v>
      </c>
      <c r="K1631" t="s">
        <v>0</v>
      </c>
      <c r="L1631" t="s">
        <v>3000</v>
      </c>
      <c r="M1631" t="s">
        <v>1548</v>
      </c>
      <c r="N1631" t="s">
        <v>1548</v>
      </c>
      <c r="O1631" t="s">
        <v>1548</v>
      </c>
      <c r="P1631" s="36" t="s">
        <v>6448</v>
      </c>
    </row>
    <row r="1632" spans="1:16" ht="409.5" x14ac:dyDescent="0.25">
      <c r="A1632" t="s">
        <v>8481</v>
      </c>
      <c r="B1632" t="s">
        <v>8482</v>
      </c>
      <c r="C1632" t="s">
        <v>6473</v>
      </c>
      <c r="D1632" t="s">
        <v>1027</v>
      </c>
      <c r="E1632">
        <v>33419</v>
      </c>
      <c r="F1632" t="s">
        <v>6474</v>
      </c>
      <c r="G1632" t="b">
        <v>0</v>
      </c>
      <c r="H1632" t="b">
        <v>0</v>
      </c>
      <c r="I1632" t="s">
        <v>1051</v>
      </c>
      <c r="J1632">
        <v>78</v>
      </c>
      <c r="K1632" t="s">
        <v>0</v>
      </c>
      <c r="L1632" t="s">
        <v>3000</v>
      </c>
      <c r="M1632" t="s">
        <v>1548</v>
      </c>
      <c r="N1632" t="s">
        <v>1548</v>
      </c>
      <c r="O1632" t="s">
        <v>1548</v>
      </c>
      <c r="P1632" s="36" t="s">
        <v>6448</v>
      </c>
    </row>
    <row r="1633" spans="1:16" ht="409.5" x14ac:dyDescent="0.25">
      <c r="A1633" t="s">
        <v>8483</v>
      </c>
      <c r="B1633" t="s">
        <v>8484</v>
      </c>
      <c r="C1633" t="s">
        <v>6473</v>
      </c>
      <c r="D1633" t="s">
        <v>1027</v>
      </c>
      <c r="E1633">
        <v>33419</v>
      </c>
      <c r="F1633" t="s">
        <v>6474</v>
      </c>
      <c r="G1633" t="b">
        <v>0</v>
      </c>
      <c r="H1633" t="b">
        <v>0</v>
      </c>
      <c r="I1633" t="s">
        <v>1051</v>
      </c>
      <c r="J1633">
        <v>78</v>
      </c>
      <c r="K1633" t="s">
        <v>0</v>
      </c>
      <c r="L1633" t="s">
        <v>3000</v>
      </c>
      <c r="M1633" t="s">
        <v>1548</v>
      </c>
      <c r="N1633" t="s">
        <v>1548</v>
      </c>
      <c r="O1633" t="s">
        <v>1548</v>
      </c>
      <c r="P1633" s="36" t="s">
        <v>6448</v>
      </c>
    </row>
    <row r="1634" spans="1:16" ht="409.5" x14ac:dyDescent="0.25">
      <c r="A1634" t="s">
        <v>8485</v>
      </c>
      <c r="B1634" t="s">
        <v>8486</v>
      </c>
      <c r="C1634" t="s">
        <v>6473</v>
      </c>
      <c r="D1634" t="s">
        <v>1027</v>
      </c>
      <c r="E1634">
        <v>33419</v>
      </c>
      <c r="F1634" t="s">
        <v>6474</v>
      </c>
      <c r="G1634" t="b">
        <v>0</v>
      </c>
      <c r="H1634" t="b">
        <v>0</v>
      </c>
      <c r="I1634" t="s">
        <v>1051</v>
      </c>
      <c r="J1634">
        <v>78</v>
      </c>
      <c r="K1634" t="s">
        <v>0</v>
      </c>
      <c r="L1634" t="s">
        <v>3000</v>
      </c>
      <c r="M1634" t="s">
        <v>1548</v>
      </c>
      <c r="N1634" t="s">
        <v>1548</v>
      </c>
      <c r="O1634" t="s">
        <v>1548</v>
      </c>
      <c r="P1634" s="36" t="s">
        <v>6448</v>
      </c>
    </row>
    <row r="1635" spans="1:16" ht="409.5" x14ac:dyDescent="0.25">
      <c r="A1635" t="s">
        <v>8487</v>
      </c>
      <c r="B1635" t="s">
        <v>8488</v>
      </c>
      <c r="C1635" t="s">
        <v>6473</v>
      </c>
      <c r="D1635" t="s">
        <v>1027</v>
      </c>
      <c r="E1635">
        <v>33419</v>
      </c>
      <c r="F1635" t="s">
        <v>6474</v>
      </c>
      <c r="G1635" t="b">
        <v>0</v>
      </c>
      <c r="H1635" t="b">
        <v>0</v>
      </c>
      <c r="I1635" t="s">
        <v>1051</v>
      </c>
      <c r="J1635">
        <v>78</v>
      </c>
      <c r="K1635" t="s">
        <v>0</v>
      </c>
      <c r="L1635" t="s">
        <v>3000</v>
      </c>
      <c r="M1635" t="s">
        <v>1548</v>
      </c>
      <c r="N1635" t="s">
        <v>1548</v>
      </c>
      <c r="O1635" t="s">
        <v>1548</v>
      </c>
      <c r="P1635" s="36" t="s">
        <v>6448</v>
      </c>
    </row>
    <row r="1636" spans="1:16" ht="409.5" x14ac:dyDescent="0.25">
      <c r="A1636" t="s">
        <v>8489</v>
      </c>
      <c r="B1636" t="s">
        <v>8490</v>
      </c>
      <c r="C1636" t="s">
        <v>6473</v>
      </c>
      <c r="D1636" t="s">
        <v>1027</v>
      </c>
      <c r="E1636">
        <v>33419</v>
      </c>
      <c r="F1636" t="s">
        <v>6474</v>
      </c>
      <c r="G1636" t="b">
        <v>0</v>
      </c>
      <c r="H1636" t="b">
        <v>0</v>
      </c>
      <c r="I1636" t="s">
        <v>1051</v>
      </c>
      <c r="J1636">
        <v>78</v>
      </c>
      <c r="K1636" t="s">
        <v>0</v>
      </c>
      <c r="L1636" t="s">
        <v>3000</v>
      </c>
      <c r="M1636" t="s">
        <v>1548</v>
      </c>
      <c r="N1636" t="s">
        <v>1548</v>
      </c>
      <c r="O1636" t="s">
        <v>1548</v>
      </c>
      <c r="P1636" s="36" t="s">
        <v>6448</v>
      </c>
    </row>
    <row r="1637" spans="1:16" ht="409.5" x14ac:dyDescent="0.25">
      <c r="A1637" t="s">
        <v>8491</v>
      </c>
      <c r="B1637" t="s">
        <v>8486</v>
      </c>
      <c r="C1637" t="s">
        <v>6473</v>
      </c>
      <c r="D1637" t="s">
        <v>1027</v>
      </c>
      <c r="E1637">
        <v>33419</v>
      </c>
      <c r="F1637" t="s">
        <v>6474</v>
      </c>
      <c r="G1637" t="b">
        <v>0</v>
      </c>
      <c r="H1637" t="b">
        <v>0</v>
      </c>
      <c r="I1637" t="s">
        <v>1051</v>
      </c>
      <c r="J1637">
        <v>78</v>
      </c>
      <c r="K1637" t="s">
        <v>0</v>
      </c>
      <c r="L1637" t="s">
        <v>3000</v>
      </c>
      <c r="M1637" t="s">
        <v>1548</v>
      </c>
      <c r="N1637" t="s">
        <v>1548</v>
      </c>
      <c r="O1637" t="s">
        <v>1548</v>
      </c>
      <c r="P1637" s="36" t="s">
        <v>6448</v>
      </c>
    </row>
    <row r="1638" spans="1:16" ht="390" x14ac:dyDescent="0.25">
      <c r="A1638" t="s">
        <v>8492</v>
      </c>
      <c r="B1638" t="s">
        <v>8493</v>
      </c>
      <c r="C1638" t="s">
        <v>7395</v>
      </c>
      <c r="D1638" t="s">
        <v>1027</v>
      </c>
      <c r="E1638">
        <v>1679</v>
      </c>
      <c r="F1638" t="s">
        <v>7396</v>
      </c>
      <c r="G1638" t="b">
        <v>0</v>
      </c>
      <c r="H1638" t="b">
        <v>0</v>
      </c>
      <c r="I1638" t="s">
        <v>1051</v>
      </c>
      <c r="J1638">
        <v>81</v>
      </c>
      <c r="K1638" t="s">
        <v>0</v>
      </c>
      <c r="L1638" t="s">
        <v>3000</v>
      </c>
      <c r="M1638" t="s">
        <v>1548</v>
      </c>
      <c r="N1638" t="s">
        <v>1548</v>
      </c>
      <c r="O1638" t="s">
        <v>3922</v>
      </c>
      <c r="P1638" s="36" t="s">
        <v>7397</v>
      </c>
    </row>
    <row r="1639" spans="1:16" ht="409.5" x14ac:dyDescent="0.25">
      <c r="A1639" t="s">
        <v>8494</v>
      </c>
      <c r="B1639" t="s">
        <v>8495</v>
      </c>
      <c r="C1639" t="s">
        <v>6503</v>
      </c>
      <c r="D1639" t="s">
        <v>1027</v>
      </c>
      <c r="E1639">
        <v>1488</v>
      </c>
      <c r="F1639" t="s">
        <v>6504</v>
      </c>
      <c r="G1639" t="b">
        <v>0</v>
      </c>
      <c r="H1639" t="b">
        <v>0</v>
      </c>
      <c r="I1639" t="s">
        <v>1051</v>
      </c>
      <c r="J1639">
        <v>81</v>
      </c>
      <c r="K1639" t="s">
        <v>0</v>
      </c>
      <c r="L1639" t="s">
        <v>3000</v>
      </c>
      <c r="M1639" t="s">
        <v>1548</v>
      </c>
      <c r="N1639" t="s">
        <v>1548</v>
      </c>
      <c r="O1639" t="s">
        <v>1548</v>
      </c>
      <c r="P1639" s="36" t="s">
        <v>6505</v>
      </c>
    </row>
    <row r="1640" spans="1:16" ht="409.5" x14ac:dyDescent="0.25">
      <c r="A1640" t="s">
        <v>8496</v>
      </c>
      <c r="B1640" t="s">
        <v>8497</v>
      </c>
      <c r="C1640" t="s">
        <v>6503</v>
      </c>
      <c r="D1640" t="s">
        <v>1027</v>
      </c>
      <c r="E1640">
        <v>1488</v>
      </c>
      <c r="F1640" t="s">
        <v>6504</v>
      </c>
      <c r="G1640" t="b">
        <v>0</v>
      </c>
      <c r="H1640" t="b">
        <v>0</v>
      </c>
      <c r="I1640" t="s">
        <v>1051</v>
      </c>
      <c r="J1640">
        <v>81</v>
      </c>
      <c r="K1640" t="s">
        <v>0</v>
      </c>
      <c r="L1640" t="s">
        <v>3000</v>
      </c>
      <c r="M1640" t="s">
        <v>1548</v>
      </c>
      <c r="N1640" t="s">
        <v>1548</v>
      </c>
      <c r="O1640" t="s">
        <v>1548</v>
      </c>
      <c r="P1640" s="36" t="s">
        <v>6505</v>
      </c>
    </row>
    <row r="1641" spans="1:16" ht="409.5" x14ac:dyDescent="0.25">
      <c r="A1641" t="s">
        <v>8498</v>
      </c>
      <c r="B1641" t="s">
        <v>8497</v>
      </c>
      <c r="C1641" t="s">
        <v>6503</v>
      </c>
      <c r="D1641" t="s">
        <v>1027</v>
      </c>
      <c r="E1641">
        <v>1488</v>
      </c>
      <c r="F1641" t="s">
        <v>6504</v>
      </c>
      <c r="G1641" t="b">
        <v>0</v>
      </c>
      <c r="H1641" t="b">
        <v>0</v>
      </c>
      <c r="I1641" t="s">
        <v>1051</v>
      </c>
      <c r="J1641">
        <v>81</v>
      </c>
      <c r="K1641" t="s">
        <v>0</v>
      </c>
      <c r="L1641" t="s">
        <v>3000</v>
      </c>
      <c r="M1641" t="s">
        <v>1548</v>
      </c>
      <c r="N1641" t="s">
        <v>1548</v>
      </c>
      <c r="O1641" t="s">
        <v>1548</v>
      </c>
      <c r="P1641" s="36" t="s">
        <v>6505</v>
      </c>
    </row>
    <row r="1642" spans="1:16" ht="409.5" x14ac:dyDescent="0.25">
      <c r="A1642" t="s">
        <v>8499</v>
      </c>
      <c r="B1642" t="s">
        <v>8500</v>
      </c>
      <c r="C1642" t="s">
        <v>6503</v>
      </c>
      <c r="D1642" t="s">
        <v>1027</v>
      </c>
      <c r="E1642">
        <v>1488</v>
      </c>
      <c r="F1642" t="s">
        <v>6504</v>
      </c>
      <c r="G1642" t="b">
        <v>0</v>
      </c>
      <c r="H1642" t="b">
        <v>0</v>
      </c>
      <c r="I1642" t="s">
        <v>1051</v>
      </c>
      <c r="J1642">
        <v>81</v>
      </c>
      <c r="K1642" t="s">
        <v>0</v>
      </c>
      <c r="L1642" t="s">
        <v>3000</v>
      </c>
      <c r="M1642" t="s">
        <v>1548</v>
      </c>
      <c r="N1642" t="s">
        <v>1548</v>
      </c>
      <c r="O1642" t="s">
        <v>1548</v>
      </c>
      <c r="P1642" s="36" t="s">
        <v>6505</v>
      </c>
    </row>
    <row r="1643" spans="1:16" ht="409.5" x14ac:dyDescent="0.25">
      <c r="A1643" t="s">
        <v>8501</v>
      </c>
      <c r="B1643" t="s">
        <v>8502</v>
      </c>
      <c r="C1643" t="s">
        <v>6503</v>
      </c>
      <c r="D1643" t="s">
        <v>1027</v>
      </c>
      <c r="E1643">
        <v>1488</v>
      </c>
      <c r="F1643" t="s">
        <v>6504</v>
      </c>
      <c r="G1643" t="b">
        <v>0</v>
      </c>
      <c r="H1643" t="b">
        <v>0</v>
      </c>
      <c r="I1643" t="s">
        <v>1051</v>
      </c>
      <c r="J1643">
        <v>81</v>
      </c>
      <c r="K1643" t="s">
        <v>0</v>
      </c>
      <c r="L1643" t="s">
        <v>3000</v>
      </c>
      <c r="M1643" t="s">
        <v>1548</v>
      </c>
      <c r="N1643" t="s">
        <v>1548</v>
      </c>
      <c r="O1643" t="s">
        <v>1548</v>
      </c>
      <c r="P1643" s="36" t="s">
        <v>6505</v>
      </c>
    </row>
    <row r="1644" spans="1:16" ht="409.5" x14ac:dyDescent="0.25">
      <c r="A1644" t="s">
        <v>8503</v>
      </c>
      <c r="B1644" t="s">
        <v>8504</v>
      </c>
      <c r="C1644" t="s">
        <v>6503</v>
      </c>
      <c r="D1644" t="s">
        <v>1027</v>
      </c>
      <c r="E1644">
        <v>1488</v>
      </c>
      <c r="F1644" t="s">
        <v>6504</v>
      </c>
      <c r="G1644" t="b">
        <v>0</v>
      </c>
      <c r="H1644" t="b">
        <v>0</v>
      </c>
      <c r="I1644" t="s">
        <v>1051</v>
      </c>
      <c r="J1644">
        <v>81</v>
      </c>
      <c r="K1644" t="s">
        <v>0</v>
      </c>
      <c r="L1644" t="s">
        <v>3000</v>
      </c>
      <c r="M1644" t="s">
        <v>1548</v>
      </c>
      <c r="N1644" t="s">
        <v>1548</v>
      </c>
      <c r="O1644" t="s">
        <v>1548</v>
      </c>
      <c r="P1644" s="36" t="s">
        <v>6505</v>
      </c>
    </row>
    <row r="1645" spans="1:16" ht="409.5" x14ac:dyDescent="0.25">
      <c r="A1645" t="s">
        <v>8505</v>
      </c>
      <c r="B1645" t="s">
        <v>8506</v>
      </c>
      <c r="C1645" t="s">
        <v>6503</v>
      </c>
      <c r="D1645" t="s">
        <v>1027</v>
      </c>
      <c r="E1645">
        <v>1488</v>
      </c>
      <c r="F1645" t="s">
        <v>6504</v>
      </c>
      <c r="G1645" t="b">
        <v>0</v>
      </c>
      <c r="H1645" t="b">
        <v>0</v>
      </c>
      <c r="I1645" t="s">
        <v>1051</v>
      </c>
      <c r="J1645">
        <v>81</v>
      </c>
      <c r="K1645" t="s">
        <v>0</v>
      </c>
      <c r="L1645" t="s">
        <v>3000</v>
      </c>
      <c r="M1645" t="s">
        <v>1548</v>
      </c>
      <c r="N1645" t="s">
        <v>1548</v>
      </c>
      <c r="O1645" t="s">
        <v>1548</v>
      </c>
      <c r="P1645" s="36" t="s">
        <v>6505</v>
      </c>
    </row>
    <row r="1646" spans="1:16" ht="409.5" x14ac:dyDescent="0.25">
      <c r="A1646" t="s">
        <v>8507</v>
      </c>
      <c r="B1646" t="s">
        <v>8508</v>
      </c>
      <c r="C1646" t="s">
        <v>6503</v>
      </c>
      <c r="D1646" t="s">
        <v>1027</v>
      </c>
      <c r="E1646">
        <v>1488</v>
      </c>
      <c r="F1646" t="s">
        <v>6504</v>
      </c>
      <c r="G1646" t="b">
        <v>0</v>
      </c>
      <c r="H1646" t="b">
        <v>0</v>
      </c>
      <c r="I1646" t="s">
        <v>1051</v>
      </c>
      <c r="J1646">
        <v>81</v>
      </c>
      <c r="K1646" t="s">
        <v>0</v>
      </c>
      <c r="L1646" t="s">
        <v>3000</v>
      </c>
      <c r="M1646" t="s">
        <v>1548</v>
      </c>
      <c r="N1646" t="s">
        <v>1548</v>
      </c>
      <c r="O1646" t="s">
        <v>1548</v>
      </c>
      <c r="P1646" s="36" t="s">
        <v>6505</v>
      </c>
    </row>
    <row r="1647" spans="1:16" ht="409.5" x14ac:dyDescent="0.25">
      <c r="A1647" t="s">
        <v>8509</v>
      </c>
      <c r="B1647" t="s">
        <v>8510</v>
      </c>
      <c r="C1647" t="s">
        <v>6503</v>
      </c>
      <c r="D1647" t="s">
        <v>1027</v>
      </c>
      <c r="E1647">
        <v>1488</v>
      </c>
      <c r="F1647" t="s">
        <v>6504</v>
      </c>
      <c r="G1647" t="b">
        <v>0</v>
      </c>
      <c r="H1647" t="b">
        <v>0</v>
      </c>
      <c r="I1647" t="s">
        <v>1051</v>
      </c>
      <c r="J1647">
        <v>81</v>
      </c>
      <c r="K1647" t="s">
        <v>0</v>
      </c>
      <c r="L1647" t="s">
        <v>3000</v>
      </c>
      <c r="M1647" t="s">
        <v>1548</v>
      </c>
      <c r="N1647" t="s">
        <v>1548</v>
      </c>
      <c r="O1647" t="s">
        <v>1548</v>
      </c>
      <c r="P1647" s="36" t="s">
        <v>6505</v>
      </c>
    </row>
    <row r="1648" spans="1:16" ht="409.5" x14ac:dyDescent="0.25">
      <c r="A1648" t="s">
        <v>8511</v>
      </c>
      <c r="B1648" t="s">
        <v>8510</v>
      </c>
      <c r="C1648" t="s">
        <v>6503</v>
      </c>
      <c r="D1648" t="s">
        <v>1027</v>
      </c>
      <c r="E1648">
        <v>1488</v>
      </c>
      <c r="F1648" t="s">
        <v>6504</v>
      </c>
      <c r="G1648" t="b">
        <v>0</v>
      </c>
      <c r="H1648" t="b">
        <v>0</v>
      </c>
      <c r="I1648" t="s">
        <v>1051</v>
      </c>
      <c r="J1648">
        <v>81</v>
      </c>
      <c r="K1648" t="s">
        <v>0</v>
      </c>
      <c r="L1648" t="s">
        <v>3000</v>
      </c>
      <c r="M1648" t="s">
        <v>1548</v>
      </c>
      <c r="N1648" t="s">
        <v>1548</v>
      </c>
      <c r="O1648" t="s">
        <v>1548</v>
      </c>
      <c r="P1648" s="36" t="s">
        <v>6505</v>
      </c>
    </row>
    <row r="1649" spans="1:16" ht="409.5" x14ac:dyDescent="0.25">
      <c r="A1649" t="s">
        <v>8512</v>
      </c>
      <c r="B1649" t="s">
        <v>8513</v>
      </c>
      <c r="C1649" t="s">
        <v>6503</v>
      </c>
      <c r="D1649" t="s">
        <v>1027</v>
      </c>
      <c r="E1649">
        <v>1488</v>
      </c>
      <c r="F1649" t="s">
        <v>6504</v>
      </c>
      <c r="G1649" t="b">
        <v>0</v>
      </c>
      <c r="H1649" t="b">
        <v>0</v>
      </c>
      <c r="I1649" t="s">
        <v>1051</v>
      </c>
      <c r="J1649">
        <v>81</v>
      </c>
      <c r="K1649" t="s">
        <v>0</v>
      </c>
      <c r="L1649" t="s">
        <v>3000</v>
      </c>
      <c r="M1649" t="s">
        <v>1548</v>
      </c>
      <c r="N1649" t="s">
        <v>1548</v>
      </c>
      <c r="O1649" t="s">
        <v>1548</v>
      </c>
      <c r="P1649" s="36" t="s">
        <v>6505</v>
      </c>
    </row>
    <row r="1650" spans="1:16" ht="409.5" x14ac:dyDescent="0.25">
      <c r="A1650" t="s">
        <v>8514</v>
      </c>
      <c r="B1650" t="s">
        <v>8513</v>
      </c>
      <c r="C1650" t="s">
        <v>6503</v>
      </c>
      <c r="D1650" t="s">
        <v>1027</v>
      </c>
      <c r="E1650">
        <v>1488</v>
      </c>
      <c r="F1650" t="s">
        <v>6504</v>
      </c>
      <c r="G1650" t="b">
        <v>0</v>
      </c>
      <c r="H1650" t="b">
        <v>0</v>
      </c>
      <c r="I1650" t="s">
        <v>1051</v>
      </c>
      <c r="J1650">
        <v>81</v>
      </c>
      <c r="K1650" t="s">
        <v>0</v>
      </c>
      <c r="L1650" t="s">
        <v>3000</v>
      </c>
      <c r="M1650" t="s">
        <v>1548</v>
      </c>
      <c r="N1650" t="s">
        <v>1548</v>
      </c>
      <c r="O1650" t="s">
        <v>1548</v>
      </c>
      <c r="P1650" s="36" t="s">
        <v>6505</v>
      </c>
    </row>
    <row r="1651" spans="1:16" ht="409.5" x14ac:dyDescent="0.25">
      <c r="A1651" t="s">
        <v>8515</v>
      </c>
      <c r="B1651" t="s">
        <v>8513</v>
      </c>
      <c r="C1651" t="s">
        <v>6503</v>
      </c>
      <c r="D1651" t="s">
        <v>1027</v>
      </c>
      <c r="E1651">
        <v>1488</v>
      </c>
      <c r="F1651" t="s">
        <v>6504</v>
      </c>
      <c r="G1651" t="b">
        <v>0</v>
      </c>
      <c r="H1651" t="b">
        <v>0</v>
      </c>
      <c r="I1651" t="s">
        <v>1051</v>
      </c>
      <c r="J1651">
        <v>81</v>
      </c>
      <c r="K1651" t="s">
        <v>0</v>
      </c>
      <c r="L1651" t="s">
        <v>3000</v>
      </c>
      <c r="M1651" t="s">
        <v>1548</v>
      </c>
      <c r="N1651" t="s">
        <v>1548</v>
      </c>
      <c r="O1651" t="s">
        <v>1548</v>
      </c>
      <c r="P1651" s="36" t="s">
        <v>6505</v>
      </c>
    </row>
    <row r="1652" spans="1:16" ht="409.5" x14ac:dyDescent="0.25">
      <c r="A1652" t="s">
        <v>8516</v>
      </c>
      <c r="B1652" t="s">
        <v>8513</v>
      </c>
      <c r="C1652" t="s">
        <v>6503</v>
      </c>
      <c r="D1652" t="s">
        <v>1027</v>
      </c>
      <c r="E1652">
        <v>1488</v>
      </c>
      <c r="F1652" t="s">
        <v>6504</v>
      </c>
      <c r="G1652" t="b">
        <v>0</v>
      </c>
      <c r="H1652" t="b">
        <v>0</v>
      </c>
      <c r="I1652" t="s">
        <v>1051</v>
      </c>
      <c r="J1652">
        <v>81</v>
      </c>
      <c r="K1652" t="s">
        <v>0</v>
      </c>
      <c r="L1652" t="s">
        <v>3000</v>
      </c>
      <c r="M1652" t="s">
        <v>1548</v>
      </c>
      <c r="N1652" t="s">
        <v>1548</v>
      </c>
      <c r="O1652" t="s">
        <v>1548</v>
      </c>
      <c r="P1652" s="36" t="s">
        <v>6505</v>
      </c>
    </row>
    <row r="1653" spans="1:16" ht="409.5" x14ac:dyDescent="0.25">
      <c r="A1653" t="s">
        <v>8517</v>
      </c>
      <c r="B1653" t="s">
        <v>8513</v>
      </c>
      <c r="C1653" t="s">
        <v>6503</v>
      </c>
      <c r="D1653" t="s">
        <v>1027</v>
      </c>
      <c r="E1653">
        <v>1488</v>
      </c>
      <c r="F1653" t="s">
        <v>6504</v>
      </c>
      <c r="G1653" t="b">
        <v>0</v>
      </c>
      <c r="H1653" t="b">
        <v>0</v>
      </c>
      <c r="I1653" t="s">
        <v>1051</v>
      </c>
      <c r="J1653">
        <v>81</v>
      </c>
      <c r="K1653" t="s">
        <v>0</v>
      </c>
      <c r="L1653" t="s">
        <v>3000</v>
      </c>
      <c r="M1653" t="s">
        <v>1548</v>
      </c>
      <c r="N1653" t="s">
        <v>1548</v>
      </c>
      <c r="O1653" t="s">
        <v>1548</v>
      </c>
      <c r="P1653" s="36" t="s">
        <v>6505</v>
      </c>
    </row>
    <row r="1654" spans="1:16" x14ac:dyDescent="0.25">
      <c r="A1654" t="s">
        <v>8518</v>
      </c>
      <c r="B1654" t="s">
        <v>8519</v>
      </c>
      <c r="C1654" t="s">
        <v>1335</v>
      </c>
      <c r="D1654" t="s">
        <v>1027</v>
      </c>
      <c r="E1654">
        <v>1459</v>
      </c>
      <c r="F1654" t="s">
        <v>1336</v>
      </c>
      <c r="G1654" t="b">
        <v>0</v>
      </c>
      <c r="H1654" t="b">
        <v>0</v>
      </c>
      <c r="I1654" t="s">
        <v>1051</v>
      </c>
      <c r="J1654" t="s">
        <v>1053</v>
      </c>
      <c r="K1654" t="s">
        <v>1043</v>
      </c>
    </row>
    <row r="1655" spans="1:16" x14ac:dyDescent="0.25">
      <c r="A1655" t="s">
        <v>8520</v>
      </c>
      <c r="B1655" t="s">
        <v>8519</v>
      </c>
      <c r="C1655" t="s">
        <v>1335</v>
      </c>
      <c r="D1655" t="s">
        <v>1027</v>
      </c>
      <c r="E1655">
        <v>1459</v>
      </c>
      <c r="F1655" t="s">
        <v>1336</v>
      </c>
      <c r="G1655" t="b">
        <v>0</v>
      </c>
      <c r="H1655" t="b">
        <v>0</v>
      </c>
      <c r="I1655" t="s">
        <v>1051</v>
      </c>
      <c r="J1655" t="s">
        <v>1053</v>
      </c>
      <c r="K1655" t="s">
        <v>1043</v>
      </c>
    </row>
    <row r="1656" spans="1:16" x14ac:dyDescent="0.25">
      <c r="A1656" t="s">
        <v>8521</v>
      </c>
      <c r="B1656" t="s">
        <v>8519</v>
      </c>
      <c r="C1656" t="s">
        <v>1335</v>
      </c>
      <c r="D1656" t="s">
        <v>1027</v>
      </c>
      <c r="E1656">
        <v>1459</v>
      </c>
      <c r="F1656" t="s">
        <v>1336</v>
      </c>
      <c r="G1656" t="b">
        <v>0</v>
      </c>
      <c r="H1656" t="b">
        <v>0</v>
      </c>
      <c r="I1656" t="s">
        <v>1051</v>
      </c>
      <c r="J1656" t="s">
        <v>1053</v>
      </c>
      <c r="K1656" t="s">
        <v>1043</v>
      </c>
    </row>
    <row r="1657" spans="1:16" x14ac:dyDescent="0.25">
      <c r="A1657" t="s">
        <v>8522</v>
      </c>
      <c r="B1657" t="s">
        <v>8519</v>
      </c>
      <c r="C1657" t="s">
        <v>1335</v>
      </c>
      <c r="D1657" t="s">
        <v>1027</v>
      </c>
      <c r="E1657">
        <v>1459</v>
      </c>
      <c r="F1657" t="s">
        <v>1336</v>
      </c>
      <c r="G1657" t="b">
        <v>0</v>
      </c>
      <c r="H1657" t="b">
        <v>0</v>
      </c>
      <c r="I1657" t="s">
        <v>1051</v>
      </c>
      <c r="J1657" t="s">
        <v>1053</v>
      </c>
      <c r="K1657" t="s">
        <v>1043</v>
      </c>
    </row>
    <row r="1658" spans="1:16" ht="409.5" x14ac:dyDescent="0.25">
      <c r="A1658" t="s">
        <v>8523</v>
      </c>
      <c r="B1658" t="s">
        <v>8524</v>
      </c>
      <c r="C1658" t="s">
        <v>6503</v>
      </c>
      <c r="D1658" t="s">
        <v>1027</v>
      </c>
      <c r="E1658">
        <v>1488</v>
      </c>
      <c r="F1658" t="s">
        <v>6504</v>
      </c>
      <c r="G1658" t="b">
        <v>0</v>
      </c>
      <c r="H1658" t="b">
        <v>0</v>
      </c>
      <c r="I1658" t="s">
        <v>1051</v>
      </c>
      <c r="J1658">
        <v>81</v>
      </c>
      <c r="K1658" t="s">
        <v>0</v>
      </c>
      <c r="L1658" t="s">
        <v>3000</v>
      </c>
      <c r="M1658" t="s">
        <v>1548</v>
      </c>
      <c r="N1658" t="s">
        <v>1548</v>
      </c>
      <c r="O1658" t="s">
        <v>1548</v>
      </c>
      <c r="P1658" s="36" t="s">
        <v>6505</v>
      </c>
    </row>
    <row r="1659" spans="1:16" ht="409.5" x14ac:dyDescent="0.25">
      <c r="A1659" t="s">
        <v>8525</v>
      </c>
      <c r="B1659" t="s">
        <v>8526</v>
      </c>
      <c r="C1659" t="s">
        <v>6503</v>
      </c>
      <c r="D1659" t="s">
        <v>1027</v>
      </c>
      <c r="E1659">
        <v>1488</v>
      </c>
      <c r="F1659" t="s">
        <v>6504</v>
      </c>
      <c r="G1659" t="b">
        <v>0</v>
      </c>
      <c r="H1659" t="b">
        <v>0</v>
      </c>
      <c r="I1659" t="s">
        <v>1051</v>
      </c>
      <c r="J1659">
        <v>81</v>
      </c>
      <c r="K1659" t="s">
        <v>0</v>
      </c>
      <c r="L1659" t="s">
        <v>3000</v>
      </c>
      <c r="M1659" t="s">
        <v>1548</v>
      </c>
      <c r="N1659" t="s">
        <v>1548</v>
      </c>
      <c r="O1659" t="s">
        <v>1548</v>
      </c>
      <c r="P1659" s="36" t="s">
        <v>6505</v>
      </c>
    </row>
    <row r="1660" spans="1:16" ht="409.5" x14ac:dyDescent="0.25">
      <c r="A1660" t="s">
        <v>8527</v>
      </c>
      <c r="B1660" t="s">
        <v>8528</v>
      </c>
      <c r="C1660" t="s">
        <v>6503</v>
      </c>
      <c r="D1660" t="s">
        <v>1027</v>
      </c>
      <c r="E1660">
        <v>1488</v>
      </c>
      <c r="F1660" t="s">
        <v>6504</v>
      </c>
      <c r="G1660" t="b">
        <v>0</v>
      </c>
      <c r="H1660" t="b">
        <v>0</v>
      </c>
      <c r="I1660" t="s">
        <v>1051</v>
      </c>
      <c r="J1660">
        <v>81</v>
      </c>
      <c r="K1660" t="s">
        <v>0</v>
      </c>
      <c r="L1660" t="s">
        <v>3000</v>
      </c>
      <c r="M1660" t="s">
        <v>1548</v>
      </c>
      <c r="N1660" t="s">
        <v>1548</v>
      </c>
      <c r="O1660" t="s">
        <v>1548</v>
      </c>
      <c r="P1660" s="36" t="s">
        <v>6505</v>
      </c>
    </row>
    <row r="1661" spans="1:16" ht="409.5" x14ac:dyDescent="0.25">
      <c r="A1661" t="s">
        <v>8529</v>
      </c>
      <c r="B1661" t="s">
        <v>8528</v>
      </c>
      <c r="C1661" t="s">
        <v>6503</v>
      </c>
      <c r="D1661" t="s">
        <v>1027</v>
      </c>
      <c r="E1661">
        <v>1488</v>
      </c>
      <c r="F1661" t="s">
        <v>6504</v>
      </c>
      <c r="G1661" t="b">
        <v>0</v>
      </c>
      <c r="H1661" t="b">
        <v>0</v>
      </c>
      <c r="I1661" t="s">
        <v>1051</v>
      </c>
      <c r="J1661">
        <v>81</v>
      </c>
      <c r="K1661" t="s">
        <v>0</v>
      </c>
      <c r="L1661" t="s">
        <v>3000</v>
      </c>
      <c r="M1661" t="s">
        <v>1548</v>
      </c>
      <c r="N1661" t="s">
        <v>1548</v>
      </c>
      <c r="O1661" t="s">
        <v>1548</v>
      </c>
      <c r="P1661" s="36" t="s">
        <v>6505</v>
      </c>
    </row>
    <row r="1662" spans="1:16" ht="409.5" x14ac:dyDescent="0.25">
      <c r="A1662" t="s">
        <v>8530</v>
      </c>
      <c r="B1662" t="s">
        <v>8531</v>
      </c>
      <c r="C1662" t="s">
        <v>6503</v>
      </c>
      <c r="D1662" t="s">
        <v>1027</v>
      </c>
      <c r="E1662">
        <v>1488</v>
      </c>
      <c r="F1662" t="s">
        <v>6504</v>
      </c>
      <c r="G1662" t="b">
        <v>0</v>
      </c>
      <c r="H1662" t="b">
        <v>0</v>
      </c>
      <c r="I1662" t="s">
        <v>1051</v>
      </c>
      <c r="J1662">
        <v>78</v>
      </c>
      <c r="K1662" t="s">
        <v>0</v>
      </c>
      <c r="L1662" t="s">
        <v>3000</v>
      </c>
      <c r="M1662" t="s">
        <v>1548</v>
      </c>
      <c r="N1662" t="s">
        <v>1548</v>
      </c>
      <c r="O1662" t="s">
        <v>1548</v>
      </c>
      <c r="P1662" s="36" t="s">
        <v>6505</v>
      </c>
    </row>
    <row r="1663" spans="1:16" ht="409.5" x14ac:dyDescent="0.25">
      <c r="A1663" t="s">
        <v>8532</v>
      </c>
      <c r="B1663" t="s">
        <v>8531</v>
      </c>
      <c r="C1663" t="s">
        <v>6503</v>
      </c>
      <c r="D1663" t="s">
        <v>1027</v>
      </c>
      <c r="E1663">
        <v>1488</v>
      </c>
      <c r="F1663" t="s">
        <v>6504</v>
      </c>
      <c r="G1663" t="b">
        <v>0</v>
      </c>
      <c r="H1663" t="b">
        <v>0</v>
      </c>
      <c r="I1663" t="s">
        <v>1051</v>
      </c>
      <c r="J1663">
        <v>78</v>
      </c>
      <c r="K1663" t="s">
        <v>0</v>
      </c>
      <c r="L1663" t="s">
        <v>3000</v>
      </c>
      <c r="M1663" t="s">
        <v>1548</v>
      </c>
      <c r="N1663" t="s">
        <v>1548</v>
      </c>
      <c r="O1663" t="s">
        <v>1548</v>
      </c>
      <c r="P1663" s="36" t="s">
        <v>6505</v>
      </c>
    </row>
    <row r="1664" spans="1:16" ht="409.5" x14ac:dyDescent="0.25">
      <c r="A1664" t="s">
        <v>8533</v>
      </c>
      <c r="B1664" t="s">
        <v>8531</v>
      </c>
      <c r="C1664" t="s">
        <v>6503</v>
      </c>
      <c r="D1664" t="s">
        <v>1027</v>
      </c>
      <c r="E1664">
        <v>1488</v>
      </c>
      <c r="F1664" t="s">
        <v>6504</v>
      </c>
      <c r="G1664" t="b">
        <v>0</v>
      </c>
      <c r="H1664" t="b">
        <v>0</v>
      </c>
      <c r="I1664" t="s">
        <v>1051</v>
      </c>
      <c r="J1664">
        <v>78</v>
      </c>
      <c r="K1664" t="s">
        <v>0</v>
      </c>
      <c r="L1664" t="s">
        <v>3000</v>
      </c>
      <c r="M1664" t="s">
        <v>1548</v>
      </c>
      <c r="N1664" t="s">
        <v>1548</v>
      </c>
      <c r="O1664" t="s">
        <v>1548</v>
      </c>
      <c r="P1664" s="36" t="s">
        <v>6505</v>
      </c>
    </row>
    <row r="1665" spans="1:16" ht="409.5" x14ac:dyDescent="0.25">
      <c r="A1665" t="s">
        <v>8534</v>
      </c>
      <c r="B1665" t="s">
        <v>8531</v>
      </c>
      <c r="C1665" t="s">
        <v>6503</v>
      </c>
      <c r="D1665" t="s">
        <v>1027</v>
      </c>
      <c r="E1665">
        <v>1488</v>
      </c>
      <c r="F1665" t="s">
        <v>6504</v>
      </c>
      <c r="G1665" t="b">
        <v>0</v>
      </c>
      <c r="H1665" t="b">
        <v>0</v>
      </c>
      <c r="I1665" t="s">
        <v>1051</v>
      </c>
      <c r="J1665">
        <v>78</v>
      </c>
      <c r="K1665" t="s">
        <v>0</v>
      </c>
      <c r="L1665" t="s">
        <v>3000</v>
      </c>
      <c r="M1665" t="s">
        <v>1548</v>
      </c>
      <c r="N1665" t="s">
        <v>1548</v>
      </c>
      <c r="O1665" t="s">
        <v>1548</v>
      </c>
      <c r="P1665" s="36" t="s">
        <v>6505</v>
      </c>
    </row>
    <row r="1666" spans="1:16" ht="409.5" x14ac:dyDescent="0.25">
      <c r="A1666" t="s">
        <v>8535</v>
      </c>
      <c r="B1666" t="s">
        <v>8531</v>
      </c>
      <c r="C1666" t="s">
        <v>6503</v>
      </c>
      <c r="D1666" t="s">
        <v>1027</v>
      </c>
      <c r="E1666">
        <v>1488</v>
      </c>
      <c r="F1666" t="s">
        <v>6504</v>
      </c>
      <c r="G1666" t="b">
        <v>0</v>
      </c>
      <c r="H1666" t="b">
        <v>0</v>
      </c>
      <c r="I1666" t="s">
        <v>1051</v>
      </c>
      <c r="J1666">
        <v>78</v>
      </c>
      <c r="K1666" t="s">
        <v>0</v>
      </c>
      <c r="L1666" t="s">
        <v>3000</v>
      </c>
      <c r="M1666" t="s">
        <v>1548</v>
      </c>
      <c r="N1666" t="s">
        <v>1548</v>
      </c>
      <c r="O1666" t="s">
        <v>1548</v>
      </c>
      <c r="P1666" s="36" t="s">
        <v>6505</v>
      </c>
    </row>
    <row r="1667" spans="1:16" ht="409.5" x14ac:dyDescent="0.25">
      <c r="A1667" t="s">
        <v>8536</v>
      </c>
      <c r="B1667" t="s">
        <v>8531</v>
      </c>
      <c r="C1667" t="s">
        <v>6503</v>
      </c>
      <c r="D1667" t="s">
        <v>1027</v>
      </c>
      <c r="E1667">
        <v>1488</v>
      </c>
      <c r="F1667" t="s">
        <v>6504</v>
      </c>
      <c r="G1667" t="b">
        <v>0</v>
      </c>
      <c r="H1667" t="b">
        <v>0</v>
      </c>
      <c r="I1667" t="s">
        <v>1051</v>
      </c>
      <c r="J1667">
        <v>78</v>
      </c>
      <c r="K1667" t="s">
        <v>0</v>
      </c>
      <c r="L1667" t="s">
        <v>3000</v>
      </c>
      <c r="M1667" t="s">
        <v>1548</v>
      </c>
      <c r="N1667" t="s">
        <v>1548</v>
      </c>
      <c r="O1667" t="s">
        <v>1548</v>
      </c>
      <c r="P1667" s="36" t="s">
        <v>6505</v>
      </c>
    </row>
    <row r="1668" spans="1:16" ht="409.5" x14ac:dyDescent="0.25">
      <c r="A1668" t="s">
        <v>8537</v>
      </c>
      <c r="B1668" t="s">
        <v>8531</v>
      </c>
      <c r="C1668" t="s">
        <v>6503</v>
      </c>
      <c r="D1668" t="s">
        <v>1027</v>
      </c>
      <c r="E1668">
        <v>1488</v>
      </c>
      <c r="F1668" t="s">
        <v>6504</v>
      </c>
      <c r="G1668" t="b">
        <v>0</v>
      </c>
      <c r="H1668" t="b">
        <v>0</v>
      </c>
      <c r="I1668" t="s">
        <v>1051</v>
      </c>
      <c r="J1668">
        <v>78</v>
      </c>
      <c r="K1668" t="s">
        <v>0</v>
      </c>
      <c r="L1668" t="s">
        <v>3000</v>
      </c>
      <c r="M1668" t="s">
        <v>1548</v>
      </c>
      <c r="N1668" t="s">
        <v>1548</v>
      </c>
      <c r="O1668" t="s">
        <v>1548</v>
      </c>
      <c r="P1668" s="36" t="s">
        <v>6505</v>
      </c>
    </row>
    <row r="1669" spans="1:16" ht="409.5" x14ac:dyDescent="0.25">
      <c r="A1669" t="s">
        <v>8538</v>
      </c>
      <c r="B1669" t="s">
        <v>8531</v>
      </c>
      <c r="C1669" t="s">
        <v>6503</v>
      </c>
      <c r="D1669" t="s">
        <v>1027</v>
      </c>
      <c r="E1669">
        <v>1488</v>
      </c>
      <c r="F1669" t="s">
        <v>6504</v>
      </c>
      <c r="G1669" t="b">
        <v>0</v>
      </c>
      <c r="H1669" t="b">
        <v>0</v>
      </c>
      <c r="I1669" t="s">
        <v>1051</v>
      </c>
      <c r="J1669">
        <v>78</v>
      </c>
      <c r="K1669" t="s">
        <v>0</v>
      </c>
      <c r="L1669" t="s">
        <v>3000</v>
      </c>
      <c r="M1669" t="s">
        <v>1548</v>
      </c>
      <c r="N1669" t="s">
        <v>1548</v>
      </c>
      <c r="O1669" t="s">
        <v>1548</v>
      </c>
      <c r="P1669" s="36" t="s">
        <v>6505</v>
      </c>
    </row>
    <row r="1670" spans="1:16" ht="409.5" x14ac:dyDescent="0.25">
      <c r="A1670" t="s">
        <v>8539</v>
      </c>
      <c r="B1670" t="s">
        <v>8531</v>
      </c>
      <c r="C1670" t="s">
        <v>6503</v>
      </c>
      <c r="D1670" t="s">
        <v>1027</v>
      </c>
      <c r="E1670">
        <v>1488</v>
      </c>
      <c r="F1670" t="s">
        <v>6504</v>
      </c>
      <c r="G1670" t="b">
        <v>0</v>
      </c>
      <c r="H1670" t="b">
        <v>0</v>
      </c>
      <c r="I1670" t="s">
        <v>1051</v>
      </c>
      <c r="J1670">
        <v>78</v>
      </c>
      <c r="K1670" t="s">
        <v>0</v>
      </c>
      <c r="L1670" t="s">
        <v>3000</v>
      </c>
      <c r="M1670" t="s">
        <v>1548</v>
      </c>
      <c r="N1670" t="s">
        <v>1548</v>
      </c>
      <c r="O1670" t="s">
        <v>1548</v>
      </c>
      <c r="P1670" s="36" t="s">
        <v>6505</v>
      </c>
    </row>
    <row r="1671" spans="1:16" ht="409.5" x14ac:dyDescent="0.25">
      <c r="A1671" t="s">
        <v>8540</v>
      </c>
      <c r="B1671" t="s">
        <v>8531</v>
      </c>
      <c r="C1671" t="s">
        <v>6503</v>
      </c>
      <c r="D1671" t="s">
        <v>1027</v>
      </c>
      <c r="E1671">
        <v>1488</v>
      </c>
      <c r="F1671" t="s">
        <v>6504</v>
      </c>
      <c r="G1671" t="b">
        <v>0</v>
      </c>
      <c r="H1671" t="b">
        <v>0</v>
      </c>
      <c r="I1671" t="s">
        <v>1051</v>
      </c>
      <c r="J1671">
        <v>78</v>
      </c>
      <c r="K1671" t="s">
        <v>0</v>
      </c>
      <c r="L1671" t="s">
        <v>3000</v>
      </c>
      <c r="M1671" t="s">
        <v>1548</v>
      </c>
      <c r="N1671" t="s">
        <v>1548</v>
      </c>
      <c r="O1671" t="s">
        <v>1548</v>
      </c>
      <c r="P1671" s="36" t="s">
        <v>6505</v>
      </c>
    </row>
    <row r="1672" spans="1:16" ht="409.5" x14ac:dyDescent="0.25">
      <c r="A1672" t="s">
        <v>8541</v>
      </c>
      <c r="B1672" t="s">
        <v>8531</v>
      </c>
      <c r="C1672" t="s">
        <v>6503</v>
      </c>
      <c r="D1672" t="s">
        <v>1027</v>
      </c>
      <c r="E1672">
        <v>1488</v>
      </c>
      <c r="F1672" t="s">
        <v>6504</v>
      </c>
      <c r="G1672" t="b">
        <v>0</v>
      </c>
      <c r="H1672" t="b">
        <v>0</v>
      </c>
      <c r="I1672" t="s">
        <v>1051</v>
      </c>
      <c r="J1672">
        <v>78</v>
      </c>
      <c r="K1672" t="s">
        <v>0</v>
      </c>
      <c r="L1672" t="s">
        <v>3000</v>
      </c>
      <c r="M1672" t="s">
        <v>1548</v>
      </c>
      <c r="N1672" t="s">
        <v>1548</v>
      </c>
      <c r="O1672" t="s">
        <v>1548</v>
      </c>
      <c r="P1672" s="36" t="s">
        <v>6505</v>
      </c>
    </row>
    <row r="1673" spans="1:16" ht="409.5" x14ac:dyDescent="0.25">
      <c r="A1673" t="s">
        <v>8542</v>
      </c>
      <c r="B1673" t="s">
        <v>8531</v>
      </c>
      <c r="C1673" t="s">
        <v>6503</v>
      </c>
      <c r="D1673" t="s">
        <v>1027</v>
      </c>
      <c r="E1673">
        <v>1488</v>
      </c>
      <c r="F1673" t="s">
        <v>6504</v>
      </c>
      <c r="G1673" t="b">
        <v>0</v>
      </c>
      <c r="H1673" t="b">
        <v>0</v>
      </c>
      <c r="I1673" t="s">
        <v>1051</v>
      </c>
      <c r="J1673">
        <v>78</v>
      </c>
      <c r="K1673" t="s">
        <v>0</v>
      </c>
      <c r="L1673" t="s">
        <v>3000</v>
      </c>
      <c r="M1673" t="s">
        <v>1548</v>
      </c>
      <c r="N1673" t="s">
        <v>1548</v>
      </c>
      <c r="O1673" t="s">
        <v>1548</v>
      </c>
      <c r="P1673" s="36" t="s">
        <v>6505</v>
      </c>
    </row>
    <row r="1674" spans="1:16" ht="409.5" x14ac:dyDescent="0.25">
      <c r="A1674" t="s">
        <v>8543</v>
      </c>
      <c r="B1674" t="s">
        <v>8531</v>
      </c>
      <c r="C1674" t="s">
        <v>6503</v>
      </c>
      <c r="D1674" t="s">
        <v>1027</v>
      </c>
      <c r="E1674">
        <v>1488</v>
      </c>
      <c r="F1674" t="s">
        <v>6504</v>
      </c>
      <c r="G1674" t="b">
        <v>0</v>
      </c>
      <c r="H1674" t="b">
        <v>0</v>
      </c>
      <c r="I1674" t="s">
        <v>1051</v>
      </c>
      <c r="J1674">
        <v>78</v>
      </c>
      <c r="K1674" t="s">
        <v>0</v>
      </c>
      <c r="L1674" t="s">
        <v>3000</v>
      </c>
      <c r="M1674" t="s">
        <v>1548</v>
      </c>
      <c r="N1674" t="s">
        <v>1548</v>
      </c>
      <c r="O1674" t="s">
        <v>1548</v>
      </c>
      <c r="P1674" s="36" t="s">
        <v>6505</v>
      </c>
    </row>
    <row r="1675" spans="1:16" ht="409.5" x14ac:dyDescent="0.25">
      <c r="A1675" t="s">
        <v>8544</v>
      </c>
      <c r="B1675" t="s">
        <v>8531</v>
      </c>
      <c r="C1675" t="s">
        <v>6503</v>
      </c>
      <c r="D1675" t="s">
        <v>1027</v>
      </c>
      <c r="E1675">
        <v>1488</v>
      </c>
      <c r="F1675" t="s">
        <v>6504</v>
      </c>
      <c r="G1675" t="b">
        <v>0</v>
      </c>
      <c r="H1675" t="b">
        <v>0</v>
      </c>
      <c r="I1675" t="s">
        <v>1051</v>
      </c>
      <c r="J1675">
        <v>78</v>
      </c>
      <c r="K1675" t="s">
        <v>0</v>
      </c>
      <c r="L1675" t="s">
        <v>3000</v>
      </c>
      <c r="M1675" t="s">
        <v>1548</v>
      </c>
      <c r="N1675" t="s">
        <v>1548</v>
      </c>
      <c r="O1675" t="s">
        <v>1548</v>
      </c>
      <c r="P1675" s="36" t="s">
        <v>6505</v>
      </c>
    </row>
    <row r="1676" spans="1:16" ht="409.5" x14ac:dyDescent="0.25">
      <c r="A1676" t="s">
        <v>8545</v>
      </c>
      <c r="B1676" t="s">
        <v>8531</v>
      </c>
      <c r="C1676" t="s">
        <v>6503</v>
      </c>
      <c r="D1676" t="s">
        <v>1027</v>
      </c>
      <c r="E1676">
        <v>1488</v>
      </c>
      <c r="F1676" t="s">
        <v>6504</v>
      </c>
      <c r="G1676" t="b">
        <v>0</v>
      </c>
      <c r="H1676" t="b">
        <v>0</v>
      </c>
      <c r="I1676" t="s">
        <v>1051</v>
      </c>
      <c r="J1676">
        <v>78</v>
      </c>
      <c r="K1676" t="s">
        <v>0</v>
      </c>
      <c r="L1676" t="s">
        <v>3000</v>
      </c>
      <c r="M1676" t="s">
        <v>1548</v>
      </c>
      <c r="N1676" t="s">
        <v>1548</v>
      </c>
      <c r="O1676" t="s">
        <v>1548</v>
      </c>
      <c r="P1676" s="36" t="s">
        <v>6505</v>
      </c>
    </row>
    <row r="1677" spans="1:16" ht="409.5" x14ac:dyDescent="0.25">
      <c r="A1677" t="s">
        <v>8546</v>
      </c>
      <c r="B1677" t="s">
        <v>8531</v>
      </c>
      <c r="C1677" t="s">
        <v>6503</v>
      </c>
      <c r="D1677" t="s">
        <v>1027</v>
      </c>
      <c r="E1677">
        <v>1488</v>
      </c>
      <c r="F1677" t="s">
        <v>6504</v>
      </c>
      <c r="G1677" t="b">
        <v>0</v>
      </c>
      <c r="H1677" t="b">
        <v>0</v>
      </c>
      <c r="I1677" t="s">
        <v>1051</v>
      </c>
      <c r="J1677">
        <v>78</v>
      </c>
      <c r="K1677" t="s">
        <v>0</v>
      </c>
      <c r="L1677" t="s">
        <v>3000</v>
      </c>
      <c r="M1677" t="s">
        <v>1548</v>
      </c>
      <c r="N1677" t="s">
        <v>1548</v>
      </c>
      <c r="O1677" t="s">
        <v>1548</v>
      </c>
      <c r="P1677" s="36" t="s">
        <v>6505</v>
      </c>
    </row>
    <row r="1678" spans="1:16" ht="409.5" x14ac:dyDescent="0.25">
      <c r="A1678" t="s">
        <v>8547</v>
      </c>
      <c r="B1678" t="s">
        <v>8531</v>
      </c>
      <c r="C1678" t="s">
        <v>6503</v>
      </c>
      <c r="D1678" t="s">
        <v>1027</v>
      </c>
      <c r="E1678">
        <v>1488</v>
      </c>
      <c r="F1678" t="s">
        <v>6504</v>
      </c>
      <c r="G1678" t="b">
        <v>0</v>
      </c>
      <c r="H1678" t="b">
        <v>0</v>
      </c>
      <c r="I1678" t="s">
        <v>1051</v>
      </c>
      <c r="J1678">
        <v>78</v>
      </c>
      <c r="K1678" t="s">
        <v>0</v>
      </c>
      <c r="L1678" t="s">
        <v>3000</v>
      </c>
      <c r="M1678" t="s">
        <v>1548</v>
      </c>
      <c r="N1678" t="s">
        <v>1548</v>
      </c>
      <c r="O1678" t="s">
        <v>1548</v>
      </c>
      <c r="P1678" s="36" t="s">
        <v>6505</v>
      </c>
    </row>
    <row r="1679" spans="1:16" ht="409.5" x14ac:dyDescent="0.25">
      <c r="A1679" t="s">
        <v>8548</v>
      </c>
      <c r="B1679" t="s">
        <v>8531</v>
      </c>
      <c r="C1679" t="s">
        <v>6503</v>
      </c>
      <c r="D1679" t="s">
        <v>1027</v>
      </c>
      <c r="E1679">
        <v>1488</v>
      </c>
      <c r="F1679" t="s">
        <v>6504</v>
      </c>
      <c r="G1679" t="b">
        <v>0</v>
      </c>
      <c r="H1679" t="b">
        <v>0</v>
      </c>
      <c r="I1679" t="s">
        <v>1051</v>
      </c>
      <c r="J1679">
        <v>78</v>
      </c>
      <c r="K1679" t="s">
        <v>0</v>
      </c>
      <c r="L1679" t="s">
        <v>3000</v>
      </c>
      <c r="M1679" t="s">
        <v>1548</v>
      </c>
      <c r="N1679" t="s">
        <v>1548</v>
      </c>
      <c r="O1679" t="s">
        <v>1548</v>
      </c>
      <c r="P1679" s="36" t="s">
        <v>6505</v>
      </c>
    </row>
    <row r="1680" spans="1:16" ht="409.5" x14ac:dyDescent="0.25">
      <c r="A1680" t="s">
        <v>8549</v>
      </c>
      <c r="B1680" t="s">
        <v>8550</v>
      </c>
      <c r="C1680" t="s">
        <v>6645</v>
      </c>
      <c r="D1680" t="s">
        <v>1027</v>
      </c>
      <c r="E1680">
        <v>33434</v>
      </c>
      <c r="F1680" t="s">
        <v>6646</v>
      </c>
      <c r="G1680" t="b">
        <v>0</v>
      </c>
      <c r="H1680" t="b">
        <v>0</v>
      </c>
      <c r="I1680" t="s">
        <v>1051</v>
      </c>
      <c r="J1680">
        <v>78</v>
      </c>
      <c r="K1680" t="s">
        <v>0</v>
      </c>
      <c r="L1680" t="s">
        <v>3000</v>
      </c>
      <c r="M1680" t="s">
        <v>1548</v>
      </c>
      <c r="N1680" t="s">
        <v>1548</v>
      </c>
      <c r="O1680" t="s">
        <v>1548</v>
      </c>
      <c r="P1680" s="36" t="s">
        <v>6448</v>
      </c>
    </row>
    <row r="1681" spans="1:11" x14ac:dyDescent="0.25">
      <c r="A1681" t="s">
        <v>8551</v>
      </c>
      <c r="B1681" t="s">
        <v>8552</v>
      </c>
      <c r="C1681" t="s">
        <v>1335</v>
      </c>
      <c r="D1681" t="s">
        <v>1027</v>
      </c>
      <c r="E1681">
        <v>1459</v>
      </c>
      <c r="F1681" t="s">
        <v>1336</v>
      </c>
      <c r="G1681" t="b">
        <v>0</v>
      </c>
      <c r="H1681" t="b">
        <v>0</v>
      </c>
      <c r="I1681" t="s">
        <v>1051</v>
      </c>
      <c r="J1681" t="s">
        <v>1053</v>
      </c>
      <c r="K1681" t="s">
        <v>1043</v>
      </c>
    </row>
    <row r="1682" spans="1:11" x14ac:dyDescent="0.25">
      <c r="A1682" t="s">
        <v>8553</v>
      </c>
      <c r="B1682" t="s">
        <v>8552</v>
      </c>
      <c r="C1682" t="s">
        <v>1335</v>
      </c>
      <c r="D1682" t="s">
        <v>1027</v>
      </c>
      <c r="E1682">
        <v>1459</v>
      </c>
      <c r="F1682" t="s">
        <v>1336</v>
      </c>
      <c r="G1682" t="b">
        <v>0</v>
      </c>
      <c r="H1682" t="b">
        <v>0</v>
      </c>
      <c r="I1682" t="s">
        <v>1051</v>
      </c>
      <c r="J1682" t="s">
        <v>1053</v>
      </c>
      <c r="K1682" t="s">
        <v>1043</v>
      </c>
    </row>
    <row r="1683" spans="1:11" x14ac:dyDescent="0.25">
      <c r="A1683" t="s">
        <v>8554</v>
      </c>
      <c r="B1683" t="s">
        <v>8552</v>
      </c>
      <c r="C1683" t="s">
        <v>1335</v>
      </c>
      <c r="D1683" t="s">
        <v>1027</v>
      </c>
      <c r="E1683">
        <v>1459</v>
      </c>
      <c r="F1683" t="s">
        <v>1336</v>
      </c>
      <c r="G1683" t="b">
        <v>0</v>
      </c>
      <c r="H1683" t="b">
        <v>0</v>
      </c>
      <c r="I1683" t="s">
        <v>1051</v>
      </c>
      <c r="J1683" t="s">
        <v>1053</v>
      </c>
      <c r="K1683" t="s">
        <v>1043</v>
      </c>
    </row>
    <row r="1684" spans="1:11" x14ac:dyDescent="0.25">
      <c r="A1684" t="s">
        <v>8555</v>
      </c>
      <c r="B1684" t="s">
        <v>8552</v>
      </c>
      <c r="C1684" t="s">
        <v>1335</v>
      </c>
      <c r="D1684" t="s">
        <v>1027</v>
      </c>
      <c r="E1684">
        <v>1459</v>
      </c>
      <c r="F1684" t="s">
        <v>1336</v>
      </c>
      <c r="G1684" t="b">
        <v>0</v>
      </c>
      <c r="H1684" t="b">
        <v>0</v>
      </c>
      <c r="I1684" t="s">
        <v>1051</v>
      </c>
      <c r="J1684" t="s">
        <v>1053</v>
      </c>
      <c r="K1684" t="s">
        <v>1043</v>
      </c>
    </row>
    <row r="1685" spans="1:11" x14ac:dyDescent="0.25">
      <c r="A1685" t="s">
        <v>8556</v>
      </c>
      <c r="B1685" t="s">
        <v>8552</v>
      </c>
      <c r="C1685" t="s">
        <v>1335</v>
      </c>
      <c r="D1685" t="s">
        <v>1027</v>
      </c>
      <c r="E1685">
        <v>1459</v>
      </c>
      <c r="F1685" t="s">
        <v>1336</v>
      </c>
      <c r="G1685" t="b">
        <v>0</v>
      </c>
      <c r="H1685" t="b">
        <v>0</v>
      </c>
      <c r="I1685" t="s">
        <v>1051</v>
      </c>
      <c r="J1685" t="s">
        <v>1053</v>
      </c>
      <c r="K1685" t="s">
        <v>1043</v>
      </c>
    </row>
    <row r="1686" spans="1:11" x14ac:dyDescent="0.25">
      <c r="A1686" t="s">
        <v>8557</v>
      </c>
      <c r="B1686" t="s">
        <v>8552</v>
      </c>
      <c r="C1686" t="s">
        <v>1335</v>
      </c>
      <c r="D1686" t="s">
        <v>1027</v>
      </c>
      <c r="E1686">
        <v>1459</v>
      </c>
      <c r="F1686" t="s">
        <v>1336</v>
      </c>
      <c r="G1686" t="b">
        <v>0</v>
      </c>
      <c r="H1686" t="b">
        <v>0</v>
      </c>
      <c r="I1686" t="s">
        <v>1051</v>
      </c>
      <c r="J1686" t="s">
        <v>1053</v>
      </c>
      <c r="K1686" t="s">
        <v>1043</v>
      </c>
    </row>
    <row r="1687" spans="1:11" x14ac:dyDescent="0.25">
      <c r="A1687" t="s">
        <v>8558</v>
      </c>
      <c r="B1687" t="s">
        <v>8552</v>
      </c>
      <c r="C1687" t="s">
        <v>1335</v>
      </c>
      <c r="D1687" t="s">
        <v>1027</v>
      </c>
      <c r="E1687">
        <v>1459</v>
      </c>
      <c r="F1687" t="s">
        <v>1336</v>
      </c>
      <c r="G1687" t="b">
        <v>0</v>
      </c>
      <c r="H1687" t="b">
        <v>0</v>
      </c>
      <c r="I1687" t="s">
        <v>1051</v>
      </c>
      <c r="J1687" t="s">
        <v>1053</v>
      </c>
      <c r="K1687" t="s">
        <v>1043</v>
      </c>
    </row>
    <row r="1688" spans="1:11" x14ac:dyDescent="0.25">
      <c r="A1688" t="s">
        <v>8559</v>
      </c>
      <c r="B1688" t="s">
        <v>8552</v>
      </c>
      <c r="C1688" t="s">
        <v>1335</v>
      </c>
      <c r="D1688" t="s">
        <v>1027</v>
      </c>
      <c r="E1688">
        <v>1459</v>
      </c>
      <c r="F1688" t="s">
        <v>1336</v>
      </c>
      <c r="G1688" t="b">
        <v>0</v>
      </c>
      <c r="H1688" t="b">
        <v>0</v>
      </c>
      <c r="I1688" t="s">
        <v>1051</v>
      </c>
      <c r="J1688" t="s">
        <v>1053</v>
      </c>
      <c r="K1688" t="s">
        <v>1043</v>
      </c>
    </row>
    <row r="1689" spans="1:11" x14ac:dyDescent="0.25">
      <c r="A1689" t="s">
        <v>8560</v>
      </c>
      <c r="B1689" t="s">
        <v>8552</v>
      </c>
      <c r="C1689" t="s">
        <v>1335</v>
      </c>
      <c r="D1689" t="s">
        <v>1027</v>
      </c>
      <c r="E1689">
        <v>1459</v>
      </c>
      <c r="F1689" t="s">
        <v>1336</v>
      </c>
      <c r="G1689" t="b">
        <v>0</v>
      </c>
      <c r="H1689" t="b">
        <v>0</v>
      </c>
      <c r="I1689" t="s">
        <v>1051</v>
      </c>
      <c r="J1689" t="s">
        <v>1053</v>
      </c>
      <c r="K1689" t="s">
        <v>1043</v>
      </c>
    </row>
    <row r="1690" spans="1:11" x14ac:dyDescent="0.25">
      <c r="A1690" t="s">
        <v>8561</v>
      </c>
      <c r="B1690" t="s">
        <v>8552</v>
      </c>
      <c r="C1690" t="s">
        <v>1335</v>
      </c>
      <c r="D1690" t="s">
        <v>1027</v>
      </c>
      <c r="E1690">
        <v>1459</v>
      </c>
      <c r="F1690" t="s">
        <v>1336</v>
      </c>
      <c r="G1690" t="b">
        <v>0</v>
      </c>
      <c r="H1690" t="b">
        <v>0</v>
      </c>
      <c r="I1690" t="s">
        <v>1051</v>
      </c>
      <c r="J1690" t="s">
        <v>1053</v>
      </c>
      <c r="K1690" t="s">
        <v>1043</v>
      </c>
    </row>
    <row r="1691" spans="1:11" x14ac:dyDescent="0.25">
      <c r="A1691" t="s">
        <v>8562</v>
      </c>
      <c r="B1691" t="s">
        <v>8552</v>
      </c>
      <c r="C1691" t="s">
        <v>1335</v>
      </c>
      <c r="D1691" t="s">
        <v>1027</v>
      </c>
      <c r="E1691">
        <v>1459</v>
      </c>
      <c r="F1691" t="s">
        <v>1336</v>
      </c>
      <c r="G1691" t="b">
        <v>0</v>
      </c>
      <c r="H1691" t="b">
        <v>0</v>
      </c>
      <c r="I1691" t="s">
        <v>1051</v>
      </c>
      <c r="J1691" t="s">
        <v>1053</v>
      </c>
      <c r="K1691" t="s">
        <v>1043</v>
      </c>
    </row>
    <row r="1692" spans="1:11" x14ac:dyDescent="0.25">
      <c r="A1692" t="s">
        <v>8563</v>
      </c>
      <c r="B1692" t="s">
        <v>8552</v>
      </c>
      <c r="C1692" t="s">
        <v>1335</v>
      </c>
      <c r="D1692" t="s">
        <v>1027</v>
      </c>
      <c r="E1692">
        <v>1459</v>
      </c>
      <c r="F1692" t="s">
        <v>1336</v>
      </c>
      <c r="G1692" t="b">
        <v>0</v>
      </c>
      <c r="H1692" t="b">
        <v>0</v>
      </c>
      <c r="I1692" t="s">
        <v>1051</v>
      </c>
      <c r="J1692" t="s">
        <v>1053</v>
      </c>
      <c r="K1692" t="s">
        <v>1043</v>
      </c>
    </row>
    <row r="1693" spans="1:11" x14ac:dyDescent="0.25">
      <c r="A1693" t="s">
        <v>8564</v>
      </c>
      <c r="B1693" t="s">
        <v>8552</v>
      </c>
      <c r="C1693" t="s">
        <v>1335</v>
      </c>
      <c r="D1693" t="s">
        <v>1027</v>
      </c>
      <c r="E1693">
        <v>1459</v>
      </c>
      <c r="F1693" t="s">
        <v>1336</v>
      </c>
      <c r="G1693" t="b">
        <v>0</v>
      </c>
      <c r="H1693" t="b">
        <v>0</v>
      </c>
      <c r="I1693" t="s">
        <v>1051</v>
      </c>
      <c r="J1693" t="s">
        <v>1053</v>
      </c>
      <c r="K1693" t="s">
        <v>1043</v>
      </c>
    </row>
    <row r="1694" spans="1:11" x14ac:dyDescent="0.25">
      <c r="A1694" t="s">
        <v>8565</v>
      </c>
      <c r="B1694" t="s">
        <v>8552</v>
      </c>
      <c r="C1694" t="s">
        <v>1335</v>
      </c>
      <c r="D1694" t="s">
        <v>1027</v>
      </c>
      <c r="E1694">
        <v>1459</v>
      </c>
      <c r="F1694" t="s">
        <v>1336</v>
      </c>
      <c r="G1694" t="b">
        <v>0</v>
      </c>
      <c r="H1694" t="b">
        <v>0</v>
      </c>
      <c r="I1694" t="s">
        <v>1051</v>
      </c>
      <c r="J1694" t="s">
        <v>1053</v>
      </c>
      <c r="K1694" t="s">
        <v>1043</v>
      </c>
    </row>
    <row r="1695" spans="1:11" x14ac:dyDescent="0.25">
      <c r="A1695" t="s">
        <v>8566</v>
      </c>
      <c r="B1695" t="s">
        <v>8552</v>
      </c>
      <c r="C1695" t="s">
        <v>1335</v>
      </c>
      <c r="D1695" t="s">
        <v>1027</v>
      </c>
      <c r="E1695">
        <v>1459</v>
      </c>
      <c r="F1695" t="s">
        <v>1336</v>
      </c>
      <c r="G1695" t="b">
        <v>0</v>
      </c>
      <c r="H1695" t="b">
        <v>0</v>
      </c>
      <c r="I1695" t="s">
        <v>1051</v>
      </c>
      <c r="J1695" t="s">
        <v>1053</v>
      </c>
      <c r="K1695" t="s">
        <v>1043</v>
      </c>
    </row>
    <row r="1696" spans="1:11" x14ac:dyDescent="0.25">
      <c r="A1696" t="s">
        <v>8567</v>
      </c>
      <c r="B1696" t="s">
        <v>8552</v>
      </c>
      <c r="C1696" t="s">
        <v>1335</v>
      </c>
      <c r="D1696" t="s">
        <v>1027</v>
      </c>
      <c r="E1696">
        <v>1459</v>
      </c>
      <c r="F1696" t="s">
        <v>1336</v>
      </c>
      <c r="G1696" t="b">
        <v>0</v>
      </c>
      <c r="H1696" t="b">
        <v>0</v>
      </c>
      <c r="I1696" t="s">
        <v>1051</v>
      </c>
      <c r="J1696" t="s">
        <v>1053</v>
      </c>
      <c r="K1696" t="s">
        <v>1043</v>
      </c>
    </row>
    <row r="1697" spans="1:11" x14ac:dyDescent="0.25">
      <c r="A1697" t="s">
        <v>8568</v>
      </c>
      <c r="B1697" t="s">
        <v>8552</v>
      </c>
      <c r="C1697" t="s">
        <v>1335</v>
      </c>
      <c r="D1697" t="s">
        <v>1027</v>
      </c>
      <c r="E1697">
        <v>1459</v>
      </c>
      <c r="F1697" t="s">
        <v>1336</v>
      </c>
      <c r="G1697" t="b">
        <v>0</v>
      </c>
      <c r="H1697" t="b">
        <v>0</v>
      </c>
      <c r="I1697" t="s">
        <v>1051</v>
      </c>
      <c r="J1697" t="s">
        <v>1053</v>
      </c>
      <c r="K1697" t="s">
        <v>1043</v>
      </c>
    </row>
    <row r="1698" spans="1:11" x14ac:dyDescent="0.25">
      <c r="A1698" t="s">
        <v>8569</v>
      </c>
      <c r="B1698" t="s">
        <v>8552</v>
      </c>
      <c r="C1698" t="s">
        <v>1335</v>
      </c>
      <c r="D1698" t="s">
        <v>1027</v>
      </c>
      <c r="E1698">
        <v>1459</v>
      </c>
      <c r="F1698" t="s">
        <v>1336</v>
      </c>
      <c r="G1698" t="b">
        <v>0</v>
      </c>
      <c r="H1698" t="b">
        <v>0</v>
      </c>
      <c r="I1698" t="s">
        <v>1051</v>
      </c>
      <c r="J1698" t="s">
        <v>1053</v>
      </c>
      <c r="K1698" t="s">
        <v>1043</v>
      </c>
    </row>
    <row r="1699" spans="1:11" x14ac:dyDescent="0.25">
      <c r="A1699" t="s">
        <v>8570</v>
      </c>
      <c r="B1699" t="s">
        <v>8552</v>
      </c>
      <c r="C1699" t="s">
        <v>1335</v>
      </c>
      <c r="D1699" t="s">
        <v>1027</v>
      </c>
      <c r="E1699">
        <v>1459</v>
      </c>
      <c r="F1699" t="s">
        <v>1336</v>
      </c>
      <c r="G1699" t="b">
        <v>0</v>
      </c>
      <c r="H1699" t="b">
        <v>0</v>
      </c>
      <c r="I1699" t="s">
        <v>1051</v>
      </c>
      <c r="J1699" t="s">
        <v>1053</v>
      </c>
      <c r="K1699" t="s">
        <v>1043</v>
      </c>
    </row>
    <row r="1700" spans="1:11" x14ac:dyDescent="0.25">
      <c r="A1700" t="s">
        <v>8571</v>
      </c>
      <c r="B1700" t="s">
        <v>8552</v>
      </c>
      <c r="C1700" t="s">
        <v>1335</v>
      </c>
      <c r="D1700" t="s">
        <v>1027</v>
      </c>
      <c r="E1700">
        <v>1459</v>
      </c>
      <c r="F1700" t="s">
        <v>1336</v>
      </c>
      <c r="G1700" t="b">
        <v>0</v>
      </c>
      <c r="H1700" t="b">
        <v>0</v>
      </c>
      <c r="I1700" t="s">
        <v>1051</v>
      </c>
      <c r="J1700" t="s">
        <v>1053</v>
      </c>
      <c r="K1700" t="s">
        <v>1043</v>
      </c>
    </row>
    <row r="1701" spans="1:11" x14ac:dyDescent="0.25">
      <c r="A1701" t="s">
        <v>8572</v>
      </c>
      <c r="B1701" t="s">
        <v>8552</v>
      </c>
      <c r="C1701" t="s">
        <v>1335</v>
      </c>
      <c r="D1701" t="s">
        <v>1027</v>
      </c>
      <c r="E1701">
        <v>1459</v>
      </c>
      <c r="F1701" t="s">
        <v>1336</v>
      </c>
      <c r="G1701" t="b">
        <v>0</v>
      </c>
      <c r="H1701" t="b">
        <v>0</v>
      </c>
      <c r="I1701" t="s">
        <v>1051</v>
      </c>
      <c r="J1701" t="s">
        <v>1053</v>
      </c>
      <c r="K1701" t="s">
        <v>1043</v>
      </c>
    </row>
    <row r="1702" spans="1:11" x14ac:dyDescent="0.25">
      <c r="A1702" t="s">
        <v>8573</v>
      </c>
      <c r="B1702" t="s">
        <v>8552</v>
      </c>
      <c r="C1702" t="s">
        <v>1335</v>
      </c>
      <c r="D1702" t="s">
        <v>1027</v>
      </c>
      <c r="E1702">
        <v>1459</v>
      </c>
      <c r="F1702" t="s">
        <v>1336</v>
      </c>
      <c r="G1702" t="b">
        <v>0</v>
      </c>
      <c r="H1702" t="b">
        <v>0</v>
      </c>
      <c r="I1702" t="s">
        <v>1051</v>
      </c>
      <c r="J1702" t="s">
        <v>1053</v>
      </c>
      <c r="K1702" t="s">
        <v>1043</v>
      </c>
    </row>
    <row r="1703" spans="1:11" x14ac:dyDescent="0.25">
      <c r="A1703" t="s">
        <v>8574</v>
      </c>
      <c r="B1703" t="s">
        <v>8552</v>
      </c>
      <c r="C1703" t="s">
        <v>1335</v>
      </c>
      <c r="D1703" t="s">
        <v>1027</v>
      </c>
      <c r="E1703">
        <v>1459</v>
      </c>
      <c r="F1703" t="s">
        <v>1336</v>
      </c>
      <c r="G1703" t="b">
        <v>0</v>
      </c>
      <c r="H1703" t="b">
        <v>0</v>
      </c>
      <c r="I1703" t="s">
        <v>1051</v>
      </c>
      <c r="J1703" t="s">
        <v>1053</v>
      </c>
      <c r="K1703" t="s">
        <v>1043</v>
      </c>
    </row>
    <row r="1704" spans="1:11" x14ac:dyDescent="0.25">
      <c r="A1704" t="s">
        <v>8575</v>
      </c>
      <c r="B1704" t="s">
        <v>8552</v>
      </c>
      <c r="C1704" t="s">
        <v>1335</v>
      </c>
      <c r="D1704" t="s">
        <v>1027</v>
      </c>
      <c r="E1704">
        <v>1459</v>
      </c>
      <c r="F1704" t="s">
        <v>1336</v>
      </c>
      <c r="G1704" t="b">
        <v>0</v>
      </c>
      <c r="H1704" t="b">
        <v>0</v>
      </c>
      <c r="I1704" t="s">
        <v>1051</v>
      </c>
      <c r="J1704" t="s">
        <v>1053</v>
      </c>
      <c r="K1704" t="s">
        <v>1043</v>
      </c>
    </row>
    <row r="1705" spans="1:11" x14ac:dyDescent="0.25">
      <c r="A1705" t="s">
        <v>8576</v>
      </c>
      <c r="B1705" t="s">
        <v>8552</v>
      </c>
      <c r="C1705" t="s">
        <v>1335</v>
      </c>
      <c r="D1705" t="s">
        <v>1027</v>
      </c>
      <c r="E1705">
        <v>1459</v>
      </c>
      <c r="F1705" t="s">
        <v>1336</v>
      </c>
      <c r="G1705" t="b">
        <v>0</v>
      </c>
      <c r="H1705" t="b">
        <v>0</v>
      </c>
      <c r="I1705" t="s">
        <v>1051</v>
      </c>
      <c r="J1705" t="s">
        <v>1053</v>
      </c>
      <c r="K1705" t="s">
        <v>1043</v>
      </c>
    </row>
    <row r="1706" spans="1:11" x14ac:dyDescent="0.25">
      <c r="A1706" t="s">
        <v>8577</v>
      </c>
      <c r="B1706" t="s">
        <v>8552</v>
      </c>
      <c r="C1706" t="s">
        <v>1335</v>
      </c>
      <c r="D1706" t="s">
        <v>1027</v>
      </c>
      <c r="E1706">
        <v>1459</v>
      </c>
      <c r="F1706" t="s">
        <v>1336</v>
      </c>
      <c r="G1706" t="b">
        <v>0</v>
      </c>
      <c r="H1706" t="b">
        <v>0</v>
      </c>
      <c r="I1706" t="s">
        <v>1051</v>
      </c>
      <c r="J1706" t="s">
        <v>1053</v>
      </c>
      <c r="K1706" t="s">
        <v>1043</v>
      </c>
    </row>
    <row r="1707" spans="1:11" x14ac:dyDescent="0.25">
      <c r="A1707" t="s">
        <v>8578</v>
      </c>
      <c r="B1707" t="s">
        <v>8552</v>
      </c>
      <c r="C1707" t="s">
        <v>1335</v>
      </c>
      <c r="D1707" t="s">
        <v>1027</v>
      </c>
      <c r="E1707">
        <v>1459</v>
      </c>
      <c r="F1707" t="s">
        <v>1336</v>
      </c>
      <c r="G1707" t="b">
        <v>0</v>
      </c>
      <c r="H1707" t="b">
        <v>0</v>
      </c>
      <c r="I1707" t="s">
        <v>1051</v>
      </c>
      <c r="J1707" t="s">
        <v>1053</v>
      </c>
      <c r="K1707" t="s">
        <v>1043</v>
      </c>
    </row>
    <row r="1708" spans="1:11" x14ac:dyDescent="0.25">
      <c r="A1708" t="s">
        <v>8579</v>
      </c>
      <c r="B1708" t="s">
        <v>8552</v>
      </c>
      <c r="C1708" t="s">
        <v>1335</v>
      </c>
      <c r="D1708" t="s">
        <v>1027</v>
      </c>
      <c r="E1708">
        <v>1459</v>
      </c>
      <c r="F1708" t="s">
        <v>1336</v>
      </c>
      <c r="G1708" t="b">
        <v>0</v>
      </c>
      <c r="H1708" t="b">
        <v>0</v>
      </c>
      <c r="I1708" t="s">
        <v>1051</v>
      </c>
      <c r="J1708" t="s">
        <v>1053</v>
      </c>
      <c r="K1708" t="s">
        <v>1043</v>
      </c>
    </row>
    <row r="1709" spans="1:11" x14ac:dyDescent="0.25">
      <c r="A1709" t="s">
        <v>8580</v>
      </c>
      <c r="B1709" t="s">
        <v>8552</v>
      </c>
      <c r="C1709" t="s">
        <v>1335</v>
      </c>
      <c r="D1709" t="s">
        <v>1027</v>
      </c>
      <c r="E1709">
        <v>1459</v>
      </c>
      <c r="F1709" t="s">
        <v>1336</v>
      </c>
      <c r="G1709" t="b">
        <v>0</v>
      </c>
      <c r="H1709" t="b">
        <v>0</v>
      </c>
      <c r="I1709" t="s">
        <v>1051</v>
      </c>
      <c r="J1709" t="s">
        <v>1053</v>
      </c>
      <c r="K1709" t="s">
        <v>1043</v>
      </c>
    </row>
    <row r="1710" spans="1:11" x14ac:dyDescent="0.25">
      <c r="A1710" t="s">
        <v>8581</v>
      </c>
      <c r="B1710" t="s">
        <v>8552</v>
      </c>
      <c r="C1710" t="s">
        <v>1335</v>
      </c>
      <c r="D1710" t="s">
        <v>1027</v>
      </c>
      <c r="E1710">
        <v>1459</v>
      </c>
      <c r="F1710" t="s">
        <v>1336</v>
      </c>
      <c r="G1710" t="b">
        <v>0</v>
      </c>
      <c r="H1710" t="b">
        <v>0</v>
      </c>
      <c r="I1710" t="s">
        <v>1051</v>
      </c>
      <c r="J1710" t="s">
        <v>1053</v>
      </c>
      <c r="K1710" t="s">
        <v>1043</v>
      </c>
    </row>
    <row r="1711" spans="1:11" x14ac:dyDescent="0.25">
      <c r="A1711" t="s">
        <v>8582</v>
      </c>
      <c r="B1711" t="s">
        <v>8552</v>
      </c>
      <c r="C1711" t="s">
        <v>1335</v>
      </c>
      <c r="D1711" t="s">
        <v>1027</v>
      </c>
      <c r="E1711">
        <v>1459</v>
      </c>
      <c r="F1711" t="s">
        <v>1336</v>
      </c>
      <c r="G1711" t="b">
        <v>0</v>
      </c>
      <c r="H1711" t="b">
        <v>0</v>
      </c>
      <c r="I1711" t="s">
        <v>1051</v>
      </c>
      <c r="J1711" t="s">
        <v>1053</v>
      </c>
      <c r="K1711" t="s">
        <v>1043</v>
      </c>
    </row>
    <row r="1712" spans="1:11" x14ac:dyDescent="0.25">
      <c r="A1712" t="s">
        <v>8583</v>
      </c>
      <c r="B1712" t="s">
        <v>8552</v>
      </c>
      <c r="C1712" t="s">
        <v>1335</v>
      </c>
      <c r="D1712" t="s">
        <v>1027</v>
      </c>
      <c r="E1712">
        <v>1459</v>
      </c>
      <c r="F1712" t="s">
        <v>1336</v>
      </c>
      <c r="G1712" t="b">
        <v>0</v>
      </c>
      <c r="H1712" t="b">
        <v>0</v>
      </c>
      <c r="I1712" t="s">
        <v>1051</v>
      </c>
      <c r="J1712" t="s">
        <v>1053</v>
      </c>
      <c r="K1712" t="s">
        <v>1043</v>
      </c>
    </row>
    <row r="1713" spans="1:16" x14ac:dyDescent="0.25">
      <c r="A1713" t="s">
        <v>8584</v>
      </c>
      <c r="B1713" t="s">
        <v>8552</v>
      </c>
      <c r="C1713" t="s">
        <v>1335</v>
      </c>
      <c r="D1713" t="s">
        <v>1027</v>
      </c>
      <c r="E1713">
        <v>1459</v>
      </c>
      <c r="F1713" t="s">
        <v>1336</v>
      </c>
      <c r="G1713" t="b">
        <v>0</v>
      </c>
      <c r="H1713" t="b">
        <v>0</v>
      </c>
      <c r="I1713" t="s">
        <v>1051</v>
      </c>
      <c r="J1713" t="s">
        <v>1053</v>
      </c>
      <c r="K1713" t="s">
        <v>1043</v>
      </c>
    </row>
    <row r="1714" spans="1:16" x14ac:dyDescent="0.25">
      <c r="A1714" t="s">
        <v>8585</v>
      </c>
      <c r="B1714" t="s">
        <v>8552</v>
      </c>
      <c r="C1714" t="s">
        <v>1335</v>
      </c>
      <c r="D1714" t="s">
        <v>1027</v>
      </c>
      <c r="E1714">
        <v>1459</v>
      </c>
      <c r="F1714" t="s">
        <v>1336</v>
      </c>
      <c r="G1714" t="b">
        <v>0</v>
      </c>
      <c r="H1714" t="b">
        <v>0</v>
      </c>
      <c r="I1714" t="s">
        <v>1051</v>
      </c>
      <c r="J1714" t="s">
        <v>1053</v>
      </c>
      <c r="K1714" t="s">
        <v>1043</v>
      </c>
    </row>
    <row r="1715" spans="1:16" x14ac:dyDescent="0.25">
      <c r="A1715" t="s">
        <v>8586</v>
      </c>
      <c r="B1715" t="s">
        <v>8552</v>
      </c>
      <c r="C1715" t="s">
        <v>1335</v>
      </c>
      <c r="D1715" t="s">
        <v>1027</v>
      </c>
      <c r="E1715">
        <v>1459</v>
      </c>
      <c r="F1715" t="s">
        <v>1336</v>
      </c>
      <c r="G1715" t="b">
        <v>0</v>
      </c>
      <c r="H1715" t="b">
        <v>0</v>
      </c>
      <c r="I1715" t="s">
        <v>1051</v>
      </c>
      <c r="J1715" t="s">
        <v>1053</v>
      </c>
      <c r="K1715" t="s">
        <v>1043</v>
      </c>
    </row>
    <row r="1716" spans="1:16" x14ac:dyDescent="0.25">
      <c r="A1716" t="s">
        <v>8587</v>
      </c>
      <c r="B1716" t="s">
        <v>8552</v>
      </c>
      <c r="C1716" t="s">
        <v>1335</v>
      </c>
      <c r="D1716" t="s">
        <v>1027</v>
      </c>
      <c r="E1716">
        <v>1459</v>
      </c>
      <c r="F1716" t="s">
        <v>1336</v>
      </c>
      <c r="G1716" t="b">
        <v>0</v>
      </c>
      <c r="H1716" t="b">
        <v>0</v>
      </c>
      <c r="I1716" t="s">
        <v>1051</v>
      </c>
      <c r="J1716" t="s">
        <v>1053</v>
      </c>
      <c r="K1716" t="s">
        <v>1043</v>
      </c>
    </row>
    <row r="1717" spans="1:16" x14ac:dyDescent="0.25">
      <c r="A1717" t="s">
        <v>8588</v>
      </c>
      <c r="B1717" t="s">
        <v>8552</v>
      </c>
      <c r="C1717" t="s">
        <v>1335</v>
      </c>
      <c r="D1717" t="s">
        <v>1027</v>
      </c>
      <c r="E1717">
        <v>1459</v>
      </c>
      <c r="F1717" t="s">
        <v>1336</v>
      </c>
      <c r="G1717" t="b">
        <v>0</v>
      </c>
      <c r="H1717" t="b">
        <v>0</v>
      </c>
      <c r="I1717" t="s">
        <v>1051</v>
      </c>
      <c r="J1717" t="s">
        <v>1053</v>
      </c>
      <c r="K1717" t="s">
        <v>1043</v>
      </c>
    </row>
    <row r="1718" spans="1:16" x14ac:dyDescent="0.25">
      <c r="A1718" t="s">
        <v>8589</v>
      </c>
      <c r="B1718" t="s">
        <v>8552</v>
      </c>
      <c r="C1718" t="s">
        <v>1335</v>
      </c>
      <c r="D1718" t="s">
        <v>1027</v>
      </c>
      <c r="E1718">
        <v>1459</v>
      </c>
      <c r="F1718" t="s">
        <v>1336</v>
      </c>
      <c r="G1718" t="b">
        <v>0</v>
      </c>
      <c r="H1718" t="b">
        <v>0</v>
      </c>
      <c r="I1718" t="s">
        <v>1051</v>
      </c>
      <c r="J1718" t="s">
        <v>1053</v>
      </c>
      <c r="K1718" t="s">
        <v>1043</v>
      </c>
    </row>
    <row r="1719" spans="1:16" x14ac:dyDescent="0.25">
      <c r="A1719" t="s">
        <v>8590</v>
      </c>
      <c r="B1719" t="s">
        <v>8552</v>
      </c>
      <c r="C1719" t="s">
        <v>1335</v>
      </c>
      <c r="D1719" t="s">
        <v>1027</v>
      </c>
      <c r="E1719">
        <v>1459</v>
      </c>
      <c r="F1719" t="s">
        <v>1336</v>
      </c>
      <c r="G1719" t="b">
        <v>0</v>
      </c>
      <c r="H1719" t="b">
        <v>0</v>
      </c>
      <c r="I1719" t="s">
        <v>1051</v>
      </c>
      <c r="J1719" t="s">
        <v>1053</v>
      </c>
      <c r="K1719" t="s">
        <v>1043</v>
      </c>
    </row>
    <row r="1720" spans="1:16" x14ac:dyDescent="0.25">
      <c r="A1720" t="s">
        <v>8591</v>
      </c>
      <c r="B1720" t="s">
        <v>8552</v>
      </c>
      <c r="C1720" t="s">
        <v>1335</v>
      </c>
      <c r="D1720" t="s">
        <v>1027</v>
      </c>
      <c r="E1720">
        <v>1459</v>
      </c>
      <c r="F1720" t="s">
        <v>1336</v>
      </c>
      <c r="G1720" t="b">
        <v>0</v>
      </c>
      <c r="H1720" t="b">
        <v>0</v>
      </c>
      <c r="I1720" t="s">
        <v>1051</v>
      </c>
      <c r="J1720" t="s">
        <v>1053</v>
      </c>
      <c r="K1720" t="s">
        <v>1043</v>
      </c>
    </row>
    <row r="1721" spans="1:16" ht="409.5" x14ac:dyDescent="0.25">
      <c r="A1721" t="s">
        <v>8592</v>
      </c>
      <c r="B1721" t="s">
        <v>8593</v>
      </c>
      <c r="C1721" t="s">
        <v>6503</v>
      </c>
      <c r="D1721" t="s">
        <v>1027</v>
      </c>
      <c r="E1721">
        <v>1488</v>
      </c>
      <c r="F1721" t="s">
        <v>6504</v>
      </c>
      <c r="G1721" t="b">
        <v>0</v>
      </c>
      <c r="H1721" t="b">
        <v>0</v>
      </c>
      <c r="I1721" t="s">
        <v>1051</v>
      </c>
      <c r="J1721">
        <v>81</v>
      </c>
      <c r="K1721" t="s">
        <v>0</v>
      </c>
      <c r="L1721" t="s">
        <v>3000</v>
      </c>
      <c r="M1721" t="s">
        <v>1548</v>
      </c>
      <c r="N1721" t="s">
        <v>1548</v>
      </c>
      <c r="O1721" t="s">
        <v>1548</v>
      </c>
      <c r="P1721" s="36" t="s">
        <v>6505</v>
      </c>
    </row>
    <row r="1722" spans="1:16" ht="409.5" x14ac:dyDescent="0.25">
      <c r="A1722" t="s">
        <v>8594</v>
      </c>
      <c r="B1722" t="s">
        <v>8595</v>
      </c>
      <c r="C1722" t="s">
        <v>6473</v>
      </c>
      <c r="D1722" t="s">
        <v>1027</v>
      </c>
      <c r="E1722">
        <v>33419</v>
      </c>
      <c r="F1722" t="s">
        <v>6474</v>
      </c>
      <c r="G1722" t="b">
        <v>0</v>
      </c>
      <c r="H1722" t="b">
        <v>0</v>
      </c>
      <c r="I1722" t="s">
        <v>1051</v>
      </c>
      <c r="J1722">
        <v>78</v>
      </c>
      <c r="K1722" t="s">
        <v>0</v>
      </c>
      <c r="L1722" t="s">
        <v>3000</v>
      </c>
      <c r="M1722" t="s">
        <v>1548</v>
      </c>
      <c r="N1722" t="s">
        <v>1548</v>
      </c>
      <c r="O1722" t="s">
        <v>1548</v>
      </c>
      <c r="P1722" s="36" t="s">
        <v>6448</v>
      </c>
    </row>
    <row r="1723" spans="1:16" ht="409.5" x14ac:dyDescent="0.25">
      <c r="A1723" t="s">
        <v>8596</v>
      </c>
      <c r="B1723" t="s">
        <v>8597</v>
      </c>
      <c r="C1723" t="s">
        <v>6645</v>
      </c>
      <c r="D1723" t="s">
        <v>1027</v>
      </c>
      <c r="E1723">
        <v>33434</v>
      </c>
      <c r="F1723" t="s">
        <v>6646</v>
      </c>
      <c r="G1723" t="b">
        <v>0</v>
      </c>
      <c r="H1723" t="b">
        <v>0</v>
      </c>
      <c r="I1723" t="s">
        <v>1051</v>
      </c>
      <c r="J1723">
        <v>78</v>
      </c>
      <c r="K1723" t="s">
        <v>0</v>
      </c>
      <c r="L1723" t="s">
        <v>3000</v>
      </c>
      <c r="M1723" t="s">
        <v>1548</v>
      </c>
      <c r="N1723" t="s">
        <v>1548</v>
      </c>
      <c r="O1723" t="s">
        <v>1548</v>
      </c>
      <c r="P1723" s="36" t="s">
        <v>6448</v>
      </c>
    </row>
    <row r="1724" spans="1:16" x14ac:dyDescent="0.25">
      <c r="A1724" t="s">
        <v>8598</v>
      </c>
      <c r="B1724" t="s">
        <v>6419</v>
      </c>
      <c r="C1724" t="s">
        <v>1335</v>
      </c>
      <c r="D1724" t="s">
        <v>1027</v>
      </c>
      <c r="E1724">
        <v>1459</v>
      </c>
      <c r="F1724" t="s">
        <v>1336</v>
      </c>
      <c r="G1724" t="b">
        <v>0</v>
      </c>
      <c r="H1724" t="b">
        <v>0</v>
      </c>
      <c r="I1724" t="s">
        <v>1051</v>
      </c>
      <c r="J1724">
        <v>78</v>
      </c>
      <c r="K1724" t="s">
        <v>2</v>
      </c>
      <c r="L1724" t="s">
        <v>1549</v>
      </c>
      <c r="M1724" t="s">
        <v>3922</v>
      </c>
      <c r="N1724" t="s">
        <v>3922</v>
      </c>
      <c r="O1724" t="s">
        <v>3922</v>
      </c>
      <c r="P1724" t="s">
        <v>1682</v>
      </c>
    </row>
    <row r="1725" spans="1:16" x14ac:dyDescent="0.25">
      <c r="A1725" t="s">
        <v>8599</v>
      </c>
      <c r="B1725" t="s">
        <v>6419</v>
      </c>
      <c r="C1725" t="s">
        <v>1335</v>
      </c>
      <c r="D1725" t="s">
        <v>1027</v>
      </c>
      <c r="E1725">
        <v>1459</v>
      </c>
      <c r="F1725" t="s">
        <v>1336</v>
      </c>
      <c r="G1725" t="b">
        <v>0</v>
      </c>
      <c r="H1725" t="b">
        <v>0</v>
      </c>
      <c r="I1725" t="s">
        <v>1051</v>
      </c>
      <c r="J1725">
        <v>78</v>
      </c>
      <c r="K1725" t="s">
        <v>2</v>
      </c>
      <c r="L1725" t="s">
        <v>1549</v>
      </c>
      <c r="M1725" t="s">
        <v>3922</v>
      </c>
      <c r="N1725" t="s">
        <v>3922</v>
      </c>
      <c r="O1725" t="s">
        <v>3922</v>
      </c>
      <c r="P1725" t="s">
        <v>1682</v>
      </c>
    </row>
    <row r="1726" spans="1:16" x14ac:dyDescent="0.25">
      <c r="A1726" t="s">
        <v>8600</v>
      </c>
      <c r="B1726" t="s">
        <v>6419</v>
      </c>
      <c r="C1726" t="s">
        <v>1335</v>
      </c>
      <c r="D1726" t="s">
        <v>1027</v>
      </c>
      <c r="E1726">
        <v>1459</v>
      </c>
      <c r="F1726" t="s">
        <v>1336</v>
      </c>
      <c r="G1726" t="b">
        <v>0</v>
      </c>
      <c r="H1726" t="b">
        <v>0</v>
      </c>
      <c r="I1726" t="s">
        <v>1051</v>
      </c>
      <c r="J1726">
        <v>78</v>
      </c>
      <c r="K1726" t="s">
        <v>2</v>
      </c>
      <c r="L1726" t="s">
        <v>1549</v>
      </c>
      <c r="M1726" t="s">
        <v>3922</v>
      </c>
      <c r="N1726" t="s">
        <v>3922</v>
      </c>
      <c r="O1726" t="s">
        <v>3922</v>
      </c>
      <c r="P1726" t="s">
        <v>1682</v>
      </c>
    </row>
    <row r="1727" spans="1:16" x14ac:dyDescent="0.25">
      <c r="A1727" t="s">
        <v>8601</v>
      </c>
      <c r="B1727" t="s">
        <v>6419</v>
      </c>
      <c r="C1727" t="s">
        <v>1335</v>
      </c>
      <c r="D1727" t="s">
        <v>1027</v>
      </c>
      <c r="E1727">
        <v>1459</v>
      </c>
      <c r="F1727" t="s">
        <v>1336</v>
      </c>
      <c r="G1727" t="b">
        <v>0</v>
      </c>
      <c r="H1727" t="b">
        <v>0</v>
      </c>
      <c r="I1727" t="s">
        <v>1051</v>
      </c>
      <c r="J1727">
        <v>78</v>
      </c>
      <c r="K1727" t="s">
        <v>2</v>
      </c>
      <c r="L1727" t="s">
        <v>1549</v>
      </c>
      <c r="M1727" t="s">
        <v>3922</v>
      </c>
      <c r="N1727" t="s">
        <v>3922</v>
      </c>
      <c r="O1727" t="s">
        <v>3922</v>
      </c>
      <c r="P1727" t="s">
        <v>1682</v>
      </c>
    </row>
    <row r="1728" spans="1:16" x14ac:dyDescent="0.25">
      <c r="A1728" t="s">
        <v>8602</v>
      </c>
      <c r="B1728" t="s">
        <v>6419</v>
      </c>
      <c r="C1728" t="s">
        <v>1335</v>
      </c>
      <c r="D1728" t="s">
        <v>1027</v>
      </c>
      <c r="E1728">
        <v>1459</v>
      </c>
      <c r="F1728" t="s">
        <v>1336</v>
      </c>
      <c r="G1728" t="b">
        <v>0</v>
      </c>
      <c r="H1728" t="b">
        <v>0</v>
      </c>
      <c r="I1728" t="s">
        <v>1051</v>
      </c>
      <c r="J1728">
        <v>78</v>
      </c>
      <c r="K1728" t="s">
        <v>2</v>
      </c>
      <c r="L1728" t="s">
        <v>1549</v>
      </c>
      <c r="M1728" t="s">
        <v>3922</v>
      </c>
      <c r="N1728" t="s">
        <v>3922</v>
      </c>
      <c r="O1728" t="s">
        <v>3922</v>
      </c>
      <c r="P1728" t="s">
        <v>1682</v>
      </c>
    </row>
    <row r="1729" spans="1:16" x14ac:dyDescent="0.25">
      <c r="A1729" t="s">
        <v>8603</v>
      </c>
      <c r="B1729" t="s">
        <v>6419</v>
      </c>
      <c r="C1729" t="s">
        <v>1335</v>
      </c>
      <c r="D1729" t="s">
        <v>1027</v>
      </c>
      <c r="E1729">
        <v>1459</v>
      </c>
      <c r="F1729" t="s">
        <v>1336</v>
      </c>
      <c r="G1729" t="b">
        <v>0</v>
      </c>
      <c r="H1729" t="b">
        <v>0</v>
      </c>
      <c r="I1729" t="s">
        <v>1051</v>
      </c>
      <c r="J1729">
        <v>78</v>
      </c>
      <c r="K1729" t="s">
        <v>2</v>
      </c>
      <c r="L1729" t="s">
        <v>1549</v>
      </c>
      <c r="M1729" t="s">
        <v>3922</v>
      </c>
      <c r="N1729" t="s">
        <v>3922</v>
      </c>
      <c r="O1729" t="s">
        <v>3922</v>
      </c>
      <c r="P1729" t="s">
        <v>1682</v>
      </c>
    </row>
    <row r="1730" spans="1:16" x14ac:dyDescent="0.25">
      <c r="A1730" t="s">
        <v>8604</v>
      </c>
      <c r="B1730" t="s">
        <v>6419</v>
      </c>
      <c r="C1730" t="s">
        <v>1335</v>
      </c>
      <c r="D1730" t="s">
        <v>1027</v>
      </c>
      <c r="E1730">
        <v>1459</v>
      </c>
      <c r="F1730" t="s">
        <v>1336</v>
      </c>
      <c r="G1730" t="b">
        <v>0</v>
      </c>
      <c r="H1730" t="b">
        <v>0</v>
      </c>
      <c r="I1730" t="s">
        <v>1051</v>
      </c>
      <c r="J1730">
        <v>78</v>
      </c>
      <c r="K1730" t="s">
        <v>2</v>
      </c>
      <c r="L1730" t="s">
        <v>1549</v>
      </c>
      <c r="M1730" t="s">
        <v>3922</v>
      </c>
      <c r="N1730" t="s">
        <v>3922</v>
      </c>
      <c r="O1730" t="s">
        <v>3922</v>
      </c>
      <c r="P1730" t="s">
        <v>1682</v>
      </c>
    </row>
    <row r="1731" spans="1:16" x14ac:dyDescent="0.25">
      <c r="A1731" t="s">
        <v>8605</v>
      </c>
      <c r="B1731" t="s">
        <v>6419</v>
      </c>
      <c r="C1731" t="s">
        <v>1335</v>
      </c>
      <c r="D1731" t="s">
        <v>1027</v>
      </c>
      <c r="E1731">
        <v>1459</v>
      </c>
      <c r="F1731" t="s">
        <v>1336</v>
      </c>
      <c r="G1731" t="b">
        <v>0</v>
      </c>
      <c r="H1731" t="b">
        <v>0</v>
      </c>
      <c r="I1731" t="s">
        <v>1051</v>
      </c>
      <c r="J1731">
        <v>78</v>
      </c>
      <c r="K1731" t="s">
        <v>2</v>
      </c>
      <c r="L1731" t="s">
        <v>1549</v>
      </c>
      <c r="M1731" t="s">
        <v>3922</v>
      </c>
      <c r="N1731" t="s">
        <v>3922</v>
      </c>
      <c r="O1731" t="s">
        <v>3922</v>
      </c>
      <c r="P1731" t="s">
        <v>1682</v>
      </c>
    </row>
    <row r="1732" spans="1:16" x14ac:dyDescent="0.25">
      <c r="A1732" t="s">
        <v>8606</v>
      </c>
      <c r="B1732" t="s">
        <v>6419</v>
      </c>
      <c r="C1732" t="s">
        <v>1335</v>
      </c>
      <c r="D1732" t="s">
        <v>1027</v>
      </c>
      <c r="E1732">
        <v>1459</v>
      </c>
      <c r="F1732" t="s">
        <v>1336</v>
      </c>
      <c r="G1732" t="b">
        <v>0</v>
      </c>
      <c r="H1732" t="b">
        <v>0</v>
      </c>
      <c r="I1732" t="s">
        <v>1051</v>
      </c>
      <c r="J1732">
        <v>78</v>
      </c>
      <c r="K1732" t="s">
        <v>2</v>
      </c>
      <c r="L1732" t="s">
        <v>1549</v>
      </c>
      <c r="M1732" t="s">
        <v>3922</v>
      </c>
      <c r="N1732" t="s">
        <v>3922</v>
      </c>
      <c r="O1732" t="s">
        <v>3922</v>
      </c>
      <c r="P1732" t="s">
        <v>1682</v>
      </c>
    </row>
    <row r="1733" spans="1:16" x14ac:dyDescent="0.25">
      <c r="A1733" t="s">
        <v>8607</v>
      </c>
      <c r="B1733" t="s">
        <v>6419</v>
      </c>
      <c r="C1733" t="s">
        <v>1335</v>
      </c>
      <c r="D1733" t="s">
        <v>1027</v>
      </c>
      <c r="E1733">
        <v>1459</v>
      </c>
      <c r="F1733" t="s">
        <v>1336</v>
      </c>
      <c r="G1733" t="b">
        <v>0</v>
      </c>
      <c r="H1733" t="b">
        <v>0</v>
      </c>
      <c r="I1733" t="s">
        <v>1051</v>
      </c>
      <c r="J1733">
        <v>78</v>
      </c>
      <c r="K1733" t="s">
        <v>2</v>
      </c>
      <c r="L1733" t="s">
        <v>1549</v>
      </c>
      <c r="M1733" t="s">
        <v>3922</v>
      </c>
      <c r="N1733" t="s">
        <v>3922</v>
      </c>
      <c r="O1733" t="s">
        <v>3922</v>
      </c>
      <c r="P1733" t="s">
        <v>1682</v>
      </c>
    </row>
    <row r="1734" spans="1:16" x14ac:dyDescent="0.25">
      <c r="A1734" t="s">
        <v>8608</v>
      </c>
      <c r="B1734" t="s">
        <v>6419</v>
      </c>
      <c r="C1734" t="s">
        <v>1335</v>
      </c>
      <c r="D1734" t="s">
        <v>1027</v>
      </c>
      <c r="E1734">
        <v>1459</v>
      </c>
      <c r="F1734" t="s">
        <v>1336</v>
      </c>
      <c r="G1734" t="b">
        <v>0</v>
      </c>
      <c r="H1734" t="b">
        <v>0</v>
      </c>
      <c r="I1734" t="s">
        <v>1051</v>
      </c>
      <c r="J1734">
        <v>78</v>
      </c>
      <c r="K1734" t="s">
        <v>2</v>
      </c>
      <c r="L1734" t="s">
        <v>1549</v>
      </c>
      <c r="M1734" t="s">
        <v>3922</v>
      </c>
      <c r="N1734" t="s">
        <v>3922</v>
      </c>
      <c r="O1734" t="s">
        <v>3922</v>
      </c>
      <c r="P1734" t="s">
        <v>1682</v>
      </c>
    </row>
    <row r="1735" spans="1:16" x14ac:dyDescent="0.25">
      <c r="A1735" t="s">
        <v>8609</v>
      </c>
      <c r="B1735" t="s">
        <v>6419</v>
      </c>
      <c r="C1735" t="s">
        <v>1335</v>
      </c>
      <c r="D1735" t="s">
        <v>1027</v>
      </c>
      <c r="E1735">
        <v>1459</v>
      </c>
      <c r="F1735" t="s">
        <v>1336</v>
      </c>
      <c r="G1735" t="b">
        <v>0</v>
      </c>
      <c r="H1735" t="b">
        <v>0</v>
      </c>
      <c r="I1735" t="s">
        <v>1051</v>
      </c>
      <c r="J1735">
        <v>78</v>
      </c>
      <c r="K1735" t="s">
        <v>2</v>
      </c>
      <c r="L1735" t="s">
        <v>1549</v>
      </c>
      <c r="M1735" t="s">
        <v>3922</v>
      </c>
      <c r="N1735" t="s">
        <v>3922</v>
      </c>
      <c r="O1735" t="s">
        <v>3922</v>
      </c>
      <c r="P1735" t="s">
        <v>1682</v>
      </c>
    </row>
    <row r="1736" spans="1:16" x14ac:dyDescent="0.25">
      <c r="A1736" t="s">
        <v>8610</v>
      </c>
      <c r="B1736" t="s">
        <v>6419</v>
      </c>
      <c r="C1736" t="s">
        <v>1335</v>
      </c>
      <c r="D1736" t="s">
        <v>1027</v>
      </c>
      <c r="E1736">
        <v>1459</v>
      </c>
      <c r="F1736" t="s">
        <v>1336</v>
      </c>
      <c r="G1736" t="b">
        <v>0</v>
      </c>
      <c r="H1736" t="b">
        <v>0</v>
      </c>
      <c r="I1736" t="s">
        <v>1051</v>
      </c>
      <c r="J1736">
        <v>78</v>
      </c>
      <c r="K1736" t="s">
        <v>2</v>
      </c>
      <c r="L1736" t="s">
        <v>1549</v>
      </c>
      <c r="M1736" t="s">
        <v>3922</v>
      </c>
      <c r="N1736" t="s">
        <v>3922</v>
      </c>
      <c r="O1736" t="s">
        <v>3922</v>
      </c>
      <c r="P1736" t="s">
        <v>1682</v>
      </c>
    </row>
    <row r="1737" spans="1:16" x14ac:dyDescent="0.25">
      <c r="A1737" t="s">
        <v>8611</v>
      </c>
      <c r="B1737" t="s">
        <v>6419</v>
      </c>
      <c r="C1737" t="s">
        <v>1335</v>
      </c>
      <c r="D1737" t="s">
        <v>1027</v>
      </c>
      <c r="E1737">
        <v>1459</v>
      </c>
      <c r="F1737" t="s">
        <v>1336</v>
      </c>
      <c r="G1737" t="b">
        <v>0</v>
      </c>
      <c r="H1737" t="b">
        <v>0</v>
      </c>
      <c r="I1737" t="s">
        <v>1051</v>
      </c>
      <c r="J1737">
        <v>78</v>
      </c>
      <c r="K1737" t="s">
        <v>2</v>
      </c>
      <c r="L1737" t="s">
        <v>1549</v>
      </c>
      <c r="M1737" t="s">
        <v>3922</v>
      </c>
      <c r="N1737" t="s">
        <v>3922</v>
      </c>
      <c r="O1737" t="s">
        <v>3922</v>
      </c>
      <c r="P1737" t="s">
        <v>1682</v>
      </c>
    </row>
    <row r="1738" spans="1:16" x14ac:dyDescent="0.25">
      <c r="A1738" t="s">
        <v>8612</v>
      </c>
      <c r="B1738" t="s">
        <v>6419</v>
      </c>
      <c r="C1738" t="s">
        <v>1335</v>
      </c>
      <c r="D1738" t="s">
        <v>1027</v>
      </c>
      <c r="E1738">
        <v>1459</v>
      </c>
      <c r="F1738" t="s">
        <v>1336</v>
      </c>
      <c r="G1738" t="b">
        <v>0</v>
      </c>
      <c r="H1738" t="b">
        <v>0</v>
      </c>
      <c r="I1738" t="s">
        <v>1051</v>
      </c>
      <c r="J1738">
        <v>78</v>
      </c>
      <c r="K1738" t="s">
        <v>2</v>
      </c>
      <c r="L1738" t="s">
        <v>1549</v>
      </c>
      <c r="M1738" t="s">
        <v>3922</v>
      </c>
      <c r="N1738" t="s">
        <v>3922</v>
      </c>
      <c r="O1738" t="s">
        <v>3922</v>
      </c>
      <c r="P1738" t="s">
        <v>1682</v>
      </c>
    </row>
    <row r="1739" spans="1:16" x14ac:dyDescent="0.25">
      <c r="A1739" t="s">
        <v>8613</v>
      </c>
      <c r="B1739" t="s">
        <v>6419</v>
      </c>
      <c r="C1739" t="s">
        <v>1335</v>
      </c>
      <c r="D1739" t="s">
        <v>1027</v>
      </c>
      <c r="E1739">
        <v>1459</v>
      </c>
      <c r="F1739" t="s">
        <v>1336</v>
      </c>
      <c r="G1739" t="b">
        <v>0</v>
      </c>
      <c r="H1739" t="b">
        <v>0</v>
      </c>
      <c r="I1739" t="s">
        <v>1051</v>
      </c>
      <c r="J1739">
        <v>78</v>
      </c>
      <c r="K1739" t="s">
        <v>2</v>
      </c>
      <c r="L1739" t="s">
        <v>1549</v>
      </c>
      <c r="M1739" t="s">
        <v>3922</v>
      </c>
      <c r="N1739" t="s">
        <v>3922</v>
      </c>
      <c r="O1739" t="s">
        <v>3922</v>
      </c>
      <c r="P1739" t="s">
        <v>1682</v>
      </c>
    </row>
    <row r="1740" spans="1:16" x14ac:dyDescent="0.25">
      <c r="A1740" t="s">
        <v>8614</v>
      </c>
      <c r="B1740" t="s">
        <v>6419</v>
      </c>
      <c r="C1740" t="s">
        <v>1335</v>
      </c>
      <c r="D1740" t="s">
        <v>1027</v>
      </c>
      <c r="E1740">
        <v>1459</v>
      </c>
      <c r="F1740" t="s">
        <v>1336</v>
      </c>
      <c r="G1740" t="b">
        <v>0</v>
      </c>
      <c r="H1740" t="b">
        <v>0</v>
      </c>
      <c r="I1740" t="s">
        <v>1051</v>
      </c>
      <c r="J1740">
        <v>78</v>
      </c>
      <c r="K1740" t="s">
        <v>2</v>
      </c>
      <c r="L1740" t="s">
        <v>1549</v>
      </c>
      <c r="M1740" t="s">
        <v>3922</v>
      </c>
      <c r="N1740" t="s">
        <v>3922</v>
      </c>
      <c r="O1740" t="s">
        <v>3922</v>
      </c>
      <c r="P1740" t="s">
        <v>1682</v>
      </c>
    </row>
    <row r="1741" spans="1:16" x14ac:dyDescent="0.25">
      <c r="A1741" t="s">
        <v>8615</v>
      </c>
      <c r="B1741" t="s">
        <v>6419</v>
      </c>
      <c r="C1741" t="s">
        <v>1335</v>
      </c>
      <c r="D1741" t="s">
        <v>1027</v>
      </c>
      <c r="E1741">
        <v>1459</v>
      </c>
      <c r="F1741" t="s">
        <v>1336</v>
      </c>
      <c r="G1741" t="b">
        <v>0</v>
      </c>
      <c r="H1741" t="b">
        <v>0</v>
      </c>
      <c r="I1741" t="s">
        <v>1051</v>
      </c>
      <c r="J1741">
        <v>78</v>
      </c>
      <c r="K1741" t="s">
        <v>2</v>
      </c>
      <c r="L1741" t="s">
        <v>1549</v>
      </c>
      <c r="M1741" t="s">
        <v>3922</v>
      </c>
      <c r="N1741" t="s">
        <v>3922</v>
      </c>
      <c r="O1741" t="s">
        <v>3922</v>
      </c>
      <c r="P1741" t="s">
        <v>1682</v>
      </c>
    </row>
    <row r="1742" spans="1:16" x14ac:dyDescent="0.25">
      <c r="A1742" t="s">
        <v>8616</v>
      </c>
      <c r="B1742" t="s">
        <v>6419</v>
      </c>
      <c r="C1742" t="s">
        <v>1335</v>
      </c>
      <c r="D1742" t="s">
        <v>1027</v>
      </c>
      <c r="E1742">
        <v>1459</v>
      </c>
      <c r="F1742" t="s">
        <v>1336</v>
      </c>
      <c r="G1742" t="b">
        <v>0</v>
      </c>
      <c r="H1742" t="b">
        <v>0</v>
      </c>
      <c r="I1742" t="s">
        <v>1051</v>
      </c>
      <c r="J1742">
        <v>78</v>
      </c>
      <c r="K1742" t="s">
        <v>2</v>
      </c>
      <c r="L1742" t="s">
        <v>1549</v>
      </c>
      <c r="M1742" t="s">
        <v>3922</v>
      </c>
      <c r="N1742" t="s">
        <v>3922</v>
      </c>
      <c r="O1742" t="s">
        <v>3922</v>
      </c>
      <c r="P1742" t="s">
        <v>1682</v>
      </c>
    </row>
    <row r="1743" spans="1:16" x14ac:dyDescent="0.25">
      <c r="A1743" t="s">
        <v>8617</v>
      </c>
      <c r="B1743" t="s">
        <v>6419</v>
      </c>
      <c r="C1743" t="s">
        <v>1335</v>
      </c>
      <c r="D1743" t="s">
        <v>1027</v>
      </c>
      <c r="E1743">
        <v>1459</v>
      </c>
      <c r="F1743" t="s">
        <v>1336</v>
      </c>
      <c r="G1743" t="b">
        <v>0</v>
      </c>
      <c r="H1743" t="b">
        <v>0</v>
      </c>
      <c r="I1743" t="s">
        <v>1051</v>
      </c>
      <c r="J1743">
        <v>78</v>
      </c>
      <c r="K1743" t="s">
        <v>2</v>
      </c>
      <c r="L1743" t="s">
        <v>1549</v>
      </c>
      <c r="M1743" t="s">
        <v>3922</v>
      </c>
      <c r="N1743" t="s">
        <v>3922</v>
      </c>
      <c r="O1743" t="s">
        <v>3922</v>
      </c>
      <c r="P1743" t="s">
        <v>1682</v>
      </c>
    </row>
    <row r="1744" spans="1:16" x14ac:dyDescent="0.25">
      <c r="A1744" t="s">
        <v>8618</v>
      </c>
      <c r="B1744" t="s">
        <v>6419</v>
      </c>
      <c r="C1744" t="s">
        <v>1335</v>
      </c>
      <c r="D1744" t="s">
        <v>1027</v>
      </c>
      <c r="E1744">
        <v>1459</v>
      </c>
      <c r="F1744" t="s">
        <v>1336</v>
      </c>
      <c r="G1744" t="b">
        <v>0</v>
      </c>
      <c r="H1744" t="b">
        <v>0</v>
      </c>
      <c r="I1744" t="s">
        <v>1051</v>
      </c>
      <c r="J1744">
        <v>78</v>
      </c>
      <c r="K1744" t="s">
        <v>2</v>
      </c>
      <c r="L1744" t="s">
        <v>1549</v>
      </c>
      <c r="M1744" t="s">
        <v>3922</v>
      </c>
      <c r="N1744" t="s">
        <v>3922</v>
      </c>
      <c r="O1744" t="s">
        <v>3922</v>
      </c>
      <c r="P1744" t="s">
        <v>1682</v>
      </c>
    </row>
    <row r="1745" spans="1:16" x14ac:dyDescent="0.25">
      <c r="A1745" t="s">
        <v>8619</v>
      </c>
      <c r="B1745" t="s">
        <v>6419</v>
      </c>
      <c r="C1745" t="s">
        <v>1335</v>
      </c>
      <c r="D1745" t="s">
        <v>1027</v>
      </c>
      <c r="E1745">
        <v>1459</v>
      </c>
      <c r="F1745" t="s">
        <v>1336</v>
      </c>
      <c r="G1745" t="b">
        <v>0</v>
      </c>
      <c r="H1745" t="b">
        <v>0</v>
      </c>
      <c r="I1745" t="s">
        <v>1051</v>
      </c>
      <c r="J1745">
        <v>78</v>
      </c>
      <c r="K1745" t="s">
        <v>2</v>
      </c>
      <c r="L1745" t="s">
        <v>1549</v>
      </c>
      <c r="M1745" t="s">
        <v>3922</v>
      </c>
      <c r="N1745" t="s">
        <v>3922</v>
      </c>
      <c r="O1745" t="s">
        <v>3922</v>
      </c>
      <c r="P1745" t="s">
        <v>1682</v>
      </c>
    </row>
    <row r="1746" spans="1:16" x14ac:dyDescent="0.25">
      <c r="A1746" t="s">
        <v>8620</v>
      </c>
      <c r="B1746" t="s">
        <v>6419</v>
      </c>
      <c r="C1746" t="s">
        <v>1335</v>
      </c>
      <c r="D1746" t="s">
        <v>1027</v>
      </c>
      <c r="E1746">
        <v>1459</v>
      </c>
      <c r="F1746" t="s">
        <v>1336</v>
      </c>
      <c r="G1746" t="b">
        <v>0</v>
      </c>
      <c r="H1746" t="b">
        <v>0</v>
      </c>
      <c r="I1746" t="s">
        <v>1051</v>
      </c>
      <c r="J1746">
        <v>78</v>
      </c>
      <c r="K1746" t="s">
        <v>2</v>
      </c>
      <c r="L1746" t="s">
        <v>1549</v>
      </c>
      <c r="M1746" t="s">
        <v>3922</v>
      </c>
      <c r="N1746" t="s">
        <v>3922</v>
      </c>
      <c r="O1746" t="s">
        <v>3922</v>
      </c>
      <c r="P1746" t="s">
        <v>1682</v>
      </c>
    </row>
    <row r="1747" spans="1:16" x14ac:dyDescent="0.25">
      <c r="A1747" t="s">
        <v>8621</v>
      </c>
      <c r="B1747" t="s">
        <v>6419</v>
      </c>
      <c r="C1747" t="s">
        <v>1335</v>
      </c>
      <c r="D1747" t="s">
        <v>1027</v>
      </c>
      <c r="E1747">
        <v>1459</v>
      </c>
      <c r="F1747" t="s">
        <v>1336</v>
      </c>
      <c r="G1747" t="b">
        <v>0</v>
      </c>
      <c r="H1747" t="b">
        <v>0</v>
      </c>
      <c r="I1747" t="s">
        <v>1051</v>
      </c>
      <c r="J1747">
        <v>78</v>
      </c>
      <c r="K1747" t="s">
        <v>2</v>
      </c>
      <c r="L1747" t="s">
        <v>1549</v>
      </c>
      <c r="M1747" t="s">
        <v>3922</v>
      </c>
      <c r="N1747" t="s">
        <v>3922</v>
      </c>
      <c r="O1747" t="s">
        <v>3922</v>
      </c>
      <c r="P1747" t="s">
        <v>1682</v>
      </c>
    </row>
    <row r="1748" spans="1:16" x14ac:dyDescent="0.25">
      <c r="A1748" t="s">
        <v>8622</v>
      </c>
      <c r="B1748" t="s">
        <v>6419</v>
      </c>
      <c r="C1748" t="s">
        <v>1335</v>
      </c>
      <c r="D1748" t="s">
        <v>1027</v>
      </c>
      <c r="E1748">
        <v>1459</v>
      </c>
      <c r="F1748" t="s">
        <v>1336</v>
      </c>
      <c r="G1748" t="b">
        <v>0</v>
      </c>
      <c r="H1748" t="b">
        <v>0</v>
      </c>
      <c r="I1748" t="s">
        <v>1051</v>
      </c>
      <c r="J1748">
        <v>78</v>
      </c>
      <c r="K1748" t="s">
        <v>2</v>
      </c>
      <c r="L1748" t="s">
        <v>1549</v>
      </c>
      <c r="M1748" t="s">
        <v>3922</v>
      </c>
      <c r="N1748" t="s">
        <v>3922</v>
      </c>
      <c r="O1748" t="s">
        <v>3922</v>
      </c>
      <c r="P1748" t="s">
        <v>1682</v>
      </c>
    </row>
    <row r="1749" spans="1:16" x14ac:dyDescent="0.25">
      <c r="A1749" t="s">
        <v>8623</v>
      </c>
      <c r="B1749" t="s">
        <v>6419</v>
      </c>
      <c r="C1749" t="s">
        <v>1335</v>
      </c>
      <c r="D1749" t="s">
        <v>1027</v>
      </c>
      <c r="E1749">
        <v>1459</v>
      </c>
      <c r="F1749" t="s">
        <v>1336</v>
      </c>
      <c r="G1749" t="b">
        <v>0</v>
      </c>
      <c r="H1749" t="b">
        <v>0</v>
      </c>
      <c r="I1749" t="s">
        <v>1051</v>
      </c>
      <c r="J1749">
        <v>78</v>
      </c>
      <c r="K1749" t="s">
        <v>2</v>
      </c>
      <c r="L1749" t="s">
        <v>1549</v>
      </c>
      <c r="M1749" t="s">
        <v>3922</v>
      </c>
      <c r="N1749" t="s">
        <v>3922</v>
      </c>
      <c r="O1749" t="s">
        <v>3922</v>
      </c>
      <c r="P1749" t="s">
        <v>1682</v>
      </c>
    </row>
    <row r="1750" spans="1:16" x14ac:dyDescent="0.25">
      <c r="A1750" t="s">
        <v>8624</v>
      </c>
      <c r="B1750" t="s">
        <v>6419</v>
      </c>
      <c r="C1750" t="s">
        <v>1335</v>
      </c>
      <c r="D1750" t="s">
        <v>1027</v>
      </c>
      <c r="E1750">
        <v>1459</v>
      </c>
      <c r="F1750" t="s">
        <v>1336</v>
      </c>
      <c r="G1750" t="b">
        <v>0</v>
      </c>
      <c r="H1750" t="b">
        <v>0</v>
      </c>
      <c r="I1750" t="s">
        <v>1051</v>
      </c>
      <c r="J1750">
        <v>78</v>
      </c>
      <c r="K1750" t="s">
        <v>2</v>
      </c>
      <c r="L1750" t="s">
        <v>1549</v>
      </c>
      <c r="M1750" t="s">
        <v>3922</v>
      </c>
      <c r="N1750" t="s">
        <v>3922</v>
      </c>
      <c r="O1750" t="s">
        <v>3922</v>
      </c>
      <c r="P1750" t="s">
        <v>1682</v>
      </c>
    </row>
    <row r="1751" spans="1:16" x14ac:dyDescent="0.25">
      <c r="A1751" t="s">
        <v>8625</v>
      </c>
      <c r="B1751" t="s">
        <v>6419</v>
      </c>
      <c r="C1751" t="s">
        <v>1335</v>
      </c>
      <c r="D1751" t="s">
        <v>1027</v>
      </c>
      <c r="E1751">
        <v>1459</v>
      </c>
      <c r="F1751" t="s">
        <v>1336</v>
      </c>
      <c r="G1751" t="b">
        <v>0</v>
      </c>
      <c r="H1751" t="b">
        <v>0</v>
      </c>
      <c r="I1751" t="s">
        <v>1051</v>
      </c>
      <c r="J1751">
        <v>78</v>
      </c>
      <c r="K1751" t="s">
        <v>2</v>
      </c>
      <c r="L1751" t="s">
        <v>1549</v>
      </c>
      <c r="M1751" t="s">
        <v>3922</v>
      </c>
      <c r="N1751" t="s">
        <v>3922</v>
      </c>
      <c r="O1751" t="s">
        <v>3922</v>
      </c>
      <c r="P1751" t="s">
        <v>1682</v>
      </c>
    </row>
    <row r="1752" spans="1:16" x14ac:dyDescent="0.25">
      <c r="A1752" t="s">
        <v>8626</v>
      </c>
      <c r="B1752" t="s">
        <v>6419</v>
      </c>
      <c r="C1752" t="s">
        <v>1335</v>
      </c>
      <c r="D1752" t="s">
        <v>1027</v>
      </c>
      <c r="E1752">
        <v>1459</v>
      </c>
      <c r="F1752" t="s">
        <v>1336</v>
      </c>
      <c r="G1752" t="b">
        <v>0</v>
      </c>
      <c r="H1752" t="b">
        <v>0</v>
      </c>
      <c r="I1752" t="s">
        <v>1051</v>
      </c>
      <c r="J1752">
        <v>78</v>
      </c>
      <c r="K1752" t="s">
        <v>2</v>
      </c>
      <c r="L1752" t="s">
        <v>1549</v>
      </c>
      <c r="M1752" t="s">
        <v>3922</v>
      </c>
      <c r="N1752" t="s">
        <v>3922</v>
      </c>
      <c r="O1752" t="s">
        <v>3922</v>
      </c>
      <c r="P1752" t="s">
        <v>1682</v>
      </c>
    </row>
    <row r="1753" spans="1:16" x14ac:dyDescent="0.25">
      <c r="A1753" t="s">
        <v>8627</v>
      </c>
      <c r="B1753" t="s">
        <v>6419</v>
      </c>
      <c r="C1753" t="s">
        <v>1335</v>
      </c>
      <c r="D1753" t="s">
        <v>1027</v>
      </c>
      <c r="E1753">
        <v>1459</v>
      </c>
      <c r="F1753" t="s">
        <v>1336</v>
      </c>
      <c r="G1753" t="b">
        <v>0</v>
      </c>
      <c r="H1753" t="b">
        <v>0</v>
      </c>
      <c r="I1753" t="s">
        <v>1051</v>
      </c>
      <c r="J1753">
        <v>78</v>
      </c>
      <c r="K1753" t="s">
        <v>2</v>
      </c>
      <c r="L1753" t="s">
        <v>1549</v>
      </c>
      <c r="M1753" t="s">
        <v>3922</v>
      </c>
      <c r="N1753" t="s">
        <v>3922</v>
      </c>
      <c r="O1753" t="s">
        <v>3922</v>
      </c>
      <c r="P1753" t="s">
        <v>1682</v>
      </c>
    </row>
    <row r="1754" spans="1:16" x14ac:dyDescent="0.25">
      <c r="A1754" t="s">
        <v>8628</v>
      </c>
      <c r="B1754" t="s">
        <v>6419</v>
      </c>
      <c r="C1754" t="s">
        <v>1335</v>
      </c>
      <c r="D1754" t="s">
        <v>1027</v>
      </c>
      <c r="E1754">
        <v>1459</v>
      </c>
      <c r="F1754" t="s">
        <v>1336</v>
      </c>
      <c r="G1754" t="b">
        <v>0</v>
      </c>
      <c r="H1754" t="b">
        <v>0</v>
      </c>
      <c r="I1754" t="s">
        <v>1051</v>
      </c>
      <c r="J1754">
        <v>78</v>
      </c>
      <c r="K1754" t="s">
        <v>2</v>
      </c>
      <c r="L1754" t="s">
        <v>1549</v>
      </c>
      <c r="M1754" t="s">
        <v>3922</v>
      </c>
      <c r="N1754" t="s">
        <v>3922</v>
      </c>
      <c r="O1754" t="s">
        <v>3922</v>
      </c>
      <c r="P1754" t="s">
        <v>1682</v>
      </c>
    </row>
    <row r="1755" spans="1:16" x14ac:dyDescent="0.25">
      <c r="A1755" t="s">
        <v>8629</v>
      </c>
      <c r="B1755" t="s">
        <v>6419</v>
      </c>
      <c r="C1755" t="s">
        <v>1335</v>
      </c>
      <c r="D1755" t="s">
        <v>1027</v>
      </c>
      <c r="E1755">
        <v>1459</v>
      </c>
      <c r="F1755" t="s">
        <v>1336</v>
      </c>
      <c r="G1755" t="b">
        <v>0</v>
      </c>
      <c r="H1755" t="b">
        <v>0</v>
      </c>
      <c r="I1755" t="s">
        <v>1051</v>
      </c>
      <c r="J1755">
        <v>78</v>
      </c>
      <c r="K1755" t="s">
        <v>2</v>
      </c>
      <c r="L1755" t="s">
        <v>1549</v>
      </c>
      <c r="M1755" t="s">
        <v>3922</v>
      </c>
      <c r="N1755" t="s">
        <v>3922</v>
      </c>
      <c r="O1755" t="s">
        <v>3922</v>
      </c>
      <c r="P1755" t="s">
        <v>1682</v>
      </c>
    </row>
    <row r="1756" spans="1:16" x14ac:dyDescent="0.25">
      <c r="A1756" t="s">
        <v>8630</v>
      </c>
      <c r="B1756" t="s">
        <v>6419</v>
      </c>
      <c r="C1756" t="s">
        <v>1335</v>
      </c>
      <c r="D1756" t="s">
        <v>1027</v>
      </c>
      <c r="E1756">
        <v>1459</v>
      </c>
      <c r="F1756" t="s">
        <v>1336</v>
      </c>
      <c r="G1756" t="b">
        <v>0</v>
      </c>
      <c r="H1756" t="b">
        <v>0</v>
      </c>
      <c r="I1756" t="s">
        <v>1051</v>
      </c>
      <c r="J1756">
        <v>78</v>
      </c>
      <c r="K1756" t="s">
        <v>2</v>
      </c>
      <c r="L1756" t="s">
        <v>1549</v>
      </c>
      <c r="M1756" t="s">
        <v>3922</v>
      </c>
      <c r="N1756" t="s">
        <v>3922</v>
      </c>
      <c r="O1756" t="s">
        <v>3922</v>
      </c>
      <c r="P1756" t="s">
        <v>1682</v>
      </c>
    </row>
    <row r="1757" spans="1:16" x14ac:dyDescent="0.25">
      <c r="A1757" t="s">
        <v>8631</v>
      </c>
      <c r="B1757" t="s">
        <v>6419</v>
      </c>
      <c r="C1757" t="s">
        <v>1335</v>
      </c>
      <c r="D1757" t="s">
        <v>1027</v>
      </c>
      <c r="E1757">
        <v>1459</v>
      </c>
      <c r="F1757" t="s">
        <v>1336</v>
      </c>
      <c r="G1757" t="b">
        <v>0</v>
      </c>
      <c r="H1757" t="b">
        <v>0</v>
      </c>
      <c r="I1757" t="s">
        <v>1051</v>
      </c>
      <c r="J1757">
        <v>78</v>
      </c>
      <c r="K1757" t="s">
        <v>2</v>
      </c>
      <c r="L1757" t="s">
        <v>1549</v>
      </c>
      <c r="M1757" t="s">
        <v>3922</v>
      </c>
      <c r="N1757" t="s">
        <v>3922</v>
      </c>
      <c r="O1757" t="s">
        <v>3922</v>
      </c>
      <c r="P1757" t="s">
        <v>1682</v>
      </c>
    </row>
    <row r="1758" spans="1:16" x14ac:dyDescent="0.25">
      <c r="A1758" t="s">
        <v>8632</v>
      </c>
      <c r="B1758" t="s">
        <v>6419</v>
      </c>
      <c r="C1758" t="s">
        <v>1335</v>
      </c>
      <c r="D1758" t="s">
        <v>1027</v>
      </c>
      <c r="E1758">
        <v>1459</v>
      </c>
      <c r="F1758" t="s">
        <v>1336</v>
      </c>
      <c r="G1758" t="b">
        <v>0</v>
      </c>
      <c r="H1758" t="b">
        <v>0</v>
      </c>
      <c r="I1758" t="s">
        <v>1051</v>
      </c>
      <c r="J1758">
        <v>78</v>
      </c>
      <c r="K1758" t="s">
        <v>2</v>
      </c>
      <c r="L1758" t="s">
        <v>1549</v>
      </c>
      <c r="M1758" t="s">
        <v>3922</v>
      </c>
      <c r="N1758" t="s">
        <v>3922</v>
      </c>
      <c r="O1758" t="s">
        <v>3922</v>
      </c>
      <c r="P1758" t="s">
        <v>1682</v>
      </c>
    </row>
    <row r="1759" spans="1:16" x14ac:dyDescent="0.25">
      <c r="A1759" t="s">
        <v>8633</v>
      </c>
      <c r="B1759" t="s">
        <v>6419</v>
      </c>
      <c r="C1759" t="s">
        <v>1335</v>
      </c>
      <c r="D1759" t="s">
        <v>1027</v>
      </c>
      <c r="E1759">
        <v>1459</v>
      </c>
      <c r="F1759" t="s">
        <v>1336</v>
      </c>
      <c r="G1759" t="b">
        <v>0</v>
      </c>
      <c r="H1759" t="b">
        <v>0</v>
      </c>
      <c r="I1759" t="s">
        <v>1051</v>
      </c>
      <c r="J1759">
        <v>78</v>
      </c>
      <c r="K1759" t="s">
        <v>2</v>
      </c>
      <c r="L1759" t="s">
        <v>1549</v>
      </c>
      <c r="M1759" t="s">
        <v>3922</v>
      </c>
      <c r="N1759" t="s">
        <v>3922</v>
      </c>
      <c r="O1759" t="s">
        <v>3922</v>
      </c>
      <c r="P1759" t="s">
        <v>1682</v>
      </c>
    </row>
    <row r="1760" spans="1:16" x14ac:dyDescent="0.25">
      <c r="A1760" t="s">
        <v>8634</v>
      </c>
      <c r="B1760" t="s">
        <v>6419</v>
      </c>
      <c r="C1760" t="s">
        <v>1335</v>
      </c>
      <c r="D1760" t="s">
        <v>1027</v>
      </c>
      <c r="E1760">
        <v>1459</v>
      </c>
      <c r="F1760" t="s">
        <v>1336</v>
      </c>
      <c r="G1760" t="b">
        <v>0</v>
      </c>
      <c r="H1760" t="b">
        <v>0</v>
      </c>
      <c r="I1760" t="s">
        <v>1051</v>
      </c>
      <c r="J1760">
        <v>78</v>
      </c>
      <c r="K1760" t="s">
        <v>2</v>
      </c>
      <c r="L1760" t="s">
        <v>1549</v>
      </c>
      <c r="M1760" t="s">
        <v>3922</v>
      </c>
      <c r="N1760" t="s">
        <v>3922</v>
      </c>
      <c r="O1760" t="s">
        <v>3922</v>
      </c>
      <c r="P1760" t="s">
        <v>1682</v>
      </c>
    </row>
    <row r="1761" spans="1:16" x14ac:dyDescent="0.25">
      <c r="A1761" t="s">
        <v>8635</v>
      </c>
      <c r="B1761" t="s">
        <v>6419</v>
      </c>
      <c r="C1761" t="s">
        <v>1335</v>
      </c>
      <c r="D1761" t="s">
        <v>1027</v>
      </c>
      <c r="E1761">
        <v>1459</v>
      </c>
      <c r="F1761" t="s">
        <v>1336</v>
      </c>
      <c r="G1761" t="b">
        <v>0</v>
      </c>
      <c r="H1761" t="b">
        <v>0</v>
      </c>
      <c r="I1761" t="s">
        <v>1051</v>
      </c>
      <c r="J1761">
        <v>78</v>
      </c>
      <c r="K1761" t="s">
        <v>2</v>
      </c>
      <c r="L1761" t="s">
        <v>1549</v>
      </c>
      <c r="M1761" t="s">
        <v>3922</v>
      </c>
      <c r="N1761" t="s">
        <v>3922</v>
      </c>
      <c r="O1761" t="s">
        <v>3922</v>
      </c>
      <c r="P1761" t="s">
        <v>1682</v>
      </c>
    </row>
    <row r="1762" spans="1:16" x14ac:dyDescent="0.25">
      <c r="A1762" t="s">
        <v>8636</v>
      </c>
      <c r="B1762" t="s">
        <v>6419</v>
      </c>
      <c r="C1762" t="s">
        <v>1335</v>
      </c>
      <c r="D1762" t="s">
        <v>1027</v>
      </c>
      <c r="E1762">
        <v>1459</v>
      </c>
      <c r="F1762" t="s">
        <v>1336</v>
      </c>
      <c r="G1762" t="b">
        <v>0</v>
      </c>
      <c r="H1762" t="b">
        <v>0</v>
      </c>
      <c r="I1762" t="s">
        <v>1051</v>
      </c>
      <c r="J1762">
        <v>78</v>
      </c>
      <c r="K1762" t="s">
        <v>2</v>
      </c>
      <c r="L1762" t="s">
        <v>1549</v>
      </c>
      <c r="M1762" t="s">
        <v>3922</v>
      </c>
      <c r="N1762" t="s">
        <v>3922</v>
      </c>
      <c r="O1762" t="s">
        <v>3922</v>
      </c>
      <c r="P1762" t="s">
        <v>1682</v>
      </c>
    </row>
    <row r="1763" spans="1:16" x14ac:dyDescent="0.25">
      <c r="A1763" t="s">
        <v>8637</v>
      </c>
      <c r="B1763" t="s">
        <v>6419</v>
      </c>
      <c r="C1763" t="s">
        <v>1335</v>
      </c>
      <c r="D1763" t="s">
        <v>1027</v>
      </c>
      <c r="E1763">
        <v>1459</v>
      </c>
      <c r="F1763" t="s">
        <v>1336</v>
      </c>
      <c r="G1763" t="b">
        <v>0</v>
      </c>
      <c r="H1763" t="b">
        <v>0</v>
      </c>
      <c r="I1763" t="s">
        <v>1051</v>
      </c>
      <c r="J1763">
        <v>78</v>
      </c>
      <c r="K1763" t="s">
        <v>2</v>
      </c>
      <c r="L1763" t="s">
        <v>1549</v>
      </c>
      <c r="M1763" t="s">
        <v>3922</v>
      </c>
      <c r="N1763" t="s">
        <v>3922</v>
      </c>
      <c r="O1763" t="s">
        <v>3922</v>
      </c>
      <c r="P1763" t="s">
        <v>1682</v>
      </c>
    </row>
    <row r="1764" spans="1:16" x14ac:dyDescent="0.25">
      <c r="A1764" t="s">
        <v>8638</v>
      </c>
      <c r="B1764" t="s">
        <v>6419</v>
      </c>
      <c r="C1764" t="s">
        <v>1335</v>
      </c>
      <c r="D1764" t="s">
        <v>1027</v>
      </c>
      <c r="E1764">
        <v>1459</v>
      </c>
      <c r="F1764" t="s">
        <v>1336</v>
      </c>
      <c r="G1764" t="b">
        <v>0</v>
      </c>
      <c r="H1764" t="b">
        <v>0</v>
      </c>
      <c r="I1764" t="s">
        <v>1051</v>
      </c>
      <c r="J1764">
        <v>78</v>
      </c>
      <c r="K1764" t="s">
        <v>2</v>
      </c>
      <c r="L1764" t="s">
        <v>1549</v>
      </c>
      <c r="M1764" t="s">
        <v>3922</v>
      </c>
      <c r="N1764" t="s">
        <v>3922</v>
      </c>
      <c r="O1764" t="s">
        <v>3922</v>
      </c>
      <c r="P1764" t="s">
        <v>1682</v>
      </c>
    </row>
    <row r="1765" spans="1:16" x14ac:dyDescent="0.25">
      <c r="A1765" t="s">
        <v>8639</v>
      </c>
      <c r="B1765" t="s">
        <v>6419</v>
      </c>
      <c r="C1765" t="s">
        <v>1335</v>
      </c>
      <c r="D1765" t="s">
        <v>1027</v>
      </c>
      <c r="E1765">
        <v>1459</v>
      </c>
      <c r="F1765" t="s">
        <v>1336</v>
      </c>
      <c r="G1765" t="b">
        <v>0</v>
      </c>
      <c r="H1765" t="b">
        <v>0</v>
      </c>
      <c r="I1765" t="s">
        <v>1051</v>
      </c>
      <c r="J1765">
        <v>78</v>
      </c>
      <c r="K1765" t="s">
        <v>2</v>
      </c>
      <c r="L1765" t="s">
        <v>1549</v>
      </c>
      <c r="M1765" t="s">
        <v>3922</v>
      </c>
      <c r="N1765" t="s">
        <v>3922</v>
      </c>
      <c r="O1765" t="s">
        <v>3922</v>
      </c>
      <c r="P1765" t="s">
        <v>1682</v>
      </c>
    </row>
    <row r="1766" spans="1:16" x14ac:dyDescent="0.25">
      <c r="A1766" t="s">
        <v>8640</v>
      </c>
      <c r="B1766" t="s">
        <v>6419</v>
      </c>
      <c r="C1766" t="s">
        <v>1335</v>
      </c>
      <c r="D1766" t="s">
        <v>1027</v>
      </c>
      <c r="E1766">
        <v>1459</v>
      </c>
      <c r="F1766" t="s">
        <v>1336</v>
      </c>
      <c r="G1766" t="b">
        <v>0</v>
      </c>
      <c r="H1766" t="b">
        <v>0</v>
      </c>
      <c r="I1766" t="s">
        <v>1051</v>
      </c>
      <c r="J1766">
        <v>78</v>
      </c>
      <c r="K1766" t="s">
        <v>2</v>
      </c>
      <c r="L1766" t="s">
        <v>1549</v>
      </c>
      <c r="M1766" t="s">
        <v>3922</v>
      </c>
      <c r="N1766" t="s">
        <v>3922</v>
      </c>
      <c r="O1766" t="s">
        <v>3922</v>
      </c>
      <c r="P1766" t="s">
        <v>1682</v>
      </c>
    </row>
    <row r="1767" spans="1:16" x14ac:dyDescent="0.25">
      <c r="A1767" t="s">
        <v>8641</v>
      </c>
      <c r="B1767" t="s">
        <v>6419</v>
      </c>
      <c r="C1767" t="s">
        <v>1335</v>
      </c>
      <c r="D1767" t="s">
        <v>1027</v>
      </c>
      <c r="E1767">
        <v>1459</v>
      </c>
      <c r="F1767" t="s">
        <v>1336</v>
      </c>
      <c r="G1767" t="b">
        <v>0</v>
      </c>
      <c r="H1767" t="b">
        <v>0</v>
      </c>
      <c r="I1767" t="s">
        <v>1051</v>
      </c>
      <c r="J1767">
        <v>78</v>
      </c>
      <c r="K1767" t="s">
        <v>2</v>
      </c>
      <c r="L1767" t="s">
        <v>1549</v>
      </c>
      <c r="M1767" t="s">
        <v>3922</v>
      </c>
      <c r="N1767" t="s">
        <v>3922</v>
      </c>
      <c r="O1767" t="s">
        <v>3922</v>
      </c>
      <c r="P1767" t="s">
        <v>1682</v>
      </c>
    </row>
    <row r="1768" spans="1:16" x14ac:dyDescent="0.25">
      <c r="A1768" t="s">
        <v>8642</v>
      </c>
      <c r="B1768" t="s">
        <v>6419</v>
      </c>
      <c r="C1768" t="s">
        <v>1335</v>
      </c>
      <c r="D1768" t="s">
        <v>1027</v>
      </c>
      <c r="E1768">
        <v>1459</v>
      </c>
      <c r="F1768" t="s">
        <v>1336</v>
      </c>
      <c r="G1768" t="b">
        <v>0</v>
      </c>
      <c r="H1768" t="b">
        <v>0</v>
      </c>
      <c r="I1768" t="s">
        <v>1051</v>
      </c>
      <c r="J1768">
        <v>78</v>
      </c>
      <c r="K1768" t="s">
        <v>2</v>
      </c>
      <c r="L1768" t="s">
        <v>1549</v>
      </c>
      <c r="M1768" t="s">
        <v>3922</v>
      </c>
      <c r="N1768" t="s">
        <v>3922</v>
      </c>
      <c r="O1768" t="s">
        <v>3922</v>
      </c>
      <c r="P1768" t="s">
        <v>1682</v>
      </c>
    </row>
    <row r="1769" spans="1:16" x14ac:dyDescent="0.25">
      <c r="A1769" t="s">
        <v>8643</v>
      </c>
      <c r="B1769" t="s">
        <v>6419</v>
      </c>
      <c r="C1769" t="s">
        <v>1335</v>
      </c>
      <c r="D1769" t="s">
        <v>1027</v>
      </c>
      <c r="E1769">
        <v>1459</v>
      </c>
      <c r="F1769" t="s">
        <v>1336</v>
      </c>
      <c r="G1769" t="b">
        <v>0</v>
      </c>
      <c r="H1769" t="b">
        <v>0</v>
      </c>
      <c r="I1769" t="s">
        <v>1051</v>
      </c>
      <c r="J1769">
        <v>78</v>
      </c>
      <c r="K1769" t="s">
        <v>2</v>
      </c>
      <c r="L1769" t="s">
        <v>1549</v>
      </c>
      <c r="M1769" t="s">
        <v>3922</v>
      </c>
      <c r="N1769" t="s">
        <v>3922</v>
      </c>
      <c r="O1769" t="s">
        <v>3922</v>
      </c>
      <c r="P1769" t="s">
        <v>1682</v>
      </c>
    </row>
    <row r="1770" spans="1:16" x14ac:dyDescent="0.25">
      <c r="A1770" t="s">
        <v>8644</v>
      </c>
      <c r="B1770" t="s">
        <v>6419</v>
      </c>
      <c r="C1770" t="s">
        <v>1335</v>
      </c>
      <c r="D1770" t="s">
        <v>1027</v>
      </c>
      <c r="E1770">
        <v>1459</v>
      </c>
      <c r="F1770" t="s">
        <v>1336</v>
      </c>
      <c r="G1770" t="b">
        <v>0</v>
      </c>
      <c r="H1770" t="b">
        <v>0</v>
      </c>
      <c r="I1770" t="s">
        <v>1051</v>
      </c>
      <c r="J1770">
        <v>78</v>
      </c>
      <c r="K1770" t="s">
        <v>2</v>
      </c>
      <c r="L1770" t="s">
        <v>1549</v>
      </c>
      <c r="M1770" t="s">
        <v>3922</v>
      </c>
      <c r="N1770" t="s">
        <v>3922</v>
      </c>
      <c r="O1770" t="s">
        <v>3922</v>
      </c>
      <c r="P1770" t="s">
        <v>1682</v>
      </c>
    </row>
    <row r="1771" spans="1:16" x14ac:dyDescent="0.25">
      <c r="A1771" t="s">
        <v>8645</v>
      </c>
      <c r="B1771" t="s">
        <v>6419</v>
      </c>
      <c r="C1771" t="s">
        <v>1335</v>
      </c>
      <c r="D1771" t="s">
        <v>1027</v>
      </c>
      <c r="E1771">
        <v>1459</v>
      </c>
      <c r="F1771" t="s">
        <v>1336</v>
      </c>
      <c r="G1771" t="b">
        <v>0</v>
      </c>
      <c r="H1771" t="b">
        <v>0</v>
      </c>
      <c r="I1771" t="s">
        <v>1051</v>
      </c>
      <c r="J1771">
        <v>78</v>
      </c>
      <c r="K1771" t="s">
        <v>2</v>
      </c>
      <c r="L1771" t="s">
        <v>1549</v>
      </c>
      <c r="M1771" t="s">
        <v>3922</v>
      </c>
      <c r="N1771" t="s">
        <v>3922</v>
      </c>
      <c r="O1771" t="s">
        <v>3922</v>
      </c>
      <c r="P1771" t="s">
        <v>1682</v>
      </c>
    </row>
    <row r="1772" spans="1:16" x14ac:dyDescent="0.25">
      <c r="A1772" t="s">
        <v>8646</v>
      </c>
      <c r="B1772" t="s">
        <v>6419</v>
      </c>
      <c r="C1772" t="s">
        <v>1335</v>
      </c>
      <c r="D1772" t="s">
        <v>1027</v>
      </c>
      <c r="E1772">
        <v>1459</v>
      </c>
      <c r="F1772" t="s">
        <v>1336</v>
      </c>
      <c r="G1772" t="b">
        <v>0</v>
      </c>
      <c r="H1772" t="b">
        <v>0</v>
      </c>
      <c r="I1772" t="s">
        <v>1051</v>
      </c>
      <c r="J1772">
        <v>78</v>
      </c>
      <c r="K1772" t="s">
        <v>2</v>
      </c>
      <c r="L1772" t="s">
        <v>1549</v>
      </c>
      <c r="M1772" t="s">
        <v>3922</v>
      </c>
      <c r="N1772" t="s">
        <v>3922</v>
      </c>
      <c r="O1772" t="s">
        <v>3922</v>
      </c>
      <c r="P1772" t="s">
        <v>1682</v>
      </c>
    </row>
    <row r="1773" spans="1:16" x14ac:dyDescent="0.25">
      <c r="A1773" t="s">
        <v>8647</v>
      </c>
      <c r="B1773" t="s">
        <v>6419</v>
      </c>
      <c r="C1773" t="s">
        <v>1335</v>
      </c>
      <c r="D1773" t="s">
        <v>1027</v>
      </c>
      <c r="E1773">
        <v>1459</v>
      </c>
      <c r="F1773" t="s">
        <v>1336</v>
      </c>
      <c r="G1773" t="b">
        <v>0</v>
      </c>
      <c r="H1773" t="b">
        <v>0</v>
      </c>
      <c r="I1773" t="s">
        <v>1051</v>
      </c>
      <c r="J1773">
        <v>78</v>
      </c>
      <c r="K1773" t="s">
        <v>2</v>
      </c>
      <c r="L1773" t="s">
        <v>1549</v>
      </c>
      <c r="M1773" t="s">
        <v>3922</v>
      </c>
      <c r="N1773" t="s">
        <v>3922</v>
      </c>
      <c r="O1773" t="s">
        <v>3922</v>
      </c>
      <c r="P1773" t="s">
        <v>1682</v>
      </c>
    </row>
    <row r="1774" spans="1:16" x14ac:dyDescent="0.25">
      <c r="A1774" t="s">
        <v>8648</v>
      </c>
      <c r="B1774" t="s">
        <v>6419</v>
      </c>
      <c r="C1774" t="s">
        <v>1335</v>
      </c>
      <c r="D1774" t="s">
        <v>1027</v>
      </c>
      <c r="E1774">
        <v>1459</v>
      </c>
      <c r="F1774" t="s">
        <v>1336</v>
      </c>
      <c r="G1774" t="b">
        <v>0</v>
      </c>
      <c r="H1774" t="b">
        <v>0</v>
      </c>
      <c r="I1774" t="s">
        <v>1051</v>
      </c>
      <c r="J1774">
        <v>78</v>
      </c>
      <c r="K1774" t="s">
        <v>2</v>
      </c>
      <c r="L1774" t="s">
        <v>1549</v>
      </c>
      <c r="M1774" t="s">
        <v>3922</v>
      </c>
      <c r="N1774" t="s">
        <v>3922</v>
      </c>
      <c r="O1774" t="s">
        <v>3922</v>
      </c>
      <c r="P1774" t="s">
        <v>1682</v>
      </c>
    </row>
    <row r="1775" spans="1:16" x14ac:dyDescent="0.25">
      <c r="A1775" t="s">
        <v>8649</v>
      </c>
      <c r="B1775" t="s">
        <v>6419</v>
      </c>
      <c r="C1775" t="s">
        <v>1335</v>
      </c>
      <c r="D1775" t="s">
        <v>1027</v>
      </c>
      <c r="E1775">
        <v>1459</v>
      </c>
      <c r="F1775" t="s">
        <v>1336</v>
      </c>
      <c r="G1775" t="b">
        <v>0</v>
      </c>
      <c r="H1775" t="b">
        <v>0</v>
      </c>
      <c r="I1775" t="s">
        <v>1051</v>
      </c>
      <c r="J1775" t="s">
        <v>1053</v>
      </c>
      <c r="K1775" t="s">
        <v>1043</v>
      </c>
    </row>
    <row r="1776" spans="1:16" x14ac:dyDescent="0.25">
      <c r="A1776" t="s">
        <v>8650</v>
      </c>
      <c r="B1776" t="s">
        <v>6419</v>
      </c>
      <c r="C1776" t="s">
        <v>1335</v>
      </c>
      <c r="D1776" t="s">
        <v>1027</v>
      </c>
      <c r="E1776">
        <v>1459</v>
      </c>
      <c r="F1776" t="s">
        <v>1336</v>
      </c>
      <c r="G1776" t="b">
        <v>0</v>
      </c>
      <c r="H1776" t="b">
        <v>0</v>
      </c>
      <c r="I1776" t="s">
        <v>1051</v>
      </c>
      <c r="J1776">
        <v>78</v>
      </c>
      <c r="K1776" t="s">
        <v>2</v>
      </c>
      <c r="L1776" t="s">
        <v>1549</v>
      </c>
      <c r="M1776" t="s">
        <v>3922</v>
      </c>
      <c r="N1776" t="s">
        <v>3922</v>
      </c>
      <c r="O1776" t="s">
        <v>3922</v>
      </c>
      <c r="P1776" t="s">
        <v>1682</v>
      </c>
    </row>
    <row r="1777" spans="1:11" x14ac:dyDescent="0.25">
      <c r="A1777" t="s">
        <v>8651</v>
      </c>
      <c r="B1777" t="s">
        <v>6419</v>
      </c>
      <c r="C1777" t="s">
        <v>1335</v>
      </c>
      <c r="D1777" t="s">
        <v>1027</v>
      </c>
      <c r="E1777">
        <v>1459</v>
      </c>
      <c r="F1777" t="s">
        <v>1336</v>
      </c>
      <c r="G1777" t="b">
        <v>0</v>
      </c>
      <c r="H1777" t="b">
        <v>0</v>
      </c>
      <c r="I1777" t="s">
        <v>1051</v>
      </c>
      <c r="J1777" t="s">
        <v>1053</v>
      </c>
      <c r="K1777" t="s">
        <v>1043</v>
      </c>
    </row>
    <row r="1778" spans="1:11" x14ac:dyDescent="0.25">
      <c r="A1778" t="s">
        <v>8652</v>
      </c>
      <c r="B1778" t="s">
        <v>6419</v>
      </c>
      <c r="C1778" t="s">
        <v>1335</v>
      </c>
      <c r="D1778" t="s">
        <v>1027</v>
      </c>
      <c r="E1778">
        <v>1459</v>
      </c>
      <c r="F1778" t="s">
        <v>1336</v>
      </c>
      <c r="G1778" t="b">
        <v>0</v>
      </c>
      <c r="H1778" t="b">
        <v>0</v>
      </c>
      <c r="I1778" t="s">
        <v>1051</v>
      </c>
      <c r="J1778" t="s">
        <v>1053</v>
      </c>
      <c r="K1778" t="s">
        <v>1043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P29"/>
  <sheetViews>
    <sheetView workbookViewId="0"/>
  </sheetViews>
  <sheetFormatPr defaultRowHeight="15" x14ac:dyDescent="0.25"/>
  <sheetData>
    <row r="1" spans="1:16" x14ac:dyDescent="0.25">
      <c r="A1" t="s">
        <v>1101</v>
      </c>
      <c r="B1" t="s">
        <v>1102</v>
      </c>
      <c r="C1" t="s">
        <v>599</v>
      </c>
      <c r="D1" t="s">
        <v>1103</v>
      </c>
      <c r="E1" t="s">
        <v>1104</v>
      </c>
      <c r="F1" t="s">
        <v>1105</v>
      </c>
      <c r="G1" t="s">
        <v>1106</v>
      </c>
      <c r="H1" t="s">
        <v>1107</v>
      </c>
      <c r="I1" t="s">
        <v>1108</v>
      </c>
      <c r="J1" t="s">
        <v>1109</v>
      </c>
      <c r="K1" t="s">
        <v>126</v>
      </c>
      <c r="L1" t="s">
        <v>1110</v>
      </c>
      <c r="M1" t="s">
        <v>1111</v>
      </c>
      <c r="N1" t="s">
        <v>1112</v>
      </c>
      <c r="O1" t="s">
        <v>1113</v>
      </c>
      <c r="P1" t="s">
        <v>1114</v>
      </c>
    </row>
    <row r="2" spans="1:16" x14ac:dyDescent="0.25">
      <c r="A2" t="s">
        <v>8653</v>
      </c>
      <c r="B2" t="s">
        <v>8654</v>
      </c>
      <c r="C2" t="s">
        <v>8655</v>
      </c>
      <c r="D2" t="s">
        <v>1027</v>
      </c>
      <c r="E2">
        <v>1372</v>
      </c>
      <c r="F2" t="s">
        <v>8656</v>
      </c>
      <c r="G2" t="b">
        <v>0</v>
      </c>
      <c r="H2" t="b">
        <v>0</v>
      </c>
      <c r="I2" t="s">
        <v>1052</v>
      </c>
      <c r="J2">
        <v>91</v>
      </c>
      <c r="K2" t="s">
        <v>0</v>
      </c>
      <c r="L2" t="s">
        <v>8657</v>
      </c>
      <c r="M2" t="s">
        <v>8658</v>
      </c>
      <c r="N2" t="s">
        <v>8658</v>
      </c>
      <c r="O2" t="s">
        <v>30</v>
      </c>
      <c r="P2" t="s">
        <v>8659</v>
      </c>
    </row>
    <row r="3" spans="1:16" x14ac:dyDescent="0.25">
      <c r="A3" t="s">
        <v>8660</v>
      </c>
      <c r="B3" t="s">
        <v>8661</v>
      </c>
      <c r="C3" t="s">
        <v>8655</v>
      </c>
      <c r="D3" t="s">
        <v>1027</v>
      </c>
      <c r="E3">
        <v>1372</v>
      </c>
      <c r="F3" t="s">
        <v>8656</v>
      </c>
      <c r="G3" t="b">
        <v>0</v>
      </c>
      <c r="H3" t="b">
        <v>0</v>
      </c>
      <c r="I3" t="s">
        <v>1052</v>
      </c>
      <c r="J3">
        <v>91</v>
      </c>
      <c r="K3" t="s">
        <v>0</v>
      </c>
      <c r="L3" t="s">
        <v>8657</v>
      </c>
      <c r="M3" t="s">
        <v>8658</v>
      </c>
      <c r="N3" t="s">
        <v>8658</v>
      </c>
      <c r="O3" t="s">
        <v>30</v>
      </c>
      <c r="P3" t="s">
        <v>8659</v>
      </c>
    </row>
    <row r="4" spans="1:16" x14ac:dyDescent="0.25">
      <c r="A4" t="s">
        <v>8662</v>
      </c>
      <c r="B4" t="s">
        <v>8663</v>
      </c>
      <c r="C4" t="s">
        <v>8655</v>
      </c>
      <c r="D4" t="s">
        <v>1027</v>
      </c>
      <c r="E4">
        <v>1372</v>
      </c>
      <c r="F4" t="s">
        <v>8656</v>
      </c>
      <c r="G4" t="b">
        <v>0</v>
      </c>
      <c r="H4" t="b">
        <v>0</v>
      </c>
      <c r="I4" t="s">
        <v>1052</v>
      </c>
      <c r="J4">
        <v>91</v>
      </c>
      <c r="K4" t="s">
        <v>0</v>
      </c>
      <c r="L4" t="s">
        <v>8657</v>
      </c>
      <c r="M4" t="s">
        <v>8658</v>
      </c>
      <c r="N4" t="s">
        <v>8658</v>
      </c>
      <c r="O4" t="s">
        <v>30</v>
      </c>
      <c r="P4" t="s">
        <v>8659</v>
      </c>
    </row>
    <row r="5" spans="1:16" x14ac:dyDescent="0.25">
      <c r="A5" t="s">
        <v>8664</v>
      </c>
      <c r="B5" t="s">
        <v>8665</v>
      </c>
      <c r="C5" t="s">
        <v>8655</v>
      </c>
      <c r="D5" t="s">
        <v>1027</v>
      </c>
      <c r="E5">
        <v>1372</v>
      </c>
      <c r="F5" t="s">
        <v>8656</v>
      </c>
      <c r="G5" t="b">
        <v>0</v>
      </c>
      <c r="H5" t="b">
        <v>0</v>
      </c>
      <c r="I5" t="s">
        <v>1052</v>
      </c>
      <c r="J5">
        <v>91</v>
      </c>
      <c r="K5" t="s">
        <v>0</v>
      </c>
      <c r="L5" t="s">
        <v>8657</v>
      </c>
      <c r="M5" t="s">
        <v>8658</v>
      </c>
      <c r="N5" t="s">
        <v>8658</v>
      </c>
      <c r="O5" t="s">
        <v>30</v>
      </c>
      <c r="P5" t="s">
        <v>8659</v>
      </c>
    </row>
    <row r="6" spans="1:16" x14ac:dyDescent="0.25">
      <c r="A6" t="s">
        <v>8666</v>
      </c>
      <c r="B6" t="s">
        <v>8667</v>
      </c>
      <c r="C6" t="s">
        <v>8655</v>
      </c>
      <c r="D6" t="s">
        <v>1027</v>
      </c>
      <c r="E6">
        <v>1372</v>
      </c>
      <c r="F6" t="s">
        <v>8656</v>
      </c>
      <c r="G6" t="b">
        <v>0</v>
      </c>
      <c r="H6" t="b">
        <v>0</v>
      </c>
      <c r="I6" t="s">
        <v>1052</v>
      </c>
      <c r="J6">
        <v>91</v>
      </c>
      <c r="K6" t="s">
        <v>0</v>
      </c>
      <c r="L6" t="s">
        <v>8657</v>
      </c>
      <c r="M6" t="s">
        <v>8658</v>
      </c>
      <c r="N6" t="s">
        <v>8658</v>
      </c>
      <c r="O6" t="s">
        <v>30</v>
      </c>
      <c r="P6" t="s">
        <v>8659</v>
      </c>
    </row>
    <row r="7" spans="1:16" x14ac:dyDescent="0.25">
      <c r="A7" t="s">
        <v>8668</v>
      </c>
      <c r="B7" t="s">
        <v>8669</v>
      </c>
      <c r="C7" t="s">
        <v>8655</v>
      </c>
      <c r="D7" t="s">
        <v>1027</v>
      </c>
      <c r="E7">
        <v>1372</v>
      </c>
      <c r="F7" t="s">
        <v>8656</v>
      </c>
      <c r="G7" t="b">
        <v>0</v>
      </c>
      <c r="H7" t="b">
        <v>0</v>
      </c>
      <c r="I7" t="s">
        <v>1052</v>
      </c>
      <c r="J7">
        <v>91</v>
      </c>
      <c r="K7" t="s">
        <v>0</v>
      </c>
      <c r="L7" t="s">
        <v>8657</v>
      </c>
      <c r="M7" t="s">
        <v>8658</v>
      </c>
      <c r="N7" t="s">
        <v>8658</v>
      </c>
      <c r="O7" t="s">
        <v>30</v>
      </c>
      <c r="P7" t="s">
        <v>8659</v>
      </c>
    </row>
    <row r="8" spans="1:16" x14ac:dyDescent="0.25">
      <c r="A8" t="s">
        <v>8670</v>
      </c>
      <c r="B8" t="s">
        <v>8671</v>
      </c>
      <c r="C8" t="s">
        <v>8655</v>
      </c>
      <c r="D8" t="s">
        <v>1027</v>
      </c>
      <c r="E8">
        <v>1372</v>
      </c>
      <c r="F8" t="s">
        <v>8656</v>
      </c>
      <c r="G8" t="b">
        <v>0</v>
      </c>
      <c r="H8" t="b">
        <v>0</v>
      </c>
      <c r="I8" t="s">
        <v>1052</v>
      </c>
      <c r="J8">
        <v>91</v>
      </c>
      <c r="K8" t="s">
        <v>0</v>
      </c>
      <c r="L8" t="s">
        <v>8657</v>
      </c>
      <c r="M8" t="s">
        <v>8658</v>
      </c>
      <c r="N8" t="s">
        <v>8658</v>
      </c>
      <c r="O8" t="s">
        <v>30</v>
      </c>
      <c r="P8" t="s">
        <v>8659</v>
      </c>
    </row>
    <row r="9" spans="1:16" x14ac:dyDescent="0.25">
      <c r="A9" t="s">
        <v>8672</v>
      </c>
      <c r="B9" t="s">
        <v>8673</v>
      </c>
      <c r="C9" t="s">
        <v>8655</v>
      </c>
      <c r="D9" t="s">
        <v>1027</v>
      </c>
      <c r="E9">
        <v>1372</v>
      </c>
      <c r="F9" t="s">
        <v>8656</v>
      </c>
      <c r="G9" t="b">
        <v>0</v>
      </c>
      <c r="H9" t="b">
        <v>0</v>
      </c>
      <c r="I9" t="s">
        <v>1052</v>
      </c>
      <c r="J9">
        <v>91</v>
      </c>
      <c r="K9" t="s">
        <v>0</v>
      </c>
      <c r="L9" t="s">
        <v>8657</v>
      </c>
      <c r="M9" t="s">
        <v>8658</v>
      </c>
      <c r="N9" t="s">
        <v>8658</v>
      </c>
      <c r="O9" t="s">
        <v>30</v>
      </c>
      <c r="P9" t="s">
        <v>8659</v>
      </c>
    </row>
    <row r="10" spans="1:16" x14ac:dyDescent="0.25">
      <c r="A10" t="s">
        <v>8674</v>
      </c>
      <c r="B10" t="s">
        <v>8675</v>
      </c>
      <c r="C10" t="s">
        <v>1117</v>
      </c>
      <c r="D10" t="s">
        <v>1027</v>
      </c>
      <c r="G10" t="b">
        <v>0</v>
      </c>
      <c r="H10" t="b">
        <v>0</v>
      </c>
      <c r="I10" t="s">
        <v>1052</v>
      </c>
      <c r="J10">
        <v>94</v>
      </c>
      <c r="K10" t="s">
        <v>0</v>
      </c>
      <c r="L10" t="s">
        <v>1547</v>
      </c>
      <c r="M10" t="s">
        <v>1547</v>
      </c>
      <c r="N10" t="s">
        <v>1547</v>
      </c>
      <c r="O10" t="s">
        <v>1547</v>
      </c>
      <c r="P10" t="s">
        <v>8676</v>
      </c>
    </row>
    <row r="11" spans="1:16" x14ac:dyDescent="0.25">
      <c r="A11" t="s">
        <v>8677</v>
      </c>
      <c r="B11" t="s">
        <v>8675</v>
      </c>
      <c r="C11" t="s">
        <v>1117</v>
      </c>
      <c r="D11" t="s">
        <v>1027</v>
      </c>
      <c r="G11" t="b">
        <v>0</v>
      </c>
      <c r="H11" t="b">
        <v>0</v>
      </c>
      <c r="I11" t="s">
        <v>1052</v>
      </c>
      <c r="J11">
        <v>94</v>
      </c>
      <c r="K11" t="s">
        <v>0</v>
      </c>
      <c r="L11" t="s">
        <v>1547</v>
      </c>
      <c r="M11" t="s">
        <v>1547</v>
      </c>
      <c r="N11" t="s">
        <v>1547</v>
      </c>
      <c r="O11" t="s">
        <v>1547</v>
      </c>
      <c r="P11" t="s">
        <v>8676</v>
      </c>
    </row>
    <row r="12" spans="1:16" x14ac:dyDescent="0.25">
      <c r="A12" t="s">
        <v>8678</v>
      </c>
      <c r="B12" t="s">
        <v>8679</v>
      </c>
      <c r="C12" t="s">
        <v>8680</v>
      </c>
      <c r="D12" t="s">
        <v>1027</v>
      </c>
      <c r="E12">
        <v>1771</v>
      </c>
      <c r="F12" t="s">
        <v>8681</v>
      </c>
      <c r="G12" t="b">
        <v>0</v>
      </c>
      <c r="H12" t="b">
        <v>0</v>
      </c>
      <c r="I12" t="s">
        <v>1052</v>
      </c>
      <c r="J12">
        <v>65</v>
      </c>
      <c r="K12" t="s">
        <v>0</v>
      </c>
      <c r="L12" t="s">
        <v>1680</v>
      </c>
      <c r="M12" t="s">
        <v>8682</v>
      </c>
      <c r="N12" t="s">
        <v>8682</v>
      </c>
      <c r="O12" t="s">
        <v>8682</v>
      </c>
      <c r="P12" t="s">
        <v>8683</v>
      </c>
    </row>
    <row r="13" spans="1:16" x14ac:dyDescent="0.25">
      <c r="A13" t="s">
        <v>8684</v>
      </c>
      <c r="B13" t="s">
        <v>8679</v>
      </c>
      <c r="C13" t="s">
        <v>8680</v>
      </c>
      <c r="D13" t="s">
        <v>1027</v>
      </c>
      <c r="E13">
        <v>1771</v>
      </c>
      <c r="F13" t="s">
        <v>8681</v>
      </c>
      <c r="G13" t="b">
        <v>0</v>
      </c>
      <c r="H13" t="b">
        <v>0</v>
      </c>
      <c r="I13" t="s">
        <v>1052</v>
      </c>
      <c r="J13">
        <v>65</v>
      </c>
      <c r="K13" t="s">
        <v>0</v>
      </c>
      <c r="L13" t="s">
        <v>1680</v>
      </c>
      <c r="M13" t="s">
        <v>8682</v>
      </c>
      <c r="N13" t="s">
        <v>8682</v>
      </c>
      <c r="O13" t="s">
        <v>8682</v>
      </c>
      <c r="P13" t="s">
        <v>8683</v>
      </c>
    </row>
    <row r="14" spans="1:16" x14ac:dyDescent="0.25">
      <c r="A14" t="s">
        <v>8685</v>
      </c>
      <c r="B14" t="s">
        <v>8686</v>
      </c>
      <c r="C14" t="s">
        <v>8680</v>
      </c>
      <c r="D14" t="s">
        <v>1027</v>
      </c>
      <c r="E14">
        <v>1771</v>
      </c>
      <c r="F14" t="s">
        <v>8681</v>
      </c>
      <c r="G14" t="b">
        <v>0</v>
      </c>
      <c r="H14" t="b">
        <v>0</v>
      </c>
      <c r="I14" t="s">
        <v>1052</v>
      </c>
      <c r="J14">
        <v>65</v>
      </c>
      <c r="K14" t="s">
        <v>0</v>
      </c>
      <c r="L14" t="s">
        <v>1680</v>
      </c>
      <c r="M14" t="s">
        <v>8682</v>
      </c>
      <c r="N14" t="s">
        <v>8682</v>
      </c>
      <c r="O14" t="s">
        <v>8682</v>
      </c>
      <c r="P14" t="s">
        <v>8683</v>
      </c>
    </row>
    <row r="15" spans="1:16" x14ac:dyDescent="0.25">
      <c r="A15" t="s">
        <v>8687</v>
      </c>
      <c r="B15" t="s">
        <v>8688</v>
      </c>
      <c r="C15" t="s">
        <v>8680</v>
      </c>
      <c r="D15" t="s">
        <v>1027</v>
      </c>
      <c r="E15">
        <v>1771</v>
      </c>
      <c r="F15" t="s">
        <v>8681</v>
      </c>
      <c r="G15" t="b">
        <v>0</v>
      </c>
      <c r="H15" t="b">
        <v>0</v>
      </c>
      <c r="I15" t="s">
        <v>1052</v>
      </c>
      <c r="J15">
        <v>65</v>
      </c>
      <c r="K15" t="s">
        <v>0</v>
      </c>
      <c r="L15" t="s">
        <v>1680</v>
      </c>
      <c r="M15" t="s">
        <v>8682</v>
      </c>
      <c r="N15" t="s">
        <v>8682</v>
      </c>
      <c r="O15" t="s">
        <v>8682</v>
      </c>
      <c r="P15" t="s">
        <v>8683</v>
      </c>
    </row>
    <row r="16" spans="1:16" x14ac:dyDescent="0.25">
      <c r="A16" t="s">
        <v>8689</v>
      </c>
      <c r="B16" t="s">
        <v>8690</v>
      </c>
      <c r="C16" t="s">
        <v>8680</v>
      </c>
      <c r="D16" t="s">
        <v>1027</v>
      </c>
      <c r="E16">
        <v>1771</v>
      </c>
      <c r="F16" t="s">
        <v>8681</v>
      </c>
      <c r="G16" t="b">
        <v>0</v>
      </c>
      <c r="H16" t="b">
        <v>0</v>
      </c>
      <c r="I16" t="s">
        <v>1052</v>
      </c>
      <c r="J16">
        <v>65</v>
      </c>
      <c r="K16" t="s">
        <v>0</v>
      </c>
      <c r="L16" t="s">
        <v>1680</v>
      </c>
      <c r="M16" t="s">
        <v>8682</v>
      </c>
      <c r="N16" t="s">
        <v>8682</v>
      </c>
      <c r="O16" t="s">
        <v>8682</v>
      </c>
      <c r="P16" t="s">
        <v>8683</v>
      </c>
    </row>
    <row r="17" spans="1:16" x14ac:dyDescent="0.25">
      <c r="A17" t="s">
        <v>8691</v>
      </c>
      <c r="B17" t="s">
        <v>8692</v>
      </c>
      <c r="C17" t="s">
        <v>8680</v>
      </c>
      <c r="D17" t="s">
        <v>1027</v>
      </c>
      <c r="E17">
        <v>1771</v>
      </c>
      <c r="F17" t="s">
        <v>8681</v>
      </c>
      <c r="G17" t="b">
        <v>0</v>
      </c>
      <c r="H17" t="b">
        <v>0</v>
      </c>
      <c r="I17" t="s">
        <v>1052</v>
      </c>
      <c r="J17">
        <v>65</v>
      </c>
      <c r="K17" t="s">
        <v>0</v>
      </c>
      <c r="L17" t="s">
        <v>1680</v>
      </c>
      <c r="M17" t="s">
        <v>8682</v>
      </c>
      <c r="N17" t="s">
        <v>8682</v>
      </c>
      <c r="O17" t="s">
        <v>8682</v>
      </c>
      <c r="P17" t="s">
        <v>8683</v>
      </c>
    </row>
    <row r="18" spans="1:16" x14ac:dyDescent="0.25">
      <c r="A18" t="s">
        <v>8693</v>
      </c>
      <c r="B18" t="s">
        <v>8694</v>
      </c>
      <c r="C18" t="s">
        <v>8655</v>
      </c>
      <c r="D18" t="s">
        <v>1027</v>
      </c>
      <c r="E18">
        <v>1372</v>
      </c>
      <c r="F18" t="s">
        <v>8656</v>
      </c>
      <c r="G18" t="b">
        <v>0</v>
      </c>
      <c r="H18" t="b">
        <v>0</v>
      </c>
      <c r="I18" t="s">
        <v>1052</v>
      </c>
      <c r="J18">
        <v>87</v>
      </c>
      <c r="K18" t="s">
        <v>0</v>
      </c>
      <c r="L18" t="s">
        <v>8657</v>
      </c>
      <c r="M18" t="s">
        <v>8658</v>
      </c>
      <c r="N18" t="s">
        <v>8658</v>
      </c>
      <c r="O18" t="s">
        <v>30</v>
      </c>
      <c r="P18" t="s">
        <v>8659</v>
      </c>
    </row>
    <row r="19" spans="1:16" x14ac:dyDescent="0.25">
      <c r="A19" t="s">
        <v>8695</v>
      </c>
      <c r="B19" t="s">
        <v>8694</v>
      </c>
      <c r="C19" t="s">
        <v>8655</v>
      </c>
      <c r="D19" t="s">
        <v>1027</v>
      </c>
      <c r="E19">
        <v>1372</v>
      </c>
      <c r="F19" t="s">
        <v>8656</v>
      </c>
      <c r="G19" t="b">
        <v>0</v>
      </c>
      <c r="H19" t="b">
        <v>0</v>
      </c>
      <c r="I19" t="s">
        <v>1052</v>
      </c>
      <c r="J19">
        <v>87</v>
      </c>
      <c r="K19" t="s">
        <v>0</v>
      </c>
      <c r="L19" t="s">
        <v>8657</v>
      </c>
      <c r="M19" t="s">
        <v>8658</v>
      </c>
      <c r="N19" t="s">
        <v>8658</v>
      </c>
      <c r="O19" t="s">
        <v>30</v>
      </c>
      <c r="P19" t="s">
        <v>8659</v>
      </c>
    </row>
    <row r="20" spans="1:16" x14ac:dyDescent="0.25">
      <c r="A20" t="s">
        <v>8696</v>
      </c>
      <c r="B20" t="s">
        <v>8694</v>
      </c>
      <c r="C20" t="s">
        <v>8655</v>
      </c>
      <c r="D20" t="s">
        <v>1027</v>
      </c>
      <c r="E20">
        <v>1372</v>
      </c>
      <c r="F20" t="s">
        <v>8656</v>
      </c>
      <c r="G20" t="b">
        <v>0</v>
      </c>
      <c r="H20" t="b">
        <v>0</v>
      </c>
      <c r="I20" t="s">
        <v>1052</v>
      </c>
      <c r="J20">
        <v>87</v>
      </c>
      <c r="K20" t="s">
        <v>0</v>
      </c>
      <c r="L20" t="s">
        <v>8657</v>
      </c>
      <c r="M20" t="s">
        <v>8658</v>
      </c>
      <c r="N20" t="s">
        <v>8658</v>
      </c>
      <c r="O20" t="s">
        <v>30</v>
      </c>
      <c r="P20" t="s">
        <v>8659</v>
      </c>
    </row>
    <row r="21" spans="1:16" x14ac:dyDescent="0.25">
      <c r="A21" t="s">
        <v>8697</v>
      </c>
      <c r="B21" t="s">
        <v>8694</v>
      </c>
      <c r="C21" t="s">
        <v>8655</v>
      </c>
      <c r="D21" t="s">
        <v>1027</v>
      </c>
      <c r="E21">
        <v>1372</v>
      </c>
      <c r="F21" t="s">
        <v>8656</v>
      </c>
      <c r="G21" t="b">
        <v>0</v>
      </c>
      <c r="H21" t="b">
        <v>0</v>
      </c>
      <c r="I21" t="s">
        <v>1052</v>
      </c>
      <c r="J21">
        <v>87</v>
      </c>
      <c r="K21" t="s">
        <v>0</v>
      </c>
      <c r="L21" t="s">
        <v>8657</v>
      </c>
      <c r="M21" t="s">
        <v>8658</v>
      </c>
      <c r="N21" t="s">
        <v>8658</v>
      </c>
      <c r="O21" t="s">
        <v>30</v>
      </c>
      <c r="P21" t="s">
        <v>8659</v>
      </c>
    </row>
    <row r="22" spans="1:16" x14ac:dyDescent="0.25">
      <c r="A22" t="s">
        <v>8698</v>
      </c>
      <c r="B22" t="s">
        <v>8694</v>
      </c>
      <c r="C22" t="s">
        <v>8655</v>
      </c>
      <c r="D22" t="s">
        <v>1027</v>
      </c>
      <c r="E22">
        <v>1372</v>
      </c>
      <c r="F22" t="s">
        <v>8656</v>
      </c>
      <c r="G22" t="b">
        <v>0</v>
      </c>
      <c r="H22" t="b">
        <v>0</v>
      </c>
      <c r="I22" t="s">
        <v>1052</v>
      </c>
      <c r="J22">
        <v>87</v>
      </c>
      <c r="K22" t="s">
        <v>0</v>
      </c>
      <c r="L22" t="s">
        <v>8657</v>
      </c>
      <c r="M22" t="s">
        <v>8658</v>
      </c>
      <c r="N22" t="s">
        <v>8658</v>
      </c>
      <c r="O22" t="s">
        <v>30</v>
      </c>
      <c r="P22" t="s">
        <v>8659</v>
      </c>
    </row>
    <row r="23" spans="1:16" x14ac:dyDescent="0.25">
      <c r="A23" t="s">
        <v>8699</v>
      </c>
      <c r="B23" t="s">
        <v>8694</v>
      </c>
      <c r="C23" t="s">
        <v>8655</v>
      </c>
      <c r="D23" t="s">
        <v>1027</v>
      </c>
      <c r="E23">
        <v>1372</v>
      </c>
      <c r="F23" t="s">
        <v>8656</v>
      </c>
      <c r="G23" t="b">
        <v>0</v>
      </c>
      <c r="H23" t="b">
        <v>0</v>
      </c>
      <c r="I23" t="s">
        <v>1052</v>
      </c>
      <c r="J23">
        <v>87</v>
      </c>
      <c r="K23" t="s">
        <v>0</v>
      </c>
      <c r="L23" t="s">
        <v>8657</v>
      </c>
      <c r="M23" t="s">
        <v>8658</v>
      </c>
      <c r="N23" t="s">
        <v>8658</v>
      </c>
      <c r="O23" t="s">
        <v>30</v>
      </c>
      <c r="P23" t="s">
        <v>8659</v>
      </c>
    </row>
    <row r="24" spans="1:16" x14ac:dyDescent="0.25">
      <c r="A24" t="s">
        <v>8700</v>
      </c>
      <c r="B24" t="s">
        <v>8701</v>
      </c>
      <c r="C24" t="s">
        <v>8655</v>
      </c>
      <c r="D24" t="s">
        <v>1027</v>
      </c>
      <c r="E24">
        <v>1372</v>
      </c>
      <c r="F24" t="s">
        <v>8656</v>
      </c>
      <c r="G24" t="b">
        <v>0</v>
      </c>
      <c r="H24" t="b">
        <v>0</v>
      </c>
      <c r="I24" t="s">
        <v>1052</v>
      </c>
      <c r="J24">
        <v>87</v>
      </c>
      <c r="K24" t="s">
        <v>0</v>
      </c>
      <c r="L24" t="s">
        <v>8657</v>
      </c>
      <c r="M24" t="s">
        <v>8658</v>
      </c>
      <c r="N24" t="s">
        <v>8658</v>
      </c>
      <c r="O24" t="s">
        <v>30</v>
      </c>
      <c r="P24" t="s">
        <v>8659</v>
      </c>
    </row>
    <row r="25" spans="1:16" x14ac:dyDescent="0.25">
      <c r="A25" t="s">
        <v>8702</v>
      </c>
      <c r="B25" t="s">
        <v>8701</v>
      </c>
      <c r="C25" t="s">
        <v>8655</v>
      </c>
      <c r="D25" t="s">
        <v>1027</v>
      </c>
      <c r="E25">
        <v>1372</v>
      </c>
      <c r="F25" t="s">
        <v>8656</v>
      </c>
      <c r="G25" t="b">
        <v>0</v>
      </c>
      <c r="H25" t="b">
        <v>0</v>
      </c>
      <c r="I25" t="s">
        <v>1052</v>
      </c>
      <c r="J25">
        <v>87</v>
      </c>
      <c r="K25" t="s">
        <v>0</v>
      </c>
      <c r="L25" t="s">
        <v>8657</v>
      </c>
      <c r="M25" t="s">
        <v>8658</v>
      </c>
      <c r="N25" t="s">
        <v>8658</v>
      </c>
      <c r="O25" t="s">
        <v>30</v>
      </c>
      <c r="P25" t="s">
        <v>8659</v>
      </c>
    </row>
    <row r="26" spans="1:16" x14ac:dyDescent="0.25">
      <c r="A26" t="s">
        <v>8703</v>
      </c>
      <c r="B26" t="s">
        <v>8701</v>
      </c>
      <c r="C26" t="s">
        <v>8655</v>
      </c>
      <c r="D26" t="s">
        <v>1027</v>
      </c>
      <c r="E26">
        <v>1372</v>
      </c>
      <c r="F26" t="s">
        <v>8656</v>
      </c>
      <c r="G26" t="b">
        <v>0</v>
      </c>
      <c r="H26" t="b">
        <v>0</v>
      </c>
      <c r="I26" t="s">
        <v>1052</v>
      </c>
      <c r="J26">
        <v>87</v>
      </c>
      <c r="K26" t="s">
        <v>0</v>
      </c>
      <c r="L26" t="s">
        <v>8657</v>
      </c>
      <c r="M26" t="s">
        <v>8658</v>
      </c>
      <c r="N26" t="s">
        <v>8658</v>
      </c>
      <c r="O26" t="s">
        <v>30</v>
      </c>
      <c r="P26" t="s">
        <v>8659</v>
      </c>
    </row>
    <row r="27" spans="1:16" x14ac:dyDescent="0.25">
      <c r="A27" t="s">
        <v>8704</v>
      </c>
      <c r="B27" t="s">
        <v>8701</v>
      </c>
      <c r="C27" t="s">
        <v>8655</v>
      </c>
      <c r="D27" t="s">
        <v>1027</v>
      </c>
      <c r="E27">
        <v>1372</v>
      </c>
      <c r="F27" t="s">
        <v>8656</v>
      </c>
      <c r="G27" t="b">
        <v>0</v>
      </c>
      <c r="H27" t="b">
        <v>0</v>
      </c>
      <c r="I27" t="s">
        <v>1052</v>
      </c>
      <c r="J27">
        <v>87</v>
      </c>
      <c r="K27" t="s">
        <v>0</v>
      </c>
      <c r="L27" t="s">
        <v>8657</v>
      </c>
      <c r="M27" t="s">
        <v>8658</v>
      </c>
      <c r="N27" t="s">
        <v>8658</v>
      </c>
      <c r="O27" t="s">
        <v>30</v>
      </c>
      <c r="P27" t="s">
        <v>8659</v>
      </c>
    </row>
    <row r="28" spans="1:16" x14ac:dyDescent="0.25">
      <c r="A28" t="s">
        <v>8705</v>
      </c>
      <c r="B28" t="s">
        <v>8701</v>
      </c>
      <c r="C28" t="s">
        <v>8655</v>
      </c>
      <c r="D28" t="s">
        <v>1027</v>
      </c>
      <c r="E28">
        <v>1372</v>
      </c>
      <c r="F28" t="s">
        <v>8656</v>
      </c>
      <c r="G28" t="b">
        <v>0</v>
      </c>
      <c r="H28" t="b">
        <v>0</v>
      </c>
      <c r="I28" t="s">
        <v>1052</v>
      </c>
      <c r="J28">
        <v>87</v>
      </c>
      <c r="K28" t="s">
        <v>0</v>
      </c>
      <c r="L28" t="s">
        <v>8657</v>
      </c>
      <c r="M28" t="s">
        <v>8658</v>
      </c>
      <c r="N28" t="s">
        <v>8658</v>
      </c>
      <c r="O28" t="s">
        <v>30</v>
      </c>
      <c r="P28" t="s">
        <v>8659</v>
      </c>
    </row>
    <row r="29" spans="1:16" x14ac:dyDescent="0.25">
      <c r="A29" t="s">
        <v>8706</v>
      </c>
      <c r="B29" t="s">
        <v>8701</v>
      </c>
      <c r="C29" t="s">
        <v>8655</v>
      </c>
      <c r="D29" t="s">
        <v>1027</v>
      </c>
      <c r="E29">
        <v>1372</v>
      </c>
      <c r="F29" t="s">
        <v>8656</v>
      </c>
      <c r="G29" t="b">
        <v>0</v>
      </c>
      <c r="H29" t="b">
        <v>0</v>
      </c>
      <c r="I29" t="s">
        <v>1052</v>
      </c>
      <c r="J29">
        <v>87</v>
      </c>
      <c r="K29" t="s">
        <v>0</v>
      </c>
      <c r="L29" t="s">
        <v>8657</v>
      </c>
      <c r="M29" t="s">
        <v>8658</v>
      </c>
      <c r="N29" t="s">
        <v>8658</v>
      </c>
      <c r="O29" t="s">
        <v>30</v>
      </c>
      <c r="P29" t="s">
        <v>8659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EC37620-90F9-420F-81B4-768D45FCF74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RiskManagementMatrix</vt:lpstr>
      <vt:lpstr>ImpactCriticalityTable</vt:lpstr>
      <vt:lpstr>CriticalityToLocationPriority</vt:lpstr>
      <vt:lpstr>IsCritical</vt:lpstr>
      <vt:lpstr>LocationCriticality</vt:lpstr>
      <vt:lpstr>TestingData</vt:lpstr>
      <vt:lpstr>RuleSet</vt:lpstr>
      <vt:lpstr>TestTags</vt:lpstr>
      <vt:lpstr>TestDefaultCriticalities</vt:lpstr>
      <vt:lpstr>TestFailureCodeTemplate</vt:lpstr>
      <vt:lpstr>TestSystems</vt:lpstr>
      <vt:lpstr>TestDisciplines</vt:lpstr>
      <vt:lpstr>TestFullTags</vt:lpstr>
      <vt:lpstr>Output</vt:lpstr>
      <vt:lpstr>BLANK</vt:lpstr>
      <vt:lpstr>ELEC</vt:lpstr>
      <vt:lpstr>F&amp;G</vt:lpstr>
      <vt:lpstr>HVAC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Douglas Crooke</dc:creator>
  <cp:lastModifiedBy>Douglas Crooke</cp:lastModifiedBy>
  <dcterms:created xsi:type="dcterms:W3CDTF">2015-06-05T18:17:20Z</dcterms:created>
  <dcterms:modified xsi:type="dcterms:W3CDTF">2017-09-21T12:29:18Z</dcterms:modified>
</cp:coreProperties>
</file>