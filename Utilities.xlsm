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0230" yWindow="0" windowWidth="20490" windowHeight="8115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</sheets>
  <definedNames>
    <definedName name="ExternalData_1" localSheetId="6" hidden="1">RuleSet!$A$2:$M$122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0" i="1" l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M7" i="6" l="1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<sst xmlns="http://schemas.openxmlformats.org/spreadsheetml/2006/main" count="408" uniqueCount="161">
  <si>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</si>
  <si>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</si>
  <si>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</si>
  <si>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</si>
  <si>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</si>
  <si>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</si>
  <si>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</si>
  <si>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</si>
  <si>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</si>
  <si>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</si>
  <si>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</si>
  <si>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</si>
  <si>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</si>
  <si>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</si>
  <si>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</si>
  <si>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</si>
  <si>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</si>
  <si>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</si>
  <si>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</si>
  <si>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</si>
  <si>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</si>
  <si>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</si>
  <si>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</si>
  <si>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</si>
  <si>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</si>
  <si>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</si>
  <si>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</si>
  <si>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</si>
  <si>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</si>
  <si>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</si>
  <si>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</si>
  <si>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</si>
  <si>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</si>
  <si>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</si>
  <si>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</si>
  <si>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</si>
  <si>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</si>
  <si>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</si>
  <si>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</si>
  <si>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</si>
  <si>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</si>
  <si>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</si>
  <si>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</si>
  <si>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</si>
  <si>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</si>
  <si>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</si>
  <si>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</si>
  <si>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</si>
  <si>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</si>
  <si>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</si>
  <si>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</si>
  <si>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</si>
  <si>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</si>
  <si>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</si>
  <si>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</si>
  <si>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</si>
  <si>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</si>
  <si>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</si>
  <si>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</si>
  <si>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</si>
  <si>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</si>
  <si>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</si>
  <si>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</si>
  <si>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</si>
  <si>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</si>
  <si>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</si>
  <si>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</si>
  <si>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</si>
  <si>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</si>
  <si>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</si>
  <si>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</si>
  <si>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</si>
  <si>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</si>
  <si>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</si>
  <si>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</si>
  <si>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</si>
  <si>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</si>
  <si>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</si>
  <si>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</si>
  <si>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</si>
  <si>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</si>
  <si>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</si>
  <si>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</si>
  <si>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</si>
  <si>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</si>
  <si>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</si>
  <si>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</si>
  <si>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</si>
  <si>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</si>
  <si>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</si>
  <si>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</si>
  <si>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</si>
  <si>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</si>
  <si>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</si>
  <si>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</si>
  <si>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</si>
  <si>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</si>
  <si>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</si>
  <si>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</si>
  <si>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</si>
  <si>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</si>
  <si>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</si>
  <si>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</si>
  <si>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</si>
  <si>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</si>
  <si>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</si>
  <si>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</si>
  <si>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</si>
  <si>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</si>
  <si>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</si>
  <si>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</si>
  <si>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</si>
  <si>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</si>
  <si>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</si>
  <si>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</si>
  <si>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</si>
  <si>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</si>
  <si>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</si>
  <si>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</si>
  <si>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</si>
  <si>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</si>
  <si>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</si>
  <si>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</si>
  <si>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</si>
  <si>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</si>
  <si>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set initial criticality based on system code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</si>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</sst>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3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42" dataDxfId="41">
  <autoFilter ref="B4:J12"/>
  <tableColumns count="9">
    <tableColumn id="1" name="Impact" dataDxfId="40" dataCellStyle="Bad"/>
    <tableColumn id="2" name="1" dataDxfId="39"/>
    <tableColumn id="3" name="2" dataDxfId="38">
      <calculatedColumnFormula>C5+1</calculatedColumnFormula>
    </tableColumn>
    <tableColumn id="4" name="3" dataDxfId="37">
      <calculatedColumnFormula>D5+1</calculatedColumnFormula>
    </tableColumn>
    <tableColumn id="5" name="4" dataDxfId="36">
      <calculatedColumnFormula>E5+1</calculatedColumnFormula>
    </tableColumn>
    <tableColumn id="6" name="5" dataDxfId="35">
      <calculatedColumnFormula>F5+1</calculatedColumnFormula>
    </tableColumn>
    <tableColumn id="7" name="6" dataDxfId="34">
      <calculatedColumnFormula>G5+1</calculatedColumnFormula>
    </tableColumn>
    <tableColumn id="8" name="7" dataDxfId="33">
      <calculatedColumnFormula>H5+1</calculatedColumnFormula>
    </tableColumn>
    <tableColumn id="9" name="8" dataDxfId="32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31" dataDxfId="30" headerRowCellStyle="Explanatory Text" dataCellStyle="Explanatory Text">
  <autoFilter ref="D5:F13"/>
  <tableColumns count="3">
    <tableColumn id="1" name="Impact Level" dataDxfId="29" dataCellStyle="Normal"/>
    <tableColumn id="2" name="Criticality Unspared" dataDxfId="28" dataCellStyle="Normal"/>
    <tableColumn id="3" name="Criticality If Redundancy" dataDxfId="27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26">
  <autoFilter ref="A5:B18"/>
  <tableColumns count="2">
    <tableColumn id="1" name="Impact Level" dataDxfId="25" dataCellStyle="Accent6"/>
    <tableColumn id="2" name="Criticality Rating of Equipment" dataDxfId="24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23" headerRowCellStyle="Normal" dataCellStyle="Normal">
  <autoFilter ref="B6:C9"/>
  <tableColumns count="2">
    <tableColumn id="1" name="Criticality Rating" dataDxfId="22" dataCellStyle="Normal"/>
    <tableColumn id="2" name="Criticality Level" dataDxfId="21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20" dataDxfId="19" tableBorderDxfId="18">
  <autoFilter ref="E6:F16"/>
  <tableColumns count="2">
    <tableColumn id="1" name="Criticality Rating" dataDxfId="17"/>
    <tableColumn id="2" name="Criticality Level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15"/>
    <tableColumn id="4" name="Maximo Criticality type"/>
    <tableColumn id="5" name="SCE Threshold" dataDxfId="1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5" totalsRowShown="0" headerRowDxfId="13">
  <autoFilter ref="A1:P5"/>
  <tableColumns count="16">
    <tableColumn id="1" name="Rule"/>
    <tableColumn id="2" name="Applies to"/>
    <tableColumn id="3" name="What to do with existing data" dataDxfId="12"/>
    <tableColumn id="4" name="Comments to add" dataDxfId="11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abSelected="1" topLeftCell="A33" workbookViewId="0">
      <selection activeCell="A43" sqref="A43:XFD43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40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40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40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40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40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40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152</v>
      </c>
      <c r="L15" s="40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40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40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40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40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40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40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40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40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40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154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157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158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155</v>
      </c>
    </row>
    <row r="33" spans="2:20" x14ac:dyDescent="0.25">
      <c r="B33" t="s">
        <v>159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160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153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156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10" priority="6">
      <formula>AND(C5&gt;9,ROW(C5)-ROW(C$5)=3)</formula>
    </cfRule>
    <cfRule type="expression" dxfId="9" priority="7">
      <formula>AND((C5&gt;8),ROW(C5)-ROW(C$5)&lt;3)</formula>
    </cfRule>
    <cfRule type="expression" dxfId="8" priority="8">
      <formula>AND(ROW(C5)-ROW($C$5)&gt;4,C5&gt;6)</formula>
    </cfRule>
    <cfRule type="expression" dxfId="7" priority="10">
      <formula>AND(C5&gt;6,ROW(C5)-ROW(C$5)&lt;5)</formula>
    </cfRule>
    <cfRule type="expression" dxfId="6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151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41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42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42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42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42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42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42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42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42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42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42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42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42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43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40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40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40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40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40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40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40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44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44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44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44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44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44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44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44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4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4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4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4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4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4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5" priority="1" operator="equal">
      <formula>"Low"</formula>
    </cfRule>
    <cfRule type="cellIs" dxfId="4" priority="2" operator="equal">
      <formula>"High"</formula>
    </cfRule>
    <cfRule type="cellIs" dxfId="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5" t="s">
        <v>17</v>
      </c>
      <c r="D1" s="45"/>
      <c r="E1" s="45"/>
      <c r="F1" s="45"/>
      <c r="G1" s="45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46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6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6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6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41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42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42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42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42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42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43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40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40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40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40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40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40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40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40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40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40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B15" sqref="B15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4"/>
  <sheetViews>
    <sheetView workbookViewId="0">
      <selection activeCell="D4" sqref="D4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138</v>
      </c>
      <c r="B1" s="37" t="s">
        <v>137</v>
      </c>
      <c r="C1" s="37" t="s">
        <v>141</v>
      </c>
      <c r="D1" s="37" t="s">
        <v>147</v>
      </c>
      <c r="E1" s="37" t="s">
        <v>136</v>
      </c>
      <c r="F1" s="37" t="s">
        <v>135</v>
      </c>
      <c r="G1" s="37" t="s">
        <v>134</v>
      </c>
      <c r="H1" s="37" t="s">
        <v>133</v>
      </c>
      <c r="I1" s="37" t="s">
        <v>132</v>
      </c>
      <c r="J1" s="37" t="s">
        <v>131</v>
      </c>
      <c r="K1" s="37" t="s">
        <v>130</v>
      </c>
      <c r="L1" s="37" t="s">
        <v>129</v>
      </c>
      <c r="M1" s="37" t="s">
        <v>128</v>
      </c>
      <c r="N1" s="37" t="s">
        <v>127</v>
      </c>
      <c r="O1" s="37" t="s">
        <v>17</v>
      </c>
      <c r="P1" s="37" t="s">
        <v>126</v>
      </c>
    </row>
    <row r="2" spans="1:16" x14ac:dyDescent="0.25">
      <c r="A2" s="37" t="s">
        <v>144</v>
      </c>
      <c r="B2" s="37" t="s">
        <v>145</v>
      </c>
      <c r="C2" s="37" t="s">
        <v>146</v>
      </c>
      <c r="D2" s="37" t="s">
        <v>148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125</v>
      </c>
      <c r="B3" t="s">
        <v>124</v>
      </c>
      <c r="C3" s="36" t="s">
        <v>142</v>
      </c>
      <c r="D3" s="36" t="s">
        <v>149</v>
      </c>
      <c r="N3" t="s">
        <v>0</v>
      </c>
      <c r="O3">
        <v>8</v>
      </c>
    </row>
    <row r="4" spans="1:16" ht="30" x14ac:dyDescent="0.25">
      <c r="A4" t="s">
        <v>139</v>
      </c>
      <c r="B4" t="s">
        <v>140</v>
      </c>
      <c r="C4" s="36" t="s">
        <v>143</v>
      </c>
      <c r="D4" s="36" t="s">
        <v>150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2017-09-08T16:26:45Z</dcterms:modified>
</cp:coreProperties>
</file>