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1160" yWindow="0" windowWidth="20865" windowHeight="11895" firstSheet="12" activeTab="12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  <sheet name="TestDisciplines" sheetId="14" r:id="rId12"/>
    <sheet name="Output" sheetId="15" r:id="rId13"/>
  </sheets>
  <functionGroups builtInGroupCount="18"/>
  <externalReferences>
    <externalReference r:id="rId14"/>
    <externalReference r:id="rId15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ExternalData_1" localSheetId="11" hidden="1">TestDisciplines!$C$3:$C$15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K10" i="10" s="1"/>
  <c r="K1" i="10" s="1"/>
  <c r="K6" i="10" s="1"/>
  <c r="V309" i="10"/>
  <c r="AA5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AssetRegisterTbl  2" commandType="3"/>
    <extLst>
      <ext xmlns:x15="http://schemas.microsoft.com/office/spreadsheetml/2010/11/main" uri="{DE250136-89BD-433C-8126-D09CA5730AF9}">
        <x15:connection id="" model="1"/>
      </ext>
    </extLst>
  </connection>
  <connection id="2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<sst xmlns="http://schemas.openxmlformats.org/spreadsheetml/2006/main" count="2928" uniqueCount="1060">
  <si>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</si>
  <si>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</si>
  <si>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</si>
  <si>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</si>
  <si>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</si>
  <si>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</si>
  <si>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</si>
  <si>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</si>
  <si>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</si>
  <si>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</si>
  <si>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</si>
  <si>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</si>
  <si>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</si>
  <si>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</si>
  <si>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</si>
  <si>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</si>
  <si>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</si>
  <si>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</si>
  <si>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</si>
  <si>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</si>
  <si>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</si>
  <si>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</si>
  <si>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</si>
  <si>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</si>
  <si>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</si>
  <si>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</si>
  <si>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</si>
  <si>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</si>
  <si>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</si>
  <si>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</si>
  <si>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</si>
  <si>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</si>
  <si>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</si>
  <si>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</si>
  <si>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</si>
  <si>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</si>
  <si>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</si>
  <si>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</si>
  <si>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</si>
  <si>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</si>
  <si>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</si>
  <si>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</si>
  <si>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</si>
  <si>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</si>
  <si>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</si>
  <si>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</si>
  <si>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</si>
  <si>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</si>
  <si>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</si>
  <si>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</si>
  <si>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</si>
  <si>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</si>
  <si>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</si>
  <si>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</si>
  <si>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</si>
  <si>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</si>
  <si>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</si>
  <si>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</si>
  <si>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</si>
  <si>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</si>
  <si>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</si>
  <si>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</si>
  <si>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</si>
  <si>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</si>
  <si>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</si>
  <si>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</si>
  <si>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</si>
  <si>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</si>
  <si>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</si>
  <si>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</si>
  <si>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</si>
  <si>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</si>
  <si>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</si>
  <si>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</si>
  <si>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</si>
  <si>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</si>
  <si>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</si>
  <si>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</si>
  <si>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</si>
  <si>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</si>
  <si>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</si>
  <si>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</si>
  <si>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</si>
  <si>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</si>
  <si>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</si>
  <si>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</si>
  <si>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</si>
  <si>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</si>
  <si>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</si>
  <si>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</si>
  <si>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</si>
  <si>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</si>
  <si>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</si>
  <si>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</si>
  <si>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</si>
  <si>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</si>
  <si>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</si>
  <si>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</si>
  <si>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</si>
  <si>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</si>
  <si>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</si>
  <si>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</si>
  <si>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</si>
  <si>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</si>
  <si>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</si>
  <si>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</si>
  <si>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</si>
  <si>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</si>
  <si>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</si>
  <si>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</si>
  <si>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</si>
  <si>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</si>
  <si>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</si>
  <si>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</si>
  <si>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</si>
  <si>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</si>
  <si>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</si>
  <si>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</si>
  <si>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</si>
  <si>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</si>
  <si>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</si>
  <si>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</si>
  <si>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</si>
  <si>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</si>
  <si>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</si>
  <si>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</si>
  <si>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</si>
  <si>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</si>
  <si>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</si>
  <si>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</si>
  <si>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</si>
  <si>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</si>
  <si>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</si>
  <si>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</si>
  <si>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</si>
  <si>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</si>
  <si>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</si>
  <si>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</si>
  <si>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</si>
  <si>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</si>
  <si>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</si>
  <si>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</si>
  <si>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</si>
  <si>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</si>
  <si>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</si>
  <si>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</si>
  <si>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</si>
  <si>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</si>
  <si>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</si>
  <si>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</si>
  <si>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</si>
  <si>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</si>
  <si>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</si>
  <si>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</si>
  <si>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</si>
  <si>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</si>
  <si>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</si>
  <si>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</si>
  <si>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</si>
  <si>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</si>
  <si>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</si>
  <si>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</si>
  <si>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</si>
  <si>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</si>
  <si>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</si>
  <si>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</si>
  <si>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</si>
  <si>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</si>
  <si>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</si>
  <si>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</si>
  <si>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</si>
  <si>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</si>
  <si>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</si>
  <si>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</si>
  <si>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</si>
  <si>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</si>
  <si>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</si>
  <si>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</si>
  <si>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</si>
  <si>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</si>
  <si>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</si>
  <si>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</si>
  <si>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</si>
  <si>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</si>
  <si>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</si>
  <si>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</si>
  <si>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</si>
  <si>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</si>
  <si>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</si>
  <si>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</si>
  <si>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</si>
  <si>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</si>
  <si>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</si>
  <si>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</si>
  <si>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</si>
  <si>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</si>
  <si>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</si>
  <si>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</si>
  <si>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</si>
  <si>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</si>
  <si>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</si>
  <si>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</si>
  <si>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</si>
  <si>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</si>
  <si>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</si>
  <si>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</si>
  <si>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</si>
  <si>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</si>
  <si>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</si>
  <si>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</si>
  <si>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</si>
  <si>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</si>
  <si>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</si>
  <si>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</si>
  <si>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</si>
  <si>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</si>
  <si>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</si>
  <si>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</si>
  <si>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</si>
  <si>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</si>
  <si>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</si>
  <si>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</si>
  <si>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</si>
  <si>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</si>
  <si>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</si>
  <si>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</si>
  <si>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</si>
  <si>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</si>
  <si>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</si>
  <si>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</si>
  <si>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</si>
  <si>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</si>
  <si>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</si>
  <si>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</si>
  <si>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</si>
  <si>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</si>
  <si>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</si>
  <si>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</si>
  <si>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</si>
  <si>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</si>
  <si>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</si>
  <si>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</si>
  <si>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</si>
  <si>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</si>
  <si>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</si>
  <si>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</si>
  <si>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</si>
  <si>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</si>
  <si>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</si>
  <si>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</si>
  <si>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</si>
  <si>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</si>
  <si>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</si>
  <si>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</si>
  <si>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</si>
  <si>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</si>
  <si>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</si>
  <si>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</si>
  <si>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</si>
  <si>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</si>
  <si>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</si>
  <si>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</si>
  <si>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</si>
  <si>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</si>
  <si>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</si>
  <si>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</si>
  <si>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</si>
  <si>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</si>
  <si>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</si>
  <si>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</si>
  <si>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</si>
  <si>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</si>
  <si>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</si>
  <si>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</si>
  <si>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</si>
  <si>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</si>
  <si>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</si>
  <si>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</si>
  <si>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</si>
  <si>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</si>
  <si>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</si>
  <si>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</si>
  <si>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</si>
  <si>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</si>
  <si>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</si>
  <si>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</si>
  <si>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</si>
  <si>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</si>
  <si>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</si>
  <si>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</si>
  <si>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</si>
  <si>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</si>
  <si>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</si>
  <si>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</si>
  <si>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</si>
  <si>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</si>
  <si>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</si>
  <si>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</si>
  <si>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</si>
  <si>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</si>
  <si>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</si>
  <si>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</si>
  <si>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</si>
  <si>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</si>
  <si>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</si>
  <si>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</si>
  <si>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</si>
  <si>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</si>
  <si>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</si>
  <si>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</si>
  <si>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</si>
  <si>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</si>
  <si>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</si>
  <si>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</si>
  <si>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</si>
  <si>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</si>
  <si>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</si>
  <si>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</si>
  <si>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</si>
  <si>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</si>
  <si>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</si>
  <si>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</si>
  <si>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</si>
  <si>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</si>
  <si>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</si>
  <si>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</si>
  <si>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</si>
  <si>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</si>
  <si>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</si>
  <si>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</si>
  <si>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</si>
  <si>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</si>
  <si>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</si>
  <si>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</si>
  <si>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</si>
  <si>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</si>
  <si>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</si>
  <si>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</si>
  <si>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</si>
  <si>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</si>
  <si>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</si>
  <si>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</si>
  <si>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</si>
  <si>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</si>
  <si>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</si>
  <si>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</si>
  <si>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</si>
  <si>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</si>
  <si>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</si>
  <si>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</si>
  <si>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</si>
  <si>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</si>
  <si>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</si>
  <si>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</si>
  <si>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</si>
  <si>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</si>
  <si>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</si>
  <si>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</si>
  <si>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</si>
  <si>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</si>
  <si>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</si>
  <si>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</si>
  <si>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</si>
  <si>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</si>
  <si>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</si>
  <si>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</si>
  <si>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</si>
  <si>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</si>
  <si>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</si>
  <si>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</si>
  <si>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</si>
  <si>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</si>
  <si>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</si>
  <si>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</si>
  <si>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</si>
  <si>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</si>
  <si>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</si>
  <si>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</si>
  <si>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</si>
  <si>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</si>
  <si>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</si>
  <si>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</si>
  <si>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</si>
  <si>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</si>
  <si>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</si>
  <si>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</si>
  <si>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</si>
  <si>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</si>
  <si>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</si>
  <si>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</si>
  <si>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</si>
  <si>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</si>
  <si>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</si>
  <si>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</si>
  <si>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</si>
  <si>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</si>
  <si>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</si>
  <si>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</si>
  <si>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</si>
  <si>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</si>
  <si>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</si>
  <si>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</si>
  <si>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</si>
  <si>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</si>
  <si>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</si>
  <si>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</si>
  <si>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</si>
  <si>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</si>
  <si>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</si>
  <si>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</si>
  <si>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</si>
  <si>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</si>
  <si>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</si>
  <si>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</si>
  <si>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</si>
  <si>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</si>
  <si>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</si>
  <si>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</si>
  <si>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</si>
  <si>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</si>
  <si>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</si>
  <si>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</si>
  <si>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</si>
  <si>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</si>
  <si>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</si>
  <si>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</si>
  <si>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</si>
  <si>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</si>
  <si>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</si>
  <si>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</si>
  <si>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</si>
  <si>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</si>
  <si>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</si>
  <si>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</si>
  <si>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</si>
  <si>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</si>
  <si>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</si>
  <si>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</si>
  <si>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</si>
  <si>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</si>
  <si>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</si>
  <si>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</si>
  <si>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</si>
  <si>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</si>
  <si>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</si>
  <si>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</si>
  <si>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</si>
  <si>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</si>
  <si>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</si>
  <si>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</si>
  <si>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</si>
  <si>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</si>
  <si>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</si>
  <si>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</si>
  <si>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</si>
  <si>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</si>
  <si>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</si>
  <si>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</si>
  <si>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</si>
  <si>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</si>
  <si>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</si>
  <si>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</si>
  <si>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</si>
  <si>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</si>
  <si>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</si>
  <si>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</si>
  <si>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</si>
  <si>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</si>
  <si>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</si>
  <si>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</si>
  <si>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</si>
  <si>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</si>
  <si>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</si>
  <si>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</si>
  <si>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</si>
  <si>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</si>
  <si>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</si>
  <si>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</si>
  <si>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</si>
  <si>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</si>
  <si>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</si>
  <si>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</si>
  <si>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</si>
  <si>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</si>
  <si>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</si>
  <si>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</si>
  <si>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</si>
  <si>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</si>
  <si>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</si>
  <si>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</si>
  <si>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</si>
  <si>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</si>
  <si>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</si>
  <si>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</si>
  <si>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</si>
  <si>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</si>
  <si>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</si>
  <si>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</si>
  <si>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</si>
  <si>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</si>
  <si>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</si>
  <si>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</si>
  <si>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</si>
  <si>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</si>
  <si>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</si>
  <si>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</si>
  <si>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</si>
  <si>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</si>
  <si>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</si>
  <si>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</si>
  <si>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</si>
  <si>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</si>
  <si>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</si>
  <si>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</si>
  <si>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</si>
  <si>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</si>
  <si>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</si>
  <si>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</si>
  <si>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</si>
  <si>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</si>
  <si>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</si>
  <si>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</si>
  <si>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</si>
  <si>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</si>
  <si>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</si>
  <si>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</si>
  <si>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</si>
  <si>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</si>
  <si>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</si>
  <si>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</si>
  <si>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</si>
  <si>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</si>
  <si>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</si>
  <si>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</si>
  <si>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</si>
  <si>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</si>
  <si>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</si>
  <si>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</si>
  <si>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</si>
  <si>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</si>
  <si>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</si>
  <si>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</si>
  <si>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</si>
  <si>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</si>
  <si>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</si>
  <si>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</si>
  <si>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</si>
  <si>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</si>
  <si>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</si>
  <si>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</si>
  <si>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</si>
  <si>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</si>
  <si>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</si>
  <si>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</si>
  <si>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</si>
  <si>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</si>
  <si>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</si>
  <si>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</si>
  <si>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</si>
  <si>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</si>
  <si>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</si>
  <si>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</si>
  <si>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</si>
  <si>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</si>
  <si>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</si>
  <si>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</si>
  <si>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</si>
  <si>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</si>
  <si>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</si>
  <si>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</si>
  <si>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</si>
  <si>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</si>
  <si>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</si>
  <si>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</si>
  <si>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</si>
  <si>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</si>
  <si>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</si>
  <si>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</si>
  <si>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</si>
  <si>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</si>
  <si>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</si>
  <si>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</si>
  <si>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</si>
  <si>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</si>
  <si>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</si>
  <si>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</si>
  <si>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</si>
  <si>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</si>
  <si>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</si>
  <si>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</si>
  <si>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</si>
  <si>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</si>
  <si>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</si>
  <si>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</si>
  <si>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</si>
  <si>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</si>
  <si>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</si>
  <si>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</si>
  <si>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</si>
  <si>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</si>
  <si>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</si>
  <si>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</si>
  <si>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</si>
  <si>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</si>
  <si>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</si>
  <si>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</si>
  <si>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</si>
  <si>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</si>
  <si>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</si>
  <si>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</si>
  <si>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</si>
  <si>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</si>
  <si>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</si>
  <si>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</si>
  <si>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</si>
  <si>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</si>
  <si>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</si>
  <si>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</si>
  <si>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</si>
  <si>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</si>
  <si>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</si>
  <si>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</si>
  <si>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</si>
  <si>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</si>
  <si>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</si>
  <si>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</si>
  <si>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</si>
  <si>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</si>
  <si>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</si>
  <si>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</si>
  <si>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</si>
  <si>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</si>
  <si>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</si>
  <si>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</si>
  <si>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</si>
  <si>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</si>
  <si>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</si>
  <si>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</si>
  <si>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</si>
  <si>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</si>
  <si>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</si>
  <si>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</si>
  <si>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</si>
  <si>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</si>
  <si>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</si>
  <si>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</si>
  <si>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</si>
  <si>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</si>
  <si>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</si>
  <si>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</si>
  <si>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</si>
  <si>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</si>
  <si>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</si>
  <si>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</si>
  <si>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</si>
  <si>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</si>
  <si>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</si>
  <si>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</si>
  <si>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</si>
  <si>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</si>
  <si>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</si>
  <si>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</si>
  <si>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</si>
  <si>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</si>
  <si>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</si>
  <si>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</si>
  <si>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</si>
  <si>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</si>
  <si>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</si>
  <si>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</si>
  <si>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</si>
  <si>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</si>
  <si>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</si>
  <si>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</si>
  <si>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</si>
  <si>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</si>
  <si>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</si>
  <si>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</si>
  <si>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</si>
  <si>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</si>
  <si>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</si>
  <si>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</si>
  <si>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</si>
  <si>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</si>
  <si>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</si>
  <si>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</si>
  <si>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</si>
  <si>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</si>
  <si>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</si>
  <si>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</si>
  <si>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</si>
  <si>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</si>
  <si>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</si>
  <si>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</si>
  <si>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</si>
  <si>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</si>
  <si>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</si>
  <si>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</si>
  <si>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</si>
  <si>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</si>
  <si>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</si>
  <si>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</si>
  <si>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</si>
  <si>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</si>
  <si>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</si>
  <si>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</si>
  <si>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</si>
  <si>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</si>
  <si>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</si>
  <si>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</si>
  <si>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</si>
  <si>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</si>
  <si>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</si>
  <si>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</si>
  <si>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</si>
  <si>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</si>
  <si>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</si>
  <si>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</si>
  <si>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</si>
  <si>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</si>
  <si>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</si>
  <si>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</si>
  <si>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</si>
  <si>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</si>
  <si>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</si>
  <si>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</si>
  <si>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</si>
  <si>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</si>
  <si>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</si>
  <si>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</si>
  <si>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</si>
  <si>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</si>
  <si>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</si>
  <si>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</si>
  <si>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</si>
  <si>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</si>
  <si>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</si>
  <si>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</si>
  <si>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</si>
  <si>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</si>
  <si>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</si>
  <si>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</si>
  <si>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</si>
  <si>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</si>
  <si>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</si>
  <si>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</si>
  <si>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</si>
  <si>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</si>
  <si>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</si>
  <si>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</si>
  <si>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</si>
  <si>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</si>
  <si>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</si>
  <si>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</si>
  <si>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</si>
  <si>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</si>
  <si>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</si>
  <si>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</si>
  <si>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</si>
  <si>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</si>
  <si>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</si>
  <si>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</si>
  <si>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</si>
  <si>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</si>
  <si>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</si>
  <si>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</si>
  <si>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</si>
  <si>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</si>
  <si>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</si>
  <si>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</si>
  <si>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</si>
  <si>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</si>
  <si>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</si>
  <si>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</si>
  <si>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</si>
  <si>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</si>
  <si>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</si>
  <si>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</si>
  <si>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</si>
  <si>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</si>
  <si>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</si>
  <si>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</si>
  <si>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</si>
  <si>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</si>
  <si>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</si>
  <si>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</si>
  <si>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</si>
  <si>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</si>
  <si>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</si>
  <si>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</si>
  <si>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</si>
  <si>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</si>
  <si>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</si>
  <si>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</si>
  <si>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</si>
  <si>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</si>
  <si>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</si>
  <si>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</si>
  <si>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</si>
  <si>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</si>
  <si>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</si>
  <si>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</si>
  <si>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</si>
  <si>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</si>
  <si>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</si>
  <si>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</si>
  <si>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</si>
  <si>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</si>
  <si>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</si>
  <si>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</si>
  <si>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</si>
  <si>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</si>
  <si>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</si>
  <si>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</si>
  <si>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</si>
  <si>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</si>
  <si>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</si>
  <si>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</si>
  <si>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</si>
  <si>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</si>
  <si>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</si>
  <si>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</si>
  <si>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</si>
  <si>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</si>
  <si>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</si>
  <si>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</si>
  <si>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</si>
  <si>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</si>
  <si>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</si>
  <si>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</si>
  <si>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</si>
  <si>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</si>
  <si>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</si>
  <si>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</si>
  <si>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</si>
  <si>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</si>
  <si>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</si>
  <si>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</si>
  <si>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</si>
  <si>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</si>
  <si>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</si>
  <si>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</si>
  <si>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</si>
  <si>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</si>
  <si>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</si>
  <si>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</si>
  <si>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</si>
  <si>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</si>
  <si>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</si>
  <si>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</si>
  <si>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</si>
  <si>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</si>
  <si>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</si>
  <si>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</si>
  <si>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</si>
  <si>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</si>
  <si>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</si>
  <si>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</si>
  <si>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</si>
  <si>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</si>
  <si>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</si>
  <si>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</si>
  <si>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</si>
  <si>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</si>
  <si>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</si>
  <si>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</si>
  <si>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</si>
  <si>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</si>
  <si>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</si>
  <si>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</si>
  <si>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</si>
  <si>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</si>
  <si>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</si>
  <si>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</si>
  <si>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</si>
  <si>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</si>
  <si>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</si>
  <si>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</si>
  <si>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</si>
  <si>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</si>
  <si>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</si>
  <si>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</si>
  <si>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</si>
  <si>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</si>
  <si>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</si>
  <si>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</si>
  <si>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</si>
  <si>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</si>
  <si>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</si>
  <si>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</si>
  <si>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</si>
  <si>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</si>
  <si>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</si>
  <si>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</si>
  <si>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</si>
  <si>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</si>
  <si>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</si>
  <si>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</si>
  <si>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</si>
  <si>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</si>
  <si>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</si>
  <si>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</si>
  <si>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</si>
  <si>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</si>
  <si>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</si>
  <si>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</si>
  <si>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</si>
  <si>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</si>
  <si>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</si>
  <si>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</si>
  <si>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</si>
  <si>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</si>
  <si>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</si>
  <si>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</si>
  <si>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</si>
  <si>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</si>
  <si>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</si>
  <si>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</si>
  <si>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</si>
  <si>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</si>
  <si>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</si>
  <si>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</si>
  <si>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</si>
  <si>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</si>
  <si>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</si>
  <si>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</si>
  <si>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</si>
  <si>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</si>
  <si>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</si>
  <si>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</si>
  <si>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</si>
  <si>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</si>
  <si>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</si>
  <si>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</si>
  <si>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</si>
  <si>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</si>
  <si>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</si>
  <si>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</si>
  <si>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</si>
  <si>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</si>
  <si>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</si>
  <si>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</si>
  <si>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</si>
  <si>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</si>
  <si>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</si>
  <si>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</si>
  <si>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</si>
  <si>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</si>
  <si>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</si>
  <si>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</si>
  <si>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</si>
  <si>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</si>
  <si>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</si>
  <si>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</si>
  <si>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</si>
  <si>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</si>
  <si>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</si>
  <si>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</si>
  <si>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</si>
  <si>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</si>
  <si>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</si>
  <si>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</si>
  <si>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</si>
  <si>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</si>
  <si>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</si>
  <si>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</si>
  <si>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</si>
  <si>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</si>
  <si>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</si>
  <si>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</si>
  <si>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</si>
  <si>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</si>
  <si>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</si>
  <si>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</si>
  <si>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</si>
  <si>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</si>
  <si>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</si>
  <si>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</si>
  <si>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</si>
  <si>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</si>
  <si>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</si>
  <si>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</si>
  <si>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</si>
  <si>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</si>
  <si>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</si>
  <si>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</si>
  <si>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</si>
  <si>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</si>
  <si>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</si>
  <si>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</si>
  <si>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</si>
  <si>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</si>
  <si>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</si>
  <si>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</si>
  <si>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</si>
  <si>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</si>
  <si>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</si>
  <si>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</si>
  <si>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</si>
  <si>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</si>
  <si>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</si>
  <si>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</si>
  <si>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</si>
  <si>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</si>
  <si>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</si>
  <si>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</si>
  <si>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</si>
  <si>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</si>
  <si>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</si>
  <si>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</si>
  <si>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</si>
  <si>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</si>
  <si>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</si>
  <si>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</si>
  <si>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</si>
  <si>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</si>
  <si>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</si>
  <si>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</si>
  <si>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</si>
  <si>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</si>
  <si>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</si>
  <si>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</si>
  <si>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</si>
  <si>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</si>
  <si>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</si>
  <si>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</si>
  <si>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</si>
  <si>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</si>
  <si>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</si>
  <si>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</si>
  <si>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</si>
  <si>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</si>
  <si>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</si>
  <si>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</si>
  <si>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</si>
  <si>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</si>
  <si>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</si>
  <si>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</si>
  <si>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</si>
  <si>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</si>
  <si>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</si>
  <si>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</si>
  <si>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</si>
  <si>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</si>
  <si>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</si>
  <si>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</si>
  <si>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</si>
  <si>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</si>
  <si>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</si>
  <si>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</si>
  <si>
    <t>ELEC</t>
  </si>
  <si>
    <t>F&amp;G</t>
  </si>
  <si>
    <t>HVAC</t>
  </si>
  <si>
    <t>N/A</t>
  </si>
  <si>
    <t>SAFETY</t>
  </si>
  <si>
    <t>STRUCTURE</t>
  </si>
  <si>
    <t>TBC</t>
  </si>
  <si>
    <t>TELE</t>
  </si>
  <si>
    <t>Test table for loading disciplines</t>
  </si>
  <si>
    <t>GES only allows for high criticality control rooms.  Monthlycomfort check &amp; 4yrly inspection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</si>
</sst>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3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  <xf numFmtId="0" fontId="0" fillId="0" borderId="0" xfId="0" applyNumberFormat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4"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Sheet10"/>
      <sheetName val="SystemDiscCountsbyFCode"/>
      <sheetName val="FCodesBySystemDiscipline"/>
      <sheetName val="FailureCodeDefaultCriticality"/>
      <sheetName val="AssetRegisterDefaultCodeApplied"/>
      <sheetName val="MAHBarrierSetup"/>
      <sheetName val="MAHBarrierSetup (pass 1)"/>
      <sheetName val="FailureCodeTemplate"/>
      <sheetName val="DataTables"/>
      <sheetName val="SystemsUtilities"/>
      <sheetName val="Systems(Old)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7">
          <cell r="I17" t="str">
            <v>Power Turbine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Discipline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88" dataDxfId="87">
  <autoFilter ref="B4:J12"/>
  <tableColumns count="9">
    <tableColumn id="1" name="Impact" dataDxfId="86" dataCellStyle="Bad"/>
    <tableColumn id="2" name="1" dataDxfId="85"/>
    <tableColumn id="3" name="2" dataDxfId="84">
      <calculatedColumnFormula>C5+1</calculatedColumnFormula>
    </tableColumn>
    <tableColumn id="4" name="3" dataDxfId="83">
      <calculatedColumnFormula>D5+1</calculatedColumnFormula>
    </tableColumn>
    <tableColumn id="5" name="4" dataDxfId="82">
      <calculatedColumnFormula>E5+1</calculatedColumnFormula>
    </tableColumn>
    <tableColumn id="6" name="5" dataDxfId="81">
      <calculatedColumnFormula>F5+1</calculatedColumnFormula>
    </tableColumn>
    <tableColumn id="7" name="6" dataDxfId="80">
      <calculatedColumnFormula>G5+1</calculatedColumnFormula>
    </tableColumn>
    <tableColumn id="8" name="7" dataDxfId="79">
      <calculatedColumnFormula>H5+1</calculatedColumnFormula>
    </tableColumn>
    <tableColumn id="9" name="8" dataDxfId="78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7" dataDxfId="76" headerRowCellStyle="Explanatory Text" dataCellStyle="Explanatory Text">
  <autoFilter ref="D5:F13"/>
  <tableColumns count="3">
    <tableColumn id="1" name="Impact Level" dataDxfId="75" dataCellStyle="Normal"/>
    <tableColumn id="2" name="Criticality Unspared" dataDxfId="74" dataCellStyle="Normal"/>
    <tableColumn id="3" name="Criticality If Redundancy" dataDxfId="73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2">
  <autoFilter ref="A5:B18"/>
  <tableColumns count="2">
    <tableColumn id="1" name="Impact Level" dataDxfId="71" dataCellStyle="Accent6"/>
    <tableColumn id="2" name="Criticality Rating of Equipment" dataDxfId="70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6" headerRowCellStyle="Normal" dataCellStyle="Normal">
  <autoFilter ref="B6:C9"/>
  <tableColumns count="2">
    <tableColumn id="1" name="Criticality Rating" dataDxfId="65" dataCellStyle="Normal"/>
    <tableColumn id="2" name="Criticality Level" dataDxfId="64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3" dataDxfId="62" tableBorderDxfId="61">
  <autoFilter ref="E6:F16"/>
  <tableColumns count="2">
    <tableColumn id="1" name="Criticality Rating" dataDxfId="60"/>
    <tableColumn id="2" name="Criticality Level" dataDxfId="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8"/>
    <tableColumn id="4" name="Maximo Criticality type"/>
    <tableColumn id="5" name="SCE Threshold" dataDxfId="5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3">
  <autoFilter ref="A1:P8"/>
  <tableColumns count="16">
    <tableColumn id="1" name="Rule"/>
    <tableColumn id="2" name="Applies to"/>
    <tableColumn id="3" name="What to do with existing data" dataDxfId="52"/>
    <tableColumn id="4" name="Comments to add" dataDxfId="51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50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47" dataDxfId="46">
  <autoFilter ref="A8:D12"/>
  <tableColumns count="4">
    <tableColumn id="1" name="Category" dataDxfId="45"/>
    <tableColumn id="2" name="Impact" dataDxfId="44" dataCellStyle="Calculation">
      <calculatedColumnFormula>max</calculatedColumnFormula>
    </tableColumn>
    <tableColumn id="3" name="Likelihood" dataDxfId="43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2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1">
  <autoFilter ref="A15:F19"/>
  <sortState ref="A16:F19">
    <sortCondition descending="1" ref="D15:D19"/>
  </sortState>
  <tableColumns count="6">
    <tableColumn id="1" name="Safety Scenarios" dataDxfId="40" dataCellStyle="Input"/>
    <tableColumn id="3" name="Impact" dataDxfId="39" dataCellStyle="Input"/>
    <tableColumn id="4" name="Likelihood" dataDxfId="38" dataCellStyle="Input"/>
    <tableColumn id="6" name="Risk Score" dataDxfId="37" dataCellStyle="Calculation">
      <calculatedColumnFormula>MATCH(B16,{"H","G","F","E","D","C","B","A"},0)+MATCH(C16, {1,2,3,4,5,6,7,8}, 0) - 1</calculatedColumnFormula>
    </tableColumn>
    <tableColumn id="5" name="Code for Letter" dataDxfId="36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5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4">
  <autoFilter ref="A21:F24"/>
  <sortState ref="A22:F24">
    <sortCondition descending="1" ref="D21:D24"/>
  </sortState>
  <tableColumns count="6">
    <tableColumn id="1" name="Environmental Scenarios" dataDxfId="33" dataCellStyle="Input"/>
    <tableColumn id="2" name="Impact" dataDxfId="32" dataCellStyle="Input"/>
    <tableColumn id="3" name="Likelihood" dataDxfId="31" dataCellStyle="Input"/>
    <tableColumn id="4" name="Risk Score" dataDxfId="30" dataCellStyle="Calculation">
      <calculatedColumnFormula>MATCH(B22,{"H","G","F","E","D","C","B","A"},0)+MATCH(C22, {1,2,3,4,5,6,7,8}, 0) - 1</calculatedColumnFormula>
    </tableColumn>
    <tableColumn id="5" name="Code for Letter" dataDxfId="29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8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27">
  <autoFilter ref="A27:F31"/>
  <sortState ref="A28:F31">
    <sortCondition descending="1" ref="D27:D31"/>
  </sortState>
  <tableColumns count="6">
    <tableColumn id="1" name="Financial Scenarios" dataDxfId="26" dataCellStyle="Input"/>
    <tableColumn id="2" name="Impact" dataDxfId="25" dataCellStyle="Input"/>
    <tableColumn id="3" name="Likelihood" dataDxfId="24" dataCellStyle="Input"/>
    <tableColumn id="4" name="Risk Score" dataDxfId="23" dataCellStyle="Calculation">
      <calculatedColumnFormula>MATCH(B28,{"H","G","F","E","D","C","B","A"},0)+MATCH(C28, {1,2,3,4,5,6,7,8}, 0) - 1</calculatedColumnFormula>
    </tableColumn>
    <tableColumn id="5" name="Code for Letter" dataDxfId="22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1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20">
  <autoFilter ref="A33:F36"/>
  <sortState ref="A34:F36">
    <sortCondition descending="1" ref="D33:D36"/>
  </sortState>
  <tableColumns count="6">
    <tableColumn id="1" name="Non-Financial Scenarios" dataDxfId="19" dataCellStyle="Input"/>
    <tableColumn id="2" name="Impact" dataDxfId="18" dataCellStyle="Input"/>
    <tableColumn id="3" name="Likelihood" dataDxfId="17" dataCellStyle="Input"/>
    <tableColumn id="4" name="Risk Score" dataDxfId="16" dataCellStyle="Calculation">
      <calculatedColumnFormula>MATCH(B34,{"H","G","F","E","D","C","B","A"},0)+MATCH(C34, {1,2,3,4,5,6,7,8}, 0) - 1</calculatedColumnFormula>
    </tableColumn>
    <tableColumn id="5" name="Code for Letter" dataDxfId="15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4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23" displayName="TypicalCriticalitiesMAHBarrier23" ref="N3:W309" totalsRowShown="0" headerRowBorderDxfId="13" tableBorderDxfId="12" headerRowCellStyle="Normal" dataCellStyle="Normal">
  <autoFilter ref="N3:W309"/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11" dataDxfId="9" headerRowBorderDxfId="10" tableBorderDxfId="8" totalsRowBorderDxfId="7" headerRowCellStyle="Normal_Sheet1" dataCellStyle="Normal_Sheet1">
  <autoFilter ref="A1:F201"/>
  <tableColumns count="6">
    <tableColumn id="1" name="Functional location" dataDxfId="6" dataCellStyle="Normal_Sheet1"/>
    <tableColumn id="2" name="Function Location Description" dataDxfId="5" dataCellStyle="Normal_Sheet1"/>
    <tableColumn id="3" name="System No" dataDxfId="4" dataCellStyle="Normal_Sheet1"/>
    <tableColumn id="4" name="Tag Abbreviation" dataDxfId="3" dataCellStyle="Normal_Sheet1"/>
    <tableColumn id="5" name="Utilities System YorN" dataDxfId="2" dataCellStyle="Normal_Sheet1"/>
    <tableColumn id="6" name="Comment" dataDxfId="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DisciplinesList" displayName="DisciplinesList" ref="C3:C15" tableType="queryTable" totalsRowShown="0">
  <autoFilter ref="C3:C15"/>
  <tableColumns count="1">
    <tableColumn id="1" uniqueName="1" name="Discipline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107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 t="shared" ref="Q7:Q12" si="5">IF(P7=O7,"pass","fail")</f>
        <v>pass</v>
      </c>
      <c r="S7" s="7">
        <f>MATCH(M7,{"H","G","F","E","D","C","B","A"},0)+N7-1</f>
        <v>15</v>
      </c>
      <c r="T7">
        <v>15</v>
      </c>
      <c r="U7" s="1" t="str">
        <f t="shared" ref="U7:U12" si="6">IF(T7=S7,"pass","fail")</f>
        <v>pass</v>
      </c>
      <c r="W7" s="12">
        <f>VLOOKUP(M7,RiskManagementMatrix[],N7+1,)</f>
        <v>15</v>
      </c>
      <c r="X7" s="1" t="str">
        <f t="shared" ref="X7:X12" si="7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8">C8+1</f>
        <v>6</v>
      </c>
      <c r="E8" s="2">
        <f t="shared" si="8"/>
        <v>7</v>
      </c>
      <c r="F8" s="2">
        <f t="shared" si="8"/>
        <v>8</v>
      </c>
      <c r="G8" s="2">
        <f t="shared" si="8"/>
        <v>9</v>
      </c>
      <c r="H8" s="2">
        <f t="shared" si="8"/>
        <v>10</v>
      </c>
      <c r="I8" s="2">
        <f t="shared" si="8"/>
        <v>11</v>
      </c>
      <c r="J8" s="2">
        <f t="shared" si="8"/>
        <v>12</v>
      </c>
      <c r="L8" s="107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 t="shared" si="5"/>
        <v>pass</v>
      </c>
      <c r="S8" s="7">
        <f>MATCH(M8,{"H","G","F","E","D","C","B","A"},0)+N8-1</f>
        <v>3</v>
      </c>
      <c r="T8">
        <v>3</v>
      </c>
      <c r="U8" s="1" t="str">
        <f t="shared" si="6"/>
        <v>pass</v>
      </c>
      <c r="W8" s="12">
        <f>VLOOKUP(M8,RiskManagementMatrix[],N8+1,)</f>
        <v>3</v>
      </c>
      <c r="X8" s="1" t="str">
        <f t="shared" si="7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9">C9+1</f>
        <v>5</v>
      </c>
      <c r="E9" s="2">
        <f t="shared" si="9"/>
        <v>6</v>
      </c>
      <c r="F9" s="2">
        <f t="shared" si="9"/>
        <v>7</v>
      </c>
      <c r="G9" s="2">
        <f t="shared" si="9"/>
        <v>8</v>
      </c>
      <c r="H9" s="2">
        <f t="shared" si="9"/>
        <v>9</v>
      </c>
      <c r="I9" s="2">
        <f t="shared" si="9"/>
        <v>10</v>
      </c>
      <c r="J9" s="2">
        <f t="shared" si="9"/>
        <v>11</v>
      </c>
      <c r="L9" s="107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si="5"/>
        <v>pass</v>
      </c>
      <c r="S9" s="7">
        <f>MATCH(M9,{"H","G","F","E","D","C","B","A"},0)+N9-1</f>
        <v>8</v>
      </c>
      <c r="T9">
        <v>8</v>
      </c>
      <c r="U9" s="1" t="str">
        <f t="shared" si="6"/>
        <v>pass</v>
      </c>
      <c r="W9" s="12">
        <f>VLOOKUP(M9,RiskManagementMatrix[],N9+1,)</f>
        <v>8</v>
      </c>
      <c r="X9" s="1" t="str">
        <f t="shared" si="7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107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5"/>
        <v>pass</v>
      </c>
      <c r="S10" s="7">
        <f>MATCH(M10,{"H","G","F","E","D","C","B","A"},0)+N10-1</f>
        <v>1</v>
      </c>
      <c r="T10">
        <v>1</v>
      </c>
      <c r="U10" s="1" t="str">
        <f t="shared" si="6"/>
        <v>pass</v>
      </c>
      <c r="W10" s="12">
        <f>VLOOKUP(M10,RiskManagementMatrix[],N10+1,)</f>
        <v>1</v>
      </c>
      <c r="X10" s="1" t="str">
        <f t="shared" si="7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107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5"/>
        <v>pass</v>
      </c>
      <c r="S11" s="7">
        <f>MATCH(M11,{"H","G","F","E","D","C","B","A"},0)+N11-1</f>
        <v>8</v>
      </c>
      <c r="T11">
        <v>8</v>
      </c>
      <c r="U11" s="1" t="str">
        <f t="shared" si="6"/>
        <v>pass</v>
      </c>
      <c r="W11" s="12">
        <f>VLOOKUP(M11,RiskManagementMatrix[],N11+1,)</f>
        <v>8</v>
      </c>
      <c r="X11" s="1" t="str">
        <f t="shared" si="7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107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 t="shared" si="5"/>
        <v>pass</v>
      </c>
      <c r="S12" s="7">
        <f>MATCH(M12,{"H","G","F","E","D","C","B","A"},0)+N12-1</f>
        <v>8</v>
      </c>
      <c r="T12">
        <v>8</v>
      </c>
      <c r="U12" s="1" t="str">
        <f t="shared" si="6"/>
        <v>pass</v>
      </c>
      <c r="W12" s="12">
        <f>VLOOKUP(M12,RiskManagementMatrix[],N12+1,)</f>
        <v>8</v>
      </c>
      <c r="X12" s="1" t="str">
        <f t="shared" si="7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107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107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107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107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107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107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107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107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107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107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 t="shared" ref="L37:Q37" si="16">LOOKUP(2,1/((COUNTIF(L31:L34,"&lt;" &amp; L31:L34)=0)),L31:L34)</f>
        <v>B</v>
      </c>
      <c r="M37" s="7" t="str">
        <f t="shared" si="16"/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 t="shared" ref="L41:Q41" si="18">IF(L$35=L40,"pass", "fail")</f>
        <v>pass</v>
      </c>
      <c r="M41" s="1" t="str">
        <f t="shared" si="18"/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3" priority="6">
      <formula>AND(C5&gt;9,ROW(C5)-ROW(C$5)=3)</formula>
    </cfRule>
    <cfRule type="expression" dxfId="92" priority="7">
      <formula>AND((C5&gt;8),ROW(C5)-ROW(C$5)&lt;3)</formula>
    </cfRule>
    <cfRule type="expression" dxfId="91" priority="8">
      <formula>AND(ROW(C5)-ROW($C$5)&gt;4,C5&gt;6)</formula>
    </cfRule>
    <cfRule type="expression" dxfId="90" priority="10">
      <formula>AND(C5&gt;6,ROW(C5)-ROW(C$5)&lt;5)</formula>
    </cfRule>
    <cfRule type="expression" dxfId="89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108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109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109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109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109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109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109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109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109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109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109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>IF(L17=K17,"pass","fail")</f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109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>IF(L18=K18,"pass","fail")</f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109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110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107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3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4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107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3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5">IF(ISNA(L23),"pass","fail")</f>
        <v>pass</v>
      </c>
      <c r="R23" s="7" t="e">
        <f>MATCH(I23,{"A","B","C","D","E","F","G","H"},0)</f>
        <v>#N/A</v>
      </c>
      <c r="S23" s="7">
        <f t="shared" si="4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107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3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5"/>
        <v>pass</v>
      </c>
      <c r="R24" s="7" t="e">
        <f>MATCH(I24,{"A","B","C","D","E","F","G","H"},0)</f>
        <v>#N/A</v>
      </c>
      <c r="S24" s="7">
        <f t="shared" si="4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107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3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5"/>
        <v>pass</v>
      </c>
      <c r="R25" s="7" t="e">
        <f>MATCH(I25,{"A","B","C","D","E","F","G","H"},0)</f>
        <v>#N/A</v>
      </c>
      <c r="S25" s="7">
        <f t="shared" si="4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107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3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5"/>
        <v>pass</v>
      </c>
      <c r="R26" s="7" t="e">
        <f>MATCH(I26,{"A","B","C","D","E","F","G","H"},0)</f>
        <v>#N/A</v>
      </c>
      <c r="S26" s="7">
        <f t="shared" si="4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107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3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5"/>
        <v>pass</v>
      </c>
      <c r="R27" s="7" t="e">
        <f>MATCH(I27,{"A","B","C","D","E","F","G","H"},0)</f>
        <v>#N/A</v>
      </c>
      <c r="S27" s="7">
        <f t="shared" si="4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107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3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5"/>
        <v>pass</v>
      </c>
      <c r="R28" s="7" t="e">
        <f>MATCH(I28,{"A","B","C","D","E","F","G","H"},0)</f>
        <v>#N/A</v>
      </c>
      <c r="S28" s="7">
        <f t="shared" si="4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111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 t="shared" ref="L7:L12" si="0">IF(K7=J7,"pass","fail")</f>
        <v>pass</v>
      </c>
      <c r="N7" s="22" t="str">
        <f>INDEX({"Low","Low,","Low","Medium","Medium","Medium","Medium","High","High","High"},I7)</f>
        <v>High</v>
      </c>
      <c r="O7" s="1" t="str">
        <f t="shared" ref="O7:O12" si="1"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 t="shared" ref="R7:R12" si="2"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111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si="0"/>
        <v>pass</v>
      </c>
      <c r="N8" s="22" t="str">
        <f>INDEX({"Low","Low,","Low","Medium","Medium","Medium","Medium","High","High","High"},I8)</f>
        <v>High</v>
      </c>
      <c r="O8" s="1" t="str">
        <f t="shared" si="1"/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si="2"/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111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si="0"/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111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0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111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0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111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0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111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111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3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4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5">IF(ISNA(Q16),"pass","fail")</f>
        <v>pass</v>
      </c>
    </row>
    <row r="17" spans="8:18" ht="16.5" thickTop="1" thickBot="1" x14ac:dyDescent="0.3">
      <c r="H17" s="111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3"/>
        <v>pass</v>
      </c>
      <c r="N17" s="22" t="str">
        <f>INDEX({"Low","Low,","Low","Medium","Medium","Medium","Medium","High","High","High"},I17)</f>
        <v>Medium</v>
      </c>
      <c r="O17" s="1" t="str">
        <f t="shared" si="4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5"/>
        <v>pass</v>
      </c>
    </row>
    <row r="18" spans="8:18" ht="16.5" thickTop="1" thickBot="1" x14ac:dyDescent="0.3">
      <c r="H18" s="111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3"/>
        <v>pass</v>
      </c>
      <c r="N18" s="22" t="e">
        <f>INDEX({"Low","Low,","Low","Medium","Medium","Medium","Medium","High","High","High"},I18)</f>
        <v>#REF!</v>
      </c>
      <c r="O18" s="1" t="str">
        <f t="shared" si="4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5"/>
        <v>pass</v>
      </c>
    </row>
    <row r="19" spans="8:18" ht="16.5" thickTop="1" thickBot="1" x14ac:dyDescent="0.3">
      <c r="H19" s="111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3"/>
        <v>pass</v>
      </c>
      <c r="N19" s="22" t="e">
        <f>INDEX({"Low","Low,","Low","Medium","Medium","Medium","Medium","High","High","High"},I19)</f>
        <v>#VALUE!</v>
      </c>
      <c r="O19" s="1" t="str">
        <f t="shared" si="4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5"/>
        <v>pass</v>
      </c>
    </row>
    <row r="20" spans="8:18" ht="16.5" thickTop="1" thickBot="1" x14ac:dyDescent="0.3">
      <c r="H20" s="111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>IF(ISNA(J20),"pass","fail")</f>
        <v>pass</v>
      </c>
      <c r="N20" s="22" t="str">
        <f>INDEX({"Low","Low,","Low","Medium","Medium","Medium","Medium","High","High","High"},I20)</f>
        <v>Low</v>
      </c>
      <c r="O20" s="1" t="str">
        <f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5"/>
        <v>pass</v>
      </c>
    </row>
    <row r="21" spans="8:18" ht="16.5" thickTop="1" thickBot="1" x14ac:dyDescent="0.3">
      <c r="H21" s="111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>IF(ISNA(J21),"pass","fail")</f>
        <v>pass</v>
      </c>
      <c r="N21" s="22" t="str">
        <f>INDEX({"Low","Low,","Low","Medium","Medium","Medium","Medium","High","High","High"},I21)</f>
        <v>Medium</v>
      </c>
      <c r="O21" s="1" t="str">
        <f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5"/>
        <v>pass</v>
      </c>
    </row>
    <row r="22" spans="8:18" ht="16.5" thickTop="1" thickBot="1" x14ac:dyDescent="0.3">
      <c r="H22" s="111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3"/>
        <v>pass</v>
      </c>
      <c r="N22" s="22" t="e">
        <f>INDEX({"Low","Low,","Low","Medium","Medium","Medium","Medium","High","High","High"},I22)</f>
        <v>#REF!</v>
      </c>
      <c r="O22" s="1" t="str">
        <f t="shared" si="4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5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69" priority="1" operator="equal">
      <formula>"Low"</formula>
    </cfRule>
    <cfRule type="cellIs" dxfId="68" priority="2" operator="equal">
      <formula>"High"</formula>
    </cfRule>
    <cfRule type="cellIs" dxfId="67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B18" sqref="B18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>IF(ISNA(L20), "pass", "fail")</f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>IF(ISNA(L21), "pass", "fail")</f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112" t="s">
        <v>17</v>
      </c>
      <c r="D1" s="112"/>
      <c r="E1" s="112"/>
      <c r="F1" s="112"/>
      <c r="G1" s="112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113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113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113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113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108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 t="shared" ref="O7:O13" si="0"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109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 t="shared" si="0"/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109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si="0"/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109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109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109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 t="shared" si="0"/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110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 t="shared" si="0"/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107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107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107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107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107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107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107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107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107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107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6" priority="1" operator="equal">
      <formula>"B"</formula>
    </cfRule>
    <cfRule type="cellIs" dxfId="55" priority="2" operator="equal">
      <formula>"C"</formula>
    </cfRule>
    <cfRule type="cellIs" dxfId="54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642</v>
      </c>
      <c r="C2" t="s">
        <v>643</v>
      </c>
      <c r="D2" t="s">
        <v>1017</v>
      </c>
      <c r="E2" t="s">
        <v>144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124</v>
      </c>
    </row>
    <row r="3" spans="2:12" x14ac:dyDescent="0.25">
      <c r="B3" t="s">
        <v>1024</v>
      </c>
      <c r="C3" t="s">
        <v>1025</v>
      </c>
      <c r="D3" t="s">
        <v>1026</v>
      </c>
      <c r="E3" t="s">
        <v>1027</v>
      </c>
      <c r="F3" t="s">
        <v>1028</v>
      </c>
      <c r="G3" t="s">
        <v>1029</v>
      </c>
      <c r="H3" t="s">
        <v>49</v>
      </c>
      <c r="I3" t="s">
        <v>49</v>
      </c>
      <c r="K3" t="s">
        <v>1030</v>
      </c>
      <c r="L3" t="s">
        <v>722</v>
      </c>
    </row>
    <row r="4" spans="2:12" x14ac:dyDescent="0.25">
      <c r="B4" t="s">
        <v>1031</v>
      </c>
      <c r="C4" t="s">
        <v>1032</v>
      </c>
      <c r="D4" t="s">
        <v>1033</v>
      </c>
      <c r="E4" t="s">
        <v>1027</v>
      </c>
      <c r="F4" t="s">
        <v>1034</v>
      </c>
      <c r="G4" t="s">
        <v>1035</v>
      </c>
      <c r="H4" t="s">
        <v>49</v>
      </c>
      <c r="I4" t="s">
        <v>49</v>
      </c>
      <c r="K4" t="s">
        <v>1036</v>
      </c>
      <c r="L4" t="s">
        <v>716</v>
      </c>
    </row>
    <row r="5" spans="2:12" x14ac:dyDescent="0.25">
      <c r="B5" t="s">
        <v>1037</v>
      </c>
      <c r="C5" t="s">
        <v>1032</v>
      </c>
      <c r="D5" t="s">
        <v>1033</v>
      </c>
      <c r="E5" t="s">
        <v>1027</v>
      </c>
      <c r="F5" t="s">
        <v>1034</v>
      </c>
      <c r="G5" t="s">
        <v>1035</v>
      </c>
      <c r="H5" t="s">
        <v>49</v>
      </c>
      <c r="I5" t="s">
        <v>49</v>
      </c>
      <c r="K5" t="s">
        <v>1036</v>
      </c>
      <c r="L5" t="s">
        <v>716</v>
      </c>
    </row>
    <row r="6" spans="2:12" x14ac:dyDescent="0.25">
      <c r="B6" t="s">
        <v>1038</v>
      </c>
      <c r="C6" t="s">
        <v>1025</v>
      </c>
      <c r="D6" t="s">
        <v>1026</v>
      </c>
      <c r="E6" t="s">
        <v>1027</v>
      </c>
      <c r="F6" t="s">
        <v>1028</v>
      </c>
      <c r="G6" t="s">
        <v>1029</v>
      </c>
      <c r="H6" t="s">
        <v>49</v>
      </c>
      <c r="I6" t="s">
        <v>49</v>
      </c>
      <c r="K6" t="s">
        <v>1030</v>
      </c>
      <c r="L6" t="s">
        <v>722</v>
      </c>
    </row>
    <row r="7" spans="2:12" x14ac:dyDescent="0.25">
      <c r="B7" t="s">
        <v>1039</v>
      </c>
      <c r="C7" t="s">
        <v>1040</v>
      </c>
      <c r="D7" t="s">
        <v>1033</v>
      </c>
      <c r="E7" t="s">
        <v>1027</v>
      </c>
      <c r="F7" t="s">
        <v>1041</v>
      </c>
      <c r="G7" t="s">
        <v>1042</v>
      </c>
      <c r="H7" t="s">
        <v>49</v>
      </c>
      <c r="I7" t="s">
        <v>49</v>
      </c>
      <c r="J7" t="s">
        <v>1043</v>
      </c>
      <c r="K7" t="s">
        <v>1044</v>
      </c>
      <c r="L7" t="s">
        <v>767</v>
      </c>
    </row>
    <row r="8" spans="2:12" x14ac:dyDescent="0.25">
      <c r="B8" t="s">
        <v>1045</v>
      </c>
      <c r="C8" t="s">
        <v>1046</v>
      </c>
      <c r="D8" t="s">
        <v>1047</v>
      </c>
      <c r="E8" t="s">
        <v>1027</v>
      </c>
      <c r="F8" t="s">
        <v>1048</v>
      </c>
      <c r="G8" t="s">
        <v>1049</v>
      </c>
      <c r="H8" t="s">
        <v>48</v>
      </c>
      <c r="I8" t="s">
        <v>48</v>
      </c>
      <c r="J8" t="s">
        <v>1043</v>
      </c>
      <c r="K8" t="s">
        <v>1044</v>
      </c>
      <c r="L8" t="s">
        <v>698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opLeftCell="N1" zoomScaleNormal="100" workbookViewId="0">
      <selection activeCell="Z8" sqref="Z8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str">
        <f ca="1">IF($T4&lt;=AA$4,INDEX(TypicalCriticalitiesMAHBarrier23[Typical Components],MATCH($T4,TypicalCriticalitiesMAHBarrier23[Column2],0)),"")</f>
        <v xml:space="preserve">Amplifiers 
Controllers 
External Speakers 
Internal Speakers 
Beacons / Strobe Lights 
Indicator Lights </v>
      </c>
      <c r="W4" t="str">
        <f ca="1">IF($T4&lt;=AA$4,INDEX(TypicalCriticalitiesMAHBarrier23[Typical Criticality],MATCH($T4,TypicalCriticalitiesMAHBarrier23[Column2],0)),"")</f>
        <v xml:space="preserve">A </v>
      </c>
      <c r="Y4" t="s">
        <v>183</v>
      </c>
      <c r="Z4">
        <f>MAX(TypicalCriticalitiesMAHBarrier23[Barrier Family ID])</f>
        <v>54</v>
      </c>
      <c r="AA4">
        <f ca="1">MAX(TypicalCriticalitiesMAHBarrier23[Column2])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27" t="s">
        <v>637</v>
      </c>
      <c r="B5" s="128"/>
      <c r="C5" s="128"/>
      <c r="D5" s="129"/>
      <c r="F5" s="114" t="s">
        <v>638</v>
      </c>
      <c r="G5" s="116"/>
      <c r="H5" s="130" t="s">
        <v>639</v>
      </c>
      <c r="I5" s="131"/>
      <c r="J5" s="131"/>
      <c r="K5" s="132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str">
        <f ca="1">IF($T5&lt;=AA$4,INDEX(TypicalCriticalitiesMAHBarrier23[Typical Components],MATCH($T5,TypicalCriticalitiesMAHBarrier23[Column2],0)),"")</f>
        <v/>
      </c>
      <c r="W5" t="str">
        <f ca="1">IF($T5&lt;=AA$4,INDEX(TypicalCriticalitiesMAHBarrier23[Typical Criticality],MATCH($T5,TypicalCriticalitiesMAHBarrier23[Column2],0)),"")</f>
        <v/>
      </c>
      <c r="Y5" t="s">
        <v>186</v>
      </c>
      <c r="Z5">
        <f ca="1">MATCH(H17,BarrierFamilies,0)</f>
        <v>32</v>
      </c>
      <c r="AA5">
        <f ca="1">MATCH(I17,TypicalCriticalitiesMAHBarrier23[ComponentList],0)</f>
        <v>1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17" t="s">
        <v>187</v>
      </c>
      <c r="B6" s="117"/>
      <c r="C6" s="117"/>
      <c r="D6" s="117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str">
        <f ca="1">IF($T6&lt;=AA$4,INDEX(TypicalCriticalitiesMAHBarrier23[Typical Components],MATCH($T6,TypicalCriticalitiesMAHBarrier23[Column2],0)),"")</f>
        <v/>
      </c>
      <c r="W6" t="str">
        <f ca="1">IF($T6&lt;=AA$4,INDEX(TypicalCriticalitiesMAHBarrier23[Typical Criticality],MATCH($T6,TypicalCriticalitiesMAHBarrier23[Column2],0)),"")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18" t="s">
        <v>621</v>
      </c>
      <c r="J7" s="119"/>
      <c r="K7" s="120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str">
        <f ca="1">IF($T7&lt;=AA$4,INDEX(TypicalCriticalitiesMAHBarrier23[Typical Components],MATCH($T7,TypicalCriticalitiesMAHBarrier23[Column2],0)),"")</f>
        <v/>
      </c>
      <c r="W7" t="str">
        <f ca="1">IF($T7&lt;=AA$4,INDEX(TypicalCriticalitiesMAHBarrier23[Typical Criticality],MATCH($T7,TypicalCriticalitiesMAHBarrier23[Column2],0)),"")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21"/>
      <c r="J8" s="122"/>
      <c r="K8" s="123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str">
        <f ca="1">IF($T8&lt;=AA$4,INDEX(TypicalCriticalitiesMAHBarrier23[Typical Components],MATCH($T8,TypicalCriticalitiesMAHBarrier23[Column2],0)),"")</f>
        <v/>
      </c>
      <c r="W8" t="str">
        <f ca="1">IF($T8&lt;=AA$4,INDEX(TypicalCriticalitiesMAHBarrier23[Typical Criticality],MATCH($T8,TypicalCriticalitiesMAHBarrier23[Column2],0)),"")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24"/>
      <c r="J9" s="125"/>
      <c r="K9" s="126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str">
        <f ca="1">IF($T9&lt;=AA$4,INDEX(TypicalCriticalitiesMAHBarrier23[Typical Components],MATCH($T9,TypicalCriticalitiesMAHBarrier23[Column2],0)),"")</f>
        <v/>
      </c>
      <c r="W9" t="str">
        <f ca="1">IF($T9&lt;=AA$4,INDEX(TypicalCriticalitiesMAHBarrier23[Typical Criticality],MATCH($T9,TypicalCriticalitiesMAHBarrier23[Column2],0)),"")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str">
        <f ca="1">IF($T10&lt;=AA$4,INDEX(TypicalCriticalitiesMAHBarrier23[Typical Components],MATCH($T10,TypicalCriticalitiesMAHBarrier23[Column2],0)),"")</f>
        <v/>
      </c>
      <c r="W10" t="str">
        <f ca="1">IF($T10&lt;=AA$4,INDEX(TypicalCriticalitiesMAHBarrier23[Typical Criticality],MATCH($T10,TypicalCriticalitiesMAHBarrier23[Column2],0)),"")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str">
        <f ca="1">IF($T11&lt;=AA$4,INDEX(TypicalCriticalitiesMAHBarrier23[Typical Components],MATCH($T11,TypicalCriticalitiesMAHBarrier23[Column2],0)),"")</f>
        <v/>
      </c>
      <c r="W11" t="str">
        <f ca="1">IF($T11&lt;=AA$4,INDEX(TypicalCriticalitiesMAHBarrier23[Typical Criticality],MATCH($T11,TypicalCriticalitiesMAHBarrier23[Column2],0)),"")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str">
        <f ca="1">IF($T12&lt;=AA$4,INDEX(TypicalCriticalitiesMAHBarrier23[Typical Components],MATCH($T12,TypicalCriticalitiesMAHBarrier23[Column2],0)),"")</f>
        <v/>
      </c>
      <c r="W12" t="str">
        <f ca="1">IF($T12&lt;=AA$4,INDEX(TypicalCriticalitiesMAHBarrier23[Typical Criticality],MATCH($T12,TypicalCriticalitiesMAHBarrier23[Column2],0)),"")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str">
        <f ca="1">IF($T13&lt;=AA$4,INDEX(TypicalCriticalitiesMAHBarrier23[Typical Components],MATCH($T13,TypicalCriticalitiesMAHBarrier23[Column2],0)),"")</f>
        <v/>
      </c>
      <c r="W13" t="str">
        <f ca="1">IF($T13&lt;=AA$4,INDEX(TypicalCriticalitiesMAHBarrier23[Typical Criticality],MATCH($T13,TypicalCriticalitiesMAHBarrier23[Column2],0)),"")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4" t="s">
        <v>640</v>
      </c>
      <c r="B14" s="115"/>
      <c r="C14" s="115"/>
      <c r="D14" s="115"/>
      <c r="E14" s="115"/>
      <c r="F14" s="116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str">
        <f ca="1">IF($T14&lt;=AA$4,INDEX(TypicalCriticalitiesMAHBarrier23[Typical Components],MATCH($T14,TypicalCriticalitiesMAHBarrier23[Column2],0)),"")</f>
        <v/>
      </c>
      <c r="W14" t="str">
        <f ca="1">IF($T14&lt;=AA$4,INDEX(TypicalCriticalitiesMAHBarrier23[Typical Criticality],MATCH($T14,TypicalCriticalitiesMAHBarrier23[Column2],0)),"")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str">
        <f ca="1">IF($T15&lt;=AA$4,INDEX(TypicalCriticalitiesMAHBarrier23[Typical Components],MATCH($T15,TypicalCriticalitiesMAHBarrier23[Column2],0)),"")</f>
        <v/>
      </c>
      <c r="W15" t="str">
        <f ca="1">IF($T15&lt;=AA$4,INDEX(TypicalCriticalitiesMAHBarrier23[Typical Criticality],MATCH($T15,TypicalCriticalitiesMAHBarrier23[Column2],0)),"")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str">
        <f ca="1">IF($T16&lt;=AA$4,INDEX(TypicalCriticalitiesMAHBarrier23[Typical Components],MATCH($T16,TypicalCriticalitiesMAHBarrier23[Column2],0)),"")</f>
        <v/>
      </c>
      <c r="W16" t="str">
        <f ca="1">IF($T16&lt;=AA$4,INDEX(TypicalCriticalitiesMAHBarrier23[Typical Criticality],MATCH($T16,TypicalCriticalitiesMAHBarrier23[Column2],0)),"")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IF(ISBLANK(I17),"C",VLOOKUP(I17,TypicalCriticalitiesMAHBarrier23[[ComponentList]:[Code]],2,FALSE))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str">
        <f ca="1">IF($T17&lt;=AA$4,INDEX(TypicalCriticalitiesMAHBarrier23[Typical Components],MATCH($T17,TypicalCriticalitiesMAHBarrier23[Column2],0)),"")</f>
        <v/>
      </c>
      <c r="W17" t="str">
        <f ca="1">IF($T17&lt;=AA$4,INDEX(TypicalCriticalitiesMAHBarrier23[Typical Criticality],MATCH($T17,TypicalCriticalitiesMAHBarrier23[Column2],0)),"")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str">
        <f ca="1">IF($T18&lt;=AA$4,INDEX(TypicalCriticalitiesMAHBarrier23[Typical Components],MATCH($T18,TypicalCriticalitiesMAHBarrier23[Column2],0)),"")</f>
        <v/>
      </c>
      <c r="W18" t="str">
        <f ca="1">IF($T18&lt;=AA$4,INDEX(TypicalCriticalitiesMAHBarrier23[Typical Criticality],MATCH($T18,TypicalCriticalitiesMAHBarrier23[Column2],0)),"")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1059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str">
        <f ca="1">IF($T19&lt;=AA$4,INDEX(TypicalCriticalitiesMAHBarrier23[Typical Components],MATCH($T19,TypicalCriticalitiesMAHBarrier23[Column2],0)),"")</f>
        <v/>
      </c>
      <c r="W19" t="str">
        <f ca="1">IF($T19&lt;=AA$4,INDEX(TypicalCriticalitiesMAHBarrier23[Typical Criticality],MATCH($T19,TypicalCriticalitiesMAHBarrier23[Column2],0)),"")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str">
        <f ca="1">IF($T20&lt;=AA$4,INDEX(TypicalCriticalitiesMAHBarrier23[Typical Components],MATCH($T20,TypicalCriticalitiesMAHBarrier23[Column2],0)),"")</f>
        <v/>
      </c>
      <c r="W20" t="str">
        <f ca="1">IF($T20&lt;=AA$4,INDEX(TypicalCriticalitiesMAHBarrier23[Typical Criticality],MATCH($T20,TypicalCriticalitiesMAHBarrier23[Column2],0)),"")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str">
        <f ca="1">IF($T21&lt;=AA$4,INDEX(TypicalCriticalitiesMAHBarrier23[Typical Components],MATCH($T21,TypicalCriticalitiesMAHBarrier23[Column2],0)),"")</f>
        <v/>
      </c>
      <c r="W21" t="str">
        <f ca="1">IF($T21&lt;=AA$4,INDEX(TypicalCriticalitiesMAHBarrier23[Typical Criticality],MATCH($T21,TypicalCriticalitiesMAHBarrier23[Column2],0)),"")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str">
        <f ca="1">IF($T22&lt;=AA$4,INDEX(TypicalCriticalitiesMAHBarrier23[Typical Components],MATCH($T22,TypicalCriticalitiesMAHBarrier23[Column2],0)),"")</f>
        <v/>
      </c>
      <c r="W22" t="str">
        <f ca="1">IF($T22&lt;=AA$4,INDEX(TypicalCriticalitiesMAHBarrier23[Typical Criticality],MATCH($T22,TypicalCriticalitiesMAHBarrier23[Column2],0)),"")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str">
        <f ca="1">IF($T23&lt;=AA$4,INDEX(TypicalCriticalitiesMAHBarrier23[Typical Components],MATCH($T23,TypicalCriticalitiesMAHBarrier23[Column2],0)),"")</f>
        <v/>
      </c>
      <c r="W23" t="str">
        <f ca="1">IF($T23&lt;=AA$4,INDEX(TypicalCriticalitiesMAHBarrier23[Typical Criticality],MATCH($T23,TypicalCriticalitiesMAHBarrier23[Column2],0)),"")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str">
        <f ca="1">IF($T24&lt;=AA$4,INDEX(TypicalCriticalitiesMAHBarrier23[Typical Components],MATCH($T24,TypicalCriticalitiesMAHBarrier23[Column2],0)),"")</f>
        <v/>
      </c>
      <c r="W24" t="str">
        <f ca="1">IF($T24&lt;=AA$4,INDEX(TypicalCriticalitiesMAHBarrier23[Typical Criticality],MATCH($T24,TypicalCriticalitiesMAHBarrier23[Column2],0)),"")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str">
        <f ca="1">IF($T25&lt;=AA$4,INDEX(TypicalCriticalitiesMAHBarrier23[Typical Components],MATCH($T25,TypicalCriticalitiesMAHBarrier23[Column2],0)),"")</f>
        <v/>
      </c>
      <c r="W25" t="str">
        <f ca="1">IF($T25&lt;=AA$4,INDEX(TypicalCriticalitiesMAHBarrier23[Typical Criticality],MATCH($T25,TypicalCriticalitiesMAHBarrier23[Column2],0)),"")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str">
        <f ca="1">IF($T26&lt;=AA$4,INDEX(TypicalCriticalitiesMAHBarrier23[Typical Components],MATCH($T26,TypicalCriticalitiesMAHBarrier23[Column2],0)),"")</f>
        <v/>
      </c>
      <c r="W26" t="str">
        <f ca="1">IF($T26&lt;=AA$4,INDEX(TypicalCriticalitiesMAHBarrier23[Typical Criticality],MATCH($T26,TypicalCriticalitiesMAHBarrier23[Column2],0)),"")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str">
        <f ca="1">IF($T27&lt;=AA$4,INDEX(TypicalCriticalitiesMAHBarrier23[Typical Components],MATCH($T27,TypicalCriticalitiesMAHBarrier23[Column2],0)),"")</f>
        <v/>
      </c>
      <c r="W27" t="str">
        <f ca="1">IF($T27&lt;=AA$4,INDEX(TypicalCriticalitiesMAHBarrier23[Typical Criticality],MATCH($T27,TypicalCriticalitiesMAHBarrier23[Column2],0)),"")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str">
        <f ca="1">IF($T28&lt;=AA$4,INDEX(TypicalCriticalitiesMAHBarrier23[Typical Components],MATCH($T28,TypicalCriticalitiesMAHBarrier23[Column2],0)),"")</f>
        <v/>
      </c>
      <c r="W28" t="str">
        <f ca="1">IF($T28&lt;=AA$4,INDEX(TypicalCriticalitiesMAHBarrier23[Typical Criticality],MATCH($T28,TypicalCriticalitiesMAHBarrier23[Column2],0)),"")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str">
        <f ca="1">IF($T29&lt;=AA$4,INDEX(TypicalCriticalitiesMAHBarrier23[Typical Components],MATCH($T29,TypicalCriticalitiesMAHBarrier23[Column2],0)),"")</f>
        <v/>
      </c>
      <c r="W29" t="str">
        <f ca="1">IF($T29&lt;=AA$4,INDEX(TypicalCriticalitiesMAHBarrier23[Typical Criticality],MATCH($T29,TypicalCriticalitiesMAHBarrier23[Column2],0)),"")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str">
        <f ca="1">IF($T30&lt;=AA$4,INDEX(TypicalCriticalitiesMAHBarrier23[Typical Components],MATCH($T30,TypicalCriticalitiesMAHBarrier23[Column2],0)),"")</f>
        <v/>
      </c>
      <c r="W30" t="str">
        <f ca="1">IF($T30&lt;=AA$4,INDEX(TypicalCriticalitiesMAHBarrier23[Typical Criticality],MATCH($T30,TypicalCriticalitiesMAHBarrier23[Column2],0)),"")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str">
        <f ca="1">IF($T31&lt;=AA$4,INDEX(TypicalCriticalitiesMAHBarrier23[Typical Components],MATCH($T31,TypicalCriticalitiesMAHBarrier23[Column2],0)),"")</f>
        <v/>
      </c>
      <c r="W31" t="str">
        <f ca="1">IF($T31&lt;=AA$4,INDEX(TypicalCriticalitiesMAHBarrier23[Typical Criticality],MATCH($T31,TypicalCriticalitiesMAHBarrier23[Column2],0)),"")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str">
        <f ca="1">IF($T32&lt;=AA$4,INDEX(TypicalCriticalitiesMAHBarrier23[Typical Components],MATCH($T32,TypicalCriticalitiesMAHBarrier23[Column2],0)),"")</f>
        <v/>
      </c>
      <c r="W32" t="str">
        <f ca="1">IF($T32&lt;=AA$4,INDEX(TypicalCriticalitiesMAHBarrier23[Typical Criticality],MATCH($T32,TypicalCriticalitiesMAHBarrier23[Column2],0)),"")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str">
        <f ca="1">IF($T33&lt;=AA$4,INDEX(TypicalCriticalitiesMAHBarrier23[Typical Components],MATCH($T33,TypicalCriticalitiesMAHBarrier23[Column2],0)),"")</f>
        <v/>
      </c>
      <c r="W33" t="str">
        <f ca="1">IF($T33&lt;=AA$4,INDEX(TypicalCriticalitiesMAHBarrier23[Typical Criticality],MATCH($T33,TypicalCriticalitiesMAHBarrier23[Column2],0)),"")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str">
        <f ca="1">IF($T34&lt;=AA$4,INDEX(TypicalCriticalitiesMAHBarrier23[Typical Components],MATCH($T34,TypicalCriticalitiesMAHBarrier23[Column2],0)),"")</f>
        <v/>
      </c>
      <c r="W34" t="str">
        <f ca="1">IF($T34&lt;=AA$4,INDEX(TypicalCriticalitiesMAHBarrier23[Typical Criticality],MATCH($T34,TypicalCriticalitiesMAHBarrier23[Column2],0)),"")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str">
        <f ca="1">IF($T35&lt;=AA$4,INDEX(TypicalCriticalitiesMAHBarrier23[Typical Components],MATCH($T35,TypicalCriticalitiesMAHBarrier23[Column2],0)),"")</f>
        <v/>
      </c>
      <c r="W35" t="str">
        <f ca="1">IF($T35&lt;=AA$4,INDEX(TypicalCriticalitiesMAHBarrier23[Typical Criticality],MATCH($T35,TypicalCriticalitiesMAHBarrier23[Column2],0)),"")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str">
        <f ca="1">IF($T36&lt;=AA$4,INDEX(TypicalCriticalitiesMAHBarrier23[Typical Components],MATCH($T36,TypicalCriticalitiesMAHBarrier23[Column2],0)),"")</f>
        <v/>
      </c>
      <c r="W36" t="str">
        <f ca="1">IF($T36&lt;=AA$4,INDEX(TypicalCriticalitiesMAHBarrier23[Typical Criticality],MATCH($T36,TypicalCriticalitiesMAHBarrier23[Column2],0)),"")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str">
        <f ca="1">IF($T37&lt;=AA$4,INDEX(TypicalCriticalitiesMAHBarrier23[Typical Components],MATCH($T37,TypicalCriticalitiesMAHBarrier23[Column2],0)),"")</f>
        <v/>
      </c>
      <c r="W37" t="str">
        <f ca="1">IF($T37&lt;=AA$4,INDEX(TypicalCriticalitiesMAHBarrier23[Typical Criticality],MATCH($T37,TypicalCriticalitiesMAHBarrier23[Column2],0)),"")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str">
        <f ca="1">IF($T38&lt;=AA$4,INDEX(TypicalCriticalitiesMAHBarrier23[Typical Components],MATCH($T38,TypicalCriticalitiesMAHBarrier23[Column2],0)),"")</f>
        <v/>
      </c>
      <c r="W38" t="str">
        <f ca="1">IF($T38&lt;=AA$4,INDEX(TypicalCriticalitiesMAHBarrier23[Typical Criticality],MATCH($T38,TypicalCriticalitiesMAHBarrier23[Column2],0)),"")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str">
        <f ca="1">IF($T39&lt;=AA$4,INDEX(TypicalCriticalitiesMAHBarrier23[Typical Components],MATCH($T39,TypicalCriticalitiesMAHBarrier23[Column2],0)),"")</f>
        <v/>
      </c>
      <c r="W39" t="str">
        <f ca="1">IF($T39&lt;=AA$4,INDEX(TypicalCriticalitiesMAHBarrier23[Typical Criticality],MATCH($T39,TypicalCriticalitiesMAHBarrier23[Column2],0)),"")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str">
        <f ca="1">IF($T40&lt;=AA$4,INDEX(TypicalCriticalitiesMAHBarrier23[Typical Components],MATCH($T40,TypicalCriticalitiesMAHBarrier23[Column2],0)),"")</f>
        <v/>
      </c>
      <c r="W40" t="str">
        <f ca="1">IF($T40&lt;=AA$4,INDEX(TypicalCriticalitiesMAHBarrier23[Typical Criticality],MATCH($T40,TypicalCriticalitiesMAHBarrier23[Column2],0)),"")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str">
        <f ca="1">IF($T41&lt;=AA$4,INDEX(TypicalCriticalitiesMAHBarrier23[Typical Components],MATCH($T41,TypicalCriticalitiesMAHBarrier23[Column2],0)),"")</f>
        <v/>
      </c>
      <c r="W41" t="str">
        <f ca="1">IF($T41&lt;=AA$4,INDEX(TypicalCriticalitiesMAHBarrier23[Typical Criticality],MATCH($T41,TypicalCriticalitiesMAHBarrier23[Column2],0)),"")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str">
        <f ca="1">IF($T42&lt;=AA$4,INDEX(TypicalCriticalitiesMAHBarrier23[Typical Components],MATCH($T42,TypicalCriticalitiesMAHBarrier23[Column2],0)),"")</f>
        <v/>
      </c>
      <c r="W42" t="str">
        <f ca="1">IF($T42&lt;=AA$4,INDEX(TypicalCriticalitiesMAHBarrier23[Typical Criticality],MATCH($T42,TypicalCriticalitiesMAHBarrier23[Column2],0)),"")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str">
        <f ca="1">IF($T43&lt;=AA$4,INDEX(TypicalCriticalitiesMAHBarrier23[Typical Components],MATCH($T43,TypicalCriticalitiesMAHBarrier23[Column2],0)),"")</f>
        <v/>
      </c>
      <c r="W43" t="str">
        <f ca="1">IF($T43&lt;=AA$4,INDEX(TypicalCriticalitiesMAHBarrier23[Typical Criticality],MATCH($T43,TypicalCriticalitiesMAHBarrier23[Column2],0)),"")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str">
        <f ca="1">IF($T44&lt;=AA$4,INDEX(TypicalCriticalitiesMAHBarrier23[Typical Components],MATCH($T44,TypicalCriticalitiesMAHBarrier23[Column2],0)),"")</f>
        <v/>
      </c>
      <c r="W44" t="str">
        <f ca="1">IF($T44&lt;=AA$4,INDEX(TypicalCriticalitiesMAHBarrier23[Typical Criticality],MATCH($T44,TypicalCriticalitiesMAHBarrier23[Column2],0)),"")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str">
        <f ca="1">IF($T45&lt;=AA$4,INDEX(TypicalCriticalitiesMAHBarrier23[Typical Components],MATCH($T45,TypicalCriticalitiesMAHBarrier23[Column2],0)),"")</f>
        <v/>
      </c>
      <c r="W45" t="str">
        <f ca="1">IF($T45&lt;=AA$4,INDEX(TypicalCriticalitiesMAHBarrier23[Typical Criticality],MATCH($T45,TypicalCriticalitiesMAHBarrier23[Column2],0)),"")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str">
        <f ca="1">IF($T46&lt;=AA$4,INDEX(TypicalCriticalitiesMAHBarrier23[Typical Components],MATCH($T46,TypicalCriticalitiesMAHBarrier23[Column2],0)),"")</f>
        <v/>
      </c>
      <c r="W46" t="str">
        <f ca="1">IF($T46&lt;=AA$4,INDEX(TypicalCriticalitiesMAHBarrier23[Typical Criticality],MATCH($T46,TypicalCriticalitiesMAHBarrier23[Column2],0)),"")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str">
        <f ca="1">IF($T47&lt;=AA$4,INDEX(TypicalCriticalitiesMAHBarrier23[Typical Components],MATCH($T47,TypicalCriticalitiesMAHBarrier23[Column2],0)),"")</f>
        <v/>
      </c>
      <c r="W47" t="str">
        <f ca="1">IF($T47&lt;=AA$4,INDEX(TypicalCriticalitiesMAHBarrier23[Typical Criticality],MATCH($T47,TypicalCriticalitiesMAHBarrier23[Column2],0)),"")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str">
        <f ca="1">IF($T48&lt;=AA$4,INDEX(TypicalCriticalitiesMAHBarrier23[Typical Components],MATCH($T48,TypicalCriticalitiesMAHBarrier23[Column2],0)),"")</f>
        <v/>
      </c>
      <c r="W48" t="str">
        <f ca="1">IF($T48&lt;=AA$4,INDEX(TypicalCriticalitiesMAHBarrier23[Typical Criticality],MATCH($T48,TypicalCriticalitiesMAHBarrier23[Column2],0)),"")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str">
        <f ca="1">IF($T49&lt;=AA$4,INDEX(TypicalCriticalitiesMAHBarrier23[Typical Components],MATCH($T49,TypicalCriticalitiesMAHBarrier23[Column2],0)),"")</f>
        <v/>
      </c>
      <c r="W49" t="str">
        <f ca="1">IF($T49&lt;=AA$4,INDEX(TypicalCriticalitiesMAHBarrier23[Typical Criticality],MATCH($T49,TypicalCriticalitiesMAHBarrier23[Column2],0)),"")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str">
        <f ca="1">IF($T50&lt;=AA$4,INDEX(TypicalCriticalitiesMAHBarrier23[Typical Components],MATCH($T50,TypicalCriticalitiesMAHBarrier23[Column2],0)),"")</f>
        <v/>
      </c>
      <c r="W50" t="str">
        <f ca="1">IF($T50&lt;=AA$4,INDEX(TypicalCriticalitiesMAHBarrier23[Typical Criticality],MATCH($T50,TypicalCriticalitiesMAHBarrier23[Column2],0)),"")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str">
        <f ca="1">IF($T51&lt;=AA$4,INDEX(TypicalCriticalitiesMAHBarrier23[Typical Components],MATCH($T51,TypicalCriticalitiesMAHBarrier23[Column2],0)),"")</f>
        <v/>
      </c>
      <c r="W51" t="str">
        <f ca="1">IF($T51&lt;=AA$4,INDEX(TypicalCriticalitiesMAHBarrier23[Typical Criticality],MATCH($T51,TypicalCriticalitiesMAHBarrier23[Column2],0)),"")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str">
        <f ca="1">IF($T52&lt;=AA$4,INDEX(TypicalCriticalitiesMAHBarrier23[Typical Components],MATCH($T52,TypicalCriticalitiesMAHBarrier23[Column2],0)),"")</f>
        <v/>
      </c>
      <c r="W52" t="str">
        <f ca="1">IF($T52&lt;=AA$4,INDEX(TypicalCriticalitiesMAHBarrier23[Typical Criticality],MATCH($T52,TypicalCriticalitiesMAHBarrier23[Column2],0)),"")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str">
        <f ca="1">IF($T53&lt;=AA$4,INDEX(TypicalCriticalitiesMAHBarrier23[Typical Components],MATCH($T53,TypicalCriticalitiesMAHBarrier23[Column2],0)),"")</f>
        <v/>
      </c>
      <c r="W53" t="str">
        <f ca="1">IF($T53&lt;=AA$4,INDEX(TypicalCriticalitiesMAHBarrier23[Typical Criticality],MATCH($T53,TypicalCriticalitiesMAHBarrier23[Column2],0)),"")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str">
        <f ca="1">IF($T54&lt;=AA$4,INDEX(TypicalCriticalitiesMAHBarrier23[Typical Components],MATCH($T54,TypicalCriticalitiesMAHBarrier23[Column2],0)),"")</f>
        <v/>
      </c>
      <c r="W54" t="str">
        <f ca="1">IF($T54&lt;=AA$4,INDEX(TypicalCriticalitiesMAHBarrier23[Typical Criticality],MATCH($T54,TypicalCriticalitiesMAHBarrier23[Column2],0)),"")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str">
        <f ca="1">IF($T55&lt;=AA$4,INDEX(TypicalCriticalitiesMAHBarrier23[Typical Components],MATCH($T55,TypicalCriticalitiesMAHBarrier23[Column2],0)),"")</f>
        <v/>
      </c>
      <c r="W55" t="str">
        <f ca="1">IF($T55&lt;=AA$4,INDEX(TypicalCriticalitiesMAHBarrier23[Typical Criticality],MATCH($T55,TypicalCriticalitiesMAHBarrier23[Column2],0)),"")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str">
        <f ca="1">IF($T56&lt;=AA$4,INDEX(TypicalCriticalitiesMAHBarrier23[Typical Components],MATCH($T56,TypicalCriticalitiesMAHBarrier23[Column2],0)),"")</f>
        <v/>
      </c>
      <c r="W56" t="str">
        <f ca="1">IF($T56&lt;=AA$4,INDEX(TypicalCriticalitiesMAHBarrier23[Typical Criticality],MATCH($T56,TypicalCriticalitiesMAHBarrier23[Column2],0)),"")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str">
        <f ca="1">IF($T57&lt;=AA$4,INDEX(TypicalCriticalitiesMAHBarrier23[Typical Components],MATCH($T57,TypicalCriticalitiesMAHBarrier23[Column2],0)),"")</f>
        <v/>
      </c>
      <c r="W57" t="str">
        <f ca="1">IF($T57&lt;=AA$4,INDEX(TypicalCriticalitiesMAHBarrier23[Typical Criticality],MATCH($T57,TypicalCriticalitiesMAHBarrier23[Column2],0)),"")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str">
        <f ca="1">IF($T58&lt;=AA$4,INDEX(TypicalCriticalitiesMAHBarrier23[Typical Components],MATCH($T58,TypicalCriticalitiesMAHBarrier23[Column2],0)),"")</f>
        <v/>
      </c>
      <c r="W58" t="str">
        <f ca="1">IF($T58&lt;=AA$4,INDEX(TypicalCriticalitiesMAHBarrier23[Typical Criticality],MATCH($T58,TypicalCriticalitiesMAHBarrier23[Column2],0)),"")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str">
        <f ca="1">IF($T59&lt;=AA$4,INDEX(TypicalCriticalitiesMAHBarrier23[Typical Components],MATCH($T59,TypicalCriticalitiesMAHBarrier23[Column2],0)),"")</f>
        <v/>
      </c>
      <c r="W59" t="str">
        <f ca="1">IF($T59&lt;=AA$4,INDEX(TypicalCriticalitiesMAHBarrier23[Typical Criticality],MATCH($T59,TypicalCriticalitiesMAHBarrier23[Column2],0)),"")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str">
        <f ca="1">IF($T60&lt;=AA$4,INDEX(TypicalCriticalitiesMAHBarrier23[Typical Components],MATCH($T60,TypicalCriticalitiesMAHBarrier23[Column2],0)),"")</f>
        <v/>
      </c>
      <c r="W60" t="str">
        <f ca="1">IF($T60&lt;=AA$4,INDEX(TypicalCriticalitiesMAHBarrier23[Typical Criticality],MATCH($T60,TypicalCriticalitiesMAHBarrier23[Column2],0)),"")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str">
        <f ca="1">IF($T61&lt;=AA$4,INDEX(TypicalCriticalitiesMAHBarrier23[Typical Components],MATCH($T61,TypicalCriticalitiesMAHBarrier23[Column2],0)),"")</f>
        <v/>
      </c>
      <c r="W61" t="str">
        <f ca="1">IF($T61&lt;=AA$4,INDEX(TypicalCriticalitiesMAHBarrier23[Typical Criticality],MATCH($T61,TypicalCriticalitiesMAHBarrier23[Column2],0)),"")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str">
        <f ca="1">IF($T62&lt;=AA$4,INDEX(TypicalCriticalitiesMAHBarrier23[Typical Components],MATCH($T62,TypicalCriticalitiesMAHBarrier23[Column2],0)),"")</f>
        <v/>
      </c>
      <c r="W62" t="str">
        <f ca="1">IF($T62&lt;=AA$4,INDEX(TypicalCriticalitiesMAHBarrier23[Typical Criticality],MATCH($T62,TypicalCriticalitiesMAHBarrier23[Column2],0)),"")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str">
        <f ca="1">IF($T63&lt;=AA$4,INDEX(TypicalCriticalitiesMAHBarrier23[Typical Components],MATCH($T63,TypicalCriticalitiesMAHBarrier23[Column2],0)),"")</f>
        <v/>
      </c>
      <c r="W63" t="str">
        <f ca="1">IF($T63&lt;=AA$4,INDEX(TypicalCriticalitiesMAHBarrier23[Typical Criticality],MATCH($T63,TypicalCriticalitiesMAHBarrier23[Column2],0)),"")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str">
        <f ca="1">IF($T64&lt;=AA$4,INDEX(TypicalCriticalitiesMAHBarrier23[Typical Components],MATCH($T64,TypicalCriticalitiesMAHBarrier23[Column2],0)),"")</f>
        <v/>
      </c>
      <c r="W64" t="str">
        <f ca="1">IF($T64&lt;=AA$4,INDEX(TypicalCriticalitiesMAHBarrier23[Typical Criticality],MATCH($T64,TypicalCriticalitiesMAHBarrier23[Column2],0)),"")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str">
        <f ca="1">IF($T65&lt;=AA$4,INDEX(TypicalCriticalitiesMAHBarrier23[Typical Components],MATCH($T65,TypicalCriticalitiesMAHBarrier23[Column2],0)),"")</f>
        <v/>
      </c>
      <c r="W65" t="str">
        <f ca="1">IF($T65&lt;=AA$4,INDEX(TypicalCriticalitiesMAHBarrier23[Typical Criticality],MATCH($T65,TypicalCriticalitiesMAHBarrier23[Column2],0)),"")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str">
        <f ca="1">IF($T66&lt;=AA$4,INDEX(TypicalCriticalitiesMAHBarrier23[Typical Components],MATCH($T66,TypicalCriticalitiesMAHBarrier23[Column2],0)),"")</f>
        <v/>
      </c>
      <c r="W66" t="str">
        <f ca="1">IF($T66&lt;=AA$4,INDEX(TypicalCriticalitiesMAHBarrier23[Typical Criticality],MATCH($T66,TypicalCriticalitiesMAHBarrier23[Column2],0)),"")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str">
        <f ca="1">IF($T67&lt;=AA$4,INDEX(TypicalCriticalitiesMAHBarrier23[Typical Components],MATCH($T67,TypicalCriticalitiesMAHBarrier23[Column2],0)),"")</f>
        <v/>
      </c>
      <c r="W67" t="str">
        <f ca="1">IF($T67&lt;=AA$4,INDEX(TypicalCriticalitiesMAHBarrier23[Typical Criticality],MATCH($T67,TypicalCriticalitiesMAHBarrier23[Column2],0)),"")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str">
        <f ca="1">IF($T68&lt;=AA$4,INDEX(TypicalCriticalitiesMAHBarrier23[Typical Components],MATCH($T68,TypicalCriticalitiesMAHBarrier23[Column2],0)),"")</f>
        <v/>
      </c>
      <c r="W68" t="str">
        <f ca="1">IF($T68&lt;=AA$4,INDEX(TypicalCriticalitiesMAHBarrier23[Typical Criticality],MATCH($T68,TypicalCriticalitiesMAHBarrier23[Column2],0)),"")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str">
        <f ca="1">IF($T69&lt;=AA$4,INDEX(TypicalCriticalitiesMAHBarrier23[Typical Components],MATCH($T69,TypicalCriticalitiesMAHBarrier23[Column2],0)),"")</f>
        <v/>
      </c>
      <c r="W69" t="str">
        <f ca="1">IF($T69&lt;=AA$4,INDEX(TypicalCriticalitiesMAHBarrier23[Typical Criticality],MATCH($T69,TypicalCriticalitiesMAHBarrier23[Column2],0)),"")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str">
        <f ca="1">IF($T70&lt;=AA$4,INDEX(TypicalCriticalitiesMAHBarrier23[Typical Components],MATCH($T70,TypicalCriticalitiesMAHBarrier23[Column2],0)),"")</f>
        <v/>
      </c>
      <c r="W70" t="str">
        <f ca="1">IF($T70&lt;=AA$4,INDEX(TypicalCriticalitiesMAHBarrier23[Typical Criticality],MATCH($T70,TypicalCriticalitiesMAHBarrier23[Column2],0)),"")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str">
        <f ca="1">IF($T71&lt;=AA$4,INDEX(TypicalCriticalitiesMAHBarrier23[Typical Components],MATCH($T71,TypicalCriticalitiesMAHBarrier23[Column2],0)),"")</f>
        <v/>
      </c>
      <c r="W71" t="str">
        <f ca="1">IF($T71&lt;=AA$4,INDEX(TypicalCriticalitiesMAHBarrier23[Typical Criticality],MATCH($T71,TypicalCriticalitiesMAHBarrier23[Column2],0)),"")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str">
        <f ca="1">IF($T72&lt;=AA$4,INDEX(TypicalCriticalitiesMAHBarrier23[Typical Components],MATCH($T72,TypicalCriticalitiesMAHBarrier23[Column2],0)),"")</f>
        <v/>
      </c>
      <c r="W72" t="str">
        <f ca="1">IF($T72&lt;=AA$4,INDEX(TypicalCriticalitiesMAHBarrier23[Typical Criticality],MATCH($T72,TypicalCriticalitiesMAHBarrier23[Column2],0)),"")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str">
        <f ca="1">IF($T73&lt;=AA$4,INDEX(TypicalCriticalitiesMAHBarrier23[Typical Components],MATCH($T73,TypicalCriticalitiesMAHBarrier23[Column2],0)),"")</f>
        <v/>
      </c>
      <c r="W73" t="str">
        <f ca="1">IF($T73&lt;=AA$4,INDEX(TypicalCriticalitiesMAHBarrier23[Typical Criticality],MATCH($T73,TypicalCriticalitiesMAHBarrier23[Column2],0)),"")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str">
        <f ca="1">IF($T74&lt;=AA$4,INDEX(TypicalCriticalitiesMAHBarrier23[Typical Components],MATCH($T74,TypicalCriticalitiesMAHBarrier23[Column2],0)),"")</f>
        <v/>
      </c>
      <c r="W74" t="str">
        <f ca="1">IF($T74&lt;=AA$4,INDEX(TypicalCriticalitiesMAHBarrier23[Typical Criticality],MATCH($T74,TypicalCriticalitiesMAHBarrier23[Column2],0)),"")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str">
        <f ca="1">IF($T75&lt;=AA$4,INDEX(TypicalCriticalitiesMAHBarrier23[Typical Components],MATCH($T75,TypicalCriticalitiesMAHBarrier23[Column2],0)),"")</f>
        <v/>
      </c>
      <c r="W75" t="str">
        <f ca="1">IF($T75&lt;=AA$4,INDEX(TypicalCriticalitiesMAHBarrier23[Typical Criticality],MATCH($T75,TypicalCriticalitiesMAHBarrier23[Column2],0)),"")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str">
        <f ca="1">IF($T76&lt;=AA$4,INDEX(TypicalCriticalitiesMAHBarrier23[Typical Components],MATCH($T76,TypicalCriticalitiesMAHBarrier23[Column2],0)),"")</f>
        <v/>
      </c>
      <c r="W76" t="str">
        <f ca="1">IF($T76&lt;=AA$4,INDEX(TypicalCriticalitiesMAHBarrier23[Typical Criticality],MATCH($T76,TypicalCriticalitiesMAHBarrier23[Column2],0)),"")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str">
        <f ca="1">IF($T77&lt;=AA$4,INDEX(TypicalCriticalitiesMAHBarrier23[Typical Components],MATCH($T77,TypicalCriticalitiesMAHBarrier23[Column2],0)),"")</f>
        <v/>
      </c>
      <c r="W77" t="str">
        <f ca="1">IF($T77&lt;=AA$4,INDEX(TypicalCriticalitiesMAHBarrier23[Typical Criticality],MATCH($T77,TypicalCriticalitiesMAHBarrier23[Column2],0)),"")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str">
        <f ca="1">IF($T78&lt;=AA$4,INDEX(TypicalCriticalitiesMAHBarrier23[Typical Components],MATCH($T78,TypicalCriticalitiesMAHBarrier23[Column2],0)),"")</f>
        <v/>
      </c>
      <c r="W78" t="str">
        <f ca="1">IF($T78&lt;=AA$4,INDEX(TypicalCriticalitiesMAHBarrier23[Typical Criticality],MATCH($T78,TypicalCriticalitiesMAHBarrier23[Column2],0)),"")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str">
        <f ca="1">IF($T79&lt;=AA$4,INDEX(TypicalCriticalitiesMAHBarrier23[Typical Components],MATCH($T79,TypicalCriticalitiesMAHBarrier23[Column2],0)),"")</f>
        <v/>
      </c>
      <c r="W79" t="str">
        <f ca="1">IF($T79&lt;=AA$4,INDEX(TypicalCriticalitiesMAHBarrier23[Typical Criticality],MATCH($T79,TypicalCriticalitiesMAHBarrier23[Column2],0)),"")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str">
        <f ca="1">IF($T80&lt;=AA$4,INDEX(TypicalCriticalitiesMAHBarrier23[Typical Components],MATCH($T80,TypicalCriticalitiesMAHBarrier23[Column2],0)),"")</f>
        <v/>
      </c>
      <c r="W80" t="str">
        <f ca="1">IF($T80&lt;=AA$4,INDEX(TypicalCriticalitiesMAHBarrier23[Typical Criticality],MATCH($T80,TypicalCriticalitiesMAHBarrier23[Column2],0)),"")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str">
        <f ca="1">IF($T81&lt;=AA$4,INDEX(TypicalCriticalitiesMAHBarrier23[Typical Components],MATCH($T81,TypicalCriticalitiesMAHBarrier23[Column2],0)),"")</f>
        <v/>
      </c>
      <c r="W81" t="str">
        <f ca="1">IF($T81&lt;=AA$4,INDEX(TypicalCriticalitiesMAHBarrier23[Typical Criticality],MATCH($T81,TypicalCriticalitiesMAHBarrier23[Column2],0)),"")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str">
        <f ca="1">IF($T82&lt;=AA$4,INDEX(TypicalCriticalitiesMAHBarrier23[Typical Components],MATCH($T82,TypicalCriticalitiesMAHBarrier23[Column2],0)),"")</f>
        <v/>
      </c>
      <c r="W82" t="str">
        <f ca="1">IF($T82&lt;=AA$4,INDEX(TypicalCriticalitiesMAHBarrier23[Typical Criticality],MATCH($T82,TypicalCriticalitiesMAHBarrier23[Column2],0)),"")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str">
        <f ca="1">IF($T83&lt;=AA$4,INDEX(TypicalCriticalitiesMAHBarrier23[Typical Components],MATCH($T83,TypicalCriticalitiesMAHBarrier23[Column2],0)),"")</f>
        <v/>
      </c>
      <c r="W83" t="str">
        <f ca="1">IF($T83&lt;=AA$4,INDEX(TypicalCriticalitiesMAHBarrier23[Typical Criticality],MATCH($T83,TypicalCriticalitiesMAHBarrier23[Column2],0)),"")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str">
        <f ca="1">IF($T84&lt;=AA$4,INDEX(TypicalCriticalitiesMAHBarrier23[Typical Components],MATCH($T84,TypicalCriticalitiesMAHBarrier23[Column2],0)),"")</f>
        <v/>
      </c>
      <c r="W84" t="str">
        <f ca="1">IF($T84&lt;=AA$4,INDEX(TypicalCriticalitiesMAHBarrier23[Typical Criticality],MATCH($T84,TypicalCriticalitiesMAHBarrier23[Column2],0)),"")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str">
        <f ca="1">IF($T85&lt;=AA$4,INDEX(TypicalCriticalitiesMAHBarrier23[Typical Components],MATCH($T85,TypicalCriticalitiesMAHBarrier23[Column2],0)),"")</f>
        <v/>
      </c>
      <c r="W85" t="str">
        <f ca="1">IF($T85&lt;=AA$4,INDEX(TypicalCriticalitiesMAHBarrier23[Typical Criticality],MATCH($T85,TypicalCriticalitiesMAHBarrier23[Column2],0)),"")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str">
        <f ca="1">IF($T86&lt;=AA$4,INDEX(TypicalCriticalitiesMAHBarrier23[Typical Components],MATCH($T86,TypicalCriticalitiesMAHBarrier23[Column2],0)),"")</f>
        <v/>
      </c>
      <c r="W86" t="str">
        <f ca="1">IF($T86&lt;=AA$4,INDEX(TypicalCriticalitiesMAHBarrier23[Typical Criticality],MATCH($T86,TypicalCriticalitiesMAHBarrier23[Column2],0)),"")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str">
        <f ca="1">IF($T87&lt;=AA$4,INDEX(TypicalCriticalitiesMAHBarrier23[Typical Components],MATCH($T87,TypicalCriticalitiesMAHBarrier23[Column2],0)),"")</f>
        <v/>
      </c>
      <c r="W87" t="str">
        <f ca="1">IF($T87&lt;=AA$4,INDEX(TypicalCriticalitiesMAHBarrier23[Typical Criticality],MATCH($T87,TypicalCriticalitiesMAHBarrier23[Column2],0)),"")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str">
        <f ca="1">IF($T88&lt;=AA$4,INDEX(TypicalCriticalitiesMAHBarrier23[Typical Components],MATCH($T88,TypicalCriticalitiesMAHBarrier23[Column2],0)),"")</f>
        <v/>
      </c>
      <c r="W88" t="str">
        <f ca="1">IF($T88&lt;=AA$4,INDEX(TypicalCriticalitiesMAHBarrier23[Typical Criticality],MATCH($T88,TypicalCriticalitiesMAHBarrier23[Column2],0)),"")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str">
        <f ca="1">IF($T89&lt;=AA$4,INDEX(TypicalCriticalitiesMAHBarrier23[Typical Components],MATCH($T89,TypicalCriticalitiesMAHBarrier23[Column2],0)),"")</f>
        <v/>
      </c>
      <c r="W89" t="str">
        <f ca="1">IF($T89&lt;=AA$4,INDEX(TypicalCriticalitiesMAHBarrier23[Typical Criticality],MATCH($T89,TypicalCriticalitiesMAHBarrier23[Column2],0)),"")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str">
        <f ca="1">IF($T90&lt;=AA$4,INDEX(TypicalCriticalitiesMAHBarrier23[Typical Components],MATCH($T90,TypicalCriticalitiesMAHBarrier23[Column2],0)),"")</f>
        <v/>
      </c>
      <c r="W90" t="str">
        <f ca="1">IF($T90&lt;=AA$4,INDEX(TypicalCriticalitiesMAHBarrier23[Typical Criticality],MATCH($T90,TypicalCriticalitiesMAHBarrier23[Column2],0)),"")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str">
        <f ca="1">IF($T91&lt;=AA$4,INDEX(TypicalCriticalitiesMAHBarrier23[Typical Components],MATCH($T91,TypicalCriticalitiesMAHBarrier23[Column2],0)),"")</f>
        <v/>
      </c>
      <c r="W91" t="str">
        <f ca="1">IF($T91&lt;=AA$4,INDEX(TypicalCriticalitiesMAHBarrier23[Typical Criticality],MATCH($T91,TypicalCriticalitiesMAHBarrier23[Column2],0)),"")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str">
        <f ca="1">IF($T92&lt;=AA$4,INDEX(TypicalCriticalitiesMAHBarrier23[Typical Components],MATCH($T92,TypicalCriticalitiesMAHBarrier23[Column2],0)),"")</f>
        <v/>
      </c>
      <c r="W92" t="str">
        <f ca="1">IF($T92&lt;=AA$4,INDEX(TypicalCriticalitiesMAHBarrier23[Typical Criticality],MATCH($T92,TypicalCriticalitiesMAHBarrier23[Column2],0)),"")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str">
        <f ca="1">IF($T93&lt;=AA$4,INDEX(TypicalCriticalitiesMAHBarrier23[Typical Components],MATCH($T93,TypicalCriticalitiesMAHBarrier23[Column2],0)),"")</f>
        <v/>
      </c>
      <c r="W93" t="str">
        <f ca="1">IF($T93&lt;=AA$4,INDEX(TypicalCriticalitiesMAHBarrier23[Typical Criticality],MATCH($T93,TypicalCriticalitiesMAHBarrier23[Column2],0)),"")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str">
        <f ca="1">IF($T94&lt;=AA$4,INDEX(TypicalCriticalitiesMAHBarrier23[Typical Components],MATCH($T94,TypicalCriticalitiesMAHBarrier23[Column2],0)),"")</f>
        <v/>
      </c>
      <c r="W94" t="str">
        <f ca="1">IF($T94&lt;=AA$4,INDEX(TypicalCriticalitiesMAHBarrier23[Typical Criticality],MATCH($T94,TypicalCriticalitiesMAHBarrier23[Column2],0)),"")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str">
        <f ca="1">IF($T95&lt;=AA$4,INDEX(TypicalCriticalitiesMAHBarrier23[Typical Components],MATCH($T95,TypicalCriticalitiesMAHBarrier23[Column2],0)),"")</f>
        <v/>
      </c>
      <c r="W95" t="str">
        <f ca="1">IF($T95&lt;=AA$4,INDEX(TypicalCriticalitiesMAHBarrier23[Typical Criticality],MATCH($T95,TypicalCriticalitiesMAHBarrier23[Column2],0)),"")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str">
        <f ca="1">IF($T96&lt;=AA$4,INDEX(TypicalCriticalitiesMAHBarrier23[Typical Components],MATCH($T96,TypicalCriticalitiesMAHBarrier23[Column2],0)),"")</f>
        <v/>
      </c>
      <c r="W96" t="str">
        <f ca="1">IF($T96&lt;=AA$4,INDEX(TypicalCriticalitiesMAHBarrier23[Typical Criticality],MATCH($T96,TypicalCriticalitiesMAHBarrier23[Column2],0)),"")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str">
        <f ca="1">IF($T97&lt;=AA$4,INDEX(TypicalCriticalitiesMAHBarrier23[Typical Components],MATCH($T97,TypicalCriticalitiesMAHBarrier23[Column2],0)),"")</f>
        <v/>
      </c>
      <c r="W97" t="str">
        <f ca="1">IF($T97&lt;=AA$4,INDEX(TypicalCriticalitiesMAHBarrier23[Typical Criticality],MATCH($T97,TypicalCriticalitiesMAHBarrier23[Column2],0)),"")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str">
        <f ca="1">IF($T98&lt;=AA$4,INDEX(TypicalCriticalitiesMAHBarrier23[Typical Components],MATCH($T98,TypicalCriticalitiesMAHBarrier23[Column2],0)),"")</f>
        <v/>
      </c>
      <c r="W98" t="str">
        <f ca="1">IF($T98&lt;=AA$4,INDEX(TypicalCriticalitiesMAHBarrier23[Typical Criticality],MATCH($T98,TypicalCriticalitiesMAHBarrier23[Column2],0)),"")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str">
        <f ca="1">IF($T99&lt;=AA$4,INDEX(TypicalCriticalitiesMAHBarrier23[Typical Components],MATCH($T99,TypicalCriticalitiesMAHBarrier23[Column2],0)),"")</f>
        <v/>
      </c>
      <c r="W99" t="str">
        <f ca="1">IF($T99&lt;=AA$4,INDEX(TypicalCriticalitiesMAHBarrier23[Typical Criticality],MATCH($T99,TypicalCriticalitiesMAHBarrier23[Column2],0)),"")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str">
        <f ca="1">IF($T100&lt;=AA$4,INDEX(TypicalCriticalitiesMAHBarrier23[Typical Components],MATCH($T100,TypicalCriticalitiesMAHBarrier23[Column2],0)),"")</f>
        <v/>
      </c>
      <c r="W100" t="str">
        <f ca="1">IF($T100&lt;=AA$4,INDEX(TypicalCriticalitiesMAHBarrier23[Typical Criticality],MATCH($T100,TypicalCriticalitiesMAHBarrier23[Column2],0)),"")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str">
        <f ca="1">IF($T101&lt;=AA$4,INDEX(TypicalCriticalitiesMAHBarrier23[Typical Components],MATCH($T101,TypicalCriticalitiesMAHBarrier23[Column2],0)),"")</f>
        <v/>
      </c>
      <c r="W101" t="str">
        <f ca="1">IF($T101&lt;=AA$4,INDEX(TypicalCriticalitiesMAHBarrier23[Typical Criticality],MATCH($T101,TypicalCriticalitiesMAHBarrier23[Column2],0)),"")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str">
        <f ca="1">IF($T102&lt;=AA$4,INDEX(TypicalCriticalitiesMAHBarrier23[Typical Components],MATCH($T102,TypicalCriticalitiesMAHBarrier23[Column2],0)),"")</f>
        <v/>
      </c>
      <c r="W102" t="str">
        <f ca="1">IF($T102&lt;=AA$4,INDEX(TypicalCriticalitiesMAHBarrier23[Typical Criticality],MATCH($T102,TypicalCriticalitiesMAHBarrier23[Column2],0)),"")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str">
        <f ca="1">IF($T103&lt;=AA$4,INDEX(TypicalCriticalitiesMAHBarrier23[Typical Components],MATCH($T103,TypicalCriticalitiesMAHBarrier23[Column2],0)),"")</f>
        <v/>
      </c>
      <c r="W103" t="str">
        <f ca="1">IF($T103&lt;=AA$4,INDEX(TypicalCriticalitiesMAHBarrier23[Typical Criticality],MATCH($T103,TypicalCriticalitiesMAHBarrier23[Column2],0)),"")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str">
        <f ca="1">IF($T104&lt;=AA$4,INDEX(TypicalCriticalitiesMAHBarrier23[Typical Components],MATCH($T104,TypicalCriticalitiesMAHBarrier23[Column2],0)),"")</f>
        <v/>
      </c>
      <c r="W104" t="str">
        <f ca="1">IF($T104&lt;=AA$4,INDEX(TypicalCriticalitiesMAHBarrier23[Typical Criticality],MATCH($T104,TypicalCriticalitiesMAHBarrier23[Column2],0)),"")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str">
        <f ca="1">IF($T105&lt;=AA$4,INDEX(TypicalCriticalitiesMAHBarrier23[Typical Components],MATCH($T105,TypicalCriticalitiesMAHBarrier23[Column2],0)),"")</f>
        <v/>
      </c>
      <c r="W105" t="str">
        <f ca="1">IF($T105&lt;=AA$4,INDEX(TypicalCriticalitiesMAHBarrier23[Typical Criticality],MATCH($T105,TypicalCriticalitiesMAHBarrier23[Column2],0)),"")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str">
        <f ca="1">IF($T106&lt;=AA$4,INDEX(TypicalCriticalitiesMAHBarrier23[Typical Components],MATCH($T106,TypicalCriticalitiesMAHBarrier23[Column2],0)),"")</f>
        <v/>
      </c>
      <c r="W106" t="str">
        <f ca="1">IF($T106&lt;=AA$4,INDEX(TypicalCriticalitiesMAHBarrier23[Typical Criticality],MATCH($T106,TypicalCriticalitiesMAHBarrier23[Column2],0)),"")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str">
        <f ca="1">IF($T107&lt;=AA$4,INDEX(TypicalCriticalitiesMAHBarrier23[Typical Components],MATCH($T107,TypicalCriticalitiesMAHBarrier23[Column2],0)),"")</f>
        <v/>
      </c>
      <c r="W107" t="str">
        <f ca="1">IF($T107&lt;=AA$4,INDEX(TypicalCriticalitiesMAHBarrier23[Typical Criticality],MATCH($T107,TypicalCriticalitiesMAHBarrier23[Column2],0)),"")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str">
        <f ca="1">IF($T108&lt;=AA$4,INDEX(TypicalCriticalitiesMAHBarrier23[Typical Components],MATCH($T108,TypicalCriticalitiesMAHBarrier23[Column2],0)),"")</f>
        <v/>
      </c>
      <c r="W108" t="str">
        <f ca="1">IF($T108&lt;=AA$4,INDEX(TypicalCriticalitiesMAHBarrier23[Typical Criticality],MATCH($T108,TypicalCriticalitiesMAHBarrier23[Column2],0)),"")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str">
        <f ca="1">IF($T109&lt;=AA$4,INDEX(TypicalCriticalitiesMAHBarrier23[Typical Components],MATCH($T109,TypicalCriticalitiesMAHBarrier23[Column2],0)),"")</f>
        <v/>
      </c>
      <c r="W109" t="str">
        <f ca="1">IF($T109&lt;=AA$4,INDEX(TypicalCriticalitiesMAHBarrier23[Typical Criticality],MATCH($T109,TypicalCriticalitiesMAHBarrier23[Column2],0)),"")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str">
        <f ca="1">IF($T110&lt;=AA$4,INDEX(TypicalCriticalitiesMAHBarrier23[Typical Components],MATCH($T110,TypicalCriticalitiesMAHBarrier23[Column2],0)),"")</f>
        <v/>
      </c>
      <c r="W110" t="str">
        <f ca="1">IF($T110&lt;=AA$4,INDEX(TypicalCriticalitiesMAHBarrier23[Typical Criticality],MATCH($T110,TypicalCriticalitiesMAHBarrier23[Column2],0)),"")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str">
        <f ca="1">IF($T111&lt;=AA$4,INDEX(TypicalCriticalitiesMAHBarrier23[Typical Components],MATCH($T111,TypicalCriticalitiesMAHBarrier23[Column2],0)),"")</f>
        <v/>
      </c>
      <c r="W111" t="str">
        <f ca="1">IF($T111&lt;=AA$4,INDEX(TypicalCriticalitiesMAHBarrier23[Typical Criticality],MATCH($T111,TypicalCriticalitiesMAHBarrier23[Column2],0)),"")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str">
        <f ca="1">IF($T112&lt;=AA$4,INDEX(TypicalCriticalitiesMAHBarrier23[Typical Components],MATCH($T112,TypicalCriticalitiesMAHBarrier23[Column2],0)),"")</f>
        <v/>
      </c>
      <c r="W112" t="str">
        <f ca="1">IF($T112&lt;=AA$4,INDEX(TypicalCriticalitiesMAHBarrier23[Typical Criticality],MATCH($T112,TypicalCriticalitiesMAHBarrier23[Column2],0)),"")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str">
        <f ca="1">IF($T113&lt;=AA$4,INDEX(TypicalCriticalitiesMAHBarrier23[Typical Components],MATCH($T113,TypicalCriticalitiesMAHBarrier23[Column2],0)),"")</f>
        <v/>
      </c>
      <c r="W113" t="str">
        <f ca="1">IF($T113&lt;=AA$4,INDEX(TypicalCriticalitiesMAHBarrier23[Typical Criticality],MATCH($T113,TypicalCriticalitiesMAHBarrier23[Column2],0)),"")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str">
        <f ca="1">IF($T114&lt;=AA$4,INDEX(TypicalCriticalitiesMAHBarrier23[Typical Components],MATCH($T114,TypicalCriticalitiesMAHBarrier23[Column2],0)),"")</f>
        <v/>
      </c>
      <c r="W114" t="str">
        <f ca="1">IF($T114&lt;=AA$4,INDEX(TypicalCriticalitiesMAHBarrier23[Typical Criticality],MATCH($T114,TypicalCriticalitiesMAHBarrier23[Column2],0)),"")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str">
        <f ca="1">IF($T115&lt;=AA$4,INDEX(TypicalCriticalitiesMAHBarrier23[Typical Components],MATCH($T115,TypicalCriticalitiesMAHBarrier23[Column2],0)),"")</f>
        <v/>
      </c>
      <c r="W115" t="str">
        <f ca="1">IF($T115&lt;=AA$4,INDEX(TypicalCriticalitiesMAHBarrier23[Typical Criticality],MATCH($T115,TypicalCriticalitiesMAHBarrier23[Column2],0)),"")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str">
        <f ca="1">IF($T116&lt;=AA$4,INDEX(TypicalCriticalitiesMAHBarrier23[Typical Components],MATCH($T116,TypicalCriticalitiesMAHBarrier23[Column2],0)),"")</f>
        <v/>
      </c>
      <c r="W116" t="str">
        <f ca="1">IF($T116&lt;=AA$4,INDEX(TypicalCriticalitiesMAHBarrier23[Typical Criticality],MATCH($T116,TypicalCriticalitiesMAHBarrier23[Column2],0)),"")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str">
        <f ca="1">IF($T117&lt;=AA$4,INDEX(TypicalCriticalitiesMAHBarrier23[Typical Components],MATCH($T117,TypicalCriticalitiesMAHBarrier23[Column2],0)),"")</f>
        <v/>
      </c>
      <c r="W117" t="str">
        <f ca="1">IF($T117&lt;=AA$4,INDEX(TypicalCriticalitiesMAHBarrier23[Typical Criticality],MATCH($T117,TypicalCriticalitiesMAHBarrier23[Column2],0)),"")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str">
        <f ca="1">IF($T118&lt;=AA$4,INDEX(TypicalCriticalitiesMAHBarrier23[Typical Components],MATCH($T118,TypicalCriticalitiesMAHBarrier23[Column2],0)),"")</f>
        <v/>
      </c>
      <c r="W118" t="str">
        <f ca="1">IF($T118&lt;=AA$4,INDEX(TypicalCriticalitiesMAHBarrier23[Typical Criticality],MATCH($T118,TypicalCriticalitiesMAHBarrier23[Column2],0)),"")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str">
        <f ca="1">IF($T119&lt;=AA$4,INDEX(TypicalCriticalitiesMAHBarrier23[Typical Components],MATCH($T119,TypicalCriticalitiesMAHBarrier23[Column2],0)),"")</f>
        <v/>
      </c>
      <c r="W119" t="str">
        <f ca="1">IF($T119&lt;=AA$4,INDEX(TypicalCriticalitiesMAHBarrier23[Typical Criticality],MATCH($T119,TypicalCriticalitiesMAHBarrier23[Column2],0)),"")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str">
        <f ca="1">IF($T120&lt;=AA$4,INDEX(TypicalCriticalitiesMAHBarrier23[Typical Components],MATCH($T120,TypicalCriticalitiesMAHBarrier23[Column2],0)),"")</f>
        <v/>
      </c>
      <c r="W120" t="str">
        <f ca="1">IF($T120&lt;=AA$4,INDEX(TypicalCriticalitiesMAHBarrier23[Typical Criticality],MATCH($T120,TypicalCriticalitiesMAHBarrier23[Column2],0)),"")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str">
        <f ca="1">IF($T121&lt;=AA$4,INDEX(TypicalCriticalitiesMAHBarrier23[Typical Components],MATCH($T121,TypicalCriticalitiesMAHBarrier23[Column2],0)),"")</f>
        <v/>
      </c>
      <c r="W121" t="str">
        <f ca="1">IF($T121&lt;=AA$4,INDEX(TypicalCriticalitiesMAHBarrier23[Typical Criticality],MATCH($T121,TypicalCriticalitiesMAHBarrier23[Column2],0)),"")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str">
        <f ca="1">IF($T122&lt;=AA$4,INDEX(TypicalCriticalitiesMAHBarrier23[Typical Components],MATCH($T122,TypicalCriticalitiesMAHBarrier23[Column2],0)),"")</f>
        <v/>
      </c>
      <c r="W122" t="str">
        <f ca="1">IF($T122&lt;=AA$4,INDEX(TypicalCriticalitiesMAHBarrier23[Typical Criticality],MATCH($T122,TypicalCriticalitiesMAHBarrier23[Column2],0)),"")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str">
        <f ca="1">IF($T123&lt;=AA$4,INDEX(TypicalCriticalitiesMAHBarrier23[Typical Components],MATCH($T123,TypicalCriticalitiesMAHBarrier23[Column2],0)),"")</f>
        <v/>
      </c>
      <c r="W123" t="str">
        <f ca="1">IF($T123&lt;=AA$4,INDEX(TypicalCriticalitiesMAHBarrier23[Typical Criticality],MATCH($T123,TypicalCriticalitiesMAHBarrier23[Column2],0)),"")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str">
        <f ca="1">IF($T124&lt;=AA$4,INDEX(TypicalCriticalitiesMAHBarrier23[Typical Components],MATCH($T124,TypicalCriticalitiesMAHBarrier23[Column2],0)),"")</f>
        <v/>
      </c>
      <c r="W124" t="str">
        <f ca="1">IF($T124&lt;=AA$4,INDEX(TypicalCriticalitiesMAHBarrier23[Typical Criticality],MATCH($T124,TypicalCriticalitiesMAHBarrier23[Column2],0)),"")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str">
        <f ca="1">IF($T125&lt;=AA$4,INDEX(TypicalCriticalitiesMAHBarrier23[Typical Components],MATCH($T125,TypicalCriticalitiesMAHBarrier23[Column2],0)),"")</f>
        <v/>
      </c>
      <c r="W125" t="str">
        <f ca="1">IF($T125&lt;=AA$4,INDEX(TypicalCriticalitiesMAHBarrier23[Typical Criticality],MATCH($T125,TypicalCriticalitiesMAHBarrier23[Column2],0)),"")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str">
        <f ca="1">IF($T126&lt;=AA$4,INDEX(TypicalCriticalitiesMAHBarrier23[Typical Components],MATCH($T126,TypicalCriticalitiesMAHBarrier23[Column2],0)),"")</f>
        <v/>
      </c>
      <c r="W126" t="str">
        <f ca="1">IF($T126&lt;=AA$4,INDEX(TypicalCriticalitiesMAHBarrier23[Typical Criticality],MATCH($T126,TypicalCriticalitiesMAHBarrier23[Column2],0)),"")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str">
        <f ca="1">IF($T127&lt;=AA$4,INDEX(TypicalCriticalitiesMAHBarrier23[Typical Components],MATCH($T127,TypicalCriticalitiesMAHBarrier23[Column2],0)),"")</f>
        <v/>
      </c>
      <c r="W127" t="str">
        <f ca="1">IF($T127&lt;=AA$4,INDEX(TypicalCriticalitiesMAHBarrier23[Typical Criticality],MATCH($T127,TypicalCriticalitiesMAHBarrier23[Column2],0)),"")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str">
        <f ca="1">IF($T128&lt;=AA$4,INDEX(TypicalCriticalitiesMAHBarrier23[Typical Components],MATCH($T128,TypicalCriticalitiesMAHBarrier23[Column2],0)),"")</f>
        <v/>
      </c>
      <c r="W128" t="str">
        <f ca="1">IF($T128&lt;=AA$4,INDEX(TypicalCriticalitiesMAHBarrier23[Typical Criticality],MATCH($T128,TypicalCriticalitiesMAHBarrier23[Column2],0)),"")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str">
        <f ca="1">IF($T129&lt;=AA$4,INDEX(TypicalCriticalitiesMAHBarrier23[Typical Components],MATCH($T129,TypicalCriticalitiesMAHBarrier23[Column2],0)),"")</f>
        <v/>
      </c>
      <c r="W129" t="str">
        <f ca="1">IF($T129&lt;=AA$4,INDEX(TypicalCriticalitiesMAHBarrier23[Typical Criticality],MATCH($T129,TypicalCriticalitiesMAHBarrier23[Column2],0)),"")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str">
        <f ca="1">IF($T130&lt;=AA$4,INDEX(TypicalCriticalitiesMAHBarrier23[Typical Components],MATCH($T130,TypicalCriticalitiesMAHBarrier23[Column2],0)),"")</f>
        <v/>
      </c>
      <c r="W130" t="str">
        <f ca="1">IF($T130&lt;=AA$4,INDEX(TypicalCriticalitiesMAHBarrier23[Typical Criticality],MATCH($T130,TypicalCriticalitiesMAHBarrier23[Column2],0)),"")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str">
        <f ca="1">IF($T131&lt;=AA$4,INDEX(TypicalCriticalitiesMAHBarrier23[Typical Components],MATCH($T131,TypicalCriticalitiesMAHBarrier23[Column2],0)),"")</f>
        <v/>
      </c>
      <c r="W131" t="str">
        <f ca="1">IF($T131&lt;=AA$4,INDEX(TypicalCriticalitiesMAHBarrier23[Typical Criticality],MATCH($T131,TypicalCriticalitiesMAHBarrier23[Column2],0)),"")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str">
        <f ca="1">IF($T132&lt;=AA$4,INDEX(TypicalCriticalitiesMAHBarrier23[Typical Components],MATCH($T132,TypicalCriticalitiesMAHBarrier23[Column2],0)),"")</f>
        <v/>
      </c>
      <c r="W132" t="str">
        <f ca="1">IF($T132&lt;=AA$4,INDEX(TypicalCriticalitiesMAHBarrier23[Typical Criticality],MATCH($T132,TypicalCriticalitiesMAHBarrier23[Column2],0)),"")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str">
        <f ca="1">IF($T133&lt;=AA$4,INDEX(TypicalCriticalitiesMAHBarrier23[Typical Components],MATCH($T133,TypicalCriticalitiesMAHBarrier23[Column2],0)),"")</f>
        <v/>
      </c>
      <c r="W133" t="str">
        <f ca="1">IF($T133&lt;=AA$4,INDEX(TypicalCriticalitiesMAHBarrier23[Typical Criticality],MATCH($T133,TypicalCriticalitiesMAHBarrier23[Column2],0)),"")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str">
        <f ca="1">IF($T134&lt;=AA$4,INDEX(TypicalCriticalitiesMAHBarrier23[Typical Components],MATCH($T134,TypicalCriticalitiesMAHBarrier23[Column2],0)),"")</f>
        <v/>
      </c>
      <c r="W134" t="str">
        <f ca="1">IF($T134&lt;=AA$4,INDEX(TypicalCriticalitiesMAHBarrier23[Typical Criticality],MATCH($T134,TypicalCriticalitiesMAHBarrier23[Column2],0)),"")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str">
        <f ca="1">IF($T135&lt;=AA$4,INDEX(TypicalCriticalitiesMAHBarrier23[Typical Components],MATCH($T135,TypicalCriticalitiesMAHBarrier23[Column2],0)),"")</f>
        <v/>
      </c>
      <c r="W135" t="str">
        <f ca="1">IF($T135&lt;=AA$4,INDEX(TypicalCriticalitiesMAHBarrier23[Typical Criticality],MATCH($T135,TypicalCriticalitiesMAHBarrier23[Column2],0)),"")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str">
        <f ca="1">IF($T136&lt;=AA$4,INDEX(TypicalCriticalitiesMAHBarrier23[Typical Components],MATCH($T136,TypicalCriticalitiesMAHBarrier23[Column2],0)),"")</f>
        <v/>
      </c>
      <c r="W136" t="str">
        <f ca="1">IF($T136&lt;=AA$4,INDEX(TypicalCriticalitiesMAHBarrier23[Typical Criticality],MATCH($T136,TypicalCriticalitiesMAHBarrier23[Column2],0)),"")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str">
        <f ca="1">IF($T137&lt;=AA$4,INDEX(TypicalCriticalitiesMAHBarrier23[Typical Components],MATCH($T137,TypicalCriticalitiesMAHBarrier23[Column2],0)),"")</f>
        <v/>
      </c>
      <c r="W137" t="str">
        <f ca="1">IF($T137&lt;=AA$4,INDEX(TypicalCriticalitiesMAHBarrier23[Typical Criticality],MATCH($T137,TypicalCriticalitiesMAHBarrier23[Column2],0)),"")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str">
        <f ca="1">IF($T138&lt;=AA$4,INDEX(TypicalCriticalitiesMAHBarrier23[Typical Components],MATCH($T138,TypicalCriticalitiesMAHBarrier23[Column2],0)),"")</f>
        <v/>
      </c>
      <c r="W138" t="str">
        <f ca="1">IF($T138&lt;=AA$4,INDEX(TypicalCriticalitiesMAHBarrier23[Typical Criticality],MATCH($T138,TypicalCriticalitiesMAHBarrier23[Column2],0)),"")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str">
        <f ca="1">IF($T139&lt;=AA$4,INDEX(TypicalCriticalitiesMAHBarrier23[Typical Components],MATCH($T139,TypicalCriticalitiesMAHBarrier23[Column2],0)),"")</f>
        <v/>
      </c>
      <c r="W139" t="str">
        <f ca="1">IF($T139&lt;=AA$4,INDEX(TypicalCriticalitiesMAHBarrier23[Typical Criticality],MATCH($T139,TypicalCriticalitiesMAHBarrier23[Column2],0)),"")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str">
        <f ca="1">IF($T140&lt;=AA$4,INDEX(TypicalCriticalitiesMAHBarrier23[Typical Components],MATCH($T140,TypicalCriticalitiesMAHBarrier23[Column2],0)),"")</f>
        <v/>
      </c>
      <c r="W140" t="str">
        <f ca="1">IF($T140&lt;=AA$4,INDEX(TypicalCriticalitiesMAHBarrier23[Typical Criticality],MATCH($T140,TypicalCriticalitiesMAHBarrier23[Column2],0)),"")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str">
        <f ca="1">IF($T141&lt;=AA$4,INDEX(TypicalCriticalitiesMAHBarrier23[Typical Components],MATCH($T141,TypicalCriticalitiesMAHBarrier23[Column2],0)),"")</f>
        <v/>
      </c>
      <c r="W141" t="str">
        <f ca="1">IF($T141&lt;=AA$4,INDEX(TypicalCriticalitiesMAHBarrier23[Typical Criticality],MATCH($T141,TypicalCriticalitiesMAHBarrier23[Column2],0)),"")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str">
        <f ca="1">IF($T142&lt;=AA$4,INDEX(TypicalCriticalitiesMAHBarrier23[Typical Components],MATCH($T142,TypicalCriticalitiesMAHBarrier23[Column2],0)),"")</f>
        <v/>
      </c>
      <c r="W142" t="str">
        <f ca="1">IF($T142&lt;=AA$4,INDEX(TypicalCriticalitiesMAHBarrier23[Typical Criticality],MATCH($T142,TypicalCriticalitiesMAHBarrier23[Column2],0)),"")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str">
        <f ca="1">IF($T143&lt;=AA$4,INDEX(TypicalCriticalitiesMAHBarrier23[Typical Components],MATCH($T143,TypicalCriticalitiesMAHBarrier23[Column2],0)),"")</f>
        <v/>
      </c>
      <c r="W143" t="str">
        <f ca="1">IF($T143&lt;=AA$4,INDEX(TypicalCriticalitiesMAHBarrier23[Typical Criticality],MATCH($T143,TypicalCriticalitiesMAHBarrier23[Column2],0)),"")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str">
        <f ca="1">IF($T144&lt;=AA$4,INDEX(TypicalCriticalitiesMAHBarrier23[Typical Components],MATCH($T144,TypicalCriticalitiesMAHBarrier23[Column2],0)),"")</f>
        <v/>
      </c>
      <c r="W144" t="str">
        <f ca="1">IF($T144&lt;=AA$4,INDEX(TypicalCriticalitiesMAHBarrier23[Typical Criticality],MATCH($T144,TypicalCriticalitiesMAHBarrier23[Column2],0)),"")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str">
        <f ca="1">IF($T145&lt;=AA$4,INDEX(TypicalCriticalitiesMAHBarrier23[Typical Components],MATCH($T145,TypicalCriticalitiesMAHBarrier23[Column2],0)),"")</f>
        <v/>
      </c>
      <c r="W145" t="str">
        <f ca="1">IF($T145&lt;=AA$4,INDEX(TypicalCriticalitiesMAHBarrier23[Typical Criticality],MATCH($T145,TypicalCriticalitiesMAHBarrier23[Column2],0)),"")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str">
        <f ca="1">IF($T146&lt;=AA$4,INDEX(TypicalCriticalitiesMAHBarrier23[Typical Components],MATCH($T146,TypicalCriticalitiesMAHBarrier23[Column2],0)),"")</f>
        <v/>
      </c>
      <c r="W146" t="str">
        <f ca="1">IF($T146&lt;=AA$4,INDEX(TypicalCriticalitiesMAHBarrier23[Typical Criticality],MATCH($T146,TypicalCriticalitiesMAHBarrier23[Column2],0)),"")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str">
        <f ca="1">IF($T147&lt;=AA$4,INDEX(TypicalCriticalitiesMAHBarrier23[Typical Components],MATCH($T147,TypicalCriticalitiesMAHBarrier23[Column2],0)),"")</f>
        <v/>
      </c>
      <c r="W147" t="str">
        <f ca="1">IF($T147&lt;=AA$4,INDEX(TypicalCriticalitiesMAHBarrier23[Typical Criticality],MATCH($T147,TypicalCriticalitiesMAHBarrier23[Column2],0)),"")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str">
        <f ca="1">IF($T148&lt;=AA$4,INDEX(TypicalCriticalitiesMAHBarrier23[Typical Components],MATCH($T148,TypicalCriticalitiesMAHBarrier23[Column2],0)),"")</f>
        <v/>
      </c>
      <c r="W148" t="str">
        <f ca="1">IF($T148&lt;=AA$4,INDEX(TypicalCriticalitiesMAHBarrier23[Typical Criticality],MATCH($T148,TypicalCriticalitiesMAHBarrier23[Column2],0)),"")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str">
        <f ca="1">IF($T149&lt;=AA$4,INDEX(TypicalCriticalitiesMAHBarrier23[Typical Components],MATCH($T149,TypicalCriticalitiesMAHBarrier23[Column2],0)),"")</f>
        <v/>
      </c>
      <c r="W149" t="str">
        <f ca="1">IF($T149&lt;=AA$4,INDEX(TypicalCriticalitiesMAHBarrier23[Typical Criticality],MATCH($T149,TypicalCriticalitiesMAHBarrier23[Column2],0)),"")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str">
        <f ca="1">IF($T150&lt;=AA$4,INDEX(TypicalCriticalitiesMAHBarrier23[Typical Components],MATCH($T150,TypicalCriticalitiesMAHBarrier23[Column2],0)),"")</f>
        <v/>
      </c>
      <c r="W150" t="str">
        <f ca="1">IF($T150&lt;=AA$4,INDEX(TypicalCriticalitiesMAHBarrier23[Typical Criticality],MATCH($T150,TypicalCriticalitiesMAHBarrier23[Column2],0)),"")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str">
        <f ca="1">IF($T151&lt;=AA$4,INDEX(TypicalCriticalitiesMAHBarrier23[Typical Components],MATCH($T151,TypicalCriticalitiesMAHBarrier23[Column2],0)),"")</f>
        <v/>
      </c>
      <c r="W151" t="str">
        <f ca="1">IF($T151&lt;=AA$4,INDEX(TypicalCriticalitiesMAHBarrier23[Typical Criticality],MATCH($T151,TypicalCriticalitiesMAHBarrier23[Column2],0)),"")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str">
        <f ca="1">IF($T152&lt;=AA$4,INDEX(TypicalCriticalitiesMAHBarrier23[Typical Components],MATCH($T152,TypicalCriticalitiesMAHBarrier23[Column2],0)),"")</f>
        <v/>
      </c>
      <c r="W152" t="str">
        <f ca="1">IF($T152&lt;=AA$4,INDEX(TypicalCriticalitiesMAHBarrier23[Typical Criticality],MATCH($T152,TypicalCriticalitiesMAHBarrier23[Column2],0)),"")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str">
        <f ca="1">IF($T153&lt;=AA$4,INDEX(TypicalCriticalitiesMAHBarrier23[Typical Components],MATCH($T153,TypicalCriticalitiesMAHBarrier23[Column2],0)),"")</f>
        <v/>
      </c>
      <c r="W153" t="str">
        <f ca="1">IF($T153&lt;=AA$4,INDEX(TypicalCriticalitiesMAHBarrier23[Typical Criticality],MATCH($T153,TypicalCriticalitiesMAHBarrier23[Column2],0)),"")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str">
        <f ca="1">IF($T154&lt;=AA$4,INDEX(TypicalCriticalitiesMAHBarrier23[Typical Components],MATCH($T154,TypicalCriticalitiesMAHBarrier23[Column2],0)),"")</f>
        <v/>
      </c>
      <c r="W154" t="str">
        <f ca="1">IF($T154&lt;=AA$4,INDEX(TypicalCriticalitiesMAHBarrier23[Typical Criticality],MATCH($T154,TypicalCriticalitiesMAHBarrier23[Column2],0)),"")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str">
        <f ca="1">IF($T155&lt;=AA$4,INDEX(TypicalCriticalitiesMAHBarrier23[Typical Components],MATCH($T155,TypicalCriticalitiesMAHBarrier23[Column2],0)),"")</f>
        <v/>
      </c>
      <c r="W155" t="str">
        <f ca="1">IF($T155&lt;=AA$4,INDEX(TypicalCriticalitiesMAHBarrier23[Typical Criticality],MATCH($T155,TypicalCriticalitiesMAHBarrier23[Column2],0)),"")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str">
        <f ca="1">IF($T156&lt;=AA$4,INDEX(TypicalCriticalitiesMAHBarrier23[Typical Components],MATCH($T156,TypicalCriticalitiesMAHBarrier23[Column2],0)),"")</f>
        <v/>
      </c>
      <c r="W156" t="str">
        <f ca="1">IF($T156&lt;=AA$4,INDEX(TypicalCriticalitiesMAHBarrier23[Typical Criticality],MATCH($T156,TypicalCriticalitiesMAHBarrier23[Column2],0)),"")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str">
        <f ca="1">IF($T157&lt;=AA$4,INDEX(TypicalCriticalitiesMAHBarrier23[Typical Components],MATCH($T157,TypicalCriticalitiesMAHBarrier23[Column2],0)),"")</f>
        <v/>
      </c>
      <c r="W157" t="str">
        <f ca="1">IF($T157&lt;=AA$4,INDEX(TypicalCriticalitiesMAHBarrier23[Typical Criticality],MATCH($T157,TypicalCriticalitiesMAHBarrier23[Column2],0)),"")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str">
        <f ca="1">IF($T158&lt;=AA$4,INDEX(TypicalCriticalitiesMAHBarrier23[Typical Components],MATCH($T158,TypicalCriticalitiesMAHBarrier23[Column2],0)),"")</f>
        <v/>
      </c>
      <c r="W158" t="str">
        <f ca="1">IF($T158&lt;=AA$4,INDEX(TypicalCriticalitiesMAHBarrier23[Typical Criticality],MATCH($T158,TypicalCriticalitiesMAHBarrier23[Column2],0)),"")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str">
        <f ca="1">IF($T159&lt;=AA$4,INDEX(TypicalCriticalitiesMAHBarrier23[Typical Components],MATCH($T159,TypicalCriticalitiesMAHBarrier23[Column2],0)),"")</f>
        <v/>
      </c>
      <c r="W159" t="str">
        <f ca="1">IF($T159&lt;=AA$4,INDEX(TypicalCriticalitiesMAHBarrier23[Typical Criticality],MATCH($T159,TypicalCriticalitiesMAHBarrier23[Column2],0)),"")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str">
        <f ca="1">IF($T160&lt;=AA$4,INDEX(TypicalCriticalitiesMAHBarrier23[Typical Components],MATCH($T160,TypicalCriticalitiesMAHBarrier23[Column2],0)),"")</f>
        <v/>
      </c>
      <c r="W160" t="str">
        <f ca="1">IF($T160&lt;=AA$4,INDEX(TypicalCriticalitiesMAHBarrier23[Typical Criticality],MATCH($T160,TypicalCriticalitiesMAHBarrier23[Column2],0)),"")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str">
        <f ca="1">IF($T161&lt;=AA$4,INDEX(TypicalCriticalitiesMAHBarrier23[Typical Components],MATCH($T161,TypicalCriticalitiesMAHBarrier23[Column2],0)),"")</f>
        <v/>
      </c>
      <c r="W161" t="str">
        <f ca="1">IF($T161&lt;=AA$4,INDEX(TypicalCriticalitiesMAHBarrier23[Typical Criticality],MATCH($T161,TypicalCriticalitiesMAHBarrier23[Column2],0)),"")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str">
        <f ca="1">IF($T162&lt;=AA$4,INDEX(TypicalCriticalitiesMAHBarrier23[Typical Components],MATCH($T162,TypicalCriticalitiesMAHBarrier23[Column2],0)),"")</f>
        <v/>
      </c>
      <c r="W162" t="str">
        <f ca="1">IF($T162&lt;=AA$4,INDEX(TypicalCriticalitiesMAHBarrier23[Typical Criticality],MATCH($T162,TypicalCriticalitiesMAHBarrier23[Column2],0)),"")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str">
        <f ca="1">IF($T163&lt;=AA$4,INDEX(TypicalCriticalitiesMAHBarrier23[Typical Components],MATCH($T163,TypicalCriticalitiesMAHBarrier23[Column2],0)),"")</f>
        <v/>
      </c>
      <c r="W163" t="str">
        <f ca="1">IF($T163&lt;=AA$4,INDEX(TypicalCriticalitiesMAHBarrier23[Typical Criticality],MATCH($T163,TypicalCriticalitiesMAHBarrier23[Column2],0)),"")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str">
        <f ca="1">IF($T164&lt;=AA$4,INDEX(TypicalCriticalitiesMAHBarrier23[Typical Components],MATCH($T164,TypicalCriticalitiesMAHBarrier23[Column2],0)),"")</f>
        <v/>
      </c>
      <c r="W164" t="str">
        <f ca="1">IF($T164&lt;=AA$4,INDEX(TypicalCriticalitiesMAHBarrier23[Typical Criticality],MATCH($T164,TypicalCriticalitiesMAHBarrier23[Column2],0)),"")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str">
        <f ca="1">IF($T165&lt;=AA$4,INDEX(TypicalCriticalitiesMAHBarrier23[Typical Components],MATCH($T165,TypicalCriticalitiesMAHBarrier23[Column2],0)),"")</f>
        <v/>
      </c>
      <c r="W165" t="str">
        <f ca="1">IF($T165&lt;=AA$4,INDEX(TypicalCriticalitiesMAHBarrier23[Typical Criticality],MATCH($T165,TypicalCriticalitiesMAHBarrier23[Column2],0)),"")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str">
        <f ca="1">IF($T166&lt;=AA$4,INDEX(TypicalCriticalitiesMAHBarrier23[Typical Components],MATCH($T166,TypicalCriticalitiesMAHBarrier23[Column2],0)),"")</f>
        <v/>
      </c>
      <c r="W166" t="str">
        <f ca="1">IF($T166&lt;=AA$4,INDEX(TypicalCriticalitiesMAHBarrier23[Typical Criticality],MATCH($T166,TypicalCriticalitiesMAHBarrier23[Column2],0)),"")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str">
        <f ca="1">IF($T167&lt;=AA$4,INDEX(TypicalCriticalitiesMAHBarrier23[Typical Components],MATCH($T167,TypicalCriticalitiesMAHBarrier23[Column2],0)),"")</f>
        <v/>
      </c>
      <c r="W167" t="str">
        <f ca="1">IF($T167&lt;=AA$4,INDEX(TypicalCriticalitiesMAHBarrier23[Typical Criticality],MATCH($T167,TypicalCriticalitiesMAHBarrier23[Column2],0)),"")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str">
        <f ca="1">IF($T168&lt;=AA$4,INDEX(TypicalCriticalitiesMAHBarrier23[Typical Components],MATCH($T168,TypicalCriticalitiesMAHBarrier23[Column2],0)),"")</f>
        <v/>
      </c>
      <c r="W168" t="str">
        <f ca="1">IF($T168&lt;=AA$4,INDEX(TypicalCriticalitiesMAHBarrier23[Typical Criticality],MATCH($T168,TypicalCriticalitiesMAHBarrier23[Column2],0)),"")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str">
        <f ca="1">IF($T169&lt;=AA$4,INDEX(TypicalCriticalitiesMAHBarrier23[Typical Components],MATCH($T169,TypicalCriticalitiesMAHBarrier23[Column2],0)),"")</f>
        <v/>
      </c>
      <c r="W169" t="str">
        <f ca="1">IF($T169&lt;=AA$4,INDEX(TypicalCriticalitiesMAHBarrier23[Typical Criticality],MATCH($T169,TypicalCriticalitiesMAHBarrier23[Column2],0)),"")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str">
        <f ca="1">IF($T170&lt;=AA$4,INDEX(TypicalCriticalitiesMAHBarrier23[Typical Components],MATCH($T170,TypicalCriticalitiesMAHBarrier23[Column2],0)),"")</f>
        <v/>
      </c>
      <c r="W170" t="str">
        <f ca="1">IF($T170&lt;=AA$4,INDEX(TypicalCriticalitiesMAHBarrier23[Typical Criticality],MATCH($T170,TypicalCriticalitiesMAHBarrier23[Column2],0)),"")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str">
        <f ca="1">IF($T171&lt;=AA$4,INDEX(TypicalCriticalitiesMAHBarrier23[Typical Components],MATCH($T171,TypicalCriticalitiesMAHBarrier23[Column2],0)),"")</f>
        <v/>
      </c>
      <c r="W171" t="str">
        <f ca="1">IF($T171&lt;=AA$4,INDEX(TypicalCriticalitiesMAHBarrier23[Typical Criticality],MATCH($T171,TypicalCriticalitiesMAHBarrier23[Column2],0)),"")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str">
        <f ca="1">IF($T172&lt;=AA$4,INDEX(TypicalCriticalitiesMAHBarrier23[Typical Components],MATCH($T172,TypicalCriticalitiesMAHBarrier23[Column2],0)),"")</f>
        <v/>
      </c>
      <c r="W172" t="str">
        <f ca="1">IF($T172&lt;=AA$4,INDEX(TypicalCriticalitiesMAHBarrier23[Typical Criticality],MATCH($T172,TypicalCriticalitiesMAHBarrier23[Column2],0)),"")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str">
        <f ca="1">IF($T173&lt;=AA$4,INDEX(TypicalCriticalitiesMAHBarrier23[Typical Components],MATCH($T173,TypicalCriticalitiesMAHBarrier23[Column2],0)),"")</f>
        <v/>
      </c>
      <c r="W173" t="str">
        <f ca="1">IF($T173&lt;=AA$4,INDEX(TypicalCriticalitiesMAHBarrier23[Typical Criticality],MATCH($T173,TypicalCriticalitiesMAHBarrier23[Column2],0)),"")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str">
        <f ca="1">IF($T174&lt;=AA$4,INDEX(TypicalCriticalitiesMAHBarrier23[Typical Components],MATCH($T174,TypicalCriticalitiesMAHBarrier23[Column2],0)),"")</f>
        <v/>
      </c>
      <c r="W174" t="str">
        <f ca="1">IF($T174&lt;=AA$4,INDEX(TypicalCriticalitiesMAHBarrier23[Typical Criticality],MATCH($T174,TypicalCriticalitiesMAHBarrier23[Column2],0)),"")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str">
        <f ca="1">IF($T175&lt;=AA$4,INDEX(TypicalCriticalitiesMAHBarrier23[Typical Components],MATCH($T175,TypicalCriticalitiesMAHBarrier23[Column2],0)),"")</f>
        <v/>
      </c>
      <c r="W175" t="str">
        <f ca="1">IF($T175&lt;=AA$4,INDEX(TypicalCriticalitiesMAHBarrier23[Typical Criticality],MATCH($T175,TypicalCriticalitiesMAHBarrier23[Column2],0)),"")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str">
        <f ca="1">IF($T176&lt;=AA$4,INDEX(TypicalCriticalitiesMAHBarrier23[Typical Components],MATCH($T176,TypicalCriticalitiesMAHBarrier23[Column2],0)),"")</f>
        <v/>
      </c>
      <c r="W176" t="str">
        <f ca="1">IF($T176&lt;=AA$4,INDEX(TypicalCriticalitiesMAHBarrier23[Typical Criticality],MATCH($T176,TypicalCriticalitiesMAHBarrier23[Column2],0)),"")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str">
        <f ca="1">IF($T177&lt;=AA$4,INDEX(TypicalCriticalitiesMAHBarrier23[Typical Components],MATCH($T177,TypicalCriticalitiesMAHBarrier23[Column2],0)),"")</f>
        <v/>
      </c>
      <c r="W177" t="str">
        <f ca="1">IF($T177&lt;=AA$4,INDEX(TypicalCriticalitiesMAHBarrier23[Typical Criticality],MATCH($T177,TypicalCriticalitiesMAHBarrier23[Column2],0)),"")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str">
        <f ca="1">IF($T178&lt;=AA$4,INDEX(TypicalCriticalitiesMAHBarrier23[Typical Components],MATCH($T178,TypicalCriticalitiesMAHBarrier23[Column2],0)),"")</f>
        <v/>
      </c>
      <c r="W178" t="str">
        <f ca="1">IF($T178&lt;=AA$4,INDEX(TypicalCriticalitiesMAHBarrier23[Typical Criticality],MATCH($T178,TypicalCriticalitiesMAHBarrier23[Column2],0)),"")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str">
        <f ca="1">IF($T179&lt;=AA$4,INDEX(TypicalCriticalitiesMAHBarrier23[Typical Components],MATCH($T179,TypicalCriticalitiesMAHBarrier23[Column2],0)),"")</f>
        <v/>
      </c>
      <c r="W179" t="str">
        <f ca="1">IF($T179&lt;=AA$4,INDEX(TypicalCriticalitiesMAHBarrier23[Typical Criticality],MATCH($T179,TypicalCriticalitiesMAHBarrier23[Column2],0)),"")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str">
        <f ca="1">IF($T180&lt;=AA$4,INDEX(TypicalCriticalitiesMAHBarrier23[Typical Components],MATCH($T180,TypicalCriticalitiesMAHBarrier23[Column2],0)),"")</f>
        <v/>
      </c>
      <c r="W180" t="str">
        <f ca="1">IF($T180&lt;=AA$4,INDEX(TypicalCriticalitiesMAHBarrier23[Typical Criticality],MATCH($T180,TypicalCriticalitiesMAHBarrier23[Column2],0)),"")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str">
        <f ca="1">IF($T181&lt;=AA$4,INDEX(TypicalCriticalitiesMAHBarrier23[Typical Components],MATCH($T181,TypicalCriticalitiesMAHBarrier23[Column2],0)),"")</f>
        <v/>
      </c>
      <c r="W181" t="str">
        <f ca="1">IF($T181&lt;=AA$4,INDEX(TypicalCriticalitiesMAHBarrier23[Typical Criticality],MATCH($T181,TypicalCriticalitiesMAHBarrier23[Column2],0)),"")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str">
        <f ca="1">IF($T182&lt;=AA$4,INDEX(TypicalCriticalitiesMAHBarrier23[Typical Components],MATCH($T182,TypicalCriticalitiesMAHBarrier23[Column2],0)),"")</f>
        <v/>
      </c>
      <c r="W182" t="str">
        <f ca="1">IF($T182&lt;=AA$4,INDEX(TypicalCriticalitiesMAHBarrier23[Typical Criticality],MATCH($T182,TypicalCriticalitiesMAHBarrier23[Column2],0)),"")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str">
        <f ca="1">IF($T183&lt;=AA$4,INDEX(TypicalCriticalitiesMAHBarrier23[Typical Components],MATCH($T183,TypicalCriticalitiesMAHBarrier23[Column2],0)),"")</f>
        <v/>
      </c>
      <c r="W183" t="str">
        <f ca="1">IF($T183&lt;=AA$4,INDEX(TypicalCriticalitiesMAHBarrier23[Typical Criticality],MATCH($T183,TypicalCriticalitiesMAHBarrier23[Column2],0)),"")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str">
        <f ca="1">IF($T184&lt;=AA$4,INDEX(TypicalCriticalitiesMAHBarrier23[Typical Components],MATCH($T184,TypicalCriticalitiesMAHBarrier23[Column2],0)),"")</f>
        <v/>
      </c>
      <c r="W184" t="str">
        <f ca="1">IF($T184&lt;=AA$4,INDEX(TypicalCriticalitiesMAHBarrier23[Typical Criticality],MATCH($T184,TypicalCriticalitiesMAHBarrier23[Column2],0)),"")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str">
        <f ca="1">IF($T185&lt;=AA$4,INDEX(TypicalCriticalitiesMAHBarrier23[Typical Components],MATCH($T185,TypicalCriticalitiesMAHBarrier23[Column2],0)),"")</f>
        <v/>
      </c>
      <c r="W185" t="str">
        <f ca="1">IF($T185&lt;=AA$4,INDEX(TypicalCriticalitiesMAHBarrier23[Typical Criticality],MATCH($T185,TypicalCriticalitiesMAHBarrier23[Column2],0)),"")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str">
        <f ca="1">IF($T186&lt;=AA$4,INDEX(TypicalCriticalitiesMAHBarrier23[Typical Components],MATCH($T186,TypicalCriticalitiesMAHBarrier23[Column2],0)),"")</f>
        <v/>
      </c>
      <c r="W186" t="str">
        <f ca="1">IF($T186&lt;=AA$4,INDEX(TypicalCriticalitiesMAHBarrier23[Typical Criticality],MATCH($T186,TypicalCriticalitiesMAHBarrier23[Column2],0)),"")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str">
        <f ca="1">IF($T187&lt;=AA$4,INDEX(TypicalCriticalitiesMAHBarrier23[Typical Components],MATCH($T187,TypicalCriticalitiesMAHBarrier23[Column2],0)),"")</f>
        <v/>
      </c>
      <c r="W187" t="str">
        <f ca="1">IF($T187&lt;=AA$4,INDEX(TypicalCriticalitiesMAHBarrier23[Typical Criticality],MATCH($T187,TypicalCriticalitiesMAHBarrier23[Column2],0)),"")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str">
        <f ca="1">IF($T188&lt;=AA$4,INDEX(TypicalCriticalitiesMAHBarrier23[Typical Components],MATCH($T188,TypicalCriticalitiesMAHBarrier23[Column2],0)),"")</f>
        <v/>
      </c>
      <c r="W188" t="str">
        <f ca="1">IF($T188&lt;=AA$4,INDEX(TypicalCriticalitiesMAHBarrier23[Typical Criticality],MATCH($T188,TypicalCriticalitiesMAHBarrier23[Column2],0)),"")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str">
        <f ca="1">IF($T189&lt;=AA$4,INDEX(TypicalCriticalitiesMAHBarrier23[Typical Components],MATCH($T189,TypicalCriticalitiesMAHBarrier23[Column2],0)),"")</f>
        <v/>
      </c>
      <c r="W189" t="str">
        <f ca="1">IF($T189&lt;=AA$4,INDEX(TypicalCriticalitiesMAHBarrier23[Typical Criticality],MATCH($T189,TypicalCriticalitiesMAHBarrier23[Column2],0)),"")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str">
        <f ca="1">IF($T190&lt;=AA$4,INDEX(TypicalCriticalitiesMAHBarrier23[Typical Components],MATCH($T190,TypicalCriticalitiesMAHBarrier23[Column2],0)),"")</f>
        <v/>
      </c>
      <c r="W190" t="str">
        <f ca="1">IF($T190&lt;=AA$4,INDEX(TypicalCriticalitiesMAHBarrier23[Typical Criticality],MATCH($T190,TypicalCriticalitiesMAHBarrier23[Column2],0)),"")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str">
        <f ca="1">IF($T191&lt;=AA$4,INDEX(TypicalCriticalitiesMAHBarrier23[Typical Components],MATCH($T191,TypicalCriticalitiesMAHBarrier23[Column2],0)),"")</f>
        <v/>
      </c>
      <c r="W191" t="str">
        <f ca="1">IF($T191&lt;=AA$4,INDEX(TypicalCriticalitiesMAHBarrier23[Typical Criticality],MATCH($T191,TypicalCriticalitiesMAHBarrier23[Column2],0)),"")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str">
        <f ca="1">IF($T192&lt;=AA$4,INDEX(TypicalCriticalitiesMAHBarrier23[Typical Components],MATCH($T192,TypicalCriticalitiesMAHBarrier23[Column2],0)),"")</f>
        <v/>
      </c>
      <c r="W192" t="str">
        <f ca="1">IF($T192&lt;=AA$4,INDEX(TypicalCriticalitiesMAHBarrier23[Typical Criticality],MATCH($T192,TypicalCriticalitiesMAHBarrier23[Column2],0)),"")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str">
        <f ca="1">IF($T193&lt;=AA$4,INDEX(TypicalCriticalitiesMAHBarrier23[Typical Components],MATCH($T193,TypicalCriticalitiesMAHBarrier23[Column2],0)),"")</f>
        <v/>
      </c>
      <c r="W193" t="str">
        <f ca="1">IF($T193&lt;=AA$4,INDEX(TypicalCriticalitiesMAHBarrier23[Typical Criticality],MATCH($T193,TypicalCriticalitiesMAHBarrier23[Column2],0)),"")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str">
        <f ca="1">IF($T194&lt;=AA$4,INDEX(TypicalCriticalitiesMAHBarrier23[Typical Components],MATCH($T194,TypicalCriticalitiesMAHBarrier23[Column2],0)),"")</f>
        <v/>
      </c>
      <c r="W194" t="str">
        <f ca="1">IF($T194&lt;=AA$4,INDEX(TypicalCriticalitiesMAHBarrier23[Typical Criticality],MATCH($T194,TypicalCriticalitiesMAHBarrier23[Column2],0)),"")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str">
        <f ca="1">IF($T195&lt;=AA$4,INDEX(TypicalCriticalitiesMAHBarrier23[Typical Components],MATCH($T195,TypicalCriticalitiesMAHBarrier23[Column2],0)),"")</f>
        <v/>
      </c>
      <c r="W195" t="str">
        <f ca="1">IF($T195&lt;=AA$4,INDEX(TypicalCriticalitiesMAHBarrier23[Typical Criticality],MATCH($T195,TypicalCriticalitiesMAHBarrier23[Column2],0)),"")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str">
        <f ca="1">IF($T196&lt;=AA$4,INDEX(TypicalCriticalitiesMAHBarrier23[Typical Components],MATCH($T196,TypicalCriticalitiesMAHBarrier23[Column2],0)),"")</f>
        <v/>
      </c>
      <c r="W196" t="str">
        <f ca="1">IF($T196&lt;=AA$4,INDEX(TypicalCriticalitiesMAHBarrier23[Typical Criticality],MATCH($T196,TypicalCriticalitiesMAHBarrier23[Column2],0)),"")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str">
        <f ca="1">IF($T197&lt;=AA$4,INDEX(TypicalCriticalitiesMAHBarrier23[Typical Components],MATCH($T197,TypicalCriticalitiesMAHBarrier23[Column2],0)),"")</f>
        <v/>
      </c>
      <c r="W197" t="str">
        <f ca="1">IF($T197&lt;=AA$4,INDEX(TypicalCriticalitiesMAHBarrier23[Typical Criticality],MATCH($T197,TypicalCriticalitiesMAHBarrier23[Column2],0)),"")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str">
        <f ca="1">IF($T198&lt;=AA$4,INDEX(TypicalCriticalitiesMAHBarrier23[Typical Components],MATCH($T198,TypicalCriticalitiesMAHBarrier23[Column2],0)),"")</f>
        <v/>
      </c>
      <c r="W198" t="str">
        <f ca="1">IF($T198&lt;=AA$4,INDEX(TypicalCriticalitiesMAHBarrier23[Typical Criticality],MATCH($T198,TypicalCriticalitiesMAHBarrier23[Column2],0)),"")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str">
        <f ca="1">IF($T199&lt;=AA$4,INDEX(TypicalCriticalitiesMAHBarrier23[Typical Components],MATCH($T199,TypicalCriticalitiesMAHBarrier23[Column2],0)),"")</f>
        <v/>
      </c>
      <c r="W199" t="str">
        <f ca="1">IF($T199&lt;=AA$4,INDEX(TypicalCriticalitiesMAHBarrier23[Typical Criticality],MATCH($T199,TypicalCriticalitiesMAHBarrier23[Column2],0)),"")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str">
        <f ca="1">IF($T200&lt;=AA$4,INDEX(TypicalCriticalitiesMAHBarrier23[Typical Components],MATCH($T200,TypicalCriticalitiesMAHBarrier23[Column2],0)),"")</f>
        <v/>
      </c>
      <c r="W200" t="str">
        <f ca="1">IF($T200&lt;=AA$4,INDEX(TypicalCriticalitiesMAHBarrier23[Typical Criticality],MATCH($T200,TypicalCriticalitiesMAHBarrier23[Column2],0)),"")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str">
        <f ca="1">IF($T201&lt;=AA$4,INDEX(TypicalCriticalitiesMAHBarrier23[Typical Components],MATCH($T201,TypicalCriticalitiesMAHBarrier23[Column2],0)),"")</f>
        <v/>
      </c>
      <c r="W201" t="str">
        <f ca="1">IF($T201&lt;=AA$4,INDEX(TypicalCriticalitiesMAHBarrier23[Typical Criticality],MATCH($T201,TypicalCriticalitiesMAHBarrier23[Column2],0)),"")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str">
        <f ca="1">IF($T202&lt;=AA$4,INDEX(TypicalCriticalitiesMAHBarrier23[Typical Components],MATCH($T202,TypicalCriticalitiesMAHBarrier23[Column2],0)),"")</f>
        <v/>
      </c>
      <c r="W202" t="str">
        <f ca="1">IF($T202&lt;=AA$4,INDEX(TypicalCriticalitiesMAHBarrier23[Typical Criticality],MATCH($T202,TypicalCriticalitiesMAHBarrier23[Column2],0)),"")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str">
        <f ca="1">IF($T203&lt;=AA$4,INDEX(TypicalCriticalitiesMAHBarrier23[Typical Components],MATCH($T203,TypicalCriticalitiesMAHBarrier23[Column2],0)),"")</f>
        <v/>
      </c>
      <c r="W203" t="str">
        <f ca="1">IF($T203&lt;=AA$4,INDEX(TypicalCriticalitiesMAHBarrier23[Typical Criticality],MATCH($T203,TypicalCriticalitiesMAHBarrier23[Column2],0)),"")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str">
        <f ca="1">IF($T204&lt;=AA$4,INDEX(TypicalCriticalitiesMAHBarrier23[Typical Components],MATCH($T204,TypicalCriticalitiesMAHBarrier23[Column2],0)),"")</f>
        <v/>
      </c>
      <c r="W204" t="str">
        <f ca="1">IF($T204&lt;=AA$4,INDEX(TypicalCriticalitiesMAHBarrier23[Typical Criticality],MATCH($T204,TypicalCriticalitiesMAHBarrier23[Column2],0)),"")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str">
        <f ca="1">IF($T205&lt;=AA$4,INDEX(TypicalCriticalitiesMAHBarrier23[Typical Components],MATCH($T205,TypicalCriticalitiesMAHBarrier23[Column2],0)),"")</f>
        <v/>
      </c>
      <c r="W205" t="str">
        <f ca="1">IF($T205&lt;=AA$4,INDEX(TypicalCriticalitiesMAHBarrier23[Typical Criticality],MATCH($T205,TypicalCriticalitiesMAHBarrier23[Column2],0)),"")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str">
        <f ca="1">IF($T206&lt;=AA$4,INDEX(TypicalCriticalitiesMAHBarrier23[Typical Components],MATCH($T206,TypicalCriticalitiesMAHBarrier23[Column2],0)),"")</f>
        <v/>
      </c>
      <c r="W206" t="str">
        <f ca="1">IF($T206&lt;=AA$4,INDEX(TypicalCriticalitiesMAHBarrier23[Typical Criticality],MATCH($T206,TypicalCriticalitiesMAHBarrier23[Column2],0)),"")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str">
        <f ca="1">IF($T207&lt;=AA$4,INDEX(TypicalCriticalitiesMAHBarrier23[Typical Components],MATCH($T207,TypicalCriticalitiesMAHBarrier23[Column2],0)),"")</f>
        <v/>
      </c>
      <c r="W207" t="str">
        <f ca="1">IF($T207&lt;=AA$4,INDEX(TypicalCriticalitiesMAHBarrier23[Typical Criticality],MATCH($T207,TypicalCriticalitiesMAHBarrier23[Column2],0)),"")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str">
        <f ca="1">IF($T208&lt;=AA$4,INDEX(TypicalCriticalitiesMAHBarrier23[Typical Components],MATCH($T208,TypicalCriticalitiesMAHBarrier23[Column2],0)),"")</f>
        <v/>
      </c>
      <c r="W208" t="str">
        <f ca="1">IF($T208&lt;=AA$4,INDEX(TypicalCriticalitiesMAHBarrier23[Typical Criticality],MATCH($T208,TypicalCriticalitiesMAHBarrier23[Column2],0)),"")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str">
        <f ca="1">IF($T209&lt;=AA$4,INDEX(TypicalCriticalitiesMAHBarrier23[Typical Components],MATCH($T209,TypicalCriticalitiesMAHBarrier23[Column2],0)),"")</f>
        <v/>
      </c>
      <c r="W209" t="str">
        <f ca="1">IF($T209&lt;=AA$4,INDEX(TypicalCriticalitiesMAHBarrier23[Typical Criticality],MATCH($T209,TypicalCriticalitiesMAHBarrier23[Column2],0)),"")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str">
        <f ca="1">IF($T210&lt;=AA$4,INDEX(TypicalCriticalitiesMAHBarrier23[Typical Components],MATCH($T210,TypicalCriticalitiesMAHBarrier23[Column2],0)),"")</f>
        <v/>
      </c>
      <c r="W210" t="str">
        <f ca="1">IF($T210&lt;=AA$4,INDEX(TypicalCriticalitiesMAHBarrier23[Typical Criticality],MATCH($T210,TypicalCriticalitiesMAHBarrier23[Column2],0)),"")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str">
        <f ca="1">IF($T211&lt;=AA$4,INDEX(TypicalCriticalitiesMAHBarrier23[Typical Components],MATCH($T211,TypicalCriticalitiesMAHBarrier23[Column2],0)),"")</f>
        <v/>
      </c>
      <c r="W211" t="str">
        <f ca="1">IF($T211&lt;=AA$4,INDEX(TypicalCriticalitiesMAHBarrier23[Typical Criticality],MATCH($T211,TypicalCriticalitiesMAHBarrier23[Column2],0)),"")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str">
        <f ca="1">IF($T212&lt;=AA$4,INDEX(TypicalCriticalitiesMAHBarrier23[Typical Components],MATCH($T212,TypicalCriticalitiesMAHBarrier23[Column2],0)),"")</f>
        <v/>
      </c>
      <c r="W212" t="str">
        <f ca="1">IF($T212&lt;=AA$4,INDEX(TypicalCriticalitiesMAHBarrier23[Typical Criticality],MATCH($T212,TypicalCriticalitiesMAHBarrier23[Column2],0)),"")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str">
        <f ca="1">IF($T213&lt;=AA$4,INDEX(TypicalCriticalitiesMAHBarrier23[Typical Components],MATCH($T213,TypicalCriticalitiesMAHBarrier23[Column2],0)),"")</f>
        <v/>
      </c>
      <c r="W213" t="str">
        <f ca="1">IF($T213&lt;=AA$4,INDEX(TypicalCriticalitiesMAHBarrier23[Typical Criticality],MATCH($T213,TypicalCriticalitiesMAHBarrier23[Column2],0)),"")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str">
        <f ca="1">IF($T214&lt;=AA$4,INDEX(TypicalCriticalitiesMAHBarrier23[Typical Components],MATCH($T214,TypicalCriticalitiesMAHBarrier23[Column2],0)),"")</f>
        <v/>
      </c>
      <c r="W214" t="str">
        <f ca="1">IF($T214&lt;=AA$4,INDEX(TypicalCriticalitiesMAHBarrier23[Typical Criticality],MATCH($T214,TypicalCriticalitiesMAHBarrier23[Column2],0)),"")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str">
        <f ca="1">IF($T215&lt;=AA$4,INDEX(TypicalCriticalitiesMAHBarrier23[Typical Components],MATCH($T215,TypicalCriticalitiesMAHBarrier23[Column2],0)),"")</f>
        <v/>
      </c>
      <c r="W215" t="str">
        <f ca="1">IF($T215&lt;=AA$4,INDEX(TypicalCriticalitiesMAHBarrier23[Typical Criticality],MATCH($T215,TypicalCriticalitiesMAHBarrier23[Column2],0)),"")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str">
        <f ca="1">IF($T216&lt;=AA$4,INDEX(TypicalCriticalitiesMAHBarrier23[Typical Components],MATCH($T216,TypicalCriticalitiesMAHBarrier23[Column2],0)),"")</f>
        <v/>
      </c>
      <c r="W216" t="str">
        <f ca="1">IF($T216&lt;=AA$4,INDEX(TypicalCriticalitiesMAHBarrier23[Typical Criticality],MATCH($T216,TypicalCriticalitiesMAHBarrier23[Column2],0)),"")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str">
        <f ca="1">IF($T217&lt;=AA$4,INDEX(TypicalCriticalitiesMAHBarrier23[Typical Components],MATCH($T217,TypicalCriticalitiesMAHBarrier23[Column2],0)),"")</f>
        <v/>
      </c>
      <c r="W217" t="str">
        <f ca="1">IF($T217&lt;=AA$4,INDEX(TypicalCriticalitiesMAHBarrier23[Typical Criticality],MATCH($T217,TypicalCriticalitiesMAHBarrier23[Column2],0)),"")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str">
        <f ca="1">IF($T218&lt;=AA$4,INDEX(TypicalCriticalitiesMAHBarrier23[Typical Components],MATCH($T218,TypicalCriticalitiesMAHBarrier23[Column2],0)),"")</f>
        <v/>
      </c>
      <c r="W218" t="str">
        <f ca="1">IF($T218&lt;=AA$4,INDEX(TypicalCriticalitiesMAHBarrier23[Typical Criticality],MATCH($T218,TypicalCriticalitiesMAHBarrier23[Column2],0)),"")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str">
        <f ca="1">IF($T219&lt;=AA$4,INDEX(TypicalCriticalitiesMAHBarrier23[Typical Components],MATCH($T219,TypicalCriticalitiesMAHBarrier23[Column2],0)),"")</f>
        <v/>
      </c>
      <c r="W219" t="str">
        <f ca="1">IF($T219&lt;=AA$4,INDEX(TypicalCriticalitiesMAHBarrier23[Typical Criticality],MATCH($T219,TypicalCriticalitiesMAHBarrier23[Column2],0)),"")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str">
        <f ca="1">IF($T220&lt;=AA$4,INDEX(TypicalCriticalitiesMAHBarrier23[Typical Components],MATCH($T220,TypicalCriticalitiesMAHBarrier23[Column2],0)),"")</f>
        <v/>
      </c>
      <c r="W220" t="str">
        <f ca="1">IF($T220&lt;=AA$4,INDEX(TypicalCriticalitiesMAHBarrier23[Typical Criticality],MATCH($T220,TypicalCriticalitiesMAHBarrier23[Column2],0)),"")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str">
        <f ca="1">IF($T221&lt;=AA$4,INDEX(TypicalCriticalitiesMAHBarrier23[Typical Components],MATCH($T221,TypicalCriticalitiesMAHBarrier23[Column2],0)),"")</f>
        <v/>
      </c>
      <c r="W221" t="str">
        <f ca="1">IF($T221&lt;=AA$4,INDEX(TypicalCriticalitiesMAHBarrier23[Typical Criticality],MATCH($T221,TypicalCriticalitiesMAHBarrier23[Column2],0)),"")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str">
        <f ca="1">IF($T222&lt;=AA$4,INDEX(TypicalCriticalitiesMAHBarrier23[Typical Components],MATCH($T222,TypicalCriticalitiesMAHBarrier23[Column2],0)),"")</f>
        <v/>
      </c>
      <c r="W222" t="str">
        <f ca="1">IF($T222&lt;=AA$4,INDEX(TypicalCriticalitiesMAHBarrier23[Typical Criticality],MATCH($T222,TypicalCriticalitiesMAHBarrier23[Column2],0)),"")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str">
        <f ca="1">IF($T223&lt;=AA$4,INDEX(TypicalCriticalitiesMAHBarrier23[Typical Components],MATCH($T223,TypicalCriticalitiesMAHBarrier23[Column2],0)),"")</f>
        <v/>
      </c>
      <c r="W223" t="str">
        <f ca="1">IF($T223&lt;=AA$4,INDEX(TypicalCriticalitiesMAHBarrier23[Typical Criticality],MATCH($T223,TypicalCriticalitiesMAHBarrier23[Column2],0)),"")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str">
        <f ca="1">IF($T224&lt;=AA$4,INDEX(TypicalCriticalitiesMAHBarrier23[Typical Components],MATCH($T224,TypicalCriticalitiesMAHBarrier23[Column2],0)),"")</f>
        <v/>
      </c>
      <c r="W224" t="str">
        <f ca="1">IF($T224&lt;=AA$4,INDEX(TypicalCriticalitiesMAHBarrier23[Typical Criticality],MATCH($T224,TypicalCriticalitiesMAHBarrier23[Column2],0)),"")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str">
        <f ca="1">IF($T225&lt;=AA$4,INDEX(TypicalCriticalitiesMAHBarrier23[Typical Components],MATCH($T225,TypicalCriticalitiesMAHBarrier23[Column2],0)),"")</f>
        <v/>
      </c>
      <c r="W225" t="str">
        <f ca="1">IF($T225&lt;=AA$4,INDEX(TypicalCriticalitiesMAHBarrier23[Typical Criticality],MATCH($T225,TypicalCriticalitiesMAHBarrier23[Column2],0)),"")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str">
        <f ca="1">IF($T226&lt;=AA$4,INDEX(TypicalCriticalitiesMAHBarrier23[Typical Components],MATCH($T226,TypicalCriticalitiesMAHBarrier23[Column2],0)),"")</f>
        <v/>
      </c>
      <c r="W226" t="str">
        <f ca="1">IF($T226&lt;=AA$4,INDEX(TypicalCriticalitiesMAHBarrier23[Typical Criticality],MATCH($T226,TypicalCriticalitiesMAHBarrier23[Column2],0)),"")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str">
        <f ca="1">IF($T227&lt;=AA$4,INDEX(TypicalCriticalitiesMAHBarrier23[Typical Components],MATCH($T227,TypicalCriticalitiesMAHBarrier23[Column2],0)),"")</f>
        <v/>
      </c>
      <c r="W227" t="str">
        <f ca="1">IF($T227&lt;=AA$4,INDEX(TypicalCriticalitiesMAHBarrier23[Typical Criticality],MATCH($T227,TypicalCriticalitiesMAHBarrier23[Column2],0)),"")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str">
        <f ca="1">IF($T228&lt;=AA$4,INDEX(TypicalCriticalitiesMAHBarrier23[Typical Components],MATCH($T228,TypicalCriticalitiesMAHBarrier23[Column2],0)),"")</f>
        <v/>
      </c>
      <c r="W228" t="str">
        <f ca="1">IF($T228&lt;=AA$4,INDEX(TypicalCriticalitiesMAHBarrier23[Typical Criticality],MATCH($T228,TypicalCriticalitiesMAHBarrier23[Column2],0)),"")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str">
        <f ca="1">IF($T229&lt;=AA$4,INDEX(TypicalCriticalitiesMAHBarrier23[Typical Components],MATCH($T229,TypicalCriticalitiesMAHBarrier23[Column2],0)),"")</f>
        <v/>
      </c>
      <c r="W229" t="str">
        <f ca="1">IF($T229&lt;=AA$4,INDEX(TypicalCriticalitiesMAHBarrier23[Typical Criticality],MATCH($T229,TypicalCriticalitiesMAHBarrier23[Column2],0)),"")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str">
        <f ca="1">IF($T230&lt;=AA$4,INDEX(TypicalCriticalitiesMAHBarrier23[Typical Components],MATCH($T230,TypicalCriticalitiesMAHBarrier23[Column2],0)),"")</f>
        <v/>
      </c>
      <c r="W230" t="str">
        <f ca="1">IF($T230&lt;=AA$4,INDEX(TypicalCriticalitiesMAHBarrier23[Typical Criticality],MATCH($T230,TypicalCriticalitiesMAHBarrier23[Column2],0)),"")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str">
        <f ca="1">IF($T231&lt;=AA$4,INDEX(TypicalCriticalitiesMAHBarrier23[Typical Components],MATCH($T231,TypicalCriticalitiesMAHBarrier23[Column2],0)),"")</f>
        <v/>
      </c>
      <c r="W231" t="str">
        <f ca="1">IF($T231&lt;=AA$4,INDEX(TypicalCriticalitiesMAHBarrier23[Typical Criticality],MATCH($T231,TypicalCriticalitiesMAHBarrier23[Column2],0)),"")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str">
        <f ca="1">IF($T232&lt;=AA$4,INDEX(TypicalCriticalitiesMAHBarrier23[Typical Components],MATCH($T232,TypicalCriticalitiesMAHBarrier23[Column2],0)),"")</f>
        <v/>
      </c>
      <c r="W232" t="str">
        <f ca="1">IF($T232&lt;=AA$4,INDEX(TypicalCriticalitiesMAHBarrier23[Typical Criticality],MATCH($T232,TypicalCriticalitiesMAHBarrier23[Column2],0)),"")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str">
        <f ca="1">IF($T233&lt;=AA$4,INDEX(TypicalCriticalitiesMAHBarrier23[Typical Components],MATCH($T233,TypicalCriticalitiesMAHBarrier23[Column2],0)),"")</f>
        <v/>
      </c>
      <c r="W233" t="str">
        <f ca="1">IF($T233&lt;=AA$4,INDEX(TypicalCriticalitiesMAHBarrier23[Typical Criticality],MATCH($T233,TypicalCriticalitiesMAHBarrier23[Column2],0)),"")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str">
        <f ca="1">IF($T234&lt;=AA$4,INDEX(TypicalCriticalitiesMAHBarrier23[Typical Components],MATCH($T234,TypicalCriticalitiesMAHBarrier23[Column2],0)),"")</f>
        <v/>
      </c>
      <c r="W234" t="str">
        <f ca="1">IF($T234&lt;=AA$4,INDEX(TypicalCriticalitiesMAHBarrier23[Typical Criticality],MATCH($T234,TypicalCriticalitiesMAHBarrier23[Column2],0)),"")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str">
        <f ca="1">IF($T235&lt;=AA$4,INDEX(TypicalCriticalitiesMAHBarrier23[Typical Components],MATCH($T235,TypicalCriticalitiesMAHBarrier23[Column2],0)),"")</f>
        <v/>
      </c>
      <c r="W235" t="str">
        <f ca="1">IF($T235&lt;=AA$4,INDEX(TypicalCriticalitiesMAHBarrier23[Typical Criticality],MATCH($T235,TypicalCriticalitiesMAHBarrier23[Column2],0)),"")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str">
        <f ca="1">IF($T236&lt;=AA$4,INDEX(TypicalCriticalitiesMAHBarrier23[Typical Components],MATCH($T236,TypicalCriticalitiesMAHBarrier23[Column2],0)),"")</f>
        <v/>
      </c>
      <c r="W236" t="str">
        <f ca="1">IF($T236&lt;=AA$4,INDEX(TypicalCriticalitiesMAHBarrier23[Typical Criticality],MATCH($T236,TypicalCriticalitiesMAHBarrier23[Column2],0)),"")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str">
        <f ca="1">IF($T237&lt;=AA$4,INDEX(TypicalCriticalitiesMAHBarrier23[Typical Components],MATCH($T237,TypicalCriticalitiesMAHBarrier23[Column2],0)),"")</f>
        <v/>
      </c>
      <c r="W237" t="str">
        <f ca="1">IF($T237&lt;=AA$4,INDEX(TypicalCriticalitiesMAHBarrier23[Typical Criticality],MATCH($T237,TypicalCriticalitiesMAHBarrier23[Column2],0)),"")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str">
        <f ca="1">IF($T238&lt;=AA$4,INDEX(TypicalCriticalitiesMAHBarrier23[Typical Components],MATCH($T238,TypicalCriticalitiesMAHBarrier23[Column2],0)),"")</f>
        <v/>
      </c>
      <c r="W238" t="str">
        <f ca="1">IF($T238&lt;=AA$4,INDEX(TypicalCriticalitiesMAHBarrier23[Typical Criticality],MATCH($T238,TypicalCriticalitiesMAHBarrier23[Column2],0)),"")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str">
        <f ca="1">IF($T239&lt;=AA$4,INDEX(TypicalCriticalitiesMAHBarrier23[Typical Components],MATCH($T239,TypicalCriticalitiesMAHBarrier23[Column2],0)),"")</f>
        <v/>
      </c>
      <c r="W239" t="str">
        <f ca="1">IF($T239&lt;=AA$4,INDEX(TypicalCriticalitiesMAHBarrier23[Typical Criticality],MATCH($T239,TypicalCriticalitiesMAHBarrier23[Column2],0)),"")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str">
        <f ca="1">IF($T240&lt;=AA$4,INDEX(TypicalCriticalitiesMAHBarrier23[Typical Components],MATCH($T240,TypicalCriticalitiesMAHBarrier23[Column2],0)),"")</f>
        <v/>
      </c>
      <c r="W240" t="str">
        <f ca="1">IF($T240&lt;=AA$4,INDEX(TypicalCriticalitiesMAHBarrier23[Typical Criticality],MATCH($T240,TypicalCriticalitiesMAHBarrier23[Column2],0)),"")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str">
        <f ca="1">IF($T241&lt;=AA$4,INDEX(TypicalCriticalitiesMAHBarrier23[Typical Components],MATCH($T241,TypicalCriticalitiesMAHBarrier23[Column2],0)),"")</f>
        <v/>
      </c>
      <c r="W241" t="str">
        <f ca="1">IF($T241&lt;=AA$4,INDEX(TypicalCriticalitiesMAHBarrier23[Typical Criticality],MATCH($T241,TypicalCriticalitiesMAHBarrier23[Column2],0)),"")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str">
        <f ca="1">IF($T242&lt;=AA$4,INDEX(TypicalCriticalitiesMAHBarrier23[Typical Components],MATCH($T242,TypicalCriticalitiesMAHBarrier23[Column2],0)),"")</f>
        <v/>
      </c>
      <c r="W242" t="str">
        <f ca="1">IF($T242&lt;=AA$4,INDEX(TypicalCriticalitiesMAHBarrier23[Typical Criticality],MATCH($T242,TypicalCriticalitiesMAHBarrier23[Column2],0)),"")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str">
        <f ca="1">IF($T243&lt;=AA$4,INDEX(TypicalCriticalitiesMAHBarrier23[Typical Components],MATCH($T243,TypicalCriticalitiesMAHBarrier23[Column2],0)),"")</f>
        <v/>
      </c>
      <c r="W243" t="str">
        <f ca="1">IF($T243&lt;=AA$4,INDEX(TypicalCriticalitiesMAHBarrier23[Typical Criticality],MATCH($T243,TypicalCriticalitiesMAHBarrier23[Column2],0)),"")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str">
        <f ca="1">IF($T244&lt;=AA$4,INDEX(TypicalCriticalitiesMAHBarrier23[Typical Components],MATCH($T244,TypicalCriticalitiesMAHBarrier23[Column2],0)),"")</f>
        <v/>
      </c>
      <c r="W244" t="str">
        <f ca="1">IF($T244&lt;=AA$4,INDEX(TypicalCriticalitiesMAHBarrier23[Typical Criticality],MATCH($T244,TypicalCriticalitiesMAHBarrier23[Column2],0)),"")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str">
        <f ca="1">IF($T245&lt;=AA$4,INDEX(TypicalCriticalitiesMAHBarrier23[Typical Components],MATCH($T245,TypicalCriticalitiesMAHBarrier23[Column2],0)),"")</f>
        <v/>
      </c>
      <c r="W245" t="str">
        <f ca="1">IF($T245&lt;=AA$4,INDEX(TypicalCriticalitiesMAHBarrier23[Typical Criticality],MATCH($T245,TypicalCriticalitiesMAHBarrier23[Column2],0)),"")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str">
        <f ca="1">IF($T246&lt;=AA$4,INDEX(TypicalCriticalitiesMAHBarrier23[Typical Components],MATCH($T246,TypicalCriticalitiesMAHBarrier23[Column2],0)),"")</f>
        <v/>
      </c>
      <c r="W246" t="str">
        <f ca="1">IF($T246&lt;=AA$4,INDEX(TypicalCriticalitiesMAHBarrier23[Typical Criticality],MATCH($T246,TypicalCriticalitiesMAHBarrier23[Column2],0)),"")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str">
        <f ca="1">IF($T247&lt;=AA$4,INDEX(TypicalCriticalitiesMAHBarrier23[Typical Components],MATCH($T247,TypicalCriticalitiesMAHBarrier23[Column2],0)),"")</f>
        <v/>
      </c>
      <c r="W247" t="str">
        <f ca="1">IF($T247&lt;=AA$4,INDEX(TypicalCriticalitiesMAHBarrier23[Typical Criticality],MATCH($T247,TypicalCriticalitiesMAHBarrier23[Column2],0)),"")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str">
        <f ca="1">IF($T248&lt;=AA$4,INDEX(TypicalCriticalitiesMAHBarrier23[Typical Components],MATCH($T248,TypicalCriticalitiesMAHBarrier23[Column2],0)),"")</f>
        <v/>
      </c>
      <c r="W248" t="str">
        <f ca="1">IF($T248&lt;=AA$4,INDEX(TypicalCriticalitiesMAHBarrier23[Typical Criticality],MATCH($T248,TypicalCriticalitiesMAHBarrier23[Column2],0)),"")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str">
        <f ca="1">IF($T249&lt;=AA$4,INDEX(TypicalCriticalitiesMAHBarrier23[Typical Components],MATCH($T249,TypicalCriticalitiesMAHBarrier23[Column2],0)),"")</f>
        <v/>
      </c>
      <c r="W249" t="str">
        <f ca="1">IF($T249&lt;=AA$4,INDEX(TypicalCriticalitiesMAHBarrier23[Typical Criticality],MATCH($T249,TypicalCriticalitiesMAHBarrier23[Column2],0)),"")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str">
        <f ca="1">IF($T250&lt;=AA$4,INDEX(TypicalCriticalitiesMAHBarrier23[Typical Components],MATCH($T250,TypicalCriticalitiesMAHBarrier23[Column2],0)),"")</f>
        <v/>
      </c>
      <c r="W250" t="str">
        <f ca="1">IF($T250&lt;=AA$4,INDEX(TypicalCriticalitiesMAHBarrier23[Typical Criticality],MATCH($T250,TypicalCriticalitiesMAHBarrier23[Column2],0)),"")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str">
        <f ca="1">IF($T251&lt;=AA$4,INDEX(TypicalCriticalitiesMAHBarrier23[Typical Components],MATCH($T251,TypicalCriticalitiesMAHBarrier23[Column2],0)),"")</f>
        <v/>
      </c>
      <c r="W251" t="str">
        <f ca="1">IF($T251&lt;=AA$4,INDEX(TypicalCriticalitiesMAHBarrier23[Typical Criticality],MATCH($T251,TypicalCriticalitiesMAHBarrier23[Column2],0)),"")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str">
        <f ca="1">IF($T252&lt;=AA$4,INDEX(TypicalCriticalitiesMAHBarrier23[Typical Components],MATCH($T252,TypicalCriticalitiesMAHBarrier23[Column2],0)),"")</f>
        <v/>
      </c>
      <c r="W252" t="str">
        <f ca="1">IF($T252&lt;=AA$4,INDEX(TypicalCriticalitiesMAHBarrier23[Typical Criticality],MATCH($T252,TypicalCriticalitiesMAHBarrier23[Column2],0)),"")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str">
        <f ca="1">IF($T253&lt;=AA$4,INDEX(TypicalCriticalitiesMAHBarrier23[Typical Components],MATCH($T253,TypicalCriticalitiesMAHBarrier23[Column2],0)),"")</f>
        <v/>
      </c>
      <c r="W253" t="str">
        <f ca="1">IF($T253&lt;=AA$4,INDEX(TypicalCriticalitiesMAHBarrier23[Typical Criticality],MATCH($T253,TypicalCriticalitiesMAHBarrier23[Column2],0)),"")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str">
        <f ca="1">IF($T254&lt;=AA$4,INDEX(TypicalCriticalitiesMAHBarrier23[Typical Components],MATCH($T254,TypicalCriticalitiesMAHBarrier23[Column2],0)),"")</f>
        <v/>
      </c>
      <c r="W254" t="str">
        <f ca="1">IF($T254&lt;=AA$4,INDEX(TypicalCriticalitiesMAHBarrier23[Typical Criticality],MATCH($T254,TypicalCriticalitiesMAHBarrier23[Column2],0)),"")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str">
        <f ca="1">IF($T255&lt;=AA$4,INDEX(TypicalCriticalitiesMAHBarrier23[Typical Components],MATCH($T255,TypicalCriticalitiesMAHBarrier23[Column2],0)),"")</f>
        <v/>
      </c>
      <c r="W255" t="str">
        <f ca="1">IF($T255&lt;=AA$4,INDEX(TypicalCriticalitiesMAHBarrier23[Typical Criticality],MATCH($T255,TypicalCriticalitiesMAHBarrier23[Column2],0)),"")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str">
        <f ca="1">IF($T256&lt;=AA$4,INDEX(TypicalCriticalitiesMAHBarrier23[Typical Components],MATCH($T256,TypicalCriticalitiesMAHBarrier23[Column2],0)),"")</f>
        <v/>
      </c>
      <c r="W256" t="str">
        <f ca="1">IF($T256&lt;=AA$4,INDEX(TypicalCriticalitiesMAHBarrier23[Typical Criticality],MATCH($T256,TypicalCriticalitiesMAHBarrier23[Column2],0)),"")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str">
        <f ca="1">IF($T257&lt;=AA$4,INDEX(TypicalCriticalitiesMAHBarrier23[Typical Components],MATCH($T257,TypicalCriticalitiesMAHBarrier23[Column2],0)),"")</f>
        <v/>
      </c>
      <c r="W257" t="str">
        <f ca="1">IF($T257&lt;=AA$4,INDEX(TypicalCriticalitiesMAHBarrier23[Typical Criticality],MATCH($T257,TypicalCriticalitiesMAHBarrier23[Column2],0)),"")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str">
        <f ca="1">IF($T258&lt;=AA$4,INDEX(TypicalCriticalitiesMAHBarrier23[Typical Components],MATCH($T258,TypicalCriticalitiesMAHBarrier23[Column2],0)),"")</f>
        <v/>
      </c>
      <c r="W258" t="str">
        <f ca="1">IF($T258&lt;=AA$4,INDEX(TypicalCriticalitiesMAHBarrier23[Typical Criticality],MATCH($T258,TypicalCriticalitiesMAHBarrier23[Column2],0)),"")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str">
        <f ca="1">IF($T259&lt;=AA$4,INDEX(TypicalCriticalitiesMAHBarrier23[Typical Components],MATCH($T259,TypicalCriticalitiesMAHBarrier23[Column2],0)),"")</f>
        <v/>
      </c>
      <c r="W259" t="str">
        <f ca="1">IF($T259&lt;=AA$4,INDEX(TypicalCriticalitiesMAHBarrier23[Typical Criticality],MATCH($T259,TypicalCriticalitiesMAHBarrier23[Column2],0)),"")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str">
        <f ca="1">IF($T260&lt;=AA$4,INDEX(TypicalCriticalitiesMAHBarrier23[Typical Components],MATCH($T260,TypicalCriticalitiesMAHBarrier23[Column2],0)),"")</f>
        <v/>
      </c>
      <c r="W260" t="str">
        <f ca="1">IF($T260&lt;=AA$4,INDEX(TypicalCriticalitiesMAHBarrier23[Typical Criticality],MATCH($T260,TypicalCriticalitiesMAHBarrier23[Column2],0)),"")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str">
        <f ca="1">IF($T261&lt;=AA$4,INDEX(TypicalCriticalitiesMAHBarrier23[Typical Components],MATCH($T261,TypicalCriticalitiesMAHBarrier23[Column2],0)),"")</f>
        <v/>
      </c>
      <c r="W261" t="str">
        <f ca="1">IF($T261&lt;=AA$4,INDEX(TypicalCriticalitiesMAHBarrier23[Typical Criticality],MATCH($T261,TypicalCriticalitiesMAHBarrier23[Column2],0)),"")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str">
        <f ca="1">IF($T262&lt;=AA$4,INDEX(TypicalCriticalitiesMAHBarrier23[Typical Components],MATCH($T262,TypicalCriticalitiesMAHBarrier23[Column2],0)),"")</f>
        <v/>
      </c>
      <c r="W262" t="str">
        <f ca="1">IF($T262&lt;=AA$4,INDEX(TypicalCriticalitiesMAHBarrier23[Typical Criticality],MATCH($T262,TypicalCriticalitiesMAHBarrier23[Column2],0)),"")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str">
        <f ca="1">IF($T263&lt;=AA$4,INDEX(TypicalCriticalitiesMAHBarrier23[Typical Components],MATCH($T263,TypicalCriticalitiesMAHBarrier23[Column2],0)),"")</f>
        <v/>
      </c>
      <c r="W263" t="str">
        <f ca="1">IF($T263&lt;=AA$4,INDEX(TypicalCriticalitiesMAHBarrier23[Typical Criticality],MATCH($T263,TypicalCriticalitiesMAHBarrier23[Column2],0)),"")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str">
        <f ca="1">IF($T264&lt;=AA$4,INDEX(TypicalCriticalitiesMAHBarrier23[Typical Components],MATCH($T264,TypicalCriticalitiesMAHBarrier23[Column2],0)),"")</f>
        <v/>
      </c>
      <c r="W264" t="str">
        <f ca="1">IF($T264&lt;=AA$4,INDEX(TypicalCriticalitiesMAHBarrier23[Typical Criticality],MATCH($T264,TypicalCriticalitiesMAHBarrier23[Column2],0)),"")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str">
        <f ca="1">IF($T265&lt;=AA$4,INDEX(TypicalCriticalitiesMAHBarrier23[Typical Components],MATCH($T265,TypicalCriticalitiesMAHBarrier23[Column2],0)),"")</f>
        <v/>
      </c>
      <c r="W265" t="str">
        <f ca="1">IF($T265&lt;=AA$4,INDEX(TypicalCriticalitiesMAHBarrier23[Typical Criticality],MATCH($T265,TypicalCriticalitiesMAHBarrier23[Column2],0)),"")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str">
        <f ca="1">IF($T266&lt;=AA$4,INDEX(TypicalCriticalitiesMAHBarrier23[Typical Components],MATCH($T266,TypicalCriticalitiesMAHBarrier23[Column2],0)),"")</f>
        <v/>
      </c>
      <c r="W266" t="str">
        <f ca="1">IF($T266&lt;=AA$4,INDEX(TypicalCriticalitiesMAHBarrier23[Typical Criticality],MATCH($T266,TypicalCriticalitiesMAHBarrier23[Column2],0)),"")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str">
        <f ca="1">IF($T267&lt;=AA$4,INDEX(TypicalCriticalitiesMAHBarrier23[Typical Components],MATCH($T267,TypicalCriticalitiesMAHBarrier23[Column2],0)),"")</f>
        <v/>
      </c>
      <c r="W267" t="str">
        <f ca="1">IF($T267&lt;=AA$4,INDEX(TypicalCriticalitiesMAHBarrier23[Typical Criticality],MATCH($T267,TypicalCriticalitiesMAHBarrier23[Column2],0)),"")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str">
        <f ca="1">IF($T268&lt;=AA$4,INDEX(TypicalCriticalitiesMAHBarrier23[Typical Components],MATCH($T268,TypicalCriticalitiesMAHBarrier23[Column2],0)),"")</f>
        <v/>
      </c>
      <c r="W268" t="str">
        <f ca="1">IF($T268&lt;=AA$4,INDEX(TypicalCriticalitiesMAHBarrier23[Typical Criticality],MATCH($T268,TypicalCriticalitiesMAHBarrier23[Column2],0)),"")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str">
        <f ca="1">IF($T269&lt;=AA$4,INDEX(TypicalCriticalitiesMAHBarrier23[Typical Components],MATCH($T269,TypicalCriticalitiesMAHBarrier23[Column2],0)),"")</f>
        <v/>
      </c>
      <c r="W269" t="str">
        <f ca="1">IF($T269&lt;=AA$4,INDEX(TypicalCriticalitiesMAHBarrier23[Typical Criticality],MATCH($T269,TypicalCriticalitiesMAHBarrier23[Column2],0)),"")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str">
        <f ca="1">IF($T270&lt;=AA$4,INDEX(TypicalCriticalitiesMAHBarrier23[Typical Components],MATCH($T270,TypicalCriticalitiesMAHBarrier23[Column2],0)),"")</f>
        <v/>
      </c>
      <c r="W270" t="str">
        <f ca="1">IF($T270&lt;=AA$4,INDEX(TypicalCriticalitiesMAHBarrier23[Typical Criticality],MATCH($T270,TypicalCriticalitiesMAHBarrier23[Column2],0)),"")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str">
        <f ca="1">IF($T271&lt;=AA$4,INDEX(TypicalCriticalitiesMAHBarrier23[Typical Components],MATCH($T271,TypicalCriticalitiesMAHBarrier23[Column2],0)),"")</f>
        <v/>
      </c>
      <c r="W271" t="str">
        <f ca="1">IF($T271&lt;=AA$4,INDEX(TypicalCriticalitiesMAHBarrier23[Typical Criticality],MATCH($T271,TypicalCriticalitiesMAHBarrier23[Column2],0)),"")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str">
        <f ca="1">IF($T272&lt;=AA$4,INDEX(TypicalCriticalitiesMAHBarrier23[Typical Components],MATCH($T272,TypicalCriticalitiesMAHBarrier23[Column2],0)),"")</f>
        <v/>
      </c>
      <c r="W272" t="str">
        <f ca="1">IF($T272&lt;=AA$4,INDEX(TypicalCriticalitiesMAHBarrier23[Typical Criticality],MATCH($T272,TypicalCriticalitiesMAHBarrier23[Column2],0)),"")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str">
        <f ca="1">IF($T273&lt;=AA$4,INDEX(TypicalCriticalitiesMAHBarrier23[Typical Components],MATCH($T273,TypicalCriticalitiesMAHBarrier23[Column2],0)),"")</f>
        <v/>
      </c>
      <c r="W273" t="str">
        <f ca="1">IF($T273&lt;=AA$4,INDEX(TypicalCriticalitiesMAHBarrier23[Typical Criticality],MATCH($T273,TypicalCriticalitiesMAHBarrier23[Column2],0)),"")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str">
        <f ca="1">IF($T274&lt;=AA$4,INDEX(TypicalCriticalitiesMAHBarrier23[Typical Components],MATCH($T274,TypicalCriticalitiesMAHBarrier23[Column2],0)),"")</f>
        <v/>
      </c>
      <c r="W274" t="str">
        <f ca="1">IF($T274&lt;=AA$4,INDEX(TypicalCriticalitiesMAHBarrier23[Typical Criticality],MATCH($T274,TypicalCriticalitiesMAHBarrier23[Column2],0)),"")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str">
        <f ca="1">IF($T275&lt;=AA$4,INDEX(TypicalCriticalitiesMAHBarrier23[Typical Components],MATCH($T275,TypicalCriticalitiesMAHBarrier23[Column2],0)),"")</f>
        <v/>
      </c>
      <c r="W275" t="str">
        <f ca="1">IF($T275&lt;=AA$4,INDEX(TypicalCriticalitiesMAHBarrier23[Typical Criticality],MATCH($T275,TypicalCriticalitiesMAHBarrier23[Column2],0)),"")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str">
        <f ca="1">IF($T276&lt;=AA$4,INDEX(TypicalCriticalitiesMAHBarrier23[Typical Components],MATCH($T276,TypicalCriticalitiesMAHBarrier23[Column2],0)),"")</f>
        <v/>
      </c>
      <c r="W276" t="str">
        <f ca="1">IF($T276&lt;=AA$4,INDEX(TypicalCriticalitiesMAHBarrier23[Typical Criticality],MATCH($T276,TypicalCriticalitiesMAHBarrier23[Column2],0)),"")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str">
        <f ca="1">IF($T277&lt;=AA$4,INDEX(TypicalCriticalitiesMAHBarrier23[Typical Components],MATCH($T277,TypicalCriticalitiesMAHBarrier23[Column2],0)),"")</f>
        <v/>
      </c>
      <c r="W277" t="str">
        <f ca="1">IF($T277&lt;=AA$4,INDEX(TypicalCriticalitiesMAHBarrier23[Typical Criticality],MATCH($T277,TypicalCriticalitiesMAHBarrier23[Column2],0)),"")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str">
        <f ca="1">IF($T278&lt;=AA$4,INDEX(TypicalCriticalitiesMAHBarrier23[Typical Components],MATCH($T278,TypicalCriticalitiesMAHBarrier23[Column2],0)),"")</f>
        <v/>
      </c>
      <c r="W278" t="str">
        <f ca="1">IF($T278&lt;=AA$4,INDEX(TypicalCriticalitiesMAHBarrier23[Typical Criticality],MATCH($T278,TypicalCriticalitiesMAHBarrier23[Column2],0)),"")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str">
        <f ca="1">IF($T279&lt;=AA$4,INDEX(TypicalCriticalitiesMAHBarrier23[Typical Components],MATCH($T279,TypicalCriticalitiesMAHBarrier23[Column2],0)),"")</f>
        <v/>
      </c>
      <c r="W279" t="str">
        <f ca="1">IF($T279&lt;=AA$4,INDEX(TypicalCriticalitiesMAHBarrier23[Typical Criticality],MATCH($T279,TypicalCriticalitiesMAHBarrier23[Column2],0)),"")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str">
        <f ca="1">IF($T280&lt;=AA$4,INDEX(TypicalCriticalitiesMAHBarrier23[Typical Components],MATCH($T280,TypicalCriticalitiesMAHBarrier23[Column2],0)),"")</f>
        <v/>
      </c>
      <c r="W280" t="str">
        <f ca="1">IF($T280&lt;=AA$4,INDEX(TypicalCriticalitiesMAHBarrier23[Typical Criticality],MATCH($T280,TypicalCriticalitiesMAHBarrier23[Column2],0)),"")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str">
        <f ca="1">IF($T281&lt;=AA$4,INDEX(TypicalCriticalitiesMAHBarrier23[Typical Components],MATCH($T281,TypicalCriticalitiesMAHBarrier23[Column2],0)),"")</f>
        <v/>
      </c>
      <c r="W281" t="str">
        <f ca="1">IF($T281&lt;=AA$4,INDEX(TypicalCriticalitiesMAHBarrier23[Typical Criticality],MATCH($T281,TypicalCriticalitiesMAHBarrier23[Column2],0)),"")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str">
        <f ca="1">IF($T282&lt;=AA$4,INDEX(TypicalCriticalitiesMAHBarrier23[Typical Components],MATCH($T282,TypicalCriticalitiesMAHBarrier23[Column2],0)),"")</f>
        <v/>
      </c>
      <c r="W282" t="str">
        <f ca="1">IF($T282&lt;=AA$4,INDEX(TypicalCriticalitiesMAHBarrier23[Typical Criticality],MATCH($T282,TypicalCriticalitiesMAHBarrier23[Column2],0)),"")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str">
        <f ca="1">IF($T283&lt;=AA$4,INDEX(TypicalCriticalitiesMAHBarrier23[Typical Components],MATCH($T283,TypicalCriticalitiesMAHBarrier23[Column2],0)),"")</f>
        <v/>
      </c>
      <c r="W283" t="str">
        <f ca="1">IF($T283&lt;=AA$4,INDEX(TypicalCriticalitiesMAHBarrier23[Typical Criticality],MATCH($T283,TypicalCriticalitiesMAHBarrier23[Column2],0)),"")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str">
        <f ca="1">IF($T284&lt;=AA$4,INDEX(TypicalCriticalitiesMAHBarrier23[Typical Components],MATCH($T284,TypicalCriticalitiesMAHBarrier23[Column2],0)),"")</f>
        <v/>
      </c>
      <c r="W284" t="str">
        <f ca="1">IF($T284&lt;=AA$4,INDEX(TypicalCriticalitiesMAHBarrier23[Typical Criticality],MATCH($T284,TypicalCriticalitiesMAHBarrier23[Column2],0)),"")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str">
        <f ca="1">IF($T285&lt;=AA$4,INDEX(TypicalCriticalitiesMAHBarrier23[Typical Components],MATCH($T285,TypicalCriticalitiesMAHBarrier23[Column2],0)),"")</f>
        <v/>
      </c>
      <c r="W285" t="str">
        <f ca="1">IF($T285&lt;=AA$4,INDEX(TypicalCriticalitiesMAHBarrier23[Typical Criticality],MATCH($T285,TypicalCriticalitiesMAHBarrier23[Column2],0)),"")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str">
        <f ca="1">IF($T286&lt;=AA$4,INDEX(TypicalCriticalitiesMAHBarrier23[Typical Components],MATCH($T286,TypicalCriticalitiesMAHBarrier23[Column2],0)),"")</f>
        <v/>
      </c>
      <c r="W286" t="str">
        <f ca="1">IF($T286&lt;=AA$4,INDEX(TypicalCriticalitiesMAHBarrier23[Typical Criticality],MATCH($T286,TypicalCriticalitiesMAHBarrier23[Column2],0)),"")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str">
        <f ca="1">IF($T287&lt;=AA$4,INDEX(TypicalCriticalitiesMAHBarrier23[Typical Components],MATCH($T287,TypicalCriticalitiesMAHBarrier23[Column2],0)),"")</f>
        <v/>
      </c>
      <c r="W287" t="str">
        <f ca="1">IF($T287&lt;=AA$4,INDEX(TypicalCriticalitiesMAHBarrier23[Typical Criticality],MATCH($T287,TypicalCriticalitiesMAHBarrier23[Column2],0)),"")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str">
        <f ca="1">IF($T288&lt;=AA$4,INDEX(TypicalCriticalitiesMAHBarrier23[Typical Components],MATCH($T288,TypicalCriticalitiesMAHBarrier23[Column2],0)),"")</f>
        <v/>
      </c>
      <c r="W288" t="str">
        <f ca="1">IF($T288&lt;=AA$4,INDEX(TypicalCriticalitiesMAHBarrier23[Typical Criticality],MATCH($T288,TypicalCriticalitiesMAHBarrier23[Column2],0)),"")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str">
        <f ca="1">IF($T289&lt;=AA$4,INDEX(TypicalCriticalitiesMAHBarrier23[Typical Components],MATCH($T289,TypicalCriticalitiesMAHBarrier23[Column2],0)),"")</f>
        <v/>
      </c>
      <c r="W289" t="str">
        <f ca="1">IF($T289&lt;=AA$4,INDEX(TypicalCriticalitiesMAHBarrier23[Typical Criticality],MATCH($T289,TypicalCriticalitiesMAHBarrier23[Column2],0)),"")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str">
        <f ca="1">IF($T290&lt;=AA$4,INDEX(TypicalCriticalitiesMAHBarrier23[Typical Components],MATCH($T290,TypicalCriticalitiesMAHBarrier23[Column2],0)),"")</f>
        <v/>
      </c>
      <c r="W290" t="str">
        <f ca="1">IF($T290&lt;=AA$4,INDEX(TypicalCriticalitiesMAHBarrier23[Typical Criticality],MATCH($T290,TypicalCriticalitiesMAHBarrier23[Column2],0)),"")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str">
        <f ca="1">IF($T291&lt;=AA$4,INDEX(TypicalCriticalitiesMAHBarrier23[Typical Components],MATCH($T291,TypicalCriticalitiesMAHBarrier23[Column2],0)),"")</f>
        <v/>
      </c>
      <c r="W291" t="str">
        <f ca="1">IF($T291&lt;=AA$4,INDEX(TypicalCriticalitiesMAHBarrier23[Typical Criticality],MATCH($T291,TypicalCriticalitiesMAHBarrier23[Column2],0)),"")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str">
        <f ca="1">IF($T292&lt;=AA$4,INDEX(TypicalCriticalitiesMAHBarrier23[Typical Components],MATCH($T292,TypicalCriticalitiesMAHBarrier23[Column2],0)),"")</f>
        <v/>
      </c>
      <c r="W292" t="str">
        <f ca="1">IF($T292&lt;=AA$4,INDEX(TypicalCriticalitiesMAHBarrier23[Typical Criticality],MATCH($T292,TypicalCriticalitiesMAHBarrier23[Column2],0)),"")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str">
        <f ca="1">IF($T293&lt;=AA$4,INDEX(TypicalCriticalitiesMAHBarrier23[Typical Components],MATCH($T293,TypicalCriticalitiesMAHBarrier23[Column2],0)),"")</f>
        <v/>
      </c>
      <c r="W293" t="str">
        <f ca="1">IF($T293&lt;=AA$4,INDEX(TypicalCriticalitiesMAHBarrier23[Typical Criticality],MATCH($T293,TypicalCriticalitiesMAHBarrier23[Column2],0)),"")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str">
        <f ca="1">IF($T294&lt;=AA$4,INDEX(TypicalCriticalitiesMAHBarrier23[Typical Components],MATCH($T294,TypicalCriticalitiesMAHBarrier23[Column2],0)),"")</f>
        <v/>
      </c>
      <c r="W294" t="str">
        <f ca="1">IF($T294&lt;=AA$4,INDEX(TypicalCriticalitiesMAHBarrier23[Typical Criticality],MATCH($T294,TypicalCriticalitiesMAHBarrier23[Column2],0)),"")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str">
        <f ca="1">IF($T295&lt;=AA$4,INDEX(TypicalCriticalitiesMAHBarrier23[Typical Components],MATCH($T295,TypicalCriticalitiesMAHBarrier23[Column2],0)),"")</f>
        <v/>
      </c>
      <c r="W295" t="str">
        <f ca="1">IF($T295&lt;=AA$4,INDEX(TypicalCriticalitiesMAHBarrier23[Typical Criticality],MATCH($T295,TypicalCriticalitiesMAHBarrier23[Column2],0)),"")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str">
        <f ca="1">IF($T296&lt;=AA$4,INDEX(TypicalCriticalitiesMAHBarrier23[Typical Components],MATCH($T296,TypicalCriticalitiesMAHBarrier23[Column2],0)),"")</f>
        <v/>
      </c>
      <c r="W296" t="str">
        <f ca="1">IF($T296&lt;=AA$4,INDEX(TypicalCriticalitiesMAHBarrier23[Typical Criticality],MATCH($T296,TypicalCriticalitiesMAHBarrier23[Column2],0)),"")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str">
        <f ca="1">IF($T297&lt;=AA$4,INDEX(TypicalCriticalitiesMAHBarrier23[Typical Components],MATCH($T297,TypicalCriticalitiesMAHBarrier23[Column2],0)),"")</f>
        <v/>
      </c>
      <c r="W297" t="str">
        <f ca="1">IF($T297&lt;=AA$4,INDEX(TypicalCriticalitiesMAHBarrier23[Typical Criticality],MATCH($T297,TypicalCriticalitiesMAHBarrier23[Column2],0)),"")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str">
        <f ca="1">IF($T298&lt;=AA$4,INDEX(TypicalCriticalitiesMAHBarrier23[Typical Components],MATCH($T298,TypicalCriticalitiesMAHBarrier23[Column2],0)),"")</f>
        <v/>
      </c>
      <c r="W298" t="str">
        <f ca="1">IF($T298&lt;=AA$4,INDEX(TypicalCriticalitiesMAHBarrier23[Typical Criticality],MATCH($T298,TypicalCriticalitiesMAHBarrier23[Column2],0)),"")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str">
        <f ca="1">IF($T299&lt;=AA$4,INDEX(TypicalCriticalitiesMAHBarrier23[Typical Components],MATCH($T299,TypicalCriticalitiesMAHBarrier23[Column2],0)),"")</f>
        <v/>
      </c>
      <c r="W299" t="str">
        <f ca="1">IF($T299&lt;=AA$4,INDEX(TypicalCriticalitiesMAHBarrier23[Typical Criticality],MATCH($T299,TypicalCriticalitiesMAHBarrier23[Column2],0)),"")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str">
        <f ca="1">IF($T300&lt;=AA$4,INDEX(TypicalCriticalitiesMAHBarrier23[Typical Components],MATCH($T300,TypicalCriticalitiesMAHBarrier23[Column2],0)),"")</f>
        <v/>
      </c>
      <c r="W300" t="str">
        <f ca="1">IF($T300&lt;=AA$4,INDEX(TypicalCriticalitiesMAHBarrier23[Typical Criticality],MATCH($T300,TypicalCriticalitiesMAHBarrier23[Column2],0)),"")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str">
        <f ca="1">IF($T301&lt;=AA$4,INDEX(TypicalCriticalitiesMAHBarrier23[Typical Components],MATCH($T301,TypicalCriticalitiesMAHBarrier23[Column2],0)),"")</f>
        <v/>
      </c>
      <c r="W301" t="str">
        <f ca="1">IF($T301&lt;=AA$4,INDEX(TypicalCriticalitiesMAHBarrier23[Typical Criticality],MATCH($T301,TypicalCriticalitiesMAHBarrier23[Column2],0)),"")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str">
        <f ca="1">IF($T302&lt;=AA$4,INDEX(TypicalCriticalitiesMAHBarrier23[Typical Components],MATCH($T302,TypicalCriticalitiesMAHBarrier23[Column2],0)),"")</f>
        <v/>
      </c>
      <c r="W302" t="str">
        <f ca="1">IF($T302&lt;=AA$4,INDEX(TypicalCriticalitiesMAHBarrier23[Typical Criticality],MATCH($T302,TypicalCriticalitiesMAHBarrier23[Column2],0)),"")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str">
        <f ca="1">IF($T303&lt;=AA$4,INDEX(TypicalCriticalitiesMAHBarrier23[Typical Components],MATCH($T303,TypicalCriticalitiesMAHBarrier23[Column2],0)),"")</f>
        <v/>
      </c>
      <c r="W303" t="str">
        <f ca="1">IF($T303&lt;=AA$4,INDEX(TypicalCriticalitiesMAHBarrier23[Typical Criticality],MATCH($T303,TypicalCriticalitiesMAHBarrier23[Column2],0)),"")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str">
        <f ca="1">IF($T304&lt;=AA$4,INDEX(TypicalCriticalitiesMAHBarrier23[Typical Components],MATCH($T304,TypicalCriticalitiesMAHBarrier23[Column2],0)),"")</f>
        <v/>
      </c>
      <c r="W304" t="str">
        <f ca="1">IF($T304&lt;=AA$4,INDEX(TypicalCriticalitiesMAHBarrier23[Typical Criticality],MATCH($T304,TypicalCriticalitiesMAHBarrier23[Column2],0)),"")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str">
        <f ca="1">IF($T305&lt;=AA$4,INDEX(TypicalCriticalitiesMAHBarrier23[Typical Components],MATCH($T305,TypicalCriticalitiesMAHBarrier23[Column2],0)),"")</f>
        <v/>
      </c>
      <c r="W305" t="str">
        <f ca="1">IF($T305&lt;=AA$4,INDEX(TypicalCriticalitiesMAHBarrier23[Typical Criticality],MATCH($T305,TypicalCriticalitiesMAHBarrier23[Column2],0)),"")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str">
        <f ca="1">IF($T306&lt;=AA$4,INDEX(TypicalCriticalitiesMAHBarrier23[Typical Components],MATCH($T306,TypicalCriticalitiesMAHBarrier23[Column2],0)),"")</f>
        <v/>
      </c>
      <c r="W306" t="str">
        <f ca="1">IF($T306&lt;=AA$4,INDEX(TypicalCriticalitiesMAHBarrier23[Typical Criticality],MATCH($T306,TypicalCriticalitiesMAHBarrier23[Column2],0)),"")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str">
        <f ca="1">IF($T307&lt;=AA$4,INDEX(TypicalCriticalitiesMAHBarrier23[Typical Components],MATCH($T307,TypicalCriticalitiesMAHBarrier23[Column2],0)),"")</f>
        <v/>
      </c>
      <c r="W307" t="str">
        <f ca="1">IF($T307&lt;=AA$4,INDEX(TypicalCriticalitiesMAHBarrier23[Typical Criticality],MATCH($T307,TypicalCriticalitiesMAHBarrier23[Column2],0)),"")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str">
        <f ca="1">IF($T308&lt;=AA$4,INDEX(TypicalCriticalitiesMAHBarrier23[Typical Components],MATCH($T308,TypicalCriticalitiesMAHBarrier23[Column2],0)),"")</f>
        <v/>
      </c>
      <c r="W308" t="str">
        <f ca="1">IF($T308&lt;=AA$4,INDEX(TypicalCriticalitiesMAHBarrier23[Typical Criticality],MATCH($T308,TypicalCriticalitiesMAHBarrier23[Column2],0)),"")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str">
        <f ca="1">IF($T309&lt;=AA$4,INDEX(TypicalCriticalitiesMAHBarrier23[Typical Components],MATCH($T309,TypicalCriticalitiesMAHBarrier23[Column2],0)),"")</f>
        <v/>
      </c>
      <c r="W309" t="str">
        <f ca="1">IF($T309&lt;=AA$4,INDEX(TypicalCriticalitiesMAHBarrier23[Typical Criticality],MATCH($T309,TypicalCriticalitiesMAHBarrier23[Column2],0)),"")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 link="1"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49" priority="1" operator="containsText" text="YES">
      <formula>NOT(ISERROR(SEARCH("YES",G6)))</formula>
    </cfRule>
  </conditionalFormatting>
  <conditionalFormatting sqref="I7">
    <cfRule type="expression" dxfId="48" priority="2">
      <formula>NOT(K6)</formula>
    </cfRule>
  </conditionalFormatting>
  <dataValidations disablePrompts="1"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>
      <selection activeCell="E13" sqref="E13"/>
    </sheetView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00" t="s">
        <v>642</v>
      </c>
      <c r="B1" s="101" t="s">
        <v>643</v>
      </c>
      <c r="C1" s="101" t="s">
        <v>644</v>
      </c>
      <c r="D1" s="101" t="s">
        <v>645</v>
      </c>
      <c r="E1" s="101" t="s">
        <v>646</v>
      </c>
      <c r="F1" s="102" t="s">
        <v>641</v>
      </c>
    </row>
    <row r="2" spans="1:6" x14ac:dyDescent="0.25">
      <c r="A2" s="96" t="s">
        <v>647</v>
      </c>
      <c r="B2" s="91" t="s">
        <v>648</v>
      </c>
      <c r="C2" s="91" t="s">
        <v>649</v>
      </c>
      <c r="D2" s="91" t="s">
        <v>650</v>
      </c>
      <c r="E2" s="91" t="s">
        <v>49</v>
      </c>
      <c r="F2" s="98"/>
    </row>
    <row r="3" spans="1:6" x14ac:dyDescent="0.25">
      <c r="A3" s="96" t="s">
        <v>651</v>
      </c>
      <c r="B3" s="91" t="s">
        <v>652</v>
      </c>
      <c r="C3" s="91" t="s">
        <v>653</v>
      </c>
      <c r="D3" s="91" t="s">
        <v>650</v>
      </c>
      <c r="E3" s="91" t="s">
        <v>49</v>
      </c>
      <c r="F3" s="98" t="s">
        <v>654</v>
      </c>
    </row>
    <row r="4" spans="1:6" x14ac:dyDescent="0.25">
      <c r="A4" s="96" t="s">
        <v>655</v>
      </c>
      <c r="B4" s="91" t="s">
        <v>652</v>
      </c>
      <c r="C4" s="91" t="s">
        <v>656</v>
      </c>
      <c r="D4" s="91" t="s">
        <v>650</v>
      </c>
      <c r="E4" s="91" t="s">
        <v>49</v>
      </c>
      <c r="F4" s="98" t="s">
        <v>654</v>
      </c>
    </row>
    <row r="5" spans="1:6" x14ac:dyDescent="0.25">
      <c r="A5" s="96" t="s">
        <v>657</v>
      </c>
      <c r="B5" s="91" t="s">
        <v>652</v>
      </c>
      <c r="C5" s="91" t="s">
        <v>658</v>
      </c>
      <c r="D5" s="91" t="s">
        <v>650</v>
      </c>
      <c r="E5" s="91" t="s">
        <v>49</v>
      </c>
      <c r="F5" s="98" t="s">
        <v>654</v>
      </c>
    </row>
    <row r="6" spans="1:6" x14ac:dyDescent="0.25">
      <c r="A6" s="96" t="s">
        <v>659</v>
      </c>
      <c r="B6" s="91" t="s">
        <v>652</v>
      </c>
      <c r="C6" s="91" t="s">
        <v>660</v>
      </c>
      <c r="D6" s="91" t="s">
        <v>650</v>
      </c>
      <c r="E6" s="91" t="s">
        <v>49</v>
      </c>
      <c r="F6" s="98" t="s">
        <v>654</v>
      </c>
    </row>
    <row r="7" spans="1:6" x14ac:dyDescent="0.25">
      <c r="A7" s="96" t="s">
        <v>661</v>
      </c>
      <c r="B7" s="91" t="s">
        <v>662</v>
      </c>
      <c r="C7" s="91" t="s">
        <v>663</v>
      </c>
      <c r="D7" s="91" t="s">
        <v>650</v>
      </c>
      <c r="E7" s="91" t="s">
        <v>49</v>
      </c>
      <c r="F7" s="98"/>
    </row>
    <row r="8" spans="1:6" x14ac:dyDescent="0.25">
      <c r="A8" s="96" t="s">
        <v>664</v>
      </c>
      <c r="B8" s="91" t="s">
        <v>652</v>
      </c>
      <c r="C8" s="91" t="s">
        <v>665</v>
      </c>
      <c r="D8" s="91" t="s">
        <v>650</v>
      </c>
      <c r="E8" s="91" t="s">
        <v>49</v>
      </c>
      <c r="F8" s="98" t="s">
        <v>654</v>
      </c>
    </row>
    <row r="9" spans="1:6" x14ac:dyDescent="0.25">
      <c r="A9" s="96" t="s">
        <v>666</v>
      </c>
      <c r="B9" s="91" t="s">
        <v>652</v>
      </c>
      <c r="C9" s="91" t="s">
        <v>667</v>
      </c>
      <c r="D9" s="91" t="s">
        <v>650</v>
      </c>
      <c r="E9" s="91" t="s">
        <v>49</v>
      </c>
      <c r="F9" s="98" t="s">
        <v>654</v>
      </c>
    </row>
    <row r="10" spans="1:6" x14ac:dyDescent="0.25">
      <c r="A10" s="96" t="s">
        <v>668</v>
      </c>
      <c r="B10" s="91" t="s">
        <v>652</v>
      </c>
      <c r="C10" s="91" t="s">
        <v>669</v>
      </c>
      <c r="D10" s="91" t="s">
        <v>650</v>
      </c>
      <c r="E10" s="91" t="s">
        <v>49</v>
      </c>
      <c r="F10" s="98" t="s">
        <v>654</v>
      </c>
    </row>
    <row r="11" spans="1:6" x14ac:dyDescent="0.25">
      <c r="A11" s="96" t="s">
        <v>670</v>
      </c>
      <c r="B11" s="91" t="s">
        <v>652</v>
      </c>
      <c r="C11" s="91" t="s">
        <v>671</v>
      </c>
      <c r="D11" s="91" t="s">
        <v>650</v>
      </c>
      <c r="E11" s="91" t="s">
        <v>49</v>
      </c>
      <c r="F11" s="98" t="s">
        <v>654</v>
      </c>
    </row>
    <row r="12" spans="1:6" x14ac:dyDescent="0.25">
      <c r="A12" s="96" t="s">
        <v>672</v>
      </c>
      <c r="B12" s="91" t="s">
        <v>652</v>
      </c>
      <c r="C12" s="91" t="s">
        <v>673</v>
      </c>
      <c r="D12" s="91" t="s">
        <v>650</v>
      </c>
      <c r="E12" s="91" t="s">
        <v>49</v>
      </c>
      <c r="F12" s="98" t="s">
        <v>654</v>
      </c>
    </row>
    <row r="13" spans="1:6" x14ac:dyDescent="0.25">
      <c r="A13" s="96" t="s">
        <v>674</v>
      </c>
      <c r="B13" s="91" t="s">
        <v>652</v>
      </c>
      <c r="C13" s="91" t="s">
        <v>675</v>
      </c>
      <c r="D13" s="91" t="s">
        <v>650</v>
      </c>
      <c r="E13" s="91" t="s">
        <v>49</v>
      </c>
      <c r="F13" s="98" t="s">
        <v>654</v>
      </c>
    </row>
    <row r="14" spans="1:6" x14ac:dyDescent="0.25">
      <c r="A14" s="96" t="s">
        <v>676</v>
      </c>
      <c r="B14" s="91" t="s">
        <v>652</v>
      </c>
      <c r="C14" s="91" t="s">
        <v>677</v>
      </c>
      <c r="D14" s="91" t="s">
        <v>650</v>
      </c>
      <c r="E14" s="91" t="s">
        <v>49</v>
      </c>
      <c r="F14" s="98" t="s">
        <v>654</v>
      </c>
    </row>
    <row r="15" spans="1:6" x14ac:dyDescent="0.25">
      <c r="A15" s="96" t="s">
        <v>678</v>
      </c>
      <c r="B15" s="91" t="s">
        <v>679</v>
      </c>
      <c r="C15" s="91" t="s">
        <v>680</v>
      </c>
      <c r="D15" s="91" t="s">
        <v>650</v>
      </c>
      <c r="E15" s="91" t="s">
        <v>49</v>
      </c>
      <c r="F15" s="98"/>
    </row>
    <row r="16" spans="1:6" x14ac:dyDescent="0.25">
      <c r="A16" s="96" t="s">
        <v>681</v>
      </c>
      <c r="B16" s="91" t="s">
        <v>652</v>
      </c>
      <c r="C16" s="91" t="s">
        <v>682</v>
      </c>
      <c r="D16" s="91" t="s">
        <v>650</v>
      </c>
      <c r="E16" s="91" t="s">
        <v>49</v>
      </c>
      <c r="F16" s="98" t="s">
        <v>654</v>
      </c>
    </row>
    <row r="17" spans="1:6" x14ac:dyDescent="0.25">
      <c r="A17" s="96" t="s">
        <v>683</v>
      </c>
      <c r="B17" s="91" t="s">
        <v>652</v>
      </c>
      <c r="C17" s="91" t="s">
        <v>684</v>
      </c>
      <c r="D17" s="91" t="s">
        <v>650</v>
      </c>
      <c r="E17" s="91" t="s">
        <v>49</v>
      </c>
      <c r="F17" s="98" t="s">
        <v>654</v>
      </c>
    </row>
    <row r="18" spans="1:6" x14ac:dyDescent="0.25">
      <c r="A18" s="96" t="s">
        <v>685</v>
      </c>
      <c r="B18" s="91" t="s">
        <v>652</v>
      </c>
      <c r="C18" s="91" t="s">
        <v>686</v>
      </c>
      <c r="D18" s="91" t="s">
        <v>650</v>
      </c>
      <c r="E18" s="91" t="s">
        <v>49</v>
      </c>
      <c r="F18" s="98" t="s">
        <v>654</v>
      </c>
    </row>
    <row r="19" spans="1:6" x14ac:dyDescent="0.25">
      <c r="A19" s="96" t="s">
        <v>687</v>
      </c>
      <c r="B19" s="91" t="s">
        <v>652</v>
      </c>
      <c r="C19" s="91" t="s">
        <v>688</v>
      </c>
      <c r="D19" s="91" t="s">
        <v>650</v>
      </c>
      <c r="E19" s="91" t="s">
        <v>49</v>
      </c>
      <c r="F19" s="98" t="s">
        <v>654</v>
      </c>
    </row>
    <row r="20" spans="1:6" x14ac:dyDescent="0.25">
      <c r="A20" s="96" t="s">
        <v>689</v>
      </c>
      <c r="B20" s="91" t="s">
        <v>652</v>
      </c>
      <c r="C20" s="91" t="s">
        <v>690</v>
      </c>
      <c r="D20" s="91" t="s">
        <v>650</v>
      </c>
      <c r="E20" s="91" t="s">
        <v>49</v>
      </c>
      <c r="F20" s="98" t="s">
        <v>654</v>
      </c>
    </row>
    <row r="21" spans="1:6" x14ac:dyDescent="0.25">
      <c r="A21" s="96" t="s">
        <v>691</v>
      </c>
      <c r="B21" s="91" t="s">
        <v>652</v>
      </c>
      <c r="C21" s="91" t="s">
        <v>692</v>
      </c>
      <c r="D21" s="91" t="s">
        <v>650</v>
      </c>
      <c r="E21" s="91" t="s">
        <v>49</v>
      </c>
      <c r="F21" s="98" t="s">
        <v>654</v>
      </c>
    </row>
    <row r="22" spans="1:6" x14ac:dyDescent="0.25">
      <c r="A22" s="96" t="s">
        <v>693</v>
      </c>
      <c r="B22" s="91" t="s">
        <v>694</v>
      </c>
      <c r="C22" s="91" t="s">
        <v>695</v>
      </c>
      <c r="D22" s="91" t="s">
        <v>650</v>
      </c>
      <c r="E22" s="91" t="s">
        <v>49</v>
      </c>
      <c r="F22" s="98"/>
    </row>
    <row r="23" spans="1:6" x14ac:dyDescent="0.25">
      <c r="A23" s="96" t="s">
        <v>696</v>
      </c>
      <c r="B23" s="91" t="s">
        <v>697</v>
      </c>
      <c r="C23" s="91" t="s">
        <v>698</v>
      </c>
      <c r="D23" s="91" t="s">
        <v>650</v>
      </c>
      <c r="E23" s="91" t="s">
        <v>49</v>
      </c>
      <c r="F23" s="98"/>
    </row>
    <row r="24" spans="1:6" x14ac:dyDescent="0.25">
      <c r="A24" s="96" t="s">
        <v>699</v>
      </c>
      <c r="B24" s="91" t="s">
        <v>700</v>
      </c>
      <c r="C24" s="91" t="s">
        <v>701</v>
      </c>
      <c r="D24" s="91" t="s">
        <v>650</v>
      </c>
      <c r="E24" s="91" t="s">
        <v>49</v>
      </c>
      <c r="F24" s="98"/>
    </row>
    <row r="25" spans="1:6" x14ac:dyDescent="0.25">
      <c r="A25" s="96" t="s">
        <v>702</v>
      </c>
      <c r="B25" s="91" t="s">
        <v>703</v>
      </c>
      <c r="C25" s="91" t="s">
        <v>704</v>
      </c>
      <c r="D25" s="91" t="s">
        <v>650</v>
      </c>
      <c r="E25" s="91" t="s">
        <v>49</v>
      </c>
      <c r="F25" s="98"/>
    </row>
    <row r="26" spans="1:6" x14ac:dyDescent="0.25">
      <c r="A26" s="96" t="s">
        <v>705</v>
      </c>
      <c r="B26" s="91" t="s">
        <v>706</v>
      </c>
      <c r="C26" s="91" t="s">
        <v>707</v>
      </c>
      <c r="D26" s="91" t="s">
        <v>650</v>
      </c>
      <c r="E26" s="91" t="s">
        <v>49</v>
      </c>
      <c r="F26" s="98"/>
    </row>
    <row r="27" spans="1:6" x14ac:dyDescent="0.25">
      <c r="A27" s="96" t="s">
        <v>708</v>
      </c>
      <c r="B27" s="91" t="s">
        <v>709</v>
      </c>
      <c r="C27" s="91" t="s">
        <v>710</v>
      </c>
      <c r="D27" s="91" t="s">
        <v>650</v>
      </c>
      <c r="E27" s="91" t="s">
        <v>49</v>
      </c>
      <c r="F27" s="98"/>
    </row>
    <row r="28" spans="1:6" x14ac:dyDescent="0.25">
      <c r="A28" s="96" t="s">
        <v>711</v>
      </c>
      <c r="B28" s="91" t="s">
        <v>712</v>
      </c>
      <c r="C28" s="91" t="s">
        <v>713</v>
      </c>
      <c r="D28" s="91" t="s">
        <v>650</v>
      </c>
      <c r="E28" s="91" t="s">
        <v>49</v>
      </c>
      <c r="F28" s="98" t="s">
        <v>654</v>
      </c>
    </row>
    <row r="29" spans="1:6" x14ac:dyDescent="0.25">
      <c r="A29" s="96" t="s">
        <v>714</v>
      </c>
      <c r="B29" s="91" t="s">
        <v>715</v>
      </c>
      <c r="C29" s="91" t="s">
        <v>716</v>
      </c>
      <c r="D29" s="91" t="s">
        <v>650</v>
      </c>
      <c r="E29" s="91" t="s">
        <v>49</v>
      </c>
      <c r="F29" s="98"/>
    </row>
    <row r="30" spans="1:6" x14ac:dyDescent="0.25">
      <c r="A30" s="96" t="s">
        <v>717</v>
      </c>
      <c r="B30" s="91" t="s">
        <v>718</v>
      </c>
      <c r="C30" s="91" t="s">
        <v>719</v>
      </c>
      <c r="D30" s="91" t="s">
        <v>650</v>
      </c>
      <c r="E30" s="91" t="s">
        <v>49</v>
      </c>
      <c r="F30" s="98"/>
    </row>
    <row r="31" spans="1:6" x14ac:dyDescent="0.25">
      <c r="A31" s="96" t="s">
        <v>720</v>
      </c>
      <c r="B31" s="91" t="s">
        <v>721</v>
      </c>
      <c r="C31" s="91" t="s">
        <v>722</v>
      </c>
      <c r="D31" s="91" t="s">
        <v>650</v>
      </c>
      <c r="E31" s="91" t="s">
        <v>49</v>
      </c>
      <c r="F31" s="98"/>
    </row>
    <row r="32" spans="1:6" x14ac:dyDescent="0.25">
      <c r="A32" s="96" t="s">
        <v>723</v>
      </c>
      <c r="B32" s="91" t="s">
        <v>724</v>
      </c>
      <c r="C32" s="91" t="s">
        <v>725</v>
      </c>
      <c r="D32" s="91" t="s">
        <v>650</v>
      </c>
      <c r="E32" s="91" t="s">
        <v>49</v>
      </c>
      <c r="F32" s="98"/>
    </row>
    <row r="33" spans="1:6" x14ac:dyDescent="0.25">
      <c r="A33" s="96" t="s">
        <v>726</v>
      </c>
      <c r="B33" s="91" t="s">
        <v>712</v>
      </c>
      <c r="C33" s="91" t="s">
        <v>727</v>
      </c>
      <c r="D33" s="91" t="s">
        <v>650</v>
      </c>
      <c r="E33" s="91" t="s">
        <v>49</v>
      </c>
      <c r="F33" s="98" t="s">
        <v>654</v>
      </c>
    </row>
    <row r="34" spans="1:6" x14ac:dyDescent="0.25">
      <c r="A34" s="96" t="s">
        <v>728</v>
      </c>
      <c r="B34" s="91" t="s">
        <v>712</v>
      </c>
      <c r="C34" s="91" t="s">
        <v>729</v>
      </c>
      <c r="D34" s="91" t="s">
        <v>650</v>
      </c>
      <c r="E34" s="91" t="s">
        <v>49</v>
      </c>
      <c r="F34" s="98" t="s">
        <v>654</v>
      </c>
    </row>
    <row r="35" spans="1:6" x14ac:dyDescent="0.25">
      <c r="A35" s="96" t="s">
        <v>730</v>
      </c>
      <c r="B35" s="91" t="s">
        <v>712</v>
      </c>
      <c r="C35" s="91" t="s">
        <v>731</v>
      </c>
      <c r="D35" s="91" t="s">
        <v>650</v>
      </c>
      <c r="E35" s="91" t="s">
        <v>49</v>
      </c>
      <c r="F35" s="98" t="s">
        <v>654</v>
      </c>
    </row>
    <row r="36" spans="1:6" x14ac:dyDescent="0.25">
      <c r="A36" s="96" t="s">
        <v>732</v>
      </c>
      <c r="B36" s="91" t="s">
        <v>712</v>
      </c>
      <c r="C36" s="91" t="s">
        <v>733</v>
      </c>
      <c r="D36" s="91" t="s">
        <v>650</v>
      </c>
      <c r="E36" s="91" t="s">
        <v>49</v>
      </c>
      <c r="F36" s="98" t="s">
        <v>654</v>
      </c>
    </row>
    <row r="37" spans="1:6" x14ac:dyDescent="0.25">
      <c r="A37" s="96" t="s">
        <v>734</v>
      </c>
      <c r="B37" s="91" t="s">
        <v>712</v>
      </c>
      <c r="C37" s="91" t="s">
        <v>735</v>
      </c>
      <c r="D37" s="91" t="s">
        <v>650</v>
      </c>
      <c r="E37" s="91" t="s">
        <v>49</v>
      </c>
      <c r="F37" s="98" t="s">
        <v>654</v>
      </c>
    </row>
    <row r="38" spans="1:6" x14ac:dyDescent="0.25">
      <c r="A38" s="96" t="s">
        <v>736</v>
      </c>
      <c r="B38" s="91" t="s">
        <v>712</v>
      </c>
      <c r="C38" s="91" t="s">
        <v>737</v>
      </c>
      <c r="D38" s="91" t="s">
        <v>650</v>
      </c>
      <c r="E38" s="91" t="s">
        <v>49</v>
      </c>
      <c r="F38" s="98" t="s">
        <v>654</v>
      </c>
    </row>
    <row r="39" spans="1:6" x14ac:dyDescent="0.25">
      <c r="A39" s="96" t="s">
        <v>738</v>
      </c>
      <c r="B39" s="91" t="s">
        <v>712</v>
      </c>
      <c r="C39" s="91" t="s">
        <v>739</v>
      </c>
      <c r="D39" s="91" t="s">
        <v>650</v>
      </c>
      <c r="E39" s="91" t="s">
        <v>49</v>
      </c>
      <c r="F39" s="98" t="s">
        <v>654</v>
      </c>
    </row>
    <row r="40" spans="1:6" x14ac:dyDescent="0.25">
      <c r="A40" s="96" t="s">
        <v>740</v>
      </c>
      <c r="B40" s="91" t="s">
        <v>712</v>
      </c>
      <c r="C40" s="91" t="s">
        <v>741</v>
      </c>
      <c r="D40" s="91" t="s">
        <v>650</v>
      </c>
      <c r="E40" s="91" t="s">
        <v>49</v>
      </c>
      <c r="F40" s="98" t="s">
        <v>654</v>
      </c>
    </row>
    <row r="41" spans="1:6" x14ac:dyDescent="0.25">
      <c r="A41" s="96" t="s">
        <v>742</v>
      </c>
      <c r="B41" s="91" t="s">
        <v>712</v>
      </c>
      <c r="C41" s="91" t="s">
        <v>743</v>
      </c>
      <c r="D41" s="91" t="s">
        <v>650</v>
      </c>
      <c r="E41" s="91" t="s">
        <v>49</v>
      </c>
      <c r="F41" s="98" t="s">
        <v>654</v>
      </c>
    </row>
    <row r="42" spans="1:6" x14ac:dyDescent="0.25">
      <c r="A42" s="96" t="s">
        <v>744</v>
      </c>
      <c r="B42" s="91" t="s">
        <v>745</v>
      </c>
      <c r="C42" s="91" t="s">
        <v>746</v>
      </c>
      <c r="D42" s="91" t="s">
        <v>650</v>
      </c>
      <c r="E42" s="91" t="s">
        <v>49</v>
      </c>
      <c r="F42" s="98"/>
    </row>
    <row r="43" spans="1:6" x14ac:dyDescent="0.25">
      <c r="A43" s="96" t="s">
        <v>747</v>
      </c>
      <c r="B43" s="91" t="s">
        <v>748</v>
      </c>
      <c r="C43" s="91" t="s">
        <v>749</v>
      </c>
      <c r="D43" s="91" t="s">
        <v>650</v>
      </c>
      <c r="E43" s="91" t="s">
        <v>49</v>
      </c>
      <c r="F43" s="98"/>
    </row>
    <row r="44" spans="1:6" x14ac:dyDescent="0.25">
      <c r="A44" s="96" t="s">
        <v>750</v>
      </c>
      <c r="B44" s="91" t="s">
        <v>751</v>
      </c>
      <c r="C44" s="91" t="s">
        <v>752</v>
      </c>
      <c r="D44" s="91" t="s">
        <v>650</v>
      </c>
      <c r="E44" s="91" t="s">
        <v>49</v>
      </c>
      <c r="F44" s="98"/>
    </row>
    <row r="45" spans="1:6" x14ac:dyDescent="0.25">
      <c r="A45" s="96" t="s">
        <v>753</v>
      </c>
      <c r="B45" s="91" t="s">
        <v>754</v>
      </c>
      <c r="C45" s="91" t="s">
        <v>755</v>
      </c>
      <c r="D45" s="91" t="s">
        <v>650</v>
      </c>
      <c r="E45" s="91" t="s">
        <v>49</v>
      </c>
      <c r="F45" s="98"/>
    </row>
    <row r="46" spans="1:6" x14ac:dyDescent="0.25">
      <c r="A46" s="96" t="s">
        <v>756</v>
      </c>
      <c r="B46" s="91" t="s">
        <v>757</v>
      </c>
      <c r="C46" s="91" t="s">
        <v>758</v>
      </c>
      <c r="D46" s="91" t="s">
        <v>650</v>
      </c>
      <c r="E46" s="91" t="s">
        <v>49</v>
      </c>
      <c r="F46" s="98"/>
    </row>
    <row r="47" spans="1:6" x14ac:dyDescent="0.25">
      <c r="A47" s="96" t="s">
        <v>759</v>
      </c>
      <c r="B47" s="91" t="s">
        <v>760</v>
      </c>
      <c r="C47" s="91" t="s">
        <v>761</v>
      </c>
      <c r="D47" s="91" t="s">
        <v>650</v>
      </c>
      <c r="E47" s="91" t="s">
        <v>49</v>
      </c>
      <c r="F47" s="98"/>
    </row>
    <row r="48" spans="1:6" x14ac:dyDescent="0.25">
      <c r="A48" s="96" t="s">
        <v>762</v>
      </c>
      <c r="B48" s="91" t="s">
        <v>763</v>
      </c>
      <c r="C48" s="91" t="s">
        <v>764</v>
      </c>
      <c r="D48" s="91" t="s">
        <v>650</v>
      </c>
      <c r="E48" s="91" t="s">
        <v>49</v>
      </c>
      <c r="F48" s="98"/>
    </row>
    <row r="49" spans="1:6" x14ac:dyDescent="0.25">
      <c r="A49" s="96" t="s">
        <v>765</v>
      </c>
      <c r="B49" s="91" t="s">
        <v>766</v>
      </c>
      <c r="C49" s="91" t="s">
        <v>767</v>
      </c>
      <c r="D49" s="91" t="s">
        <v>650</v>
      </c>
      <c r="E49" s="91" t="s">
        <v>49</v>
      </c>
      <c r="F49" s="98"/>
    </row>
    <row r="50" spans="1:6" x14ac:dyDescent="0.25">
      <c r="A50" s="96" t="s">
        <v>768</v>
      </c>
      <c r="B50" s="91" t="s">
        <v>769</v>
      </c>
      <c r="C50" s="91" t="s">
        <v>770</v>
      </c>
      <c r="D50" s="91" t="s">
        <v>650</v>
      </c>
      <c r="E50" s="91" t="s">
        <v>49</v>
      </c>
      <c r="F50" s="98"/>
    </row>
    <row r="51" spans="1:6" x14ac:dyDescent="0.25">
      <c r="A51" s="96" t="s">
        <v>771</v>
      </c>
      <c r="B51" s="91" t="s">
        <v>772</v>
      </c>
      <c r="C51" s="91" t="s">
        <v>773</v>
      </c>
      <c r="D51" s="91" t="s">
        <v>650</v>
      </c>
      <c r="E51" s="91" t="s">
        <v>49</v>
      </c>
      <c r="F51" s="98"/>
    </row>
    <row r="52" spans="1:6" x14ac:dyDescent="0.25">
      <c r="A52" s="96" t="s">
        <v>774</v>
      </c>
      <c r="B52" s="91" t="s">
        <v>775</v>
      </c>
      <c r="C52" s="91" t="s">
        <v>776</v>
      </c>
      <c r="D52" s="91" t="s">
        <v>650</v>
      </c>
      <c r="E52" s="91" t="s">
        <v>49</v>
      </c>
      <c r="F52" s="98"/>
    </row>
    <row r="53" spans="1:6" x14ac:dyDescent="0.25">
      <c r="A53" s="96" t="s">
        <v>777</v>
      </c>
      <c r="B53" s="91" t="s">
        <v>778</v>
      </c>
      <c r="C53" s="91" t="s">
        <v>779</v>
      </c>
      <c r="D53" s="91" t="s">
        <v>650</v>
      </c>
      <c r="E53" s="91" t="s">
        <v>49</v>
      </c>
      <c r="F53" s="98"/>
    </row>
    <row r="54" spans="1:6" x14ac:dyDescent="0.25">
      <c r="A54" s="96" t="s">
        <v>780</v>
      </c>
      <c r="B54" s="91" t="s">
        <v>781</v>
      </c>
      <c r="C54" s="91" t="s">
        <v>782</v>
      </c>
      <c r="D54" s="91" t="s">
        <v>650</v>
      </c>
      <c r="E54" s="91" t="s">
        <v>49</v>
      </c>
      <c r="F54" s="98"/>
    </row>
    <row r="55" spans="1:6" x14ac:dyDescent="0.25">
      <c r="A55" s="96" t="s">
        <v>783</v>
      </c>
      <c r="B55" s="91" t="s">
        <v>784</v>
      </c>
      <c r="C55" s="91" t="s">
        <v>785</v>
      </c>
      <c r="D55" s="91" t="s">
        <v>650</v>
      </c>
      <c r="E55" s="91" t="s">
        <v>48</v>
      </c>
      <c r="F55" s="98"/>
    </row>
    <row r="56" spans="1:6" x14ac:dyDescent="0.25">
      <c r="A56" s="96" t="s">
        <v>786</v>
      </c>
      <c r="B56" s="91" t="s">
        <v>787</v>
      </c>
      <c r="C56" s="91" t="s">
        <v>788</v>
      </c>
      <c r="D56" s="91" t="s">
        <v>650</v>
      </c>
      <c r="E56" s="91" t="s">
        <v>48</v>
      </c>
      <c r="F56" s="98"/>
    </row>
    <row r="57" spans="1:6" x14ac:dyDescent="0.25">
      <c r="A57" s="96" t="s">
        <v>789</v>
      </c>
      <c r="B57" s="91" t="s">
        <v>790</v>
      </c>
      <c r="C57" s="91" t="s">
        <v>791</v>
      </c>
      <c r="D57" s="91" t="s">
        <v>650</v>
      </c>
      <c r="E57" s="91" t="s">
        <v>49</v>
      </c>
      <c r="F57" s="98"/>
    </row>
    <row r="58" spans="1:6" x14ac:dyDescent="0.25">
      <c r="A58" s="96" t="s">
        <v>792</v>
      </c>
      <c r="B58" s="91" t="s">
        <v>793</v>
      </c>
      <c r="C58" s="91" t="s">
        <v>794</v>
      </c>
      <c r="D58" s="91" t="s">
        <v>650</v>
      </c>
      <c r="E58" s="91" t="s">
        <v>49</v>
      </c>
      <c r="F58" s="98"/>
    </row>
    <row r="59" spans="1:6" x14ac:dyDescent="0.25">
      <c r="A59" s="96" t="s">
        <v>795</v>
      </c>
      <c r="B59" s="91" t="s">
        <v>796</v>
      </c>
      <c r="C59" s="91" t="s">
        <v>797</v>
      </c>
      <c r="D59" s="91" t="s">
        <v>650</v>
      </c>
      <c r="E59" s="91" t="s">
        <v>49</v>
      </c>
      <c r="F59" s="98"/>
    </row>
    <row r="60" spans="1:6" x14ac:dyDescent="0.25">
      <c r="A60" s="96" t="s">
        <v>798</v>
      </c>
      <c r="B60" s="91" t="s">
        <v>799</v>
      </c>
      <c r="C60" s="91" t="s">
        <v>800</v>
      </c>
      <c r="D60" s="91" t="s">
        <v>650</v>
      </c>
      <c r="E60" s="91" t="s">
        <v>48</v>
      </c>
      <c r="F60" s="98"/>
    </row>
    <row r="61" spans="1:6" x14ac:dyDescent="0.25">
      <c r="A61" s="96" t="s">
        <v>801</v>
      </c>
      <c r="B61" s="91" t="s">
        <v>802</v>
      </c>
      <c r="C61" s="91" t="s">
        <v>803</v>
      </c>
      <c r="D61" s="91" t="s">
        <v>650</v>
      </c>
      <c r="E61" s="91" t="s">
        <v>48</v>
      </c>
      <c r="F61" s="98"/>
    </row>
    <row r="62" spans="1:6" x14ac:dyDescent="0.25">
      <c r="A62" s="96" t="s">
        <v>804</v>
      </c>
      <c r="B62" s="91" t="s">
        <v>805</v>
      </c>
      <c r="C62" s="91" t="s">
        <v>806</v>
      </c>
      <c r="D62" s="91" t="s">
        <v>650</v>
      </c>
      <c r="E62" s="91" t="s">
        <v>49</v>
      </c>
      <c r="F62" s="98"/>
    </row>
    <row r="63" spans="1:6" s="93" customFormat="1" x14ac:dyDescent="0.25">
      <c r="A63" s="97" t="s">
        <v>807</v>
      </c>
      <c r="B63" s="92" t="s">
        <v>808</v>
      </c>
      <c r="C63" s="92" t="s">
        <v>809</v>
      </c>
      <c r="D63" s="92" t="s">
        <v>650</v>
      </c>
      <c r="E63" s="92" t="s">
        <v>49</v>
      </c>
      <c r="F63" s="99"/>
    </row>
    <row r="64" spans="1:6" x14ac:dyDescent="0.25">
      <c r="A64" s="96" t="s">
        <v>810</v>
      </c>
      <c r="B64" s="91" t="s">
        <v>811</v>
      </c>
      <c r="C64" s="91" t="s">
        <v>812</v>
      </c>
      <c r="D64" s="91" t="s">
        <v>650</v>
      </c>
      <c r="E64" s="91" t="s">
        <v>49</v>
      </c>
      <c r="F64" s="98"/>
    </row>
    <row r="65" spans="1:6" x14ac:dyDescent="0.25">
      <c r="A65" s="96" t="s">
        <v>813</v>
      </c>
      <c r="B65" s="91" t="s">
        <v>814</v>
      </c>
      <c r="C65" s="91" t="s">
        <v>815</v>
      </c>
      <c r="D65" s="91" t="s">
        <v>650</v>
      </c>
      <c r="E65" s="91" t="s">
        <v>48</v>
      </c>
      <c r="F65" s="98"/>
    </row>
    <row r="66" spans="1:6" x14ac:dyDescent="0.25">
      <c r="A66" s="96" t="s">
        <v>816</v>
      </c>
      <c r="B66" s="91" t="s">
        <v>817</v>
      </c>
      <c r="C66" s="91" t="s">
        <v>818</v>
      </c>
      <c r="D66" s="91" t="s">
        <v>650</v>
      </c>
      <c r="E66" s="91" t="s">
        <v>48</v>
      </c>
      <c r="F66" s="98"/>
    </row>
    <row r="67" spans="1:6" x14ac:dyDescent="0.25">
      <c r="A67" s="96" t="s">
        <v>819</v>
      </c>
      <c r="B67" s="91" t="s">
        <v>820</v>
      </c>
      <c r="C67" s="91" t="s">
        <v>821</v>
      </c>
      <c r="D67" s="91" t="s">
        <v>650</v>
      </c>
      <c r="E67" s="91" t="s">
        <v>48</v>
      </c>
      <c r="F67" s="98"/>
    </row>
    <row r="68" spans="1:6" x14ac:dyDescent="0.25">
      <c r="A68" s="96" t="s">
        <v>822</v>
      </c>
      <c r="B68" s="91" t="s">
        <v>823</v>
      </c>
      <c r="C68" s="91" t="s">
        <v>824</v>
      </c>
      <c r="D68" s="91" t="s">
        <v>650</v>
      </c>
      <c r="E68" s="91" t="s">
        <v>49</v>
      </c>
      <c r="F68" s="98"/>
    </row>
    <row r="69" spans="1:6" x14ac:dyDescent="0.25">
      <c r="A69" s="96" t="s">
        <v>825</v>
      </c>
      <c r="B69" s="91" t="s">
        <v>826</v>
      </c>
      <c r="C69" s="91" t="s">
        <v>827</v>
      </c>
      <c r="D69" s="91" t="s">
        <v>650</v>
      </c>
      <c r="E69" s="91" t="s">
        <v>49</v>
      </c>
      <c r="F69" s="98"/>
    </row>
    <row r="70" spans="1:6" x14ac:dyDescent="0.25">
      <c r="A70" s="96" t="s">
        <v>828</v>
      </c>
      <c r="B70" s="91" t="s">
        <v>712</v>
      </c>
      <c r="C70" s="91" t="s">
        <v>829</v>
      </c>
      <c r="D70" s="91" t="s">
        <v>650</v>
      </c>
      <c r="E70" s="91" t="s">
        <v>49</v>
      </c>
      <c r="F70" s="98" t="s">
        <v>654</v>
      </c>
    </row>
    <row r="71" spans="1:6" x14ac:dyDescent="0.25">
      <c r="A71" s="96" t="s">
        <v>830</v>
      </c>
      <c r="B71" s="91" t="s">
        <v>712</v>
      </c>
      <c r="C71" s="91" t="s">
        <v>831</v>
      </c>
      <c r="D71" s="91" t="s">
        <v>650</v>
      </c>
      <c r="E71" s="91" t="s">
        <v>49</v>
      </c>
      <c r="F71" s="98" t="s">
        <v>654</v>
      </c>
    </row>
    <row r="72" spans="1:6" x14ac:dyDescent="0.25">
      <c r="A72" s="96" t="s">
        <v>832</v>
      </c>
      <c r="B72" s="91" t="s">
        <v>712</v>
      </c>
      <c r="C72" s="91" t="s">
        <v>833</v>
      </c>
      <c r="D72" s="91" t="s">
        <v>650</v>
      </c>
      <c r="E72" s="91" t="s">
        <v>49</v>
      </c>
      <c r="F72" s="98" t="s">
        <v>654</v>
      </c>
    </row>
    <row r="73" spans="1:6" x14ac:dyDescent="0.25">
      <c r="A73" s="96" t="s">
        <v>834</v>
      </c>
      <c r="B73" s="91" t="s">
        <v>712</v>
      </c>
      <c r="C73" s="91" t="s">
        <v>835</v>
      </c>
      <c r="D73" s="91" t="s">
        <v>650</v>
      </c>
      <c r="E73" s="91" t="s">
        <v>49</v>
      </c>
      <c r="F73" s="98" t="s">
        <v>654</v>
      </c>
    </row>
    <row r="74" spans="1:6" x14ac:dyDescent="0.25">
      <c r="A74" s="96" t="s">
        <v>836</v>
      </c>
      <c r="B74" s="91" t="s">
        <v>712</v>
      </c>
      <c r="C74" s="91" t="s">
        <v>837</v>
      </c>
      <c r="D74" s="91" t="s">
        <v>650</v>
      </c>
      <c r="E74" s="91" t="s">
        <v>49</v>
      </c>
      <c r="F74" s="98" t="s">
        <v>654</v>
      </c>
    </row>
    <row r="75" spans="1:6" x14ac:dyDescent="0.25">
      <c r="A75" s="96" t="s">
        <v>838</v>
      </c>
      <c r="B75" s="91" t="s">
        <v>712</v>
      </c>
      <c r="C75" s="91" t="s">
        <v>839</v>
      </c>
      <c r="D75" s="91" t="s">
        <v>650</v>
      </c>
      <c r="E75" s="91" t="s">
        <v>49</v>
      </c>
      <c r="F75" s="98" t="s">
        <v>654</v>
      </c>
    </row>
    <row r="76" spans="1:6" x14ac:dyDescent="0.25">
      <c r="A76" s="96" t="s">
        <v>840</v>
      </c>
      <c r="B76" s="91" t="s">
        <v>712</v>
      </c>
      <c r="C76" s="91" t="s">
        <v>841</v>
      </c>
      <c r="D76" s="91" t="s">
        <v>650</v>
      </c>
      <c r="E76" s="91" t="s">
        <v>49</v>
      </c>
      <c r="F76" s="98" t="s">
        <v>654</v>
      </c>
    </row>
    <row r="77" spans="1:6" x14ac:dyDescent="0.25">
      <c r="A77" s="96" t="s">
        <v>842</v>
      </c>
      <c r="B77" s="91" t="s">
        <v>712</v>
      </c>
      <c r="C77" s="91" t="s">
        <v>843</v>
      </c>
      <c r="D77" s="91" t="s">
        <v>650</v>
      </c>
      <c r="E77" s="91" t="s">
        <v>49</v>
      </c>
      <c r="F77" s="98" t="s">
        <v>654</v>
      </c>
    </row>
    <row r="78" spans="1:6" x14ac:dyDescent="0.25">
      <c r="A78" s="96" t="s">
        <v>844</v>
      </c>
      <c r="B78" s="91" t="s">
        <v>845</v>
      </c>
      <c r="C78" s="91" t="s">
        <v>846</v>
      </c>
      <c r="D78" s="91" t="s">
        <v>650</v>
      </c>
      <c r="E78" s="91" t="s">
        <v>49</v>
      </c>
      <c r="F78" s="98"/>
    </row>
    <row r="79" spans="1:6" x14ac:dyDescent="0.25">
      <c r="A79" s="96" t="s">
        <v>847</v>
      </c>
      <c r="B79" s="91" t="s">
        <v>848</v>
      </c>
      <c r="C79" s="91" t="s">
        <v>849</v>
      </c>
      <c r="D79" s="91" t="s">
        <v>650</v>
      </c>
      <c r="E79" s="91" t="s">
        <v>49</v>
      </c>
      <c r="F79" s="98"/>
    </row>
    <row r="80" spans="1:6" x14ac:dyDescent="0.25">
      <c r="A80" s="96" t="s">
        <v>850</v>
      </c>
      <c r="B80" s="91" t="s">
        <v>851</v>
      </c>
      <c r="C80" s="91" t="s">
        <v>852</v>
      </c>
      <c r="D80" s="91" t="s">
        <v>650</v>
      </c>
      <c r="E80" s="91" t="s">
        <v>49</v>
      </c>
      <c r="F80" s="98"/>
    </row>
    <row r="81" spans="1:6" x14ac:dyDescent="0.25">
      <c r="A81" s="96" t="s">
        <v>853</v>
      </c>
      <c r="B81" s="91" t="s">
        <v>854</v>
      </c>
      <c r="C81" s="91" t="s">
        <v>855</v>
      </c>
      <c r="D81" s="91" t="s">
        <v>650</v>
      </c>
      <c r="E81" s="91" t="s">
        <v>49</v>
      </c>
      <c r="F81" s="98"/>
    </row>
    <row r="82" spans="1:6" x14ac:dyDescent="0.25">
      <c r="A82" s="96" t="s">
        <v>856</v>
      </c>
      <c r="B82" s="91" t="s">
        <v>857</v>
      </c>
      <c r="C82" s="91" t="s">
        <v>858</v>
      </c>
      <c r="D82" s="91" t="s">
        <v>650</v>
      </c>
      <c r="E82" s="91" t="s">
        <v>49</v>
      </c>
      <c r="F82" s="98"/>
    </row>
    <row r="83" spans="1:6" x14ac:dyDescent="0.25">
      <c r="A83" s="96" t="s">
        <v>859</v>
      </c>
      <c r="B83" s="91" t="s">
        <v>860</v>
      </c>
      <c r="C83" s="91" t="s">
        <v>861</v>
      </c>
      <c r="D83" s="91" t="s">
        <v>650</v>
      </c>
      <c r="E83" s="91" t="s">
        <v>49</v>
      </c>
      <c r="F83" s="98"/>
    </row>
    <row r="84" spans="1:6" x14ac:dyDescent="0.25">
      <c r="A84" s="96" t="s">
        <v>862</v>
      </c>
      <c r="B84" s="91" t="s">
        <v>863</v>
      </c>
      <c r="C84" s="91" t="s">
        <v>864</v>
      </c>
      <c r="D84" s="91" t="s">
        <v>650</v>
      </c>
      <c r="E84" s="91" t="s">
        <v>48</v>
      </c>
      <c r="F84" s="98"/>
    </row>
    <row r="85" spans="1:6" x14ac:dyDescent="0.25">
      <c r="A85" s="96" t="s">
        <v>865</v>
      </c>
      <c r="B85" s="91" t="s">
        <v>866</v>
      </c>
      <c r="C85" s="91" t="s">
        <v>867</v>
      </c>
      <c r="D85" s="91" t="s">
        <v>650</v>
      </c>
      <c r="E85" s="91" t="s">
        <v>49</v>
      </c>
      <c r="F85" s="98"/>
    </row>
    <row r="86" spans="1:6" x14ac:dyDescent="0.25">
      <c r="A86" s="96" t="s">
        <v>868</v>
      </c>
      <c r="B86" s="91" t="s">
        <v>869</v>
      </c>
      <c r="C86" s="91" t="s">
        <v>870</v>
      </c>
      <c r="D86" s="91" t="s">
        <v>650</v>
      </c>
      <c r="E86" s="91" t="s">
        <v>49</v>
      </c>
      <c r="F86" s="98"/>
    </row>
    <row r="87" spans="1:6" x14ac:dyDescent="0.25">
      <c r="A87" s="96" t="s">
        <v>871</v>
      </c>
      <c r="B87" s="91" t="s">
        <v>872</v>
      </c>
      <c r="C87" s="91" t="s">
        <v>873</v>
      </c>
      <c r="D87" s="91" t="s">
        <v>650</v>
      </c>
      <c r="E87" s="91" t="s">
        <v>49</v>
      </c>
      <c r="F87" s="98"/>
    </row>
    <row r="88" spans="1:6" x14ac:dyDescent="0.25">
      <c r="A88" s="96" t="s">
        <v>874</v>
      </c>
      <c r="B88" s="91" t="s">
        <v>875</v>
      </c>
      <c r="C88" s="91" t="s">
        <v>876</v>
      </c>
      <c r="D88" s="91" t="s">
        <v>650</v>
      </c>
      <c r="E88" s="91" t="s">
        <v>49</v>
      </c>
      <c r="F88" s="98"/>
    </row>
    <row r="89" spans="1:6" x14ac:dyDescent="0.25">
      <c r="A89" s="96" t="s">
        <v>877</v>
      </c>
      <c r="B89" s="91" t="s">
        <v>878</v>
      </c>
      <c r="C89" s="91" t="s">
        <v>879</v>
      </c>
      <c r="D89" s="91" t="s">
        <v>650</v>
      </c>
      <c r="E89" s="91" t="s">
        <v>49</v>
      </c>
      <c r="F89" s="98"/>
    </row>
    <row r="90" spans="1:6" x14ac:dyDescent="0.25">
      <c r="A90" s="96" t="s">
        <v>880</v>
      </c>
      <c r="B90" s="91" t="s">
        <v>881</v>
      </c>
      <c r="C90" s="91" t="s">
        <v>882</v>
      </c>
      <c r="D90" s="91" t="s">
        <v>650</v>
      </c>
      <c r="E90" s="91" t="s">
        <v>49</v>
      </c>
      <c r="F90" s="98"/>
    </row>
    <row r="91" spans="1:6" x14ac:dyDescent="0.25">
      <c r="A91" s="96" t="s">
        <v>883</v>
      </c>
      <c r="B91" s="91" t="s">
        <v>884</v>
      </c>
      <c r="C91" s="91" t="s">
        <v>885</v>
      </c>
      <c r="D91" s="91" t="s">
        <v>650</v>
      </c>
      <c r="E91" s="91" t="s">
        <v>49</v>
      </c>
      <c r="F91" s="98"/>
    </row>
    <row r="92" spans="1:6" x14ac:dyDescent="0.25">
      <c r="A92" s="96" t="s">
        <v>886</v>
      </c>
      <c r="B92" s="91" t="s">
        <v>887</v>
      </c>
      <c r="C92" s="91" t="s">
        <v>888</v>
      </c>
      <c r="D92" s="91" t="s">
        <v>650</v>
      </c>
      <c r="E92" s="91" t="s">
        <v>49</v>
      </c>
      <c r="F92" s="98"/>
    </row>
    <row r="93" spans="1:6" x14ac:dyDescent="0.25">
      <c r="A93" s="96" t="s">
        <v>889</v>
      </c>
      <c r="B93" s="91" t="s">
        <v>890</v>
      </c>
      <c r="C93" s="91" t="s">
        <v>891</v>
      </c>
      <c r="D93" s="91" t="s">
        <v>650</v>
      </c>
      <c r="E93" s="91" t="s">
        <v>49</v>
      </c>
      <c r="F93" s="98"/>
    </row>
    <row r="94" spans="1:6" x14ac:dyDescent="0.25">
      <c r="A94" s="96" t="s">
        <v>892</v>
      </c>
      <c r="B94" s="91" t="s">
        <v>893</v>
      </c>
      <c r="C94" s="91" t="s">
        <v>894</v>
      </c>
      <c r="D94" s="91" t="s">
        <v>650</v>
      </c>
      <c r="E94" s="91" t="s">
        <v>49</v>
      </c>
      <c r="F94" s="98"/>
    </row>
    <row r="95" spans="1:6" x14ac:dyDescent="0.25">
      <c r="A95" s="96" t="s">
        <v>895</v>
      </c>
      <c r="B95" s="91" t="s">
        <v>896</v>
      </c>
      <c r="C95" s="91" t="s">
        <v>897</v>
      </c>
      <c r="D95" s="91" t="s">
        <v>650</v>
      </c>
      <c r="E95" s="91" t="s">
        <v>49</v>
      </c>
      <c r="F95" s="98"/>
    </row>
    <row r="96" spans="1:6" x14ac:dyDescent="0.25">
      <c r="A96" s="96" t="s">
        <v>898</v>
      </c>
      <c r="B96" s="91" t="s">
        <v>899</v>
      </c>
      <c r="C96" s="91" t="s">
        <v>900</v>
      </c>
      <c r="D96" s="91" t="s">
        <v>650</v>
      </c>
      <c r="E96" s="94" t="s">
        <v>48</v>
      </c>
      <c r="F96" s="98"/>
    </row>
    <row r="97" spans="1:6" x14ac:dyDescent="0.25">
      <c r="A97" s="96" t="s">
        <v>901</v>
      </c>
      <c r="B97" s="91" t="s">
        <v>902</v>
      </c>
      <c r="C97" s="91" t="s">
        <v>903</v>
      </c>
      <c r="D97" s="91" t="s">
        <v>650</v>
      </c>
      <c r="E97" s="91" t="s">
        <v>49</v>
      </c>
      <c r="F97" s="98"/>
    </row>
    <row r="98" spans="1:6" x14ac:dyDescent="0.25">
      <c r="A98" s="96" t="s">
        <v>904</v>
      </c>
      <c r="B98" s="91" t="s">
        <v>905</v>
      </c>
      <c r="C98" s="91" t="s">
        <v>906</v>
      </c>
      <c r="D98" s="91" t="s">
        <v>650</v>
      </c>
      <c r="E98" s="91" t="s">
        <v>49</v>
      </c>
      <c r="F98" s="98"/>
    </row>
    <row r="99" spans="1:6" x14ac:dyDescent="0.25">
      <c r="A99" s="96" t="s">
        <v>907</v>
      </c>
      <c r="B99" s="91" t="s">
        <v>908</v>
      </c>
      <c r="C99" s="91" t="s">
        <v>909</v>
      </c>
      <c r="D99" s="91" t="s">
        <v>650</v>
      </c>
      <c r="E99" s="91" t="s">
        <v>49</v>
      </c>
      <c r="F99" s="98"/>
    </row>
    <row r="100" spans="1:6" x14ac:dyDescent="0.25">
      <c r="A100" s="96" t="s">
        <v>910</v>
      </c>
      <c r="B100" s="91" t="s">
        <v>911</v>
      </c>
      <c r="C100" s="91" t="s">
        <v>912</v>
      </c>
      <c r="D100" s="91" t="s">
        <v>650</v>
      </c>
      <c r="E100" s="91" t="s">
        <v>49</v>
      </c>
      <c r="F100" s="98"/>
    </row>
    <row r="101" spans="1:6" x14ac:dyDescent="0.25">
      <c r="A101" s="96" t="s">
        <v>913</v>
      </c>
      <c r="B101" s="91" t="s">
        <v>914</v>
      </c>
      <c r="C101" s="91" t="s">
        <v>915</v>
      </c>
      <c r="D101" s="91" t="s">
        <v>650</v>
      </c>
      <c r="E101" s="91" t="s">
        <v>49</v>
      </c>
      <c r="F101" s="98"/>
    </row>
    <row r="102" spans="1:6" x14ac:dyDescent="0.25">
      <c r="A102" s="96" t="s">
        <v>916</v>
      </c>
      <c r="B102" s="91" t="s">
        <v>648</v>
      </c>
      <c r="C102" s="91" t="s">
        <v>649</v>
      </c>
      <c r="D102" s="91" t="s">
        <v>650</v>
      </c>
      <c r="E102" s="91" t="s">
        <v>49</v>
      </c>
      <c r="F102" s="98"/>
    </row>
    <row r="103" spans="1:6" x14ac:dyDescent="0.25">
      <c r="A103" s="96" t="s">
        <v>917</v>
      </c>
      <c r="B103" s="91" t="s">
        <v>652</v>
      </c>
      <c r="C103" s="91" t="s">
        <v>653</v>
      </c>
      <c r="D103" s="91" t="s">
        <v>650</v>
      </c>
      <c r="E103" s="91" t="s">
        <v>49</v>
      </c>
      <c r="F103" s="98" t="s">
        <v>654</v>
      </c>
    </row>
    <row r="104" spans="1:6" x14ac:dyDescent="0.25">
      <c r="A104" s="96" t="s">
        <v>918</v>
      </c>
      <c r="B104" s="91" t="s">
        <v>652</v>
      </c>
      <c r="C104" s="91" t="s">
        <v>656</v>
      </c>
      <c r="D104" s="91" t="s">
        <v>650</v>
      </c>
      <c r="E104" s="91" t="s">
        <v>49</v>
      </c>
      <c r="F104" s="98" t="s">
        <v>654</v>
      </c>
    </row>
    <row r="105" spans="1:6" x14ac:dyDescent="0.25">
      <c r="A105" s="96" t="s">
        <v>919</v>
      </c>
      <c r="B105" s="91" t="s">
        <v>652</v>
      </c>
      <c r="C105" s="91" t="s">
        <v>11</v>
      </c>
      <c r="D105" s="91" t="s">
        <v>650</v>
      </c>
      <c r="E105" s="91" t="s">
        <v>49</v>
      </c>
      <c r="F105" s="98" t="s">
        <v>654</v>
      </c>
    </row>
    <row r="106" spans="1:6" x14ac:dyDescent="0.25">
      <c r="A106" s="96" t="s">
        <v>920</v>
      </c>
      <c r="B106" s="91" t="s">
        <v>652</v>
      </c>
      <c r="C106" s="91" t="s">
        <v>12</v>
      </c>
      <c r="D106" s="91" t="s">
        <v>650</v>
      </c>
      <c r="E106" s="91" t="s">
        <v>49</v>
      </c>
      <c r="F106" s="98" t="s">
        <v>654</v>
      </c>
    </row>
    <row r="107" spans="1:6" x14ac:dyDescent="0.25">
      <c r="A107" s="96" t="s">
        <v>921</v>
      </c>
      <c r="B107" s="91" t="s">
        <v>662</v>
      </c>
      <c r="C107" s="91" t="s">
        <v>13</v>
      </c>
      <c r="D107" s="91" t="s">
        <v>650</v>
      </c>
      <c r="E107" s="91" t="s">
        <v>49</v>
      </c>
      <c r="F107" s="98"/>
    </row>
    <row r="108" spans="1:6" x14ac:dyDescent="0.25">
      <c r="A108" s="96" t="s">
        <v>922</v>
      </c>
      <c r="B108" s="91" t="s">
        <v>652</v>
      </c>
      <c r="C108" s="91" t="s">
        <v>14</v>
      </c>
      <c r="D108" s="91" t="s">
        <v>650</v>
      </c>
      <c r="E108" s="91" t="s">
        <v>49</v>
      </c>
      <c r="F108" s="98" t="s">
        <v>654</v>
      </c>
    </row>
    <row r="109" spans="1:6" x14ac:dyDescent="0.25">
      <c r="A109" s="96" t="s">
        <v>923</v>
      </c>
      <c r="B109" s="91" t="s">
        <v>652</v>
      </c>
      <c r="C109" s="91" t="s">
        <v>15</v>
      </c>
      <c r="D109" s="91" t="s">
        <v>650</v>
      </c>
      <c r="E109" s="91" t="s">
        <v>49</v>
      </c>
      <c r="F109" s="98" t="s">
        <v>654</v>
      </c>
    </row>
    <row r="110" spans="1:6" x14ac:dyDescent="0.25">
      <c r="A110" s="96" t="s">
        <v>924</v>
      </c>
      <c r="B110" s="91" t="s">
        <v>652</v>
      </c>
      <c r="C110" s="91" t="s">
        <v>16</v>
      </c>
      <c r="D110" s="91" t="s">
        <v>650</v>
      </c>
      <c r="E110" s="91" t="s">
        <v>49</v>
      </c>
      <c r="F110" s="98" t="s">
        <v>654</v>
      </c>
    </row>
    <row r="111" spans="1:6" x14ac:dyDescent="0.25">
      <c r="A111" s="96" t="s">
        <v>925</v>
      </c>
      <c r="B111" s="91" t="s">
        <v>652</v>
      </c>
      <c r="C111" s="91" t="s">
        <v>926</v>
      </c>
      <c r="D111" s="91" t="s">
        <v>650</v>
      </c>
      <c r="E111" s="91" t="s">
        <v>49</v>
      </c>
      <c r="F111" s="98" t="s">
        <v>654</v>
      </c>
    </row>
    <row r="112" spans="1:6" x14ac:dyDescent="0.25">
      <c r="A112" s="96" t="s">
        <v>927</v>
      </c>
      <c r="B112" s="91" t="s">
        <v>652</v>
      </c>
      <c r="C112" s="91" t="s">
        <v>673</v>
      </c>
      <c r="D112" s="91" t="s">
        <v>650</v>
      </c>
      <c r="E112" s="91" t="s">
        <v>49</v>
      </c>
      <c r="F112" s="98" t="s">
        <v>654</v>
      </c>
    </row>
    <row r="113" spans="1:6" x14ac:dyDescent="0.25">
      <c r="A113" s="96" t="s">
        <v>928</v>
      </c>
      <c r="B113" s="91" t="s">
        <v>652</v>
      </c>
      <c r="C113" s="91" t="s">
        <v>675</v>
      </c>
      <c r="D113" s="91" t="s">
        <v>650</v>
      </c>
      <c r="E113" s="91" t="s">
        <v>49</v>
      </c>
      <c r="F113" s="98" t="s">
        <v>654</v>
      </c>
    </row>
    <row r="114" spans="1:6" x14ac:dyDescent="0.25">
      <c r="A114" s="96" t="s">
        <v>929</v>
      </c>
      <c r="B114" s="91" t="s">
        <v>652</v>
      </c>
      <c r="C114" s="91" t="s">
        <v>677</v>
      </c>
      <c r="D114" s="91" t="s">
        <v>650</v>
      </c>
      <c r="E114" s="91" t="s">
        <v>49</v>
      </c>
      <c r="F114" s="98" t="s">
        <v>654</v>
      </c>
    </row>
    <row r="115" spans="1:6" x14ac:dyDescent="0.25">
      <c r="A115" s="96" t="s">
        <v>930</v>
      </c>
      <c r="B115" s="91" t="s">
        <v>679</v>
      </c>
      <c r="C115" s="91" t="s">
        <v>680</v>
      </c>
      <c r="D115" s="91" t="s">
        <v>650</v>
      </c>
      <c r="E115" s="91" t="s">
        <v>49</v>
      </c>
      <c r="F115" s="98"/>
    </row>
    <row r="116" spans="1:6" x14ac:dyDescent="0.25">
      <c r="A116" s="96" t="s">
        <v>931</v>
      </c>
      <c r="B116" s="91" t="s">
        <v>652</v>
      </c>
      <c r="C116" s="91" t="s">
        <v>682</v>
      </c>
      <c r="D116" s="91" t="s">
        <v>650</v>
      </c>
      <c r="E116" s="91" t="s">
        <v>49</v>
      </c>
      <c r="F116" s="98" t="s">
        <v>654</v>
      </c>
    </row>
    <row r="117" spans="1:6" x14ac:dyDescent="0.25">
      <c r="A117" s="96" t="s">
        <v>932</v>
      </c>
      <c r="B117" s="91" t="s">
        <v>652</v>
      </c>
      <c r="C117" s="91" t="s">
        <v>684</v>
      </c>
      <c r="D117" s="91" t="s">
        <v>650</v>
      </c>
      <c r="E117" s="91" t="s">
        <v>49</v>
      </c>
      <c r="F117" s="98" t="s">
        <v>654</v>
      </c>
    </row>
    <row r="118" spans="1:6" x14ac:dyDescent="0.25">
      <c r="A118" s="96" t="s">
        <v>933</v>
      </c>
      <c r="B118" s="91" t="s">
        <v>652</v>
      </c>
      <c r="C118" s="91" t="s">
        <v>686</v>
      </c>
      <c r="D118" s="91" t="s">
        <v>650</v>
      </c>
      <c r="E118" s="91" t="s">
        <v>49</v>
      </c>
      <c r="F118" s="98" t="s">
        <v>654</v>
      </c>
    </row>
    <row r="119" spans="1:6" x14ac:dyDescent="0.25">
      <c r="A119" s="96" t="s">
        <v>934</v>
      </c>
      <c r="B119" s="91" t="s">
        <v>652</v>
      </c>
      <c r="C119" s="91" t="s">
        <v>688</v>
      </c>
      <c r="D119" s="91" t="s">
        <v>650</v>
      </c>
      <c r="E119" s="91" t="s">
        <v>49</v>
      </c>
      <c r="F119" s="98" t="s">
        <v>654</v>
      </c>
    </row>
    <row r="120" spans="1:6" x14ac:dyDescent="0.25">
      <c r="A120" s="96" t="s">
        <v>935</v>
      </c>
      <c r="B120" s="91" t="s">
        <v>652</v>
      </c>
      <c r="C120" s="91" t="s">
        <v>690</v>
      </c>
      <c r="D120" s="91" t="s">
        <v>650</v>
      </c>
      <c r="E120" s="91" t="s">
        <v>49</v>
      </c>
      <c r="F120" s="98" t="s">
        <v>654</v>
      </c>
    </row>
    <row r="121" spans="1:6" x14ac:dyDescent="0.25">
      <c r="A121" s="96" t="s">
        <v>936</v>
      </c>
      <c r="B121" s="91" t="s">
        <v>652</v>
      </c>
      <c r="C121" s="91" t="s">
        <v>692</v>
      </c>
      <c r="D121" s="91" t="s">
        <v>650</v>
      </c>
      <c r="E121" s="91" t="s">
        <v>49</v>
      </c>
      <c r="F121" s="98" t="s">
        <v>654</v>
      </c>
    </row>
    <row r="122" spans="1:6" x14ac:dyDescent="0.25">
      <c r="A122" s="96" t="s">
        <v>937</v>
      </c>
      <c r="B122" s="91" t="s">
        <v>694</v>
      </c>
      <c r="C122" s="91" t="s">
        <v>695</v>
      </c>
      <c r="D122" s="91" t="s">
        <v>650</v>
      </c>
      <c r="E122" s="91" t="s">
        <v>49</v>
      </c>
      <c r="F122" s="98"/>
    </row>
    <row r="123" spans="1:6" x14ac:dyDescent="0.25">
      <c r="A123" s="96" t="s">
        <v>938</v>
      </c>
      <c r="B123" s="91" t="s">
        <v>697</v>
      </c>
      <c r="C123" s="91" t="s">
        <v>698</v>
      </c>
      <c r="D123" s="91" t="s">
        <v>650</v>
      </c>
      <c r="E123" s="91" t="s">
        <v>49</v>
      </c>
      <c r="F123" s="98"/>
    </row>
    <row r="124" spans="1:6" x14ac:dyDescent="0.25">
      <c r="A124" s="96" t="s">
        <v>939</v>
      </c>
      <c r="B124" s="91" t="s">
        <v>700</v>
      </c>
      <c r="C124" s="91" t="s">
        <v>701</v>
      </c>
      <c r="D124" s="91" t="s">
        <v>650</v>
      </c>
      <c r="E124" s="91" t="s">
        <v>49</v>
      </c>
      <c r="F124" s="98"/>
    </row>
    <row r="125" spans="1:6" x14ac:dyDescent="0.25">
      <c r="A125" s="96" t="s">
        <v>940</v>
      </c>
      <c r="B125" s="91" t="s">
        <v>703</v>
      </c>
      <c r="C125" s="91" t="s">
        <v>704</v>
      </c>
      <c r="D125" s="91" t="s">
        <v>650</v>
      </c>
      <c r="E125" s="91" t="s">
        <v>49</v>
      </c>
      <c r="F125" s="98"/>
    </row>
    <row r="126" spans="1:6" x14ac:dyDescent="0.25">
      <c r="A126" s="96" t="s">
        <v>941</v>
      </c>
      <c r="B126" s="91" t="s">
        <v>706</v>
      </c>
      <c r="C126" s="91" t="s">
        <v>707</v>
      </c>
      <c r="D126" s="91" t="s">
        <v>650</v>
      </c>
      <c r="E126" s="91" t="s">
        <v>49</v>
      </c>
      <c r="F126" s="98"/>
    </row>
    <row r="127" spans="1:6" x14ac:dyDescent="0.25">
      <c r="A127" s="96" t="s">
        <v>942</v>
      </c>
      <c r="B127" s="91" t="s">
        <v>709</v>
      </c>
      <c r="C127" s="91" t="s">
        <v>710</v>
      </c>
      <c r="D127" s="91" t="s">
        <v>650</v>
      </c>
      <c r="E127" s="91" t="s">
        <v>49</v>
      </c>
      <c r="F127" s="98"/>
    </row>
    <row r="128" spans="1:6" x14ac:dyDescent="0.25">
      <c r="A128" s="96" t="s">
        <v>943</v>
      </c>
      <c r="B128" s="91" t="s">
        <v>712</v>
      </c>
      <c r="C128" s="91" t="s">
        <v>713</v>
      </c>
      <c r="D128" s="91" t="s">
        <v>650</v>
      </c>
      <c r="E128" s="91" t="s">
        <v>49</v>
      </c>
      <c r="F128" s="98" t="s">
        <v>654</v>
      </c>
    </row>
    <row r="129" spans="1:6" x14ac:dyDescent="0.25">
      <c r="A129" s="96" t="s">
        <v>944</v>
      </c>
      <c r="B129" s="91" t="s">
        <v>715</v>
      </c>
      <c r="C129" s="91" t="s">
        <v>716</v>
      </c>
      <c r="D129" s="91" t="s">
        <v>650</v>
      </c>
      <c r="E129" s="91" t="s">
        <v>49</v>
      </c>
      <c r="F129" s="98"/>
    </row>
    <row r="130" spans="1:6" x14ac:dyDescent="0.25">
      <c r="A130" s="96" t="s">
        <v>945</v>
      </c>
      <c r="B130" s="91" t="s">
        <v>718</v>
      </c>
      <c r="C130" s="91" t="s">
        <v>719</v>
      </c>
      <c r="D130" s="91" t="s">
        <v>650</v>
      </c>
      <c r="E130" s="91" t="s">
        <v>49</v>
      </c>
      <c r="F130" s="98"/>
    </row>
    <row r="131" spans="1:6" x14ac:dyDescent="0.25">
      <c r="A131" s="96" t="s">
        <v>946</v>
      </c>
      <c r="B131" s="91" t="s">
        <v>721</v>
      </c>
      <c r="C131" s="91" t="s">
        <v>722</v>
      </c>
      <c r="D131" s="91" t="s">
        <v>650</v>
      </c>
      <c r="E131" s="91" t="s">
        <v>49</v>
      </c>
      <c r="F131" s="98"/>
    </row>
    <row r="132" spans="1:6" x14ac:dyDescent="0.25">
      <c r="A132" s="96" t="s">
        <v>947</v>
      </c>
      <c r="B132" s="91" t="s">
        <v>724</v>
      </c>
      <c r="C132" s="91" t="s">
        <v>725</v>
      </c>
      <c r="D132" s="91" t="s">
        <v>650</v>
      </c>
      <c r="E132" s="91" t="s">
        <v>49</v>
      </c>
      <c r="F132" s="98"/>
    </row>
    <row r="133" spans="1:6" x14ac:dyDescent="0.25">
      <c r="A133" s="96" t="s">
        <v>948</v>
      </c>
      <c r="B133" s="91" t="s">
        <v>712</v>
      </c>
      <c r="C133" s="91" t="s">
        <v>727</v>
      </c>
      <c r="D133" s="91" t="s">
        <v>650</v>
      </c>
      <c r="E133" s="91" t="s">
        <v>49</v>
      </c>
      <c r="F133" s="98" t="s">
        <v>654</v>
      </c>
    </row>
    <row r="134" spans="1:6" x14ac:dyDescent="0.25">
      <c r="A134" s="96" t="s">
        <v>949</v>
      </c>
      <c r="B134" s="91" t="s">
        <v>712</v>
      </c>
      <c r="C134" s="91" t="s">
        <v>729</v>
      </c>
      <c r="D134" s="91" t="s">
        <v>650</v>
      </c>
      <c r="E134" s="91" t="s">
        <v>49</v>
      </c>
      <c r="F134" s="98" t="s">
        <v>654</v>
      </c>
    </row>
    <row r="135" spans="1:6" x14ac:dyDescent="0.25">
      <c r="A135" s="96" t="s">
        <v>950</v>
      </c>
      <c r="B135" s="91" t="s">
        <v>712</v>
      </c>
      <c r="C135" s="91" t="s">
        <v>731</v>
      </c>
      <c r="D135" s="91" t="s">
        <v>650</v>
      </c>
      <c r="E135" s="91" t="s">
        <v>49</v>
      </c>
      <c r="F135" s="98" t="s">
        <v>654</v>
      </c>
    </row>
    <row r="136" spans="1:6" x14ac:dyDescent="0.25">
      <c r="A136" s="96" t="s">
        <v>951</v>
      </c>
      <c r="B136" s="91" t="s">
        <v>712</v>
      </c>
      <c r="C136" s="91" t="s">
        <v>733</v>
      </c>
      <c r="D136" s="91" t="s">
        <v>650</v>
      </c>
      <c r="E136" s="91" t="s">
        <v>49</v>
      </c>
      <c r="F136" s="98" t="s">
        <v>654</v>
      </c>
    </row>
    <row r="137" spans="1:6" x14ac:dyDescent="0.25">
      <c r="A137" s="96" t="s">
        <v>952</v>
      </c>
      <c r="B137" s="91" t="s">
        <v>712</v>
      </c>
      <c r="C137" s="91" t="s">
        <v>735</v>
      </c>
      <c r="D137" s="91" t="s">
        <v>650</v>
      </c>
      <c r="E137" s="91" t="s">
        <v>49</v>
      </c>
      <c r="F137" s="98" t="s">
        <v>654</v>
      </c>
    </row>
    <row r="138" spans="1:6" x14ac:dyDescent="0.25">
      <c r="A138" s="96" t="s">
        <v>953</v>
      </c>
      <c r="B138" s="91" t="s">
        <v>712</v>
      </c>
      <c r="C138" s="91" t="s">
        <v>737</v>
      </c>
      <c r="D138" s="91" t="s">
        <v>650</v>
      </c>
      <c r="E138" s="91" t="s">
        <v>49</v>
      </c>
      <c r="F138" s="98" t="s">
        <v>654</v>
      </c>
    </row>
    <row r="139" spans="1:6" x14ac:dyDescent="0.25">
      <c r="A139" s="96" t="s">
        <v>954</v>
      </c>
      <c r="B139" s="91" t="s">
        <v>712</v>
      </c>
      <c r="C139" s="91" t="s">
        <v>739</v>
      </c>
      <c r="D139" s="91" t="s">
        <v>650</v>
      </c>
      <c r="E139" s="91" t="s">
        <v>49</v>
      </c>
      <c r="F139" s="98" t="s">
        <v>654</v>
      </c>
    </row>
    <row r="140" spans="1:6" x14ac:dyDescent="0.25">
      <c r="A140" s="96" t="s">
        <v>955</v>
      </c>
      <c r="B140" s="91" t="s">
        <v>712</v>
      </c>
      <c r="C140" s="91" t="s">
        <v>741</v>
      </c>
      <c r="D140" s="91" t="s">
        <v>650</v>
      </c>
      <c r="E140" s="91" t="s">
        <v>49</v>
      </c>
      <c r="F140" s="98" t="s">
        <v>654</v>
      </c>
    </row>
    <row r="141" spans="1:6" x14ac:dyDescent="0.25">
      <c r="A141" s="96" t="s">
        <v>956</v>
      </c>
      <c r="B141" s="91" t="s">
        <v>712</v>
      </c>
      <c r="C141" s="91" t="s">
        <v>743</v>
      </c>
      <c r="D141" s="91" t="s">
        <v>650</v>
      </c>
      <c r="E141" s="91" t="s">
        <v>49</v>
      </c>
      <c r="F141" s="98" t="s">
        <v>654</v>
      </c>
    </row>
    <row r="142" spans="1:6" x14ac:dyDescent="0.25">
      <c r="A142" s="96" t="s">
        <v>957</v>
      </c>
      <c r="B142" s="91" t="s">
        <v>745</v>
      </c>
      <c r="C142" s="91" t="s">
        <v>746</v>
      </c>
      <c r="D142" s="91" t="s">
        <v>650</v>
      </c>
      <c r="E142" s="91" t="s">
        <v>49</v>
      </c>
      <c r="F142" s="98"/>
    </row>
    <row r="143" spans="1:6" x14ac:dyDescent="0.25">
      <c r="A143" s="96" t="s">
        <v>958</v>
      </c>
      <c r="B143" s="91" t="s">
        <v>748</v>
      </c>
      <c r="C143" s="91" t="s">
        <v>749</v>
      </c>
      <c r="D143" s="91" t="s">
        <v>650</v>
      </c>
      <c r="E143" s="91" t="s">
        <v>49</v>
      </c>
      <c r="F143" s="98"/>
    </row>
    <row r="144" spans="1:6" x14ac:dyDescent="0.25">
      <c r="A144" s="96" t="s">
        <v>959</v>
      </c>
      <c r="B144" s="91" t="s">
        <v>751</v>
      </c>
      <c r="C144" s="91" t="s">
        <v>752</v>
      </c>
      <c r="D144" s="91" t="s">
        <v>650</v>
      </c>
      <c r="E144" s="91" t="s">
        <v>49</v>
      </c>
      <c r="F144" s="98"/>
    </row>
    <row r="145" spans="1:6" x14ac:dyDescent="0.25">
      <c r="A145" s="96" t="s">
        <v>960</v>
      </c>
      <c r="B145" s="91" t="s">
        <v>754</v>
      </c>
      <c r="C145" s="91" t="s">
        <v>755</v>
      </c>
      <c r="D145" s="91" t="s">
        <v>650</v>
      </c>
      <c r="E145" s="91" t="s">
        <v>49</v>
      </c>
      <c r="F145" s="98"/>
    </row>
    <row r="146" spans="1:6" x14ac:dyDescent="0.25">
      <c r="A146" s="96" t="s">
        <v>961</v>
      </c>
      <c r="B146" s="91" t="s">
        <v>757</v>
      </c>
      <c r="C146" s="91" t="s">
        <v>758</v>
      </c>
      <c r="D146" s="91" t="s">
        <v>650</v>
      </c>
      <c r="E146" s="91" t="s">
        <v>49</v>
      </c>
      <c r="F146" s="98"/>
    </row>
    <row r="147" spans="1:6" x14ac:dyDescent="0.25">
      <c r="A147" s="96" t="s">
        <v>962</v>
      </c>
      <c r="B147" s="91" t="s">
        <v>760</v>
      </c>
      <c r="C147" s="91" t="s">
        <v>761</v>
      </c>
      <c r="D147" s="91" t="s">
        <v>650</v>
      </c>
      <c r="E147" s="91" t="s">
        <v>49</v>
      </c>
      <c r="F147" s="98"/>
    </row>
    <row r="148" spans="1:6" x14ac:dyDescent="0.25">
      <c r="A148" s="96" t="s">
        <v>963</v>
      </c>
      <c r="B148" s="91" t="s">
        <v>763</v>
      </c>
      <c r="C148" s="91" t="s">
        <v>764</v>
      </c>
      <c r="D148" s="91" t="s">
        <v>650</v>
      </c>
      <c r="E148" s="91" t="s">
        <v>49</v>
      </c>
      <c r="F148" s="98"/>
    </row>
    <row r="149" spans="1:6" x14ac:dyDescent="0.25">
      <c r="A149" s="96" t="s">
        <v>964</v>
      </c>
      <c r="B149" s="91" t="s">
        <v>766</v>
      </c>
      <c r="C149" s="91" t="s">
        <v>767</v>
      </c>
      <c r="D149" s="91" t="s">
        <v>650</v>
      </c>
      <c r="E149" s="91" t="s">
        <v>49</v>
      </c>
      <c r="F149" s="98"/>
    </row>
    <row r="150" spans="1:6" x14ac:dyDescent="0.25">
      <c r="A150" s="96" t="s">
        <v>965</v>
      </c>
      <c r="B150" s="91" t="s">
        <v>769</v>
      </c>
      <c r="C150" s="91" t="s">
        <v>770</v>
      </c>
      <c r="D150" s="91" t="s">
        <v>650</v>
      </c>
      <c r="E150" s="91" t="s">
        <v>49</v>
      </c>
      <c r="F150" s="98"/>
    </row>
    <row r="151" spans="1:6" x14ac:dyDescent="0.25">
      <c r="A151" s="96" t="s">
        <v>966</v>
      </c>
      <c r="B151" s="91" t="s">
        <v>772</v>
      </c>
      <c r="C151" s="91" t="s">
        <v>773</v>
      </c>
      <c r="D151" s="91" t="s">
        <v>650</v>
      </c>
      <c r="E151" s="91" t="s">
        <v>49</v>
      </c>
      <c r="F151" s="98"/>
    </row>
    <row r="152" spans="1:6" x14ac:dyDescent="0.25">
      <c r="A152" s="96" t="s">
        <v>967</v>
      </c>
      <c r="B152" s="91" t="s">
        <v>775</v>
      </c>
      <c r="C152" s="91" t="s">
        <v>776</v>
      </c>
      <c r="D152" s="91" t="s">
        <v>650</v>
      </c>
      <c r="E152" s="91" t="s">
        <v>49</v>
      </c>
      <c r="F152" s="98"/>
    </row>
    <row r="153" spans="1:6" x14ac:dyDescent="0.25">
      <c r="A153" s="96" t="s">
        <v>968</v>
      </c>
      <c r="B153" s="91" t="s">
        <v>778</v>
      </c>
      <c r="C153" s="91" t="s">
        <v>779</v>
      </c>
      <c r="D153" s="91" t="s">
        <v>650</v>
      </c>
      <c r="E153" s="91" t="s">
        <v>49</v>
      </c>
      <c r="F153" s="98"/>
    </row>
    <row r="154" spans="1:6" x14ac:dyDescent="0.25">
      <c r="A154" s="96" t="s">
        <v>969</v>
      </c>
      <c r="B154" s="91" t="s">
        <v>781</v>
      </c>
      <c r="C154" s="91" t="s">
        <v>782</v>
      </c>
      <c r="D154" s="91" t="s">
        <v>650</v>
      </c>
      <c r="E154" s="91" t="s">
        <v>49</v>
      </c>
      <c r="F154" s="98"/>
    </row>
    <row r="155" spans="1:6" x14ac:dyDescent="0.25">
      <c r="A155" s="96" t="s">
        <v>970</v>
      </c>
      <c r="B155" s="91" t="s">
        <v>784</v>
      </c>
      <c r="C155" s="91" t="s">
        <v>785</v>
      </c>
      <c r="D155" s="91" t="s">
        <v>650</v>
      </c>
      <c r="E155" s="91" t="s">
        <v>48</v>
      </c>
      <c r="F155" s="98"/>
    </row>
    <row r="156" spans="1:6" x14ac:dyDescent="0.25">
      <c r="A156" s="96" t="s">
        <v>971</v>
      </c>
      <c r="B156" s="91" t="s">
        <v>787</v>
      </c>
      <c r="C156" s="91" t="s">
        <v>788</v>
      </c>
      <c r="D156" s="91" t="s">
        <v>650</v>
      </c>
      <c r="E156" s="91" t="s">
        <v>48</v>
      </c>
      <c r="F156" s="98"/>
    </row>
    <row r="157" spans="1:6" x14ac:dyDescent="0.25">
      <c r="A157" s="96" t="s">
        <v>972</v>
      </c>
      <c r="B157" s="91" t="s">
        <v>790</v>
      </c>
      <c r="C157" s="91" t="s">
        <v>791</v>
      </c>
      <c r="D157" s="91" t="s">
        <v>650</v>
      </c>
      <c r="E157" s="91" t="s">
        <v>49</v>
      </c>
      <c r="F157" s="98"/>
    </row>
    <row r="158" spans="1:6" x14ac:dyDescent="0.25">
      <c r="A158" s="96" t="s">
        <v>973</v>
      </c>
      <c r="B158" s="91" t="s">
        <v>793</v>
      </c>
      <c r="C158" s="91" t="s">
        <v>794</v>
      </c>
      <c r="D158" s="91" t="s">
        <v>650</v>
      </c>
      <c r="E158" s="91" t="s">
        <v>49</v>
      </c>
      <c r="F158" s="98"/>
    </row>
    <row r="159" spans="1:6" x14ac:dyDescent="0.25">
      <c r="A159" s="96" t="s">
        <v>974</v>
      </c>
      <c r="B159" s="91" t="s">
        <v>796</v>
      </c>
      <c r="C159" s="91" t="s">
        <v>797</v>
      </c>
      <c r="D159" s="91" t="s">
        <v>650</v>
      </c>
      <c r="E159" s="91" t="s">
        <v>49</v>
      </c>
      <c r="F159" s="98"/>
    </row>
    <row r="160" spans="1:6" x14ac:dyDescent="0.25">
      <c r="A160" s="96" t="s">
        <v>975</v>
      </c>
      <c r="B160" s="91" t="s">
        <v>799</v>
      </c>
      <c r="C160" s="91" t="s">
        <v>800</v>
      </c>
      <c r="D160" s="91" t="s">
        <v>650</v>
      </c>
      <c r="E160" s="91" t="s">
        <v>48</v>
      </c>
      <c r="F160" s="98"/>
    </row>
    <row r="161" spans="1:6" x14ac:dyDescent="0.25">
      <c r="A161" s="96" t="s">
        <v>976</v>
      </c>
      <c r="B161" s="91" t="s">
        <v>802</v>
      </c>
      <c r="C161" s="91" t="s">
        <v>803</v>
      </c>
      <c r="D161" s="91" t="s">
        <v>650</v>
      </c>
      <c r="E161" s="91" t="s">
        <v>48</v>
      </c>
      <c r="F161" s="98"/>
    </row>
    <row r="162" spans="1:6" x14ac:dyDescent="0.25">
      <c r="A162" s="96" t="s">
        <v>977</v>
      </c>
      <c r="B162" s="91" t="s">
        <v>805</v>
      </c>
      <c r="C162" s="91" t="s">
        <v>806</v>
      </c>
      <c r="D162" s="91" t="s">
        <v>650</v>
      </c>
      <c r="E162" s="91" t="s">
        <v>49</v>
      </c>
      <c r="F162" s="98"/>
    </row>
    <row r="163" spans="1:6" x14ac:dyDescent="0.25">
      <c r="A163" s="96" t="s">
        <v>978</v>
      </c>
      <c r="B163" s="91" t="s">
        <v>808</v>
      </c>
      <c r="C163" s="91" t="s">
        <v>809</v>
      </c>
      <c r="D163" s="91" t="s">
        <v>650</v>
      </c>
      <c r="E163" s="91" t="s">
        <v>49</v>
      </c>
      <c r="F163" s="98"/>
    </row>
    <row r="164" spans="1:6" x14ac:dyDescent="0.25">
      <c r="A164" s="96" t="s">
        <v>979</v>
      </c>
      <c r="B164" s="91" t="s">
        <v>811</v>
      </c>
      <c r="C164" s="91" t="s">
        <v>812</v>
      </c>
      <c r="D164" s="91" t="s">
        <v>650</v>
      </c>
      <c r="E164" s="91" t="s">
        <v>49</v>
      </c>
      <c r="F164" s="98"/>
    </row>
    <row r="165" spans="1:6" x14ac:dyDescent="0.25">
      <c r="A165" s="96" t="s">
        <v>980</v>
      </c>
      <c r="B165" s="91" t="s">
        <v>814</v>
      </c>
      <c r="C165" s="91" t="s">
        <v>815</v>
      </c>
      <c r="D165" s="91" t="s">
        <v>650</v>
      </c>
      <c r="E165" s="91" t="s">
        <v>48</v>
      </c>
      <c r="F165" s="98"/>
    </row>
    <row r="166" spans="1:6" x14ac:dyDescent="0.25">
      <c r="A166" s="96" t="s">
        <v>981</v>
      </c>
      <c r="B166" s="91" t="s">
        <v>817</v>
      </c>
      <c r="C166" s="91" t="s">
        <v>818</v>
      </c>
      <c r="D166" s="91" t="s">
        <v>650</v>
      </c>
      <c r="E166" s="91" t="s">
        <v>48</v>
      </c>
      <c r="F166" s="98"/>
    </row>
    <row r="167" spans="1:6" x14ac:dyDescent="0.25">
      <c r="A167" s="96" t="s">
        <v>982</v>
      </c>
      <c r="B167" s="91" t="s">
        <v>820</v>
      </c>
      <c r="C167" s="91" t="s">
        <v>821</v>
      </c>
      <c r="D167" s="91" t="s">
        <v>650</v>
      </c>
      <c r="E167" s="91" t="s">
        <v>48</v>
      </c>
      <c r="F167" s="98"/>
    </row>
    <row r="168" spans="1:6" x14ac:dyDescent="0.25">
      <c r="A168" s="96" t="s">
        <v>983</v>
      </c>
      <c r="B168" s="91" t="s">
        <v>823</v>
      </c>
      <c r="C168" s="91" t="s">
        <v>824</v>
      </c>
      <c r="D168" s="91" t="s">
        <v>650</v>
      </c>
      <c r="E168" s="91" t="s">
        <v>49</v>
      </c>
      <c r="F168" s="98"/>
    </row>
    <row r="169" spans="1:6" x14ac:dyDescent="0.25">
      <c r="A169" s="96" t="s">
        <v>984</v>
      </c>
      <c r="B169" s="91" t="s">
        <v>826</v>
      </c>
      <c r="C169" s="91" t="s">
        <v>827</v>
      </c>
      <c r="D169" s="91" t="s">
        <v>650</v>
      </c>
      <c r="E169" s="91" t="s">
        <v>49</v>
      </c>
      <c r="F169" s="98"/>
    </row>
    <row r="170" spans="1:6" x14ac:dyDescent="0.25">
      <c r="A170" s="96" t="s">
        <v>985</v>
      </c>
      <c r="B170" s="91" t="s">
        <v>712</v>
      </c>
      <c r="C170" s="91" t="s">
        <v>829</v>
      </c>
      <c r="D170" s="91" t="s">
        <v>650</v>
      </c>
      <c r="E170" s="91" t="s">
        <v>49</v>
      </c>
      <c r="F170" s="98" t="s">
        <v>654</v>
      </c>
    </row>
    <row r="171" spans="1:6" x14ac:dyDescent="0.25">
      <c r="A171" s="96" t="s">
        <v>986</v>
      </c>
      <c r="B171" s="91" t="s">
        <v>712</v>
      </c>
      <c r="C171" s="91" t="s">
        <v>831</v>
      </c>
      <c r="D171" s="91" t="s">
        <v>650</v>
      </c>
      <c r="E171" s="91" t="s">
        <v>49</v>
      </c>
      <c r="F171" s="98" t="s">
        <v>654</v>
      </c>
    </row>
    <row r="172" spans="1:6" x14ac:dyDescent="0.25">
      <c r="A172" s="96" t="s">
        <v>987</v>
      </c>
      <c r="B172" s="91" t="s">
        <v>712</v>
      </c>
      <c r="C172" s="91" t="s">
        <v>833</v>
      </c>
      <c r="D172" s="91" t="s">
        <v>650</v>
      </c>
      <c r="E172" s="91" t="s">
        <v>49</v>
      </c>
      <c r="F172" s="98" t="s">
        <v>654</v>
      </c>
    </row>
    <row r="173" spans="1:6" x14ac:dyDescent="0.25">
      <c r="A173" s="96" t="s">
        <v>988</v>
      </c>
      <c r="B173" s="91" t="s">
        <v>712</v>
      </c>
      <c r="C173" s="91" t="s">
        <v>835</v>
      </c>
      <c r="D173" s="91" t="s">
        <v>650</v>
      </c>
      <c r="E173" s="91" t="s">
        <v>49</v>
      </c>
      <c r="F173" s="98" t="s">
        <v>654</v>
      </c>
    </row>
    <row r="174" spans="1:6" x14ac:dyDescent="0.25">
      <c r="A174" s="96" t="s">
        <v>989</v>
      </c>
      <c r="B174" s="91" t="s">
        <v>712</v>
      </c>
      <c r="C174" s="91" t="s">
        <v>837</v>
      </c>
      <c r="D174" s="91" t="s">
        <v>650</v>
      </c>
      <c r="E174" s="91" t="s">
        <v>49</v>
      </c>
      <c r="F174" s="98" t="s">
        <v>654</v>
      </c>
    </row>
    <row r="175" spans="1:6" x14ac:dyDescent="0.25">
      <c r="A175" s="96" t="s">
        <v>990</v>
      </c>
      <c r="B175" s="91" t="s">
        <v>712</v>
      </c>
      <c r="C175" s="91" t="s">
        <v>839</v>
      </c>
      <c r="D175" s="91" t="s">
        <v>650</v>
      </c>
      <c r="E175" s="91" t="s">
        <v>49</v>
      </c>
      <c r="F175" s="98" t="s">
        <v>654</v>
      </c>
    </row>
    <row r="176" spans="1:6" x14ac:dyDescent="0.25">
      <c r="A176" s="96" t="s">
        <v>991</v>
      </c>
      <c r="B176" s="91" t="s">
        <v>712</v>
      </c>
      <c r="C176" s="91" t="s">
        <v>841</v>
      </c>
      <c r="D176" s="91" t="s">
        <v>650</v>
      </c>
      <c r="E176" s="91" t="s">
        <v>49</v>
      </c>
      <c r="F176" s="98" t="s">
        <v>654</v>
      </c>
    </row>
    <row r="177" spans="1:6" x14ac:dyDescent="0.25">
      <c r="A177" s="96" t="s">
        <v>992</v>
      </c>
      <c r="B177" s="91" t="s">
        <v>712</v>
      </c>
      <c r="C177" s="91" t="s">
        <v>843</v>
      </c>
      <c r="D177" s="91" t="s">
        <v>650</v>
      </c>
      <c r="E177" s="91" t="s">
        <v>49</v>
      </c>
      <c r="F177" s="98" t="s">
        <v>654</v>
      </c>
    </row>
    <row r="178" spans="1:6" x14ac:dyDescent="0.25">
      <c r="A178" s="96" t="s">
        <v>993</v>
      </c>
      <c r="B178" s="91" t="s">
        <v>845</v>
      </c>
      <c r="C178" s="91" t="s">
        <v>846</v>
      </c>
      <c r="D178" s="91" t="s">
        <v>650</v>
      </c>
      <c r="E178" s="91" t="s">
        <v>49</v>
      </c>
      <c r="F178" s="98"/>
    </row>
    <row r="179" spans="1:6" x14ac:dyDescent="0.25">
      <c r="A179" s="96" t="s">
        <v>994</v>
      </c>
      <c r="B179" s="91" t="s">
        <v>848</v>
      </c>
      <c r="C179" s="91" t="s">
        <v>849</v>
      </c>
      <c r="D179" s="91" t="s">
        <v>650</v>
      </c>
      <c r="E179" s="91" t="s">
        <v>49</v>
      </c>
      <c r="F179" s="98"/>
    </row>
    <row r="180" spans="1:6" x14ac:dyDescent="0.25">
      <c r="A180" s="96" t="s">
        <v>995</v>
      </c>
      <c r="B180" s="91" t="s">
        <v>851</v>
      </c>
      <c r="C180" s="91" t="s">
        <v>852</v>
      </c>
      <c r="D180" s="91" t="s">
        <v>650</v>
      </c>
      <c r="E180" s="91" t="s">
        <v>49</v>
      </c>
      <c r="F180" s="98"/>
    </row>
    <row r="181" spans="1:6" x14ac:dyDescent="0.25">
      <c r="A181" s="96" t="s">
        <v>996</v>
      </c>
      <c r="B181" s="91" t="s">
        <v>854</v>
      </c>
      <c r="C181" s="91" t="s">
        <v>855</v>
      </c>
      <c r="D181" s="91" t="s">
        <v>650</v>
      </c>
      <c r="E181" s="91" t="s">
        <v>49</v>
      </c>
      <c r="F181" s="98"/>
    </row>
    <row r="182" spans="1:6" x14ac:dyDescent="0.25">
      <c r="A182" s="96" t="s">
        <v>997</v>
      </c>
      <c r="B182" s="91" t="s">
        <v>857</v>
      </c>
      <c r="C182" s="91" t="s">
        <v>858</v>
      </c>
      <c r="D182" s="91" t="s">
        <v>650</v>
      </c>
      <c r="E182" s="91" t="s">
        <v>49</v>
      </c>
      <c r="F182" s="98"/>
    </row>
    <row r="183" spans="1:6" x14ac:dyDescent="0.25">
      <c r="A183" s="96" t="s">
        <v>998</v>
      </c>
      <c r="B183" s="91" t="s">
        <v>860</v>
      </c>
      <c r="C183" s="91" t="s">
        <v>861</v>
      </c>
      <c r="D183" s="91" t="s">
        <v>650</v>
      </c>
      <c r="E183" s="91" t="s">
        <v>49</v>
      </c>
      <c r="F183" s="98"/>
    </row>
    <row r="184" spans="1:6" x14ac:dyDescent="0.25">
      <c r="A184" s="96" t="s">
        <v>999</v>
      </c>
      <c r="B184" s="91" t="s">
        <v>863</v>
      </c>
      <c r="C184" s="91" t="s">
        <v>864</v>
      </c>
      <c r="D184" s="91" t="s">
        <v>650</v>
      </c>
      <c r="E184" s="91" t="s">
        <v>48</v>
      </c>
      <c r="F184" s="98"/>
    </row>
    <row r="185" spans="1:6" x14ac:dyDescent="0.25">
      <c r="A185" s="96" t="s">
        <v>1000</v>
      </c>
      <c r="B185" s="91" t="s">
        <v>866</v>
      </c>
      <c r="C185" s="91" t="s">
        <v>867</v>
      </c>
      <c r="D185" s="91" t="s">
        <v>650</v>
      </c>
      <c r="E185" s="91" t="s">
        <v>49</v>
      </c>
      <c r="F185" s="98"/>
    </row>
    <row r="186" spans="1:6" x14ac:dyDescent="0.25">
      <c r="A186" s="96" t="s">
        <v>1001</v>
      </c>
      <c r="B186" s="91" t="s">
        <v>869</v>
      </c>
      <c r="C186" s="91" t="s">
        <v>870</v>
      </c>
      <c r="D186" s="91" t="s">
        <v>650</v>
      </c>
      <c r="E186" s="91" t="s">
        <v>49</v>
      </c>
      <c r="F186" s="98"/>
    </row>
    <row r="187" spans="1:6" x14ac:dyDescent="0.25">
      <c r="A187" s="96" t="s">
        <v>1002</v>
      </c>
      <c r="B187" s="91" t="s">
        <v>872</v>
      </c>
      <c r="C187" s="91" t="s">
        <v>873</v>
      </c>
      <c r="D187" s="91" t="s">
        <v>650</v>
      </c>
      <c r="E187" s="91" t="s">
        <v>49</v>
      </c>
      <c r="F187" s="98"/>
    </row>
    <row r="188" spans="1:6" x14ac:dyDescent="0.25">
      <c r="A188" s="96" t="s">
        <v>1003</v>
      </c>
      <c r="B188" s="91" t="s">
        <v>875</v>
      </c>
      <c r="C188" s="91" t="s">
        <v>876</v>
      </c>
      <c r="D188" s="91" t="s">
        <v>650</v>
      </c>
      <c r="E188" s="91" t="s">
        <v>49</v>
      </c>
      <c r="F188" s="98"/>
    </row>
    <row r="189" spans="1:6" x14ac:dyDescent="0.25">
      <c r="A189" s="96" t="s">
        <v>1004</v>
      </c>
      <c r="B189" s="91" t="s">
        <v>878</v>
      </c>
      <c r="C189" s="91" t="s">
        <v>879</v>
      </c>
      <c r="D189" s="91" t="s">
        <v>650</v>
      </c>
      <c r="E189" s="91" t="s">
        <v>49</v>
      </c>
      <c r="F189" s="98"/>
    </row>
    <row r="190" spans="1:6" x14ac:dyDescent="0.25">
      <c r="A190" s="96" t="s">
        <v>1005</v>
      </c>
      <c r="B190" s="91" t="s">
        <v>881</v>
      </c>
      <c r="C190" s="91" t="s">
        <v>882</v>
      </c>
      <c r="D190" s="91" t="s">
        <v>650</v>
      </c>
      <c r="E190" s="91" t="s">
        <v>49</v>
      </c>
      <c r="F190" s="98"/>
    </row>
    <row r="191" spans="1:6" x14ac:dyDescent="0.25">
      <c r="A191" s="96" t="s">
        <v>1006</v>
      </c>
      <c r="B191" s="91" t="s">
        <v>884</v>
      </c>
      <c r="C191" s="91" t="s">
        <v>885</v>
      </c>
      <c r="D191" s="91" t="s">
        <v>650</v>
      </c>
      <c r="E191" s="91" t="s">
        <v>49</v>
      </c>
      <c r="F191" s="98"/>
    </row>
    <row r="192" spans="1:6" x14ac:dyDescent="0.25">
      <c r="A192" s="96" t="s">
        <v>1007</v>
      </c>
      <c r="B192" s="91" t="s">
        <v>887</v>
      </c>
      <c r="C192" s="91" t="s">
        <v>888</v>
      </c>
      <c r="D192" s="91" t="s">
        <v>650</v>
      </c>
      <c r="E192" s="91" t="s">
        <v>49</v>
      </c>
      <c r="F192" s="98"/>
    </row>
    <row r="193" spans="1:6" x14ac:dyDescent="0.25">
      <c r="A193" s="96" t="s">
        <v>1008</v>
      </c>
      <c r="B193" s="91" t="s">
        <v>890</v>
      </c>
      <c r="C193" s="91" t="s">
        <v>891</v>
      </c>
      <c r="D193" s="91" t="s">
        <v>650</v>
      </c>
      <c r="E193" s="91" t="s">
        <v>49</v>
      </c>
      <c r="F193" s="98"/>
    </row>
    <row r="194" spans="1:6" x14ac:dyDescent="0.25">
      <c r="A194" s="96" t="s">
        <v>1009</v>
      </c>
      <c r="B194" s="91" t="s">
        <v>893</v>
      </c>
      <c r="C194" s="91" t="s">
        <v>894</v>
      </c>
      <c r="D194" s="91" t="s">
        <v>650</v>
      </c>
      <c r="E194" s="91" t="s">
        <v>49</v>
      </c>
      <c r="F194" s="98"/>
    </row>
    <row r="195" spans="1:6" x14ac:dyDescent="0.25">
      <c r="A195" s="96" t="s">
        <v>1010</v>
      </c>
      <c r="B195" s="91" t="s">
        <v>896</v>
      </c>
      <c r="C195" s="91" t="s">
        <v>897</v>
      </c>
      <c r="D195" s="91" t="s">
        <v>650</v>
      </c>
      <c r="E195" s="91" t="s">
        <v>49</v>
      </c>
      <c r="F195" s="98"/>
    </row>
    <row r="196" spans="1:6" x14ac:dyDescent="0.25">
      <c r="A196" s="96" t="s">
        <v>1011</v>
      </c>
      <c r="B196" s="91" t="s">
        <v>899</v>
      </c>
      <c r="C196" s="91" t="s">
        <v>900</v>
      </c>
      <c r="D196" s="91" t="s">
        <v>650</v>
      </c>
      <c r="E196" s="94" t="s">
        <v>48</v>
      </c>
      <c r="F196" s="98"/>
    </row>
    <row r="197" spans="1:6" x14ac:dyDescent="0.25">
      <c r="A197" s="96" t="s">
        <v>1012</v>
      </c>
      <c r="B197" s="91" t="s">
        <v>902</v>
      </c>
      <c r="C197" s="91" t="s">
        <v>903</v>
      </c>
      <c r="D197" s="91" t="s">
        <v>650</v>
      </c>
      <c r="E197" s="91" t="s">
        <v>49</v>
      </c>
      <c r="F197" s="98"/>
    </row>
    <row r="198" spans="1:6" x14ac:dyDescent="0.25">
      <c r="A198" s="96" t="s">
        <v>1013</v>
      </c>
      <c r="B198" s="91" t="s">
        <v>905</v>
      </c>
      <c r="C198" s="91" t="s">
        <v>906</v>
      </c>
      <c r="D198" s="91" t="s">
        <v>650</v>
      </c>
      <c r="E198" s="91" t="s">
        <v>49</v>
      </c>
      <c r="F198" s="98"/>
    </row>
    <row r="199" spans="1:6" x14ac:dyDescent="0.25">
      <c r="A199" s="96" t="s">
        <v>1014</v>
      </c>
      <c r="B199" s="91" t="s">
        <v>908</v>
      </c>
      <c r="C199" s="91" t="s">
        <v>909</v>
      </c>
      <c r="D199" s="91" t="s">
        <v>650</v>
      </c>
      <c r="E199" s="91" t="s">
        <v>49</v>
      </c>
      <c r="F199" s="98"/>
    </row>
    <row r="200" spans="1:6" x14ac:dyDescent="0.25">
      <c r="A200" s="96" t="s">
        <v>1015</v>
      </c>
      <c r="B200" s="91" t="s">
        <v>911</v>
      </c>
      <c r="C200" s="91" t="s">
        <v>912</v>
      </c>
      <c r="D200" s="91" t="s">
        <v>650</v>
      </c>
      <c r="E200" s="91" t="s">
        <v>49</v>
      </c>
      <c r="F200" s="98"/>
    </row>
    <row r="201" spans="1:6" x14ac:dyDescent="0.25">
      <c r="A201" s="103" t="s">
        <v>1016</v>
      </c>
      <c r="B201" s="104" t="s">
        <v>914</v>
      </c>
      <c r="C201" s="104" t="s">
        <v>915</v>
      </c>
      <c r="D201" s="104" t="s">
        <v>650</v>
      </c>
      <c r="E201" s="104" t="s">
        <v>49</v>
      </c>
      <c r="F201" s="105"/>
    </row>
    <row r="203" spans="1:6" x14ac:dyDescent="0.25">
      <c r="E203" s="95"/>
    </row>
    <row r="204" spans="1:6" x14ac:dyDescent="0.25">
      <c r="E20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C15"/>
  <sheetViews>
    <sheetView workbookViewId="0">
      <selection activeCell="C4" sqref="C4"/>
    </sheetView>
  </sheetViews>
  <sheetFormatPr defaultRowHeight="15" x14ac:dyDescent="0.25"/>
  <sheetData>
    <row r="1" spans="3:3" x14ac:dyDescent="0.25">
      <c r="C1" t="s">
        <v>1058</v>
      </c>
    </row>
    <row r="3" spans="3:3" x14ac:dyDescent="0.25">
      <c r="C3" t="s">
        <v>1023</v>
      </c>
    </row>
    <row r="4" spans="3:3" x14ac:dyDescent="0.25">
      <c r="C4" s="106"/>
    </row>
    <row r="5" spans="3:3" x14ac:dyDescent="0.25">
      <c r="C5" s="106" t="s">
        <v>1050</v>
      </c>
    </row>
    <row r="6" spans="3:3" x14ac:dyDescent="0.25">
      <c r="C6" s="106" t="s">
        <v>1051</v>
      </c>
    </row>
    <row r="7" spans="3:3" x14ac:dyDescent="0.25">
      <c r="C7" s="106" t="s">
        <v>1052</v>
      </c>
    </row>
    <row r="8" spans="3:3" x14ac:dyDescent="0.25">
      <c r="C8" s="106" t="s">
        <v>1044</v>
      </c>
    </row>
    <row r="9" spans="3:3" x14ac:dyDescent="0.25">
      <c r="C9" s="106" t="s">
        <v>1036</v>
      </c>
    </row>
    <row r="10" spans="3:3" x14ac:dyDescent="0.25">
      <c r="C10" s="106" t="s">
        <v>1053</v>
      </c>
    </row>
    <row r="11" spans="3:3" x14ac:dyDescent="0.25">
      <c r="C11" s="106" t="s">
        <v>1030</v>
      </c>
    </row>
    <row r="12" spans="3:3" x14ac:dyDescent="0.25">
      <c r="C12" s="106" t="s">
        <v>1054</v>
      </c>
    </row>
    <row r="13" spans="3:3" x14ac:dyDescent="0.25">
      <c r="C13" s="106" t="s">
        <v>1055</v>
      </c>
    </row>
    <row r="14" spans="3:3" x14ac:dyDescent="0.25">
      <c r="C14" s="106" t="s">
        <v>1056</v>
      </c>
    </row>
    <row r="15" spans="3:3" x14ac:dyDescent="0.25">
      <c r="C15" s="106" t="s">
        <v>1057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abSelected="1" workbookViewId="0">
      <selection activeCell="M16" sqref="M1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BA3B2B-2951-41F3-B6F7-1AB9678BC5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  <vt:lpstr>TestDisciplines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Crooke</dc:creator>
  <cp:lastModifiedBy>Douglas Crooke</cp:lastModifiedBy>
  <dcterms:created xsi:type="dcterms:W3CDTF">2015-06-05T18:17:20Z</dcterms:created>
  <dcterms:modified xsi:type="dcterms:W3CDTF">2017-09-20T09:29:31Z</dcterms:modified>
</cp:coreProperties>
</file>