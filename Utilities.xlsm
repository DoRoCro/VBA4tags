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1860" yWindow="0" windowWidth="20865" windowHeight="11895" firstSheet="2" activeTab="4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DefaultCriticalities" sheetId="9" r:id="rId8"/>
    <sheet name="TestFailureCodeTemplate" sheetId="10" r:id="rId9"/>
  </sheets>
  <functionGroups builtInGroupCount="18"/>
  <externalReferences>
    <externalReference r:id="rId10"/>
    <externalReference r:id="rId11"/>
  </externalReferences>
  <definedNames>
    <definedName name="BarrierFamilies" localSheetId="8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Impact">[1]LookUp!$D$2:$D$16</definedName>
    <definedName name="TypicalComponents" localSheetId="8">OFFSET(TestFailureCodeTemplate!$V$3,1,0,TestFailureCodeTemplate!$AA$4,1)</definedName>
    <definedName name="TypicalComponents">OFFSET(#REF!,1,0,#REF!,1)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E17" i="10"/>
  <c r="D17" i="10"/>
  <c r="E16" i="10"/>
  <c r="D16" i="10"/>
  <c r="R5" i="10"/>
  <c r="R6" i="10" s="1"/>
  <c r="R7" i="10" s="1"/>
  <c r="T4" i="10"/>
  <c r="B9" i="10" l="1"/>
  <c r="G10" i="10" s="1"/>
  <c r="B10" i="10"/>
  <c r="G11" i="10" s="1"/>
  <c r="B12" i="10"/>
  <c r="D12" i="10" s="1" a="1"/>
  <c r="D12" i="10" s="1"/>
  <c r="R8" i="10"/>
  <c r="T5" i="10"/>
  <c r="B11" i="10"/>
  <c r="O204" i="10"/>
  <c r="D10" i="10" l="1" a="1"/>
  <c r="D10" i="10" s="1"/>
  <c r="C10" i="10" a="1"/>
  <c r="C10" i="10" s="1"/>
  <c r="C9" i="10" a="1"/>
  <c r="C9" i="10" s="1"/>
  <c r="G6" i="10"/>
  <c r="D9" i="10" a="1"/>
  <c r="D9" i="10" s="1"/>
  <c r="C12" i="10" a="1"/>
  <c r="C12" i="10" s="1"/>
  <c r="J36" i="10" s="1"/>
  <c r="K36" i="10" s="1"/>
  <c r="G13" i="10"/>
  <c r="J30" i="10"/>
  <c r="J31" i="10"/>
  <c r="K31" i="10" s="1"/>
  <c r="J29" i="10"/>
  <c r="C11" i="10" a="1"/>
  <c r="C11" i="10" s="1"/>
  <c r="G12" i="10"/>
  <c r="D11" i="10" a="1"/>
  <c r="D11" i="10" s="1"/>
  <c r="T6" i="10"/>
  <c r="R9" i="10"/>
  <c r="O205" i="10"/>
  <c r="G8" i="10" l="1"/>
  <c r="K29" i="10"/>
  <c r="K30" i="10"/>
  <c r="T7" i="10"/>
  <c r="O206" i="10"/>
  <c r="R10" i="10"/>
  <c r="R11" i="10" l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R217" i="10" s="1"/>
  <c r="R218" i="10" s="1"/>
  <c r="R219" i="10" s="1"/>
  <c r="R220" i="10" s="1"/>
  <c r="R221" i="10" s="1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T214" i="10" l="1"/>
  <c r="T215" i="10" l="1"/>
  <c r="T216" i="10" l="1"/>
  <c r="T217" i="10" s="1"/>
  <c r="T218" i="10" l="1"/>
  <c r="Z4" i="10"/>
  <c r="U217" i="10" s="1"/>
  <c r="T219" i="10" l="1"/>
  <c r="U218" i="10"/>
  <c r="Z8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T220" i="10" l="1"/>
  <c r="U219" i="10"/>
  <c r="Z5" i="10"/>
  <c r="U220" i="10" l="1"/>
  <c r="T221" i="10"/>
  <c r="S5" i="10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T222" i="10" l="1"/>
  <c r="U221" i="10"/>
  <c r="AA4" i="10"/>
  <c r="W217" i="10" s="1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M38" i="1" s="1"/>
  <c r="L37" i="1"/>
  <c r="L38" i="1" s="1"/>
  <c r="T37" i="1"/>
  <c r="T38" i="1" s="1"/>
  <c r="S37" i="1"/>
  <c r="S38" i="1" s="1"/>
  <c r="T223" i="10" l="1"/>
  <c r="W223" i="10" s="1"/>
  <c r="U222" i="10"/>
  <c r="V42" i="10"/>
  <c r="W166" i="10"/>
  <c r="W200" i="10"/>
  <c r="V199" i="10"/>
  <c r="W185" i="10"/>
  <c r="V192" i="10"/>
  <c r="V98" i="10"/>
  <c r="V208" i="10"/>
  <c r="V138" i="10"/>
  <c r="V130" i="10"/>
  <c r="V216" i="10"/>
  <c r="W184" i="10"/>
  <c r="V176" i="10"/>
  <c r="W137" i="10"/>
  <c r="V40" i="10"/>
  <c r="V102" i="10"/>
  <c r="V20" i="10"/>
  <c r="V207" i="10"/>
  <c r="V162" i="10"/>
  <c r="V74" i="10"/>
  <c r="W154" i="10"/>
  <c r="V193" i="10"/>
  <c r="W214" i="10"/>
  <c r="W206" i="10"/>
  <c r="W198" i="10"/>
  <c r="W190" i="10"/>
  <c r="W182" i="10"/>
  <c r="W174" i="10"/>
  <c r="W165" i="10"/>
  <c r="V149" i="10"/>
  <c r="V133" i="10"/>
  <c r="W117" i="10"/>
  <c r="V96" i="10"/>
  <c r="V64" i="10"/>
  <c r="W32" i="10"/>
  <c r="W216" i="10"/>
  <c r="W208" i="10"/>
  <c r="V200" i="10"/>
  <c r="W192" i="10"/>
  <c r="W178" i="10"/>
  <c r="V152" i="10"/>
  <c r="V54" i="10"/>
  <c r="V187" i="10"/>
  <c r="W123" i="10"/>
  <c r="W158" i="10"/>
  <c r="W102" i="10"/>
  <c r="V99" i="10"/>
  <c r="W151" i="10"/>
  <c r="V33" i="10"/>
  <c r="W153" i="10"/>
  <c r="V104" i="10"/>
  <c r="W8" i="10"/>
  <c r="W194" i="10"/>
  <c r="W168" i="10"/>
  <c r="V197" i="10"/>
  <c r="V116" i="10"/>
  <c r="V65" i="10"/>
  <c r="W118" i="10"/>
  <c r="W34" i="10"/>
  <c r="W134" i="10"/>
  <c r="W183" i="10"/>
  <c r="W215" i="10"/>
  <c r="V181" i="10"/>
  <c r="V106" i="10"/>
  <c r="W169" i="10"/>
  <c r="W201" i="10"/>
  <c r="W212" i="10"/>
  <c r="V204" i="10"/>
  <c r="W196" i="10"/>
  <c r="W188" i="10"/>
  <c r="W180" i="10"/>
  <c r="W172" i="10"/>
  <c r="W161" i="10"/>
  <c r="V145" i="10"/>
  <c r="W129" i="10"/>
  <c r="W113" i="10"/>
  <c r="V88" i="10"/>
  <c r="V56" i="10"/>
  <c r="W24" i="10"/>
  <c r="V214" i="10"/>
  <c r="V206" i="10"/>
  <c r="V198" i="10"/>
  <c r="V188" i="10"/>
  <c r="V172" i="10"/>
  <c r="W144" i="10"/>
  <c r="V14" i="10"/>
  <c r="W177" i="10"/>
  <c r="W92" i="10"/>
  <c r="W146" i="10"/>
  <c r="W82" i="10"/>
  <c r="V69" i="10"/>
  <c r="W119" i="10"/>
  <c r="V203" i="10"/>
  <c r="V168" i="10"/>
  <c r="V121" i="10"/>
  <c r="V72" i="10"/>
  <c r="W210" i="10"/>
  <c r="V202" i="10"/>
  <c r="V180" i="10"/>
  <c r="V143" i="10"/>
  <c r="V12" i="10"/>
  <c r="W13" i="10"/>
  <c r="V175" i="10"/>
  <c r="V66" i="10"/>
  <c r="V150" i="10"/>
  <c r="V191" i="10"/>
  <c r="W58" i="10"/>
  <c r="V10" i="10"/>
  <c r="W122" i="10"/>
  <c r="V177" i="10"/>
  <c r="V209" i="10"/>
  <c r="V210" i="10"/>
  <c r="W202" i="10"/>
  <c r="V194" i="10"/>
  <c r="V186" i="10"/>
  <c r="V178" i="10"/>
  <c r="W170" i="10"/>
  <c r="W157" i="10"/>
  <c r="V141" i="10"/>
  <c r="W125" i="10"/>
  <c r="V109" i="10"/>
  <c r="V80" i="10"/>
  <c r="V48" i="10"/>
  <c r="V16" i="10"/>
  <c r="V212" i="10"/>
  <c r="W204" i="10"/>
  <c r="V196" i="10"/>
  <c r="V184" i="10"/>
  <c r="V170" i="10"/>
  <c r="V124" i="10"/>
  <c r="W209" i="10"/>
  <c r="W163" i="10"/>
  <c r="W52" i="10"/>
  <c r="V132" i="10"/>
  <c r="V52" i="10"/>
  <c r="V37" i="10"/>
  <c r="W95" i="10"/>
  <c r="W186" i="10"/>
  <c r="W176" i="10"/>
  <c r="V160" i="10"/>
  <c r="W140" i="10"/>
  <c r="W120" i="10"/>
  <c r="V86" i="10"/>
  <c r="W46" i="10"/>
  <c r="V6" i="10"/>
  <c r="V205" i="10"/>
  <c r="V195" i="10"/>
  <c r="V185" i="10"/>
  <c r="W173" i="10"/>
  <c r="W159" i="10"/>
  <c r="V139" i="10"/>
  <c r="V115" i="10"/>
  <c r="W84" i="10"/>
  <c r="W44" i="10"/>
  <c r="V166" i="10"/>
  <c r="V156" i="10"/>
  <c r="W142" i="10"/>
  <c r="V126" i="10"/>
  <c r="W114" i="10"/>
  <c r="W94" i="10"/>
  <c r="W74" i="10"/>
  <c r="W42" i="10"/>
  <c r="V18" i="10"/>
  <c r="V91" i="10"/>
  <c r="W59" i="10"/>
  <c r="V35" i="10"/>
  <c r="V5" i="10"/>
  <c r="W139" i="10"/>
  <c r="W115" i="10"/>
  <c r="W87" i="10"/>
  <c r="W55" i="10"/>
  <c r="V31" i="10"/>
  <c r="W156" i="10"/>
  <c r="W136" i="10"/>
  <c r="V112" i="10"/>
  <c r="V78" i="10"/>
  <c r="V38" i="10"/>
  <c r="W213" i="10"/>
  <c r="W203" i="10"/>
  <c r="W193" i="10"/>
  <c r="W181" i="10"/>
  <c r="V171" i="10"/>
  <c r="W155" i="10"/>
  <c r="V131" i="10"/>
  <c r="V111" i="10"/>
  <c r="W76" i="10"/>
  <c r="V28" i="10"/>
  <c r="W164" i="10"/>
  <c r="V154" i="10"/>
  <c r="W138" i="10"/>
  <c r="W124" i="10"/>
  <c r="V110" i="10"/>
  <c r="V92" i="10"/>
  <c r="W62" i="10"/>
  <c r="W38" i="10"/>
  <c r="W10" i="10"/>
  <c r="W81" i="10"/>
  <c r="W57" i="10"/>
  <c r="W27" i="10"/>
  <c r="V161" i="10"/>
  <c r="V137" i="10"/>
  <c r="W107" i="10"/>
  <c r="V75" i="10"/>
  <c r="W51" i="10"/>
  <c r="V23" i="10"/>
  <c r="W128" i="10"/>
  <c r="V108" i="10"/>
  <c r="V70" i="10"/>
  <c r="W22" i="10"/>
  <c r="V211" i="10"/>
  <c r="V201" i="10"/>
  <c r="W189" i="10"/>
  <c r="W179" i="10"/>
  <c r="V169" i="10"/>
  <c r="V147" i="10"/>
  <c r="V127" i="10"/>
  <c r="V107" i="10"/>
  <c r="V60" i="10"/>
  <c r="W20" i="10"/>
  <c r="W162" i="10"/>
  <c r="W148" i="10"/>
  <c r="V134" i="10"/>
  <c r="V122" i="10"/>
  <c r="W106" i="10"/>
  <c r="V84" i="10"/>
  <c r="W60" i="10"/>
  <c r="V30" i="10"/>
  <c r="V101" i="10"/>
  <c r="V77" i="10"/>
  <c r="W49" i="10"/>
  <c r="W17" i="10"/>
  <c r="V159" i="10"/>
  <c r="V129" i="10"/>
  <c r="V97" i="10"/>
  <c r="V73" i="10"/>
  <c r="V43" i="10"/>
  <c r="W171" i="10"/>
  <c r="W70" i="10"/>
  <c r="W50" i="10"/>
  <c r="W28" i="10"/>
  <c r="W6" i="10"/>
  <c r="W89" i="10"/>
  <c r="V67" i="10"/>
  <c r="W45" i="10"/>
  <c r="V25" i="10"/>
  <c r="AA8" i="10"/>
  <c r="W147" i="10"/>
  <c r="W127" i="10"/>
  <c r="W105" i="10"/>
  <c r="W83" i="10"/>
  <c r="W63" i="10"/>
  <c r="V41" i="10"/>
  <c r="W15" i="10"/>
  <c r="V100" i="10"/>
  <c r="W90" i="10"/>
  <c r="W78" i="10"/>
  <c r="W68" i="10"/>
  <c r="V58" i="10"/>
  <c r="V46" i="10"/>
  <c r="W36" i="10"/>
  <c r="V26" i="10"/>
  <c r="W14" i="10"/>
  <c r="W4" i="10"/>
  <c r="W97" i="10"/>
  <c r="V85" i="10"/>
  <c r="W75" i="10"/>
  <c r="W65" i="10"/>
  <c r="V53" i="10"/>
  <c r="W43" i="10"/>
  <c r="W33" i="10"/>
  <c r="W21" i="10"/>
  <c r="W11" i="10"/>
  <c r="V167" i="10"/>
  <c r="V155" i="10"/>
  <c r="W145" i="10"/>
  <c r="W135" i="10"/>
  <c r="V123" i="10"/>
  <c r="V113" i="10"/>
  <c r="V103" i="10"/>
  <c r="W91" i="10"/>
  <c r="V81" i="10"/>
  <c r="W71" i="10"/>
  <c r="V59" i="10"/>
  <c r="V49" i="10"/>
  <c r="W39" i="10"/>
  <c r="V27" i="10"/>
  <c r="V11" i="10"/>
  <c r="V114" i="10"/>
  <c r="W150" i="10"/>
  <c r="V140" i="10"/>
  <c r="W130" i="10"/>
  <c r="V118" i="10"/>
  <c r="W108" i="10"/>
  <c r="W98" i="10"/>
  <c r="W86" i="10"/>
  <c r="V76" i="10"/>
  <c r="W66" i="10"/>
  <c r="W54" i="10"/>
  <c r="V44" i="10"/>
  <c r="V34" i="10"/>
  <c r="V22" i="10"/>
  <c r="W12" i="10"/>
  <c r="V105" i="10"/>
  <c r="V93" i="10"/>
  <c r="V83" i="10"/>
  <c r="W73" i="10"/>
  <c r="W61" i="10"/>
  <c r="V51" i="10"/>
  <c r="W41" i="10"/>
  <c r="V29" i="10"/>
  <c r="W19" i="10"/>
  <c r="V9" i="10"/>
  <c r="V163" i="10"/>
  <c r="V153" i="10"/>
  <c r="W143" i="10"/>
  <c r="W131" i="10"/>
  <c r="W121" i="10"/>
  <c r="W111" i="10"/>
  <c r="W99" i="10"/>
  <c r="V89" i="10"/>
  <c r="W79" i="10"/>
  <c r="W67" i="10"/>
  <c r="V57" i="10"/>
  <c r="W47" i="10"/>
  <c r="W35" i="10"/>
  <c r="W25" i="10"/>
  <c r="V7" i="10"/>
  <c r="V190" i="10"/>
  <c r="V182" i="10"/>
  <c r="V174" i="10"/>
  <c r="V164" i="10"/>
  <c r="V148" i="10"/>
  <c r="W132" i="10"/>
  <c r="W116" i="10"/>
  <c r="V94" i="10"/>
  <c r="V62" i="10"/>
  <c r="W30" i="10"/>
  <c r="V215" i="10"/>
  <c r="W207" i="10"/>
  <c r="W199" i="10"/>
  <c r="W191" i="10"/>
  <c r="V183" i="10"/>
  <c r="W175" i="10"/>
  <c r="W167" i="10"/>
  <c r="V151" i="10"/>
  <c r="V135" i="10"/>
  <c r="V119" i="10"/>
  <c r="W100" i="10"/>
  <c r="V68" i="10"/>
  <c r="V36" i="10"/>
  <c r="V4" i="10"/>
  <c r="W160" i="10"/>
  <c r="W152" i="10"/>
  <c r="V144" i="10"/>
  <c r="V136" i="10"/>
  <c r="V128" i="10"/>
  <c r="V120" i="10"/>
  <c r="W112" i="10"/>
  <c r="W104" i="10"/>
  <c r="W96" i="10"/>
  <c r="W88" i="10"/>
  <c r="W80" i="10"/>
  <c r="W72" i="10"/>
  <c r="W64" i="10"/>
  <c r="W56" i="10"/>
  <c r="W48" i="10"/>
  <c r="W40" i="10"/>
  <c r="V32" i="10"/>
  <c r="V24" i="10"/>
  <c r="W16" i="10"/>
  <c r="V8" i="10"/>
  <c r="W103" i="10"/>
  <c r="V95" i="10"/>
  <c r="V87" i="10"/>
  <c r="V79" i="10"/>
  <c r="V71" i="10"/>
  <c r="V63" i="10"/>
  <c r="V55" i="10"/>
  <c r="V47" i="10"/>
  <c r="V39" i="10"/>
  <c r="W31" i="10"/>
  <c r="W23" i="10"/>
  <c r="V15" i="10"/>
  <c r="W7" i="10"/>
  <c r="V165" i="10"/>
  <c r="V157" i="10"/>
  <c r="W149" i="10"/>
  <c r="W141" i="10"/>
  <c r="W133" i="10"/>
  <c r="V125" i="10"/>
  <c r="V117" i="10"/>
  <c r="W109" i="10"/>
  <c r="W101" i="10"/>
  <c r="W93" i="10"/>
  <c r="W85" i="10"/>
  <c r="W77" i="10"/>
  <c r="W69" i="10"/>
  <c r="V61" i="10"/>
  <c r="W53" i="10"/>
  <c r="V45" i="10"/>
  <c r="W37" i="10"/>
  <c r="W29" i="10"/>
  <c r="V19" i="10"/>
  <c r="W110" i="10"/>
  <c r="W197" i="10"/>
  <c r="V218" i="10"/>
  <c r="V21" i="10"/>
  <c r="V13" i="10"/>
  <c r="W5" i="10"/>
  <c r="W126" i="10"/>
  <c r="V179" i="10"/>
  <c r="W211" i="10"/>
  <c r="V146" i="10"/>
  <c r="W205" i="10"/>
  <c r="V223" i="10"/>
  <c r="V50" i="10"/>
  <c r="V142" i="10"/>
  <c r="W187" i="10"/>
  <c r="W26" i="10"/>
  <c r="V173" i="10"/>
  <c r="V213" i="10"/>
  <c r="V219" i="10"/>
  <c r="V221" i="10"/>
  <c r="V17" i="10"/>
  <c r="W9" i="10"/>
  <c r="V82" i="10"/>
  <c r="V158" i="10"/>
  <c r="W195" i="10"/>
  <c r="V90" i="10"/>
  <c r="V189" i="10"/>
  <c r="V220" i="10"/>
  <c r="V222" i="10"/>
  <c r="W18" i="10"/>
  <c r="V217" i="10"/>
  <c r="W219" i="10"/>
  <c r="W222" i="10"/>
  <c r="W220" i="10"/>
  <c r="W218" i="10"/>
  <c r="W221" i="10"/>
  <c r="M7" i="6"/>
  <c r="T224" i="10" l="1"/>
  <c r="U223" i="10"/>
  <c r="K17" i="10"/>
  <c r="K10" i="10" s="1"/>
  <c r="K1" i="10" s="1"/>
  <c r="K6" i="10" s="1"/>
  <c r="L22" i="4"/>
  <c r="N22" i="4" s="1"/>
  <c r="L21" i="4"/>
  <c r="N21" i="4" s="1"/>
  <c r="L20" i="4"/>
  <c r="N20" i="4" s="1"/>
  <c r="L19" i="4"/>
  <c r="N19" i="4" s="1"/>
  <c r="L18" i="4"/>
  <c r="N18" i="4" s="1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N10" i="4" s="1"/>
  <c r="L9" i="4"/>
  <c r="N9" i="4" s="1"/>
  <c r="L8" i="4"/>
  <c r="N8" i="4" s="1"/>
  <c r="S13" i="6"/>
  <c r="R13" i="6"/>
  <c r="M13" i="6"/>
  <c r="O13" i="6" s="1"/>
  <c r="S25" i="6"/>
  <c r="R25" i="6"/>
  <c r="S24" i="6"/>
  <c r="R24" i="6"/>
  <c r="S23" i="6"/>
  <c r="R23" i="6"/>
  <c r="S22" i="6"/>
  <c r="R22" i="6"/>
  <c r="S21" i="6"/>
  <c r="R21" i="6"/>
  <c r="S20" i="6"/>
  <c r="R20" i="6"/>
  <c r="S19" i="6"/>
  <c r="R19" i="6"/>
  <c r="S18" i="6"/>
  <c r="R18" i="6"/>
  <c r="S17" i="6"/>
  <c r="R17" i="6"/>
  <c r="S16" i="6"/>
  <c r="R16" i="6"/>
  <c r="S12" i="6"/>
  <c r="R12" i="6"/>
  <c r="S11" i="6"/>
  <c r="R11" i="6"/>
  <c r="S10" i="6"/>
  <c r="R10" i="6"/>
  <c r="S9" i="6"/>
  <c r="R9" i="6"/>
  <c r="S8" i="6"/>
  <c r="R8" i="6"/>
  <c r="M25" i="6"/>
  <c r="O25" i="6" s="1"/>
  <c r="M24" i="6"/>
  <c r="O24" i="6" s="1"/>
  <c r="M23" i="6"/>
  <c r="O23" i="6" s="1"/>
  <c r="M22" i="6"/>
  <c r="O22" i="6" s="1"/>
  <c r="M21" i="6"/>
  <c r="O21" i="6" s="1"/>
  <c r="M20" i="6"/>
  <c r="O20" i="6" s="1"/>
  <c r="M19" i="6"/>
  <c r="O19" i="6" s="1"/>
  <c r="M18" i="6"/>
  <c r="O18" i="6" s="1"/>
  <c r="M17" i="6"/>
  <c r="O17" i="6" s="1"/>
  <c r="M16" i="6"/>
  <c r="O16" i="6" s="1"/>
  <c r="M12" i="6"/>
  <c r="M11" i="6"/>
  <c r="M10" i="6"/>
  <c r="M9" i="6"/>
  <c r="O9" i="6" s="1"/>
  <c r="M8" i="6"/>
  <c r="U3" i="6" a="1"/>
  <c r="W3" i="6" s="1"/>
  <c r="S7" i="6"/>
  <c r="R7" i="6"/>
  <c r="R3" i="6"/>
  <c r="O7" i="1"/>
  <c r="T19" i="6" l="1"/>
  <c r="T23" i="6"/>
  <c r="T25" i="6"/>
  <c r="T13" i="6"/>
  <c r="T8" i="6"/>
  <c r="W4" i="6"/>
  <c r="U4" i="6"/>
  <c r="T18" i="6"/>
  <c r="W5" i="6"/>
  <c r="V3" i="6"/>
  <c r="T9" i="6"/>
  <c r="T11" i="6"/>
  <c r="T16" i="6"/>
  <c r="V5" i="6"/>
  <c r="U3" i="6"/>
  <c r="T7" i="6"/>
  <c r="T10" i="6"/>
  <c r="T22" i="6"/>
  <c r="T225" i="10"/>
  <c r="U224" i="10"/>
  <c r="V224" i="10"/>
  <c r="W224" i="10"/>
  <c r="T21" i="6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Q12" i="3"/>
  <c r="Q11" i="3"/>
  <c r="Q10" i="3"/>
  <c r="Q9" i="3"/>
  <c r="Q8" i="3"/>
  <c r="Q7" i="3"/>
  <c r="Q16" i="3"/>
  <c r="R16" i="3" s="1"/>
  <c r="Q17" i="3"/>
  <c r="R17" i="3" s="1"/>
  <c r="Q18" i="3"/>
  <c r="R18" i="3" s="1"/>
  <c r="Q19" i="3"/>
  <c r="R19" i="3" s="1"/>
  <c r="Q20" i="3"/>
  <c r="R20" i="3" s="1"/>
  <c r="Q21" i="3"/>
  <c r="R21" i="3" s="1"/>
  <c r="Q22" i="3"/>
  <c r="R22" i="3" s="1"/>
  <c r="Q15" i="3"/>
  <c r="R15" i="3" s="1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J12" i="3"/>
  <c r="L12" i="3" s="1"/>
  <c r="J11" i="3"/>
  <c r="L11" i="3" s="1"/>
  <c r="J10" i="3"/>
  <c r="L10" i="3" s="1"/>
  <c r="J9" i="3"/>
  <c r="L9" i="3" s="1"/>
  <c r="J8" i="3"/>
  <c r="L8" i="3" s="1"/>
  <c r="J7" i="3"/>
  <c r="L7" i="3" s="1"/>
  <c r="S28" i="2"/>
  <c r="S27" i="2"/>
  <c r="R27" i="2"/>
  <c r="S26" i="2"/>
  <c r="R26" i="2"/>
  <c r="S25" i="2"/>
  <c r="R25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R17" i="2"/>
  <c r="S17" i="2"/>
  <c r="R18" i="2"/>
  <c r="S18" i="2"/>
  <c r="R19" i="2"/>
  <c r="S19" i="2"/>
  <c r="R20" i="2"/>
  <c r="S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S12" i="2"/>
  <c r="S11" i="2"/>
  <c r="S10" i="2"/>
  <c r="S9" i="2"/>
  <c r="S8" i="2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17" i="2" l="1"/>
  <c r="T20" i="2"/>
  <c r="T18" i="2"/>
  <c r="T24" i="2"/>
  <c r="T8" i="2"/>
  <c r="T12" i="2"/>
  <c r="R7" i="3"/>
  <c r="R12" i="3"/>
  <c r="R9" i="3"/>
  <c r="R8" i="3"/>
  <c r="T19" i="2"/>
  <c r="R11" i="3"/>
  <c r="T14" i="2"/>
  <c r="T226" i="10"/>
  <c r="U225" i="10"/>
  <c r="V225" i="10"/>
  <c r="W225" i="10"/>
  <c r="T26" i="2"/>
  <c r="T11" i="2"/>
  <c r="T16" i="2"/>
  <c r="R10" i="3"/>
  <c r="T7" i="2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T227" i="10" l="1"/>
  <c r="U226" i="10"/>
  <c r="W226" i="10"/>
  <c r="V226" i="10"/>
  <c r="C9" i="1"/>
  <c r="D9" i="1" s="1"/>
  <c r="E9" i="1" s="1"/>
  <c r="F9" i="1" s="1"/>
  <c r="G9" i="1" s="1"/>
  <c r="H9" i="1" s="1"/>
  <c r="I9" i="1" s="1"/>
  <c r="J9" i="1" s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T228" i="10" l="1"/>
  <c r="U227" i="10"/>
  <c r="W227" i="10"/>
  <c r="V227" i="10"/>
  <c r="J11" i="1"/>
  <c r="X12" i="1"/>
  <c r="D8" i="1"/>
  <c r="E8" i="1" s="1"/>
  <c r="F8" i="1" s="1"/>
  <c r="W9" i="1" s="1"/>
  <c r="C7" i="1"/>
  <c r="T229" i="10" l="1"/>
  <c r="U228" i="10"/>
  <c r="V228" i="10"/>
  <c r="W228" i="10"/>
  <c r="G8" i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T230" i="10" l="1"/>
  <c r="U229" i="10"/>
  <c r="W229" i="10"/>
  <c r="V229" i="10"/>
  <c r="C5" i="1"/>
  <c r="W11" i="1" s="1"/>
  <c r="D6" i="1"/>
  <c r="E6" i="1" s="1"/>
  <c r="F6" i="1" s="1"/>
  <c r="G6" i="1" s="1"/>
  <c r="H6" i="1" s="1"/>
  <c r="I6" i="1" s="1"/>
  <c r="J6" i="1" s="1"/>
  <c r="T231" i="10" l="1"/>
  <c r="U230" i="10"/>
  <c r="W230" i="10"/>
  <c r="V230" i="10"/>
  <c r="D5" i="1"/>
  <c r="E5" i="1" s="1"/>
  <c r="F5" i="1" s="1"/>
  <c r="G5" i="1" s="1"/>
  <c r="H5" i="1" s="1"/>
  <c r="I5" i="1" s="1"/>
  <c r="J5" i="1" s="1"/>
  <c r="X11" i="1"/>
  <c r="T232" i="10" l="1"/>
  <c r="U231" i="10"/>
  <c r="W231" i="10"/>
  <c r="V231" i="10"/>
  <c r="W7" i="1"/>
  <c r="X7" i="1" s="1"/>
  <c r="T233" i="10" l="1"/>
  <c r="U232" i="10"/>
  <c r="W232" i="10"/>
  <c r="V232" i="10"/>
  <c r="T234" i="10" l="1"/>
  <c r="U233" i="10"/>
  <c r="V233" i="10"/>
  <c r="W233" i="10"/>
  <c r="T235" i="10" l="1"/>
  <c r="U234" i="10"/>
  <c r="W234" i="10"/>
  <c r="V234" i="10"/>
  <c r="T236" i="10" l="1"/>
  <c r="U235" i="10"/>
  <c r="W235" i="10"/>
  <c r="V235" i="10"/>
  <c r="T237" i="10" l="1"/>
  <c r="U236" i="10"/>
  <c r="V236" i="10"/>
  <c r="W236" i="10"/>
  <c r="T238" i="10" l="1"/>
  <c r="U237" i="10"/>
  <c r="W237" i="10"/>
  <c r="V237" i="10"/>
  <c r="T239" i="10" l="1"/>
  <c r="U238" i="10"/>
  <c r="V238" i="10"/>
  <c r="W238" i="10"/>
  <c r="T240" i="10" l="1"/>
  <c r="U239" i="10"/>
  <c r="V239" i="10"/>
  <c r="W239" i="10"/>
  <c r="T241" i="10" l="1"/>
  <c r="U240" i="10"/>
  <c r="V240" i="10"/>
  <c r="W240" i="10"/>
  <c r="T242" i="10" l="1"/>
  <c r="U241" i="10"/>
  <c r="W241" i="10"/>
  <c r="V241" i="10"/>
  <c r="T243" i="10" l="1"/>
  <c r="U242" i="10"/>
  <c r="V242" i="10"/>
  <c r="W242" i="10"/>
  <c r="T244" i="10" l="1"/>
  <c r="U243" i="10"/>
  <c r="V243" i="10"/>
  <c r="W243" i="10"/>
  <c r="T245" i="10" l="1"/>
  <c r="U244" i="10"/>
  <c r="W244" i="10"/>
  <c r="V244" i="10"/>
  <c r="T246" i="10" l="1"/>
  <c r="U245" i="10"/>
  <c r="V245" i="10"/>
  <c r="W245" i="10"/>
  <c r="T247" i="10" l="1"/>
  <c r="U246" i="10"/>
  <c r="V246" i="10"/>
  <c r="W246" i="10"/>
  <c r="T248" i="10" l="1"/>
  <c r="U247" i="10"/>
  <c r="W247" i="10"/>
  <c r="V247" i="10"/>
  <c r="T249" i="10" l="1"/>
  <c r="U248" i="10"/>
  <c r="V248" i="10"/>
  <c r="W248" i="10"/>
  <c r="T250" i="10" l="1"/>
  <c r="U249" i="10"/>
  <c r="V249" i="10"/>
  <c r="W249" i="10"/>
  <c r="T251" i="10" l="1"/>
  <c r="U250" i="10"/>
  <c r="W250" i="10"/>
  <c r="V250" i="10"/>
  <c r="T252" i="10" l="1"/>
  <c r="U251" i="10"/>
  <c r="W251" i="10"/>
  <c r="V251" i="10"/>
  <c r="T253" i="10" l="1"/>
  <c r="U252" i="10"/>
  <c r="V252" i="10"/>
  <c r="W252" i="10"/>
  <c r="T254" i="10" l="1"/>
  <c r="U253" i="10"/>
  <c r="V253" i="10"/>
  <c r="W253" i="10"/>
  <c r="T255" i="10" l="1"/>
  <c r="U254" i="10"/>
  <c r="W254" i="10"/>
  <c r="V254" i="10"/>
  <c r="T256" i="10" l="1"/>
  <c r="U255" i="10"/>
  <c r="V255" i="10"/>
  <c r="W255" i="10"/>
  <c r="T257" i="10" l="1"/>
  <c r="U256" i="10"/>
  <c r="V256" i="10"/>
  <c r="W256" i="10"/>
  <c r="T258" i="10" l="1"/>
  <c r="U257" i="10"/>
  <c r="W257" i="10"/>
  <c r="V257" i="10"/>
  <c r="T259" i="10" l="1"/>
  <c r="U258" i="10"/>
  <c r="W258" i="10"/>
  <c r="V258" i="10"/>
  <c r="T260" i="10" l="1"/>
  <c r="U259" i="10"/>
  <c r="V259" i="10"/>
  <c r="W259" i="10"/>
  <c r="T261" i="10" l="1"/>
  <c r="U260" i="10"/>
  <c r="W260" i="10"/>
  <c r="V260" i="10"/>
  <c r="T262" i="10" l="1"/>
  <c r="U261" i="10"/>
  <c r="W261" i="10"/>
  <c r="V261" i="10"/>
  <c r="T263" i="10" l="1"/>
  <c r="U262" i="10"/>
  <c r="V262" i="10"/>
  <c r="W262" i="10"/>
  <c r="T264" i="10" l="1"/>
  <c r="U263" i="10"/>
  <c r="V263" i="10"/>
  <c r="W263" i="10"/>
  <c r="T265" i="10" l="1"/>
  <c r="U264" i="10"/>
  <c r="V264" i="10"/>
  <c r="W264" i="10"/>
  <c r="T266" i="10" l="1"/>
  <c r="U265" i="10"/>
  <c r="V265" i="10"/>
  <c r="W265" i="10"/>
  <c r="T267" i="10" l="1"/>
  <c r="U266" i="10"/>
  <c r="V266" i="10"/>
  <c r="W266" i="10"/>
  <c r="T268" i="10" l="1"/>
  <c r="U267" i="10"/>
  <c r="W267" i="10"/>
  <c r="V267" i="10"/>
  <c r="T269" i="10" l="1"/>
  <c r="U268" i="10"/>
  <c r="V268" i="10"/>
  <c r="W268" i="10"/>
  <c r="T270" i="10" l="1"/>
  <c r="U269" i="10"/>
  <c r="V269" i="10"/>
  <c r="W269" i="10"/>
  <c r="T271" i="10" l="1"/>
  <c r="U270" i="10"/>
  <c r="W270" i="10"/>
  <c r="V270" i="10"/>
  <c r="T272" i="10" l="1"/>
  <c r="U271" i="10"/>
  <c r="W271" i="10"/>
  <c r="V271" i="10"/>
  <c r="T273" i="10" l="1"/>
  <c r="U272" i="10"/>
  <c r="W272" i="10"/>
  <c r="V272" i="10"/>
  <c r="T274" i="10" l="1"/>
  <c r="U273" i="10"/>
  <c r="W273" i="10"/>
  <c r="V273" i="10"/>
  <c r="T275" i="10" l="1"/>
  <c r="U274" i="10"/>
  <c r="V274" i="10"/>
  <c r="W274" i="10"/>
  <c r="T276" i="10" l="1"/>
  <c r="U275" i="10"/>
  <c r="V275" i="10"/>
  <c r="W275" i="10"/>
  <c r="T277" i="10" l="1"/>
  <c r="U276" i="10"/>
  <c r="W276" i="10"/>
  <c r="V276" i="10"/>
  <c r="T278" i="10" l="1"/>
  <c r="U277" i="10"/>
  <c r="W277" i="10"/>
  <c r="V277" i="10"/>
  <c r="T279" i="10" l="1"/>
  <c r="U278" i="10"/>
  <c r="W278" i="10"/>
  <c r="V278" i="10"/>
  <c r="T280" i="10" l="1"/>
  <c r="U279" i="10"/>
  <c r="V279" i="10"/>
  <c r="W279" i="10"/>
  <c r="T281" i="10" l="1"/>
  <c r="U280" i="10"/>
  <c r="W280" i="10"/>
  <c r="V280" i="10"/>
  <c r="T282" i="10" l="1"/>
  <c r="U281" i="10"/>
  <c r="W281" i="10"/>
  <c r="V281" i="10"/>
  <c r="T283" i="10" l="1"/>
  <c r="U282" i="10"/>
  <c r="V282" i="10"/>
  <c r="W282" i="10"/>
  <c r="T284" i="10" l="1"/>
  <c r="U283" i="10"/>
  <c r="V283" i="10"/>
  <c r="W283" i="10"/>
  <c r="T285" i="10" l="1"/>
  <c r="U284" i="10"/>
  <c r="V284" i="10"/>
  <c r="W284" i="10"/>
  <c r="T286" i="10" l="1"/>
  <c r="U285" i="10"/>
  <c r="W285" i="10"/>
  <c r="V285" i="10"/>
  <c r="T287" i="10" l="1"/>
  <c r="U286" i="10"/>
  <c r="V286" i="10"/>
  <c r="W286" i="10"/>
  <c r="T288" i="10" l="1"/>
  <c r="U287" i="10"/>
  <c r="W287" i="10"/>
  <c r="V287" i="10"/>
  <c r="T289" i="10" l="1"/>
  <c r="U288" i="10"/>
  <c r="W288" i="10"/>
  <c r="V288" i="10"/>
  <c r="T290" i="10" l="1"/>
  <c r="U289" i="10"/>
  <c r="W289" i="10"/>
  <c r="V289" i="10"/>
  <c r="T291" i="10" l="1"/>
  <c r="U290" i="10"/>
  <c r="V290" i="10"/>
  <c r="W290" i="10"/>
  <c r="T292" i="10" l="1"/>
  <c r="U291" i="10"/>
  <c r="W291" i="10"/>
  <c r="V291" i="10"/>
  <c r="T293" i="10" l="1"/>
  <c r="U292" i="10"/>
  <c r="V292" i="10"/>
  <c r="W292" i="10"/>
  <c r="T294" i="10" l="1"/>
  <c r="U293" i="10"/>
  <c r="V293" i="10"/>
  <c r="W293" i="10"/>
  <c r="T295" i="10" l="1"/>
  <c r="U294" i="10"/>
  <c r="W294" i="10"/>
  <c r="V294" i="10"/>
  <c r="T296" i="10" l="1"/>
  <c r="U295" i="10"/>
  <c r="W295" i="10"/>
  <c r="V295" i="10"/>
  <c r="T297" i="10" l="1"/>
  <c r="U296" i="10"/>
  <c r="W296" i="10"/>
  <c r="V296" i="10"/>
  <c r="T298" i="10" l="1"/>
  <c r="U297" i="10"/>
  <c r="V297" i="10"/>
  <c r="W297" i="10"/>
  <c r="T299" i="10" l="1"/>
  <c r="U298" i="10"/>
  <c r="W298" i="10"/>
  <c r="V298" i="10"/>
  <c r="T300" i="10" l="1"/>
  <c r="U299" i="10"/>
  <c r="W299" i="10"/>
  <c r="V299" i="10"/>
  <c r="T301" i="10" l="1"/>
  <c r="U300" i="10"/>
  <c r="V300" i="10"/>
  <c r="W300" i="10"/>
  <c r="T302" i="10" l="1"/>
  <c r="U301" i="10"/>
  <c r="V301" i="10"/>
  <c r="W301" i="10"/>
  <c r="T303" i="10" l="1"/>
  <c r="U302" i="10"/>
  <c r="V302" i="10"/>
  <c r="W302" i="10"/>
  <c r="T304" i="10" l="1"/>
  <c r="U303" i="10"/>
  <c r="V303" i="10"/>
  <c r="W303" i="10"/>
  <c r="T305" i="10" l="1"/>
  <c r="U304" i="10"/>
  <c r="V304" i="10"/>
  <c r="W304" i="10"/>
  <c r="T306" i="10" l="1"/>
  <c r="U305" i="10"/>
  <c r="W305" i="10"/>
  <c r="V305" i="10"/>
  <c r="T307" i="10" l="1"/>
  <c r="U306" i="10"/>
  <c r="V306" i="10"/>
  <c r="W306" i="10"/>
  <c r="T308" i="10" l="1"/>
  <c r="U307" i="10"/>
  <c r="V307" i="10"/>
  <c r="W307" i="10"/>
  <c r="T309" i="10" l="1"/>
  <c r="U308" i="10"/>
  <c r="V308" i="10"/>
  <c r="W308" i="10"/>
  <c r="U309" i="10" l="1"/>
  <c r="W309" i="10"/>
  <c r="V309" i="10"/>
  <c r="AA5" i="10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<sst xmlns="http://schemas.openxmlformats.org/spreadsheetml/2006/main" count="1766" uniqueCount="642">
  <si>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</si>
  <si>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</si>
  <si>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</si>
  <si>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</si>
  <si>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</si>
  <si>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</si>
  <si>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</si>
  <si>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</si>
  <si>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</si>
  <si>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</si>
  <si>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</si>
  <si>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</si>
  <si>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</si>
  <si>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</si>
  <si>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</si>
  <si>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</si>
  <si>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</si>
  <si>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</si>
  <si>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</si>
  <si>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</si>
  <si>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</si>
  <si>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</si>
  <si>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</si>
  <si>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</si>
  <si>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</si>
  <si>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</si>
  <si>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</si>
  <si>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</si>
  <si>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</si>
  <si>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</si>
  <si>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</si>
  <si>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</si>
  <si>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</si>
  <si>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</si>
  <si>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</si>
  <si>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</si>
  <si>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</si>
  <si>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</si>
  <si>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</si>
  <si>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</si>
  <si>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</si>
  <si>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</si>
  <si>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</si>
  <si>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</si>
  <si>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</si>
  <si>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</si>
  <si>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</si>
  <si>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</si>
  <si>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</si>
  <si>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</si>
  <si>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</si>
  <si>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</si>
  <si>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</si>
  <si>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</si>
  <si>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</si>
  <si>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</si>
  <si>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</si>
  <si>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</si>
  <si>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</si>
  <si>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</si>
  <si>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</si>
  <si>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</si>
  <si>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</si>
  <si>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</si>
  <si>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</si>
  <si>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</si>
  <si>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</si>
  <si>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</si>
  <si>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</si>
  <si>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</si>
  <si>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</si>
  <si>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</si>
  <si>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</si>
  <si>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</si>
  <si>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</si>
  <si>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</si>
  <si>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</si>
  <si>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</si>
  <si>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</si>
  <si>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</si>
  <si>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</si>
  <si>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</si>
  <si>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</si>
  <si>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</si>
  <si>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</si>
  <si>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</si>
  <si>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</si>
  <si>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</si>
  <si>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</si>
  <si>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</si>
  <si>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</si>
  <si>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</si>
  <si>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</si>
  <si>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</si>
  <si>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</si>
  <si>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</si>
  <si>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</si>
  <si>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</si>
  <si>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</si>
  <si>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</si>
  <si>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</si>
  <si>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</si>
  <si>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</si>
  <si>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</si>
  <si>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</si>
  <si>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</si>
  <si>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</si>
  <si>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</si>
  <si>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</si>
  <si>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</si>
  <si>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</si>
  <si>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</si>
  <si>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</si>
  <si>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</si>
  <si>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</si>
  <si>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</si>
  <si>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</si>
  <si>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</si>
  <si>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</si>
  <si>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</si>
  <si>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</si>
  <si>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</si>
  <si>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</si>
  <si>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</si>
  <si>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</si>
  <si>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</si>
  <si>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</si>
  <si>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</si>
  <si>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</si>
  <si>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</si>
  <si>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</si>
  <si>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</si>
  <si>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</si>
  <si>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</si>
  <si>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</si>
  <si>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</si>
  <si>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</si>
  <si>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</si>
  <si>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</si>
  <si>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</si>
  <si>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</si>
  <si>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</si>
  <si>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</si>
  <si>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</si>
  <si>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</si>
  <si>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</si>
  <si>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</si>
  <si>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</si>
  <si>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</si>
  <si>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</si>
  <si>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</si>
  <si>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</si>
  <si>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</si>
  <si>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</si>
  <si>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</si>
  <si>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</si>
  <si>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</si>
  <si>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</si>
  <si>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</si>
  <si>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</si>
  <si>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</si>
  <si>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</si>
  <si>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</si>
  <si>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</si>
  <si>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</si>
  <si>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</si>
  <si>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</si>
  <si>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</si>
  <si>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</si>
  <si>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</si>
  <si>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</si>
  <si>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</si>
  <si>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</si>
  <si>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</si>
  <si>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</si>
  <si>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</si>
  <si>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</si>
  <si>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</si>
  <si>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</si>
  <si>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</si>
  <si>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</si>
  <si>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</si>
  <si>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</si>
  <si>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</si>
  <si>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</si>
  <si>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</si>
  <si>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</si>
  <si>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</si>
  <si>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</si>
  <si>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</si>
  <si>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</si>
  <si>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</si>
  <si>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</si>
  <si>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</si>
  <si>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</si>
  <si>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</si>
  <si>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</si>
  <si>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</si>
  <si>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</si>
  <si>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</si>
  <si>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</si>
  <si>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</si>
  <si>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</si>
  <si>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</si>
  <si>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</si>
  <si>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</si>
  <si>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</si>
  <si>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</si>
  <si>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</si>
  <si>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</si>
  <si>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</si>
  <si>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</si>
  <si>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</si>
  <si>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</si>
  <si>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</si>
  <si>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</si>
  <si>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</si>
  <si>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</si>
  <si>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</si>
  <si>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</si>
  <si>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</si>
  <si>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</si>
  <si>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</si>
  <si>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</si>
  <si>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</si>
  <si>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</si>
  <si>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</si>
  <si>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</si>
  <si>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</si>
  <si>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</si>
  <si>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</si>
  <si>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</si>
  <si>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</si>
  <si>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</si>
  <si>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</si>
  <si>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</si>
  <si>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</si>
  <si>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</si>
  <si>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</si>
  <si>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</si>
  <si>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</si>
  <si>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</si>
  <si>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</si>
  <si>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</si>
  <si>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</si>
  <si>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</si>
  <si>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</si>
  <si>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</si>
  <si>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</si>
  <si>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</si>
  <si>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</si>
  <si>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</si>
  <si>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</si>
  <si>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</si>
  <si>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</si>
  <si>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</si>
  <si>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</si>
  <si>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</si>
  <si>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</si>
  <si>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</si>
  <si>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</si>
  <si>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</si>
  <si>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</si>
  <si>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</si>
  <si>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</si>
  <si>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</si>
  <si>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</si>
  <si>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</si>
  <si>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</si>
  <si>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</si>
  <si>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</si>
  <si>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</si>
  <si>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</si>
  <si>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</si>
  <si>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</si>
  <si>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</si>
  <si>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</si>
  <si>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</si>
  <si>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</si>
  <si>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</si>
  <si>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</si>
  <si>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</si>
  <si>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</si>
  <si>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</si>
  <si>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</si>
  <si>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</si>
  <si>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</si>
  <si>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</si>
  <si>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</si>
  <si>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</si>
  <si>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</si>
  <si>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</si>
  <si>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</si>
  <si>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</si>
  <si>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</si>
  <si>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</si>
  <si>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</si>
  <si>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</si>
  <si>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</si>
  <si>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</si>
  <si>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</si>
  <si>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</si>
  <si>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</si>
  <si>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</si>
  <si>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</si>
  <si>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</si>
  <si>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</si>
  <si>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</si>
  <si>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</si>
  <si>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</si>
  <si>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</si>
  <si>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</si>
  <si>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</si>
  <si>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</si>
  <si>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</si>
  <si>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</si>
  <si>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</si>
  <si>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</si>
  <si>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</si>
  <si>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</si>
  <si>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</si>
  <si>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</si>
  <si>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</si>
  <si>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</si>
  <si>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</si>
  <si>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</si>
  <si>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</si>
  <si>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</si>
  <si>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</si>
  <si>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</si>
  <si>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</si>
  <si>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</si>
  <si>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</si>
  <si>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</si>
  <si>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</si>
  <si>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</si>
  <si>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</si>
  <si>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</si>
  <si>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</si>
  <si>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</si>
  <si>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</si>
  <si>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</si>
  <si>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</si>
  <si>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</si>
  <si>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</si>
  <si>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</si>
  <si>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</si>
  <si>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</si>
  <si>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</si>
  <si>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</si>
  <si>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</si>
  <si>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</si>
  <si>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</si>
  <si>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</si>
  <si>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</si>
  <si>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</si>
  <si>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</si>
  <si>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</si>
  <si>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</si>
  <si>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</si>
  <si>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</si>
  <si>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</si>
  <si>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</si>
  <si>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</si>
  <si>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</si>
  <si>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</si>
  <si>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</si>
  <si>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</si>
  <si>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</si>
  <si>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</si>
  <si>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</si>
  <si>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</si>
  <si>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</si>
  <si>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</si>
  <si>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</si>
  <si>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</si>
  <si>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</si>
  <si>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</si>
  <si>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</si>
  <si>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</si>
  <si>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</si>
  <si>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</si>
  <si>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</si>
  <si>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</si>
  <si>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</si>
  <si>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</si>
  <si>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</si>
  <si>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</si>
  <si>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</si>
  <si>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</si>
  <si>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</si>
  <si>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</si>
  <si>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</si>
  <si>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</si>
  <si>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</si>
  <si>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</si>
  <si>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</si>
  <si>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</si>
  <si>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</si>
  <si>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</si>
  <si>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</si>
  <si>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</si>
  <si>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</si>
  <si>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</si>
  <si>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</si>
  <si>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</si>
  <si>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</si>
  <si>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</si>
  <si>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</si>
  <si>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</si>
  <si>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</si>
  <si>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</si>
  <si>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</si>
  <si>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</si>
  <si>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</si>
  <si>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</si>
  <si>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</si>
  <si>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</si>
  <si>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</si>
  <si>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</si>
  <si>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</si>
  <si>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</si>
  <si>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</si>
  <si>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</si>
  <si>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</si>
  <si>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</si>
  <si>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</si>
  <si>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</si>
  <si>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</si>
  <si>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</si>
  <si>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</si>
  <si>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</si>
  <si>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</si>
  <si>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</si>
  <si>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</si>
  <si>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</si>
  <si>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</si>
  <si>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</si>
  <si>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</si>
  <si>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</si>
  <si>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</si>
  <si>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</si>
  <si>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</si>
  <si>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</si>
  <si>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</si>
  <si>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</si>
  <si>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</si>
  <si>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</si>
  <si>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</si>
  <si>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</si>
  <si>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</si>
  <si>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</si>
  <si>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</si>
  <si>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</si>
  <si>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</si>
  <si>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</si>
  <si>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</si>
  <si>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</si>
  <si>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</si>
  <si>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</si>
  <si>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</si>
  <si>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</si>
  <si>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</si>
  <si>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</si>
  <si>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</si>
  <si>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</si>
  <si>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</si>
  <si>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</si>
  <si>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</si>
  <si>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</si>
  <si>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</si>
  <si>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</si>
  <si>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</si>
  <si>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</si>
  <si>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</si>
  <si>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</si>
  <si>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</si>
  <si>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</si>
  <si>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</si>
  <si>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</si>
  <si>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</si>
  <si>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</si>
  <si>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</si>
  <si>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</si>
  <si>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</si>
  <si>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</si>
  <si>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</si>
  <si>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</si>
  <si>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</si>
  <si>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</si>
  <si>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</si>
  <si>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</si>
  <si>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</si>
  <si>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</si>
  <si>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</si>
  <si>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</si>
  <si>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</si>
  <si>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</si>
  <si>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</si>
  <si>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</si>
  <si>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</si>
  <si>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</si>
  <si>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</si>
  <si>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</si>
  <si>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</si>
  <si>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</si>
  <si>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</si>
  <si>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</si>
  <si>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</si>
  <si>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</si>
  <si>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</si>
  <si>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</si>
  <si>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</si>
  <si>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</si>
  <si>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</si>
  <si>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</si>
  <si>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</si>
  <si>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</si>
  <si>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</si>
  <si>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</si>
  <si>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</si>
  <si>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</si>
  <si>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</si>
  <si>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</si>
  <si>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</si>
  <si>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</si>
  <si>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</si>
  <si>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</si>
  <si>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</si>
  <si>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</si>
  <si>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</si>
  <si>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</si>
  <si>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</si>
  <si>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</si>
  <si>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</si>
  <si>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</si>
  <si>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</si>
  <si>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</si>
  <si>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</si>
  <si>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</si>
  <si>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</si>
  <si>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</si>
  <si>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</si>
  <si>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</si>
  <si>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</si>
  <si>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</si>
  <si>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</si>
  <si>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</si>
  <si>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</si>
  <si>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</si>
  <si>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</si>
  <si>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</si>
  <si>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</si>
  <si>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</si>
  <si>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</si>
  <si>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</si>
  <si>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</si>
  <si>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</si>
  <si>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</si>
  <si>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</si>
  <si>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</si>
  <si>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</si>
  <si>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</si>
  <si>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</si>
  <si>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</si>
  <si>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</si>
  <si>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</si>
  <si>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</si>
  <si>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</si>
  <si>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</si>
  <si>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</si>
  <si>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</si>
  <si>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</si>
  <si>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</si>
  <si>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</si>
  <si>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</si>
  <si>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</si>
  <si>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</si>
  <si>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</si>
  <si>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</si>
  <si>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</si>
  <si>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</si>
  <si>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</si>
  <si>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</si>
  <si>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</si>
  <si>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</si>
  <si>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</si>
  <si>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</si>
  <si>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</si>
  <si>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</si>
  <si>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</si>
  <si>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</si>
  <si>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</si>
  <si>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</si>
  <si>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</si>
  <si>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</si>
  <si>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</si>
  <si>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</si>
  <si>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</si>
  <si>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</si>
  <si>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</si>
  <si>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</si>
  <si>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</si>
  <si>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</si>
  <si>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</si>
  <si>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</si>
  <si>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</si>
  <si>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</si>
  <si>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</si>
  <si>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</si>
  <si>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</si>
  <si>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</si>
  <si>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</si>
  <si>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</si>
  <si>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</si>
  <si>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</si>
  <si>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</si>
  <si>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</si>
  <si>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</si>
  <si>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</si>
  <si>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</si>
  <si>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</si>
  <si>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</si>
  <si>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</si>
  <si>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>Is this equipment an IPL in a LOPA?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</si>
  <si>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</si>
  <si>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</si>
  <si>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</si>
  <si>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</si>
  <si>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</si>
  <si>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</si>
  <si>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</si>
  <si>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</si>
  <si>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</si>
  <si>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t>a</t>
  </si>
  <si>
    <t>Number of Locations in failure code when defaults assigned:</t>
  </si>
  <si>
    <t>Comment on barrier selection</t>
  </si>
  <si>
    <t>None allocated initially, but GES only allows for high criticality anyway.  Monthlycomfort check &amp; 4yrly inspection</t>
  </si>
  <si>
    <t>Risk Matrix Assessment</t>
  </si>
  <si>
    <t>Criticality for CMMS Rules</t>
  </si>
  <si>
    <t>ABC Allocation Rules</t>
  </si>
  <si>
    <t>Risk Matrix Population 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</si>
</sst>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</fills>
  <borders count="3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</cellStyleXfs>
  <cellXfs count="117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  <xf numFmtId="0" fontId="9" fillId="0" borderId="0" xfId="10" applyAlignment="1">
      <alignment horizontal="right" wrapText="1" indent="1"/>
    </xf>
    <xf numFmtId="0" fontId="19" fillId="0" borderId="12" xfId="13"/>
    <xf numFmtId="0" fontId="21" fillId="9" borderId="4" xfId="9" applyFont="1" applyAlignment="1">
      <alignment horizontal="right" vertical="center"/>
    </xf>
    <xf numFmtId="0" fontId="9" fillId="0" borderId="0" xfId="10" applyAlignment="1">
      <alignment horizontal="right" vertical="center"/>
    </xf>
    <xf numFmtId="0" fontId="5" fillId="5" borderId="15" xfId="4" applyBorder="1" applyAlignment="1">
      <alignment horizontal="left" vertical="top" wrapText="1"/>
    </xf>
    <xf numFmtId="0" fontId="0" fillId="9" borderId="4" xfId="9" applyFont="1" applyAlignment="1">
      <alignment horizontal="center" vertical="center"/>
    </xf>
    <xf numFmtId="0" fontId="21" fillId="0" borderId="33" xfId="0" applyFont="1" applyBorder="1" applyAlignment="1" applyProtection="1">
      <alignment horizontal="center" wrapText="1"/>
      <protection locked="0"/>
    </xf>
    <xf numFmtId="0" fontId="21" fillId="0" borderId="34" xfId="0" applyFont="1" applyBorder="1" applyAlignment="1" applyProtection="1">
      <alignment horizontal="center" wrapText="1"/>
      <protection locked="0"/>
    </xf>
    <xf numFmtId="0" fontId="21" fillId="0" borderId="35" xfId="0" applyFont="1" applyBorder="1" applyAlignment="1" applyProtection="1">
      <alignment horizontal="center" wrapText="1"/>
      <protection locked="0"/>
    </xf>
    <xf numFmtId="0" fontId="21" fillId="0" borderId="33" xfId="0" applyFont="1" applyBorder="1" applyAlignment="1">
      <alignment horizontal="center" wrapText="1"/>
    </xf>
    <xf numFmtId="0" fontId="21" fillId="0" borderId="35" xfId="0" applyFont="1" applyBorder="1" applyAlignment="1">
      <alignment horizontal="center" wrapText="1"/>
    </xf>
    <xf numFmtId="0" fontId="21" fillId="0" borderId="33" xfId="0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21" fillId="0" borderId="34" xfId="0" applyFont="1" applyBorder="1" applyAlignment="1">
      <alignment horizontal="center" wrapText="1"/>
    </xf>
  </cellXfs>
  <cellStyles count="14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te" xfId="9" builtinId="10"/>
  </cellStyles>
  <dxfs count="82"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ddenergygroup-my.sharepoint.com/personal/douglas_crooke_addenergy_no/Documents/CriticalityVBA/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 refreshError="1"/>
      <sheetData sheetId="1" refreshError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FailureCodeDefaultCriticality"/>
      <sheetName val="AssetRegisterDefaultCodeApplied"/>
      <sheetName val="MAHBarrierSetup"/>
      <sheetName val="FailureCodeTemplate"/>
      <sheetName val="DataTables"/>
      <sheetName val="Systems"/>
      <sheetName val="FA_CFBC"/>
      <sheetName val="FA_CFSGW"/>
      <sheetName val="FA_CFSSE"/>
      <sheetName val="FA_CFSSF"/>
      <sheetName val="FA_CFSST"/>
      <sheetName val="FA_EECF"/>
      <sheetName val="FA_EECH"/>
      <sheetName val="FA_EECMD"/>
      <sheetName val="FA_EECMI"/>
      <sheetName val="FA_EECMS"/>
      <sheetName val="FA_EECO"/>
      <sheetName val="FA_EECT"/>
      <sheetName val="FA_EEPBA"/>
      <sheetName val="FA_EEPBV"/>
      <sheetName val="FA_EEPCS"/>
      <sheetName val="FA_EEPNE"/>
      <sheetName val="FA_EEPNN"/>
      <sheetName val="FA_EEPS"/>
      <sheetName val="FA_EEPU"/>
      <sheetName val="FA_EETA"/>
      <sheetName val="FA_EETB"/>
      <sheetName val="FA_EETC"/>
      <sheetName val="FA_EETD"/>
      <sheetName val="FA_EETFW"/>
      <sheetName val="FA_EETGA"/>
      <sheetName val="FA_EETI"/>
      <sheetName val="FA_EETM"/>
      <sheetName val="FA_EETO"/>
      <sheetName val="FA_EETP"/>
      <sheetName val="FA_EETQ"/>
      <sheetName val="FA_EETR"/>
      <sheetName val="FA_EETW"/>
      <sheetName val="FA_EETY"/>
      <sheetName val="FA_INAM"/>
      <sheetName val="FA_INAP"/>
      <sheetName val="FA_INDC"/>
      <sheetName val="FA_INDFD"/>
      <sheetName val="FA_INDFS"/>
      <sheetName val="FA_INDI"/>
      <sheetName val="FA_INDMS"/>
      <sheetName val="FA_INDMT"/>
      <sheetName val="FA_INDS"/>
      <sheetName val="FA_INDT"/>
      <sheetName val="FA_INSC"/>
      <sheetName val="FA_INSD"/>
      <sheetName val="FA_INSJ"/>
      <sheetName val="FA_INSL"/>
      <sheetName val="FA_INSS"/>
      <sheetName val="FA_INST"/>
      <sheetName val="FA_INSY"/>
      <sheetName val="FA_PEA"/>
      <sheetName val="FA_PEG"/>
      <sheetName val="FA_PEL"/>
      <sheetName val="FA_PEM"/>
      <sheetName val="FA_PEO"/>
      <sheetName val="FA_PESC"/>
      <sheetName val="FA_PESR"/>
      <sheetName val="FA_PESV"/>
      <sheetName val="FA_PET"/>
      <sheetName val="FA_PEVB"/>
      <sheetName val="FA_PEVC"/>
      <sheetName val="FA_PEVD"/>
      <sheetName val="FA_PEVG"/>
      <sheetName val="FA_PEVL"/>
      <sheetName val="FA_PEVM"/>
      <sheetName val="FA_PEVN"/>
      <sheetName val="FA_PEVX"/>
      <sheetName val="FA_PEVY"/>
      <sheetName val="FA_REBC"/>
      <sheetName val="FA_REC"/>
      <sheetName val="FA_REDH"/>
      <sheetName val="FA_REDP"/>
      <sheetName val="FA_REEL"/>
      <sheetName val="FA_REFA"/>
      <sheetName val="FA_REFC"/>
      <sheetName val="FA_REMC"/>
      <sheetName val="FA_REMR"/>
      <sheetName val="FA_REMT"/>
      <sheetName val="FA_RENG"/>
      <sheetName val="FA_REPC"/>
      <sheetName val="FA_REPD"/>
      <sheetName val="FA_RER"/>
      <sheetName val="FA_RETG"/>
      <sheetName val="FA_RETP"/>
      <sheetName val="FA_REUC"/>
      <sheetName val="FA_SEC"/>
      <sheetName val="FA_SEE"/>
      <sheetName val="FA_SEFB"/>
      <sheetName val="FA_SEFE"/>
      <sheetName val="FA_SEFS"/>
      <sheetName val="FA_SEHF"/>
      <sheetName val="FA_SEHS"/>
      <sheetName val="FA_SEHT"/>
      <sheetName val="FA_SEL"/>
      <sheetName val="FA_SEM"/>
      <sheetName val="FA_SENF"/>
      <sheetName val="FA_SEPA"/>
      <sheetName val="FA_SEPC"/>
      <sheetName val="FA_SEPHC"/>
      <sheetName val="FA_SEPHS"/>
      <sheetName val="FA_SES"/>
      <sheetName val="FA_SETAC"/>
      <sheetName val="FA_SETAP"/>
      <sheetName val="FA_SETPC"/>
      <sheetName val="FA_SEZ"/>
      <sheetName val="FA_SQFC"/>
      <sheetName val="FA_SQFDF"/>
      <sheetName val="FA_SQFDG"/>
      <sheetName val="FA_SQFDS"/>
      <sheetName val="FA_SQFFD"/>
      <sheetName val="FA_SQFFH"/>
      <sheetName val="FA_SQFFM"/>
      <sheetName val="FA_SQFFY"/>
      <sheetName val="FA_SQFRA"/>
      <sheetName val="FA_SQFRE"/>
      <sheetName val="FA_SQMT"/>
      <sheetName val="FA_SQTA"/>
      <sheetName val="FA_SQTB"/>
      <sheetName val="FA_SQTE"/>
      <sheetName val="FA_SQTH"/>
      <sheetName val="FA_SQTL"/>
      <sheetName val="FA_SQTN"/>
      <sheetName val="FA_SQTOF"/>
      <sheetName val="FA_SQTP"/>
      <sheetName val="FA_SQTS"/>
      <sheetName val="FA_SQTV"/>
      <sheetName val="FA_SQTW"/>
      <sheetName val="FA_SQTY"/>
      <sheetName val="FA_SYLH"/>
      <sheetName val="FA_WECO"/>
      <sheetName val="FA_WEHY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</sheetDataSet>
  </externalBook>
</externalLink>
</file>

<file path=xl/tables/table1.xml><?xml version="1.0" encoding="utf-8"?>
<table xmlns="http://schemas.openxmlformats.org/spreadsheetml/2006/main" id="1" name="RiskManagementMatrix" displayName="RiskManagementMatrix" ref="B4:J12" totalsRowShown="0" headerRowDxfId="81" dataDxfId="80">
  <autoFilter ref="B4:J12"/>
  <tableColumns count="9">
    <tableColumn id="1" name="Impact" dataDxfId="79" dataCellStyle="Bad"/>
    <tableColumn id="2" name="1" dataDxfId="78"/>
    <tableColumn id="3" name="2" dataDxfId="77">
      <calculatedColumnFormula>C5+1</calculatedColumnFormula>
    </tableColumn>
    <tableColumn id="4" name="3" dataDxfId="76">
      <calculatedColumnFormula>D5+1</calculatedColumnFormula>
    </tableColumn>
    <tableColumn id="5" name="4" dataDxfId="75">
      <calculatedColumnFormula>E5+1</calculatedColumnFormula>
    </tableColumn>
    <tableColumn id="6" name="5" dataDxfId="74">
      <calculatedColumnFormula>F5+1</calculatedColumnFormula>
    </tableColumn>
    <tableColumn id="7" name="6" dataDxfId="73">
      <calculatedColumnFormula>G5+1</calculatedColumnFormula>
    </tableColumn>
    <tableColumn id="8" name="7" dataDxfId="72">
      <calculatedColumnFormula>H5+1</calculatedColumnFormula>
    </tableColumn>
    <tableColumn id="9" name="8" dataDxfId="71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70" dataDxfId="69" headerRowCellStyle="Explanatory Text" dataCellStyle="Explanatory Text">
  <autoFilter ref="D5:F13"/>
  <tableColumns count="3">
    <tableColumn id="1" name="Impact Level" dataDxfId="68" dataCellStyle="Normal"/>
    <tableColumn id="2" name="Criticality Unspared" dataDxfId="67" dataCellStyle="Normal"/>
    <tableColumn id="3" name="Criticality If Redundancy" dataDxfId="66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65">
  <autoFilter ref="A5:B18"/>
  <tableColumns count="2">
    <tableColumn id="1" name="Impact Level" dataDxfId="64" dataCellStyle="Accent6"/>
    <tableColumn id="2" name="Criticality Rating of Equipment" dataDxfId="63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62" headerRowCellStyle="Normal" dataCellStyle="Normal">
  <autoFilter ref="B6:C9"/>
  <tableColumns count="2">
    <tableColumn id="1" name="Criticality Rating" dataDxfId="61" dataCellStyle="Normal"/>
    <tableColumn id="2" name="Criticality Level" dataDxfId="60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59" dataDxfId="58" tableBorderDxfId="57">
  <autoFilter ref="E6:F16"/>
  <tableColumns count="2">
    <tableColumn id="1" name="Criticality Rating" dataDxfId="56"/>
    <tableColumn id="2" name="Criticality Level" dataDxfId="5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54"/>
    <tableColumn id="4" name="Maximo Criticality type"/>
    <tableColumn id="5" name="SCE Threshold" dataDxfId="5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52">
  <autoFilter ref="A1:P8"/>
  <tableColumns count="16">
    <tableColumn id="1" name="Rule"/>
    <tableColumn id="2" name="Applies to"/>
    <tableColumn id="3" name="What to do with existing data" dataDxfId="51"/>
    <tableColumn id="4" name="Comments to add" dataDxfId="50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6" name="TestFailureCodeDefaultCriticalitiesTable" displayName="TestFailureCodeDefaultCriticalitiesTable" ref="A1:O3" totalsRowShown="0" tableBorderDxfId="49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FAILURE_CODE_template18" displayName="FAILURE_CODE_template18" ref="A8:D12" totalsRowShown="0" headerRowDxfId="48" dataDxfId="47">
  <autoFilter ref="A8:D12"/>
  <tableColumns count="4">
    <tableColumn id="1" name="Category" dataDxfId="46"/>
    <tableColumn id="2" name="Impact" dataDxfId="45" dataCellStyle="Calculation">
      <calculatedColumnFormula>max</calculatedColumnFormula>
    </tableColumn>
    <tableColumn id="3" name="Likelihood" dataDxfId="44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43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id="18" name="FAILURE_CODE_Safety_scenarios19" displayName="FAILURE_CODE_Safety_scenarios19" ref="A15:F19" totalsRowShown="0" headerRowDxfId="42">
  <autoFilter ref="A15:F19"/>
  <sortState ref="A16:F19">
    <sortCondition descending="1" ref="D15:D19"/>
  </sortState>
  <tableColumns count="6">
    <tableColumn id="1" name="Safety Scenarios" dataDxfId="41" dataCellStyle="Input"/>
    <tableColumn id="3" name="Impact" dataDxfId="40" dataCellStyle="Input"/>
    <tableColumn id="4" name="Likelihood" dataDxfId="39" dataCellStyle="Input"/>
    <tableColumn id="6" name="Risk Score" dataDxfId="38" dataCellStyle="Calculation">
      <calculatedColumnFormula>MATCH(B16,{"H","G","F","E","D","C","B","A"},0)+MATCH(C16, {1,2,3,4,5,6,7,8}, 0) - 1</calculatedColumnFormula>
    </tableColumn>
    <tableColumn id="5" name="Code for Letter" dataDxfId="37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36" dataCellStyle="Input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id="19" name="FAILURE_CODE_Environmetal_scenarios20" displayName="FAILURE_CODE_Environmetal_scenarios20" ref="A21:F24" totalsRowShown="0" headerRowDxfId="35">
  <autoFilter ref="A21:F24"/>
  <sortState ref="A22:F24">
    <sortCondition descending="1" ref="D21:D24"/>
  </sortState>
  <tableColumns count="6">
    <tableColumn id="1" name="Environmental Scenarios" dataDxfId="34" dataCellStyle="Input"/>
    <tableColumn id="2" name="Impact" dataDxfId="33" dataCellStyle="Input"/>
    <tableColumn id="3" name="Likelihood" dataDxfId="32" dataCellStyle="Input"/>
    <tableColumn id="4" name="Risk Score" dataDxfId="31" dataCellStyle="Calculation">
      <calculatedColumnFormula>MATCH(B22,{"H","G","F","E","D","C","B","A"},0)+MATCH(C22, {1,2,3,4,5,6,7,8}, 0) - 1</calculatedColumnFormula>
    </tableColumn>
    <tableColumn id="5" name="Code for Letter" dataDxfId="30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29" dataCellStyle="Input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id="20" name="FAILURE_CODE_Financial_scenarios21" displayName="FAILURE_CODE_Financial_scenarios21" ref="A27:F31" totalsRowShown="0" headerRowDxfId="28">
  <autoFilter ref="A27:F31"/>
  <sortState ref="A28:F31">
    <sortCondition descending="1" ref="D27:D31"/>
  </sortState>
  <tableColumns count="6">
    <tableColumn id="1" name="Financial Scenarios" dataDxfId="27" dataCellStyle="Input"/>
    <tableColumn id="2" name="Impact" dataDxfId="26" dataCellStyle="Input"/>
    <tableColumn id="3" name="Likelihood" dataDxfId="25" dataCellStyle="Input"/>
    <tableColumn id="4" name="Risk Score" dataDxfId="24" dataCellStyle="Calculation">
      <calculatedColumnFormula>MATCH(B28,{"H","G","F","E","D","C","B","A"},0)+MATCH(C28, {1,2,3,4,5,6,7,8}, 0) - 1</calculatedColumnFormula>
    </tableColumn>
    <tableColumn id="5" name="Code for Letter" dataDxfId="23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22" dataCellStyle="Input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21" name="FAILURE_CODE_Non_Financial_scenarios22" displayName="FAILURE_CODE_Non_Financial_scenarios22" ref="A33:F36" totalsRowShown="0" headerRowDxfId="21">
  <autoFilter ref="A33:F36"/>
  <sortState ref="A34:F36">
    <sortCondition descending="1" ref="D33:D36"/>
  </sortState>
  <tableColumns count="6">
    <tableColumn id="1" name="Non-Financial Scenarios" dataDxfId="20" dataCellStyle="Input"/>
    <tableColumn id="2" name="Impact" dataDxfId="19" dataCellStyle="Input"/>
    <tableColumn id="3" name="Likelihood" dataDxfId="18" dataCellStyle="Input"/>
    <tableColumn id="4" name="Risk Score" dataDxfId="17" dataCellStyle="Calculation">
      <calculatedColumnFormula>MATCH(B34,{"H","G","F","E","D","C","B","A"},0)+MATCH(C34, {1,2,3,4,5,6,7,8}, 0) - 1</calculatedColumnFormula>
    </tableColumn>
    <tableColumn id="5" name="Code for Letter" dataDxfId="16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15" dataCellStyle="Input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22" name="TypicalCriticalitiesMAHBarrier23" displayName="TypicalCriticalitiesMAHBarrier23" ref="N3:W309" totalsRowShown="0" headerRowBorderDxfId="14" tableBorderDxfId="13" headerRowCellStyle="Normal" dataCellStyle="Normal"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IF($T4&lt;=Z$4,INDEX(TypicalCriticalitiesMAHBarrier23[Barrier Family Description],MATCH($T4,TypicalCriticalitiesMAHBarrier23[Barrier Family ID],0)),"")</calculatedColumnFormula>
    </tableColumn>
    <tableColumn id="9" name="ComponentList" dataCellStyle="Normal">
      <calculatedColumnFormula>IF($T4&lt;=AA$4,INDEX(TypicalCriticalitiesMAHBarrier23[Typical Components],MATCH($T4,TypicalCriticalitiesMAHBarrier23[Column2],0)),"")</calculatedColumnFormula>
    </tableColumn>
    <tableColumn id="10" name="Code" dataCellStyle="Normal">
      <calculatedColumnFormula>IF($T4&lt;=AA$4,INDEX(TypicalCriticalitiesMAHBarrier23[Typical Criticality],MATCH($T4,TypicalCriticalitiesMAHBarrier23[Column2],0)),"")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workbookViewId="0">
      <selection activeCell="B15" sqref="B15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85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85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85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85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85"/>
      <c r="M11" s="4" t="s">
        <v>634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85"/>
      <c r="M12" s="4" t="s">
        <v>109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85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85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85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85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85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85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85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85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85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85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>IF(L$35=L40,"pass", "fail")</f>
        <v>pass</v>
      </c>
      <c r="M41" s="1" t="str">
        <f t="shared" ref="M41:Q41" si="18">IF(M$35=M40,"pass", "fail")</f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12" priority="6">
      <formula>AND(C5&gt;9,ROW(C5)-ROW(C$5)=3)</formula>
    </cfRule>
    <cfRule type="expression" dxfId="11" priority="7">
      <formula>AND((C5&gt;8),ROW(C5)-ROW(C$5)&lt;3)</formula>
    </cfRule>
    <cfRule type="expression" dxfId="10" priority="8">
      <formula>AND(ROW(C5)-ROW($C$5)&gt;4,C5&gt;6)</formula>
    </cfRule>
    <cfRule type="expression" dxfId="9" priority="10">
      <formula>AND(C5&gt;6,ROW(C5)-ROW(C$5)&lt;5)</formula>
    </cfRule>
    <cfRule type="expression" dxfId="8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86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87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87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87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87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87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87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87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87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87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87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87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87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88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85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85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85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85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85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85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85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89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89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89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89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89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89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89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89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89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89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89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89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89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89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7" priority="1" operator="equal">
      <formula>"Low"</formula>
    </cfRule>
    <cfRule type="cellIs" dxfId="6" priority="2" operator="equal">
      <formula>"High"</formula>
    </cfRule>
    <cfRule type="cellIs" dxfId="5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tabSelected="1"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90" t="s">
        <v>17</v>
      </c>
      <c r="D1" s="90"/>
      <c r="E1" s="90"/>
      <c r="F1" s="90"/>
      <c r="G1" s="90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91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91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91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91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86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87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87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87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87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87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88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85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85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85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85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85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85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85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85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85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85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4" priority="1" operator="equal">
      <formula>"B"</formula>
    </cfRule>
    <cfRule type="cellIs" dxfId="3" priority="2" operator="equal">
      <formula>"C"</formula>
    </cfRule>
    <cfRule type="cellIs" dxfId="2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7" t="s">
        <v>599</v>
      </c>
      <c r="B1" s="67" t="s">
        <v>101</v>
      </c>
      <c r="C1" s="68" t="s">
        <v>600</v>
      </c>
      <c r="D1" s="69" t="s">
        <v>17</v>
      </c>
      <c r="E1" s="70" t="s">
        <v>601</v>
      </c>
      <c r="F1" s="71" t="s">
        <v>602</v>
      </c>
      <c r="G1" s="71" t="s">
        <v>603</v>
      </c>
      <c r="H1" s="72" t="s">
        <v>604</v>
      </c>
      <c r="I1" s="73" t="s">
        <v>605</v>
      </c>
      <c r="J1" s="74" t="s">
        <v>606</v>
      </c>
      <c r="K1" s="74" t="s">
        <v>607</v>
      </c>
      <c r="L1" s="75" t="s">
        <v>608</v>
      </c>
      <c r="M1" s="76" t="s">
        <v>609</v>
      </c>
      <c r="N1" s="77" t="s">
        <v>125</v>
      </c>
      <c r="O1" s="80" t="s">
        <v>610</v>
      </c>
    </row>
    <row r="2" spans="1:15" x14ac:dyDescent="0.25">
      <c r="A2" s="78" t="s">
        <v>611</v>
      </c>
      <c r="B2" s="78" t="s">
        <v>612</v>
      </c>
      <c r="C2" s="79">
        <v>4</v>
      </c>
      <c r="D2" s="78">
        <v>3</v>
      </c>
      <c r="E2" s="78" t="s">
        <v>616</v>
      </c>
      <c r="F2" s="78" t="s">
        <v>617</v>
      </c>
      <c r="G2" s="78" t="s">
        <v>617</v>
      </c>
      <c r="H2" s="78" t="s">
        <v>617</v>
      </c>
      <c r="I2" s="78">
        <v>8</v>
      </c>
      <c r="J2" s="78">
        <v>2</v>
      </c>
      <c r="K2" s="78">
        <v>2</v>
      </c>
      <c r="L2" s="78">
        <v>2</v>
      </c>
      <c r="M2" s="78">
        <v>8</v>
      </c>
      <c r="N2" s="78" t="s">
        <v>0</v>
      </c>
      <c r="O2" s="78" t="s">
        <v>613</v>
      </c>
    </row>
    <row r="3" spans="1:15" x14ac:dyDescent="0.25">
      <c r="A3" s="81" t="s">
        <v>614</v>
      </c>
      <c r="B3" s="81" t="s">
        <v>615</v>
      </c>
      <c r="C3" s="82">
        <v>37</v>
      </c>
      <c r="D3" s="81">
        <v>7</v>
      </c>
      <c r="E3" s="81" t="s">
        <v>618</v>
      </c>
      <c r="F3" s="81" t="s">
        <v>617</v>
      </c>
      <c r="G3" s="81" t="s">
        <v>617</v>
      </c>
      <c r="H3" s="81" t="s">
        <v>617</v>
      </c>
      <c r="I3" s="81">
        <v>4</v>
      </c>
      <c r="J3" s="81">
        <v>2</v>
      </c>
      <c r="K3" s="81">
        <v>2</v>
      </c>
      <c r="L3" s="81">
        <v>2</v>
      </c>
      <c r="M3" s="81">
        <v>4</v>
      </c>
      <c r="N3" s="81" t="s">
        <v>1</v>
      </c>
      <c r="O3" s="81" t="s">
        <v>613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zoomScaleNormal="100" workbookViewId="0">
      <selection activeCell="F17" sqref="F17"/>
    </sheetView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35">
      <c r="A1" s="40" t="s">
        <v>165</v>
      </c>
      <c r="B1" s="41" t="s">
        <v>611</v>
      </c>
      <c r="C1" s="42"/>
      <c r="F1" s="102" t="s">
        <v>635</v>
      </c>
      <c r="G1" s="107">
        <v>4</v>
      </c>
      <c r="I1" s="33" t="s">
        <v>619</v>
      </c>
      <c r="K1" s="83" t="str">
        <f ca="1">K10</f>
        <v>A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612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ht="15.75" thickBot="1" x14ac:dyDescent="0.3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IF($T4&lt;=Z$4,INDEX(TypicalCriticalitiesMAHBarrier23[Barrier Family Description],MATCH($T4,TypicalCriticalitiesMAHBarrier23[Barrier Family ID],0)),"")</f>
        <v>Structural Integrity</v>
      </c>
      <c r="V4" t="str">
        <f ca="1">IF($T4&lt;=AA$4,INDEX(TypicalCriticalitiesMAHBarrier23[Typical Components],MATCH($T4,TypicalCriticalitiesMAHBarrier23[Column2],0)),"")</f>
        <v xml:space="preserve">Amplifiers 
Controllers 
External Speakers 
Internal Speakers 
Beacons / Strobe Lights 
Indicator Lights </v>
      </c>
      <c r="W4" t="str">
        <f ca="1">IF($T4&lt;=AA$4,INDEX(TypicalCriticalitiesMAHBarrier23[Typical Criticality],MATCH($T4,TypicalCriticalitiesMAHBarrier23[Column2],0)),"")</f>
        <v xml:space="preserve">A </v>
      </c>
      <c r="Y4" t="s">
        <v>183</v>
      </c>
      <c r="Z4">
        <f>MAX(TypicalCriticalitiesMAHBarrier23[Barrier Family ID])</f>
        <v>54</v>
      </c>
      <c r="AA4">
        <f ca="1">MAX(TypicalCriticalitiesMAHBarrier23[Column2])</f>
        <v>1</v>
      </c>
      <c r="AE4" s="44"/>
      <c r="AF4" s="44"/>
      <c r="AG4" s="44"/>
      <c r="AH4" s="44"/>
      <c r="AI4" s="44"/>
      <c r="AJ4" s="44"/>
    </row>
    <row r="5" spans="1:36" ht="16.5" thickTop="1" thickBot="1" x14ac:dyDescent="0.3">
      <c r="A5" s="108" t="s">
        <v>638</v>
      </c>
      <c r="B5" s="109"/>
      <c r="C5" s="109"/>
      <c r="D5" s="110"/>
      <c r="F5" s="111" t="s">
        <v>639</v>
      </c>
      <c r="G5" s="112"/>
      <c r="H5" s="113" t="s">
        <v>640</v>
      </c>
      <c r="I5" s="114"/>
      <c r="J5" s="114"/>
      <c r="K5" s="115"/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>
        <f t="shared" ref="S5:S68" ca="1" si="1">IF(R5=$Z$5,IF(AND(P5&lt;&gt;P4,P5&lt;&gt;""),S4+1,S4),S4)</f>
        <v>0</v>
      </c>
      <c r="T5">
        <f t="shared" ref="T5:T68" si="2">T4+1</f>
        <v>2</v>
      </c>
      <c r="U5" t="str">
        <f>IF($T5&lt;=Z$4,INDEX(TypicalCriticalitiesMAHBarrier23[Barrier Family Description],MATCH($T5,TypicalCriticalitiesMAHBarrier23[Barrier Family ID],0)),"")</f>
        <v>Stability loading control &amp; watertight integrity</v>
      </c>
      <c r="V5" t="str">
        <f ca="1">IF($T5&lt;=AA$4,INDEX(TypicalCriticalitiesMAHBarrier23[Typical Components],MATCH($T5,TypicalCriticalitiesMAHBarrier23[Column2],0)),"")</f>
        <v/>
      </c>
      <c r="W5" t="str">
        <f ca="1">IF($T5&lt;=AA$4,INDEX(TypicalCriticalitiesMAHBarrier23[Typical Criticality],MATCH($T5,TypicalCriticalitiesMAHBarrier23[Column2],0)),"")</f>
        <v/>
      </c>
      <c r="Y5" t="s">
        <v>186</v>
      </c>
      <c r="Z5">
        <f ca="1">MATCH(H17,BarrierFamilies,0)</f>
        <v>32</v>
      </c>
      <c r="AA5" t="e">
        <f ca="1">MATCH([2]FailureCodeTemplate!I17,TypicalCriticalitiesMAHBarrier23[ComponentList],0)</f>
        <v>#N/A</v>
      </c>
      <c r="AE5" s="44"/>
      <c r="AF5" s="44"/>
      <c r="AG5" s="44"/>
      <c r="AH5" s="44"/>
      <c r="AI5" s="44"/>
      <c r="AJ5" s="44"/>
    </row>
    <row r="6" spans="1:36" ht="29.25" customHeight="1" thickTop="1" x14ac:dyDescent="0.25">
      <c r="A6" s="92" t="s">
        <v>187</v>
      </c>
      <c r="B6" s="92"/>
      <c r="C6" s="92"/>
      <c r="D6" s="92"/>
      <c r="F6" s="38" t="s">
        <v>184</v>
      </c>
      <c r="G6" s="47" t="str">
        <f>_xlfn.SWITCH(B9, "A", "YES","B", "YES","C", "YES","D", "YES","E", "NO","F", "NO","G", "NO","H", "NO","", "YES")</f>
        <v>NO</v>
      </c>
      <c r="I6" s="17"/>
      <c r="J6" s="105" t="s">
        <v>620</v>
      </c>
      <c r="K6" s="7" t="b">
        <f ca="1"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>
        <f t="shared" ca="1" si="1"/>
        <v>0</v>
      </c>
      <c r="T6">
        <f t="shared" si="2"/>
        <v>3</v>
      </c>
      <c r="U6" t="str">
        <f>IF($T6&lt;=Z$4,INDEX(TypicalCriticalitiesMAHBarrier23[Barrier Family Description],MATCH($T6,TypicalCriticalitiesMAHBarrier23[Barrier Family ID],0)),"")</f>
        <v>Station Keeping</v>
      </c>
      <c r="V6" t="str">
        <f ca="1">IF($T6&lt;=AA$4,INDEX(TypicalCriticalitiesMAHBarrier23[Typical Components],MATCH($T6,TypicalCriticalitiesMAHBarrier23[Column2],0)),"")</f>
        <v/>
      </c>
      <c r="W6" t="str">
        <f ca="1">IF($T6&lt;=AA$4,INDEX(TypicalCriticalitiesMAHBarrier23[Typical Criticality],MATCH($T6,TypicalCriticalitiesMAHBarrier23[Column2],0)),"")</f>
        <v/>
      </c>
      <c r="AE6" s="44"/>
      <c r="AF6" s="44"/>
      <c r="AG6" s="44"/>
      <c r="AH6" s="44"/>
      <c r="AI6" s="44"/>
      <c r="AJ6" s="44"/>
    </row>
    <row r="7" spans="1:36" x14ac:dyDescent="0.25">
      <c r="A7" s="34" t="s">
        <v>189</v>
      </c>
      <c r="B7" s="42"/>
      <c r="C7" s="42"/>
      <c r="I7" s="93" t="s">
        <v>621</v>
      </c>
      <c r="J7" s="94"/>
      <c r="K7" s="95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>
        <f t="shared" ca="1" si="1"/>
        <v>0</v>
      </c>
      <c r="T7">
        <f t="shared" si="2"/>
        <v>4</v>
      </c>
      <c r="U7" t="str">
        <f>IF($T7&lt;=Z$4,INDEX(TypicalCriticalitiesMAHBarrier23[Barrier Family Description],MATCH($T7,TypicalCriticalitiesMAHBarrier23[Barrier Family ID],0)),"")</f>
        <v>Swivel Stack Assembly</v>
      </c>
      <c r="V7" t="str">
        <f ca="1">IF($T7&lt;=AA$4,INDEX(TypicalCriticalitiesMAHBarrier23[Typical Components],MATCH($T7,TypicalCriticalitiesMAHBarrier23[Column2],0)),"")</f>
        <v/>
      </c>
      <c r="W7" t="str">
        <f ca="1">IF($T7&lt;=AA$4,INDEX(TypicalCriticalitiesMAHBarrier23[Typical Criticality],MATCH($T7,TypicalCriticalitiesMAHBarrier23[Column2],0)),"")</f>
        <v/>
      </c>
      <c r="AE7" s="44"/>
      <c r="AF7" s="44"/>
      <c r="AG7" s="44"/>
      <c r="AH7" s="44"/>
      <c r="AI7" s="44"/>
      <c r="AJ7" s="44"/>
    </row>
    <row r="8" spans="1:36" ht="21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104" t="s">
        <v>190</v>
      </c>
      <c r="G8" s="48">
        <f>MAX(G10:G13)</f>
        <v>8</v>
      </c>
      <c r="I8" s="96"/>
      <c r="J8" s="97"/>
      <c r="K8" s="98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>
        <f t="shared" ca="1" si="1"/>
        <v>0</v>
      </c>
      <c r="T8">
        <f t="shared" si="2"/>
        <v>5</v>
      </c>
      <c r="U8" t="str">
        <f>IF($T8&lt;=Z$4,INDEX(TypicalCriticalitiesMAHBarrier23[Barrier Family Description],MATCH($T8,TypicalCriticalitiesMAHBarrier23[Barrier Family ID],0)),"")</f>
        <v>Swivel Fluid Barrier System</v>
      </c>
      <c r="V8" t="str">
        <f ca="1">IF($T8&lt;=AA$4,INDEX(TypicalCriticalitiesMAHBarrier23[Typical Components],MATCH($T8,TypicalCriticalitiesMAHBarrier23[Column2],0)),"")</f>
        <v/>
      </c>
      <c r="W8" t="str">
        <f ca="1">IF($T8&lt;=AA$4,INDEX(TypicalCriticalitiesMAHBarrier23[Typical Criticality],MATCH($T8,TypicalCriticalitiesMAHBarrier23[Column2],0)),"")</f>
        <v/>
      </c>
      <c r="Z8">
        <f ca="1">ROWS(BarrierFamilies)</f>
        <v>54</v>
      </c>
      <c r="AA8">
        <f ca="1">ROWS(TypicalComponents)</f>
        <v>1</v>
      </c>
      <c r="AE8" s="44"/>
      <c r="AF8" s="44"/>
      <c r="AG8" s="44"/>
      <c r="AH8" s="44"/>
      <c r="AI8" s="44"/>
      <c r="AJ8" s="44"/>
    </row>
    <row r="9" spans="1:36" x14ac:dyDescent="0.25">
      <c r="A9" s="50" t="s">
        <v>93</v>
      </c>
      <c r="B9" s="51" t="str">
        <f>CHAR(MIN(FAILURE_CODE_Safety_scenarios19[Code for Letter]))</f>
        <v>E</v>
      </c>
      <c r="C9" s="52">
        <f t="array" ref="C9">MAX(IF(FAILURE_CODE_Safety_scenarios19[Impact]=FAILURE_CODE_template18[[#This Row],[Impact]],FAILURE_CODE_Safety_scenarios19[Likelihood]))</f>
        <v>8</v>
      </c>
      <c r="D9" s="52">
        <f t="array" ref="D9">MAX(IF(FAILURE_CODE_Safety_scenarios19[Impact]=FAILURE_CODE_template18[[#This Row],[Impact]],FAILURE_CODE_Safety_scenarios19[Risk Score]))</f>
        <v>11</v>
      </c>
      <c r="F9" s="49" t="s">
        <v>193</v>
      </c>
      <c r="G9" s="4" t="s">
        <v>194</v>
      </c>
      <c r="I9" s="99"/>
      <c r="J9" s="100"/>
      <c r="K9" s="101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>
        <f t="shared" ca="1" si="1"/>
        <v>0</v>
      </c>
      <c r="T9">
        <f t="shared" si="2"/>
        <v>6</v>
      </c>
      <c r="U9" t="str">
        <f>IF($T9&lt;=Z$4,INDEX(TypicalCriticalitiesMAHBarrier23[Barrier Family Description],MATCH($T9,TypicalCriticalitiesMAHBarrier23[Barrier Family ID],0)),"")</f>
        <v>Swivel/Turret Pipework</v>
      </c>
      <c r="V9" t="str">
        <f ca="1">IF($T9&lt;=AA$4,INDEX(TypicalCriticalitiesMAHBarrier23[Typical Components],MATCH($T9,TypicalCriticalitiesMAHBarrier23[Column2],0)),"")</f>
        <v/>
      </c>
      <c r="W9" t="str">
        <f ca="1">IF($T9&lt;=AA$4,INDEX(TypicalCriticalitiesMAHBarrier23[Typical Criticality],MATCH($T9,TypicalCriticalitiesMAHBarrier23[Column2],0)),"")</f>
        <v/>
      </c>
      <c r="AE9" s="44"/>
      <c r="AF9" s="44"/>
      <c r="AG9" s="44"/>
      <c r="AH9" s="44"/>
      <c r="AI9" s="44"/>
      <c r="AJ9" s="44"/>
    </row>
    <row r="10" spans="1:36" ht="18.75" x14ac:dyDescent="0.25">
      <c r="A10" s="50" t="s">
        <v>85</v>
      </c>
      <c r="B10" s="51" t="str">
        <f>CHAR(MIN(FAILURE_CODE_Environmetal_scenarios20[Code for Letter]))</f>
        <v>H</v>
      </c>
      <c r="C10" s="52">
        <f t="array" ref="C10">MAX(IF(FAILURE_CODE_Environmetal_scenarios20[Impact]=FAILURE_CODE_template18[[#This Row],[Impact]],FAILURE_CODE_Environmetal_scenarios20[Likelihood]))</f>
        <v>2</v>
      </c>
      <c r="D10" s="52">
        <f t="array" ref="D10">MAX(IF(FAILURE_CODE_Environmetal_scenarios20[Impact]=FAILURE_CODE_template18[[#This Row],[Impact]],FAILURE_CODE_Environmetal_scenarios20[Risk Score]))</f>
        <v>2</v>
      </c>
      <c r="F10" s="53" t="s">
        <v>196</v>
      </c>
      <c r="G10" s="54">
        <f>INDEX({10,10,10,10,8,6,4,2;10,10,10,9,7,5,3,1},
               IF(OR(G$9="SPARED",G$9="Y",G$9="yes",G$9),2,1),
               MATCH($B9,{"A","B","C","D","E","F","G","H"},0)
)</f>
        <v>8</v>
      </c>
      <c r="I10" s="55" t="s">
        <v>202</v>
      </c>
      <c r="K10" s="47" t="str">
        <f ca="1">IF(ISERR(SEARCH("A", K17 &amp; K29 &amp; K30 &amp; K31 &amp; K35 &amp; K36 &amp; K37)),
       IF(ISERR(SEARCH("B", K17 &amp; K29 &amp; K30 &amp; K31 &amp; K35 &amp; K36 &amp; K37)),"C","B"),
"A")</f>
        <v>A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>
        <f t="shared" ca="1" si="1"/>
        <v>0</v>
      </c>
      <c r="T10">
        <f t="shared" si="2"/>
        <v>7</v>
      </c>
      <c r="U10" t="str">
        <f>IF($T10&lt;=Z$4,INDEX(TypicalCriticalitiesMAHBarrier23[Barrier Family Description],MATCH($T10,TypicalCriticalitiesMAHBarrier23[Barrier Family ID],0)),"")</f>
        <v>Turret Chain Table</v>
      </c>
      <c r="V10" t="str">
        <f ca="1">IF($T10&lt;=AA$4,INDEX(TypicalCriticalitiesMAHBarrier23[Typical Components],MATCH($T10,TypicalCriticalitiesMAHBarrier23[Column2],0)),"")</f>
        <v/>
      </c>
      <c r="W10" t="str">
        <f ca="1">IF($T10&lt;=AA$4,INDEX(TypicalCriticalitiesMAHBarrier23[Typical Criticality],MATCH($T10,TypicalCriticalitiesMAHBarrier23[Column2],0)),"")</f>
        <v/>
      </c>
      <c r="AE10" s="44"/>
      <c r="AF10" s="44"/>
      <c r="AG10" s="44"/>
      <c r="AH10" s="44"/>
      <c r="AI10" s="44"/>
      <c r="AJ10" s="44"/>
    </row>
    <row r="11" spans="1:36" x14ac:dyDescent="0.25">
      <c r="A11" s="50" t="s">
        <v>94</v>
      </c>
      <c r="B11" s="51" t="str">
        <f>CHAR(MIN(FAILURE_CODE_Financial_scenarios21[Code for Letter]))</f>
        <v>H</v>
      </c>
      <c r="C11" s="52">
        <f t="array" ref="C11">MAX(IF(FAILURE_CODE_Financial_scenarios21[Impact]=FAILURE_CODE_template18[[#This Row],[Impact]],FAILURE_CODE_Financial_scenarios21[Likelihood]))</f>
        <v>2</v>
      </c>
      <c r="D11" s="52">
        <f t="array" ref="D11">MAX(IF(FAILURE_CODE_Financial_scenarios21[Impact]=FAILURE_CODE_template18[[#This Row],[Impact]],FAILURE_CODE_Financial_scenarios21[Risk Score]))</f>
        <v>2</v>
      </c>
      <c r="F11"/>
      <c r="G11" s="54">
        <f>INDEX({10,10,10,10,8,6,4,2;10,10,10,9,7,5,3,1},
               IF(OR(G$9="SPARED",G$9="Y",G$9="yes",G$9),2,1),
               MATCH($B10,{"A","B","C","D","E","F","G","H"},0)
)</f>
        <v>2</v>
      </c>
      <c r="I11" s="17" t="s">
        <v>622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>
        <f t="shared" ca="1" si="1"/>
        <v>0</v>
      </c>
      <c r="T11">
        <f t="shared" si="2"/>
        <v>8</v>
      </c>
      <c r="U11" t="str">
        <f>IF($T11&lt;=Z$4,INDEX(TypicalCriticalitiesMAHBarrier23[Barrier Family Description],MATCH($T11,TypicalCriticalitiesMAHBarrier23[Barrier Family ID],0)),"")</f>
        <v>Main Turret Bearing</v>
      </c>
      <c r="V11" t="str">
        <f ca="1">IF($T11&lt;=AA$4,INDEX(TypicalCriticalitiesMAHBarrier23[Typical Components],MATCH($T11,TypicalCriticalitiesMAHBarrier23[Column2],0)),"")</f>
        <v/>
      </c>
      <c r="W11" t="str">
        <f ca="1">IF($T11&lt;=AA$4,INDEX(TypicalCriticalitiesMAHBarrier23[Typical Criticality],MATCH($T11,TypicalCriticalitiesMAHBarrier23[Column2],0)),"")</f>
        <v/>
      </c>
      <c r="AE11" s="44"/>
      <c r="AF11" s="44"/>
      <c r="AG11" s="44"/>
      <c r="AH11" s="44"/>
      <c r="AI11" s="44"/>
      <c r="AJ11" s="44"/>
    </row>
    <row r="12" spans="1:36" x14ac:dyDescent="0.25">
      <c r="A12" s="50" t="s">
        <v>92</v>
      </c>
      <c r="B12" s="51" t="str">
        <f>CHAR(MIN(FAILURE_CODE_Non_Financial_scenarios22[Code for Letter]))</f>
        <v>H</v>
      </c>
      <c r="C12" s="52">
        <f t="array" ref="C12">MAX(IF(FAILURE_CODE_Non_Financial_scenarios22[Impact]=FAILURE_CODE_template18[[#This Row],[Impact]],FAILURE_CODE_Non_Financial_scenarios22[Likelihood]))</f>
        <v>2</v>
      </c>
      <c r="D12" s="52">
        <f t="array" ref="D12">MAX(IF(FAILURE_CODE_Non_Financial_scenarios22[Impact]=FAILURE_CODE_template18[[#This Row],[Impact]],FAILURE_CODE_Non_Financial_scenarios22[Risk Score]))</f>
        <v>2</v>
      </c>
      <c r="F12"/>
      <c r="G12" s="54">
        <f>INDEX({10,10,10,10,8,6,4,2;10,10,10,9,7,5,3,1},
               IF(OR(G$9="SPARED",G$9="Y",G$9="yes",G$9),2,1),
               MATCH($B11,{"A","B","C","D","E","F","G","H"},0)
)</f>
        <v>2</v>
      </c>
      <c r="I12" s="17" t="s">
        <v>623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>
        <f t="shared" ca="1" si="1"/>
        <v>0</v>
      </c>
      <c r="T12">
        <f t="shared" si="2"/>
        <v>9</v>
      </c>
      <c r="U12" t="str">
        <f>IF($T12&lt;=Z$4,INDEX(TypicalCriticalitiesMAHBarrier23[Barrier Family Description],MATCH($T12,TypicalCriticalitiesMAHBarrier23[Barrier Family ID],0)),"")</f>
        <v>Wellhead integrity</v>
      </c>
      <c r="V12" t="str">
        <f ca="1">IF($T12&lt;=AA$4,INDEX(TypicalCriticalitiesMAHBarrier23[Typical Components],MATCH($T12,TypicalCriticalitiesMAHBarrier23[Column2],0)),"")</f>
        <v/>
      </c>
      <c r="W12" t="str">
        <f ca="1">IF($T12&lt;=AA$4,INDEX(TypicalCriticalitiesMAHBarrier23[Typical Criticality],MATCH($T12,TypicalCriticalitiesMAHBarrier23[Column2],0)),"")</f>
        <v/>
      </c>
      <c r="AE12" s="44"/>
      <c r="AF12" s="44"/>
      <c r="AG12" s="44"/>
      <c r="AH12" s="44"/>
      <c r="AI12" s="44"/>
      <c r="AJ12" s="44"/>
    </row>
    <row r="13" spans="1:36" ht="15.75" thickBot="1" x14ac:dyDescent="0.3">
      <c r="F13"/>
      <c r="G13" s="54">
        <f>INDEX({10,10,10,10,8,6,4,2;10,10,10,9,7,5,3,1},
               IF(OR(G$9="SPARED",G$9="Y",G$9="yes",G$9),2,1),
               MATCH($B12,{"A","B","C","D","E","F","G","H"},0)
)</f>
        <v>2</v>
      </c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>
        <f t="shared" ca="1" si="1"/>
        <v>0</v>
      </c>
      <c r="T13">
        <f t="shared" si="2"/>
        <v>10</v>
      </c>
      <c r="U13" t="str">
        <f>IF($T13&lt;=Z$4,INDEX(TypicalCriticalitiesMAHBarrier23[Barrier Family Description],MATCH($T13,TypicalCriticalitiesMAHBarrier23[Barrier Family ID],0)),"")</f>
        <v>Subsea Integrity</v>
      </c>
      <c r="V13" t="str">
        <f ca="1">IF($T13&lt;=AA$4,INDEX(TypicalCriticalitiesMAHBarrier23[Typical Components],MATCH($T13,TypicalCriticalitiesMAHBarrier23[Column2],0)),"")</f>
        <v/>
      </c>
      <c r="W13" t="str">
        <f ca="1">IF($T13&lt;=AA$4,INDEX(TypicalCriticalitiesMAHBarrier23[Typical Criticality],MATCH($T13,TypicalCriticalitiesMAHBarrier23[Column2],0)),"")</f>
        <v/>
      </c>
      <c r="AE13" s="44"/>
      <c r="AF13" s="44"/>
      <c r="AG13" s="44"/>
      <c r="AH13" s="44"/>
      <c r="AI13" s="44"/>
      <c r="AJ13" s="44"/>
    </row>
    <row r="14" spans="1:36" ht="16.5" thickTop="1" thickBot="1" x14ac:dyDescent="0.3">
      <c r="A14" s="111" t="s">
        <v>641</v>
      </c>
      <c r="B14" s="116"/>
      <c r="C14" s="116"/>
      <c r="D14" s="116"/>
      <c r="E14" s="116"/>
      <c r="F14" s="112"/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>
        <f t="shared" ca="1" si="1"/>
        <v>0</v>
      </c>
      <c r="T14">
        <f t="shared" si="2"/>
        <v>11</v>
      </c>
      <c r="U14" t="str">
        <f>IF($T14&lt;=Z$4,INDEX(TypicalCriticalitiesMAHBarrier23[Barrier Family Description],MATCH($T14,TypicalCriticalitiesMAHBarrier23[Barrier Family ID],0)),"")</f>
        <v>Process Containment Integrity</v>
      </c>
      <c r="V14" t="str">
        <f ca="1">IF($T14&lt;=AA$4,INDEX(TypicalCriticalitiesMAHBarrier23[Typical Components],MATCH($T14,TypicalCriticalitiesMAHBarrier23[Column2],0)),"")</f>
        <v/>
      </c>
      <c r="W14" t="str">
        <f ca="1">IF($T14&lt;=AA$4,INDEX(TypicalCriticalitiesMAHBarrier23[Typical Criticality],MATCH($T14,TypicalCriticalitiesMAHBarrier23[Column2],0)),"")</f>
        <v/>
      </c>
      <c r="AE14" s="44"/>
      <c r="AF14" s="44"/>
      <c r="AG14" s="44"/>
      <c r="AH14" s="44"/>
      <c r="AI14" s="44"/>
      <c r="AJ14" s="44"/>
    </row>
    <row r="15" spans="1:36" s="43" customFormat="1" ht="15.75" thickTop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6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>
        <f t="shared" ca="1" si="1"/>
        <v>0</v>
      </c>
      <c r="T15">
        <f t="shared" si="2"/>
        <v>12</v>
      </c>
      <c r="U15" t="str">
        <f>IF($T15&lt;=Z$4,INDEX(TypicalCriticalitiesMAHBarrier23[Barrier Family Description],MATCH($T15,TypicalCriticalitiesMAHBarrier23[Barrier Family ID],0)),"")</f>
        <v>Gas Turbine Packages &amp; Hydrocarbon RE</v>
      </c>
      <c r="V15" t="str">
        <f ca="1">IF($T15&lt;=AA$4,INDEX(TypicalCriticalitiesMAHBarrier23[Typical Components],MATCH($T15,TypicalCriticalitiesMAHBarrier23[Column2],0)),"")</f>
        <v/>
      </c>
      <c r="W15" t="str">
        <f ca="1">IF($T15&lt;=AA$4,INDEX(TypicalCriticalitiesMAHBarrier23[Typical Criticality],MATCH($T15,TypicalCriticalitiesMAHBarrier23[Column2],0)),"")</f>
        <v/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7" t="s">
        <v>212</v>
      </c>
      <c r="B16" s="4" t="s">
        <v>4</v>
      </c>
      <c r="C16" s="4">
        <v>8</v>
      </c>
      <c r="D16" s="52">
        <f>MATCH(B16,{"H","G","F","E","D","C","B","A"},0)+MATCH(C16, {1,2,3,4,5,6,7,8}, 0) - 1</f>
        <v>11</v>
      </c>
      <c r="E16" s="58">
        <f>IF(ISERR(CODE(FAILURE_CODE_Safety_scenarios19[[#This Row],[Impact]])), "", CODE(FAILURE_CODE_Safety_scenarios19[[#This Row],[Impact]]))</f>
        <v>69</v>
      </c>
      <c r="F16" s="57" t="s">
        <v>613</v>
      </c>
      <c r="H16" s="59" t="s">
        <v>213</v>
      </c>
      <c r="I16" s="59" t="s">
        <v>214</v>
      </c>
      <c r="J16" s="43"/>
      <c r="K16" s="60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>
        <f t="shared" ca="1" si="1"/>
        <v>0</v>
      </c>
      <c r="T16">
        <f t="shared" si="2"/>
        <v>13</v>
      </c>
      <c r="U16" t="str">
        <f>IF($T16&lt;=Z$4,INDEX(TypicalCriticalitiesMAHBarrier23[Barrier Family Description],MATCH($T16,TypicalCriticalitiesMAHBarrier23[Barrier Family ID],0)),"")</f>
        <v>Non Hydrocarbon RE (air compressors, water and hydraulic pumps)</v>
      </c>
      <c r="V16" t="str">
        <f ca="1">IF($T16&lt;=AA$4,INDEX(TypicalCriticalitiesMAHBarrier23[Typical Components],MATCH($T16,TypicalCriticalitiesMAHBarrier23[Column2],0)),"")</f>
        <v/>
      </c>
      <c r="W16" t="str">
        <f ca="1">IF($T16&lt;=AA$4,INDEX(TypicalCriticalitiesMAHBarrier23[Typical Criticality],MATCH($T16,TypicalCriticalitiesMAHBarrier23[Column2],0)),"")</f>
        <v/>
      </c>
      <c r="AE16" s="44"/>
      <c r="AF16" s="44"/>
      <c r="AG16" s="44"/>
      <c r="AH16" s="44"/>
      <c r="AI16" s="44"/>
      <c r="AJ16" s="44"/>
    </row>
    <row r="17" spans="1:36" ht="90" x14ac:dyDescent="0.25">
      <c r="A17" s="57"/>
      <c r="B17" s="4"/>
      <c r="C17" s="4"/>
      <c r="D17" s="52" t="e">
        <f>MATCH(B17,{"H","G","F","E","D","C","B","A"},0)+MATCH(C17, {1,2,3,4,5,6,7,8}, 0) - 1</f>
        <v>#N/A</v>
      </c>
      <c r="E17" s="58" t="str">
        <f>IF(ISERR(CODE(FAILURE_CODE_Safety_scenarios19[[#This Row],[Impact]])), "", CODE(FAILURE_CODE_Safety_scenarios19[[#This Row],[Impact]]))</f>
        <v/>
      </c>
      <c r="F17" s="57"/>
      <c r="H17" s="84" t="s">
        <v>472</v>
      </c>
      <c r="I17" s="106" t="s">
        <v>473</v>
      </c>
      <c r="K17" s="7" t="str">
        <f ca="1">IF(ISBLANK(I17),"C",VLOOKUP(I17,TypicalCriticalitiesMAHBarrier23[[ComponentList]:[Code]],2,FALSE))</f>
        <v xml:space="preserve">A </v>
      </c>
      <c r="N17" t="s">
        <v>199</v>
      </c>
      <c r="O17" t="s">
        <v>200</v>
      </c>
      <c r="P17" t="s">
        <v>216</v>
      </c>
      <c r="Q17" t="s">
        <v>0</v>
      </c>
      <c r="R17">
        <f t="shared" si="0"/>
        <v>2</v>
      </c>
      <c r="S17">
        <f t="shared" ca="1" si="1"/>
        <v>0</v>
      </c>
      <c r="T17">
        <f t="shared" si="2"/>
        <v>14</v>
      </c>
      <c r="U17" t="str">
        <f>IF($T17&lt;=Z$4,INDEX(TypicalCriticalitiesMAHBarrier23[Barrier Family Description],MATCH($T17,TypicalCriticalitiesMAHBarrier23[Barrier Family ID],0)),"")</f>
        <v>Diesel Driven Packages</v>
      </c>
      <c r="V17" t="str">
        <f ca="1">IF($T17&lt;=AA$4,INDEX(TypicalCriticalitiesMAHBarrier23[Typical Components],MATCH($T17,TypicalCriticalitiesMAHBarrier23[Column2],0)),"")</f>
        <v/>
      </c>
      <c r="W17" t="str">
        <f ca="1">IF($T17&lt;=AA$4,INDEX(TypicalCriticalitiesMAHBarrier23[Typical Criticality],MATCH($T17,TypicalCriticalitiesMAHBarrier23[Column2],0)),"")</f>
        <v/>
      </c>
      <c r="AE17" s="44"/>
      <c r="AF17" s="44"/>
      <c r="AG17" s="44"/>
      <c r="AH17" s="44"/>
      <c r="AI17" s="44"/>
      <c r="AJ17" s="44"/>
    </row>
    <row r="18" spans="1:36" x14ac:dyDescent="0.25">
      <c r="A18" s="57"/>
      <c r="B18" s="4"/>
      <c r="C18" s="4"/>
      <c r="D18" s="52" t="e">
        <f>MATCH(B18,{"H","G","F","E","D","C","B","A"},0)+MATCH(C18, {1,2,3,4,5,6,7,8}, 0) - 1</f>
        <v>#N/A</v>
      </c>
      <c r="E18" s="58" t="str">
        <f>IF(ISERR(CODE(FAILURE_CODE_Safety_scenarios19[[#This Row],[Impact]])), "", CODE(FAILURE_CODE_Safety_scenarios19[[#This Row],[Impact]]))</f>
        <v/>
      </c>
      <c r="F18" s="57"/>
      <c r="N18" t="s">
        <v>199</v>
      </c>
      <c r="O18" t="s">
        <v>200</v>
      </c>
      <c r="P18" t="s">
        <v>217</v>
      </c>
      <c r="Q18" t="s">
        <v>0</v>
      </c>
      <c r="R18">
        <f t="shared" si="0"/>
        <v>2</v>
      </c>
      <c r="S18">
        <f t="shared" ca="1" si="1"/>
        <v>0</v>
      </c>
      <c r="T18">
        <f t="shared" si="2"/>
        <v>15</v>
      </c>
      <c r="U18" t="str">
        <f>IF($T18&lt;=Z$4,INDEX(TypicalCriticalitiesMAHBarrier23[Barrier Family Description],MATCH($T18,TypicalCriticalitiesMAHBarrier23[Barrier Family ID],0)),"")</f>
        <v>Oil Storage &amp; Offloading</v>
      </c>
      <c r="V18" t="str">
        <f ca="1">IF($T18&lt;=AA$4,INDEX(TypicalCriticalitiesMAHBarrier23[Typical Components],MATCH($T18,TypicalCriticalitiesMAHBarrier23[Column2],0)),"")</f>
        <v/>
      </c>
      <c r="W18" t="str">
        <f ca="1">IF($T18&lt;=AA$4,INDEX(TypicalCriticalitiesMAHBarrier23[Typical Criticality],MATCH($T18,TypicalCriticalitiesMAHBarrier23[Column2],0)),"")</f>
        <v/>
      </c>
      <c r="AE18" s="44"/>
      <c r="AF18" s="44"/>
      <c r="AG18" s="44"/>
      <c r="AH18" s="44"/>
      <c r="AI18" s="44"/>
      <c r="AJ18" s="44"/>
    </row>
    <row r="19" spans="1:36" ht="15.75" thickBot="1" x14ac:dyDescent="0.3">
      <c r="A19" s="57"/>
      <c r="B19" s="4"/>
      <c r="C19" s="4"/>
      <c r="D19" s="52" t="e">
        <f>MATCH(B19,{"H","G","F","E","D","C","B","A"},0)+MATCH(C19, {1,2,3,4,5,6,7,8}, 0) - 1</f>
        <v>#N/A</v>
      </c>
      <c r="E19" s="58" t="str">
        <f>IF(ISERR(CODE(FAILURE_CODE_Safety_scenarios19[[#This Row],[Impact]])), "", CODE(FAILURE_CODE_Safety_scenarios19[[#This Row],[Impact]]))</f>
        <v/>
      </c>
      <c r="F19" s="57"/>
      <c r="H19" s="103" t="s">
        <v>636</v>
      </c>
      <c r="I19" t="s">
        <v>637</v>
      </c>
      <c r="N19" t="s">
        <v>199</v>
      </c>
      <c r="O19" t="s">
        <v>200</v>
      </c>
      <c r="P19" t="s">
        <v>218</v>
      </c>
      <c r="Q19" t="s">
        <v>1</v>
      </c>
      <c r="R19">
        <f t="shared" si="0"/>
        <v>2</v>
      </c>
      <c r="S19">
        <f t="shared" ca="1" si="1"/>
        <v>0</v>
      </c>
      <c r="T19">
        <f t="shared" si="2"/>
        <v>16</v>
      </c>
      <c r="U19" t="str">
        <f>IF($T19&lt;=Z$4,INDEX(TypicalCriticalitiesMAHBarrier23[Barrier Family Description],MATCH($T19,TypicalCriticalitiesMAHBarrier23[Barrier Family ID],0)),"")</f>
        <v>Overpressure Protection</v>
      </c>
      <c r="V19" t="str">
        <f ca="1">IF($T19&lt;=AA$4,INDEX(TypicalCriticalitiesMAHBarrier23[Typical Components],MATCH($T19,TypicalCriticalitiesMAHBarrier23[Column2],0)),"")</f>
        <v/>
      </c>
      <c r="W19" t="str">
        <f ca="1">IF($T19&lt;=AA$4,INDEX(TypicalCriticalitiesMAHBarrier23[Typical Criticality],MATCH($T19,TypicalCriticalitiesMAHBarrier23[Column2],0)),"")</f>
        <v/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219</v>
      </c>
      <c r="Q20" t="s">
        <v>0</v>
      </c>
      <c r="R20">
        <f t="shared" si="0"/>
        <v>2</v>
      </c>
      <c r="S20">
        <f t="shared" ca="1" si="1"/>
        <v>0</v>
      </c>
      <c r="T20">
        <f t="shared" si="2"/>
        <v>17</v>
      </c>
      <c r="U20" t="str">
        <f>IF($T20&lt;=Z$4,INDEX(TypicalCriticalitiesMAHBarrier23[Barrier Family Description],MATCH($T20,TypicalCriticalitiesMAHBarrier23[Barrier Family ID],0)),"")</f>
        <v>Blowdown vent and flare</v>
      </c>
      <c r="V20" t="str">
        <f ca="1">IF($T20&lt;=AA$4,INDEX(TypicalCriticalitiesMAHBarrier23[Typical Components],MATCH($T20,TypicalCriticalitiesMAHBarrier23[Column2],0)),"")</f>
        <v/>
      </c>
      <c r="W20" t="str">
        <f ca="1">IF($T20&lt;=AA$4,INDEX(TypicalCriticalitiesMAHBarrier23[Typical Criticality],MATCH($T20,TypicalCriticalitiesMAHBarrier23[Column2],0)),"")</f>
        <v/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220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221</v>
      </c>
      <c r="O21" t="s">
        <v>222</v>
      </c>
      <c r="P21" t="s">
        <v>223</v>
      </c>
      <c r="Q21" t="s">
        <v>0</v>
      </c>
      <c r="R21">
        <f t="shared" si="0"/>
        <v>3</v>
      </c>
      <c r="S21">
        <f t="shared" ca="1" si="1"/>
        <v>0</v>
      </c>
      <c r="T21">
        <f t="shared" si="2"/>
        <v>18</v>
      </c>
      <c r="U21" t="str">
        <f>IF($T21&lt;=Z$4,INDEX(TypicalCriticalitiesMAHBarrier23[Barrier Family Description],MATCH($T21,TypicalCriticalitiesMAHBarrier23[Barrier Family ID],0)),"")</f>
        <v>Digital security</v>
      </c>
      <c r="V21" t="str">
        <f ca="1">IF($T21&lt;=AA$4,INDEX(TypicalCriticalitiesMAHBarrier23[Typical Components],MATCH($T21,TypicalCriticalitiesMAHBarrier23[Column2],0)),"")</f>
        <v/>
      </c>
      <c r="W21" t="str">
        <f ca="1">IF($T21&lt;=AA$4,INDEX(TypicalCriticalitiesMAHBarrier23[Typical Criticality],MATCH($T21,TypicalCriticalitiesMAHBarrier23[Column2],0)),"")</f>
        <v/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7" t="s">
        <v>212</v>
      </c>
      <c r="B22" s="4" t="s">
        <v>7</v>
      </c>
      <c r="C22" s="4">
        <v>2</v>
      </c>
      <c r="D22" s="52">
        <f>MATCH(B22,{"H","G","F","E","D","C","B","A"},0)+MATCH(C22, {1,2,3,4,5,6,7,8}, 0) - 1</f>
        <v>2</v>
      </c>
      <c r="E22" s="58">
        <f>IF(ISERR(CODE(FAILURE_CODE_Environmetal_scenarios20[Impact])), "", CODE(FAILURE_CODE_Environmetal_scenarios20[Impact]))</f>
        <v>72</v>
      </c>
      <c r="F22" s="57" t="s">
        <v>613</v>
      </c>
      <c r="N22" t="s">
        <v>221</v>
      </c>
      <c r="O22" t="s">
        <v>222</v>
      </c>
      <c r="P22" t="s">
        <v>224</v>
      </c>
      <c r="Q22" t="s">
        <v>0</v>
      </c>
      <c r="R22">
        <f t="shared" si="0"/>
        <v>3</v>
      </c>
      <c r="S22">
        <f t="shared" ca="1" si="1"/>
        <v>0</v>
      </c>
      <c r="T22">
        <f t="shared" si="2"/>
        <v>19</v>
      </c>
      <c r="U22" t="str">
        <f>IF($T22&lt;=Z$4,INDEX(TypicalCriticalitiesMAHBarrier23[Barrier Family Description],MATCH($T22,TypicalCriticalitiesMAHBarrier23[Barrier Family ID],0)),"")</f>
        <v>Control systems - LoPs</v>
      </c>
      <c r="V22" t="str">
        <f ca="1">IF($T22&lt;=AA$4,INDEX(TypicalCriticalitiesMAHBarrier23[Typical Components],MATCH($T22,TypicalCriticalitiesMAHBarrier23[Column2],0)),"")</f>
        <v/>
      </c>
      <c r="W22" t="str">
        <f ca="1">IF($T22&lt;=AA$4,INDEX(TypicalCriticalitiesMAHBarrier23[Typical Criticality],MATCH($T22,TypicalCriticalitiesMAHBarrier23[Column2],0)),"")</f>
        <v/>
      </c>
      <c r="AE22" s="44"/>
      <c r="AF22" s="44"/>
      <c r="AG22" s="44"/>
      <c r="AH22" s="44"/>
      <c r="AI22" s="44"/>
      <c r="AJ22" s="44"/>
    </row>
    <row r="23" spans="1:36" x14ac:dyDescent="0.25">
      <c r="A23" s="57"/>
      <c r="B23" s="4"/>
      <c r="C23" s="4"/>
      <c r="D23" s="52" t="e">
        <f>MATCH(B23,{"H","G","F","E","D","C","B","A"},0)+MATCH(C23, {1,2,3,4,5,6,7,8}, 0) - 1</f>
        <v>#N/A</v>
      </c>
      <c r="E23" s="58" t="str">
        <f>IF(ISERR(CODE(FAILURE_CODE_Environmetal_scenarios20[Impact])), "", CODE(FAILURE_CODE_Environmetal_scenarios20[Impact]))</f>
        <v/>
      </c>
      <c r="F23" s="57"/>
      <c r="N23" t="s">
        <v>221</v>
      </c>
      <c r="O23" t="s">
        <v>222</v>
      </c>
      <c r="P23" t="s">
        <v>225</v>
      </c>
      <c r="Q23" t="s">
        <v>0</v>
      </c>
      <c r="R23">
        <f t="shared" si="0"/>
        <v>3</v>
      </c>
      <c r="S23">
        <f t="shared" ca="1" si="1"/>
        <v>0</v>
      </c>
      <c r="T23">
        <f t="shared" si="2"/>
        <v>20</v>
      </c>
      <c r="U23" t="str">
        <f>IF($T23&lt;=Z$4,INDEX(TypicalCriticalitiesMAHBarrier23[Barrier Family Description],MATCH($T23,TypicalCriticalitiesMAHBarrier23[Barrier Family ID],0)),"")</f>
        <v xml:space="preserve">Control systems - non LoPs, LOPA initiating causes </v>
      </c>
      <c r="V23" t="str">
        <f ca="1">IF($T23&lt;=AA$4,INDEX(TypicalCriticalitiesMAHBarrier23[Typical Components],MATCH($T23,TypicalCriticalitiesMAHBarrier23[Column2],0)),"")</f>
        <v/>
      </c>
      <c r="W23" t="str">
        <f ca="1">IF($T23&lt;=AA$4,INDEX(TypicalCriticalitiesMAHBarrier23[Typical Criticality],MATCH($T23,TypicalCriticalitiesMAHBarrier23[Column2],0)),"")</f>
        <v/>
      </c>
      <c r="AE23" s="44"/>
      <c r="AF23" s="44"/>
      <c r="AG23" s="44"/>
      <c r="AH23" s="44"/>
      <c r="AI23" s="44"/>
      <c r="AJ23" s="44"/>
    </row>
    <row r="24" spans="1:36" x14ac:dyDescent="0.25">
      <c r="A24" s="57"/>
      <c r="B24" s="4"/>
      <c r="C24" s="4"/>
      <c r="D24" s="52" t="e">
        <f>MATCH(B24,{"H","G","F","E","D","C","B","A"},0)+MATCH(C24, {1,2,3,4,5,6,7,8}, 0) - 1</f>
        <v>#N/A</v>
      </c>
      <c r="E24" s="58" t="str">
        <f>IF(ISERR(CODE(FAILURE_CODE_Environmetal_scenarios20[Impact])), "", CODE(FAILURE_CODE_Environmetal_scenarios20[Impact]))</f>
        <v/>
      </c>
      <c r="F24" s="57"/>
      <c r="N24" t="s">
        <v>226</v>
      </c>
      <c r="O24" t="s">
        <v>227</v>
      </c>
      <c r="P24" t="s">
        <v>228</v>
      </c>
      <c r="Q24" t="s">
        <v>0</v>
      </c>
      <c r="R24">
        <f t="shared" si="0"/>
        <v>4</v>
      </c>
      <c r="S24">
        <f t="shared" ca="1" si="1"/>
        <v>0</v>
      </c>
      <c r="T24">
        <f t="shared" si="2"/>
        <v>21</v>
      </c>
      <c r="U24" t="str">
        <f>IF($T24&lt;=Z$4,INDEX(TypicalCriticalitiesMAHBarrier23[Barrier Family Description],MATCH($T24,TypicalCriticalitiesMAHBarrier23[Barrier Family ID],0)),"")</f>
        <v>Control systems - all others</v>
      </c>
      <c r="V24" t="str">
        <f ca="1">IF($T24&lt;=AA$4,INDEX(TypicalCriticalitiesMAHBarrier23[Typical Components],MATCH($T24,TypicalCriticalitiesMAHBarrier23[Column2],0)),"")</f>
        <v/>
      </c>
      <c r="W24" t="str">
        <f ca="1">IF($T24&lt;=AA$4,INDEX(TypicalCriticalitiesMAHBarrier23[Typical Criticality],MATCH($T24,TypicalCriticalitiesMAHBarrier23[Column2],0)),"")</f>
        <v/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226</v>
      </c>
      <c r="O25" t="s">
        <v>227</v>
      </c>
      <c r="P25" t="s">
        <v>229</v>
      </c>
      <c r="Q25" t="s">
        <v>0</v>
      </c>
      <c r="R25">
        <f t="shared" si="0"/>
        <v>4</v>
      </c>
      <c r="S25">
        <f t="shared" ca="1" si="1"/>
        <v>0</v>
      </c>
      <c r="T25">
        <f t="shared" si="2"/>
        <v>22</v>
      </c>
      <c r="U25" t="str">
        <f>IF($T25&lt;=Z$4,INDEX(TypicalCriticalitiesMAHBarrier23[Barrier Family Description],MATCH($T25,TypicalCriticalitiesMAHBarrier23[Barrier Family ID],0)),"")</f>
        <v>SIS - LoP Components</v>
      </c>
      <c r="V25" t="str">
        <f ca="1">IF($T25&lt;=AA$4,INDEX(TypicalCriticalitiesMAHBarrier23[Typical Components],MATCH($T25,TypicalCriticalitiesMAHBarrier23[Column2],0)),"")</f>
        <v/>
      </c>
      <c r="W25" t="str">
        <f ca="1">IF($T25&lt;=AA$4,INDEX(TypicalCriticalitiesMAHBarrier23[Typical Criticality],MATCH($T25,TypicalCriticalitiesMAHBarrier23[Column2],0)),"")</f>
        <v/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230</v>
      </c>
      <c r="J26" s="61">
        <v>5</v>
      </c>
      <c r="N26" t="s">
        <v>226</v>
      </c>
      <c r="O26" t="s">
        <v>227</v>
      </c>
      <c r="P26" t="s">
        <v>231</v>
      </c>
      <c r="Q26" t="s">
        <v>0</v>
      </c>
      <c r="R26">
        <f t="shared" si="0"/>
        <v>4</v>
      </c>
      <c r="S26">
        <f t="shared" ca="1" si="1"/>
        <v>0</v>
      </c>
      <c r="T26">
        <f t="shared" si="2"/>
        <v>23</v>
      </c>
      <c r="U26" t="str">
        <f>IF($T26&lt;=Z$4,INDEX(TypicalCriticalitiesMAHBarrier23[Barrier Family Description],MATCH($T26,TypicalCriticalitiesMAHBarrier23[Barrier Family ID],0)),"")</f>
        <v>SIS - Non LoP Components</v>
      </c>
      <c r="V26" t="str">
        <f ca="1">IF($T26&lt;=AA$4,INDEX(TypicalCriticalitiesMAHBarrier23[Typical Components],MATCH($T26,TypicalCriticalitiesMAHBarrier23[Column2],0)),"")</f>
        <v/>
      </c>
      <c r="W26" t="str">
        <f ca="1">IF($T26&lt;=AA$4,INDEX(TypicalCriticalitiesMAHBarrier23[Typical Criticality],MATCH($T26,TypicalCriticalitiesMAHBarrier23[Column2],0)),"")</f>
        <v/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232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2" t="s">
        <v>233</v>
      </c>
      <c r="N27" t="s">
        <v>226</v>
      </c>
      <c r="O27" t="s">
        <v>234</v>
      </c>
      <c r="P27" t="s">
        <v>235</v>
      </c>
      <c r="Q27" t="s">
        <v>0</v>
      </c>
      <c r="R27">
        <f t="shared" si="0"/>
        <v>5</v>
      </c>
      <c r="S27">
        <f t="shared" ca="1" si="1"/>
        <v>0</v>
      </c>
      <c r="T27">
        <f t="shared" si="2"/>
        <v>24</v>
      </c>
      <c r="U27" t="str">
        <f>IF($T27&lt;=Z$4,INDEX(TypicalCriticalitiesMAHBarrier23[Barrier Family Description],MATCH($T27,TypicalCriticalitiesMAHBarrier23[Barrier Family ID],0)),"")</f>
        <v>Alarms &amp; operator response</v>
      </c>
      <c r="V27" t="str">
        <f ca="1">IF($T27&lt;=AA$4,INDEX(TypicalCriticalitiesMAHBarrier23[Typical Components],MATCH($T27,TypicalCriticalitiesMAHBarrier23[Column2],0)),"")</f>
        <v/>
      </c>
      <c r="W27" t="str">
        <f ca="1">IF($T27&lt;=AA$4,INDEX(TypicalCriticalitiesMAHBarrier23[Typical Criticality],MATCH($T27,TypicalCriticalitiesMAHBarrier23[Column2],0)),"")</f>
        <v/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7" t="s">
        <v>212</v>
      </c>
      <c r="B28" s="4" t="s">
        <v>7</v>
      </c>
      <c r="C28" s="4">
        <v>2</v>
      </c>
      <c r="D28" s="52">
        <f>MATCH(B28,{"H","G","F","E","D","C","B","A"},0)+MATCH(C28, {1,2,3,4,5,6,7,8}, 0) - 1</f>
        <v>2</v>
      </c>
      <c r="E28" s="58">
        <f>IF(ISERR(CODE(FAILURE_CODE_Financial_scenarios21[Impact])), "", CODE(FAILURE_CODE_Financial_scenarios21[Impact]))</f>
        <v>72</v>
      </c>
      <c r="F28" s="57" t="s">
        <v>613</v>
      </c>
      <c r="H28" s="63" t="s">
        <v>236</v>
      </c>
      <c r="I28" s="63"/>
      <c r="J28" s="63" t="s">
        <v>237</v>
      </c>
      <c r="K28" s="60" t="s">
        <v>125</v>
      </c>
      <c r="N28" t="s">
        <v>226</v>
      </c>
      <c r="O28" t="s">
        <v>234</v>
      </c>
      <c r="P28" t="s">
        <v>238</v>
      </c>
      <c r="Q28" t="s">
        <v>0</v>
      </c>
      <c r="R28">
        <f t="shared" si="0"/>
        <v>5</v>
      </c>
      <c r="S28">
        <f t="shared" ca="1" si="1"/>
        <v>0</v>
      </c>
      <c r="T28">
        <f t="shared" si="2"/>
        <v>25</v>
      </c>
      <c r="U28" t="str">
        <f>IF($T28&lt;=Z$4,INDEX(TypicalCriticalitiesMAHBarrier23[Barrier Family Description],MATCH($T28,TypicalCriticalitiesMAHBarrier23[Barrier Family ID],0)),"")</f>
        <v>Collision Prevention</v>
      </c>
      <c r="V28" t="str">
        <f ca="1">IF($T28&lt;=AA$4,INDEX(TypicalCriticalitiesMAHBarrier23[Typical Components],MATCH($T28,TypicalCriticalitiesMAHBarrier23[Column2],0)),"")</f>
        <v/>
      </c>
      <c r="W28" t="str">
        <f ca="1">IF($T28&lt;=AA$4,INDEX(TypicalCriticalitiesMAHBarrier23[Typical Criticality],MATCH($T28,TypicalCriticalitiesMAHBarrier23[Column2],0)),"")</f>
        <v/>
      </c>
      <c r="AE28" s="44"/>
      <c r="AF28" s="44"/>
      <c r="AG28" s="44"/>
      <c r="AH28" s="44"/>
      <c r="AI28" s="44"/>
      <c r="AJ28" s="44"/>
    </row>
    <row r="29" spans="1:36" x14ac:dyDescent="0.25">
      <c r="A29" s="57"/>
      <c r="B29" s="4"/>
      <c r="C29" s="4"/>
      <c r="D29" s="52" t="e">
        <f>MATCH(B29,{"H","G","F","E","D","C","B","A"},0)+MATCH(C29, {1,2,3,4,5,6,7,8}, 0) - 1</f>
        <v>#N/A</v>
      </c>
      <c r="E29" s="58" t="str">
        <f>IF(ISERR(CODE(FAILURE_CODE_Financial_scenarios21[Impact])), "", CODE(FAILURE_CODE_Financial_scenarios21[Impact]))</f>
        <v/>
      </c>
      <c r="F29" s="57"/>
      <c r="H29" t="s">
        <v>239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226</v>
      </c>
      <c r="O29" t="s">
        <v>234</v>
      </c>
      <c r="P29" t="s">
        <v>240</v>
      </c>
      <c r="Q29" t="s">
        <v>0</v>
      </c>
      <c r="R29">
        <f t="shared" si="0"/>
        <v>5</v>
      </c>
      <c r="S29">
        <f t="shared" ca="1" si="1"/>
        <v>0</v>
      </c>
      <c r="T29">
        <f t="shared" si="2"/>
        <v>26</v>
      </c>
      <c r="U29" t="str">
        <f>IF($T29&lt;=Z$4,INDEX(TypicalCriticalitiesMAHBarrier23[Barrier Family Description],MATCH($T29,TypicalCriticalitiesMAHBarrier23[Barrier Family ID],0)),"")</f>
        <v>Export tanker birthing and position monitoring</v>
      </c>
      <c r="V29" t="str">
        <f ca="1">IF($T29&lt;=AA$4,INDEX(TypicalCriticalitiesMAHBarrier23[Typical Components],MATCH($T29,TypicalCriticalitiesMAHBarrier23[Column2],0)),"")</f>
        <v/>
      </c>
      <c r="W29" t="str">
        <f ca="1">IF($T29&lt;=AA$4,INDEX(TypicalCriticalitiesMAHBarrier23[Typical Criticality],MATCH($T29,TypicalCriticalitiesMAHBarrier23[Column2],0)),"")</f>
        <v/>
      </c>
      <c r="AE29" s="44"/>
      <c r="AF29" s="44"/>
      <c r="AG29" s="44"/>
      <c r="AH29" s="44"/>
      <c r="AI29" s="44"/>
      <c r="AJ29" s="44"/>
    </row>
    <row r="30" spans="1:36" x14ac:dyDescent="0.25">
      <c r="A30" s="57"/>
      <c r="B30" s="4"/>
      <c r="C30" s="4"/>
      <c r="D30" s="64" t="e">
        <f>MATCH(B30,{"H","G","F","E","D","C","B","A"},0)+MATCH(C30, {1,2,3,4,5,6,7,8}, 0) - 1</f>
        <v>#N/A</v>
      </c>
      <c r="E30" s="65" t="str">
        <f>IF(ISERR(CODE(FAILURE_CODE_Financial_scenarios21[Impact])), "", CODE(FAILURE_CODE_Financial_scenarios21[Impact]))</f>
        <v/>
      </c>
      <c r="F30" s="57"/>
      <c r="H30" t="s">
        <v>241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226</v>
      </c>
      <c r="O30" t="s">
        <v>242</v>
      </c>
      <c r="P30" t="s">
        <v>243</v>
      </c>
      <c r="Q30" t="s">
        <v>0</v>
      </c>
      <c r="R30">
        <f t="shared" si="0"/>
        <v>6</v>
      </c>
      <c r="S30">
        <f t="shared" ca="1" si="1"/>
        <v>0</v>
      </c>
      <c r="T30">
        <f t="shared" si="2"/>
        <v>27</v>
      </c>
      <c r="U30" t="str">
        <f>IF($T30&lt;=Z$4,INDEX(TypicalCriticalitiesMAHBarrier23[Barrier Family Description],MATCH($T30,TypicalCriticalitiesMAHBarrier23[Barrier Family ID],0)),"")</f>
        <v xml:space="preserve">Bunding, Open and Closed Hazardous Drains </v>
      </c>
      <c r="V30" t="str">
        <f ca="1">IF($T30&lt;=AA$4,INDEX(TypicalCriticalitiesMAHBarrier23[Typical Components],MATCH($T30,TypicalCriticalitiesMAHBarrier23[Column2],0)),"")</f>
        <v/>
      </c>
      <c r="W30" t="str">
        <f ca="1">IF($T30&lt;=AA$4,INDEX(TypicalCriticalitiesMAHBarrier23[Typical Criticality],MATCH($T30,TypicalCriticalitiesMAHBarrier23[Column2],0)),"")</f>
        <v/>
      </c>
      <c r="AE30" s="44"/>
      <c r="AF30" s="44"/>
      <c r="AG30" s="44"/>
      <c r="AH30" s="44"/>
      <c r="AI30" s="44"/>
      <c r="AJ30" s="44"/>
    </row>
    <row r="31" spans="1:36" x14ac:dyDescent="0.25">
      <c r="A31" s="57"/>
      <c r="B31" s="4"/>
      <c r="C31" s="4"/>
      <c r="D31" s="52" t="e">
        <f>MATCH(B31,{"H","G","F","E","D","C","B","A"},0)+MATCH(C31, {1,2,3,4,5,6,7,8}, 0) - 1</f>
        <v>#N/A</v>
      </c>
      <c r="E31" s="58" t="str">
        <f>IF(ISERR(CODE(FAILURE_CODE_Financial_scenarios21[Impact])), "", CODE(FAILURE_CODE_Financial_scenarios21[Impact]))</f>
        <v/>
      </c>
      <c r="F31" s="57"/>
      <c r="H31" t="s">
        <v>244</v>
      </c>
      <c r="J31" s="21" t="str">
        <f>IF(CODE(B11) &gt;= CODE("G"),"Yes", "No")</f>
        <v>Yes</v>
      </c>
      <c r="K31" s="22" t="str">
        <f>IF(J31="Yes","C","")</f>
        <v>C</v>
      </c>
      <c r="N31" t="s">
        <v>226</v>
      </c>
      <c r="O31" t="s">
        <v>242</v>
      </c>
      <c r="P31" t="s">
        <v>245</v>
      </c>
      <c r="Q31" t="s">
        <v>0</v>
      </c>
      <c r="R31">
        <f t="shared" si="0"/>
        <v>6</v>
      </c>
      <c r="S31">
        <f t="shared" ca="1" si="1"/>
        <v>0</v>
      </c>
      <c r="T31">
        <f t="shared" si="2"/>
        <v>28</v>
      </c>
      <c r="U31" t="str">
        <f>IF($T31&lt;=Z$4,INDEX(TypicalCriticalitiesMAHBarrier23[Barrier Family Description],MATCH($T31,TypicalCriticalitiesMAHBarrier23[Barrier Family ID],0)),"")</f>
        <v xml:space="preserve">Passive Fire Protection </v>
      </c>
      <c r="V31" t="str">
        <f ca="1">IF($T31&lt;=AA$4,INDEX(TypicalCriticalitiesMAHBarrier23[Typical Components],MATCH($T31,TypicalCriticalitiesMAHBarrier23[Column2],0)),"")</f>
        <v/>
      </c>
      <c r="W31" t="str">
        <f ca="1">IF($T31&lt;=AA$4,INDEX(TypicalCriticalitiesMAHBarrier23[Typical Criticality],MATCH($T31,TypicalCriticalitiesMAHBarrier23[Column2],0)),"")</f>
        <v/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226</v>
      </c>
      <c r="O32" t="s">
        <v>246</v>
      </c>
      <c r="P32" t="s">
        <v>247</v>
      </c>
      <c r="Q32" t="s">
        <v>0</v>
      </c>
      <c r="R32">
        <f t="shared" si="0"/>
        <v>7</v>
      </c>
      <c r="S32">
        <f t="shared" ca="1" si="1"/>
        <v>0</v>
      </c>
      <c r="T32">
        <f t="shared" si="2"/>
        <v>29</v>
      </c>
      <c r="U32" t="str">
        <f>IF($T32&lt;=Z$4,INDEX(TypicalCriticalitiesMAHBarrier23[Barrier Family Description],MATCH($T32,TypicalCriticalitiesMAHBarrier23[Barrier Family ID],0)),"")</f>
        <v xml:space="preserve">Blast Overpressure Protection </v>
      </c>
      <c r="V32" t="str">
        <f ca="1">IF($T32&lt;=AA$4,INDEX(TypicalCriticalitiesMAHBarrier23[Typical Components],MATCH($T32,TypicalCriticalitiesMAHBarrier23[Column2],0)),"")</f>
        <v/>
      </c>
      <c r="W32" t="str">
        <f ca="1">IF($T32&lt;=AA$4,INDEX(TypicalCriticalitiesMAHBarrier23[Typical Criticality],MATCH($T32,TypicalCriticalitiesMAHBarrier23[Column2],0)),"")</f>
        <v/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248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6" t="s">
        <v>249</v>
      </c>
      <c r="N33" t="s">
        <v>226</v>
      </c>
      <c r="O33" t="s">
        <v>246</v>
      </c>
      <c r="P33" t="s">
        <v>250</v>
      </c>
      <c r="Q33" t="s">
        <v>0</v>
      </c>
      <c r="R33">
        <f t="shared" si="0"/>
        <v>7</v>
      </c>
      <c r="S33">
        <f t="shared" ca="1" si="1"/>
        <v>0</v>
      </c>
      <c r="T33">
        <f t="shared" si="2"/>
        <v>30</v>
      </c>
      <c r="U33" t="str">
        <f>IF($T33&lt;=Z$4,INDEX(TypicalCriticalitiesMAHBarrier23[Barrier Family Description],MATCH($T33,TypicalCriticalitiesMAHBarrier23[Barrier Family ID],0)),"")</f>
        <v xml:space="preserve">Temporary refuge integrity </v>
      </c>
      <c r="V33" t="str">
        <f ca="1">IF($T33&lt;=AA$4,INDEX(TypicalCriticalitiesMAHBarrier23[Typical Components],MATCH($T33,TypicalCriticalitiesMAHBarrier23[Column2],0)),"")</f>
        <v/>
      </c>
      <c r="W33" t="str">
        <f ca="1">IF($T33&lt;=AA$4,INDEX(TypicalCriticalitiesMAHBarrier23[Typical Criticality],MATCH($T33,TypicalCriticalitiesMAHBarrier23[Column2],0)),"")</f>
        <v/>
      </c>
      <c r="AE33" s="44"/>
      <c r="AF33" s="44"/>
      <c r="AG33" s="44"/>
      <c r="AH33" s="44"/>
      <c r="AI33" s="44"/>
      <c r="AJ33" s="44"/>
    </row>
    <row r="34" spans="1:36" x14ac:dyDescent="0.25">
      <c r="A34" s="57" t="s">
        <v>212</v>
      </c>
      <c r="B34" s="4" t="s">
        <v>7</v>
      </c>
      <c r="C34" s="4">
        <v>2</v>
      </c>
      <c r="D34" s="52">
        <f>MATCH(B34,{"H","G","F","E","D","C","B","A"},0)+MATCH(C34, {1,2,3,4,5,6,7,8}, 0) - 1</f>
        <v>2</v>
      </c>
      <c r="E34" s="58">
        <f>IF(ISERR(CODE(FAILURE_CODE_Non_Financial_scenarios22[Impact])), "", CODE(FAILURE_CODE_Non_Financial_scenarios22[Impact]))</f>
        <v>72</v>
      </c>
      <c r="F34" s="57" t="s">
        <v>613</v>
      </c>
      <c r="H34" s="63" t="s">
        <v>236</v>
      </c>
      <c r="I34" s="63"/>
      <c r="J34" s="63" t="s">
        <v>237</v>
      </c>
      <c r="K34" s="60" t="s">
        <v>125</v>
      </c>
      <c r="N34" t="s">
        <v>226</v>
      </c>
      <c r="O34" t="s">
        <v>246</v>
      </c>
      <c r="P34" t="s">
        <v>251</v>
      </c>
      <c r="Q34" t="s">
        <v>0</v>
      </c>
      <c r="R34">
        <f t="shared" si="0"/>
        <v>7</v>
      </c>
      <c r="S34">
        <f t="shared" ca="1" si="1"/>
        <v>0</v>
      </c>
      <c r="T34">
        <f t="shared" si="2"/>
        <v>31</v>
      </c>
      <c r="U34" t="str">
        <f>IF($T34&lt;=Z$4,INDEX(TypicalCriticalitiesMAHBarrier23[Barrier Family Description],MATCH($T34,TypicalCriticalitiesMAHBarrier23[Barrier Family ID],0)),"")</f>
        <v xml:space="preserve">Alarm Annunciation System:  </v>
      </c>
      <c r="V34" t="str">
        <f ca="1">IF($T34&lt;=AA$4,INDEX(TypicalCriticalitiesMAHBarrier23[Typical Components],MATCH($T34,TypicalCriticalitiesMAHBarrier23[Column2],0)),"")</f>
        <v/>
      </c>
      <c r="W34" t="str">
        <f ca="1">IF($T34&lt;=AA$4,INDEX(TypicalCriticalitiesMAHBarrier23[Typical Criticality],MATCH($T34,TypicalCriticalitiesMAHBarrier23[Column2],0)),"")</f>
        <v/>
      </c>
      <c r="AE34" s="44"/>
      <c r="AF34" s="44"/>
      <c r="AG34" s="44"/>
      <c r="AH34" s="44"/>
      <c r="AI34" s="44"/>
      <c r="AJ34" s="44"/>
    </row>
    <row r="35" spans="1:36" x14ac:dyDescent="0.25">
      <c r="A35" s="57"/>
      <c r="B35" s="4"/>
      <c r="C35" s="4"/>
      <c r="D35" s="52" t="e">
        <f>MATCH(B35,{"H","G","F","E","D","C","B","A"},0)+MATCH(C35, {1,2,3,4,5,6,7,8}, 0) - 1</f>
        <v>#N/A</v>
      </c>
      <c r="E35" s="58" t="str">
        <f>IF(ISERR(CODE(FAILURE_CODE_Non_Financial_scenarios22[Impact])), "", CODE(FAILURE_CODE_Non_Financial_scenarios22[Impact]))</f>
        <v/>
      </c>
      <c r="F35" s="57"/>
      <c r="H35" t="s">
        <v>624</v>
      </c>
      <c r="J35" s="6" t="s">
        <v>194</v>
      </c>
      <c r="K35" s="22" t="str">
        <f>IF(J35="yes", "A", "C")</f>
        <v>C</v>
      </c>
      <c r="N35" t="s">
        <v>226</v>
      </c>
      <c r="O35" t="s">
        <v>246</v>
      </c>
      <c r="P35" t="s">
        <v>252</v>
      </c>
      <c r="Q35" t="s">
        <v>0</v>
      </c>
      <c r="R35">
        <f t="shared" si="0"/>
        <v>7</v>
      </c>
      <c r="S35">
        <f t="shared" ca="1" si="1"/>
        <v>0</v>
      </c>
      <c r="T35">
        <f t="shared" si="2"/>
        <v>32</v>
      </c>
      <c r="U35" t="str">
        <f>IF($T35&lt;=Z$4,INDEX(TypicalCriticalitiesMAHBarrier23[Barrier Family Description],MATCH($T35,TypicalCriticalitiesMAHBarrier23[Barrier Family ID],0)),"")</f>
        <v xml:space="preserve">Personnel Address (PA) System </v>
      </c>
      <c r="V35" t="str">
        <f ca="1">IF($T35&lt;=AA$4,INDEX(TypicalCriticalitiesMAHBarrier23[Typical Components],MATCH($T35,TypicalCriticalitiesMAHBarrier23[Column2],0)),"")</f>
        <v/>
      </c>
      <c r="W35" t="str">
        <f ca="1">IF($T35&lt;=AA$4,INDEX(TypicalCriticalitiesMAHBarrier23[Typical Criticality],MATCH($T35,TypicalCriticalitiesMAHBarrier23[Column2],0)),"")</f>
        <v/>
      </c>
      <c r="AE35" s="44"/>
      <c r="AF35" s="44"/>
      <c r="AG35" s="44"/>
      <c r="AH35" s="44"/>
      <c r="AI35" s="44"/>
      <c r="AJ35" s="44"/>
    </row>
    <row r="36" spans="1:36" x14ac:dyDescent="0.25">
      <c r="A36" s="57"/>
      <c r="B36" s="4"/>
      <c r="C36" s="4"/>
      <c r="D36" s="52" t="e">
        <f>MATCH(B36,{"H","G","F","E","D","C","B","A"},0)+MATCH(C36, {1,2,3,4,5,6,7,8}, 0) - 1</f>
        <v>#N/A</v>
      </c>
      <c r="E36" s="58" t="str">
        <f>IF(ISERR(CODE(FAILURE_CODE_Non_Financial_scenarios22[Impact])), "", CODE(FAILURE_CODE_Non_Financial_scenarios22[Impact]))</f>
        <v/>
      </c>
      <c r="F36" s="57"/>
      <c r="H36" t="s">
        <v>253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226</v>
      </c>
      <c r="O36" t="s">
        <v>254</v>
      </c>
      <c r="P36" t="s">
        <v>255</v>
      </c>
      <c r="Q36" t="s">
        <v>0</v>
      </c>
      <c r="R36">
        <f t="shared" si="0"/>
        <v>8</v>
      </c>
      <c r="S36">
        <f t="shared" ca="1" si="1"/>
        <v>0</v>
      </c>
      <c r="T36">
        <f t="shared" si="2"/>
        <v>33</v>
      </c>
      <c r="U36" t="str">
        <f>IF($T36&lt;=Z$4,INDEX(TypicalCriticalitiesMAHBarrier23[Barrier Family Description],MATCH($T36,TypicalCriticalitiesMAHBarrier23[Barrier Family ID],0)),"")</f>
        <v>Marine, Aircraft and Helicopter Radio System</v>
      </c>
      <c r="V36" t="str">
        <f ca="1">IF($T36&lt;=AA$4,INDEX(TypicalCriticalitiesMAHBarrier23[Typical Components],MATCH($T36,TypicalCriticalitiesMAHBarrier23[Column2],0)),"")</f>
        <v/>
      </c>
      <c r="W36" t="str">
        <f ca="1">IF($T36&lt;=AA$4,INDEX(TypicalCriticalitiesMAHBarrier23[Typical Criticality],MATCH($T36,TypicalCriticalitiesMAHBarrier23[Column2],0)),"")</f>
        <v/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256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226</v>
      </c>
      <c r="O37" t="s">
        <v>254</v>
      </c>
      <c r="P37" t="s">
        <v>257</v>
      </c>
      <c r="Q37" t="s">
        <v>0</v>
      </c>
      <c r="R37">
        <f t="shared" si="0"/>
        <v>8</v>
      </c>
      <c r="S37">
        <f t="shared" ca="1" si="1"/>
        <v>0</v>
      </c>
      <c r="T37">
        <f t="shared" si="2"/>
        <v>34</v>
      </c>
      <c r="U37" t="str">
        <f>IF($T37&lt;=Z$4,INDEX(TypicalCriticalitiesMAHBarrier23[Barrier Family Description],MATCH($T37,TypicalCriticalitiesMAHBarrier23[Barrier Family ID],0)),"")</f>
        <v xml:space="preserve">Telecommunications </v>
      </c>
      <c r="V37" t="str">
        <f ca="1">IF($T37&lt;=AA$4,INDEX(TypicalCriticalitiesMAHBarrier23[Typical Components],MATCH($T37,TypicalCriticalitiesMAHBarrier23[Column2],0)),"")</f>
        <v/>
      </c>
      <c r="W37" t="str">
        <f ca="1">IF($T37&lt;=AA$4,INDEX(TypicalCriticalitiesMAHBarrier23[Typical Criticality],MATCH($T37,TypicalCriticalitiesMAHBarrier23[Column2],0)),"")</f>
        <v/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6"/>
      <c r="I38" s="66"/>
      <c r="N38" t="s">
        <v>226</v>
      </c>
      <c r="O38" t="s">
        <v>254</v>
      </c>
      <c r="P38" t="s">
        <v>258</v>
      </c>
      <c r="Q38" t="s">
        <v>0</v>
      </c>
      <c r="R38">
        <f t="shared" si="0"/>
        <v>8</v>
      </c>
      <c r="S38">
        <f t="shared" ca="1" si="1"/>
        <v>0</v>
      </c>
      <c r="T38">
        <f t="shared" si="2"/>
        <v>35</v>
      </c>
      <c r="U38" t="str">
        <f>IF($T38&lt;=Z$4,INDEX(TypicalCriticalitiesMAHBarrier23[Barrier Family Description],MATCH($T38,TypicalCriticalitiesMAHBarrier23[Barrier Family ID],0)),"")</f>
        <v xml:space="preserve">Electronic Muster System </v>
      </c>
      <c r="V38" t="str">
        <f ca="1">IF($T38&lt;=AA$4,INDEX(TypicalCriticalitiesMAHBarrier23[Typical Components],MATCH($T38,TypicalCriticalitiesMAHBarrier23[Column2],0)),"")</f>
        <v/>
      </c>
      <c r="W38" t="str">
        <f ca="1">IF($T38&lt;=AA$4,INDEX(TypicalCriticalitiesMAHBarrier23[Typical Criticality],MATCH($T38,TypicalCriticalitiesMAHBarrier23[Column2],0)),"")</f>
        <v/>
      </c>
      <c r="AE38" s="44"/>
      <c r="AF38" s="44"/>
      <c r="AG38" s="44"/>
      <c r="AH38" s="44"/>
      <c r="AI38" s="44"/>
      <c r="AJ38" s="44"/>
    </row>
    <row r="39" spans="1:36" x14ac:dyDescent="0.25">
      <c r="N39" t="s">
        <v>259</v>
      </c>
      <c r="O39" t="s">
        <v>260</v>
      </c>
      <c r="P39" t="s">
        <v>261</v>
      </c>
      <c r="Q39" t="s">
        <v>1</v>
      </c>
      <c r="R39">
        <f t="shared" si="0"/>
        <v>9</v>
      </c>
      <c r="S39">
        <f t="shared" ca="1" si="1"/>
        <v>0</v>
      </c>
      <c r="T39">
        <f t="shared" si="2"/>
        <v>36</v>
      </c>
      <c r="U39" t="str">
        <f>IF($T39&lt;=Z$4,INDEX(TypicalCriticalitiesMAHBarrier23[Barrier Family Description],MATCH($T39,TypicalCriticalitiesMAHBarrier23[Barrier Family ID],0)),"")</f>
        <v xml:space="preserve">Facility Emergency Telephone &amp; Hot line systems </v>
      </c>
      <c r="V39" t="str">
        <f ca="1">IF($T39&lt;=AA$4,INDEX(TypicalCriticalitiesMAHBarrier23[Typical Components],MATCH($T39,TypicalCriticalitiesMAHBarrier23[Column2],0)),"")</f>
        <v/>
      </c>
      <c r="W39" t="str">
        <f ca="1">IF($T39&lt;=AA$4,INDEX(TypicalCriticalitiesMAHBarrier23[Typical Criticality],MATCH($T39,TypicalCriticalitiesMAHBarrier23[Column2],0)),"")</f>
        <v/>
      </c>
      <c r="AE39" s="44"/>
      <c r="AF39" s="44"/>
      <c r="AG39" s="44"/>
      <c r="AH39" s="44"/>
      <c r="AI39" s="44"/>
      <c r="AJ39" s="44"/>
    </row>
    <row r="40" spans="1:36" x14ac:dyDescent="0.25">
      <c r="N40" t="s">
        <v>259</v>
      </c>
      <c r="O40" t="s">
        <v>260</v>
      </c>
      <c r="P40" t="s">
        <v>262</v>
      </c>
      <c r="Q40" t="s">
        <v>1</v>
      </c>
      <c r="R40">
        <f t="shared" si="0"/>
        <v>9</v>
      </c>
      <c r="S40">
        <f t="shared" ca="1" si="1"/>
        <v>0</v>
      </c>
      <c r="T40">
        <f t="shared" si="2"/>
        <v>37</v>
      </c>
      <c r="U40" t="str">
        <f>IF($T40&lt;=Z$4,INDEX(TypicalCriticalitiesMAHBarrier23[Barrier Family Description],MATCH($T40,TypicalCriticalitiesMAHBarrier23[Barrier Family ID],0)),"")</f>
        <v xml:space="preserve">Facility radio system </v>
      </c>
      <c r="V40" t="str">
        <f ca="1">IF($T40&lt;=AA$4,INDEX(TypicalCriticalitiesMAHBarrier23[Typical Components],MATCH($T40,TypicalCriticalitiesMAHBarrier23[Column2],0)),"")</f>
        <v/>
      </c>
      <c r="W40" t="str">
        <f ca="1">IF($T40&lt;=AA$4,INDEX(TypicalCriticalitiesMAHBarrier23[Typical Criticality],MATCH($T40,TypicalCriticalitiesMAHBarrier23[Column2],0)),"")</f>
        <v/>
      </c>
      <c r="AE40" s="44"/>
      <c r="AF40" s="44"/>
      <c r="AG40" s="44"/>
      <c r="AH40" s="44"/>
      <c r="AI40" s="44"/>
      <c r="AJ40" s="44"/>
    </row>
    <row r="41" spans="1:36" x14ac:dyDescent="0.25">
      <c r="N41" t="s">
        <v>259</v>
      </c>
      <c r="O41" t="s">
        <v>260</v>
      </c>
      <c r="P41" t="s">
        <v>263</v>
      </c>
      <c r="Q41" t="s">
        <v>1</v>
      </c>
      <c r="R41">
        <f t="shared" si="0"/>
        <v>9</v>
      </c>
      <c r="S41">
        <f t="shared" ca="1" si="1"/>
        <v>0</v>
      </c>
      <c r="T41">
        <f t="shared" si="2"/>
        <v>38</v>
      </c>
      <c r="U41" t="str">
        <f>IF($T41&lt;=Z$4,INDEX(TypicalCriticalitiesMAHBarrier23[Barrier Family Description],MATCH($T41,TypicalCriticalitiesMAHBarrier23[Barrier Family ID],0)),"")</f>
        <v>Emergency Power</v>
      </c>
      <c r="V41" t="str">
        <f ca="1">IF($T41&lt;=AA$4,INDEX(TypicalCriticalitiesMAHBarrier23[Typical Components],MATCH($T41,TypicalCriticalitiesMAHBarrier23[Column2],0)),"")</f>
        <v/>
      </c>
      <c r="W41" t="str">
        <f ca="1">IF($T41&lt;=AA$4,INDEX(TypicalCriticalitiesMAHBarrier23[Typical Criticality],MATCH($T41,TypicalCriticalitiesMAHBarrier23[Column2],0)),"")</f>
        <v/>
      </c>
      <c r="AE41" s="44"/>
      <c r="AF41" s="44"/>
      <c r="AG41" s="44"/>
      <c r="AH41" s="44"/>
      <c r="AI41" s="44"/>
      <c r="AJ41" s="44"/>
    </row>
    <row r="42" spans="1:36" x14ac:dyDescent="0.25">
      <c r="N42" t="s">
        <v>259</v>
      </c>
      <c r="O42" t="s">
        <v>260</v>
      </c>
      <c r="P42" t="s">
        <v>264</v>
      </c>
      <c r="Q42" t="s">
        <v>1</v>
      </c>
      <c r="R42">
        <f t="shared" si="0"/>
        <v>9</v>
      </c>
      <c r="S42">
        <f t="shared" ca="1" si="1"/>
        <v>0</v>
      </c>
      <c r="T42">
        <f t="shared" si="2"/>
        <v>39</v>
      </c>
      <c r="U42" t="str">
        <f>IF($T42&lt;=Z$4,INDEX(TypicalCriticalitiesMAHBarrier23[Barrier Family Description],MATCH($T42,TypicalCriticalitiesMAHBarrier23[Barrier Family ID],0)),"")</f>
        <v>Emergency Lighting</v>
      </c>
      <c r="V42" t="str">
        <f ca="1">IF($T42&lt;=AA$4,INDEX(TypicalCriticalitiesMAHBarrier23[Typical Components],MATCH($T42,TypicalCriticalitiesMAHBarrier23[Column2],0)),"")</f>
        <v/>
      </c>
      <c r="W42" t="str">
        <f ca="1">IF($T42&lt;=AA$4,INDEX(TypicalCriticalitiesMAHBarrier23[Typical Criticality],MATCH($T42,TypicalCriticalitiesMAHBarrier23[Column2],0)),"")</f>
        <v/>
      </c>
      <c r="AE42" s="44"/>
      <c r="AF42" s="44"/>
      <c r="AG42" s="44"/>
      <c r="AH42" s="44"/>
      <c r="AI42" s="44"/>
      <c r="AJ42" s="44"/>
    </row>
    <row r="43" spans="1:36" x14ac:dyDescent="0.25">
      <c r="N43" t="s">
        <v>259</v>
      </c>
      <c r="O43" t="s">
        <v>260</v>
      </c>
      <c r="P43" t="s">
        <v>265</v>
      </c>
      <c r="Q43" t="s">
        <v>1</v>
      </c>
      <c r="R43">
        <f t="shared" si="0"/>
        <v>9</v>
      </c>
      <c r="S43">
        <f t="shared" ca="1" si="1"/>
        <v>0</v>
      </c>
      <c r="T43">
        <f t="shared" si="2"/>
        <v>40</v>
      </c>
      <c r="U43" t="str">
        <f>IF($T43&lt;=Z$4,INDEX(TypicalCriticalitiesMAHBarrier23[Barrier Family Description],MATCH($T43,TypicalCriticalitiesMAHBarrier23[Barrier Family ID],0)),"")</f>
        <v>Ignition Prevention</v>
      </c>
      <c r="V43" t="str">
        <f ca="1">IF($T43&lt;=AA$4,INDEX(TypicalCriticalitiesMAHBarrier23[Typical Components],MATCH($T43,TypicalCriticalitiesMAHBarrier23[Column2],0)),"")</f>
        <v/>
      </c>
      <c r="W43" t="str">
        <f ca="1">IF($T43&lt;=AA$4,INDEX(TypicalCriticalitiesMAHBarrier23[Typical Criticality],MATCH($T43,TypicalCriticalitiesMAHBarrier23[Column2],0)),"")</f>
        <v/>
      </c>
      <c r="AE43" s="44"/>
      <c r="AF43" s="44"/>
      <c r="AG43" s="44"/>
      <c r="AH43" s="44"/>
      <c r="AI43" s="44"/>
      <c r="AJ43" s="44"/>
    </row>
    <row r="44" spans="1:36" x14ac:dyDescent="0.25">
      <c r="N44" t="s">
        <v>259</v>
      </c>
      <c r="O44" t="s">
        <v>260</v>
      </c>
      <c r="P44" t="s">
        <v>266</v>
      </c>
      <c r="Q44" t="s">
        <v>1</v>
      </c>
      <c r="R44">
        <f t="shared" si="0"/>
        <v>9</v>
      </c>
      <c r="S44">
        <f t="shared" ca="1" si="1"/>
        <v>0</v>
      </c>
      <c r="T44">
        <f t="shared" si="2"/>
        <v>41</v>
      </c>
      <c r="U44" t="str">
        <f>IF($T44&lt;=Z$4,INDEX(TypicalCriticalitiesMAHBarrier23[Barrier Family Description],MATCH($T44,TypicalCriticalitiesMAHBarrier23[Barrier Family ID],0)),"")</f>
        <v>Inert Gas Blanketing</v>
      </c>
      <c r="V44" t="str">
        <f ca="1">IF($T44&lt;=AA$4,INDEX(TypicalCriticalitiesMAHBarrier23[Typical Components],MATCH($T44,TypicalCriticalitiesMAHBarrier23[Column2],0)),"")</f>
        <v/>
      </c>
      <c r="W44" t="str">
        <f ca="1">IF($T44&lt;=AA$4,INDEX(TypicalCriticalitiesMAHBarrier23[Typical Criticality],MATCH($T44,TypicalCriticalitiesMAHBarrier23[Column2],0)),"")</f>
        <v/>
      </c>
      <c r="AE44" s="44"/>
      <c r="AF44" s="44"/>
      <c r="AG44" s="44"/>
      <c r="AH44" s="44"/>
      <c r="AI44" s="44"/>
      <c r="AJ44" s="44"/>
    </row>
    <row r="45" spans="1:36" x14ac:dyDescent="0.25">
      <c r="N45" t="s">
        <v>259</v>
      </c>
      <c r="O45" t="s">
        <v>260</v>
      </c>
      <c r="P45" t="s">
        <v>267</v>
      </c>
      <c r="Q45" t="s">
        <v>0</v>
      </c>
      <c r="R45">
        <f t="shared" si="0"/>
        <v>9</v>
      </c>
      <c r="S45">
        <f t="shared" ca="1" si="1"/>
        <v>0</v>
      </c>
      <c r="T45">
        <f t="shared" si="2"/>
        <v>42</v>
      </c>
      <c r="U45" t="str">
        <f>IF($T45&lt;=Z$4,INDEX(TypicalCriticalitiesMAHBarrier23[Barrier Family Description],MATCH($T45,TypicalCriticalitiesMAHBarrier23[Barrier Family ID],0)),"")</f>
        <v>Lifesaving Equipment</v>
      </c>
      <c r="V45" t="str">
        <f ca="1">IF($T45&lt;=AA$4,INDEX(TypicalCriticalitiesMAHBarrier23[Typical Components],MATCH($T45,TypicalCriticalitiesMAHBarrier23[Column2],0)),"")</f>
        <v/>
      </c>
      <c r="W45" t="str">
        <f ca="1">IF($T45&lt;=AA$4,INDEX(TypicalCriticalitiesMAHBarrier23[Typical Criticality],MATCH($T45,TypicalCriticalitiesMAHBarrier23[Column2],0)),"")</f>
        <v/>
      </c>
      <c r="AE45" s="44"/>
      <c r="AF45" s="44"/>
      <c r="AG45" s="44"/>
      <c r="AH45" s="44"/>
      <c r="AI45" s="44"/>
      <c r="AJ45" s="44"/>
    </row>
    <row r="46" spans="1:36" x14ac:dyDescent="0.25">
      <c r="N46" t="s">
        <v>268</v>
      </c>
      <c r="O46" t="s">
        <v>269</v>
      </c>
      <c r="P46" t="s">
        <v>270</v>
      </c>
      <c r="Q46" t="s">
        <v>0</v>
      </c>
      <c r="R46">
        <f t="shared" si="0"/>
        <v>10</v>
      </c>
      <c r="S46">
        <f t="shared" ca="1" si="1"/>
        <v>0</v>
      </c>
      <c r="T46">
        <f t="shared" si="2"/>
        <v>43</v>
      </c>
      <c r="U46" t="str">
        <f>IF($T46&lt;=Z$4,INDEX(TypicalCriticalitiesMAHBarrier23[Barrier Family Description],MATCH($T46,TypicalCriticalitiesMAHBarrier23[Barrier Family ID],0)),"")</f>
        <v>Muster areas, escape and evacuation routes</v>
      </c>
      <c r="V46" t="str">
        <f ca="1">IF($T46&lt;=AA$4,INDEX(TypicalCriticalitiesMAHBarrier23[Typical Components],MATCH($T46,TypicalCriticalitiesMAHBarrier23[Column2],0)),"")</f>
        <v/>
      </c>
      <c r="W46" t="str">
        <f ca="1">IF($T46&lt;=AA$4,INDEX(TypicalCriticalitiesMAHBarrier23[Typical Criticality],MATCH($T46,TypicalCriticalitiesMAHBarrier23[Column2],0)),"")</f>
        <v/>
      </c>
      <c r="AE46" s="44"/>
      <c r="AF46" s="44"/>
      <c r="AG46" s="44"/>
      <c r="AH46" s="44"/>
      <c r="AI46" s="44"/>
      <c r="AJ46" s="44"/>
    </row>
    <row r="47" spans="1:36" x14ac:dyDescent="0.25">
      <c r="N47" t="s">
        <v>268</v>
      </c>
      <c r="O47" t="s">
        <v>269</v>
      </c>
      <c r="P47" t="s">
        <v>271</v>
      </c>
      <c r="Q47" t="s">
        <v>0</v>
      </c>
      <c r="R47">
        <f t="shared" si="0"/>
        <v>10</v>
      </c>
      <c r="S47">
        <f t="shared" ca="1" si="1"/>
        <v>0</v>
      </c>
      <c r="T47">
        <f t="shared" si="2"/>
        <v>44</v>
      </c>
      <c r="U47" t="str">
        <f>IF($T47&lt;=Z$4,INDEX(TypicalCriticalitiesMAHBarrier23[Barrier Family Description],MATCH($T47,TypicalCriticalitiesMAHBarrier23[Barrier Family ID],0)),"")</f>
        <v>Lifeboats</v>
      </c>
      <c r="V47" t="str">
        <f ca="1">IF($T47&lt;=AA$4,INDEX(TypicalCriticalitiesMAHBarrier23[Typical Components],MATCH($T47,TypicalCriticalitiesMAHBarrier23[Column2],0)),"")</f>
        <v/>
      </c>
      <c r="W47" t="str">
        <f ca="1">IF($T47&lt;=AA$4,INDEX(TypicalCriticalitiesMAHBarrier23[Typical Criticality],MATCH($T47,TypicalCriticalitiesMAHBarrier23[Column2],0)),"")</f>
        <v/>
      </c>
      <c r="AE47" s="44"/>
      <c r="AF47" s="44"/>
      <c r="AG47" s="44"/>
      <c r="AH47" s="44"/>
      <c r="AI47" s="44"/>
      <c r="AJ47" s="44"/>
    </row>
    <row r="48" spans="1:36" x14ac:dyDescent="0.25">
      <c r="N48" t="s">
        <v>268</v>
      </c>
      <c r="O48" t="s">
        <v>269</v>
      </c>
      <c r="P48" t="s">
        <v>272</v>
      </c>
      <c r="Q48" t="s">
        <v>0</v>
      </c>
      <c r="R48">
        <f t="shared" si="0"/>
        <v>10</v>
      </c>
      <c r="S48">
        <f t="shared" ca="1" si="1"/>
        <v>0</v>
      </c>
      <c r="T48">
        <f t="shared" si="2"/>
        <v>45</v>
      </c>
      <c r="U48" t="str">
        <f>IF($T48&lt;=Z$4,INDEX(TypicalCriticalitiesMAHBarrier23[Barrier Family Description],MATCH($T48,TypicalCriticalitiesMAHBarrier23[Barrier Family ID],0)),"")</f>
        <v>Means of escape to sea</v>
      </c>
      <c r="V48" t="str">
        <f ca="1">IF($T48&lt;=AA$4,INDEX(TypicalCriticalitiesMAHBarrier23[Typical Components],MATCH($T48,TypicalCriticalitiesMAHBarrier23[Column2],0)),"")</f>
        <v/>
      </c>
      <c r="W48" t="str">
        <f ca="1">IF($T48&lt;=AA$4,INDEX(TypicalCriticalitiesMAHBarrier23[Typical Criticality],MATCH($T48,TypicalCriticalitiesMAHBarrier23[Column2],0)),"")</f>
        <v/>
      </c>
      <c r="AE48" s="44"/>
      <c r="AF48" s="44"/>
      <c r="AG48" s="44"/>
      <c r="AH48" s="44"/>
      <c r="AI48" s="44"/>
      <c r="AJ48" s="44"/>
    </row>
    <row r="49" spans="14:36" x14ac:dyDescent="0.25">
      <c r="N49" t="s">
        <v>268</v>
      </c>
      <c r="O49" t="s">
        <v>269</v>
      </c>
      <c r="P49" t="s">
        <v>273</v>
      </c>
      <c r="Q49" t="s">
        <v>0</v>
      </c>
      <c r="R49">
        <f t="shared" si="0"/>
        <v>10</v>
      </c>
      <c r="S49">
        <f t="shared" ca="1" si="1"/>
        <v>0</v>
      </c>
      <c r="T49">
        <f t="shared" si="2"/>
        <v>46</v>
      </c>
      <c r="U49" t="str">
        <f>IF($T49&lt;=Z$4,INDEX(TypicalCriticalitiesMAHBarrier23[Barrier Family Description],MATCH($T49,TypicalCriticalitiesMAHBarrier23[Barrier Family ID],0)),"")</f>
        <v>Helideck</v>
      </c>
      <c r="V49" t="str">
        <f ca="1">IF($T49&lt;=AA$4,INDEX(TypicalCriticalitiesMAHBarrier23[Typical Components],MATCH($T49,TypicalCriticalitiesMAHBarrier23[Column2],0)),"")</f>
        <v/>
      </c>
      <c r="W49" t="str">
        <f ca="1">IF($T49&lt;=AA$4,INDEX(TypicalCriticalitiesMAHBarrier23[Typical Criticality],MATCH($T49,TypicalCriticalitiesMAHBarrier23[Column2],0)),"")</f>
        <v/>
      </c>
      <c r="AE49" s="44"/>
      <c r="AF49" s="44"/>
      <c r="AG49" s="44"/>
      <c r="AH49" s="44"/>
      <c r="AI49" s="44"/>
      <c r="AJ49" s="44"/>
    </row>
    <row r="50" spans="14:36" x14ac:dyDescent="0.25">
      <c r="N50" t="s">
        <v>268</v>
      </c>
      <c r="O50" t="s">
        <v>269</v>
      </c>
      <c r="P50" t="s">
        <v>274</v>
      </c>
      <c r="Q50" t="s">
        <v>0</v>
      </c>
      <c r="R50">
        <f t="shared" si="0"/>
        <v>10</v>
      </c>
      <c r="S50">
        <f t="shared" ca="1" si="1"/>
        <v>0</v>
      </c>
      <c r="T50">
        <f t="shared" si="2"/>
        <v>47</v>
      </c>
      <c r="U50" t="str">
        <f>IF($T50&lt;=Z$4,INDEX(TypicalCriticalitiesMAHBarrier23[Barrier Family Description],MATCH($T50,TypicalCriticalitiesMAHBarrier23[Barrier Family ID],0)),"")</f>
        <v>Rescue &amp; Recovery Systems</v>
      </c>
      <c r="V50" t="str">
        <f ca="1">IF($T50&lt;=AA$4,INDEX(TypicalCriticalitiesMAHBarrier23[Typical Components],MATCH($T50,TypicalCriticalitiesMAHBarrier23[Column2],0)),"")</f>
        <v/>
      </c>
      <c r="W50" t="str">
        <f ca="1">IF($T50&lt;=AA$4,INDEX(TypicalCriticalitiesMAHBarrier23[Typical Criticality],MATCH($T50,TypicalCriticalitiesMAHBarrier23[Column2],0)),"")</f>
        <v/>
      </c>
      <c r="AE50" s="44"/>
      <c r="AF50" s="44"/>
      <c r="AG50" s="44"/>
      <c r="AH50" s="44"/>
      <c r="AI50" s="44"/>
      <c r="AJ50" s="44"/>
    </row>
    <row r="51" spans="14:36" x14ac:dyDescent="0.25">
      <c r="N51" t="s">
        <v>268</v>
      </c>
      <c r="O51" t="s">
        <v>269</v>
      </c>
      <c r="P51" t="s">
        <v>275</v>
      </c>
      <c r="Q51" t="s">
        <v>1</v>
      </c>
      <c r="R51">
        <f t="shared" si="0"/>
        <v>10</v>
      </c>
      <c r="S51">
        <f t="shared" ca="1" si="1"/>
        <v>0</v>
      </c>
      <c r="T51">
        <f t="shared" si="2"/>
        <v>48</v>
      </c>
      <c r="U51" t="str">
        <f>IF($T51&lt;=Z$4,INDEX(TypicalCriticalitiesMAHBarrier23[Barrier Family Description],MATCH($T51,TypicalCriticalitiesMAHBarrier23[Barrier Family ID],0)),"")</f>
        <v>Cranes</v>
      </c>
      <c r="V51" t="str">
        <f ca="1">IF($T51&lt;=AA$4,INDEX(TypicalCriticalitiesMAHBarrier23[Typical Components],MATCH($T51,TypicalCriticalitiesMAHBarrier23[Column2],0)),"")</f>
        <v/>
      </c>
      <c r="W51" t="str">
        <f ca="1">IF($T51&lt;=AA$4,INDEX(TypicalCriticalitiesMAHBarrier23[Typical Criticality],MATCH($T51,TypicalCriticalitiesMAHBarrier23[Column2],0)),"")</f>
        <v/>
      </c>
      <c r="AE51" s="44"/>
      <c r="AF51" s="44"/>
      <c r="AG51" s="44"/>
      <c r="AH51" s="44"/>
      <c r="AI51" s="44"/>
      <c r="AJ51" s="44"/>
    </row>
    <row r="52" spans="14:36" x14ac:dyDescent="0.25">
      <c r="N52" t="s">
        <v>268</v>
      </c>
      <c r="O52" t="s">
        <v>269</v>
      </c>
      <c r="P52" t="s">
        <v>276</v>
      </c>
      <c r="Q52" t="s">
        <v>0</v>
      </c>
      <c r="R52">
        <f t="shared" si="0"/>
        <v>10</v>
      </c>
      <c r="S52">
        <f t="shared" ca="1" si="1"/>
        <v>0</v>
      </c>
      <c r="T52">
        <f t="shared" si="2"/>
        <v>49</v>
      </c>
      <c r="U52" t="str">
        <f>IF($T52&lt;=Z$4,INDEX(TypicalCriticalitiesMAHBarrier23[Barrier Family Description],MATCH($T52,TypicalCriticalitiesMAHBarrier23[Barrier Family ID],0)),"")</f>
        <v>Lifting system</v>
      </c>
      <c r="V52" t="str">
        <f ca="1">IF($T52&lt;=AA$4,INDEX(TypicalCriticalitiesMAHBarrier23[Typical Components],MATCH($T52,TypicalCriticalitiesMAHBarrier23[Column2],0)),"")</f>
        <v/>
      </c>
      <c r="W52" t="str">
        <f ca="1">IF($T52&lt;=AA$4,INDEX(TypicalCriticalitiesMAHBarrier23[Typical Criticality],MATCH($T52,TypicalCriticalitiesMAHBarrier23[Column2],0)),"")</f>
        <v/>
      </c>
      <c r="AE52" s="44"/>
      <c r="AF52" s="44"/>
      <c r="AG52" s="44"/>
      <c r="AH52" s="44"/>
      <c r="AI52" s="44"/>
      <c r="AJ52" s="44"/>
    </row>
    <row r="53" spans="14:36" x14ac:dyDescent="0.25">
      <c r="N53" t="s">
        <v>268</v>
      </c>
      <c r="O53" t="s">
        <v>269</v>
      </c>
      <c r="P53" t="s">
        <v>277</v>
      </c>
      <c r="Q53" t="s">
        <v>0</v>
      </c>
      <c r="R53">
        <f t="shared" si="0"/>
        <v>10</v>
      </c>
      <c r="S53">
        <f t="shared" ca="1" si="1"/>
        <v>0</v>
      </c>
      <c r="T53">
        <f t="shared" si="2"/>
        <v>50</v>
      </c>
      <c r="U53" t="str">
        <f>IF($T53&lt;=Z$4,INDEX(TypicalCriticalitiesMAHBarrier23[Barrier Family Description],MATCH($T53,TypicalCriticalitiesMAHBarrier23[Barrier Family ID],0)),"")</f>
        <v xml:space="preserve"> Fire &amp; Gas systems</v>
      </c>
      <c r="V53" t="str">
        <f ca="1">IF($T53&lt;=AA$4,INDEX(TypicalCriticalitiesMAHBarrier23[Typical Components],MATCH($T53,TypicalCriticalitiesMAHBarrier23[Column2],0)),"")</f>
        <v/>
      </c>
      <c r="W53" t="str">
        <f ca="1">IF($T53&lt;=AA$4,INDEX(TypicalCriticalitiesMAHBarrier23[Typical Criticality],MATCH($T53,TypicalCriticalitiesMAHBarrier23[Column2],0)),"")</f>
        <v/>
      </c>
      <c r="AE53" s="44"/>
      <c r="AF53" s="44"/>
      <c r="AG53" s="44"/>
      <c r="AH53" s="44"/>
      <c r="AI53" s="44"/>
      <c r="AJ53" s="44"/>
    </row>
    <row r="54" spans="14:36" x14ac:dyDescent="0.25">
      <c r="N54" t="s">
        <v>268</v>
      </c>
      <c r="O54" t="s">
        <v>269</v>
      </c>
      <c r="P54" t="s">
        <v>278</v>
      </c>
      <c r="Q54" t="s">
        <v>0</v>
      </c>
      <c r="R54">
        <f t="shared" si="0"/>
        <v>10</v>
      </c>
      <c r="S54">
        <f t="shared" ca="1" si="1"/>
        <v>0</v>
      </c>
      <c r="T54">
        <f t="shared" si="2"/>
        <v>51</v>
      </c>
      <c r="U54" t="str">
        <f>IF($T54&lt;=Z$4,INDEX(TypicalCriticalitiesMAHBarrier23[Barrier Family Description],MATCH($T54,TypicalCriticalitiesMAHBarrier23[Barrier Family ID],0)),"")</f>
        <v>Emergency Shutdown Systems</v>
      </c>
      <c r="V54" t="str">
        <f ca="1">IF($T54&lt;=AA$4,INDEX(TypicalCriticalitiesMAHBarrier23[Typical Components],MATCH($T54,TypicalCriticalitiesMAHBarrier23[Column2],0)),"")</f>
        <v/>
      </c>
      <c r="W54" t="str">
        <f ca="1">IF($T54&lt;=AA$4,INDEX(TypicalCriticalitiesMAHBarrier23[Typical Criticality],MATCH($T54,TypicalCriticalitiesMAHBarrier23[Column2],0)),"")</f>
        <v/>
      </c>
      <c r="AE54" s="44"/>
      <c r="AF54" s="44"/>
      <c r="AG54" s="44"/>
      <c r="AH54" s="44"/>
      <c r="AI54" s="44"/>
      <c r="AJ54" s="44"/>
    </row>
    <row r="55" spans="14:36" x14ac:dyDescent="0.25">
      <c r="N55" t="s">
        <v>268</v>
      </c>
      <c r="O55" t="s">
        <v>269</v>
      </c>
      <c r="P55" t="s">
        <v>279</v>
      </c>
      <c r="Q55" t="s">
        <v>1</v>
      </c>
      <c r="R55">
        <f t="shared" si="0"/>
        <v>10</v>
      </c>
      <c r="S55">
        <f t="shared" ca="1" si="1"/>
        <v>0</v>
      </c>
      <c r="T55">
        <f t="shared" si="2"/>
        <v>52</v>
      </c>
      <c r="U55" t="str">
        <f>IF($T55&lt;=Z$4,INDEX(TypicalCriticalitiesMAHBarrier23[Barrier Family Description],MATCH($T55,TypicalCriticalitiesMAHBarrier23[Barrier Family ID],0)),"")</f>
        <v>Riser ESDVs &amp; EIVs</v>
      </c>
      <c r="V55" t="str">
        <f ca="1">IF($T55&lt;=AA$4,INDEX(TypicalCriticalitiesMAHBarrier23[Typical Components],MATCH($T55,TypicalCriticalitiesMAHBarrier23[Column2],0)),"")</f>
        <v/>
      </c>
      <c r="W55" t="str">
        <f ca="1">IF($T55&lt;=AA$4,INDEX(TypicalCriticalitiesMAHBarrier23[Typical Criticality],MATCH($T55,TypicalCriticalitiesMAHBarrier23[Column2],0)),"")</f>
        <v/>
      </c>
      <c r="AE55" s="44"/>
      <c r="AF55" s="44"/>
      <c r="AG55" s="44"/>
      <c r="AH55" s="44"/>
      <c r="AI55" s="44"/>
      <c r="AJ55" s="44"/>
    </row>
    <row r="56" spans="14:36" x14ac:dyDescent="0.25">
      <c r="N56" t="s">
        <v>268</v>
      </c>
      <c r="O56" t="s">
        <v>269</v>
      </c>
      <c r="P56" t="s">
        <v>280</v>
      </c>
      <c r="Q56" t="s">
        <v>1</v>
      </c>
      <c r="R56">
        <f t="shared" si="0"/>
        <v>10</v>
      </c>
      <c r="S56">
        <f t="shared" ca="1" si="1"/>
        <v>0</v>
      </c>
      <c r="T56">
        <f t="shared" si="2"/>
        <v>53</v>
      </c>
      <c r="U56" t="str">
        <f>IF($T56&lt;=Z$4,INDEX(TypicalCriticalitiesMAHBarrier23[Barrier Family Description],MATCH($T56,TypicalCriticalitiesMAHBarrier23[Barrier Family ID],0)),"")</f>
        <v>Fire protection</v>
      </c>
      <c r="V56" t="str">
        <f ca="1">IF($T56&lt;=AA$4,INDEX(TypicalCriticalitiesMAHBarrier23[Typical Components],MATCH($T56,TypicalCriticalitiesMAHBarrier23[Column2],0)),"")</f>
        <v/>
      </c>
      <c r="W56" t="str">
        <f ca="1">IF($T56&lt;=AA$4,INDEX(TypicalCriticalitiesMAHBarrier23[Typical Criticality],MATCH($T56,TypicalCriticalitiesMAHBarrier23[Column2],0)),"")</f>
        <v/>
      </c>
      <c r="AE56" s="44"/>
      <c r="AF56" s="44"/>
      <c r="AG56" s="44"/>
      <c r="AH56" s="44"/>
      <c r="AI56" s="44"/>
      <c r="AJ56" s="44"/>
    </row>
    <row r="57" spans="14:36" x14ac:dyDescent="0.25">
      <c r="N57" t="s">
        <v>268</v>
      </c>
      <c r="O57" t="s">
        <v>269</v>
      </c>
      <c r="P57" t="s">
        <v>281</v>
      </c>
      <c r="Q57" t="s">
        <v>1</v>
      </c>
      <c r="R57">
        <f t="shared" si="0"/>
        <v>10</v>
      </c>
      <c r="S57">
        <f t="shared" ca="1" si="1"/>
        <v>0</v>
      </c>
      <c r="T57">
        <f t="shared" si="2"/>
        <v>54</v>
      </c>
      <c r="U57" t="str">
        <f>IF($T57&lt;=Z$4,INDEX(TypicalCriticalitiesMAHBarrier23[Barrier Family Description],MATCH($T57,TypicalCriticalitiesMAHBarrier23[Barrier Family ID],0)),"")</f>
        <v>Miscellaneous fire protection systems</v>
      </c>
      <c r="V57" t="str">
        <f ca="1">IF($T57&lt;=AA$4,INDEX(TypicalCriticalitiesMAHBarrier23[Typical Components],MATCH($T57,TypicalCriticalitiesMAHBarrier23[Column2],0)),"")</f>
        <v/>
      </c>
      <c r="W57" t="str">
        <f ca="1">IF($T57&lt;=AA$4,INDEX(TypicalCriticalitiesMAHBarrier23[Typical Criticality],MATCH($T57,TypicalCriticalitiesMAHBarrier23[Column2],0)),"")</f>
        <v/>
      </c>
      <c r="AE57" s="44"/>
      <c r="AF57" s="44"/>
      <c r="AG57" s="44"/>
      <c r="AH57" s="44"/>
      <c r="AI57" s="44"/>
      <c r="AJ57" s="44"/>
    </row>
    <row r="58" spans="14:36" x14ac:dyDescent="0.25">
      <c r="N58" t="s">
        <v>268</v>
      </c>
      <c r="O58" t="s">
        <v>269</v>
      </c>
      <c r="P58" t="s">
        <v>282</v>
      </c>
      <c r="Q58" t="s">
        <v>1</v>
      </c>
      <c r="R58">
        <f t="shared" si="0"/>
        <v>10</v>
      </c>
      <c r="S58">
        <f t="shared" ca="1" si="1"/>
        <v>0</v>
      </c>
      <c r="T58">
        <f t="shared" si="2"/>
        <v>55</v>
      </c>
      <c r="U58" t="str">
        <f>IF($T58&lt;=Z$4,INDEX(TypicalCriticalitiesMAHBarrier23[Barrier Family Description],MATCH($T58,TypicalCriticalitiesMAHBarrier23[Barrier Family ID],0)),"")</f>
        <v/>
      </c>
      <c r="V58" t="str">
        <f ca="1">IF($T58&lt;=AA$4,INDEX(TypicalCriticalitiesMAHBarrier23[Typical Components],MATCH($T58,TypicalCriticalitiesMAHBarrier23[Column2],0)),"")</f>
        <v/>
      </c>
      <c r="W58" t="str">
        <f ca="1">IF($T58&lt;=AA$4,INDEX(TypicalCriticalitiesMAHBarrier23[Typical Criticality],MATCH($T58,TypicalCriticalitiesMAHBarrier23[Column2],0)),"")</f>
        <v/>
      </c>
      <c r="AE58" s="44"/>
      <c r="AF58" s="44"/>
      <c r="AG58" s="44"/>
      <c r="AH58" s="44"/>
      <c r="AI58" s="44"/>
      <c r="AJ58" s="44"/>
    </row>
    <row r="59" spans="14:36" x14ac:dyDescent="0.25">
      <c r="N59" t="s">
        <v>268</v>
      </c>
      <c r="O59" t="s">
        <v>269</v>
      </c>
      <c r="P59" t="s">
        <v>283</v>
      </c>
      <c r="Q59" t="s">
        <v>1</v>
      </c>
      <c r="R59">
        <f t="shared" si="0"/>
        <v>10</v>
      </c>
      <c r="S59">
        <f t="shared" ca="1" si="1"/>
        <v>0</v>
      </c>
      <c r="T59">
        <f t="shared" si="2"/>
        <v>56</v>
      </c>
      <c r="U59" t="str">
        <f>IF($T59&lt;=Z$4,INDEX(TypicalCriticalitiesMAHBarrier23[Barrier Family Description],MATCH($T59,TypicalCriticalitiesMAHBarrier23[Barrier Family ID],0)),"")</f>
        <v/>
      </c>
      <c r="V59" t="str">
        <f ca="1">IF($T59&lt;=AA$4,INDEX(TypicalCriticalitiesMAHBarrier23[Typical Components],MATCH($T59,TypicalCriticalitiesMAHBarrier23[Column2],0)),"")</f>
        <v/>
      </c>
      <c r="W59" t="str">
        <f ca="1">IF($T59&lt;=AA$4,INDEX(TypicalCriticalitiesMAHBarrier23[Typical Criticality],MATCH($T59,TypicalCriticalitiesMAHBarrier23[Column2],0)),"")</f>
        <v/>
      </c>
      <c r="AE59" s="44"/>
      <c r="AF59" s="44"/>
      <c r="AG59" s="44"/>
      <c r="AH59" s="44"/>
      <c r="AI59" s="44"/>
      <c r="AJ59" s="44"/>
    </row>
    <row r="60" spans="14:36" x14ac:dyDescent="0.25">
      <c r="N60" t="s">
        <v>268</v>
      </c>
      <c r="O60" t="s">
        <v>269</v>
      </c>
      <c r="P60" t="s">
        <v>284</v>
      </c>
      <c r="Q60" t="s">
        <v>0</v>
      </c>
      <c r="R60">
        <f t="shared" si="0"/>
        <v>10</v>
      </c>
      <c r="S60">
        <f t="shared" ca="1" si="1"/>
        <v>0</v>
      </c>
      <c r="T60">
        <f t="shared" si="2"/>
        <v>57</v>
      </c>
      <c r="U60" t="str">
        <f>IF($T60&lt;=Z$4,INDEX(TypicalCriticalitiesMAHBarrier23[Barrier Family Description],MATCH($T60,TypicalCriticalitiesMAHBarrier23[Barrier Family ID],0)),"")</f>
        <v/>
      </c>
      <c r="V60" t="str">
        <f ca="1">IF($T60&lt;=AA$4,INDEX(TypicalCriticalitiesMAHBarrier23[Typical Components],MATCH($T60,TypicalCriticalitiesMAHBarrier23[Column2],0)),"")</f>
        <v/>
      </c>
      <c r="W60" t="str">
        <f ca="1">IF($T60&lt;=AA$4,INDEX(TypicalCriticalitiesMAHBarrier23[Typical Criticality],MATCH($T60,TypicalCriticalitiesMAHBarrier23[Column2],0)),"")</f>
        <v/>
      </c>
      <c r="AE60" s="44"/>
      <c r="AF60" s="44"/>
      <c r="AG60" s="44"/>
      <c r="AH60" s="44"/>
      <c r="AI60" s="44"/>
      <c r="AJ60" s="44"/>
    </row>
    <row r="61" spans="14:36" x14ac:dyDescent="0.25">
      <c r="N61" t="s">
        <v>268</v>
      </c>
      <c r="O61" t="s">
        <v>269</v>
      </c>
      <c r="P61" t="s">
        <v>285</v>
      </c>
      <c r="Q61" t="s">
        <v>0</v>
      </c>
      <c r="R61">
        <f t="shared" si="0"/>
        <v>10</v>
      </c>
      <c r="S61">
        <f t="shared" ca="1" si="1"/>
        <v>0</v>
      </c>
      <c r="T61">
        <f t="shared" si="2"/>
        <v>58</v>
      </c>
      <c r="U61" t="str">
        <f>IF($T61&lt;=Z$4,INDEX(TypicalCriticalitiesMAHBarrier23[Barrier Family Description],MATCH($T61,TypicalCriticalitiesMAHBarrier23[Barrier Family ID],0)),"")</f>
        <v/>
      </c>
      <c r="V61" t="str">
        <f ca="1">IF($T61&lt;=AA$4,INDEX(TypicalCriticalitiesMAHBarrier23[Typical Components],MATCH($T61,TypicalCriticalitiesMAHBarrier23[Column2],0)),"")</f>
        <v/>
      </c>
      <c r="W61" t="str">
        <f ca="1">IF($T61&lt;=AA$4,INDEX(TypicalCriticalitiesMAHBarrier23[Typical Criticality],MATCH($T61,TypicalCriticalitiesMAHBarrier23[Column2],0)),"")</f>
        <v/>
      </c>
      <c r="AE61" s="44"/>
      <c r="AF61" s="44"/>
      <c r="AG61" s="44"/>
      <c r="AH61" s="44"/>
      <c r="AI61" s="44"/>
      <c r="AJ61" s="44"/>
    </row>
    <row r="62" spans="14:36" x14ac:dyDescent="0.25">
      <c r="N62" t="s">
        <v>268</v>
      </c>
      <c r="O62" t="s">
        <v>269</v>
      </c>
      <c r="P62" t="s">
        <v>286</v>
      </c>
      <c r="Q62" t="s">
        <v>0</v>
      </c>
      <c r="R62">
        <f t="shared" si="0"/>
        <v>10</v>
      </c>
      <c r="S62">
        <f t="shared" ca="1" si="1"/>
        <v>0</v>
      </c>
      <c r="T62">
        <f t="shared" si="2"/>
        <v>59</v>
      </c>
      <c r="U62" t="str">
        <f>IF($T62&lt;=Z$4,INDEX(TypicalCriticalitiesMAHBarrier23[Barrier Family Description],MATCH($T62,TypicalCriticalitiesMAHBarrier23[Barrier Family ID],0)),"")</f>
        <v/>
      </c>
      <c r="V62" t="str">
        <f ca="1">IF($T62&lt;=AA$4,INDEX(TypicalCriticalitiesMAHBarrier23[Typical Components],MATCH($T62,TypicalCriticalitiesMAHBarrier23[Column2],0)),"")</f>
        <v/>
      </c>
      <c r="W62" t="str">
        <f ca="1">IF($T62&lt;=AA$4,INDEX(TypicalCriticalitiesMAHBarrier23[Typical Criticality],MATCH($T62,TypicalCriticalitiesMAHBarrier23[Column2],0)),"")</f>
        <v/>
      </c>
      <c r="AE62" s="44"/>
      <c r="AF62" s="44"/>
      <c r="AG62" s="44"/>
      <c r="AH62" s="44"/>
      <c r="AI62" s="44"/>
      <c r="AJ62" s="44"/>
    </row>
    <row r="63" spans="14:36" x14ac:dyDescent="0.25">
      <c r="N63" t="s">
        <v>268</v>
      </c>
      <c r="O63" t="s">
        <v>269</v>
      </c>
      <c r="P63" t="s">
        <v>287</v>
      </c>
      <c r="Q63" t="s">
        <v>0</v>
      </c>
      <c r="R63">
        <f t="shared" si="0"/>
        <v>10</v>
      </c>
      <c r="S63">
        <f t="shared" ca="1" si="1"/>
        <v>0</v>
      </c>
      <c r="T63">
        <f t="shared" si="2"/>
        <v>60</v>
      </c>
      <c r="U63" t="str">
        <f>IF($T63&lt;=Z$4,INDEX(TypicalCriticalitiesMAHBarrier23[Barrier Family Description],MATCH($T63,TypicalCriticalitiesMAHBarrier23[Barrier Family ID],0)),"")</f>
        <v/>
      </c>
      <c r="V63" t="str">
        <f ca="1">IF($T63&lt;=AA$4,INDEX(TypicalCriticalitiesMAHBarrier23[Typical Components],MATCH($T63,TypicalCriticalitiesMAHBarrier23[Column2],0)),"")</f>
        <v/>
      </c>
      <c r="W63" t="str">
        <f ca="1">IF($T63&lt;=AA$4,INDEX(TypicalCriticalitiesMAHBarrier23[Typical Criticality],MATCH($T63,TypicalCriticalitiesMAHBarrier23[Column2],0)),"")</f>
        <v/>
      </c>
      <c r="AE63" s="44"/>
      <c r="AF63" s="44"/>
      <c r="AG63" s="44"/>
      <c r="AH63" s="44"/>
      <c r="AI63" s="44"/>
      <c r="AJ63" s="44"/>
    </row>
    <row r="64" spans="14:36" x14ac:dyDescent="0.25">
      <c r="N64" t="s">
        <v>268</v>
      </c>
      <c r="O64" t="s">
        <v>269</v>
      </c>
      <c r="P64" t="s">
        <v>288</v>
      </c>
      <c r="Q64" t="s">
        <v>0</v>
      </c>
      <c r="R64">
        <f t="shared" si="0"/>
        <v>10</v>
      </c>
      <c r="S64">
        <f t="shared" ca="1" si="1"/>
        <v>0</v>
      </c>
      <c r="T64">
        <f t="shared" si="2"/>
        <v>61</v>
      </c>
      <c r="U64" t="str">
        <f>IF($T64&lt;=Z$4,INDEX(TypicalCriticalitiesMAHBarrier23[Barrier Family Description],MATCH($T64,TypicalCriticalitiesMAHBarrier23[Barrier Family ID],0)),"")</f>
        <v/>
      </c>
      <c r="V64" t="str">
        <f ca="1">IF($T64&lt;=AA$4,INDEX(TypicalCriticalitiesMAHBarrier23[Typical Components],MATCH($T64,TypicalCriticalitiesMAHBarrier23[Column2],0)),"")</f>
        <v/>
      </c>
      <c r="W64" t="str">
        <f ca="1">IF($T64&lt;=AA$4,INDEX(TypicalCriticalitiesMAHBarrier23[Typical Criticality],MATCH($T64,TypicalCriticalitiesMAHBarrier23[Column2],0)),"")</f>
        <v/>
      </c>
      <c r="AE64" s="44"/>
      <c r="AF64" s="44"/>
      <c r="AG64" s="44"/>
      <c r="AH64" s="44"/>
      <c r="AI64" s="44"/>
      <c r="AJ64" s="44"/>
    </row>
    <row r="65" spans="14:36" x14ac:dyDescent="0.25">
      <c r="N65" t="s">
        <v>268</v>
      </c>
      <c r="O65" t="s">
        <v>269</v>
      </c>
      <c r="P65" t="s">
        <v>289</v>
      </c>
      <c r="Q65" t="s">
        <v>0</v>
      </c>
      <c r="R65">
        <f t="shared" si="0"/>
        <v>10</v>
      </c>
      <c r="S65">
        <f t="shared" ca="1" si="1"/>
        <v>0</v>
      </c>
      <c r="T65">
        <f t="shared" si="2"/>
        <v>62</v>
      </c>
      <c r="U65" t="str">
        <f>IF($T65&lt;=Z$4,INDEX(TypicalCriticalitiesMAHBarrier23[Barrier Family Description],MATCH($T65,TypicalCriticalitiesMAHBarrier23[Barrier Family ID],0)),"")</f>
        <v/>
      </c>
      <c r="V65" t="str">
        <f ca="1">IF($T65&lt;=AA$4,INDEX(TypicalCriticalitiesMAHBarrier23[Typical Components],MATCH($T65,TypicalCriticalitiesMAHBarrier23[Column2],0)),"")</f>
        <v/>
      </c>
      <c r="W65" t="str">
        <f ca="1">IF($T65&lt;=AA$4,INDEX(TypicalCriticalitiesMAHBarrier23[Typical Criticality],MATCH($T65,TypicalCriticalitiesMAHBarrier23[Column2],0)),"")</f>
        <v/>
      </c>
      <c r="AE65" s="44"/>
      <c r="AF65" s="44"/>
      <c r="AG65" s="44"/>
      <c r="AH65" s="44"/>
      <c r="AI65" s="44"/>
      <c r="AJ65" s="44"/>
    </row>
    <row r="66" spans="14:36" x14ac:dyDescent="0.25">
      <c r="N66" t="s">
        <v>268</v>
      </c>
      <c r="O66" t="s">
        <v>269</v>
      </c>
      <c r="P66" t="s">
        <v>290</v>
      </c>
      <c r="Q66" t="s">
        <v>1</v>
      </c>
      <c r="R66">
        <f t="shared" si="0"/>
        <v>10</v>
      </c>
      <c r="S66">
        <f t="shared" ca="1" si="1"/>
        <v>0</v>
      </c>
      <c r="T66">
        <f t="shared" si="2"/>
        <v>63</v>
      </c>
      <c r="U66" t="str">
        <f>IF($T66&lt;=Z$4,INDEX(TypicalCriticalitiesMAHBarrier23[Barrier Family Description],MATCH($T66,TypicalCriticalitiesMAHBarrier23[Barrier Family ID],0)),"")</f>
        <v/>
      </c>
      <c r="V66" t="str">
        <f ca="1">IF($T66&lt;=AA$4,INDEX(TypicalCriticalitiesMAHBarrier23[Typical Components],MATCH($T66,TypicalCriticalitiesMAHBarrier23[Column2],0)),"")</f>
        <v/>
      </c>
      <c r="W66" t="str">
        <f ca="1">IF($T66&lt;=AA$4,INDEX(TypicalCriticalitiesMAHBarrier23[Typical Criticality],MATCH($T66,TypicalCriticalitiesMAHBarrier23[Column2],0)),"")</f>
        <v/>
      </c>
      <c r="AE66" s="44"/>
      <c r="AF66" s="44"/>
      <c r="AG66" s="44"/>
      <c r="AH66" s="44"/>
      <c r="AI66" s="44"/>
      <c r="AJ66" s="44"/>
    </row>
    <row r="67" spans="14:36" x14ac:dyDescent="0.25">
      <c r="N67" t="s">
        <v>268</v>
      </c>
      <c r="O67" t="s">
        <v>269</v>
      </c>
      <c r="P67" t="s">
        <v>291</v>
      </c>
      <c r="Q67" t="s">
        <v>0</v>
      </c>
      <c r="R67">
        <f t="shared" si="0"/>
        <v>10</v>
      </c>
      <c r="S67">
        <f t="shared" ca="1" si="1"/>
        <v>0</v>
      </c>
      <c r="T67">
        <f t="shared" si="2"/>
        <v>64</v>
      </c>
      <c r="U67" t="str">
        <f>IF($T67&lt;=Z$4,INDEX(TypicalCriticalitiesMAHBarrier23[Barrier Family Description],MATCH($T67,TypicalCriticalitiesMAHBarrier23[Barrier Family ID],0)),"")</f>
        <v/>
      </c>
      <c r="V67" t="str">
        <f ca="1">IF($T67&lt;=AA$4,INDEX(TypicalCriticalitiesMAHBarrier23[Typical Components],MATCH($T67,TypicalCriticalitiesMAHBarrier23[Column2],0)),"")</f>
        <v/>
      </c>
      <c r="W67" t="str">
        <f ca="1">IF($T67&lt;=AA$4,INDEX(TypicalCriticalitiesMAHBarrier23[Typical Criticality],MATCH($T67,TypicalCriticalitiesMAHBarrier23[Column2],0)),"")</f>
        <v/>
      </c>
      <c r="AE67" s="44"/>
      <c r="AF67" s="44"/>
      <c r="AG67" s="44"/>
      <c r="AH67" s="44"/>
      <c r="AI67" s="44"/>
      <c r="AJ67" s="44"/>
    </row>
    <row r="68" spans="14:36" x14ac:dyDescent="0.25">
      <c r="N68" t="s">
        <v>268</v>
      </c>
      <c r="O68" t="s">
        <v>269</v>
      </c>
      <c r="P68" t="s">
        <v>292</v>
      </c>
      <c r="Q68" t="s">
        <v>0</v>
      </c>
      <c r="R68">
        <f t="shared" si="0"/>
        <v>10</v>
      </c>
      <c r="S68">
        <f t="shared" ca="1" si="1"/>
        <v>0</v>
      </c>
      <c r="T68">
        <f t="shared" si="2"/>
        <v>65</v>
      </c>
      <c r="U68" t="str">
        <f>IF($T68&lt;=Z$4,INDEX(TypicalCriticalitiesMAHBarrier23[Barrier Family Description],MATCH($T68,TypicalCriticalitiesMAHBarrier23[Barrier Family ID],0)),"")</f>
        <v/>
      </c>
      <c r="V68" t="str">
        <f ca="1">IF($T68&lt;=AA$4,INDEX(TypicalCriticalitiesMAHBarrier23[Typical Components],MATCH($T68,TypicalCriticalitiesMAHBarrier23[Column2],0)),"")</f>
        <v/>
      </c>
      <c r="W68" t="str">
        <f ca="1">IF($T68&lt;=AA$4,INDEX(TypicalCriticalitiesMAHBarrier23[Typical Criticality],MATCH($T68,TypicalCriticalitiesMAHBarrier23[Column2],0)),"")</f>
        <v/>
      </c>
      <c r="AE68" s="44"/>
      <c r="AF68" s="44"/>
      <c r="AG68" s="44"/>
      <c r="AH68" s="44"/>
      <c r="AI68" s="44"/>
      <c r="AJ68" s="44"/>
    </row>
    <row r="69" spans="14:36" x14ac:dyDescent="0.25">
      <c r="N69" t="s">
        <v>268</v>
      </c>
      <c r="O69" t="s">
        <v>269</v>
      </c>
      <c r="P69" t="s">
        <v>293</v>
      </c>
      <c r="Q69" t="s">
        <v>1</v>
      </c>
      <c r="R69">
        <f t="shared" ref="R69:R132" si="3">IF(AND(O69&lt;&gt;O68,O69&lt;&gt;""),R68+1,R68)</f>
        <v>10</v>
      </c>
      <c r="S69">
        <f t="shared" ref="S69:S132" ca="1" si="4">IF(R69=$Z$5,IF(AND(P69&lt;&gt;P68,P69&lt;&gt;""),S68+1,S68),S68)</f>
        <v>0</v>
      </c>
      <c r="T69">
        <f t="shared" ref="T69:T132" si="5">T68+1</f>
        <v>66</v>
      </c>
      <c r="U69" t="str">
        <f>IF($T69&lt;=Z$4,INDEX(TypicalCriticalitiesMAHBarrier23[Barrier Family Description],MATCH($T69,TypicalCriticalitiesMAHBarrier23[Barrier Family ID],0)),"")</f>
        <v/>
      </c>
      <c r="V69" t="str">
        <f ca="1">IF($T69&lt;=AA$4,INDEX(TypicalCriticalitiesMAHBarrier23[Typical Components],MATCH($T69,TypicalCriticalitiesMAHBarrier23[Column2],0)),"")</f>
        <v/>
      </c>
      <c r="W69" t="str">
        <f ca="1">IF($T69&lt;=AA$4,INDEX(TypicalCriticalitiesMAHBarrier23[Typical Criticality],MATCH($T69,TypicalCriticalitiesMAHBarrier23[Column2],0)),"")</f>
        <v/>
      </c>
      <c r="AE69" s="44"/>
      <c r="AF69" s="44"/>
      <c r="AG69" s="44"/>
      <c r="AH69" s="44"/>
      <c r="AI69" s="44"/>
      <c r="AJ69" s="44"/>
    </row>
    <row r="70" spans="14:36" x14ac:dyDescent="0.25">
      <c r="N70" t="s">
        <v>268</v>
      </c>
      <c r="O70" t="s">
        <v>269</v>
      </c>
      <c r="P70" t="s">
        <v>294</v>
      </c>
      <c r="Q70" t="s">
        <v>1</v>
      </c>
      <c r="R70">
        <f t="shared" si="3"/>
        <v>10</v>
      </c>
      <c r="S70">
        <f t="shared" ca="1" si="4"/>
        <v>0</v>
      </c>
      <c r="T70">
        <f t="shared" si="5"/>
        <v>67</v>
      </c>
      <c r="U70" t="str">
        <f>IF($T70&lt;=Z$4,INDEX(TypicalCriticalitiesMAHBarrier23[Barrier Family Description],MATCH($T70,TypicalCriticalitiesMAHBarrier23[Barrier Family ID],0)),"")</f>
        <v/>
      </c>
      <c r="V70" t="str">
        <f ca="1">IF($T70&lt;=AA$4,INDEX(TypicalCriticalitiesMAHBarrier23[Typical Components],MATCH($T70,TypicalCriticalitiesMAHBarrier23[Column2],0)),"")</f>
        <v/>
      </c>
      <c r="W70" t="str">
        <f ca="1">IF($T70&lt;=AA$4,INDEX(TypicalCriticalitiesMAHBarrier23[Typical Criticality],MATCH($T70,TypicalCriticalitiesMAHBarrier23[Column2],0)),"")</f>
        <v/>
      </c>
      <c r="AE70" s="44"/>
      <c r="AF70" s="44"/>
      <c r="AG70" s="44"/>
      <c r="AH70" s="44"/>
      <c r="AI70" s="44"/>
      <c r="AJ70" s="44"/>
    </row>
    <row r="71" spans="14:36" x14ac:dyDescent="0.25">
      <c r="N71" t="s">
        <v>268</v>
      </c>
      <c r="O71" t="s">
        <v>269</v>
      </c>
      <c r="P71" t="s">
        <v>295</v>
      </c>
      <c r="Q71" t="s">
        <v>0</v>
      </c>
      <c r="R71">
        <f t="shared" si="3"/>
        <v>10</v>
      </c>
      <c r="S71">
        <f t="shared" ca="1" si="4"/>
        <v>0</v>
      </c>
      <c r="T71">
        <f t="shared" si="5"/>
        <v>68</v>
      </c>
      <c r="U71" t="str">
        <f>IF($T71&lt;=Z$4,INDEX(TypicalCriticalitiesMAHBarrier23[Barrier Family Description],MATCH($T71,TypicalCriticalitiesMAHBarrier23[Barrier Family ID],0)),"")</f>
        <v/>
      </c>
      <c r="V71" t="str">
        <f ca="1">IF($T71&lt;=AA$4,INDEX(TypicalCriticalitiesMAHBarrier23[Typical Components],MATCH($T71,TypicalCriticalitiesMAHBarrier23[Column2],0)),"")</f>
        <v/>
      </c>
      <c r="W71" t="str">
        <f ca="1">IF($T71&lt;=AA$4,INDEX(TypicalCriticalitiesMAHBarrier23[Typical Criticality],MATCH($T71,TypicalCriticalitiesMAHBarrier23[Column2],0)),"")</f>
        <v/>
      </c>
      <c r="AE71" s="44"/>
      <c r="AF71" s="44"/>
      <c r="AG71" s="44"/>
      <c r="AH71" s="44"/>
      <c r="AI71" s="44"/>
      <c r="AJ71" s="44"/>
    </row>
    <row r="72" spans="14:36" x14ac:dyDescent="0.25">
      <c r="N72" t="s">
        <v>268</v>
      </c>
      <c r="O72" t="s">
        <v>269</v>
      </c>
      <c r="P72" t="s">
        <v>296</v>
      </c>
      <c r="Q72" t="s">
        <v>1</v>
      </c>
      <c r="R72">
        <f t="shared" si="3"/>
        <v>10</v>
      </c>
      <c r="S72">
        <f t="shared" ca="1" si="4"/>
        <v>0</v>
      </c>
      <c r="T72">
        <f t="shared" si="5"/>
        <v>69</v>
      </c>
      <c r="U72" t="str">
        <f>IF($T72&lt;=Z$4,INDEX(TypicalCriticalitiesMAHBarrier23[Barrier Family Description],MATCH($T72,TypicalCriticalitiesMAHBarrier23[Barrier Family ID],0)),"")</f>
        <v/>
      </c>
      <c r="V72" t="str">
        <f ca="1">IF($T72&lt;=AA$4,INDEX(TypicalCriticalitiesMAHBarrier23[Typical Components],MATCH($T72,TypicalCriticalitiesMAHBarrier23[Column2],0)),"")</f>
        <v/>
      </c>
      <c r="W72" t="str">
        <f ca="1">IF($T72&lt;=AA$4,INDEX(TypicalCriticalitiesMAHBarrier23[Typical Criticality],MATCH($T72,TypicalCriticalitiesMAHBarrier23[Column2],0)),"")</f>
        <v/>
      </c>
      <c r="AE72" s="44"/>
      <c r="AF72" s="44"/>
      <c r="AG72" s="44"/>
      <c r="AH72" s="44"/>
      <c r="AI72" s="44"/>
      <c r="AJ72" s="44"/>
    </row>
    <row r="73" spans="14:36" x14ac:dyDescent="0.25">
      <c r="N73" t="s">
        <v>268</v>
      </c>
      <c r="O73" t="s">
        <v>269</v>
      </c>
      <c r="P73" t="s">
        <v>297</v>
      </c>
      <c r="Q73" t="s">
        <v>1</v>
      </c>
      <c r="R73">
        <f t="shared" si="3"/>
        <v>10</v>
      </c>
      <c r="S73">
        <f t="shared" ca="1" si="4"/>
        <v>0</v>
      </c>
      <c r="T73">
        <f t="shared" si="5"/>
        <v>70</v>
      </c>
      <c r="U73" t="str">
        <f>IF($T73&lt;=Z$4,INDEX(TypicalCriticalitiesMAHBarrier23[Barrier Family Description],MATCH($T73,TypicalCriticalitiesMAHBarrier23[Barrier Family ID],0)),"")</f>
        <v/>
      </c>
      <c r="V73" t="str">
        <f ca="1">IF($T73&lt;=AA$4,INDEX(TypicalCriticalitiesMAHBarrier23[Typical Components],MATCH($T73,TypicalCriticalitiesMAHBarrier23[Column2],0)),"")</f>
        <v/>
      </c>
      <c r="W73" t="str">
        <f ca="1">IF($T73&lt;=AA$4,INDEX(TypicalCriticalitiesMAHBarrier23[Typical Criticality],MATCH($T73,TypicalCriticalitiesMAHBarrier23[Column2],0)),"")</f>
        <v/>
      </c>
      <c r="AE73" s="44"/>
      <c r="AF73" s="44"/>
      <c r="AG73" s="44"/>
      <c r="AH73" s="44"/>
      <c r="AI73" s="44"/>
      <c r="AJ73" s="44"/>
    </row>
    <row r="74" spans="14:36" x14ac:dyDescent="0.25">
      <c r="N74" t="s">
        <v>268</v>
      </c>
      <c r="O74" t="s">
        <v>269</v>
      </c>
      <c r="P74" t="s">
        <v>298</v>
      </c>
      <c r="Q74" t="s">
        <v>1</v>
      </c>
      <c r="R74">
        <f t="shared" si="3"/>
        <v>10</v>
      </c>
      <c r="S74">
        <f t="shared" ca="1" si="4"/>
        <v>0</v>
      </c>
      <c r="T74">
        <f t="shared" si="5"/>
        <v>71</v>
      </c>
      <c r="U74" t="str">
        <f>IF($T74&lt;=Z$4,INDEX(TypicalCriticalitiesMAHBarrier23[Barrier Family Description],MATCH($T74,TypicalCriticalitiesMAHBarrier23[Barrier Family ID],0)),"")</f>
        <v/>
      </c>
      <c r="V74" t="str">
        <f ca="1">IF($T74&lt;=AA$4,INDEX(TypicalCriticalitiesMAHBarrier23[Typical Components],MATCH($T74,TypicalCriticalitiesMAHBarrier23[Column2],0)),"")</f>
        <v/>
      </c>
      <c r="W74" t="str">
        <f ca="1">IF($T74&lt;=AA$4,INDEX(TypicalCriticalitiesMAHBarrier23[Typical Criticality],MATCH($T74,TypicalCriticalitiesMAHBarrier23[Column2],0)),"")</f>
        <v/>
      </c>
      <c r="AE74" s="44"/>
      <c r="AF74" s="44"/>
      <c r="AG74" s="44"/>
      <c r="AH74" s="44"/>
      <c r="AI74" s="44"/>
      <c r="AJ74" s="44"/>
    </row>
    <row r="75" spans="14:36" x14ac:dyDescent="0.25">
      <c r="N75" t="s">
        <v>268</v>
      </c>
      <c r="O75" t="s">
        <v>269</v>
      </c>
      <c r="P75" t="s">
        <v>299</v>
      </c>
      <c r="Q75" t="s">
        <v>0</v>
      </c>
      <c r="R75">
        <f t="shared" si="3"/>
        <v>10</v>
      </c>
      <c r="S75">
        <f t="shared" ca="1" si="4"/>
        <v>0</v>
      </c>
      <c r="T75">
        <f t="shared" si="5"/>
        <v>72</v>
      </c>
      <c r="U75" t="str">
        <f>IF($T75&lt;=Z$4,INDEX(TypicalCriticalitiesMAHBarrier23[Barrier Family Description],MATCH($T75,TypicalCriticalitiesMAHBarrier23[Barrier Family ID],0)),"")</f>
        <v/>
      </c>
      <c r="V75" t="str">
        <f ca="1">IF($T75&lt;=AA$4,INDEX(TypicalCriticalitiesMAHBarrier23[Typical Components],MATCH($T75,TypicalCriticalitiesMAHBarrier23[Column2],0)),"")</f>
        <v/>
      </c>
      <c r="W75" t="str">
        <f ca="1">IF($T75&lt;=AA$4,INDEX(TypicalCriticalitiesMAHBarrier23[Typical Criticality],MATCH($T75,TypicalCriticalitiesMAHBarrier23[Column2],0)),"")</f>
        <v/>
      </c>
      <c r="AE75" s="44"/>
      <c r="AF75" s="44"/>
      <c r="AG75" s="44"/>
      <c r="AH75" s="44"/>
      <c r="AI75" s="44"/>
      <c r="AJ75" s="44"/>
    </row>
    <row r="76" spans="14:36" x14ac:dyDescent="0.25">
      <c r="N76" t="s">
        <v>268</v>
      </c>
      <c r="O76" t="s">
        <v>269</v>
      </c>
      <c r="P76" t="s">
        <v>300</v>
      </c>
      <c r="Q76" t="s">
        <v>1</v>
      </c>
      <c r="R76">
        <f t="shared" si="3"/>
        <v>10</v>
      </c>
      <c r="S76">
        <f t="shared" ca="1" si="4"/>
        <v>0</v>
      </c>
      <c r="T76">
        <f t="shared" si="5"/>
        <v>73</v>
      </c>
      <c r="U76" t="str">
        <f>IF($T76&lt;=Z$4,INDEX(TypicalCriticalitiesMAHBarrier23[Barrier Family Description],MATCH($T76,TypicalCriticalitiesMAHBarrier23[Barrier Family ID],0)),"")</f>
        <v/>
      </c>
      <c r="V76" t="str">
        <f ca="1">IF($T76&lt;=AA$4,INDEX(TypicalCriticalitiesMAHBarrier23[Typical Components],MATCH($T76,TypicalCriticalitiesMAHBarrier23[Column2],0)),"")</f>
        <v/>
      </c>
      <c r="W76" t="str">
        <f ca="1">IF($T76&lt;=AA$4,INDEX(TypicalCriticalitiesMAHBarrier23[Typical Criticality],MATCH($T76,TypicalCriticalitiesMAHBarrier23[Column2],0)),"")</f>
        <v/>
      </c>
      <c r="AE76" s="44"/>
      <c r="AF76" s="44"/>
      <c r="AG76" s="44"/>
      <c r="AH76" s="44"/>
      <c r="AI76" s="44"/>
      <c r="AJ76" s="44"/>
    </row>
    <row r="77" spans="14:36" x14ac:dyDescent="0.25">
      <c r="N77" t="s">
        <v>268</v>
      </c>
      <c r="O77" t="s">
        <v>269</v>
      </c>
      <c r="P77" t="s">
        <v>301</v>
      </c>
      <c r="Q77" t="s">
        <v>0</v>
      </c>
      <c r="R77">
        <f t="shared" si="3"/>
        <v>10</v>
      </c>
      <c r="S77">
        <f t="shared" ca="1" si="4"/>
        <v>0</v>
      </c>
      <c r="T77">
        <f t="shared" si="5"/>
        <v>74</v>
      </c>
      <c r="U77" t="str">
        <f>IF($T77&lt;=Z$4,INDEX(TypicalCriticalitiesMAHBarrier23[Barrier Family Description],MATCH($T77,TypicalCriticalitiesMAHBarrier23[Barrier Family ID],0)),"")</f>
        <v/>
      </c>
      <c r="V77" t="str">
        <f ca="1">IF($T77&lt;=AA$4,INDEX(TypicalCriticalitiesMAHBarrier23[Typical Components],MATCH($T77,TypicalCriticalitiesMAHBarrier23[Column2],0)),"")</f>
        <v/>
      </c>
      <c r="W77" t="str">
        <f ca="1">IF($T77&lt;=AA$4,INDEX(TypicalCriticalitiesMAHBarrier23[Typical Criticality],MATCH($T77,TypicalCriticalitiesMAHBarrier23[Column2],0)),"")</f>
        <v/>
      </c>
      <c r="AE77" s="44"/>
      <c r="AF77" s="44"/>
      <c r="AG77" s="44"/>
      <c r="AH77" s="44"/>
      <c r="AI77" s="44"/>
      <c r="AJ77" s="44"/>
    </row>
    <row r="78" spans="14:36" x14ac:dyDescent="0.25">
      <c r="N78" t="s">
        <v>268</v>
      </c>
      <c r="O78" t="s">
        <v>269</v>
      </c>
      <c r="P78" t="s">
        <v>302</v>
      </c>
      <c r="Q78" t="s">
        <v>0</v>
      </c>
      <c r="R78">
        <f t="shared" si="3"/>
        <v>10</v>
      </c>
      <c r="S78">
        <f t="shared" ca="1" si="4"/>
        <v>0</v>
      </c>
      <c r="T78">
        <f t="shared" si="5"/>
        <v>75</v>
      </c>
      <c r="U78" t="str">
        <f>IF($T78&lt;=Z$4,INDEX(TypicalCriticalitiesMAHBarrier23[Barrier Family Description],MATCH($T78,TypicalCriticalitiesMAHBarrier23[Barrier Family ID],0)),"")</f>
        <v/>
      </c>
      <c r="V78" t="str">
        <f ca="1">IF($T78&lt;=AA$4,INDEX(TypicalCriticalitiesMAHBarrier23[Typical Components],MATCH($T78,TypicalCriticalitiesMAHBarrier23[Column2],0)),"")</f>
        <v/>
      </c>
      <c r="W78" t="str">
        <f ca="1">IF($T78&lt;=AA$4,INDEX(TypicalCriticalitiesMAHBarrier23[Typical Criticality],MATCH($T78,TypicalCriticalitiesMAHBarrier23[Column2],0)),"")</f>
        <v/>
      </c>
      <c r="AE78" s="44"/>
      <c r="AF78" s="44"/>
      <c r="AG78" s="44"/>
      <c r="AH78" s="44"/>
      <c r="AI78" s="44"/>
      <c r="AJ78" s="44"/>
    </row>
    <row r="79" spans="14:36" x14ac:dyDescent="0.25">
      <c r="N79" t="s">
        <v>268</v>
      </c>
      <c r="O79" t="s">
        <v>269</v>
      </c>
      <c r="P79" t="s">
        <v>303</v>
      </c>
      <c r="Q79" t="s">
        <v>1</v>
      </c>
      <c r="R79">
        <f t="shared" si="3"/>
        <v>10</v>
      </c>
      <c r="S79">
        <f t="shared" ca="1" si="4"/>
        <v>0</v>
      </c>
      <c r="T79">
        <f t="shared" si="5"/>
        <v>76</v>
      </c>
      <c r="U79" t="str">
        <f>IF($T79&lt;=Z$4,INDEX(TypicalCriticalitiesMAHBarrier23[Barrier Family Description],MATCH($T79,TypicalCriticalitiesMAHBarrier23[Barrier Family ID],0)),"")</f>
        <v/>
      </c>
      <c r="V79" t="str">
        <f ca="1">IF($T79&lt;=AA$4,INDEX(TypicalCriticalitiesMAHBarrier23[Typical Components],MATCH($T79,TypicalCriticalitiesMAHBarrier23[Column2],0)),"")</f>
        <v/>
      </c>
      <c r="W79" t="str">
        <f ca="1">IF($T79&lt;=AA$4,INDEX(TypicalCriticalitiesMAHBarrier23[Typical Criticality],MATCH($T79,TypicalCriticalitiesMAHBarrier23[Column2],0)),"")</f>
        <v/>
      </c>
      <c r="AE79" s="44"/>
      <c r="AF79" s="44"/>
      <c r="AG79" s="44"/>
      <c r="AH79" s="44"/>
      <c r="AI79" s="44"/>
      <c r="AJ79" s="44"/>
    </row>
    <row r="80" spans="14:36" x14ac:dyDescent="0.25">
      <c r="N80" t="s">
        <v>268</v>
      </c>
      <c r="O80" t="s">
        <v>269</v>
      </c>
      <c r="P80" t="s">
        <v>304</v>
      </c>
      <c r="Q80" t="s">
        <v>1</v>
      </c>
      <c r="R80">
        <f t="shared" si="3"/>
        <v>10</v>
      </c>
      <c r="S80">
        <f t="shared" ca="1" si="4"/>
        <v>0</v>
      </c>
      <c r="T80">
        <f t="shared" si="5"/>
        <v>77</v>
      </c>
      <c r="U80" t="str">
        <f>IF($T80&lt;=Z$4,INDEX(TypicalCriticalitiesMAHBarrier23[Barrier Family Description],MATCH($T80,TypicalCriticalitiesMAHBarrier23[Barrier Family ID],0)),"")</f>
        <v/>
      </c>
      <c r="V80" t="str">
        <f ca="1">IF($T80&lt;=AA$4,INDEX(TypicalCriticalitiesMAHBarrier23[Typical Components],MATCH($T80,TypicalCriticalitiesMAHBarrier23[Column2],0)),"")</f>
        <v/>
      </c>
      <c r="W80" t="str">
        <f ca="1">IF($T80&lt;=AA$4,INDEX(TypicalCriticalitiesMAHBarrier23[Typical Criticality],MATCH($T80,TypicalCriticalitiesMAHBarrier23[Column2],0)),"")</f>
        <v/>
      </c>
      <c r="AE80" s="44"/>
      <c r="AF80" s="44"/>
      <c r="AG80" s="44"/>
      <c r="AH80" s="44"/>
      <c r="AI80" s="44"/>
      <c r="AJ80" s="44"/>
    </row>
    <row r="81" spans="14:36" x14ac:dyDescent="0.25">
      <c r="N81" t="s">
        <v>268</v>
      </c>
      <c r="O81" t="s">
        <v>269</v>
      </c>
      <c r="P81" t="s">
        <v>305</v>
      </c>
      <c r="Q81" t="s">
        <v>1</v>
      </c>
      <c r="R81">
        <f t="shared" si="3"/>
        <v>10</v>
      </c>
      <c r="S81">
        <f t="shared" ca="1" si="4"/>
        <v>0</v>
      </c>
      <c r="T81">
        <f t="shared" si="5"/>
        <v>78</v>
      </c>
      <c r="U81" t="str">
        <f>IF($T81&lt;=Z$4,INDEX(TypicalCriticalitiesMAHBarrier23[Barrier Family Description],MATCH($T81,TypicalCriticalitiesMAHBarrier23[Barrier Family ID],0)),"")</f>
        <v/>
      </c>
      <c r="V81" t="str">
        <f ca="1">IF($T81&lt;=AA$4,INDEX(TypicalCriticalitiesMAHBarrier23[Typical Components],MATCH($T81,TypicalCriticalitiesMAHBarrier23[Column2],0)),"")</f>
        <v/>
      </c>
      <c r="W81" t="str">
        <f ca="1">IF($T81&lt;=AA$4,INDEX(TypicalCriticalitiesMAHBarrier23[Typical Criticality],MATCH($T81,TypicalCriticalitiesMAHBarrier23[Column2],0)),"")</f>
        <v/>
      </c>
      <c r="AE81" s="44"/>
      <c r="AF81" s="44"/>
      <c r="AG81" s="44"/>
      <c r="AH81" s="44"/>
      <c r="AI81" s="44"/>
      <c r="AJ81" s="44"/>
    </row>
    <row r="82" spans="14:36" x14ac:dyDescent="0.25">
      <c r="N82" t="s">
        <v>268</v>
      </c>
      <c r="O82" t="s">
        <v>269</v>
      </c>
      <c r="P82" t="s">
        <v>306</v>
      </c>
      <c r="Q82" t="s">
        <v>0</v>
      </c>
      <c r="R82">
        <f t="shared" si="3"/>
        <v>10</v>
      </c>
      <c r="S82">
        <f t="shared" ca="1" si="4"/>
        <v>0</v>
      </c>
      <c r="T82">
        <f t="shared" si="5"/>
        <v>79</v>
      </c>
      <c r="U82" t="str">
        <f>IF($T82&lt;=Z$4,INDEX(TypicalCriticalitiesMAHBarrier23[Barrier Family Description],MATCH($T82,TypicalCriticalitiesMAHBarrier23[Barrier Family ID],0)),"")</f>
        <v/>
      </c>
      <c r="V82" t="str">
        <f ca="1">IF($T82&lt;=AA$4,INDEX(TypicalCriticalitiesMAHBarrier23[Typical Components],MATCH($T82,TypicalCriticalitiesMAHBarrier23[Column2],0)),"")</f>
        <v/>
      </c>
      <c r="W82" t="str">
        <f ca="1">IF($T82&lt;=AA$4,INDEX(TypicalCriticalitiesMAHBarrier23[Typical Criticality],MATCH($T82,TypicalCriticalitiesMAHBarrier23[Column2],0)),"")</f>
        <v/>
      </c>
      <c r="AE82" s="44"/>
      <c r="AF82" s="44"/>
      <c r="AG82" s="44"/>
      <c r="AH82" s="44"/>
      <c r="AI82" s="44"/>
      <c r="AJ82" s="44"/>
    </row>
    <row r="83" spans="14:36" x14ac:dyDescent="0.25">
      <c r="N83" t="s">
        <v>268</v>
      </c>
      <c r="O83" t="s">
        <v>269</v>
      </c>
      <c r="P83" t="s">
        <v>307</v>
      </c>
      <c r="Q83" t="s">
        <v>1</v>
      </c>
      <c r="R83">
        <f t="shared" si="3"/>
        <v>10</v>
      </c>
      <c r="S83">
        <f t="shared" ca="1" si="4"/>
        <v>0</v>
      </c>
      <c r="T83">
        <f t="shared" si="5"/>
        <v>80</v>
      </c>
      <c r="U83" t="str">
        <f>IF($T83&lt;=Z$4,INDEX(TypicalCriticalitiesMAHBarrier23[Barrier Family Description],MATCH($T83,TypicalCriticalitiesMAHBarrier23[Barrier Family ID],0)),"")</f>
        <v/>
      </c>
      <c r="V83" t="str">
        <f ca="1">IF($T83&lt;=AA$4,INDEX(TypicalCriticalitiesMAHBarrier23[Typical Components],MATCH($T83,TypicalCriticalitiesMAHBarrier23[Column2],0)),"")</f>
        <v/>
      </c>
      <c r="W83" t="str">
        <f ca="1">IF($T83&lt;=AA$4,INDEX(TypicalCriticalitiesMAHBarrier23[Typical Criticality],MATCH($T83,TypicalCriticalitiesMAHBarrier23[Column2],0)),"")</f>
        <v/>
      </c>
      <c r="AE83" s="44"/>
      <c r="AF83" s="44"/>
      <c r="AG83" s="44"/>
      <c r="AH83" s="44"/>
      <c r="AI83" s="44"/>
      <c r="AJ83" s="44"/>
    </row>
    <row r="84" spans="14:36" x14ac:dyDescent="0.25">
      <c r="N84" t="s">
        <v>268</v>
      </c>
      <c r="O84" t="s">
        <v>269</v>
      </c>
      <c r="P84" t="s">
        <v>308</v>
      </c>
      <c r="Q84" t="s">
        <v>0</v>
      </c>
      <c r="R84">
        <f t="shared" si="3"/>
        <v>10</v>
      </c>
      <c r="S84">
        <f t="shared" ca="1" si="4"/>
        <v>0</v>
      </c>
      <c r="T84">
        <f t="shared" si="5"/>
        <v>81</v>
      </c>
      <c r="U84" t="str">
        <f>IF($T84&lt;=Z$4,INDEX(TypicalCriticalitiesMAHBarrier23[Barrier Family Description],MATCH($T84,TypicalCriticalitiesMAHBarrier23[Barrier Family ID],0)),"")</f>
        <v/>
      </c>
      <c r="V84" t="str">
        <f ca="1">IF($T84&lt;=AA$4,INDEX(TypicalCriticalitiesMAHBarrier23[Typical Components],MATCH($T84,TypicalCriticalitiesMAHBarrier23[Column2],0)),"")</f>
        <v/>
      </c>
      <c r="W84" t="str">
        <f ca="1">IF($T84&lt;=AA$4,INDEX(TypicalCriticalitiesMAHBarrier23[Typical Criticality],MATCH($T84,TypicalCriticalitiesMAHBarrier23[Column2],0)),"")</f>
        <v/>
      </c>
      <c r="AE84" s="44"/>
      <c r="AF84" s="44"/>
      <c r="AG84" s="44"/>
      <c r="AH84" s="44"/>
      <c r="AI84" s="44"/>
      <c r="AJ84" s="44"/>
    </row>
    <row r="85" spans="14:36" x14ac:dyDescent="0.25">
      <c r="N85" t="s">
        <v>268</v>
      </c>
      <c r="O85" t="s">
        <v>269</v>
      </c>
      <c r="P85" t="s">
        <v>309</v>
      </c>
      <c r="Q85" t="s">
        <v>1</v>
      </c>
      <c r="R85">
        <f t="shared" si="3"/>
        <v>10</v>
      </c>
      <c r="S85">
        <f t="shared" ca="1" si="4"/>
        <v>0</v>
      </c>
      <c r="T85">
        <f t="shared" si="5"/>
        <v>82</v>
      </c>
      <c r="U85" t="str">
        <f>IF($T85&lt;=Z$4,INDEX(TypicalCriticalitiesMAHBarrier23[Barrier Family Description],MATCH($T85,TypicalCriticalitiesMAHBarrier23[Barrier Family ID],0)),"")</f>
        <v/>
      </c>
      <c r="V85" t="str">
        <f ca="1">IF($T85&lt;=AA$4,INDEX(TypicalCriticalitiesMAHBarrier23[Typical Components],MATCH($T85,TypicalCriticalitiesMAHBarrier23[Column2],0)),"")</f>
        <v/>
      </c>
      <c r="W85" t="str">
        <f ca="1">IF($T85&lt;=AA$4,INDEX(TypicalCriticalitiesMAHBarrier23[Typical Criticality],MATCH($T85,TypicalCriticalitiesMAHBarrier23[Column2],0)),"")</f>
        <v/>
      </c>
      <c r="AE85" s="44"/>
      <c r="AF85" s="44"/>
      <c r="AG85" s="44"/>
      <c r="AH85" s="44"/>
      <c r="AI85" s="44"/>
      <c r="AJ85" s="44"/>
    </row>
    <row r="86" spans="14:36" x14ac:dyDescent="0.25">
      <c r="N86" t="s">
        <v>268</v>
      </c>
      <c r="O86" t="s">
        <v>269</v>
      </c>
      <c r="P86" t="s">
        <v>310</v>
      </c>
      <c r="Q86" t="s">
        <v>1</v>
      </c>
      <c r="R86">
        <f t="shared" si="3"/>
        <v>10</v>
      </c>
      <c r="S86">
        <f t="shared" ca="1" si="4"/>
        <v>0</v>
      </c>
      <c r="T86">
        <f t="shared" si="5"/>
        <v>83</v>
      </c>
      <c r="U86" t="str">
        <f>IF($T86&lt;=Z$4,INDEX(TypicalCriticalitiesMAHBarrier23[Barrier Family Description],MATCH($T86,TypicalCriticalitiesMAHBarrier23[Barrier Family ID],0)),"")</f>
        <v/>
      </c>
      <c r="V86" t="str">
        <f ca="1">IF($T86&lt;=AA$4,INDEX(TypicalCriticalitiesMAHBarrier23[Typical Components],MATCH($T86,TypicalCriticalitiesMAHBarrier23[Column2],0)),"")</f>
        <v/>
      </c>
      <c r="W86" t="str">
        <f ca="1">IF($T86&lt;=AA$4,INDEX(TypicalCriticalitiesMAHBarrier23[Typical Criticality],MATCH($T86,TypicalCriticalitiesMAHBarrier23[Column2],0)),"")</f>
        <v/>
      </c>
      <c r="AE86" s="44"/>
      <c r="AF86" s="44"/>
      <c r="AG86" s="44"/>
      <c r="AH86" s="44"/>
      <c r="AI86" s="44"/>
      <c r="AJ86" s="44"/>
    </row>
    <row r="87" spans="14:36" x14ac:dyDescent="0.25">
      <c r="N87" t="s">
        <v>268</v>
      </c>
      <c r="O87" t="s">
        <v>269</v>
      </c>
      <c r="P87" t="s">
        <v>311</v>
      </c>
      <c r="Q87" t="s">
        <v>1</v>
      </c>
      <c r="R87">
        <f t="shared" si="3"/>
        <v>10</v>
      </c>
      <c r="S87">
        <f t="shared" ca="1" si="4"/>
        <v>0</v>
      </c>
      <c r="T87">
        <f t="shared" si="5"/>
        <v>84</v>
      </c>
      <c r="U87" t="str">
        <f>IF($T87&lt;=Z$4,INDEX(TypicalCriticalitiesMAHBarrier23[Barrier Family Description],MATCH($T87,TypicalCriticalitiesMAHBarrier23[Barrier Family ID],0)),"")</f>
        <v/>
      </c>
      <c r="V87" t="str">
        <f ca="1">IF($T87&lt;=AA$4,INDEX(TypicalCriticalitiesMAHBarrier23[Typical Components],MATCH($T87,TypicalCriticalitiesMAHBarrier23[Column2],0)),"")</f>
        <v/>
      </c>
      <c r="W87" t="str">
        <f ca="1">IF($T87&lt;=AA$4,INDEX(TypicalCriticalitiesMAHBarrier23[Typical Criticality],MATCH($T87,TypicalCriticalitiesMAHBarrier23[Column2],0)),"")</f>
        <v/>
      </c>
      <c r="AE87" s="44"/>
      <c r="AF87" s="44"/>
      <c r="AG87" s="44"/>
      <c r="AH87" s="44"/>
      <c r="AI87" s="44"/>
      <c r="AJ87" s="44"/>
    </row>
    <row r="88" spans="14:36" x14ac:dyDescent="0.25">
      <c r="N88" t="s">
        <v>268</v>
      </c>
      <c r="O88" t="s">
        <v>269</v>
      </c>
      <c r="P88" t="s">
        <v>312</v>
      </c>
      <c r="Q88" t="s">
        <v>0</v>
      </c>
      <c r="R88">
        <f t="shared" si="3"/>
        <v>10</v>
      </c>
      <c r="S88">
        <f t="shared" ca="1" si="4"/>
        <v>0</v>
      </c>
      <c r="T88">
        <f t="shared" si="5"/>
        <v>85</v>
      </c>
      <c r="U88" t="str">
        <f>IF($T88&lt;=Z$4,INDEX(TypicalCriticalitiesMAHBarrier23[Barrier Family Description],MATCH($T88,TypicalCriticalitiesMAHBarrier23[Barrier Family ID],0)),"")</f>
        <v/>
      </c>
      <c r="V88" t="str">
        <f ca="1">IF($T88&lt;=AA$4,INDEX(TypicalCriticalitiesMAHBarrier23[Typical Components],MATCH($T88,TypicalCriticalitiesMAHBarrier23[Column2],0)),"")</f>
        <v/>
      </c>
      <c r="W88" t="str">
        <f ca="1">IF($T88&lt;=AA$4,INDEX(TypicalCriticalitiesMAHBarrier23[Typical Criticality],MATCH($T88,TypicalCriticalitiesMAHBarrier23[Column2],0)),"")</f>
        <v/>
      </c>
      <c r="AE88" s="44"/>
      <c r="AF88" s="44"/>
      <c r="AG88" s="44"/>
      <c r="AH88" s="44"/>
      <c r="AI88" s="44"/>
      <c r="AJ88" s="44"/>
    </row>
    <row r="89" spans="14:36" x14ac:dyDescent="0.25">
      <c r="N89" t="s">
        <v>268</v>
      </c>
      <c r="O89" t="s">
        <v>269</v>
      </c>
      <c r="P89" t="s">
        <v>313</v>
      </c>
      <c r="Q89" t="s">
        <v>0</v>
      </c>
      <c r="R89">
        <f t="shared" si="3"/>
        <v>10</v>
      </c>
      <c r="S89">
        <f t="shared" ca="1" si="4"/>
        <v>0</v>
      </c>
      <c r="T89">
        <f t="shared" si="5"/>
        <v>86</v>
      </c>
      <c r="U89" t="str">
        <f>IF($T89&lt;=Z$4,INDEX(TypicalCriticalitiesMAHBarrier23[Barrier Family Description],MATCH($T89,TypicalCriticalitiesMAHBarrier23[Barrier Family ID],0)),"")</f>
        <v/>
      </c>
      <c r="V89" t="str">
        <f ca="1">IF($T89&lt;=AA$4,INDEX(TypicalCriticalitiesMAHBarrier23[Typical Components],MATCH($T89,TypicalCriticalitiesMAHBarrier23[Column2],0)),"")</f>
        <v/>
      </c>
      <c r="W89" t="str">
        <f ca="1">IF($T89&lt;=AA$4,INDEX(TypicalCriticalitiesMAHBarrier23[Typical Criticality],MATCH($T89,TypicalCriticalitiesMAHBarrier23[Column2],0)),"")</f>
        <v/>
      </c>
      <c r="AE89" s="44"/>
      <c r="AF89" s="44"/>
      <c r="AG89" s="44"/>
      <c r="AH89" s="44"/>
      <c r="AI89" s="44"/>
      <c r="AJ89" s="44"/>
    </row>
    <row r="90" spans="14:36" x14ac:dyDescent="0.25">
      <c r="N90" t="s">
        <v>268</v>
      </c>
      <c r="O90" t="s">
        <v>269</v>
      </c>
      <c r="P90" t="s">
        <v>314</v>
      </c>
      <c r="Q90" t="s">
        <v>0</v>
      </c>
      <c r="R90">
        <f t="shared" si="3"/>
        <v>10</v>
      </c>
      <c r="S90">
        <f t="shared" ca="1" si="4"/>
        <v>0</v>
      </c>
      <c r="T90">
        <f t="shared" si="5"/>
        <v>87</v>
      </c>
      <c r="U90" t="str">
        <f>IF($T90&lt;=Z$4,INDEX(TypicalCriticalitiesMAHBarrier23[Barrier Family Description],MATCH($T90,TypicalCriticalitiesMAHBarrier23[Barrier Family ID],0)),"")</f>
        <v/>
      </c>
      <c r="V90" t="str">
        <f ca="1">IF($T90&lt;=AA$4,INDEX(TypicalCriticalitiesMAHBarrier23[Typical Components],MATCH($T90,TypicalCriticalitiesMAHBarrier23[Column2],0)),"")</f>
        <v/>
      </c>
      <c r="W90" t="str">
        <f ca="1">IF($T90&lt;=AA$4,INDEX(TypicalCriticalitiesMAHBarrier23[Typical Criticality],MATCH($T90,TypicalCriticalitiesMAHBarrier23[Column2],0)),"")</f>
        <v/>
      </c>
      <c r="AE90" s="44"/>
      <c r="AF90" s="44"/>
      <c r="AG90" s="44"/>
      <c r="AH90" s="44"/>
      <c r="AI90" s="44"/>
      <c r="AJ90" s="44"/>
    </row>
    <row r="91" spans="14:36" x14ac:dyDescent="0.25">
      <c r="N91" t="s">
        <v>268</v>
      </c>
      <c r="O91" t="s">
        <v>269</v>
      </c>
      <c r="P91" t="s">
        <v>315</v>
      </c>
      <c r="Q91" t="s">
        <v>1</v>
      </c>
      <c r="R91">
        <f t="shared" si="3"/>
        <v>10</v>
      </c>
      <c r="S91">
        <f t="shared" ca="1" si="4"/>
        <v>0</v>
      </c>
      <c r="T91">
        <f t="shared" si="5"/>
        <v>88</v>
      </c>
      <c r="U91" t="str">
        <f>IF($T91&lt;=Z$4,INDEX(TypicalCriticalitiesMAHBarrier23[Barrier Family Description],MATCH($T91,TypicalCriticalitiesMAHBarrier23[Barrier Family ID],0)),"")</f>
        <v/>
      </c>
      <c r="V91" t="str">
        <f ca="1">IF($T91&lt;=AA$4,INDEX(TypicalCriticalitiesMAHBarrier23[Typical Components],MATCH($T91,TypicalCriticalitiesMAHBarrier23[Column2],0)),"")</f>
        <v/>
      </c>
      <c r="W91" t="str">
        <f ca="1">IF($T91&lt;=AA$4,INDEX(TypicalCriticalitiesMAHBarrier23[Typical Criticality],MATCH($T91,TypicalCriticalitiesMAHBarrier23[Column2],0)),"")</f>
        <v/>
      </c>
      <c r="AE91" s="44"/>
      <c r="AF91" s="44"/>
      <c r="AG91" s="44"/>
      <c r="AH91" s="44"/>
      <c r="AI91" s="44"/>
      <c r="AJ91" s="44"/>
    </row>
    <row r="92" spans="14:36" x14ac:dyDescent="0.25">
      <c r="N92" t="s">
        <v>268</v>
      </c>
      <c r="O92" t="s">
        <v>269</v>
      </c>
      <c r="P92" t="s">
        <v>316</v>
      </c>
      <c r="Q92" t="s">
        <v>0</v>
      </c>
      <c r="R92">
        <f t="shared" si="3"/>
        <v>10</v>
      </c>
      <c r="S92">
        <f t="shared" ca="1" si="4"/>
        <v>0</v>
      </c>
      <c r="T92">
        <f t="shared" si="5"/>
        <v>89</v>
      </c>
      <c r="U92" t="str">
        <f>IF($T92&lt;=Z$4,INDEX(TypicalCriticalitiesMAHBarrier23[Barrier Family Description],MATCH($T92,TypicalCriticalitiesMAHBarrier23[Barrier Family ID],0)),"")</f>
        <v/>
      </c>
      <c r="V92" t="str">
        <f ca="1">IF($T92&lt;=AA$4,INDEX(TypicalCriticalitiesMAHBarrier23[Typical Components],MATCH($T92,TypicalCriticalitiesMAHBarrier23[Column2],0)),"")</f>
        <v/>
      </c>
      <c r="W92" t="str">
        <f ca="1">IF($T92&lt;=AA$4,INDEX(TypicalCriticalitiesMAHBarrier23[Typical Criticality],MATCH($T92,TypicalCriticalitiesMAHBarrier23[Column2],0)),"")</f>
        <v/>
      </c>
      <c r="AE92" s="44"/>
      <c r="AF92" s="44"/>
      <c r="AG92" s="44"/>
      <c r="AH92" s="44"/>
      <c r="AI92" s="44"/>
      <c r="AJ92" s="44"/>
    </row>
    <row r="93" spans="14:36" x14ac:dyDescent="0.25">
      <c r="N93" t="s">
        <v>268</v>
      </c>
      <c r="O93" t="s">
        <v>269</v>
      </c>
      <c r="P93" t="s">
        <v>317</v>
      </c>
      <c r="Q93" t="s">
        <v>0</v>
      </c>
      <c r="R93">
        <f t="shared" si="3"/>
        <v>10</v>
      </c>
      <c r="S93">
        <f t="shared" ca="1" si="4"/>
        <v>0</v>
      </c>
      <c r="T93">
        <f t="shared" si="5"/>
        <v>90</v>
      </c>
      <c r="U93" t="str">
        <f>IF($T93&lt;=Z$4,INDEX(TypicalCriticalitiesMAHBarrier23[Barrier Family Description],MATCH($T93,TypicalCriticalitiesMAHBarrier23[Barrier Family ID],0)),"")</f>
        <v/>
      </c>
      <c r="V93" t="str">
        <f ca="1">IF($T93&lt;=AA$4,INDEX(TypicalCriticalitiesMAHBarrier23[Typical Components],MATCH($T93,TypicalCriticalitiesMAHBarrier23[Column2],0)),"")</f>
        <v/>
      </c>
      <c r="W93" t="str">
        <f ca="1">IF($T93&lt;=AA$4,INDEX(TypicalCriticalitiesMAHBarrier23[Typical Criticality],MATCH($T93,TypicalCriticalitiesMAHBarrier23[Column2],0)),"")</f>
        <v/>
      </c>
      <c r="AE93" s="44"/>
      <c r="AF93" s="44"/>
      <c r="AG93" s="44"/>
      <c r="AH93" s="44"/>
      <c r="AI93" s="44"/>
      <c r="AJ93" s="44"/>
    </row>
    <row r="94" spans="14:36" x14ac:dyDescent="0.25">
      <c r="N94" t="s">
        <v>268</v>
      </c>
      <c r="O94" t="s">
        <v>269</v>
      </c>
      <c r="P94" t="s">
        <v>318</v>
      </c>
      <c r="Q94" t="s">
        <v>1</v>
      </c>
      <c r="R94">
        <f t="shared" si="3"/>
        <v>10</v>
      </c>
      <c r="S94">
        <f t="shared" ca="1" si="4"/>
        <v>0</v>
      </c>
      <c r="T94">
        <f t="shared" si="5"/>
        <v>91</v>
      </c>
      <c r="U94" t="str">
        <f>IF($T94&lt;=Z$4,INDEX(TypicalCriticalitiesMAHBarrier23[Barrier Family Description],MATCH($T94,TypicalCriticalitiesMAHBarrier23[Barrier Family ID],0)),"")</f>
        <v/>
      </c>
      <c r="V94" t="str">
        <f ca="1">IF($T94&lt;=AA$4,INDEX(TypicalCriticalitiesMAHBarrier23[Typical Components],MATCH($T94,TypicalCriticalitiesMAHBarrier23[Column2],0)),"")</f>
        <v/>
      </c>
      <c r="W94" t="str">
        <f ca="1">IF($T94&lt;=AA$4,INDEX(TypicalCriticalitiesMAHBarrier23[Typical Criticality],MATCH($T94,TypicalCriticalitiesMAHBarrier23[Column2],0)),"")</f>
        <v/>
      </c>
      <c r="AE94" s="44"/>
      <c r="AF94" s="44"/>
      <c r="AG94" s="44"/>
      <c r="AH94" s="44"/>
      <c r="AI94" s="44"/>
      <c r="AJ94" s="44"/>
    </row>
    <row r="95" spans="14:36" x14ac:dyDescent="0.25">
      <c r="N95" t="s">
        <v>268</v>
      </c>
      <c r="O95" t="s">
        <v>269</v>
      </c>
      <c r="P95" t="s">
        <v>319</v>
      </c>
      <c r="Q95" t="s">
        <v>0</v>
      </c>
      <c r="R95">
        <f t="shared" si="3"/>
        <v>10</v>
      </c>
      <c r="S95">
        <f t="shared" ca="1" si="4"/>
        <v>0</v>
      </c>
      <c r="T95">
        <f t="shared" si="5"/>
        <v>92</v>
      </c>
      <c r="U95" t="str">
        <f>IF($T95&lt;=Z$4,INDEX(TypicalCriticalitiesMAHBarrier23[Barrier Family Description],MATCH($T95,TypicalCriticalitiesMAHBarrier23[Barrier Family ID],0)),"")</f>
        <v/>
      </c>
      <c r="V95" t="str">
        <f ca="1">IF($T95&lt;=AA$4,INDEX(TypicalCriticalitiesMAHBarrier23[Typical Components],MATCH($T95,TypicalCriticalitiesMAHBarrier23[Column2],0)),"")</f>
        <v/>
      </c>
      <c r="W95" t="str">
        <f ca="1">IF($T95&lt;=AA$4,INDEX(TypicalCriticalitiesMAHBarrier23[Typical Criticality],MATCH($T95,TypicalCriticalitiesMAHBarrier23[Column2],0)),"")</f>
        <v/>
      </c>
      <c r="AE95" s="44"/>
      <c r="AF95" s="44"/>
      <c r="AG95" s="44"/>
      <c r="AH95" s="44"/>
      <c r="AI95" s="44"/>
      <c r="AJ95" s="44"/>
    </row>
    <row r="96" spans="14:36" x14ac:dyDescent="0.25">
      <c r="N96" t="s">
        <v>268</v>
      </c>
      <c r="O96" t="s">
        <v>269</v>
      </c>
      <c r="P96" t="s">
        <v>320</v>
      </c>
      <c r="Q96" t="s">
        <v>1</v>
      </c>
      <c r="R96">
        <f t="shared" si="3"/>
        <v>10</v>
      </c>
      <c r="S96">
        <f t="shared" ca="1" si="4"/>
        <v>0</v>
      </c>
      <c r="T96">
        <f t="shared" si="5"/>
        <v>93</v>
      </c>
      <c r="U96" t="str">
        <f>IF($T96&lt;=Z$4,INDEX(TypicalCriticalitiesMAHBarrier23[Barrier Family Description],MATCH($T96,TypicalCriticalitiesMAHBarrier23[Barrier Family ID],0)),"")</f>
        <v/>
      </c>
      <c r="V96" t="str">
        <f ca="1">IF($T96&lt;=AA$4,INDEX(TypicalCriticalitiesMAHBarrier23[Typical Components],MATCH($T96,TypicalCriticalitiesMAHBarrier23[Column2],0)),"")</f>
        <v/>
      </c>
      <c r="W96" t="str">
        <f ca="1">IF($T96&lt;=AA$4,INDEX(TypicalCriticalitiesMAHBarrier23[Typical Criticality],MATCH($T96,TypicalCriticalitiesMAHBarrier23[Column2],0)),"")</f>
        <v/>
      </c>
      <c r="AE96" s="44"/>
      <c r="AF96" s="44"/>
      <c r="AG96" s="44"/>
      <c r="AH96" s="44"/>
      <c r="AI96" s="44"/>
      <c r="AJ96" s="44"/>
    </row>
    <row r="97" spans="14:36" x14ac:dyDescent="0.25">
      <c r="N97" t="s">
        <v>268</v>
      </c>
      <c r="O97" t="s">
        <v>269</v>
      </c>
      <c r="P97" t="s">
        <v>321</v>
      </c>
      <c r="Q97" t="s">
        <v>1</v>
      </c>
      <c r="R97">
        <f t="shared" si="3"/>
        <v>10</v>
      </c>
      <c r="S97">
        <f t="shared" ca="1" si="4"/>
        <v>0</v>
      </c>
      <c r="T97">
        <f t="shared" si="5"/>
        <v>94</v>
      </c>
      <c r="U97" t="str">
        <f>IF($T97&lt;=Z$4,INDEX(TypicalCriticalitiesMAHBarrier23[Barrier Family Description],MATCH($T97,TypicalCriticalitiesMAHBarrier23[Barrier Family ID],0)),"")</f>
        <v/>
      </c>
      <c r="V97" t="str">
        <f ca="1">IF($T97&lt;=AA$4,INDEX(TypicalCriticalitiesMAHBarrier23[Typical Components],MATCH($T97,TypicalCriticalitiesMAHBarrier23[Column2],0)),"")</f>
        <v/>
      </c>
      <c r="W97" t="str">
        <f ca="1">IF($T97&lt;=AA$4,INDEX(TypicalCriticalitiesMAHBarrier23[Typical Criticality],MATCH($T97,TypicalCriticalitiesMAHBarrier23[Column2],0)),"")</f>
        <v/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322</v>
      </c>
      <c r="O98" t="s">
        <v>323</v>
      </c>
      <c r="P98" t="s">
        <v>632</v>
      </c>
      <c r="Q98" t="s">
        <v>0</v>
      </c>
      <c r="R98">
        <f t="shared" si="3"/>
        <v>11</v>
      </c>
      <c r="S98">
        <f t="shared" ca="1" si="4"/>
        <v>0</v>
      </c>
      <c r="T98">
        <f t="shared" si="5"/>
        <v>95</v>
      </c>
      <c r="U98" t="str">
        <f>IF($T98&lt;=Z$4,INDEX(TypicalCriticalitiesMAHBarrier23[Barrier Family Description],MATCH($T98,TypicalCriticalitiesMAHBarrier23[Barrier Family ID],0)),"")</f>
        <v/>
      </c>
      <c r="V98" t="str">
        <f ca="1">IF($T98&lt;=AA$4,INDEX(TypicalCriticalitiesMAHBarrier23[Typical Components],MATCH($T98,TypicalCriticalitiesMAHBarrier23[Column2],0)),"")</f>
        <v/>
      </c>
      <c r="W98" t="str">
        <f ca="1">IF($T98&lt;=AA$4,INDEX(TypicalCriticalitiesMAHBarrier23[Typical Criticality],MATCH($T98,TypicalCriticalitiesMAHBarrier23[Column2],0)),"")</f>
        <v/>
      </c>
      <c r="AE98" s="44"/>
      <c r="AF98" s="44"/>
      <c r="AG98" s="44"/>
      <c r="AH98" s="44"/>
      <c r="AI98" s="44"/>
      <c r="AJ98" s="44"/>
    </row>
    <row r="99" spans="14:36" x14ac:dyDescent="0.25">
      <c r="N99" t="s">
        <v>322</v>
      </c>
      <c r="O99" t="s">
        <v>323</v>
      </c>
      <c r="P99" t="s">
        <v>324</v>
      </c>
      <c r="Q99" t="s">
        <v>0</v>
      </c>
      <c r="R99">
        <f t="shared" si="3"/>
        <v>11</v>
      </c>
      <c r="S99">
        <f t="shared" ca="1" si="4"/>
        <v>0</v>
      </c>
      <c r="T99">
        <f t="shared" si="5"/>
        <v>96</v>
      </c>
      <c r="U99" t="str">
        <f>IF($T99&lt;=Z$4,INDEX(TypicalCriticalitiesMAHBarrier23[Barrier Family Description],MATCH($T99,TypicalCriticalitiesMAHBarrier23[Barrier Family ID],0)),"")</f>
        <v/>
      </c>
      <c r="V99" t="str">
        <f ca="1">IF($T99&lt;=AA$4,INDEX(TypicalCriticalitiesMAHBarrier23[Typical Components],MATCH($T99,TypicalCriticalitiesMAHBarrier23[Column2],0)),"")</f>
        <v/>
      </c>
      <c r="W99" t="str">
        <f ca="1">IF($T99&lt;=AA$4,INDEX(TypicalCriticalitiesMAHBarrier23[Typical Criticality],MATCH($T99,TypicalCriticalitiesMAHBarrier23[Column2],0)),"")</f>
        <v/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322</v>
      </c>
      <c r="O100" t="s">
        <v>323</v>
      </c>
      <c r="P100" t="s">
        <v>633</v>
      </c>
      <c r="Q100" t="s">
        <v>0</v>
      </c>
      <c r="R100">
        <f t="shared" si="3"/>
        <v>11</v>
      </c>
      <c r="S100">
        <f t="shared" ca="1" si="4"/>
        <v>0</v>
      </c>
      <c r="T100">
        <f t="shared" si="5"/>
        <v>97</v>
      </c>
      <c r="U100" t="str">
        <f>IF($T100&lt;=Z$4,INDEX(TypicalCriticalitiesMAHBarrier23[Barrier Family Description],MATCH($T100,TypicalCriticalitiesMAHBarrier23[Barrier Family ID],0)),"")</f>
        <v/>
      </c>
      <c r="V100" t="str">
        <f ca="1">IF($T100&lt;=AA$4,INDEX(TypicalCriticalitiesMAHBarrier23[Typical Components],MATCH($T100,TypicalCriticalitiesMAHBarrier23[Column2],0)),"")</f>
        <v/>
      </c>
      <c r="W100" t="str">
        <f ca="1">IF($T100&lt;=AA$4,INDEX(TypicalCriticalitiesMAHBarrier23[Typical Criticality],MATCH($T100,TypicalCriticalitiesMAHBarrier23[Column2],0)),"")</f>
        <v/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322</v>
      </c>
      <c r="O101" t="s">
        <v>323</v>
      </c>
      <c r="P101" t="s">
        <v>325</v>
      </c>
      <c r="Q101" t="s">
        <v>0</v>
      </c>
      <c r="R101">
        <f t="shared" si="3"/>
        <v>11</v>
      </c>
      <c r="S101">
        <f t="shared" ca="1" si="4"/>
        <v>0</v>
      </c>
      <c r="T101">
        <f t="shared" si="5"/>
        <v>98</v>
      </c>
      <c r="U101" t="str">
        <f>IF($T101&lt;=Z$4,INDEX(TypicalCriticalitiesMAHBarrier23[Barrier Family Description],MATCH($T101,TypicalCriticalitiesMAHBarrier23[Barrier Family ID],0)),"")</f>
        <v/>
      </c>
      <c r="V101" t="str">
        <f ca="1">IF($T101&lt;=AA$4,INDEX(TypicalCriticalitiesMAHBarrier23[Typical Components],MATCH($T101,TypicalCriticalitiesMAHBarrier23[Column2],0)),"")</f>
        <v/>
      </c>
      <c r="W101" t="str">
        <f ca="1">IF($T101&lt;=AA$4,INDEX(TypicalCriticalitiesMAHBarrier23[Typical Criticality],MATCH($T101,TypicalCriticalitiesMAHBarrier23[Column2],0)),"")</f>
        <v/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322</v>
      </c>
      <c r="O102" t="s">
        <v>323</v>
      </c>
      <c r="P102" t="s">
        <v>326</v>
      </c>
      <c r="Q102" t="s">
        <v>0</v>
      </c>
      <c r="R102">
        <f t="shared" si="3"/>
        <v>11</v>
      </c>
      <c r="S102">
        <f t="shared" ca="1" si="4"/>
        <v>0</v>
      </c>
      <c r="T102">
        <f t="shared" si="5"/>
        <v>99</v>
      </c>
      <c r="U102" t="str">
        <f>IF($T102&lt;=Z$4,INDEX(TypicalCriticalitiesMAHBarrier23[Barrier Family Description],MATCH($T102,TypicalCriticalitiesMAHBarrier23[Barrier Family ID],0)),"")</f>
        <v/>
      </c>
      <c r="V102" t="str">
        <f ca="1">IF($T102&lt;=AA$4,INDEX(TypicalCriticalitiesMAHBarrier23[Typical Components],MATCH($T102,TypicalCriticalitiesMAHBarrier23[Column2],0)),"")</f>
        <v/>
      </c>
      <c r="W102" t="str">
        <f ca="1">IF($T102&lt;=AA$4,INDEX(TypicalCriticalitiesMAHBarrier23[Typical Criticality],MATCH($T102,TypicalCriticalitiesMAHBarrier23[Column2],0)),"")</f>
        <v/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322</v>
      </c>
      <c r="O103" t="s">
        <v>323</v>
      </c>
      <c r="P103" t="s">
        <v>327</v>
      </c>
      <c r="Q103" t="s">
        <v>0</v>
      </c>
      <c r="R103">
        <f t="shared" si="3"/>
        <v>11</v>
      </c>
      <c r="S103">
        <f t="shared" ca="1" si="4"/>
        <v>0</v>
      </c>
      <c r="T103">
        <f t="shared" si="5"/>
        <v>100</v>
      </c>
      <c r="U103" t="str">
        <f>IF($T103&lt;=Z$4,INDEX(TypicalCriticalitiesMAHBarrier23[Barrier Family Description],MATCH($T103,TypicalCriticalitiesMAHBarrier23[Barrier Family ID],0)),"")</f>
        <v/>
      </c>
      <c r="V103" t="str">
        <f ca="1">IF($T103&lt;=AA$4,INDEX(TypicalCriticalitiesMAHBarrier23[Typical Components],MATCH($T103,TypicalCriticalitiesMAHBarrier23[Column2],0)),"")</f>
        <v/>
      </c>
      <c r="W103" t="str">
        <f ca="1">IF($T103&lt;=AA$4,INDEX(TypicalCriticalitiesMAHBarrier23[Typical Criticality],MATCH($T103,TypicalCriticalitiesMAHBarrier23[Column2],0)),"")</f>
        <v/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322</v>
      </c>
      <c r="O104" t="s">
        <v>323</v>
      </c>
      <c r="P104" t="s">
        <v>328</v>
      </c>
      <c r="Q104" t="s">
        <v>0</v>
      </c>
      <c r="R104">
        <f t="shared" si="3"/>
        <v>11</v>
      </c>
      <c r="S104">
        <f t="shared" ca="1" si="4"/>
        <v>0</v>
      </c>
      <c r="T104">
        <f t="shared" si="5"/>
        <v>101</v>
      </c>
      <c r="U104" t="str">
        <f>IF($T104&lt;=Z$4,INDEX(TypicalCriticalitiesMAHBarrier23[Barrier Family Description],MATCH($T104,TypicalCriticalitiesMAHBarrier23[Barrier Family ID],0)),"")</f>
        <v/>
      </c>
      <c r="V104" t="str">
        <f ca="1">IF($T104&lt;=AA$4,INDEX(TypicalCriticalitiesMAHBarrier23[Typical Components],MATCH($T104,TypicalCriticalitiesMAHBarrier23[Column2],0)),"")</f>
        <v/>
      </c>
      <c r="W104" t="str">
        <f ca="1">IF($T104&lt;=AA$4,INDEX(TypicalCriticalitiesMAHBarrier23[Typical Criticality],MATCH($T104,TypicalCriticalitiesMAHBarrier23[Column2],0)),"")</f>
        <v/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322</v>
      </c>
      <c r="O105" t="s">
        <v>323</v>
      </c>
      <c r="P105" t="s">
        <v>329</v>
      </c>
      <c r="Q105" t="s">
        <v>2</v>
      </c>
      <c r="R105">
        <f t="shared" si="3"/>
        <v>11</v>
      </c>
      <c r="S105">
        <f t="shared" ca="1" si="4"/>
        <v>0</v>
      </c>
      <c r="T105">
        <f t="shared" si="5"/>
        <v>102</v>
      </c>
      <c r="U105" t="str">
        <f>IF($T105&lt;=Z$4,INDEX(TypicalCriticalitiesMAHBarrier23[Barrier Family Description],MATCH($T105,TypicalCriticalitiesMAHBarrier23[Barrier Family ID],0)),"")</f>
        <v/>
      </c>
      <c r="V105" t="str">
        <f ca="1">IF($T105&lt;=AA$4,INDEX(TypicalCriticalitiesMAHBarrier23[Typical Components],MATCH($T105,TypicalCriticalitiesMAHBarrier23[Column2],0)),"")</f>
        <v/>
      </c>
      <c r="W105" t="str">
        <f ca="1">IF($T105&lt;=AA$4,INDEX(TypicalCriticalitiesMAHBarrier23[Typical Criticality],MATCH($T105,TypicalCriticalitiesMAHBarrier23[Column2],0)),"")</f>
        <v/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322</v>
      </c>
      <c r="O106" t="s">
        <v>323</v>
      </c>
      <c r="P106" t="s">
        <v>330</v>
      </c>
      <c r="Q106" t="s">
        <v>0</v>
      </c>
      <c r="R106">
        <f t="shared" si="3"/>
        <v>11</v>
      </c>
      <c r="S106">
        <f t="shared" ca="1" si="4"/>
        <v>0</v>
      </c>
      <c r="T106">
        <f t="shared" si="5"/>
        <v>103</v>
      </c>
      <c r="U106" t="str">
        <f>IF($T106&lt;=Z$4,INDEX(TypicalCriticalitiesMAHBarrier23[Barrier Family Description],MATCH($T106,TypicalCriticalitiesMAHBarrier23[Barrier Family ID],0)),"")</f>
        <v/>
      </c>
      <c r="V106" t="str">
        <f ca="1">IF($T106&lt;=AA$4,INDEX(TypicalCriticalitiesMAHBarrier23[Typical Components],MATCH($T106,TypicalCriticalitiesMAHBarrier23[Column2],0)),"")</f>
        <v/>
      </c>
      <c r="W106" t="str">
        <f ca="1">IF($T106&lt;=AA$4,INDEX(TypicalCriticalitiesMAHBarrier23[Typical Criticality],MATCH($T106,TypicalCriticalitiesMAHBarrier23[Column2],0)),"")</f>
        <v/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322</v>
      </c>
      <c r="O107" t="s">
        <v>323</v>
      </c>
      <c r="P107" t="s">
        <v>331</v>
      </c>
      <c r="Q107" t="s">
        <v>0</v>
      </c>
      <c r="R107">
        <f t="shared" si="3"/>
        <v>11</v>
      </c>
      <c r="S107">
        <f t="shared" ca="1" si="4"/>
        <v>0</v>
      </c>
      <c r="T107">
        <f t="shared" si="5"/>
        <v>104</v>
      </c>
      <c r="U107" t="str">
        <f>IF($T107&lt;=Z$4,INDEX(TypicalCriticalitiesMAHBarrier23[Barrier Family Description],MATCH($T107,TypicalCriticalitiesMAHBarrier23[Barrier Family ID],0)),"")</f>
        <v/>
      </c>
      <c r="V107" t="str">
        <f ca="1">IF($T107&lt;=AA$4,INDEX(TypicalCriticalitiesMAHBarrier23[Typical Components],MATCH($T107,TypicalCriticalitiesMAHBarrier23[Column2],0)),"")</f>
        <v/>
      </c>
      <c r="W107" t="str">
        <f ca="1">IF($T107&lt;=AA$4,INDEX(TypicalCriticalitiesMAHBarrier23[Typical Criticality],MATCH($T107,TypicalCriticalitiesMAHBarrier23[Column2],0)),"")</f>
        <v/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322</v>
      </c>
      <c r="O108" t="s">
        <v>323</v>
      </c>
      <c r="P108" t="s">
        <v>332</v>
      </c>
      <c r="Q108" t="s">
        <v>0</v>
      </c>
      <c r="R108">
        <f t="shared" si="3"/>
        <v>11</v>
      </c>
      <c r="S108">
        <f t="shared" ca="1" si="4"/>
        <v>0</v>
      </c>
      <c r="T108">
        <f t="shared" si="5"/>
        <v>105</v>
      </c>
      <c r="U108" t="str">
        <f>IF($T108&lt;=Z$4,INDEX(TypicalCriticalitiesMAHBarrier23[Barrier Family Description],MATCH($T108,TypicalCriticalitiesMAHBarrier23[Barrier Family ID],0)),"")</f>
        <v/>
      </c>
      <c r="V108" t="str">
        <f ca="1">IF($T108&lt;=AA$4,INDEX(TypicalCriticalitiesMAHBarrier23[Typical Components],MATCH($T108,TypicalCriticalitiesMAHBarrier23[Column2],0)),"")</f>
        <v/>
      </c>
      <c r="W108" t="str">
        <f ca="1">IF($T108&lt;=AA$4,INDEX(TypicalCriticalitiesMAHBarrier23[Typical Criticality],MATCH($T108,TypicalCriticalitiesMAHBarrier23[Column2],0)),"")</f>
        <v/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322</v>
      </c>
      <c r="O109" t="s">
        <v>323</v>
      </c>
      <c r="P109" t="s">
        <v>333</v>
      </c>
      <c r="Q109" t="s">
        <v>0</v>
      </c>
      <c r="R109">
        <f t="shared" si="3"/>
        <v>11</v>
      </c>
      <c r="S109">
        <f t="shared" ca="1" si="4"/>
        <v>0</v>
      </c>
      <c r="T109">
        <f t="shared" si="5"/>
        <v>106</v>
      </c>
      <c r="U109" t="str">
        <f>IF($T109&lt;=Z$4,INDEX(TypicalCriticalitiesMAHBarrier23[Barrier Family Description],MATCH($T109,TypicalCriticalitiesMAHBarrier23[Barrier Family ID],0)),"")</f>
        <v/>
      </c>
      <c r="V109" t="str">
        <f ca="1">IF($T109&lt;=AA$4,INDEX(TypicalCriticalitiesMAHBarrier23[Typical Components],MATCH($T109,TypicalCriticalitiesMAHBarrier23[Column2],0)),"")</f>
        <v/>
      </c>
      <c r="W109" t="str">
        <f ca="1">IF($T109&lt;=AA$4,INDEX(TypicalCriticalitiesMAHBarrier23[Typical Criticality],MATCH($T109,TypicalCriticalitiesMAHBarrier23[Column2],0)),"")</f>
        <v/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322</v>
      </c>
      <c r="O110" t="s">
        <v>323</v>
      </c>
      <c r="P110" t="s">
        <v>334</v>
      </c>
      <c r="Q110" t="s">
        <v>2</v>
      </c>
      <c r="R110">
        <f t="shared" si="3"/>
        <v>11</v>
      </c>
      <c r="S110">
        <f t="shared" ca="1" si="4"/>
        <v>0</v>
      </c>
      <c r="T110">
        <f t="shared" si="5"/>
        <v>107</v>
      </c>
      <c r="U110" t="str">
        <f>IF($T110&lt;=Z$4,INDEX(TypicalCriticalitiesMAHBarrier23[Barrier Family Description],MATCH($T110,TypicalCriticalitiesMAHBarrier23[Barrier Family ID],0)),"")</f>
        <v/>
      </c>
      <c r="V110" t="str">
        <f ca="1">IF($T110&lt;=AA$4,INDEX(TypicalCriticalitiesMAHBarrier23[Typical Components],MATCH($T110,TypicalCriticalitiesMAHBarrier23[Column2],0)),"")</f>
        <v/>
      </c>
      <c r="W110" t="str">
        <f ca="1">IF($T110&lt;=AA$4,INDEX(TypicalCriticalitiesMAHBarrier23[Typical Criticality],MATCH($T110,TypicalCriticalitiesMAHBarrier23[Column2],0)),"")</f>
        <v/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335</v>
      </c>
      <c r="O111" t="s">
        <v>336</v>
      </c>
      <c r="P111" t="s">
        <v>337</v>
      </c>
      <c r="Q111" t="s">
        <v>0</v>
      </c>
      <c r="R111">
        <f t="shared" si="3"/>
        <v>12</v>
      </c>
      <c r="S111">
        <f t="shared" ca="1" si="4"/>
        <v>0</v>
      </c>
      <c r="T111">
        <f t="shared" si="5"/>
        <v>108</v>
      </c>
      <c r="U111" t="str">
        <f>IF($T111&lt;=Z$4,INDEX(TypicalCriticalitiesMAHBarrier23[Barrier Family Description],MATCH($T111,TypicalCriticalitiesMAHBarrier23[Barrier Family ID],0)),"")</f>
        <v/>
      </c>
      <c r="V111" t="str">
        <f ca="1">IF($T111&lt;=AA$4,INDEX(TypicalCriticalitiesMAHBarrier23[Typical Components],MATCH($T111,TypicalCriticalitiesMAHBarrier23[Column2],0)),"")</f>
        <v/>
      </c>
      <c r="W111" t="str">
        <f ca="1">IF($T111&lt;=AA$4,INDEX(TypicalCriticalitiesMAHBarrier23[Typical Criticality],MATCH($T111,TypicalCriticalitiesMAHBarrier23[Column2],0)),"")</f>
        <v/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335</v>
      </c>
      <c r="O112" t="s">
        <v>336</v>
      </c>
      <c r="P112" t="s">
        <v>338</v>
      </c>
      <c r="Q112" t="s">
        <v>1</v>
      </c>
      <c r="R112">
        <f t="shared" si="3"/>
        <v>12</v>
      </c>
      <c r="S112">
        <f t="shared" ca="1" si="4"/>
        <v>0</v>
      </c>
      <c r="T112">
        <f t="shared" si="5"/>
        <v>109</v>
      </c>
      <c r="U112" t="str">
        <f>IF($T112&lt;=Z$4,INDEX(TypicalCriticalitiesMAHBarrier23[Barrier Family Description],MATCH($T112,TypicalCriticalitiesMAHBarrier23[Barrier Family ID],0)),"")</f>
        <v/>
      </c>
      <c r="V112" t="str">
        <f ca="1">IF($T112&lt;=AA$4,INDEX(TypicalCriticalitiesMAHBarrier23[Typical Components],MATCH($T112,TypicalCriticalitiesMAHBarrier23[Column2],0)),"")</f>
        <v/>
      </c>
      <c r="W112" t="str">
        <f ca="1">IF($T112&lt;=AA$4,INDEX(TypicalCriticalitiesMAHBarrier23[Typical Criticality],MATCH($T112,TypicalCriticalitiesMAHBarrier23[Column2],0)),"")</f>
        <v/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335</v>
      </c>
      <c r="O113" t="s">
        <v>336</v>
      </c>
      <c r="P113" t="s">
        <v>339</v>
      </c>
      <c r="Q113" t="s">
        <v>1</v>
      </c>
      <c r="R113">
        <f t="shared" si="3"/>
        <v>12</v>
      </c>
      <c r="S113">
        <f t="shared" ca="1" si="4"/>
        <v>0</v>
      </c>
      <c r="T113">
        <f t="shared" si="5"/>
        <v>110</v>
      </c>
      <c r="U113" t="str">
        <f>IF($T113&lt;=Z$4,INDEX(TypicalCriticalitiesMAHBarrier23[Barrier Family Description],MATCH($T113,TypicalCriticalitiesMAHBarrier23[Barrier Family ID],0)),"")</f>
        <v/>
      </c>
      <c r="V113" t="str">
        <f ca="1">IF($T113&lt;=AA$4,INDEX(TypicalCriticalitiesMAHBarrier23[Typical Components],MATCH($T113,TypicalCriticalitiesMAHBarrier23[Column2],0)),"")</f>
        <v/>
      </c>
      <c r="W113" t="str">
        <f ca="1">IF($T113&lt;=AA$4,INDEX(TypicalCriticalitiesMAHBarrier23[Typical Criticality],MATCH($T113,TypicalCriticalitiesMAHBarrier23[Column2],0)),"")</f>
        <v/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335</v>
      </c>
      <c r="O114" t="s">
        <v>336</v>
      </c>
      <c r="P114" t="s">
        <v>340</v>
      </c>
      <c r="Q114" t="s">
        <v>1</v>
      </c>
      <c r="R114">
        <f t="shared" si="3"/>
        <v>12</v>
      </c>
      <c r="S114">
        <f t="shared" ca="1" si="4"/>
        <v>0</v>
      </c>
      <c r="T114">
        <f t="shared" si="5"/>
        <v>111</v>
      </c>
      <c r="U114" t="str">
        <f>IF($T114&lt;=Z$4,INDEX(TypicalCriticalitiesMAHBarrier23[Barrier Family Description],MATCH($T114,TypicalCriticalitiesMAHBarrier23[Barrier Family ID],0)),"")</f>
        <v/>
      </c>
      <c r="V114" t="str">
        <f ca="1">IF($T114&lt;=AA$4,INDEX(TypicalCriticalitiesMAHBarrier23[Typical Components],MATCH($T114,TypicalCriticalitiesMAHBarrier23[Column2],0)),"")</f>
        <v/>
      </c>
      <c r="W114" t="str">
        <f ca="1">IF($T114&lt;=AA$4,INDEX(TypicalCriticalitiesMAHBarrier23[Typical Criticality],MATCH($T114,TypicalCriticalitiesMAHBarrier23[Column2],0)),"")</f>
        <v/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335</v>
      </c>
      <c r="O115" t="s">
        <v>336</v>
      </c>
      <c r="P115" t="s">
        <v>341</v>
      </c>
      <c r="Q115" t="s">
        <v>0</v>
      </c>
      <c r="R115">
        <f t="shared" si="3"/>
        <v>12</v>
      </c>
      <c r="S115">
        <f t="shared" ca="1" si="4"/>
        <v>0</v>
      </c>
      <c r="T115">
        <f t="shared" si="5"/>
        <v>112</v>
      </c>
      <c r="U115" t="str">
        <f>IF($T115&lt;=Z$4,INDEX(TypicalCriticalitiesMAHBarrier23[Barrier Family Description],MATCH($T115,TypicalCriticalitiesMAHBarrier23[Barrier Family ID],0)),"")</f>
        <v/>
      </c>
      <c r="V115" t="str">
        <f ca="1">IF($T115&lt;=AA$4,INDEX(TypicalCriticalitiesMAHBarrier23[Typical Components],MATCH($T115,TypicalCriticalitiesMAHBarrier23[Column2],0)),"")</f>
        <v/>
      </c>
      <c r="W115" t="str">
        <f ca="1">IF($T115&lt;=AA$4,INDEX(TypicalCriticalitiesMAHBarrier23[Typical Criticality],MATCH($T115,TypicalCriticalitiesMAHBarrier23[Column2],0)),"")</f>
        <v/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335</v>
      </c>
      <c r="O116" t="s">
        <v>336</v>
      </c>
      <c r="P116" t="s">
        <v>342</v>
      </c>
      <c r="Q116" t="s">
        <v>1</v>
      </c>
      <c r="R116">
        <f t="shared" si="3"/>
        <v>12</v>
      </c>
      <c r="S116">
        <f t="shared" ca="1" si="4"/>
        <v>0</v>
      </c>
      <c r="T116">
        <f t="shared" si="5"/>
        <v>113</v>
      </c>
      <c r="U116" t="str">
        <f>IF($T116&lt;=Z$4,INDEX(TypicalCriticalitiesMAHBarrier23[Barrier Family Description],MATCH($T116,TypicalCriticalitiesMAHBarrier23[Barrier Family ID],0)),"")</f>
        <v/>
      </c>
      <c r="V116" t="str">
        <f ca="1">IF($T116&lt;=AA$4,INDEX(TypicalCriticalitiesMAHBarrier23[Typical Components],MATCH($T116,TypicalCriticalitiesMAHBarrier23[Column2],0)),"")</f>
        <v/>
      </c>
      <c r="W116" t="str">
        <f ca="1">IF($T116&lt;=AA$4,INDEX(TypicalCriticalitiesMAHBarrier23[Typical Criticality],MATCH($T116,TypicalCriticalitiesMAHBarrier23[Column2],0)),"")</f>
        <v/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335</v>
      </c>
      <c r="O117" t="s">
        <v>336</v>
      </c>
      <c r="P117" t="s">
        <v>343</v>
      </c>
      <c r="Q117" t="s">
        <v>0</v>
      </c>
      <c r="R117">
        <f t="shared" si="3"/>
        <v>12</v>
      </c>
      <c r="S117">
        <f t="shared" ca="1" si="4"/>
        <v>0</v>
      </c>
      <c r="T117">
        <f t="shared" si="5"/>
        <v>114</v>
      </c>
      <c r="U117" t="str">
        <f>IF($T117&lt;=Z$4,INDEX(TypicalCriticalitiesMAHBarrier23[Barrier Family Description],MATCH($T117,TypicalCriticalitiesMAHBarrier23[Barrier Family ID],0)),"")</f>
        <v/>
      </c>
      <c r="V117" t="str">
        <f ca="1">IF($T117&lt;=AA$4,INDEX(TypicalCriticalitiesMAHBarrier23[Typical Components],MATCH($T117,TypicalCriticalitiesMAHBarrier23[Column2],0)),"")</f>
        <v/>
      </c>
      <c r="W117" t="str">
        <f ca="1">IF($T117&lt;=AA$4,INDEX(TypicalCriticalitiesMAHBarrier23[Typical Criticality],MATCH($T117,TypicalCriticalitiesMAHBarrier23[Column2],0)),"")</f>
        <v/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335</v>
      </c>
      <c r="O118" t="s">
        <v>336</v>
      </c>
      <c r="P118" t="s">
        <v>344</v>
      </c>
      <c r="Q118" t="s">
        <v>0</v>
      </c>
      <c r="R118">
        <f t="shared" si="3"/>
        <v>12</v>
      </c>
      <c r="S118">
        <f t="shared" ca="1" si="4"/>
        <v>0</v>
      </c>
      <c r="T118">
        <f t="shared" si="5"/>
        <v>115</v>
      </c>
      <c r="U118" t="str">
        <f>IF($T118&lt;=Z$4,INDEX(TypicalCriticalitiesMAHBarrier23[Barrier Family Description],MATCH($T118,TypicalCriticalitiesMAHBarrier23[Barrier Family ID],0)),"")</f>
        <v/>
      </c>
      <c r="V118" t="str">
        <f ca="1">IF($T118&lt;=AA$4,INDEX(TypicalCriticalitiesMAHBarrier23[Typical Components],MATCH($T118,TypicalCriticalitiesMAHBarrier23[Column2],0)),"")</f>
        <v/>
      </c>
      <c r="W118" t="str">
        <f ca="1">IF($T118&lt;=AA$4,INDEX(TypicalCriticalitiesMAHBarrier23[Typical Criticality],MATCH($T118,TypicalCriticalitiesMAHBarrier23[Column2],0)),"")</f>
        <v/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335</v>
      </c>
      <c r="O119" t="s">
        <v>336</v>
      </c>
      <c r="P119" t="s">
        <v>345</v>
      </c>
      <c r="Q119" t="s">
        <v>0</v>
      </c>
      <c r="R119">
        <f t="shared" si="3"/>
        <v>12</v>
      </c>
      <c r="S119">
        <f t="shared" ca="1" si="4"/>
        <v>0</v>
      </c>
      <c r="T119">
        <f t="shared" si="5"/>
        <v>116</v>
      </c>
      <c r="U119" t="str">
        <f>IF($T119&lt;=Z$4,INDEX(TypicalCriticalitiesMAHBarrier23[Barrier Family Description],MATCH($T119,TypicalCriticalitiesMAHBarrier23[Barrier Family ID],0)),"")</f>
        <v/>
      </c>
      <c r="V119" t="str">
        <f ca="1">IF($T119&lt;=AA$4,INDEX(TypicalCriticalitiesMAHBarrier23[Typical Components],MATCH($T119,TypicalCriticalitiesMAHBarrier23[Column2],0)),"")</f>
        <v/>
      </c>
      <c r="W119" t="str">
        <f ca="1">IF($T119&lt;=AA$4,INDEX(TypicalCriticalitiesMAHBarrier23[Typical Criticality],MATCH($T119,TypicalCriticalitiesMAHBarrier23[Column2],0)),"")</f>
        <v/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335</v>
      </c>
      <c r="O120" t="s">
        <v>336</v>
      </c>
      <c r="P120" t="s">
        <v>346</v>
      </c>
      <c r="Q120" t="s">
        <v>0</v>
      </c>
      <c r="R120">
        <f t="shared" si="3"/>
        <v>12</v>
      </c>
      <c r="S120">
        <f t="shared" ca="1" si="4"/>
        <v>0</v>
      </c>
      <c r="T120">
        <f t="shared" si="5"/>
        <v>117</v>
      </c>
      <c r="U120" t="str">
        <f>IF($T120&lt;=Z$4,INDEX(TypicalCriticalitiesMAHBarrier23[Barrier Family Description],MATCH($T120,TypicalCriticalitiesMAHBarrier23[Barrier Family ID],0)),"")</f>
        <v/>
      </c>
      <c r="V120" t="str">
        <f ca="1">IF($T120&lt;=AA$4,INDEX(TypicalCriticalitiesMAHBarrier23[Typical Components],MATCH($T120,TypicalCriticalitiesMAHBarrier23[Column2],0)),"")</f>
        <v/>
      </c>
      <c r="W120" t="str">
        <f ca="1">IF($T120&lt;=AA$4,INDEX(TypicalCriticalitiesMAHBarrier23[Typical Criticality],MATCH($T120,TypicalCriticalitiesMAHBarrier23[Column2],0)),"")</f>
        <v/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335</v>
      </c>
      <c r="O121" t="s">
        <v>336</v>
      </c>
      <c r="P121" t="s">
        <v>347</v>
      </c>
      <c r="Q121" t="s">
        <v>0</v>
      </c>
      <c r="R121">
        <f t="shared" si="3"/>
        <v>12</v>
      </c>
      <c r="S121">
        <f t="shared" ca="1" si="4"/>
        <v>0</v>
      </c>
      <c r="T121">
        <f t="shared" si="5"/>
        <v>118</v>
      </c>
      <c r="U121" t="str">
        <f>IF($T121&lt;=Z$4,INDEX(TypicalCriticalitiesMAHBarrier23[Barrier Family Description],MATCH($T121,TypicalCriticalitiesMAHBarrier23[Barrier Family ID],0)),"")</f>
        <v/>
      </c>
      <c r="V121" t="str">
        <f ca="1">IF($T121&lt;=AA$4,INDEX(TypicalCriticalitiesMAHBarrier23[Typical Components],MATCH($T121,TypicalCriticalitiesMAHBarrier23[Column2],0)),"")</f>
        <v/>
      </c>
      <c r="W121" t="str">
        <f ca="1">IF($T121&lt;=AA$4,INDEX(TypicalCriticalitiesMAHBarrier23[Typical Criticality],MATCH($T121,TypicalCriticalitiesMAHBarrier23[Column2],0)),"")</f>
        <v/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335</v>
      </c>
      <c r="O122" t="s">
        <v>336</v>
      </c>
      <c r="P122" t="s">
        <v>348</v>
      </c>
      <c r="Q122" t="s">
        <v>1</v>
      </c>
      <c r="R122">
        <f t="shared" si="3"/>
        <v>12</v>
      </c>
      <c r="S122">
        <f t="shared" ca="1" si="4"/>
        <v>0</v>
      </c>
      <c r="T122">
        <f t="shared" si="5"/>
        <v>119</v>
      </c>
      <c r="U122" t="str">
        <f>IF($T122&lt;=Z$4,INDEX(TypicalCriticalitiesMAHBarrier23[Barrier Family Description],MATCH($T122,TypicalCriticalitiesMAHBarrier23[Barrier Family ID],0)),"")</f>
        <v/>
      </c>
      <c r="V122" t="str">
        <f ca="1">IF($T122&lt;=AA$4,INDEX(TypicalCriticalitiesMAHBarrier23[Typical Components],MATCH($T122,TypicalCriticalitiesMAHBarrier23[Column2],0)),"")</f>
        <v/>
      </c>
      <c r="W122" t="str">
        <f ca="1">IF($T122&lt;=AA$4,INDEX(TypicalCriticalitiesMAHBarrier23[Typical Criticality],MATCH($T122,TypicalCriticalitiesMAHBarrier23[Column2],0)),"")</f>
        <v/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335</v>
      </c>
      <c r="O123" t="s">
        <v>349</v>
      </c>
      <c r="P123" t="s">
        <v>350</v>
      </c>
      <c r="Q123" t="s">
        <v>1</v>
      </c>
      <c r="R123">
        <f t="shared" si="3"/>
        <v>13</v>
      </c>
      <c r="S123">
        <f t="shared" ca="1" si="4"/>
        <v>0</v>
      </c>
      <c r="T123">
        <f t="shared" si="5"/>
        <v>120</v>
      </c>
      <c r="U123" t="str">
        <f>IF($T123&lt;=Z$4,INDEX(TypicalCriticalitiesMAHBarrier23[Barrier Family Description],MATCH($T123,TypicalCriticalitiesMAHBarrier23[Barrier Family ID],0)),"")</f>
        <v/>
      </c>
      <c r="V123" t="str">
        <f ca="1">IF($T123&lt;=AA$4,INDEX(TypicalCriticalitiesMAHBarrier23[Typical Components],MATCH($T123,TypicalCriticalitiesMAHBarrier23[Column2],0)),"")</f>
        <v/>
      </c>
      <c r="W123" t="str">
        <f ca="1">IF($T123&lt;=AA$4,INDEX(TypicalCriticalitiesMAHBarrier23[Typical Criticality],MATCH($T123,TypicalCriticalitiesMAHBarrier23[Column2],0)),"")</f>
        <v/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335</v>
      </c>
      <c r="O124" t="s">
        <v>349</v>
      </c>
      <c r="P124" t="s">
        <v>351</v>
      </c>
      <c r="Q124" t="s">
        <v>0</v>
      </c>
      <c r="R124">
        <f t="shared" si="3"/>
        <v>13</v>
      </c>
      <c r="S124">
        <f t="shared" ca="1" si="4"/>
        <v>0</v>
      </c>
      <c r="T124">
        <f t="shared" si="5"/>
        <v>121</v>
      </c>
      <c r="U124" t="str">
        <f>IF($T124&lt;=Z$4,INDEX(TypicalCriticalitiesMAHBarrier23[Barrier Family Description],MATCH($T124,TypicalCriticalitiesMAHBarrier23[Barrier Family ID],0)),"")</f>
        <v/>
      </c>
      <c r="V124" t="str">
        <f ca="1">IF($T124&lt;=AA$4,INDEX(TypicalCriticalitiesMAHBarrier23[Typical Components],MATCH($T124,TypicalCriticalitiesMAHBarrier23[Column2],0)),"")</f>
        <v/>
      </c>
      <c r="W124" t="str">
        <f ca="1">IF($T124&lt;=AA$4,INDEX(TypicalCriticalitiesMAHBarrier23[Typical Criticality],MATCH($T124,TypicalCriticalitiesMAHBarrier23[Column2],0)),"")</f>
        <v/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335</v>
      </c>
      <c r="O125" t="s">
        <v>352</v>
      </c>
      <c r="P125" t="s">
        <v>353</v>
      </c>
      <c r="Q125" t="s">
        <v>1</v>
      </c>
      <c r="R125">
        <f t="shared" si="3"/>
        <v>14</v>
      </c>
      <c r="S125">
        <f t="shared" ca="1" si="4"/>
        <v>0</v>
      </c>
      <c r="T125">
        <f t="shared" si="5"/>
        <v>122</v>
      </c>
      <c r="U125" t="str">
        <f>IF($T125&lt;=Z$4,INDEX(TypicalCriticalitiesMAHBarrier23[Barrier Family Description],MATCH($T125,TypicalCriticalitiesMAHBarrier23[Barrier Family ID],0)),"")</f>
        <v/>
      </c>
      <c r="V125" t="str">
        <f ca="1">IF($T125&lt;=AA$4,INDEX(TypicalCriticalitiesMAHBarrier23[Typical Components],MATCH($T125,TypicalCriticalitiesMAHBarrier23[Column2],0)),"")</f>
        <v/>
      </c>
      <c r="W125" t="str">
        <f ca="1">IF($T125&lt;=AA$4,INDEX(TypicalCriticalitiesMAHBarrier23[Typical Criticality],MATCH($T125,TypicalCriticalitiesMAHBarrier23[Column2],0)),"")</f>
        <v/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335</v>
      </c>
      <c r="O126" t="s">
        <v>352</v>
      </c>
      <c r="P126" t="s">
        <v>338</v>
      </c>
      <c r="Q126" t="s">
        <v>1</v>
      </c>
      <c r="R126">
        <f t="shared" si="3"/>
        <v>14</v>
      </c>
      <c r="S126">
        <f t="shared" ca="1" si="4"/>
        <v>0</v>
      </c>
      <c r="T126">
        <f t="shared" si="5"/>
        <v>123</v>
      </c>
      <c r="U126" t="str">
        <f>IF($T126&lt;=Z$4,INDEX(TypicalCriticalitiesMAHBarrier23[Barrier Family Description],MATCH($T126,TypicalCriticalitiesMAHBarrier23[Barrier Family ID],0)),"")</f>
        <v/>
      </c>
      <c r="V126" t="str">
        <f ca="1">IF($T126&lt;=AA$4,INDEX(TypicalCriticalitiesMAHBarrier23[Typical Components],MATCH($T126,TypicalCriticalitiesMAHBarrier23[Column2],0)),"")</f>
        <v/>
      </c>
      <c r="W126" t="str">
        <f ca="1">IF($T126&lt;=AA$4,INDEX(TypicalCriticalitiesMAHBarrier23[Typical Criticality],MATCH($T126,TypicalCriticalitiesMAHBarrier23[Column2],0)),"")</f>
        <v/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335</v>
      </c>
      <c r="O127" t="s">
        <v>352</v>
      </c>
      <c r="P127" t="s">
        <v>354</v>
      </c>
      <c r="Q127" t="s">
        <v>1</v>
      </c>
      <c r="R127">
        <f t="shared" si="3"/>
        <v>14</v>
      </c>
      <c r="S127">
        <f t="shared" ca="1" si="4"/>
        <v>0</v>
      </c>
      <c r="T127">
        <f t="shared" si="5"/>
        <v>124</v>
      </c>
      <c r="U127" t="str">
        <f>IF($T127&lt;=Z$4,INDEX(TypicalCriticalitiesMAHBarrier23[Barrier Family Description],MATCH($T127,TypicalCriticalitiesMAHBarrier23[Barrier Family ID],0)),"")</f>
        <v/>
      </c>
      <c r="V127" t="str">
        <f ca="1">IF($T127&lt;=AA$4,INDEX(TypicalCriticalitiesMAHBarrier23[Typical Components],MATCH($T127,TypicalCriticalitiesMAHBarrier23[Column2],0)),"")</f>
        <v/>
      </c>
      <c r="W127" t="str">
        <f ca="1">IF($T127&lt;=AA$4,INDEX(TypicalCriticalitiesMAHBarrier23[Typical Criticality],MATCH($T127,TypicalCriticalitiesMAHBarrier23[Column2],0)),"")</f>
        <v/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335</v>
      </c>
      <c r="O128" t="s">
        <v>352</v>
      </c>
      <c r="P128" t="s">
        <v>342</v>
      </c>
      <c r="Q128" t="s">
        <v>1</v>
      </c>
      <c r="R128">
        <f t="shared" si="3"/>
        <v>14</v>
      </c>
      <c r="S128">
        <f t="shared" ca="1" si="4"/>
        <v>0</v>
      </c>
      <c r="T128">
        <f t="shared" si="5"/>
        <v>125</v>
      </c>
      <c r="U128" t="str">
        <f>IF($T128&lt;=Z$4,INDEX(TypicalCriticalitiesMAHBarrier23[Barrier Family Description],MATCH($T128,TypicalCriticalitiesMAHBarrier23[Barrier Family ID],0)),"")</f>
        <v/>
      </c>
      <c r="V128" t="str">
        <f ca="1">IF($T128&lt;=AA$4,INDEX(TypicalCriticalitiesMAHBarrier23[Typical Components],MATCH($T128,TypicalCriticalitiesMAHBarrier23[Column2],0)),"")</f>
        <v/>
      </c>
      <c r="W128" t="str">
        <f ca="1">IF($T128&lt;=AA$4,INDEX(TypicalCriticalitiesMAHBarrier23[Typical Criticality],MATCH($T128,TypicalCriticalitiesMAHBarrier23[Column2],0)),"")</f>
        <v/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335</v>
      </c>
      <c r="O129" t="s">
        <v>352</v>
      </c>
      <c r="P129" t="s">
        <v>355</v>
      </c>
      <c r="Q129" t="s">
        <v>0</v>
      </c>
      <c r="R129">
        <f t="shared" si="3"/>
        <v>14</v>
      </c>
      <c r="S129">
        <f t="shared" ca="1" si="4"/>
        <v>0</v>
      </c>
      <c r="T129">
        <f t="shared" si="5"/>
        <v>126</v>
      </c>
      <c r="U129" t="str">
        <f>IF($T129&lt;=Z$4,INDEX(TypicalCriticalitiesMAHBarrier23[Barrier Family Description],MATCH($T129,TypicalCriticalitiesMAHBarrier23[Barrier Family ID],0)),"")</f>
        <v/>
      </c>
      <c r="V129" t="str">
        <f ca="1">IF($T129&lt;=AA$4,INDEX(TypicalCriticalitiesMAHBarrier23[Typical Components],MATCH($T129,TypicalCriticalitiesMAHBarrier23[Column2],0)),"")</f>
        <v/>
      </c>
      <c r="W129" t="str">
        <f ca="1">IF($T129&lt;=AA$4,INDEX(TypicalCriticalitiesMAHBarrier23[Typical Criticality],MATCH($T129,TypicalCriticalitiesMAHBarrier23[Column2],0)),"")</f>
        <v/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335</v>
      </c>
      <c r="O130" t="s">
        <v>352</v>
      </c>
      <c r="P130" t="s">
        <v>356</v>
      </c>
      <c r="Q130" t="s">
        <v>1</v>
      </c>
      <c r="R130">
        <f t="shared" si="3"/>
        <v>14</v>
      </c>
      <c r="S130">
        <f t="shared" ca="1" si="4"/>
        <v>0</v>
      </c>
      <c r="T130">
        <f t="shared" si="5"/>
        <v>127</v>
      </c>
      <c r="U130" t="str">
        <f>IF($T130&lt;=Z$4,INDEX(TypicalCriticalitiesMAHBarrier23[Barrier Family Description],MATCH($T130,TypicalCriticalitiesMAHBarrier23[Barrier Family ID],0)),"")</f>
        <v/>
      </c>
      <c r="V130" t="str">
        <f ca="1">IF($T130&lt;=AA$4,INDEX(TypicalCriticalitiesMAHBarrier23[Typical Components],MATCH($T130,TypicalCriticalitiesMAHBarrier23[Column2],0)),"")</f>
        <v/>
      </c>
      <c r="W130" t="str">
        <f ca="1">IF($T130&lt;=AA$4,INDEX(TypicalCriticalitiesMAHBarrier23[Typical Criticality],MATCH($T130,TypicalCriticalitiesMAHBarrier23[Column2],0)),"")</f>
        <v/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357</v>
      </c>
      <c r="O131" t="s">
        <v>358</v>
      </c>
      <c r="P131" t="s">
        <v>359</v>
      </c>
      <c r="Q131" t="s">
        <v>0</v>
      </c>
      <c r="R131">
        <f t="shared" si="3"/>
        <v>15</v>
      </c>
      <c r="S131">
        <f t="shared" ca="1" si="4"/>
        <v>0</v>
      </c>
      <c r="T131">
        <f t="shared" si="5"/>
        <v>128</v>
      </c>
      <c r="U131" t="str">
        <f>IF($T131&lt;=Z$4,INDEX(TypicalCriticalitiesMAHBarrier23[Barrier Family Description],MATCH($T131,TypicalCriticalitiesMAHBarrier23[Barrier Family ID],0)),"")</f>
        <v/>
      </c>
      <c r="V131" t="str">
        <f ca="1">IF($T131&lt;=AA$4,INDEX(TypicalCriticalitiesMAHBarrier23[Typical Components],MATCH($T131,TypicalCriticalitiesMAHBarrier23[Column2],0)),"")</f>
        <v/>
      </c>
      <c r="W131" t="str">
        <f ca="1">IF($T131&lt;=AA$4,INDEX(TypicalCriticalitiesMAHBarrier23[Typical Criticality],MATCH($T131,TypicalCriticalitiesMAHBarrier23[Column2],0)),"")</f>
        <v/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357</v>
      </c>
      <c r="O132" t="s">
        <v>358</v>
      </c>
      <c r="P132" t="s">
        <v>360</v>
      </c>
      <c r="Q132" t="s">
        <v>0</v>
      </c>
      <c r="R132">
        <f t="shared" si="3"/>
        <v>15</v>
      </c>
      <c r="S132">
        <f t="shared" ca="1" si="4"/>
        <v>0</v>
      </c>
      <c r="T132">
        <f t="shared" si="5"/>
        <v>129</v>
      </c>
      <c r="U132" t="str">
        <f>IF($T132&lt;=Z$4,INDEX(TypicalCriticalitiesMAHBarrier23[Barrier Family Description],MATCH($T132,TypicalCriticalitiesMAHBarrier23[Barrier Family ID],0)),"")</f>
        <v/>
      </c>
      <c r="V132" t="str">
        <f ca="1">IF($T132&lt;=AA$4,INDEX(TypicalCriticalitiesMAHBarrier23[Typical Components],MATCH($T132,TypicalCriticalitiesMAHBarrier23[Column2],0)),"")</f>
        <v/>
      </c>
      <c r="W132" t="str">
        <f ca="1">IF($T132&lt;=AA$4,INDEX(TypicalCriticalitiesMAHBarrier23[Typical Criticality],MATCH($T132,TypicalCriticalitiesMAHBarrier23[Column2],0)),"")</f>
        <v/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357</v>
      </c>
      <c r="O133" t="s">
        <v>358</v>
      </c>
      <c r="P133" t="s">
        <v>361</v>
      </c>
      <c r="Q133" t="s">
        <v>1</v>
      </c>
      <c r="R133">
        <f t="shared" ref="R133:R196" si="6">IF(AND(O133&lt;&gt;O132,O133&lt;&gt;""),R132+1,R132)</f>
        <v>15</v>
      </c>
      <c r="S133">
        <f t="shared" ref="S133:S196" ca="1" si="7">IF(R133=$Z$5,IF(AND(P133&lt;&gt;P132,P133&lt;&gt;""),S132+1,S132),S132)</f>
        <v>0</v>
      </c>
      <c r="T133">
        <f t="shared" ref="T133:T196" si="8">T132+1</f>
        <v>130</v>
      </c>
      <c r="U133" t="str">
        <f>IF($T133&lt;=Z$4,INDEX(TypicalCriticalitiesMAHBarrier23[Barrier Family Description],MATCH($T133,TypicalCriticalitiesMAHBarrier23[Barrier Family ID],0)),"")</f>
        <v/>
      </c>
      <c r="V133" t="str">
        <f ca="1">IF($T133&lt;=AA$4,INDEX(TypicalCriticalitiesMAHBarrier23[Typical Components],MATCH($T133,TypicalCriticalitiesMAHBarrier23[Column2],0)),"")</f>
        <v/>
      </c>
      <c r="W133" t="str">
        <f ca="1">IF($T133&lt;=AA$4,INDEX(TypicalCriticalitiesMAHBarrier23[Typical Criticality],MATCH($T133,TypicalCriticalitiesMAHBarrier23[Column2],0)),"")</f>
        <v/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357</v>
      </c>
      <c r="O134" t="s">
        <v>358</v>
      </c>
      <c r="P134" t="s">
        <v>362</v>
      </c>
      <c r="Q134" t="s">
        <v>1</v>
      </c>
      <c r="R134">
        <f t="shared" si="6"/>
        <v>15</v>
      </c>
      <c r="S134">
        <f t="shared" ca="1" si="7"/>
        <v>0</v>
      </c>
      <c r="T134">
        <f t="shared" si="8"/>
        <v>131</v>
      </c>
      <c r="U134" t="str">
        <f>IF($T134&lt;=Z$4,INDEX(TypicalCriticalitiesMAHBarrier23[Barrier Family Description],MATCH($T134,TypicalCriticalitiesMAHBarrier23[Barrier Family ID],0)),"")</f>
        <v/>
      </c>
      <c r="V134" t="str">
        <f ca="1">IF($T134&lt;=AA$4,INDEX(TypicalCriticalitiesMAHBarrier23[Typical Components],MATCH($T134,TypicalCriticalitiesMAHBarrier23[Column2],0)),"")</f>
        <v/>
      </c>
      <c r="W134" t="str">
        <f ca="1">IF($T134&lt;=AA$4,INDEX(TypicalCriticalitiesMAHBarrier23[Typical Criticality],MATCH($T134,TypicalCriticalitiesMAHBarrier23[Column2],0)),"")</f>
        <v/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357</v>
      </c>
      <c r="O135" t="s">
        <v>358</v>
      </c>
      <c r="P135" t="s">
        <v>363</v>
      </c>
      <c r="Q135" t="s">
        <v>0</v>
      </c>
      <c r="R135">
        <f t="shared" si="6"/>
        <v>15</v>
      </c>
      <c r="S135">
        <f t="shared" ca="1" si="7"/>
        <v>0</v>
      </c>
      <c r="T135">
        <f t="shared" si="8"/>
        <v>132</v>
      </c>
      <c r="U135" t="str">
        <f>IF($T135&lt;=Z$4,INDEX(TypicalCriticalitiesMAHBarrier23[Barrier Family Description],MATCH($T135,TypicalCriticalitiesMAHBarrier23[Barrier Family ID],0)),"")</f>
        <v/>
      </c>
      <c r="V135" t="str">
        <f ca="1">IF($T135&lt;=AA$4,INDEX(TypicalCriticalitiesMAHBarrier23[Typical Components],MATCH($T135,TypicalCriticalitiesMAHBarrier23[Column2],0)),"")</f>
        <v/>
      </c>
      <c r="W135" t="str">
        <f ca="1">IF($T135&lt;=AA$4,INDEX(TypicalCriticalitiesMAHBarrier23[Typical Criticality],MATCH($T135,TypicalCriticalitiesMAHBarrier23[Column2],0)),"")</f>
        <v/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357</v>
      </c>
      <c r="O136" t="s">
        <v>358</v>
      </c>
      <c r="P136" t="s">
        <v>364</v>
      </c>
      <c r="Q136" t="s">
        <v>1</v>
      </c>
      <c r="R136">
        <f t="shared" si="6"/>
        <v>15</v>
      </c>
      <c r="S136">
        <f t="shared" ca="1" si="7"/>
        <v>0</v>
      </c>
      <c r="T136">
        <f t="shared" si="8"/>
        <v>133</v>
      </c>
      <c r="U136" t="str">
        <f>IF($T136&lt;=Z$4,INDEX(TypicalCriticalitiesMAHBarrier23[Barrier Family Description],MATCH($T136,TypicalCriticalitiesMAHBarrier23[Barrier Family ID],0)),"")</f>
        <v/>
      </c>
      <c r="V136" t="str">
        <f ca="1">IF($T136&lt;=AA$4,INDEX(TypicalCriticalitiesMAHBarrier23[Typical Components],MATCH($T136,TypicalCriticalitiesMAHBarrier23[Column2],0)),"")</f>
        <v/>
      </c>
      <c r="W136" t="str">
        <f ca="1">IF($T136&lt;=AA$4,INDEX(TypicalCriticalitiesMAHBarrier23[Typical Criticality],MATCH($T136,TypicalCriticalitiesMAHBarrier23[Column2],0)),"")</f>
        <v/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357</v>
      </c>
      <c r="O137" t="s">
        <v>358</v>
      </c>
      <c r="P137" t="s">
        <v>365</v>
      </c>
      <c r="Q137" t="s">
        <v>0</v>
      </c>
      <c r="R137">
        <f t="shared" si="6"/>
        <v>15</v>
      </c>
      <c r="S137">
        <f t="shared" ca="1" si="7"/>
        <v>0</v>
      </c>
      <c r="T137">
        <f t="shared" si="8"/>
        <v>134</v>
      </c>
      <c r="U137" t="str">
        <f>IF($T137&lt;=Z$4,INDEX(TypicalCriticalitiesMAHBarrier23[Barrier Family Description],MATCH($T137,TypicalCriticalitiesMAHBarrier23[Barrier Family ID],0)),"")</f>
        <v/>
      </c>
      <c r="V137" t="str">
        <f ca="1">IF($T137&lt;=AA$4,INDEX(TypicalCriticalitiesMAHBarrier23[Typical Components],MATCH($T137,TypicalCriticalitiesMAHBarrier23[Column2],0)),"")</f>
        <v/>
      </c>
      <c r="W137" t="str">
        <f ca="1">IF($T137&lt;=AA$4,INDEX(TypicalCriticalitiesMAHBarrier23[Typical Criticality],MATCH($T137,TypicalCriticalitiesMAHBarrier23[Column2],0)),"")</f>
        <v/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357</v>
      </c>
      <c r="O138" t="s">
        <v>358</v>
      </c>
      <c r="P138" t="s">
        <v>366</v>
      </c>
      <c r="Q138" t="s">
        <v>1</v>
      </c>
      <c r="R138">
        <f t="shared" si="6"/>
        <v>15</v>
      </c>
      <c r="S138">
        <f t="shared" ca="1" si="7"/>
        <v>0</v>
      </c>
      <c r="T138">
        <f t="shared" si="8"/>
        <v>135</v>
      </c>
      <c r="U138" t="str">
        <f>IF($T138&lt;=Z$4,INDEX(TypicalCriticalitiesMAHBarrier23[Barrier Family Description],MATCH($T138,TypicalCriticalitiesMAHBarrier23[Barrier Family ID],0)),"")</f>
        <v/>
      </c>
      <c r="V138" t="str">
        <f ca="1">IF($T138&lt;=AA$4,INDEX(TypicalCriticalitiesMAHBarrier23[Typical Components],MATCH($T138,TypicalCriticalitiesMAHBarrier23[Column2],0)),"")</f>
        <v/>
      </c>
      <c r="W138" t="str">
        <f ca="1">IF($T138&lt;=AA$4,INDEX(TypicalCriticalitiesMAHBarrier23[Typical Criticality],MATCH($T138,TypicalCriticalitiesMAHBarrier23[Column2],0)),"")</f>
        <v/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357</v>
      </c>
      <c r="O139" t="s">
        <v>358</v>
      </c>
      <c r="P139" t="s">
        <v>367</v>
      </c>
      <c r="Q139" t="s">
        <v>0</v>
      </c>
      <c r="R139">
        <f t="shared" si="6"/>
        <v>15</v>
      </c>
      <c r="S139">
        <f t="shared" ca="1" si="7"/>
        <v>0</v>
      </c>
      <c r="T139">
        <f t="shared" si="8"/>
        <v>136</v>
      </c>
      <c r="U139" t="str">
        <f>IF($T139&lt;=Z$4,INDEX(TypicalCriticalitiesMAHBarrier23[Barrier Family Description],MATCH($T139,TypicalCriticalitiesMAHBarrier23[Barrier Family ID],0)),"")</f>
        <v/>
      </c>
      <c r="V139" t="str">
        <f ca="1">IF($T139&lt;=AA$4,INDEX(TypicalCriticalitiesMAHBarrier23[Typical Components],MATCH($T139,TypicalCriticalitiesMAHBarrier23[Column2],0)),"")</f>
        <v/>
      </c>
      <c r="W139" t="str">
        <f ca="1">IF($T139&lt;=AA$4,INDEX(TypicalCriticalitiesMAHBarrier23[Typical Criticality],MATCH($T139,TypicalCriticalitiesMAHBarrier23[Column2],0)),"")</f>
        <v/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357</v>
      </c>
      <c r="O140" t="s">
        <v>358</v>
      </c>
      <c r="P140" t="s">
        <v>368</v>
      </c>
      <c r="Q140" t="s">
        <v>0</v>
      </c>
      <c r="R140">
        <f t="shared" si="6"/>
        <v>15</v>
      </c>
      <c r="S140">
        <f t="shared" ca="1" si="7"/>
        <v>0</v>
      </c>
      <c r="T140">
        <f t="shared" si="8"/>
        <v>137</v>
      </c>
      <c r="U140" t="str">
        <f>IF($T140&lt;=Z$4,INDEX(TypicalCriticalitiesMAHBarrier23[Barrier Family Description],MATCH($T140,TypicalCriticalitiesMAHBarrier23[Barrier Family ID],0)),"")</f>
        <v/>
      </c>
      <c r="V140" t="str">
        <f ca="1">IF($T140&lt;=AA$4,INDEX(TypicalCriticalitiesMAHBarrier23[Typical Components],MATCH($T140,TypicalCriticalitiesMAHBarrier23[Column2],0)),"")</f>
        <v/>
      </c>
      <c r="W140" t="str">
        <f ca="1">IF($T140&lt;=AA$4,INDEX(TypicalCriticalitiesMAHBarrier23[Typical Criticality],MATCH($T140,TypicalCriticalitiesMAHBarrier23[Column2],0)),"")</f>
        <v/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357</v>
      </c>
      <c r="O141" t="s">
        <v>358</v>
      </c>
      <c r="P141" t="s">
        <v>369</v>
      </c>
      <c r="Q141" t="s">
        <v>1</v>
      </c>
      <c r="R141">
        <f t="shared" si="6"/>
        <v>15</v>
      </c>
      <c r="S141">
        <f t="shared" ca="1" si="7"/>
        <v>0</v>
      </c>
      <c r="T141">
        <f t="shared" si="8"/>
        <v>138</v>
      </c>
      <c r="U141" t="str">
        <f>IF($T141&lt;=Z$4,INDEX(TypicalCriticalitiesMAHBarrier23[Barrier Family Description],MATCH($T141,TypicalCriticalitiesMAHBarrier23[Barrier Family ID],0)),"")</f>
        <v/>
      </c>
      <c r="V141" t="str">
        <f ca="1">IF($T141&lt;=AA$4,INDEX(TypicalCriticalitiesMAHBarrier23[Typical Components],MATCH($T141,TypicalCriticalitiesMAHBarrier23[Column2],0)),"")</f>
        <v/>
      </c>
      <c r="W141" t="str">
        <f ca="1">IF($T141&lt;=AA$4,INDEX(TypicalCriticalitiesMAHBarrier23[Typical Criticality],MATCH($T141,TypicalCriticalitiesMAHBarrier23[Column2],0)),"")</f>
        <v/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370</v>
      </c>
      <c r="O142" t="s">
        <v>371</v>
      </c>
      <c r="P142" t="s">
        <v>372</v>
      </c>
      <c r="Q142" t="s">
        <v>0</v>
      </c>
      <c r="R142">
        <f t="shared" si="6"/>
        <v>16</v>
      </c>
      <c r="S142">
        <f t="shared" ca="1" si="7"/>
        <v>0</v>
      </c>
      <c r="T142">
        <f t="shared" si="8"/>
        <v>139</v>
      </c>
      <c r="U142" t="str">
        <f>IF($T142&lt;=Z$4,INDEX(TypicalCriticalitiesMAHBarrier23[Barrier Family Description],MATCH($T142,TypicalCriticalitiesMAHBarrier23[Barrier Family ID],0)),"")</f>
        <v/>
      </c>
      <c r="V142" t="str">
        <f ca="1">IF($T142&lt;=AA$4,INDEX(TypicalCriticalitiesMAHBarrier23[Typical Components],MATCH($T142,TypicalCriticalitiesMAHBarrier23[Column2],0)),"")</f>
        <v/>
      </c>
      <c r="W142" t="str">
        <f ca="1">IF($T142&lt;=AA$4,INDEX(TypicalCriticalitiesMAHBarrier23[Typical Criticality],MATCH($T142,TypicalCriticalitiesMAHBarrier23[Column2],0)),"")</f>
        <v/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370</v>
      </c>
      <c r="O143" t="s">
        <v>371</v>
      </c>
      <c r="P143" t="s">
        <v>373</v>
      </c>
      <c r="Q143" t="s">
        <v>0</v>
      </c>
      <c r="R143">
        <f t="shared" si="6"/>
        <v>16</v>
      </c>
      <c r="S143">
        <f t="shared" ca="1" si="7"/>
        <v>0</v>
      </c>
      <c r="T143">
        <f t="shared" si="8"/>
        <v>140</v>
      </c>
      <c r="U143" t="str">
        <f>IF($T143&lt;=Z$4,INDEX(TypicalCriticalitiesMAHBarrier23[Barrier Family Description],MATCH($T143,TypicalCriticalitiesMAHBarrier23[Barrier Family ID],0)),"")</f>
        <v/>
      </c>
      <c r="V143" t="str">
        <f ca="1">IF($T143&lt;=AA$4,INDEX(TypicalCriticalitiesMAHBarrier23[Typical Components],MATCH($T143,TypicalCriticalitiesMAHBarrier23[Column2],0)),"")</f>
        <v/>
      </c>
      <c r="W143" t="str">
        <f ca="1">IF($T143&lt;=AA$4,INDEX(TypicalCriticalitiesMAHBarrier23[Typical Criticality],MATCH($T143,TypicalCriticalitiesMAHBarrier23[Column2],0)),"")</f>
        <v/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370</v>
      </c>
      <c r="O144" t="s">
        <v>371</v>
      </c>
      <c r="P144" t="s">
        <v>374</v>
      </c>
      <c r="Q144" t="s">
        <v>0</v>
      </c>
      <c r="R144">
        <f t="shared" si="6"/>
        <v>16</v>
      </c>
      <c r="S144">
        <f t="shared" ca="1" si="7"/>
        <v>0</v>
      </c>
      <c r="T144">
        <f t="shared" si="8"/>
        <v>141</v>
      </c>
      <c r="U144" t="str">
        <f>IF($T144&lt;=Z$4,INDEX(TypicalCriticalitiesMAHBarrier23[Barrier Family Description],MATCH($T144,TypicalCriticalitiesMAHBarrier23[Barrier Family ID],0)),"")</f>
        <v/>
      </c>
      <c r="V144" t="str">
        <f ca="1">IF($T144&lt;=AA$4,INDEX(TypicalCriticalitiesMAHBarrier23[Typical Components],MATCH($T144,TypicalCriticalitiesMAHBarrier23[Column2],0)),"")</f>
        <v/>
      </c>
      <c r="W144" t="str">
        <f ca="1">IF($T144&lt;=AA$4,INDEX(TypicalCriticalitiesMAHBarrier23[Typical Criticality],MATCH($T144,TypicalCriticalitiesMAHBarrier23[Column2],0)),"")</f>
        <v/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370</v>
      </c>
      <c r="O145" t="s">
        <v>371</v>
      </c>
      <c r="P145" t="s">
        <v>375</v>
      </c>
      <c r="Q145" t="s">
        <v>0</v>
      </c>
      <c r="R145">
        <f t="shared" si="6"/>
        <v>16</v>
      </c>
      <c r="S145">
        <f t="shared" ca="1" si="7"/>
        <v>0</v>
      </c>
      <c r="T145">
        <f t="shared" si="8"/>
        <v>142</v>
      </c>
      <c r="U145" t="str">
        <f>IF($T145&lt;=Z$4,INDEX(TypicalCriticalitiesMAHBarrier23[Barrier Family Description],MATCH($T145,TypicalCriticalitiesMAHBarrier23[Barrier Family ID],0)),"")</f>
        <v/>
      </c>
      <c r="V145" t="str">
        <f ca="1">IF($T145&lt;=AA$4,INDEX(TypicalCriticalitiesMAHBarrier23[Typical Components],MATCH($T145,TypicalCriticalitiesMAHBarrier23[Column2],0)),"")</f>
        <v/>
      </c>
      <c r="W145" t="str">
        <f ca="1">IF($T145&lt;=AA$4,INDEX(TypicalCriticalitiesMAHBarrier23[Typical Criticality],MATCH($T145,TypicalCriticalitiesMAHBarrier23[Column2],0)),"")</f>
        <v/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370</v>
      </c>
      <c r="O146" t="s">
        <v>371</v>
      </c>
      <c r="P146" t="s">
        <v>376</v>
      </c>
      <c r="Q146" t="s">
        <v>1</v>
      </c>
      <c r="R146">
        <f t="shared" si="6"/>
        <v>16</v>
      </c>
      <c r="S146">
        <f t="shared" ca="1" si="7"/>
        <v>0</v>
      </c>
      <c r="T146">
        <f t="shared" si="8"/>
        <v>143</v>
      </c>
      <c r="U146" t="str">
        <f>IF($T146&lt;=Z$4,INDEX(TypicalCriticalitiesMAHBarrier23[Barrier Family Description],MATCH($T146,TypicalCriticalitiesMAHBarrier23[Barrier Family ID],0)),"")</f>
        <v/>
      </c>
      <c r="V146" t="str">
        <f ca="1">IF($T146&lt;=AA$4,INDEX(TypicalCriticalitiesMAHBarrier23[Typical Components],MATCH($T146,TypicalCriticalitiesMAHBarrier23[Column2],0)),"")</f>
        <v/>
      </c>
      <c r="W146" t="str">
        <f ca="1">IF($T146&lt;=AA$4,INDEX(TypicalCriticalitiesMAHBarrier23[Typical Criticality],MATCH($T146,TypicalCriticalitiesMAHBarrier23[Column2],0)),"")</f>
        <v/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370</v>
      </c>
      <c r="O147" t="s">
        <v>371</v>
      </c>
      <c r="P147" t="s">
        <v>377</v>
      </c>
      <c r="Q147" t="s">
        <v>0</v>
      </c>
      <c r="R147">
        <f t="shared" si="6"/>
        <v>16</v>
      </c>
      <c r="S147">
        <f t="shared" ca="1" si="7"/>
        <v>0</v>
      </c>
      <c r="T147">
        <f t="shared" si="8"/>
        <v>144</v>
      </c>
      <c r="U147" t="str">
        <f>IF($T147&lt;=Z$4,INDEX(TypicalCriticalitiesMAHBarrier23[Barrier Family Description],MATCH($T147,TypicalCriticalitiesMAHBarrier23[Barrier Family ID],0)),"")</f>
        <v/>
      </c>
      <c r="V147" t="str">
        <f ca="1">IF($T147&lt;=AA$4,INDEX(TypicalCriticalitiesMAHBarrier23[Typical Components],MATCH($T147,TypicalCriticalitiesMAHBarrier23[Column2],0)),"")</f>
        <v/>
      </c>
      <c r="W147" t="str">
        <f ca="1">IF($T147&lt;=AA$4,INDEX(TypicalCriticalitiesMAHBarrier23[Typical Criticality],MATCH($T147,TypicalCriticalitiesMAHBarrier23[Column2],0)),"")</f>
        <v/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370</v>
      </c>
      <c r="O148" t="s">
        <v>371</v>
      </c>
      <c r="P148" t="s">
        <v>378</v>
      </c>
      <c r="Q148" t="s">
        <v>0</v>
      </c>
      <c r="R148">
        <f t="shared" si="6"/>
        <v>16</v>
      </c>
      <c r="S148">
        <f t="shared" ca="1" si="7"/>
        <v>0</v>
      </c>
      <c r="T148">
        <f t="shared" si="8"/>
        <v>145</v>
      </c>
      <c r="U148" t="str">
        <f>IF($T148&lt;=Z$4,INDEX(TypicalCriticalitiesMAHBarrier23[Barrier Family Description],MATCH($T148,TypicalCriticalitiesMAHBarrier23[Barrier Family ID],0)),"")</f>
        <v/>
      </c>
      <c r="V148" t="str">
        <f ca="1">IF($T148&lt;=AA$4,INDEX(TypicalCriticalitiesMAHBarrier23[Typical Components],MATCH($T148,TypicalCriticalitiesMAHBarrier23[Column2],0)),"")</f>
        <v/>
      </c>
      <c r="W148" t="str">
        <f ca="1">IF($T148&lt;=AA$4,INDEX(TypicalCriticalitiesMAHBarrier23[Typical Criticality],MATCH($T148,TypicalCriticalitiesMAHBarrier23[Column2],0)),"")</f>
        <v/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370</v>
      </c>
      <c r="O149" t="s">
        <v>371</v>
      </c>
      <c r="P149" t="s">
        <v>379</v>
      </c>
      <c r="Q149" t="s">
        <v>1</v>
      </c>
      <c r="R149">
        <f t="shared" si="6"/>
        <v>16</v>
      </c>
      <c r="S149">
        <f t="shared" ca="1" si="7"/>
        <v>0</v>
      </c>
      <c r="T149">
        <f t="shared" si="8"/>
        <v>146</v>
      </c>
      <c r="U149" t="str">
        <f>IF($T149&lt;=Z$4,INDEX(TypicalCriticalitiesMAHBarrier23[Barrier Family Description],MATCH($T149,TypicalCriticalitiesMAHBarrier23[Barrier Family ID],0)),"")</f>
        <v/>
      </c>
      <c r="V149" t="str">
        <f ca="1">IF($T149&lt;=AA$4,INDEX(TypicalCriticalitiesMAHBarrier23[Typical Components],MATCH($T149,TypicalCriticalitiesMAHBarrier23[Column2],0)),"")</f>
        <v/>
      </c>
      <c r="W149" t="str">
        <f ca="1">IF($T149&lt;=AA$4,INDEX(TypicalCriticalitiesMAHBarrier23[Typical Criticality],MATCH($T149,TypicalCriticalitiesMAHBarrier23[Column2],0)),"")</f>
        <v/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370</v>
      </c>
      <c r="O150" t="s">
        <v>371</v>
      </c>
      <c r="P150" t="s">
        <v>380</v>
      </c>
      <c r="Q150" t="s">
        <v>2</v>
      </c>
      <c r="R150">
        <f t="shared" si="6"/>
        <v>16</v>
      </c>
      <c r="S150">
        <f t="shared" ca="1" si="7"/>
        <v>0</v>
      </c>
      <c r="T150">
        <f t="shared" si="8"/>
        <v>147</v>
      </c>
      <c r="U150" t="str">
        <f>IF($T150&lt;=Z$4,INDEX(TypicalCriticalitiesMAHBarrier23[Barrier Family Description],MATCH($T150,TypicalCriticalitiesMAHBarrier23[Barrier Family ID],0)),"")</f>
        <v/>
      </c>
      <c r="V150" t="str">
        <f ca="1">IF($T150&lt;=AA$4,INDEX(TypicalCriticalitiesMAHBarrier23[Typical Components],MATCH($T150,TypicalCriticalitiesMAHBarrier23[Column2],0)),"")</f>
        <v/>
      </c>
      <c r="W150" t="str">
        <f ca="1">IF($T150&lt;=AA$4,INDEX(TypicalCriticalitiesMAHBarrier23[Typical Criticality],MATCH($T150,TypicalCriticalitiesMAHBarrier23[Column2],0)),"")</f>
        <v/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370</v>
      </c>
      <c r="O151" t="s">
        <v>371</v>
      </c>
      <c r="P151" t="s">
        <v>381</v>
      </c>
      <c r="Q151" t="s">
        <v>0</v>
      </c>
      <c r="R151">
        <f t="shared" si="6"/>
        <v>16</v>
      </c>
      <c r="S151">
        <f t="shared" ca="1" si="7"/>
        <v>0</v>
      </c>
      <c r="T151">
        <f t="shared" si="8"/>
        <v>148</v>
      </c>
      <c r="U151" t="str">
        <f>IF($T151&lt;=Z$4,INDEX(TypicalCriticalitiesMAHBarrier23[Barrier Family Description],MATCH($T151,TypicalCriticalitiesMAHBarrier23[Barrier Family ID],0)),"")</f>
        <v/>
      </c>
      <c r="V151" t="str">
        <f ca="1">IF($T151&lt;=AA$4,INDEX(TypicalCriticalitiesMAHBarrier23[Typical Components],MATCH($T151,TypicalCriticalitiesMAHBarrier23[Column2],0)),"")</f>
        <v/>
      </c>
      <c r="W151" t="str">
        <f ca="1">IF($T151&lt;=AA$4,INDEX(TypicalCriticalitiesMAHBarrier23[Typical Criticality],MATCH($T151,TypicalCriticalitiesMAHBarrier23[Column2],0)),"")</f>
        <v/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370</v>
      </c>
      <c r="O152" t="s">
        <v>371</v>
      </c>
      <c r="P152" t="s">
        <v>382</v>
      </c>
      <c r="Q152" t="s">
        <v>0</v>
      </c>
      <c r="R152">
        <f t="shared" si="6"/>
        <v>16</v>
      </c>
      <c r="S152">
        <f t="shared" ca="1" si="7"/>
        <v>0</v>
      </c>
      <c r="T152">
        <f t="shared" si="8"/>
        <v>149</v>
      </c>
      <c r="U152" t="str">
        <f>IF($T152&lt;=Z$4,INDEX(TypicalCriticalitiesMAHBarrier23[Barrier Family Description],MATCH($T152,TypicalCriticalitiesMAHBarrier23[Barrier Family ID],0)),"")</f>
        <v/>
      </c>
      <c r="V152" t="str">
        <f ca="1">IF($T152&lt;=AA$4,INDEX(TypicalCriticalitiesMAHBarrier23[Typical Components],MATCH($T152,TypicalCriticalitiesMAHBarrier23[Column2],0)),"")</f>
        <v/>
      </c>
      <c r="W152" t="str">
        <f ca="1">IF($T152&lt;=AA$4,INDEX(TypicalCriticalitiesMAHBarrier23[Typical Criticality],MATCH($T152,TypicalCriticalitiesMAHBarrier23[Column2],0)),"")</f>
        <v/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370</v>
      </c>
      <c r="O153" t="s">
        <v>371</v>
      </c>
      <c r="P153" t="s">
        <v>383</v>
      </c>
      <c r="Q153" t="s">
        <v>1</v>
      </c>
      <c r="R153">
        <f t="shared" si="6"/>
        <v>16</v>
      </c>
      <c r="S153">
        <f t="shared" ca="1" si="7"/>
        <v>0</v>
      </c>
      <c r="T153">
        <f t="shared" si="8"/>
        <v>150</v>
      </c>
      <c r="U153" t="str">
        <f>IF($T153&lt;=Z$4,INDEX(TypicalCriticalitiesMAHBarrier23[Barrier Family Description],MATCH($T153,TypicalCriticalitiesMAHBarrier23[Barrier Family ID],0)),"")</f>
        <v/>
      </c>
      <c r="V153" t="str">
        <f ca="1">IF($T153&lt;=AA$4,INDEX(TypicalCriticalitiesMAHBarrier23[Typical Components],MATCH($T153,TypicalCriticalitiesMAHBarrier23[Column2],0)),"")</f>
        <v/>
      </c>
      <c r="W153" t="str">
        <f ca="1">IF($T153&lt;=AA$4,INDEX(TypicalCriticalitiesMAHBarrier23[Typical Criticality],MATCH($T153,TypicalCriticalitiesMAHBarrier23[Column2],0)),"")</f>
        <v/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370</v>
      </c>
      <c r="O154" t="s">
        <v>371</v>
      </c>
      <c r="P154" t="s">
        <v>384</v>
      </c>
      <c r="Q154" t="s">
        <v>0</v>
      </c>
      <c r="R154">
        <f t="shared" si="6"/>
        <v>16</v>
      </c>
      <c r="S154">
        <f t="shared" ca="1" si="7"/>
        <v>0</v>
      </c>
      <c r="T154">
        <f t="shared" si="8"/>
        <v>151</v>
      </c>
      <c r="U154" t="str">
        <f>IF($T154&lt;=Z$4,INDEX(TypicalCriticalitiesMAHBarrier23[Barrier Family Description],MATCH($T154,TypicalCriticalitiesMAHBarrier23[Barrier Family ID],0)),"")</f>
        <v/>
      </c>
      <c r="V154" t="str">
        <f ca="1">IF($T154&lt;=AA$4,INDEX(TypicalCriticalitiesMAHBarrier23[Typical Components],MATCH($T154,TypicalCriticalitiesMAHBarrier23[Column2],0)),"")</f>
        <v/>
      </c>
      <c r="W154" t="str">
        <f ca="1">IF($T154&lt;=AA$4,INDEX(TypicalCriticalitiesMAHBarrier23[Typical Criticality],MATCH($T154,TypicalCriticalitiesMAHBarrier23[Column2],0)),"")</f>
        <v/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370</v>
      </c>
      <c r="O155" t="s">
        <v>371</v>
      </c>
      <c r="P155" t="s">
        <v>385</v>
      </c>
      <c r="Q155" t="s">
        <v>0</v>
      </c>
      <c r="R155">
        <f t="shared" si="6"/>
        <v>16</v>
      </c>
      <c r="S155">
        <f t="shared" ca="1" si="7"/>
        <v>0</v>
      </c>
      <c r="T155">
        <f t="shared" si="8"/>
        <v>152</v>
      </c>
      <c r="U155" t="str">
        <f>IF($T155&lt;=Z$4,INDEX(TypicalCriticalitiesMAHBarrier23[Barrier Family Description],MATCH($T155,TypicalCriticalitiesMAHBarrier23[Barrier Family ID],0)),"")</f>
        <v/>
      </c>
      <c r="V155" t="str">
        <f ca="1">IF($T155&lt;=AA$4,INDEX(TypicalCriticalitiesMAHBarrier23[Typical Components],MATCH($T155,TypicalCriticalitiesMAHBarrier23[Column2],0)),"")</f>
        <v/>
      </c>
      <c r="W155" t="str">
        <f ca="1">IF($T155&lt;=AA$4,INDEX(TypicalCriticalitiesMAHBarrier23[Typical Criticality],MATCH($T155,TypicalCriticalitiesMAHBarrier23[Column2],0)),"")</f>
        <v/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370</v>
      </c>
      <c r="O156" t="s">
        <v>371</v>
      </c>
      <c r="P156" t="s">
        <v>386</v>
      </c>
      <c r="Q156" t="s">
        <v>0</v>
      </c>
      <c r="R156">
        <f t="shared" si="6"/>
        <v>16</v>
      </c>
      <c r="S156">
        <f t="shared" ca="1" si="7"/>
        <v>0</v>
      </c>
      <c r="T156">
        <f t="shared" si="8"/>
        <v>153</v>
      </c>
      <c r="U156" t="str">
        <f>IF($T156&lt;=Z$4,INDEX(TypicalCriticalitiesMAHBarrier23[Barrier Family Description],MATCH($T156,TypicalCriticalitiesMAHBarrier23[Barrier Family ID],0)),"")</f>
        <v/>
      </c>
      <c r="V156" t="str">
        <f ca="1">IF($T156&lt;=AA$4,INDEX(TypicalCriticalitiesMAHBarrier23[Typical Components],MATCH($T156,TypicalCriticalitiesMAHBarrier23[Column2],0)),"")</f>
        <v/>
      </c>
      <c r="W156" t="str">
        <f ca="1">IF($T156&lt;=AA$4,INDEX(TypicalCriticalitiesMAHBarrier23[Typical Criticality],MATCH($T156,TypicalCriticalitiesMAHBarrier23[Column2],0)),"")</f>
        <v/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370</v>
      </c>
      <c r="O157" t="s">
        <v>371</v>
      </c>
      <c r="P157" t="s">
        <v>387</v>
      </c>
      <c r="Q157" t="s">
        <v>0</v>
      </c>
      <c r="R157">
        <f t="shared" si="6"/>
        <v>16</v>
      </c>
      <c r="S157">
        <f t="shared" ca="1" si="7"/>
        <v>0</v>
      </c>
      <c r="T157">
        <f t="shared" si="8"/>
        <v>154</v>
      </c>
      <c r="U157" t="str">
        <f>IF($T157&lt;=Z$4,INDEX(TypicalCriticalitiesMAHBarrier23[Barrier Family Description],MATCH($T157,TypicalCriticalitiesMAHBarrier23[Barrier Family ID],0)),"")</f>
        <v/>
      </c>
      <c r="V157" t="str">
        <f ca="1">IF($T157&lt;=AA$4,INDEX(TypicalCriticalitiesMAHBarrier23[Typical Components],MATCH($T157,TypicalCriticalitiesMAHBarrier23[Column2],0)),"")</f>
        <v/>
      </c>
      <c r="W157" t="str">
        <f ca="1">IF($T157&lt;=AA$4,INDEX(TypicalCriticalitiesMAHBarrier23[Typical Criticality],MATCH($T157,TypicalCriticalitiesMAHBarrier23[Column2],0)),"")</f>
        <v/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370</v>
      </c>
      <c r="O158" t="s">
        <v>371</v>
      </c>
      <c r="P158" t="s">
        <v>388</v>
      </c>
      <c r="Q158" t="s">
        <v>389</v>
      </c>
      <c r="R158">
        <f t="shared" si="6"/>
        <v>16</v>
      </c>
      <c r="S158">
        <f t="shared" ca="1" si="7"/>
        <v>0</v>
      </c>
      <c r="T158">
        <f t="shared" si="8"/>
        <v>155</v>
      </c>
      <c r="U158" t="str">
        <f>IF($T158&lt;=Z$4,INDEX(TypicalCriticalitiesMAHBarrier23[Barrier Family Description],MATCH($T158,TypicalCriticalitiesMAHBarrier23[Barrier Family ID],0)),"")</f>
        <v/>
      </c>
      <c r="V158" t="str">
        <f ca="1">IF($T158&lt;=AA$4,INDEX(TypicalCriticalitiesMAHBarrier23[Typical Components],MATCH($T158,TypicalCriticalitiesMAHBarrier23[Column2],0)),"")</f>
        <v/>
      </c>
      <c r="W158" t="str">
        <f ca="1">IF($T158&lt;=AA$4,INDEX(TypicalCriticalitiesMAHBarrier23[Typical Criticality],MATCH($T158,TypicalCriticalitiesMAHBarrier23[Column2],0)),"")</f>
        <v/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370</v>
      </c>
      <c r="O159" t="s">
        <v>371</v>
      </c>
      <c r="P159" t="s">
        <v>390</v>
      </c>
      <c r="Q159" t="s">
        <v>1</v>
      </c>
      <c r="R159">
        <f t="shared" si="6"/>
        <v>16</v>
      </c>
      <c r="S159">
        <f t="shared" ca="1" si="7"/>
        <v>0</v>
      </c>
      <c r="T159">
        <f t="shared" si="8"/>
        <v>156</v>
      </c>
      <c r="U159" t="str">
        <f>IF($T159&lt;=Z$4,INDEX(TypicalCriticalitiesMAHBarrier23[Barrier Family Description],MATCH($T159,TypicalCriticalitiesMAHBarrier23[Barrier Family ID],0)),"")</f>
        <v/>
      </c>
      <c r="V159" t="str">
        <f ca="1">IF($T159&lt;=AA$4,INDEX(TypicalCriticalitiesMAHBarrier23[Typical Components],MATCH($T159,TypicalCriticalitiesMAHBarrier23[Column2],0)),"")</f>
        <v/>
      </c>
      <c r="W159" t="str">
        <f ca="1">IF($T159&lt;=AA$4,INDEX(TypicalCriticalitiesMAHBarrier23[Typical Criticality],MATCH($T159,TypicalCriticalitiesMAHBarrier23[Column2],0)),"")</f>
        <v/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370</v>
      </c>
      <c r="O160" t="s">
        <v>371</v>
      </c>
      <c r="P160" t="s">
        <v>391</v>
      </c>
      <c r="Q160" t="s">
        <v>0</v>
      </c>
      <c r="R160">
        <f t="shared" si="6"/>
        <v>16</v>
      </c>
      <c r="S160">
        <f t="shared" ca="1" si="7"/>
        <v>0</v>
      </c>
      <c r="T160">
        <f t="shared" si="8"/>
        <v>157</v>
      </c>
      <c r="U160" t="str">
        <f>IF($T160&lt;=Z$4,INDEX(TypicalCriticalitiesMAHBarrier23[Barrier Family Description],MATCH($T160,TypicalCriticalitiesMAHBarrier23[Barrier Family ID],0)),"")</f>
        <v/>
      </c>
      <c r="V160" t="str">
        <f ca="1">IF($T160&lt;=AA$4,INDEX(TypicalCriticalitiesMAHBarrier23[Typical Components],MATCH($T160,TypicalCriticalitiesMAHBarrier23[Column2],0)),"")</f>
        <v/>
      </c>
      <c r="W160" t="str">
        <f ca="1">IF($T160&lt;=AA$4,INDEX(TypicalCriticalitiesMAHBarrier23[Typical Criticality],MATCH($T160,TypicalCriticalitiesMAHBarrier23[Column2],0)),"")</f>
        <v/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370</v>
      </c>
      <c r="O161" t="s">
        <v>371</v>
      </c>
      <c r="P161" t="s">
        <v>392</v>
      </c>
      <c r="Q161" t="s">
        <v>0</v>
      </c>
      <c r="R161">
        <f t="shared" si="6"/>
        <v>16</v>
      </c>
      <c r="S161">
        <f t="shared" ca="1" si="7"/>
        <v>0</v>
      </c>
      <c r="T161">
        <f t="shared" si="8"/>
        <v>158</v>
      </c>
      <c r="U161" t="str">
        <f>IF($T161&lt;=Z$4,INDEX(TypicalCriticalitiesMAHBarrier23[Barrier Family Description],MATCH($T161,TypicalCriticalitiesMAHBarrier23[Barrier Family ID],0)),"")</f>
        <v/>
      </c>
      <c r="V161" t="str">
        <f ca="1">IF($T161&lt;=AA$4,INDEX(TypicalCriticalitiesMAHBarrier23[Typical Components],MATCH($T161,TypicalCriticalitiesMAHBarrier23[Column2],0)),"")</f>
        <v/>
      </c>
      <c r="W161" t="str">
        <f ca="1">IF($T161&lt;=AA$4,INDEX(TypicalCriticalitiesMAHBarrier23[Typical Criticality],MATCH($T161,TypicalCriticalitiesMAHBarrier23[Column2],0)),"")</f>
        <v/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370</v>
      </c>
      <c r="O162" t="s">
        <v>371</v>
      </c>
      <c r="P162" t="s">
        <v>393</v>
      </c>
      <c r="Q162" t="s">
        <v>2</v>
      </c>
      <c r="R162">
        <f t="shared" si="6"/>
        <v>16</v>
      </c>
      <c r="S162">
        <f t="shared" ca="1" si="7"/>
        <v>0</v>
      </c>
      <c r="T162">
        <f t="shared" si="8"/>
        <v>159</v>
      </c>
      <c r="U162" t="str">
        <f>IF($T162&lt;=Z$4,INDEX(TypicalCriticalitiesMAHBarrier23[Barrier Family Description],MATCH($T162,TypicalCriticalitiesMAHBarrier23[Barrier Family ID],0)),"")</f>
        <v/>
      </c>
      <c r="V162" t="str">
        <f ca="1">IF($T162&lt;=AA$4,INDEX(TypicalCriticalitiesMAHBarrier23[Typical Components],MATCH($T162,TypicalCriticalitiesMAHBarrier23[Column2],0)),"")</f>
        <v/>
      </c>
      <c r="W162" t="str">
        <f ca="1">IF($T162&lt;=AA$4,INDEX(TypicalCriticalitiesMAHBarrier23[Typical Criticality],MATCH($T162,TypicalCriticalitiesMAHBarrier23[Column2],0)),"")</f>
        <v/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370</v>
      </c>
      <c r="O163" t="s">
        <v>371</v>
      </c>
      <c r="P163" t="s">
        <v>394</v>
      </c>
      <c r="Q163" t="s">
        <v>395</v>
      </c>
      <c r="R163">
        <f t="shared" si="6"/>
        <v>16</v>
      </c>
      <c r="S163">
        <f t="shared" ca="1" si="7"/>
        <v>0</v>
      </c>
      <c r="T163">
        <f t="shared" si="8"/>
        <v>160</v>
      </c>
      <c r="U163" t="str">
        <f>IF($T163&lt;=Z$4,INDEX(TypicalCriticalitiesMAHBarrier23[Barrier Family Description],MATCH($T163,TypicalCriticalitiesMAHBarrier23[Barrier Family ID],0)),"")</f>
        <v/>
      </c>
      <c r="V163" t="str">
        <f ca="1">IF($T163&lt;=AA$4,INDEX(TypicalCriticalitiesMAHBarrier23[Typical Components],MATCH($T163,TypicalCriticalitiesMAHBarrier23[Column2],0)),"")</f>
        <v/>
      </c>
      <c r="W163" t="str">
        <f ca="1">IF($T163&lt;=AA$4,INDEX(TypicalCriticalitiesMAHBarrier23[Typical Criticality],MATCH($T163,TypicalCriticalitiesMAHBarrier23[Column2],0)),"")</f>
        <v/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396</v>
      </c>
      <c r="O164" t="s">
        <v>397</v>
      </c>
      <c r="P164" t="s">
        <v>398</v>
      </c>
      <c r="Q164" t="s">
        <v>0</v>
      </c>
      <c r="R164">
        <f t="shared" si="6"/>
        <v>17</v>
      </c>
      <c r="S164">
        <f t="shared" ca="1" si="7"/>
        <v>0</v>
      </c>
      <c r="T164">
        <f t="shared" si="8"/>
        <v>161</v>
      </c>
      <c r="U164" t="str">
        <f>IF($T164&lt;=Z$4,INDEX(TypicalCriticalitiesMAHBarrier23[Barrier Family Description],MATCH($T164,TypicalCriticalitiesMAHBarrier23[Barrier Family ID],0)),"")</f>
        <v/>
      </c>
      <c r="V164" t="str">
        <f ca="1">IF($T164&lt;=AA$4,INDEX(TypicalCriticalitiesMAHBarrier23[Typical Components],MATCH($T164,TypicalCriticalitiesMAHBarrier23[Column2],0)),"")</f>
        <v/>
      </c>
      <c r="W164" t="str">
        <f ca="1">IF($T164&lt;=AA$4,INDEX(TypicalCriticalitiesMAHBarrier23[Typical Criticality],MATCH($T164,TypicalCriticalitiesMAHBarrier23[Column2],0)),"")</f>
        <v/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396</v>
      </c>
      <c r="O165" t="s">
        <v>397</v>
      </c>
      <c r="P165" t="s">
        <v>399</v>
      </c>
      <c r="Q165" t="s">
        <v>1</v>
      </c>
      <c r="R165">
        <f t="shared" si="6"/>
        <v>17</v>
      </c>
      <c r="S165">
        <f t="shared" ca="1" si="7"/>
        <v>0</v>
      </c>
      <c r="T165">
        <f t="shared" si="8"/>
        <v>162</v>
      </c>
      <c r="U165" t="str">
        <f>IF($T165&lt;=Z$4,INDEX(TypicalCriticalitiesMAHBarrier23[Barrier Family Description],MATCH($T165,TypicalCriticalitiesMAHBarrier23[Barrier Family ID],0)),"")</f>
        <v/>
      </c>
      <c r="V165" t="str">
        <f ca="1">IF($T165&lt;=AA$4,INDEX(TypicalCriticalitiesMAHBarrier23[Typical Components],MATCH($T165,TypicalCriticalitiesMAHBarrier23[Column2],0)),"")</f>
        <v/>
      </c>
      <c r="W165" t="str">
        <f ca="1">IF($T165&lt;=AA$4,INDEX(TypicalCriticalitiesMAHBarrier23[Typical Criticality],MATCH($T165,TypicalCriticalitiesMAHBarrier23[Column2],0)),"")</f>
        <v/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396</v>
      </c>
      <c r="O166" t="s">
        <v>397</v>
      </c>
      <c r="P166" t="s">
        <v>400</v>
      </c>
      <c r="Q166" t="s">
        <v>0</v>
      </c>
      <c r="R166">
        <f t="shared" si="6"/>
        <v>17</v>
      </c>
      <c r="S166">
        <f t="shared" ca="1" si="7"/>
        <v>0</v>
      </c>
      <c r="T166">
        <f t="shared" si="8"/>
        <v>163</v>
      </c>
      <c r="U166" t="str">
        <f>IF($T166&lt;=Z$4,INDEX(TypicalCriticalitiesMAHBarrier23[Barrier Family Description],MATCH($T166,TypicalCriticalitiesMAHBarrier23[Barrier Family ID],0)),"")</f>
        <v/>
      </c>
      <c r="V166" t="str">
        <f ca="1">IF($T166&lt;=AA$4,INDEX(TypicalCriticalitiesMAHBarrier23[Typical Components],MATCH($T166,TypicalCriticalitiesMAHBarrier23[Column2],0)),"")</f>
        <v/>
      </c>
      <c r="W166" t="str">
        <f ca="1">IF($T166&lt;=AA$4,INDEX(TypicalCriticalitiesMAHBarrier23[Typical Criticality],MATCH($T166,TypicalCriticalitiesMAHBarrier23[Column2],0)),"")</f>
        <v/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396</v>
      </c>
      <c r="O167" t="s">
        <v>397</v>
      </c>
      <c r="P167" t="s">
        <v>401</v>
      </c>
      <c r="Q167" t="s">
        <v>0</v>
      </c>
      <c r="R167">
        <f t="shared" si="6"/>
        <v>17</v>
      </c>
      <c r="S167">
        <f t="shared" ca="1" si="7"/>
        <v>0</v>
      </c>
      <c r="T167">
        <f t="shared" si="8"/>
        <v>164</v>
      </c>
      <c r="U167" t="str">
        <f>IF($T167&lt;=Z$4,INDEX(TypicalCriticalitiesMAHBarrier23[Barrier Family Description],MATCH($T167,TypicalCriticalitiesMAHBarrier23[Barrier Family ID],0)),"")</f>
        <v/>
      </c>
      <c r="V167" t="str">
        <f ca="1">IF($T167&lt;=AA$4,INDEX(TypicalCriticalitiesMAHBarrier23[Typical Components],MATCH($T167,TypicalCriticalitiesMAHBarrier23[Column2],0)),"")</f>
        <v/>
      </c>
      <c r="W167" t="str">
        <f ca="1">IF($T167&lt;=AA$4,INDEX(TypicalCriticalitiesMAHBarrier23[Typical Criticality],MATCH($T167,TypicalCriticalitiesMAHBarrier23[Column2],0)),"")</f>
        <v/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396</v>
      </c>
      <c r="O168" t="s">
        <v>397</v>
      </c>
      <c r="P168" t="s">
        <v>402</v>
      </c>
      <c r="Q168" t="s">
        <v>1</v>
      </c>
      <c r="R168">
        <f t="shared" si="6"/>
        <v>17</v>
      </c>
      <c r="S168">
        <f t="shared" ca="1" si="7"/>
        <v>0</v>
      </c>
      <c r="T168">
        <f t="shared" si="8"/>
        <v>165</v>
      </c>
      <c r="U168" t="str">
        <f>IF($T168&lt;=Z$4,INDEX(TypicalCriticalitiesMAHBarrier23[Barrier Family Description],MATCH($T168,TypicalCriticalitiesMAHBarrier23[Barrier Family ID],0)),"")</f>
        <v/>
      </c>
      <c r="V168" t="str">
        <f ca="1">IF($T168&lt;=AA$4,INDEX(TypicalCriticalitiesMAHBarrier23[Typical Components],MATCH($T168,TypicalCriticalitiesMAHBarrier23[Column2],0)),"")</f>
        <v/>
      </c>
      <c r="W168" t="str">
        <f ca="1">IF($T168&lt;=AA$4,INDEX(TypicalCriticalitiesMAHBarrier23[Typical Criticality],MATCH($T168,TypicalCriticalitiesMAHBarrier23[Column2],0)),"")</f>
        <v/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396</v>
      </c>
      <c r="O169" t="s">
        <v>397</v>
      </c>
      <c r="P169" t="s">
        <v>403</v>
      </c>
      <c r="Q169" t="s">
        <v>0</v>
      </c>
      <c r="R169">
        <f t="shared" si="6"/>
        <v>17</v>
      </c>
      <c r="S169">
        <f t="shared" ca="1" si="7"/>
        <v>0</v>
      </c>
      <c r="T169">
        <f t="shared" si="8"/>
        <v>166</v>
      </c>
      <c r="U169" t="str">
        <f>IF($T169&lt;=Z$4,INDEX(TypicalCriticalitiesMAHBarrier23[Barrier Family Description],MATCH($T169,TypicalCriticalitiesMAHBarrier23[Barrier Family ID],0)),"")</f>
        <v/>
      </c>
      <c r="V169" t="str">
        <f ca="1">IF($T169&lt;=AA$4,INDEX(TypicalCriticalitiesMAHBarrier23[Typical Components],MATCH($T169,TypicalCriticalitiesMAHBarrier23[Column2],0)),"")</f>
        <v/>
      </c>
      <c r="W169" t="str">
        <f ca="1">IF($T169&lt;=AA$4,INDEX(TypicalCriticalitiesMAHBarrier23[Typical Criticality],MATCH($T169,TypicalCriticalitiesMAHBarrier23[Column2],0)),"")</f>
        <v/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396</v>
      </c>
      <c r="O170" t="s">
        <v>397</v>
      </c>
      <c r="P170" t="s">
        <v>404</v>
      </c>
      <c r="Q170" t="s">
        <v>0</v>
      </c>
      <c r="R170">
        <f t="shared" si="6"/>
        <v>17</v>
      </c>
      <c r="S170">
        <f t="shared" ca="1" si="7"/>
        <v>0</v>
      </c>
      <c r="T170">
        <f t="shared" si="8"/>
        <v>167</v>
      </c>
      <c r="U170" t="str">
        <f>IF($T170&lt;=Z$4,INDEX(TypicalCriticalitiesMAHBarrier23[Barrier Family Description],MATCH($T170,TypicalCriticalitiesMAHBarrier23[Barrier Family ID],0)),"")</f>
        <v/>
      </c>
      <c r="V170" t="str">
        <f ca="1">IF($T170&lt;=AA$4,INDEX(TypicalCriticalitiesMAHBarrier23[Typical Components],MATCH($T170,TypicalCriticalitiesMAHBarrier23[Column2],0)),"")</f>
        <v/>
      </c>
      <c r="W170" t="str">
        <f ca="1">IF($T170&lt;=AA$4,INDEX(TypicalCriticalitiesMAHBarrier23[Typical Criticality],MATCH($T170,TypicalCriticalitiesMAHBarrier23[Column2],0)),"")</f>
        <v/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396</v>
      </c>
      <c r="O171" t="s">
        <v>397</v>
      </c>
      <c r="P171" t="s">
        <v>405</v>
      </c>
      <c r="Q171" t="s">
        <v>0</v>
      </c>
      <c r="R171">
        <f t="shared" si="6"/>
        <v>17</v>
      </c>
      <c r="S171">
        <f t="shared" ca="1" si="7"/>
        <v>0</v>
      </c>
      <c r="T171">
        <f t="shared" si="8"/>
        <v>168</v>
      </c>
      <c r="U171" t="str">
        <f>IF($T171&lt;=Z$4,INDEX(TypicalCriticalitiesMAHBarrier23[Barrier Family Description],MATCH($T171,TypicalCriticalitiesMAHBarrier23[Barrier Family ID],0)),"")</f>
        <v/>
      </c>
      <c r="V171" t="str">
        <f ca="1">IF($T171&lt;=AA$4,INDEX(TypicalCriticalitiesMAHBarrier23[Typical Components],MATCH($T171,TypicalCriticalitiesMAHBarrier23[Column2],0)),"")</f>
        <v/>
      </c>
      <c r="W171" t="str">
        <f ca="1">IF($T171&lt;=AA$4,INDEX(TypicalCriticalitiesMAHBarrier23[Typical Criticality],MATCH($T171,TypicalCriticalitiesMAHBarrier23[Column2],0)),"")</f>
        <v/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396</v>
      </c>
      <c r="O172" t="s">
        <v>397</v>
      </c>
      <c r="P172" t="s">
        <v>406</v>
      </c>
      <c r="Q172" t="s">
        <v>0</v>
      </c>
      <c r="R172">
        <f t="shared" si="6"/>
        <v>17</v>
      </c>
      <c r="S172">
        <f t="shared" ca="1" si="7"/>
        <v>0</v>
      </c>
      <c r="T172">
        <f t="shared" si="8"/>
        <v>169</v>
      </c>
      <c r="U172" t="str">
        <f>IF($T172&lt;=Z$4,INDEX(TypicalCriticalitiesMAHBarrier23[Barrier Family Description],MATCH($T172,TypicalCriticalitiesMAHBarrier23[Barrier Family ID],0)),"")</f>
        <v/>
      </c>
      <c r="V172" t="str">
        <f ca="1">IF($T172&lt;=AA$4,INDEX(TypicalCriticalitiesMAHBarrier23[Typical Components],MATCH($T172,TypicalCriticalitiesMAHBarrier23[Column2],0)),"")</f>
        <v/>
      </c>
      <c r="W172" t="str">
        <f ca="1">IF($T172&lt;=AA$4,INDEX(TypicalCriticalitiesMAHBarrier23[Typical Criticality],MATCH($T172,TypicalCriticalitiesMAHBarrier23[Column2],0)),"")</f>
        <v/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396</v>
      </c>
      <c r="O173" t="s">
        <v>397</v>
      </c>
      <c r="P173" t="s">
        <v>407</v>
      </c>
      <c r="Q173" t="s">
        <v>0</v>
      </c>
      <c r="R173">
        <f t="shared" si="6"/>
        <v>17</v>
      </c>
      <c r="S173">
        <f t="shared" ca="1" si="7"/>
        <v>0</v>
      </c>
      <c r="T173">
        <f t="shared" si="8"/>
        <v>170</v>
      </c>
      <c r="U173" t="str">
        <f>IF($T173&lt;=Z$4,INDEX(TypicalCriticalitiesMAHBarrier23[Barrier Family Description],MATCH($T173,TypicalCriticalitiesMAHBarrier23[Barrier Family ID],0)),"")</f>
        <v/>
      </c>
      <c r="V173" t="str">
        <f ca="1">IF($T173&lt;=AA$4,INDEX(TypicalCriticalitiesMAHBarrier23[Typical Components],MATCH($T173,TypicalCriticalitiesMAHBarrier23[Column2],0)),"")</f>
        <v/>
      </c>
      <c r="W173" t="str">
        <f ca="1">IF($T173&lt;=AA$4,INDEX(TypicalCriticalitiesMAHBarrier23[Typical Criticality],MATCH($T173,TypicalCriticalitiesMAHBarrier23[Column2],0)),"")</f>
        <v/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396</v>
      </c>
      <c r="O174" t="s">
        <v>397</v>
      </c>
      <c r="P174" t="s">
        <v>408</v>
      </c>
      <c r="Q174" t="s">
        <v>1</v>
      </c>
      <c r="R174">
        <f t="shared" si="6"/>
        <v>17</v>
      </c>
      <c r="S174">
        <f t="shared" ca="1" si="7"/>
        <v>0</v>
      </c>
      <c r="T174">
        <f t="shared" si="8"/>
        <v>171</v>
      </c>
      <c r="U174" t="str">
        <f>IF($T174&lt;=Z$4,INDEX(TypicalCriticalitiesMAHBarrier23[Barrier Family Description],MATCH($T174,TypicalCriticalitiesMAHBarrier23[Barrier Family ID],0)),"")</f>
        <v/>
      </c>
      <c r="V174" t="str">
        <f ca="1">IF($T174&lt;=AA$4,INDEX(TypicalCriticalitiesMAHBarrier23[Typical Components],MATCH($T174,TypicalCriticalitiesMAHBarrier23[Column2],0)),"")</f>
        <v/>
      </c>
      <c r="W174" t="str">
        <f ca="1">IF($T174&lt;=AA$4,INDEX(TypicalCriticalitiesMAHBarrier23[Typical Criticality],MATCH($T174,TypicalCriticalitiesMAHBarrier23[Column2],0)),"")</f>
        <v/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396</v>
      </c>
      <c r="O175" t="s">
        <v>397</v>
      </c>
      <c r="P175" t="s">
        <v>409</v>
      </c>
      <c r="Q175" t="s">
        <v>0</v>
      </c>
      <c r="R175">
        <f t="shared" si="6"/>
        <v>17</v>
      </c>
      <c r="S175">
        <f t="shared" ca="1" si="7"/>
        <v>0</v>
      </c>
      <c r="T175">
        <f t="shared" si="8"/>
        <v>172</v>
      </c>
      <c r="U175" t="str">
        <f>IF($T175&lt;=Z$4,INDEX(TypicalCriticalitiesMAHBarrier23[Barrier Family Description],MATCH($T175,TypicalCriticalitiesMAHBarrier23[Barrier Family ID],0)),"")</f>
        <v/>
      </c>
      <c r="V175" t="str">
        <f ca="1">IF($T175&lt;=AA$4,INDEX(TypicalCriticalitiesMAHBarrier23[Typical Components],MATCH($T175,TypicalCriticalitiesMAHBarrier23[Column2],0)),"")</f>
        <v/>
      </c>
      <c r="W175" t="str">
        <f ca="1">IF($T175&lt;=AA$4,INDEX(TypicalCriticalitiesMAHBarrier23[Typical Criticality],MATCH($T175,TypicalCriticalitiesMAHBarrier23[Column2],0)),"")</f>
        <v/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396</v>
      </c>
      <c r="O176" t="s">
        <v>397</v>
      </c>
      <c r="P176" t="s">
        <v>410</v>
      </c>
      <c r="Q176" t="s">
        <v>0</v>
      </c>
      <c r="R176">
        <f t="shared" si="6"/>
        <v>17</v>
      </c>
      <c r="S176">
        <f t="shared" ca="1" si="7"/>
        <v>0</v>
      </c>
      <c r="T176">
        <f t="shared" si="8"/>
        <v>173</v>
      </c>
      <c r="U176" t="str">
        <f>IF($T176&lt;=Z$4,INDEX(TypicalCriticalitiesMAHBarrier23[Barrier Family Description],MATCH($T176,TypicalCriticalitiesMAHBarrier23[Barrier Family ID],0)),"")</f>
        <v/>
      </c>
      <c r="V176" t="str">
        <f ca="1">IF($T176&lt;=AA$4,INDEX(TypicalCriticalitiesMAHBarrier23[Typical Components],MATCH($T176,TypicalCriticalitiesMAHBarrier23[Column2],0)),"")</f>
        <v/>
      </c>
      <c r="W176" t="str">
        <f ca="1">IF($T176&lt;=AA$4,INDEX(TypicalCriticalitiesMAHBarrier23[Typical Criticality],MATCH($T176,TypicalCriticalitiesMAHBarrier23[Column2],0)),"")</f>
        <v/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396</v>
      </c>
      <c r="O177" t="s">
        <v>397</v>
      </c>
      <c r="P177" t="s">
        <v>411</v>
      </c>
      <c r="Q177" t="s">
        <v>0</v>
      </c>
      <c r="R177">
        <f t="shared" si="6"/>
        <v>17</v>
      </c>
      <c r="S177">
        <f t="shared" ca="1" si="7"/>
        <v>0</v>
      </c>
      <c r="T177">
        <f t="shared" si="8"/>
        <v>174</v>
      </c>
      <c r="U177" t="str">
        <f>IF($T177&lt;=Z$4,INDEX(TypicalCriticalitiesMAHBarrier23[Barrier Family Description],MATCH($T177,TypicalCriticalitiesMAHBarrier23[Barrier Family ID],0)),"")</f>
        <v/>
      </c>
      <c r="V177" t="str">
        <f ca="1">IF($T177&lt;=AA$4,INDEX(TypicalCriticalitiesMAHBarrier23[Typical Components],MATCH($T177,TypicalCriticalitiesMAHBarrier23[Column2],0)),"")</f>
        <v/>
      </c>
      <c r="W177" t="str">
        <f ca="1">IF($T177&lt;=AA$4,INDEX(TypicalCriticalitiesMAHBarrier23[Typical Criticality],MATCH($T177,TypicalCriticalitiesMAHBarrier23[Column2],0)),"")</f>
        <v/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396</v>
      </c>
      <c r="O178" t="s">
        <v>397</v>
      </c>
      <c r="P178" t="s">
        <v>412</v>
      </c>
      <c r="Q178" t="s">
        <v>0</v>
      </c>
      <c r="R178">
        <f t="shared" si="6"/>
        <v>17</v>
      </c>
      <c r="S178">
        <f t="shared" ca="1" si="7"/>
        <v>0</v>
      </c>
      <c r="T178">
        <f t="shared" si="8"/>
        <v>175</v>
      </c>
      <c r="U178" t="str">
        <f>IF($T178&lt;=Z$4,INDEX(TypicalCriticalitiesMAHBarrier23[Barrier Family Description],MATCH($T178,TypicalCriticalitiesMAHBarrier23[Barrier Family ID],0)),"")</f>
        <v/>
      </c>
      <c r="V178" t="str">
        <f ca="1">IF($T178&lt;=AA$4,INDEX(TypicalCriticalitiesMAHBarrier23[Typical Components],MATCH($T178,TypicalCriticalitiesMAHBarrier23[Column2],0)),"")</f>
        <v/>
      </c>
      <c r="W178" t="str">
        <f ca="1">IF($T178&lt;=AA$4,INDEX(TypicalCriticalitiesMAHBarrier23[Typical Criticality],MATCH($T178,TypicalCriticalitiesMAHBarrier23[Column2],0)),"")</f>
        <v/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396</v>
      </c>
      <c r="O179" t="s">
        <v>397</v>
      </c>
      <c r="P179" t="s">
        <v>413</v>
      </c>
      <c r="Q179" t="s">
        <v>0</v>
      </c>
      <c r="R179">
        <f t="shared" si="6"/>
        <v>17</v>
      </c>
      <c r="S179">
        <f t="shared" ca="1" si="7"/>
        <v>0</v>
      </c>
      <c r="T179">
        <f t="shared" si="8"/>
        <v>176</v>
      </c>
      <c r="U179" t="str">
        <f>IF($T179&lt;=Z$4,INDEX(TypicalCriticalitiesMAHBarrier23[Barrier Family Description],MATCH($T179,TypicalCriticalitiesMAHBarrier23[Barrier Family ID],0)),"")</f>
        <v/>
      </c>
      <c r="V179" t="str">
        <f ca="1">IF($T179&lt;=AA$4,INDEX(TypicalCriticalitiesMAHBarrier23[Typical Components],MATCH($T179,TypicalCriticalitiesMAHBarrier23[Column2],0)),"")</f>
        <v/>
      </c>
      <c r="W179" t="str">
        <f ca="1">IF($T179&lt;=AA$4,INDEX(TypicalCriticalitiesMAHBarrier23[Typical Criticality],MATCH($T179,TypicalCriticalitiesMAHBarrier23[Column2],0)),"")</f>
        <v/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396</v>
      </c>
      <c r="O180" t="s">
        <v>397</v>
      </c>
      <c r="P180" t="s">
        <v>414</v>
      </c>
      <c r="Q180" t="s">
        <v>2</v>
      </c>
      <c r="R180">
        <f t="shared" si="6"/>
        <v>17</v>
      </c>
      <c r="S180">
        <f t="shared" ca="1" si="7"/>
        <v>0</v>
      </c>
      <c r="T180">
        <f t="shared" si="8"/>
        <v>177</v>
      </c>
      <c r="U180" t="str">
        <f>IF($T180&lt;=Z$4,INDEX(TypicalCriticalitiesMAHBarrier23[Barrier Family Description],MATCH($T180,TypicalCriticalitiesMAHBarrier23[Barrier Family ID],0)),"")</f>
        <v/>
      </c>
      <c r="V180" t="str">
        <f ca="1">IF($T180&lt;=AA$4,INDEX(TypicalCriticalitiesMAHBarrier23[Typical Components],MATCH($T180,TypicalCriticalitiesMAHBarrier23[Column2],0)),"")</f>
        <v/>
      </c>
      <c r="W180" t="str">
        <f ca="1">IF($T180&lt;=AA$4,INDEX(TypicalCriticalitiesMAHBarrier23[Typical Criticality],MATCH($T180,TypicalCriticalitiesMAHBarrier23[Column2],0)),"")</f>
        <v/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396</v>
      </c>
      <c r="O181" t="s">
        <v>397</v>
      </c>
      <c r="P181" t="s">
        <v>415</v>
      </c>
      <c r="Q181" t="s">
        <v>0</v>
      </c>
      <c r="R181">
        <f t="shared" si="6"/>
        <v>17</v>
      </c>
      <c r="S181">
        <f t="shared" ca="1" si="7"/>
        <v>0</v>
      </c>
      <c r="T181">
        <f t="shared" si="8"/>
        <v>178</v>
      </c>
      <c r="U181" t="str">
        <f>IF($T181&lt;=Z$4,INDEX(TypicalCriticalitiesMAHBarrier23[Barrier Family Description],MATCH($T181,TypicalCriticalitiesMAHBarrier23[Barrier Family ID],0)),"")</f>
        <v/>
      </c>
      <c r="V181" t="str">
        <f ca="1">IF($T181&lt;=AA$4,INDEX(TypicalCriticalitiesMAHBarrier23[Typical Components],MATCH($T181,TypicalCriticalitiesMAHBarrier23[Column2],0)),"")</f>
        <v/>
      </c>
      <c r="W181" t="str">
        <f ca="1">IF($T181&lt;=AA$4,INDEX(TypicalCriticalitiesMAHBarrier23[Typical Criticality],MATCH($T181,TypicalCriticalitiesMAHBarrier23[Column2],0)),"")</f>
        <v/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396</v>
      </c>
      <c r="O182" t="s">
        <v>397</v>
      </c>
      <c r="P182" t="s">
        <v>394</v>
      </c>
      <c r="Q182" t="s">
        <v>395</v>
      </c>
      <c r="R182">
        <f t="shared" si="6"/>
        <v>17</v>
      </c>
      <c r="S182">
        <f t="shared" ca="1" si="7"/>
        <v>0</v>
      </c>
      <c r="T182">
        <f t="shared" si="8"/>
        <v>179</v>
      </c>
      <c r="U182" t="str">
        <f>IF($T182&lt;=Z$4,INDEX(TypicalCriticalitiesMAHBarrier23[Barrier Family Description],MATCH($T182,TypicalCriticalitiesMAHBarrier23[Barrier Family ID],0)),"")</f>
        <v/>
      </c>
      <c r="V182" t="str">
        <f ca="1">IF($T182&lt;=AA$4,INDEX(TypicalCriticalitiesMAHBarrier23[Typical Components],MATCH($T182,TypicalCriticalitiesMAHBarrier23[Column2],0)),"")</f>
        <v/>
      </c>
      <c r="W182" t="str">
        <f ca="1">IF($T182&lt;=AA$4,INDEX(TypicalCriticalitiesMAHBarrier23[Typical Criticality],MATCH($T182,TypicalCriticalitiesMAHBarrier23[Column2],0)),"")</f>
        <v/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396</v>
      </c>
      <c r="O183" t="s">
        <v>397</v>
      </c>
      <c r="P183" t="s">
        <v>416</v>
      </c>
      <c r="Q183" t="s">
        <v>0</v>
      </c>
      <c r="R183">
        <f t="shared" si="6"/>
        <v>17</v>
      </c>
      <c r="S183">
        <f t="shared" ca="1" si="7"/>
        <v>0</v>
      </c>
      <c r="T183">
        <f t="shared" si="8"/>
        <v>180</v>
      </c>
      <c r="U183" t="str">
        <f>IF($T183&lt;=Z$4,INDEX(TypicalCriticalitiesMAHBarrier23[Barrier Family Description],MATCH($T183,TypicalCriticalitiesMAHBarrier23[Barrier Family ID],0)),"")</f>
        <v/>
      </c>
      <c r="V183" t="str">
        <f ca="1">IF($T183&lt;=AA$4,INDEX(TypicalCriticalitiesMAHBarrier23[Typical Components],MATCH($T183,TypicalCriticalitiesMAHBarrier23[Column2],0)),"")</f>
        <v/>
      </c>
      <c r="W183" t="str">
        <f ca="1">IF($T183&lt;=AA$4,INDEX(TypicalCriticalitiesMAHBarrier23[Typical Criticality],MATCH($T183,TypicalCriticalitiesMAHBarrier23[Column2],0)),"")</f>
        <v/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417</v>
      </c>
      <c r="O184" t="s">
        <v>418</v>
      </c>
      <c r="P184" t="s">
        <v>419</v>
      </c>
      <c r="Q184" t="s">
        <v>0</v>
      </c>
      <c r="R184">
        <f t="shared" si="6"/>
        <v>18</v>
      </c>
      <c r="S184">
        <f t="shared" ca="1" si="7"/>
        <v>0</v>
      </c>
      <c r="T184">
        <f t="shared" si="8"/>
        <v>181</v>
      </c>
      <c r="U184" t="str">
        <f>IF($T184&lt;=Z$4,INDEX(TypicalCriticalitiesMAHBarrier23[Barrier Family Description],MATCH($T184,TypicalCriticalitiesMAHBarrier23[Barrier Family ID],0)),"")</f>
        <v/>
      </c>
      <c r="V184" t="str">
        <f ca="1">IF($T184&lt;=AA$4,INDEX(TypicalCriticalitiesMAHBarrier23[Typical Components],MATCH($T184,TypicalCriticalitiesMAHBarrier23[Column2],0)),"")</f>
        <v/>
      </c>
      <c r="W184" t="str">
        <f ca="1">IF($T184&lt;=AA$4,INDEX(TypicalCriticalitiesMAHBarrier23[Typical Criticality],MATCH($T184,TypicalCriticalitiesMAHBarrier23[Column2],0)),"")</f>
        <v/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417</v>
      </c>
      <c r="O185" t="s">
        <v>418</v>
      </c>
      <c r="P185" t="s">
        <v>420</v>
      </c>
      <c r="Q185" t="s">
        <v>0</v>
      </c>
      <c r="R185">
        <f t="shared" si="6"/>
        <v>18</v>
      </c>
      <c r="S185">
        <f t="shared" ca="1" si="7"/>
        <v>0</v>
      </c>
      <c r="T185">
        <f t="shared" si="8"/>
        <v>182</v>
      </c>
      <c r="U185" t="str">
        <f>IF($T185&lt;=Z$4,INDEX(TypicalCriticalitiesMAHBarrier23[Barrier Family Description],MATCH($T185,TypicalCriticalitiesMAHBarrier23[Barrier Family ID],0)),"")</f>
        <v/>
      </c>
      <c r="V185" t="str">
        <f ca="1">IF($T185&lt;=AA$4,INDEX(TypicalCriticalitiesMAHBarrier23[Typical Components],MATCH($T185,TypicalCriticalitiesMAHBarrier23[Column2],0)),"")</f>
        <v/>
      </c>
      <c r="W185" t="str">
        <f ca="1">IF($T185&lt;=AA$4,INDEX(TypicalCriticalitiesMAHBarrier23[Typical Criticality],MATCH($T185,TypicalCriticalitiesMAHBarrier23[Column2],0)),"")</f>
        <v/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417</v>
      </c>
      <c r="O186" t="s">
        <v>418</v>
      </c>
      <c r="P186" t="s">
        <v>421</v>
      </c>
      <c r="Q186" t="s">
        <v>0</v>
      </c>
      <c r="R186">
        <f t="shared" si="6"/>
        <v>18</v>
      </c>
      <c r="S186">
        <f t="shared" ca="1" si="7"/>
        <v>0</v>
      </c>
      <c r="T186">
        <f t="shared" si="8"/>
        <v>183</v>
      </c>
      <c r="U186" t="str">
        <f>IF($T186&lt;=Z$4,INDEX(TypicalCriticalitiesMAHBarrier23[Barrier Family Description],MATCH($T186,TypicalCriticalitiesMAHBarrier23[Barrier Family ID],0)),"")</f>
        <v/>
      </c>
      <c r="V186" t="str">
        <f ca="1">IF($T186&lt;=AA$4,INDEX(TypicalCriticalitiesMAHBarrier23[Typical Components],MATCH($T186,TypicalCriticalitiesMAHBarrier23[Column2],0)),"")</f>
        <v/>
      </c>
      <c r="W186" t="str">
        <f ca="1">IF($T186&lt;=AA$4,INDEX(TypicalCriticalitiesMAHBarrier23[Typical Criticality],MATCH($T186,TypicalCriticalitiesMAHBarrier23[Column2],0)),"")</f>
        <v/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417</v>
      </c>
      <c r="O187" t="s">
        <v>418</v>
      </c>
      <c r="P187" t="s">
        <v>422</v>
      </c>
      <c r="Q187" t="s">
        <v>0</v>
      </c>
      <c r="R187">
        <f t="shared" si="6"/>
        <v>18</v>
      </c>
      <c r="S187">
        <f t="shared" ca="1" si="7"/>
        <v>0</v>
      </c>
      <c r="T187">
        <f t="shared" si="8"/>
        <v>184</v>
      </c>
      <c r="U187" t="str">
        <f>IF($T187&lt;=Z$4,INDEX(TypicalCriticalitiesMAHBarrier23[Barrier Family Description],MATCH($T187,TypicalCriticalitiesMAHBarrier23[Barrier Family ID],0)),"")</f>
        <v/>
      </c>
      <c r="V187" t="str">
        <f ca="1">IF($T187&lt;=AA$4,INDEX(TypicalCriticalitiesMAHBarrier23[Typical Components],MATCH($T187,TypicalCriticalitiesMAHBarrier23[Column2],0)),"")</f>
        <v/>
      </c>
      <c r="W187" t="str">
        <f ca="1">IF($T187&lt;=AA$4,INDEX(TypicalCriticalitiesMAHBarrier23[Typical Criticality],MATCH($T187,TypicalCriticalitiesMAHBarrier23[Column2],0)),"")</f>
        <v/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417</v>
      </c>
      <c r="O188" t="s">
        <v>423</v>
      </c>
      <c r="P188" t="s">
        <v>424</v>
      </c>
      <c r="Q188" t="s">
        <v>0</v>
      </c>
      <c r="R188">
        <f t="shared" si="6"/>
        <v>19</v>
      </c>
      <c r="S188">
        <f t="shared" ca="1" si="7"/>
        <v>0</v>
      </c>
      <c r="T188">
        <f t="shared" si="8"/>
        <v>185</v>
      </c>
      <c r="U188" t="str">
        <f>IF($T188&lt;=Z$4,INDEX(TypicalCriticalitiesMAHBarrier23[Barrier Family Description],MATCH($T188,TypicalCriticalitiesMAHBarrier23[Barrier Family ID],0)),"")</f>
        <v/>
      </c>
      <c r="V188" t="str">
        <f ca="1">IF($T188&lt;=AA$4,INDEX(TypicalCriticalitiesMAHBarrier23[Typical Components],MATCH($T188,TypicalCriticalitiesMAHBarrier23[Column2],0)),"")</f>
        <v/>
      </c>
      <c r="W188" t="str">
        <f ca="1">IF($T188&lt;=AA$4,INDEX(TypicalCriticalitiesMAHBarrier23[Typical Criticality],MATCH($T188,TypicalCriticalitiesMAHBarrier23[Column2],0)),"")</f>
        <v/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417</v>
      </c>
      <c r="O189" t="s">
        <v>425</v>
      </c>
      <c r="P189" t="s">
        <v>426</v>
      </c>
      <c r="Q189" t="s">
        <v>1</v>
      </c>
      <c r="R189">
        <f t="shared" si="6"/>
        <v>20</v>
      </c>
      <c r="S189">
        <f t="shared" ca="1" si="7"/>
        <v>0</v>
      </c>
      <c r="T189">
        <f t="shared" si="8"/>
        <v>186</v>
      </c>
      <c r="U189" t="str">
        <f>IF($T189&lt;=Z$4,INDEX(TypicalCriticalitiesMAHBarrier23[Barrier Family Description],MATCH($T189,TypicalCriticalitiesMAHBarrier23[Barrier Family ID],0)),"")</f>
        <v/>
      </c>
      <c r="V189" t="str">
        <f ca="1">IF($T189&lt;=AA$4,INDEX(TypicalCriticalitiesMAHBarrier23[Typical Components],MATCH($T189,TypicalCriticalitiesMAHBarrier23[Column2],0)),"")</f>
        <v/>
      </c>
      <c r="W189" t="str">
        <f ca="1">IF($T189&lt;=AA$4,INDEX(TypicalCriticalitiesMAHBarrier23[Typical Criticality],MATCH($T189,TypicalCriticalitiesMAHBarrier23[Column2],0)),"")</f>
        <v/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417</v>
      </c>
      <c r="O190" t="s">
        <v>427</v>
      </c>
      <c r="P190" t="s">
        <v>426</v>
      </c>
      <c r="Q190" t="s">
        <v>2</v>
      </c>
      <c r="R190">
        <f t="shared" si="6"/>
        <v>21</v>
      </c>
      <c r="S190">
        <f t="shared" ca="1" si="7"/>
        <v>0</v>
      </c>
      <c r="T190">
        <f t="shared" si="8"/>
        <v>187</v>
      </c>
      <c r="U190" t="str">
        <f>IF($T190&lt;=Z$4,INDEX(TypicalCriticalitiesMAHBarrier23[Barrier Family Description],MATCH($T190,TypicalCriticalitiesMAHBarrier23[Barrier Family ID],0)),"")</f>
        <v/>
      </c>
      <c r="V190" t="str">
        <f ca="1">IF($T190&lt;=AA$4,INDEX(TypicalCriticalitiesMAHBarrier23[Typical Components],MATCH($T190,TypicalCriticalitiesMAHBarrier23[Column2],0)),"")</f>
        <v/>
      </c>
      <c r="W190" t="str">
        <f ca="1">IF($T190&lt;=AA$4,INDEX(TypicalCriticalitiesMAHBarrier23[Typical Criticality],MATCH($T190,TypicalCriticalitiesMAHBarrier23[Column2],0)),"")</f>
        <v/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428</v>
      </c>
      <c r="O191" t="s">
        <v>429</v>
      </c>
      <c r="P191" t="s">
        <v>430</v>
      </c>
      <c r="Q191" t="s">
        <v>0</v>
      </c>
      <c r="R191">
        <f t="shared" si="6"/>
        <v>22</v>
      </c>
      <c r="S191">
        <f t="shared" ca="1" si="7"/>
        <v>0</v>
      </c>
      <c r="T191">
        <f t="shared" si="8"/>
        <v>188</v>
      </c>
      <c r="U191" t="str">
        <f>IF($T191&lt;=Z$4,INDEX(TypicalCriticalitiesMAHBarrier23[Barrier Family Description],MATCH($T191,TypicalCriticalitiesMAHBarrier23[Barrier Family ID],0)),"")</f>
        <v/>
      </c>
      <c r="V191" t="str">
        <f ca="1">IF($T191&lt;=AA$4,INDEX(TypicalCriticalitiesMAHBarrier23[Typical Components],MATCH($T191,TypicalCriticalitiesMAHBarrier23[Column2],0)),"")</f>
        <v/>
      </c>
      <c r="W191" t="str">
        <f ca="1">IF($T191&lt;=AA$4,INDEX(TypicalCriticalitiesMAHBarrier23[Typical Criticality],MATCH($T191,TypicalCriticalitiesMAHBarrier23[Column2],0)),"")</f>
        <v/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428</v>
      </c>
      <c r="O192" t="s">
        <v>429</v>
      </c>
      <c r="P192" t="s">
        <v>431</v>
      </c>
      <c r="Q192" t="s">
        <v>0</v>
      </c>
      <c r="R192">
        <f t="shared" si="6"/>
        <v>22</v>
      </c>
      <c r="S192">
        <f t="shared" ca="1" si="7"/>
        <v>0</v>
      </c>
      <c r="T192">
        <f t="shared" si="8"/>
        <v>189</v>
      </c>
      <c r="U192" t="str">
        <f>IF($T192&lt;=Z$4,INDEX(TypicalCriticalitiesMAHBarrier23[Barrier Family Description],MATCH($T192,TypicalCriticalitiesMAHBarrier23[Barrier Family ID],0)),"")</f>
        <v/>
      </c>
      <c r="V192" t="str">
        <f ca="1">IF($T192&lt;=AA$4,INDEX(TypicalCriticalitiesMAHBarrier23[Typical Components],MATCH($T192,TypicalCriticalitiesMAHBarrier23[Column2],0)),"")</f>
        <v/>
      </c>
      <c r="W192" t="str">
        <f ca="1">IF($T192&lt;=AA$4,INDEX(TypicalCriticalitiesMAHBarrier23[Typical Criticality],MATCH($T192,TypicalCriticalitiesMAHBarrier23[Column2],0)),"")</f>
        <v/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428</v>
      </c>
      <c r="O193" t="s">
        <v>429</v>
      </c>
      <c r="P193" t="s">
        <v>432</v>
      </c>
      <c r="Q193" t="s">
        <v>0</v>
      </c>
      <c r="R193">
        <f t="shared" si="6"/>
        <v>22</v>
      </c>
      <c r="S193">
        <f t="shared" ca="1" si="7"/>
        <v>0</v>
      </c>
      <c r="T193">
        <f t="shared" si="8"/>
        <v>190</v>
      </c>
      <c r="U193" t="str">
        <f>IF($T193&lt;=Z$4,INDEX(TypicalCriticalitiesMAHBarrier23[Barrier Family Description],MATCH($T193,TypicalCriticalitiesMAHBarrier23[Barrier Family ID],0)),"")</f>
        <v/>
      </c>
      <c r="V193" t="str">
        <f ca="1">IF($T193&lt;=AA$4,INDEX(TypicalCriticalitiesMAHBarrier23[Typical Components],MATCH($T193,TypicalCriticalitiesMAHBarrier23[Column2],0)),"")</f>
        <v/>
      </c>
      <c r="W193" t="str">
        <f ca="1">IF($T193&lt;=AA$4,INDEX(TypicalCriticalitiesMAHBarrier23[Typical Criticality],MATCH($T193,TypicalCriticalitiesMAHBarrier23[Column2],0)),"")</f>
        <v/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428</v>
      </c>
      <c r="O194" t="s">
        <v>429</v>
      </c>
      <c r="P194" t="s">
        <v>433</v>
      </c>
      <c r="Q194" t="s">
        <v>0</v>
      </c>
      <c r="R194">
        <f t="shared" si="6"/>
        <v>22</v>
      </c>
      <c r="S194">
        <f t="shared" ca="1" si="7"/>
        <v>0</v>
      </c>
      <c r="T194">
        <f t="shared" si="8"/>
        <v>191</v>
      </c>
      <c r="U194" t="str">
        <f>IF($T194&lt;=Z$4,INDEX(TypicalCriticalitiesMAHBarrier23[Barrier Family Description],MATCH($T194,TypicalCriticalitiesMAHBarrier23[Barrier Family ID],0)),"")</f>
        <v/>
      </c>
      <c r="V194" t="str">
        <f ca="1">IF($T194&lt;=AA$4,INDEX(TypicalCriticalitiesMAHBarrier23[Typical Components],MATCH($T194,TypicalCriticalitiesMAHBarrier23[Column2],0)),"")</f>
        <v/>
      </c>
      <c r="W194" t="str">
        <f ca="1">IF($T194&lt;=AA$4,INDEX(TypicalCriticalitiesMAHBarrier23[Typical Criticality],MATCH($T194,TypicalCriticalitiesMAHBarrier23[Column2],0)),"")</f>
        <v/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428</v>
      </c>
      <c r="O195" t="s">
        <v>434</v>
      </c>
      <c r="P195" t="s">
        <v>430</v>
      </c>
      <c r="Q195" t="s">
        <v>1</v>
      </c>
      <c r="R195">
        <f t="shared" si="6"/>
        <v>23</v>
      </c>
      <c r="S195">
        <f t="shared" ca="1" si="7"/>
        <v>0</v>
      </c>
      <c r="T195">
        <f t="shared" si="8"/>
        <v>192</v>
      </c>
      <c r="U195" t="str">
        <f>IF($T195&lt;=Z$4,INDEX(TypicalCriticalitiesMAHBarrier23[Barrier Family Description],MATCH($T195,TypicalCriticalitiesMAHBarrier23[Barrier Family ID],0)),"")</f>
        <v/>
      </c>
      <c r="V195" t="str">
        <f ca="1">IF($T195&lt;=AA$4,INDEX(TypicalCriticalitiesMAHBarrier23[Typical Components],MATCH($T195,TypicalCriticalitiesMAHBarrier23[Column2],0)),"")</f>
        <v/>
      </c>
      <c r="W195" t="str">
        <f ca="1">IF($T195&lt;=AA$4,INDEX(TypicalCriticalitiesMAHBarrier23[Typical Criticality],MATCH($T195,TypicalCriticalitiesMAHBarrier23[Column2],0)),"")</f>
        <v/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428</v>
      </c>
      <c r="O196" t="s">
        <v>434</v>
      </c>
      <c r="P196" t="s">
        <v>435</v>
      </c>
      <c r="Q196" t="s">
        <v>1</v>
      </c>
      <c r="R196">
        <f t="shared" si="6"/>
        <v>23</v>
      </c>
      <c r="S196">
        <f t="shared" ca="1" si="7"/>
        <v>0</v>
      </c>
      <c r="T196">
        <f t="shared" si="8"/>
        <v>193</v>
      </c>
      <c r="U196" t="str">
        <f>IF($T196&lt;=Z$4,INDEX(TypicalCriticalitiesMAHBarrier23[Barrier Family Description],MATCH($T196,TypicalCriticalitiesMAHBarrier23[Barrier Family ID],0)),"")</f>
        <v/>
      </c>
      <c r="V196" t="str">
        <f ca="1">IF($T196&lt;=AA$4,INDEX(TypicalCriticalitiesMAHBarrier23[Typical Components],MATCH($T196,TypicalCriticalitiesMAHBarrier23[Column2],0)),"")</f>
        <v/>
      </c>
      <c r="W196" t="str">
        <f ca="1">IF($T196&lt;=AA$4,INDEX(TypicalCriticalitiesMAHBarrier23[Typical Criticality],MATCH($T196,TypicalCriticalitiesMAHBarrier23[Column2],0)),"")</f>
        <v/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436</v>
      </c>
      <c r="O197" t="s">
        <v>437</v>
      </c>
      <c r="P197" t="s">
        <v>438</v>
      </c>
      <c r="Q197" t="s">
        <v>0</v>
      </c>
      <c r="R197">
        <f t="shared" ref="R197:R264" si="9">IF(AND(O197&lt;&gt;O196,O197&lt;&gt;""),R196+1,R196)</f>
        <v>24</v>
      </c>
      <c r="S197">
        <f t="shared" ref="S197:S264" ca="1" si="10">IF(R197=$Z$5,IF(AND(P197&lt;&gt;P196,P197&lt;&gt;""),S196+1,S196),S196)</f>
        <v>0</v>
      </c>
      <c r="T197">
        <f t="shared" ref="T197:T264" si="11">T196+1</f>
        <v>194</v>
      </c>
      <c r="U197" t="str">
        <f>IF($T197&lt;=Z$4,INDEX(TypicalCriticalitiesMAHBarrier23[Barrier Family Description],MATCH($T197,TypicalCriticalitiesMAHBarrier23[Barrier Family ID],0)),"")</f>
        <v/>
      </c>
      <c r="V197" t="str">
        <f ca="1">IF($T197&lt;=AA$4,INDEX(TypicalCriticalitiesMAHBarrier23[Typical Components],MATCH($T197,TypicalCriticalitiesMAHBarrier23[Column2],0)),"")</f>
        <v/>
      </c>
      <c r="W197" t="str">
        <f ca="1">IF($T197&lt;=AA$4,INDEX(TypicalCriticalitiesMAHBarrier23[Typical Criticality],MATCH($T197,TypicalCriticalitiesMAHBarrier23[Column2],0)),"")</f>
        <v/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439</v>
      </c>
      <c r="O198" t="s">
        <v>440</v>
      </c>
      <c r="P198" t="s">
        <v>441</v>
      </c>
      <c r="Q198" t="s">
        <v>0</v>
      </c>
      <c r="R198">
        <f t="shared" si="9"/>
        <v>25</v>
      </c>
      <c r="S198">
        <f t="shared" ca="1" si="10"/>
        <v>0</v>
      </c>
      <c r="T198">
        <f t="shared" si="11"/>
        <v>195</v>
      </c>
      <c r="U198" t="str">
        <f>IF($T198&lt;=Z$4,INDEX(TypicalCriticalitiesMAHBarrier23[Barrier Family Description],MATCH($T198,TypicalCriticalitiesMAHBarrier23[Barrier Family ID],0)),"")</f>
        <v/>
      </c>
      <c r="V198" t="str">
        <f ca="1">IF($T198&lt;=AA$4,INDEX(TypicalCriticalitiesMAHBarrier23[Typical Components],MATCH($T198,TypicalCriticalitiesMAHBarrier23[Column2],0)),"")</f>
        <v/>
      </c>
      <c r="W198" t="str">
        <f ca="1">IF($T198&lt;=AA$4,INDEX(TypicalCriticalitiesMAHBarrier23[Typical Criticality],MATCH($T198,TypicalCriticalitiesMAHBarrier23[Column2],0)),"")</f>
        <v/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442</v>
      </c>
      <c r="O199" t="s">
        <v>443</v>
      </c>
      <c r="P199" t="s">
        <v>444</v>
      </c>
      <c r="Q199" t="s">
        <v>1</v>
      </c>
      <c r="R199">
        <f t="shared" si="9"/>
        <v>26</v>
      </c>
      <c r="S199">
        <f t="shared" ca="1" si="10"/>
        <v>0</v>
      </c>
      <c r="T199">
        <f t="shared" si="11"/>
        <v>196</v>
      </c>
      <c r="U199" t="str">
        <f>IF($T199&lt;=Z$4,INDEX(TypicalCriticalitiesMAHBarrier23[Barrier Family Description],MATCH($T199,TypicalCriticalitiesMAHBarrier23[Barrier Family ID],0)),"")</f>
        <v/>
      </c>
      <c r="V199" t="str">
        <f ca="1">IF($T199&lt;=AA$4,INDEX(TypicalCriticalitiesMAHBarrier23[Typical Components],MATCH($T199,TypicalCriticalitiesMAHBarrier23[Column2],0)),"")</f>
        <v/>
      </c>
      <c r="W199" t="str">
        <f ca="1">IF($T199&lt;=AA$4,INDEX(TypicalCriticalitiesMAHBarrier23[Typical Criticality],MATCH($T199,TypicalCriticalitiesMAHBarrier23[Column2],0)),"")</f>
        <v/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442</v>
      </c>
      <c r="O200" t="s">
        <v>443</v>
      </c>
      <c r="P200" t="s">
        <v>445</v>
      </c>
      <c r="Q200" t="s">
        <v>1</v>
      </c>
      <c r="R200">
        <f t="shared" si="9"/>
        <v>26</v>
      </c>
      <c r="S200">
        <f t="shared" ca="1" si="10"/>
        <v>0</v>
      </c>
      <c r="T200">
        <f t="shared" si="11"/>
        <v>197</v>
      </c>
      <c r="U200" t="str">
        <f>IF($T200&lt;=Z$4,INDEX(TypicalCriticalitiesMAHBarrier23[Barrier Family Description],MATCH($T200,TypicalCriticalitiesMAHBarrier23[Barrier Family ID],0)),"")</f>
        <v/>
      </c>
      <c r="V200" t="str">
        <f ca="1">IF($T200&lt;=AA$4,INDEX(TypicalCriticalitiesMAHBarrier23[Typical Components],MATCH($T200,TypicalCriticalitiesMAHBarrier23[Column2],0)),"")</f>
        <v/>
      </c>
      <c r="W200" t="str">
        <f ca="1">IF($T200&lt;=AA$4,INDEX(TypicalCriticalitiesMAHBarrier23[Typical Criticality],MATCH($T200,TypicalCriticalitiesMAHBarrier23[Column2],0)),"")</f>
        <v/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446</v>
      </c>
      <c r="O201" t="s">
        <v>447</v>
      </c>
      <c r="P201" t="s">
        <v>448</v>
      </c>
      <c r="Q201" t="s">
        <v>449</v>
      </c>
      <c r="R201">
        <f t="shared" si="9"/>
        <v>27</v>
      </c>
      <c r="S201">
        <f t="shared" ca="1" si="10"/>
        <v>0</v>
      </c>
      <c r="T201">
        <f t="shared" si="11"/>
        <v>198</v>
      </c>
      <c r="U201" t="str">
        <f>IF($T201&lt;=Z$4,INDEX(TypicalCriticalitiesMAHBarrier23[Barrier Family Description],MATCH($T201,TypicalCriticalitiesMAHBarrier23[Barrier Family ID],0)),"")</f>
        <v/>
      </c>
      <c r="V201" t="str">
        <f ca="1">IF($T201&lt;=AA$4,INDEX(TypicalCriticalitiesMAHBarrier23[Typical Components],MATCH($T201,TypicalCriticalitiesMAHBarrier23[Column2],0)),"")</f>
        <v/>
      </c>
      <c r="W201" t="str">
        <f ca="1">IF($T201&lt;=AA$4,INDEX(TypicalCriticalitiesMAHBarrier23[Typical Criticality],MATCH($T201,TypicalCriticalitiesMAHBarrier23[Column2],0)),"")</f>
        <v/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446</v>
      </c>
      <c r="O202" t="str">
        <f t="shared" ref="O202:O208" si="12">O201</f>
        <v xml:space="preserve">Bunding, Open and Closed Hazardous Drains </v>
      </c>
      <c r="P202" t="s">
        <v>450</v>
      </c>
      <c r="Q202" t="s">
        <v>449</v>
      </c>
      <c r="R202">
        <f t="shared" si="9"/>
        <v>27</v>
      </c>
      <c r="S202">
        <f t="shared" ca="1" si="10"/>
        <v>0</v>
      </c>
      <c r="T202">
        <f t="shared" si="11"/>
        <v>199</v>
      </c>
      <c r="U202" t="str">
        <f>IF($T202&lt;=Z$4,INDEX(TypicalCriticalitiesMAHBarrier23[Barrier Family Description],MATCH($T202,TypicalCriticalitiesMAHBarrier23[Barrier Family ID],0)),"")</f>
        <v/>
      </c>
      <c r="V202" t="str">
        <f ca="1">IF($T202&lt;=AA$4,INDEX(TypicalCriticalitiesMAHBarrier23[Typical Components],MATCH($T202,TypicalCriticalitiesMAHBarrier23[Column2],0)),"")</f>
        <v/>
      </c>
      <c r="W202" t="str">
        <f ca="1">IF($T202&lt;=AA$4,INDEX(TypicalCriticalitiesMAHBarrier23[Typical Criticality],MATCH($T202,TypicalCriticalitiesMAHBarrier23[Column2],0)),"")</f>
        <v/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446</v>
      </c>
      <c r="O203" t="str">
        <f t="shared" si="12"/>
        <v xml:space="preserve">Bunding, Open and Closed Hazardous Drains </v>
      </c>
      <c r="P203" t="s">
        <v>451</v>
      </c>
      <c r="Q203" t="s">
        <v>452</v>
      </c>
      <c r="R203">
        <f t="shared" si="9"/>
        <v>27</v>
      </c>
      <c r="S203">
        <f t="shared" ca="1" si="10"/>
        <v>0</v>
      </c>
      <c r="T203">
        <f t="shared" si="11"/>
        <v>200</v>
      </c>
      <c r="U203" t="str">
        <f>IF($T203&lt;=Z$4,INDEX(TypicalCriticalitiesMAHBarrier23[Barrier Family Description],MATCH($T203,TypicalCriticalitiesMAHBarrier23[Barrier Family ID],0)),"")</f>
        <v/>
      </c>
      <c r="V203" t="str">
        <f ca="1">IF($T203&lt;=AA$4,INDEX(TypicalCriticalitiesMAHBarrier23[Typical Components],MATCH($T203,TypicalCriticalitiesMAHBarrier23[Column2],0)),"")</f>
        <v/>
      </c>
      <c r="W203" t="str">
        <f ca="1">IF($T203&lt;=AA$4,INDEX(TypicalCriticalitiesMAHBarrier23[Typical Criticality],MATCH($T203,TypicalCriticalitiesMAHBarrier23[Column2],0)),"")</f>
        <v/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446</v>
      </c>
      <c r="O204" t="str">
        <f t="shared" si="12"/>
        <v xml:space="preserve">Bunding, Open and Closed Hazardous Drains </v>
      </c>
      <c r="P204" t="s">
        <v>453</v>
      </c>
      <c r="Q204" t="s">
        <v>452</v>
      </c>
      <c r="R204">
        <f t="shared" si="9"/>
        <v>27</v>
      </c>
      <c r="S204">
        <f t="shared" ca="1" si="10"/>
        <v>0</v>
      </c>
      <c r="T204">
        <f t="shared" si="11"/>
        <v>201</v>
      </c>
      <c r="U204" t="str">
        <f>IF($T204&lt;=Z$4,INDEX(TypicalCriticalitiesMAHBarrier23[Barrier Family Description],MATCH($T204,TypicalCriticalitiesMAHBarrier23[Barrier Family ID],0)),"")</f>
        <v/>
      </c>
      <c r="V204" t="str">
        <f ca="1">IF($T204&lt;=AA$4,INDEX(TypicalCriticalitiesMAHBarrier23[Typical Components],MATCH($T204,TypicalCriticalitiesMAHBarrier23[Column2],0)),"")</f>
        <v/>
      </c>
      <c r="W204" t="str">
        <f ca="1">IF($T204&lt;=AA$4,INDEX(TypicalCriticalitiesMAHBarrier23[Typical Criticality],MATCH($T204,TypicalCriticalitiesMAHBarrier23[Column2],0)),"")</f>
        <v/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446</v>
      </c>
      <c r="O205" t="str">
        <f t="shared" si="12"/>
        <v xml:space="preserve">Bunding, Open and Closed Hazardous Drains </v>
      </c>
      <c r="P205" t="s">
        <v>454</v>
      </c>
      <c r="Q205" t="s">
        <v>452</v>
      </c>
      <c r="R205">
        <f t="shared" si="9"/>
        <v>27</v>
      </c>
      <c r="S205">
        <f t="shared" ca="1" si="10"/>
        <v>0</v>
      </c>
      <c r="T205">
        <f t="shared" si="11"/>
        <v>202</v>
      </c>
      <c r="U205" t="str">
        <f>IF($T205&lt;=Z$4,INDEX(TypicalCriticalitiesMAHBarrier23[Barrier Family Description],MATCH($T205,TypicalCriticalitiesMAHBarrier23[Barrier Family ID],0)),"")</f>
        <v/>
      </c>
      <c r="V205" t="str">
        <f ca="1">IF($T205&lt;=AA$4,INDEX(TypicalCriticalitiesMAHBarrier23[Typical Components],MATCH($T205,TypicalCriticalitiesMAHBarrier23[Column2],0)),"")</f>
        <v/>
      </c>
      <c r="W205" t="str">
        <f ca="1">IF($T205&lt;=AA$4,INDEX(TypicalCriticalitiesMAHBarrier23[Typical Criticality],MATCH($T205,TypicalCriticalitiesMAHBarrier23[Column2],0)),"")</f>
        <v/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446</v>
      </c>
      <c r="O206" t="str">
        <f t="shared" si="12"/>
        <v xml:space="preserve">Bunding, Open and Closed Hazardous Drains </v>
      </c>
      <c r="P206" t="s">
        <v>455</v>
      </c>
      <c r="Q206" t="s">
        <v>449</v>
      </c>
      <c r="R206">
        <f t="shared" si="9"/>
        <v>27</v>
      </c>
      <c r="S206">
        <f t="shared" ca="1" si="10"/>
        <v>0</v>
      </c>
      <c r="T206">
        <f t="shared" si="11"/>
        <v>203</v>
      </c>
      <c r="U206" t="str">
        <f>IF($T206&lt;=Z$4,INDEX(TypicalCriticalitiesMAHBarrier23[Barrier Family Description],MATCH($T206,TypicalCriticalitiesMAHBarrier23[Barrier Family ID],0)),"")</f>
        <v/>
      </c>
      <c r="V206" t="str">
        <f ca="1">IF($T206&lt;=AA$4,INDEX(TypicalCriticalitiesMAHBarrier23[Typical Components],MATCH($T206,TypicalCriticalitiesMAHBarrier23[Column2],0)),"")</f>
        <v/>
      </c>
      <c r="W206" t="str">
        <f ca="1">IF($T206&lt;=AA$4,INDEX(TypicalCriticalitiesMAHBarrier23[Typical Criticality],MATCH($T206,TypicalCriticalitiesMAHBarrier23[Column2],0)),"")</f>
        <v/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446</v>
      </c>
      <c r="O207" t="str">
        <f t="shared" si="12"/>
        <v xml:space="preserve">Bunding, Open and Closed Hazardous Drains </v>
      </c>
      <c r="P207" t="s">
        <v>456</v>
      </c>
      <c r="Q207" t="s">
        <v>449</v>
      </c>
      <c r="R207">
        <f t="shared" si="9"/>
        <v>27</v>
      </c>
      <c r="S207">
        <f t="shared" ca="1" si="10"/>
        <v>0</v>
      </c>
      <c r="T207">
        <f t="shared" si="11"/>
        <v>204</v>
      </c>
      <c r="U207" t="str">
        <f>IF($T207&lt;=Z$4,INDEX(TypicalCriticalitiesMAHBarrier23[Barrier Family Description],MATCH($T207,TypicalCriticalitiesMAHBarrier23[Barrier Family ID],0)),"")</f>
        <v/>
      </c>
      <c r="V207" t="str">
        <f ca="1">IF($T207&lt;=AA$4,INDEX(TypicalCriticalitiesMAHBarrier23[Typical Components],MATCH($T207,TypicalCriticalitiesMAHBarrier23[Column2],0)),"")</f>
        <v/>
      </c>
      <c r="W207" t="str">
        <f ca="1">IF($T207&lt;=AA$4,INDEX(TypicalCriticalitiesMAHBarrier23[Typical Criticality],MATCH($T207,TypicalCriticalitiesMAHBarrier23[Column2],0)),"")</f>
        <v/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446</v>
      </c>
      <c r="O208" t="str">
        <f t="shared" si="12"/>
        <v xml:space="preserve">Bunding, Open and Closed Hazardous Drains </v>
      </c>
      <c r="P208" t="s">
        <v>457</v>
      </c>
      <c r="Q208" t="s">
        <v>452</v>
      </c>
      <c r="R208">
        <f t="shared" si="9"/>
        <v>27</v>
      </c>
      <c r="S208">
        <f t="shared" ca="1" si="10"/>
        <v>0</v>
      </c>
      <c r="T208">
        <f t="shared" si="11"/>
        <v>205</v>
      </c>
      <c r="U208" t="str">
        <f>IF($T208&lt;=Z$4,INDEX(TypicalCriticalitiesMAHBarrier23[Barrier Family Description],MATCH($T208,TypicalCriticalitiesMAHBarrier23[Barrier Family ID],0)),"")</f>
        <v/>
      </c>
      <c r="V208" t="str">
        <f ca="1">IF($T208&lt;=AA$4,INDEX(TypicalCriticalitiesMAHBarrier23[Typical Components],MATCH($T208,TypicalCriticalitiesMAHBarrier23[Column2],0)),"")</f>
        <v/>
      </c>
      <c r="W208" t="str">
        <f ca="1">IF($T208&lt;=AA$4,INDEX(TypicalCriticalitiesMAHBarrier23[Typical Criticality],MATCH($T208,TypicalCriticalitiesMAHBarrier23[Column2],0)),"")</f>
        <v/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458</v>
      </c>
      <c r="O209" t="s">
        <v>459</v>
      </c>
      <c r="P209" t="s">
        <v>460</v>
      </c>
      <c r="Q209" t="s">
        <v>452</v>
      </c>
      <c r="R209">
        <f t="shared" si="9"/>
        <v>28</v>
      </c>
      <c r="S209">
        <f t="shared" ca="1" si="10"/>
        <v>0</v>
      </c>
      <c r="T209">
        <f t="shared" si="11"/>
        <v>206</v>
      </c>
      <c r="U209" t="str">
        <f>IF($T209&lt;=Z$4,INDEX(TypicalCriticalitiesMAHBarrier23[Barrier Family Description],MATCH($T209,TypicalCriticalitiesMAHBarrier23[Barrier Family ID],0)),"")</f>
        <v/>
      </c>
      <c r="V209" t="str">
        <f ca="1">IF($T209&lt;=AA$4,INDEX(TypicalCriticalitiesMAHBarrier23[Typical Components],MATCH($T209,TypicalCriticalitiesMAHBarrier23[Column2],0)),"")</f>
        <v/>
      </c>
      <c r="W209" t="str">
        <f ca="1">IF($T209&lt;=AA$4,INDEX(TypicalCriticalitiesMAHBarrier23[Typical Criticality],MATCH($T209,TypicalCriticalitiesMAHBarrier23[Column2],0)),"")</f>
        <v/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461</v>
      </c>
      <c r="O210" t="s">
        <v>462</v>
      </c>
      <c r="P210" t="s">
        <v>463</v>
      </c>
      <c r="Q210" t="s">
        <v>452</v>
      </c>
      <c r="R210">
        <f t="shared" si="9"/>
        <v>29</v>
      </c>
      <c r="S210">
        <f t="shared" ca="1" si="10"/>
        <v>0</v>
      </c>
      <c r="T210">
        <f t="shared" si="11"/>
        <v>207</v>
      </c>
      <c r="U210" t="str">
        <f>IF($T210&lt;=Z$4,INDEX(TypicalCriticalitiesMAHBarrier23[Barrier Family Description],MATCH($T210,TypicalCriticalitiesMAHBarrier23[Barrier Family ID],0)),"")</f>
        <v/>
      </c>
      <c r="V210" t="str">
        <f ca="1">IF($T210&lt;=AA$4,INDEX(TypicalCriticalitiesMAHBarrier23[Typical Components],MATCH($T210,TypicalCriticalitiesMAHBarrier23[Column2],0)),"")</f>
        <v/>
      </c>
      <c r="W210" t="str">
        <f ca="1">IF($T210&lt;=AA$4,INDEX(TypicalCriticalitiesMAHBarrier23[Typical Criticality],MATCH($T210,TypicalCriticalitiesMAHBarrier23[Column2],0)),"")</f>
        <v/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461</v>
      </c>
      <c r="O211" t="str">
        <f>O210</f>
        <v xml:space="preserve">Blast Overpressure Protection </v>
      </c>
      <c r="P211" t="s">
        <v>464</v>
      </c>
      <c r="Q211" t="s">
        <v>452</v>
      </c>
      <c r="R211">
        <f t="shared" si="9"/>
        <v>29</v>
      </c>
      <c r="S211">
        <f t="shared" ca="1" si="10"/>
        <v>0</v>
      </c>
      <c r="T211">
        <f t="shared" si="11"/>
        <v>208</v>
      </c>
      <c r="U211" t="str">
        <f>IF($T211&lt;=Z$4,INDEX(TypicalCriticalitiesMAHBarrier23[Barrier Family Description],MATCH($T211,TypicalCriticalitiesMAHBarrier23[Barrier Family ID],0)),"")</f>
        <v/>
      </c>
      <c r="V211" t="str">
        <f ca="1">IF($T211&lt;=AA$4,INDEX(TypicalCriticalitiesMAHBarrier23[Typical Components],MATCH($T211,TypicalCriticalitiesMAHBarrier23[Column2],0)),"")</f>
        <v/>
      </c>
      <c r="W211" t="str">
        <f ca="1">IF($T211&lt;=AA$4,INDEX(TypicalCriticalitiesMAHBarrier23[Typical Criticality],MATCH($T211,TypicalCriticalitiesMAHBarrier23[Column2],0)),"")</f>
        <v/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465</v>
      </c>
      <c r="O212" t="s">
        <v>466</v>
      </c>
      <c r="P212" t="s">
        <v>467</v>
      </c>
      <c r="Q212" t="s">
        <v>452</v>
      </c>
      <c r="R212">
        <f t="shared" si="9"/>
        <v>30</v>
      </c>
      <c r="S212">
        <f t="shared" ca="1" si="10"/>
        <v>0</v>
      </c>
      <c r="T212">
        <f t="shared" si="11"/>
        <v>209</v>
      </c>
      <c r="U212" t="str">
        <f>IF($T212&lt;=Z$4,INDEX(TypicalCriticalitiesMAHBarrier23[Barrier Family Description],MATCH($T212,TypicalCriticalitiesMAHBarrier23[Barrier Family ID],0)),"")</f>
        <v/>
      </c>
      <c r="V212" t="str">
        <f ca="1">IF($T212&lt;=AA$4,INDEX(TypicalCriticalitiesMAHBarrier23[Typical Components],MATCH($T212,TypicalCriticalitiesMAHBarrier23[Column2],0)),"")</f>
        <v/>
      </c>
      <c r="W212" t="str">
        <f ca="1">IF($T212&lt;=AA$4,INDEX(TypicalCriticalitiesMAHBarrier23[Typical Criticality],MATCH($T212,TypicalCriticalitiesMAHBarrier23[Column2],0)),"")</f>
        <v/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465</v>
      </c>
      <c r="O213" t="s">
        <v>466</v>
      </c>
      <c r="P213" t="s">
        <v>468</v>
      </c>
      <c r="Q213" t="s">
        <v>449</v>
      </c>
      <c r="R213">
        <f t="shared" si="9"/>
        <v>30</v>
      </c>
      <c r="S213">
        <f t="shared" ca="1" si="10"/>
        <v>0</v>
      </c>
      <c r="T213">
        <f t="shared" si="11"/>
        <v>210</v>
      </c>
      <c r="U213" t="str">
        <f>IF($T213&lt;=Z$4,INDEX(TypicalCriticalitiesMAHBarrier23[Barrier Family Description],MATCH($T213,TypicalCriticalitiesMAHBarrier23[Barrier Family ID],0)),"")</f>
        <v/>
      </c>
      <c r="V213" t="str">
        <f ca="1">IF($T213&lt;=AA$4,INDEX(TypicalCriticalitiesMAHBarrier23[Typical Components],MATCH($T213,TypicalCriticalitiesMAHBarrier23[Column2],0)),"")</f>
        <v/>
      </c>
      <c r="W213" t="str">
        <f ca="1">IF($T213&lt;=AA$4,INDEX(TypicalCriticalitiesMAHBarrier23[Typical Criticality],MATCH($T213,TypicalCriticalitiesMAHBarrier23[Column2],0)),"")</f>
        <v/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469</v>
      </c>
      <c r="O214" t="s">
        <v>470</v>
      </c>
      <c r="P214" t="s">
        <v>471</v>
      </c>
      <c r="Q214" t="s">
        <v>452</v>
      </c>
      <c r="R214">
        <f t="shared" si="9"/>
        <v>31</v>
      </c>
      <c r="S214">
        <f t="shared" ca="1" si="10"/>
        <v>0</v>
      </c>
      <c r="T214">
        <f t="shared" si="11"/>
        <v>211</v>
      </c>
      <c r="U214" t="str">
        <f>IF($T214&lt;=Z$4,INDEX(TypicalCriticalitiesMAHBarrier23[Barrier Family Description],MATCH($T214,TypicalCriticalitiesMAHBarrier23[Barrier Family ID],0)),"")</f>
        <v/>
      </c>
      <c r="V214" t="str">
        <f ca="1">IF($T214&lt;=AA$4,INDEX(TypicalCriticalitiesMAHBarrier23[Typical Components],MATCH($T214,TypicalCriticalitiesMAHBarrier23[Column2],0)),"")</f>
        <v/>
      </c>
      <c r="W214" t="str">
        <f ca="1">IF($T214&lt;=AA$4,INDEX(TypicalCriticalitiesMAHBarrier23[Typical Criticality],MATCH($T214,TypicalCriticalitiesMAHBarrier23[Column2],0)),"")</f>
        <v/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469</v>
      </c>
      <c r="O215" t="s">
        <v>472</v>
      </c>
      <c r="P215" t="s">
        <v>473</v>
      </c>
      <c r="Q215" t="s">
        <v>452</v>
      </c>
      <c r="R215">
        <f t="shared" si="9"/>
        <v>32</v>
      </c>
      <c r="S215">
        <f t="shared" ca="1" si="10"/>
        <v>1</v>
      </c>
      <c r="T215">
        <f t="shared" si="11"/>
        <v>212</v>
      </c>
      <c r="U215" t="str">
        <f>IF($T215&lt;=Z$4,INDEX(TypicalCriticalitiesMAHBarrier23[Barrier Family Description],MATCH($T215,TypicalCriticalitiesMAHBarrier23[Barrier Family ID],0)),"")</f>
        <v/>
      </c>
      <c r="V215" t="str">
        <f ca="1">IF($T215&lt;=AA$4,INDEX(TypicalCriticalitiesMAHBarrier23[Typical Components],MATCH($T215,TypicalCriticalitiesMAHBarrier23[Column2],0)),"")</f>
        <v/>
      </c>
      <c r="W215" t="str">
        <f ca="1">IF($T215&lt;=AA$4,INDEX(TypicalCriticalitiesMAHBarrier23[Typical Criticality],MATCH($T215,TypicalCriticalitiesMAHBarrier23[Column2],0)),"")</f>
        <v/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474</v>
      </c>
      <c r="O216" t="s">
        <v>475</v>
      </c>
      <c r="P216" t="s">
        <v>476</v>
      </c>
      <c r="Q216" t="s">
        <v>0</v>
      </c>
      <c r="R216">
        <f t="shared" si="9"/>
        <v>33</v>
      </c>
      <c r="S216">
        <f t="shared" ca="1" si="10"/>
        <v>1</v>
      </c>
      <c r="T216">
        <f t="shared" si="11"/>
        <v>213</v>
      </c>
      <c r="U216" t="str">
        <f>IF($T216&lt;=Z$4,INDEX(TypicalCriticalitiesMAHBarrier23[Barrier Family Description],MATCH($T216,TypicalCriticalitiesMAHBarrier23[Barrier Family ID],0)),"")</f>
        <v/>
      </c>
      <c r="V216" t="str">
        <f ca="1">IF($T216&lt;=AA$4,INDEX(TypicalCriticalitiesMAHBarrier23[Typical Components],MATCH($T216,TypicalCriticalitiesMAHBarrier23[Column2],0)),"")</f>
        <v/>
      </c>
      <c r="W216" t="str">
        <f ca="1">IF($T216&lt;=AA$4,INDEX(TypicalCriticalitiesMAHBarrier23[Typical Criticality],MATCH($T216,TypicalCriticalitiesMAHBarrier23[Column2],0)),"")</f>
        <v/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474</v>
      </c>
      <c r="O217" t="s">
        <v>625</v>
      </c>
      <c r="P217" t="s">
        <v>626</v>
      </c>
      <c r="Q217" t="s">
        <v>452</v>
      </c>
      <c r="R217">
        <f t="shared" si="9"/>
        <v>34</v>
      </c>
      <c r="S217">
        <f t="shared" ca="1" si="10"/>
        <v>1</v>
      </c>
      <c r="T217">
        <f t="shared" si="11"/>
        <v>214</v>
      </c>
      <c r="U217" t="str">
        <f>IF($T217&lt;=Z$4,INDEX(TypicalCriticalitiesMAHBarrier23[Barrier Family Description],MATCH($T217,TypicalCriticalitiesMAHBarrier23[Barrier Family ID],0)),"")</f>
        <v/>
      </c>
      <c r="V217" t="str">
        <f ca="1">IF($T217&lt;=AA$4,INDEX(TypicalCriticalitiesMAHBarrier23[Typical Components],MATCH($T217,TypicalCriticalitiesMAHBarrier23[Column2],0)),"")</f>
        <v/>
      </c>
      <c r="W217" t="str">
        <f ca="1">IF($T217&lt;=AA$4,INDEX(TypicalCriticalitiesMAHBarrier23[Typical Criticality],MATCH($T217,TypicalCriticalitiesMAHBarrier23[Column2],0)),"")</f>
        <v/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474</v>
      </c>
      <c r="O218" t="s">
        <v>627</v>
      </c>
      <c r="P218" t="s">
        <v>628</v>
      </c>
      <c r="Q218" t="s">
        <v>0</v>
      </c>
      <c r="R218">
        <f t="shared" si="9"/>
        <v>35</v>
      </c>
      <c r="S218">
        <f t="shared" ca="1" si="10"/>
        <v>1</v>
      </c>
      <c r="T218">
        <f t="shared" si="11"/>
        <v>215</v>
      </c>
      <c r="U218" t="str">
        <f>IF($T218&lt;=Z$4,INDEX(TypicalCriticalitiesMAHBarrier23[Barrier Family Description],MATCH($T218,TypicalCriticalitiesMAHBarrier23[Barrier Family ID],0)),"")</f>
        <v/>
      </c>
      <c r="V218" t="str">
        <f ca="1">IF($T218&lt;=AA$4,INDEX(TypicalCriticalitiesMAHBarrier23[Typical Components],MATCH($T218,TypicalCriticalitiesMAHBarrier23[Column2],0)),"")</f>
        <v/>
      </c>
      <c r="W218" t="str">
        <f ca="1">IF($T218&lt;=AA$4,INDEX(TypicalCriticalitiesMAHBarrier23[Typical Criticality],MATCH($T218,TypicalCriticalitiesMAHBarrier23[Column2],0)),"")</f>
        <v/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474</v>
      </c>
      <c r="O219" t="s">
        <v>629</v>
      </c>
      <c r="Q219" t="s">
        <v>0</v>
      </c>
      <c r="R219">
        <f t="shared" si="9"/>
        <v>36</v>
      </c>
      <c r="S219">
        <f t="shared" ca="1" si="10"/>
        <v>1</v>
      </c>
      <c r="T219">
        <f t="shared" si="11"/>
        <v>216</v>
      </c>
      <c r="U219" t="str">
        <f>IF($T219&lt;=Z$4,INDEX(TypicalCriticalitiesMAHBarrier23[Barrier Family Description],MATCH($T219,TypicalCriticalitiesMAHBarrier23[Barrier Family ID],0)),"")</f>
        <v/>
      </c>
      <c r="V219" t="str">
        <f ca="1">IF($T219&lt;=AA$4,INDEX(TypicalCriticalitiesMAHBarrier23[Typical Components],MATCH($T219,TypicalCriticalitiesMAHBarrier23[Column2],0)),"")</f>
        <v/>
      </c>
      <c r="W219" t="str">
        <f ca="1">IF($T219&lt;=AA$4,INDEX(TypicalCriticalitiesMAHBarrier23[Typical Criticality],MATCH($T219,TypicalCriticalitiesMAHBarrier23[Column2],0)),"")</f>
        <v/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474</v>
      </c>
      <c r="O220" t="s">
        <v>630</v>
      </c>
      <c r="P220" t="s">
        <v>631</v>
      </c>
      <c r="Q220" t="s">
        <v>0</v>
      </c>
      <c r="R220">
        <f t="shared" si="9"/>
        <v>37</v>
      </c>
      <c r="S220">
        <f t="shared" ca="1" si="10"/>
        <v>1</v>
      </c>
      <c r="T220">
        <f t="shared" si="11"/>
        <v>217</v>
      </c>
      <c r="U220" t="str">
        <f>IF($T220&lt;=Z$4,INDEX(TypicalCriticalitiesMAHBarrier23[Barrier Family Description],MATCH($T220,TypicalCriticalitiesMAHBarrier23[Barrier Family ID],0)),"")</f>
        <v/>
      </c>
      <c r="V220" t="str">
        <f ca="1">IF($T220&lt;=AA$4,INDEX(TypicalCriticalitiesMAHBarrier23[Typical Components],MATCH($T220,TypicalCriticalitiesMAHBarrier23[Column2],0)),"")</f>
        <v/>
      </c>
      <c r="W220" t="str">
        <f ca="1">IF($T220&lt;=AA$4,INDEX(TypicalCriticalitiesMAHBarrier23[Typical Criticality],MATCH($T220,TypicalCriticalitiesMAHBarrier23[Column2],0)),"")</f>
        <v/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477</v>
      </c>
      <c r="O221" t="s">
        <v>478</v>
      </c>
      <c r="P221" t="s">
        <v>479</v>
      </c>
      <c r="Q221" t="s">
        <v>0</v>
      </c>
      <c r="R221">
        <f t="shared" si="9"/>
        <v>38</v>
      </c>
      <c r="S221">
        <f t="shared" ca="1" si="10"/>
        <v>1</v>
      </c>
      <c r="T221">
        <f t="shared" si="11"/>
        <v>218</v>
      </c>
      <c r="U221" t="str">
        <f>IF($T221&lt;=Z$4,INDEX(TypicalCriticalitiesMAHBarrier23[Barrier Family Description],MATCH($T221,TypicalCriticalitiesMAHBarrier23[Barrier Family ID],0)),"")</f>
        <v/>
      </c>
      <c r="V221" t="str">
        <f ca="1">IF($T221&lt;=AA$4,INDEX(TypicalCriticalitiesMAHBarrier23[Typical Components],MATCH($T221,TypicalCriticalitiesMAHBarrier23[Column2],0)),"")</f>
        <v/>
      </c>
      <c r="W221" t="str">
        <f ca="1">IF($T221&lt;=AA$4,INDEX(TypicalCriticalitiesMAHBarrier23[Typical Criticality],MATCH($T221,TypicalCriticalitiesMAHBarrier23[Column2],0)),"")</f>
        <v/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477</v>
      </c>
      <c r="O222" t="s">
        <v>478</v>
      </c>
      <c r="P222" t="s">
        <v>480</v>
      </c>
      <c r="Q222" t="s">
        <v>0</v>
      </c>
      <c r="R222">
        <f t="shared" si="9"/>
        <v>38</v>
      </c>
      <c r="S222">
        <f t="shared" ca="1" si="10"/>
        <v>1</v>
      </c>
      <c r="T222">
        <f t="shared" si="11"/>
        <v>219</v>
      </c>
      <c r="U222" t="str">
        <f>IF($T222&lt;=Z$4,INDEX(TypicalCriticalitiesMAHBarrier23[Barrier Family Description],MATCH($T222,TypicalCriticalitiesMAHBarrier23[Barrier Family ID],0)),"")</f>
        <v/>
      </c>
      <c r="V222" t="str">
        <f ca="1">IF($T222&lt;=AA$4,INDEX(TypicalCriticalitiesMAHBarrier23[Typical Components],MATCH($T222,TypicalCriticalitiesMAHBarrier23[Column2],0)),"")</f>
        <v/>
      </c>
      <c r="W222" t="str">
        <f ca="1">IF($T222&lt;=AA$4,INDEX(TypicalCriticalitiesMAHBarrier23[Typical Criticality],MATCH($T222,TypicalCriticalitiesMAHBarrier23[Column2],0)),"")</f>
        <v/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477</v>
      </c>
      <c r="O223" t="s">
        <v>478</v>
      </c>
      <c r="P223" t="s">
        <v>481</v>
      </c>
      <c r="Q223" t="s">
        <v>1</v>
      </c>
      <c r="R223">
        <f t="shared" si="9"/>
        <v>38</v>
      </c>
      <c r="S223">
        <f t="shared" ca="1" si="10"/>
        <v>1</v>
      </c>
      <c r="T223">
        <f t="shared" si="11"/>
        <v>220</v>
      </c>
      <c r="U223" t="str">
        <f>IF($T223&lt;=Z$4,INDEX(TypicalCriticalitiesMAHBarrier23[Barrier Family Description],MATCH($T223,TypicalCriticalitiesMAHBarrier23[Barrier Family ID],0)),"")</f>
        <v/>
      </c>
      <c r="V223" t="str">
        <f ca="1">IF($T223&lt;=AA$4,INDEX(TypicalCriticalitiesMAHBarrier23[Typical Components],MATCH($T223,TypicalCriticalitiesMAHBarrier23[Column2],0)),"")</f>
        <v/>
      </c>
      <c r="W223" t="str">
        <f ca="1">IF($T223&lt;=AA$4,INDEX(TypicalCriticalitiesMAHBarrier23[Typical Criticality],MATCH($T223,TypicalCriticalitiesMAHBarrier23[Column2],0)),"")</f>
        <v/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477</v>
      </c>
      <c r="O224" t="s">
        <v>478</v>
      </c>
      <c r="P224" t="s">
        <v>482</v>
      </c>
      <c r="Q224" t="s">
        <v>0</v>
      </c>
      <c r="R224">
        <f t="shared" si="9"/>
        <v>38</v>
      </c>
      <c r="S224">
        <f t="shared" ca="1" si="10"/>
        <v>1</v>
      </c>
      <c r="T224">
        <f t="shared" si="11"/>
        <v>221</v>
      </c>
      <c r="U224" t="str">
        <f>IF($T224&lt;=Z$4,INDEX(TypicalCriticalitiesMAHBarrier23[Barrier Family Description],MATCH($T224,TypicalCriticalitiesMAHBarrier23[Barrier Family ID],0)),"")</f>
        <v/>
      </c>
      <c r="V224" t="str">
        <f ca="1">IF($T224&lt;=AA$4,INDEX(TypicalCriticalitiesMAHBarrier23[Typical Components],MATCH($T224,TypicalCriticalitiesMAHBarrier23[Column2],0)),"")</f>
        <v/>
      </c>
      <c r="W224" t="str">
        <f ca="1">IF($T224&lt;=AA$4,INDEX(TypicalCriticalitiesMAHBarrier23[Typical Criticality],MATCH($T224,TypicalCriticalitiesMAHBarrier23[Column2],0)),"")</f>
        <v/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483</v>
      </c>
      <c r="O225" t="s">
        <v>484</v>
      </c>
      <c r="P225" t="s">
        <v>485</v>
      </c>
      <c r="Q225" t="s">
        <v>0</v>
      </c>
      <c r="R225">
        <f t="shared" si="9"/>
        <v>39</v>
      </c>
      <c r="S225">
        <f t="shared" ca="1" si="10"/>
        <v>1</v>
      </c>
      <c r="T225">
        <f t="shared" si="11"/>
        <v>222</v>
      </c>
      <c r="U225" t="str">
        <f>IF($T225&lt;=Z$4,INDEX(TypicalCriticalitiesMAHBarrier23[Barrier Family Description],MATCH($T225,TypicalCriticalitiesMAHBarrier23[Barrier Family ID],0)),"")</f>
        <v/>
      </c>
      <c r="V225" t="str">
        <f ca="1">IF($T225&lt;=AA$4,INDEX(TypicalCriticalitiesMAHBarrier23[Typical Components],MATCH($T225,TypicalCriticalitiesMAHBarrier23[Column2],0)),"")</f>
        <v/>
      </c>
      <c r="W225" t="str">
        <f ca="1">IF($T225&lt;=AA$4,INDEX(TypicalCriticalitiesMAHBarrier23[Typical Criticality],MATCH($T225,TypicalCriticalitiesMAHBarrier23[Column2],0)),"")</f>
        <v/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483</v>
      </c>
      <c r="O226" t="s">
        <v>484</v>
      </c>
      <c r="P226" t="s">
        <v>486</v>
      </c>
      <c r="Q226" t="s">
        <v>1</v>
      </c>
      <c r="R226">
        <f t="shared" si="9"/>
        <v>39</v>
      </c>
      <c r="S226">
        <f t="shared" ca="1" si="10"/>
        <v>1</v>
      </c>
      <c r="T226">
        <f t="shared" si="11"/>
        <v>223</v>
      </c>
      <c r="U226" t="str">
        <f>IF($T226&lt;=Z$4,INDEX(TypicalCriticalitiesMAHBarrier23[Barrier Family Description],MATCH($T226,TypicalCriticalitiesMAHBarrier23[Barrier Family ID],0)),"")</f>
        <v/>
      </c>
      <c r="V226" t="str">
        <f ca="1">IF($T226&lt;=AA$4,INDEX(TypicalCriticalitiesMAHBarrier23[Typical Components],MATCH($T226,TypicalCriticalitiesMAHBarrier23[Column2],0)),"")</f>
        <v/>
      </c>
      <c r="W226" t="str">
        <f ca="1">IF($T226&lt;=AA$4,INDEX(TypicalCriticalitiesMAHBarrier23[Typical Criticality],MATCH($T226,TypicalCriticalitiesMAHBarrier23[Column2],0)),"")</f>
        <v/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483</v>
      </c>
      <c r="O227" t="s">
        <v>484</v>
      </c>
      <c r="P227" t="s">
        <v>487</v>
      </c>
      <c r="Q227" t="s">
        <v>1</v>
      </c>
      <c r="R227">
        <f t="shared" si="9"/>
        <v>39</v>
      </c>
      <c r="S227">
        <f t="shared" ca="1" si="10"/>
        <v>1</v>
      </c>
      <c r="T227">
        <f t="shared" si="11"/>
        <v>224</v>
      </c>
      <c r="U227" t="str">
        <f>IF($T227&lt;=Z$4,INDEX(TypicalCriticalitiesMAHBarrier23[Barrier Family Description],MATCH($T227,TypicalCriticalitiesMAHBarrier23[Barrier Family ID],0)),"")</f>
        <v/>
      </c>
      <c r="V227" t="str">
        <f ca="1">IF($T227&lt;=AA$4,INDEX(TypicalCriticalitiesMAHBarrier23[Typical Components],MATCH($T227,TypicalCriticalitiesMAHBarrier23[Column2],0)),"")</f>
        <v/>
      </c>
      <c r="W227" t="str">
        <f ca="1">IF($T227&lt;=AA$4,INDEX(TypicalCriticalitiesMAHBarrier23[Typical Criticality],MATCH($T227,TypicalCriticalitiesMAHBarrier23[Column2],0)),"")</f>
        <v/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488</v>
      </c>
      <c r="O228" t="s">
        <v>489</v>
      </c>
      <c r="P228" t="s">
        <v>490</v>
      </c>
      <c r="Q228" t="s">
        <v>0</v>
      </c>
      <c r="R228">
        <f t="shared" si="9"/>
        <v>40</v>
      </c>
      <c r="S228">
        <f t="shared" ca="1" si="10"/>
        <v>1</v>
      </c>
      <c r="T228">
        <f t="shared" si="11"/>
        <v>225</v>
      </c>
      <c r="U228" t="str">
        <f>IF($T228&lt;=Z$4,INDEX(TypicalCriticalitiesMAHBarrier23[Barrier Family Description],MATCH($T228,TypicalCriticalitiesMAHBarrier23[Barrier Family ID],0)),"")</f>
        <v/>
      </c>
      <c r="V228" t="str">
        <f ca="1">IF($T228&lt;=AA$4,INDEX(TypicalCriticalitiesMAHBarrier23[Typical Components],MATCH($T228,TypicalCriticalitiesMAHBarrier23[Column2],0)),"")</f>
        <v/>
      </c>
      <c r="W228" t="str">
        <f ca="1">IF($T228&lt;=AA$4,INDEX(TypicalCriticalitiesMAHBarrier23[Typical Criticality],MATCH($T228,TypicalCriticalitiesMAHBarrier23[Column2],0)),"")</f>
        <v/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488</v>
      </c>
      <c r="O229" t="s">
        <v>489</v>
      </c>
      <c r="P229" t="s">
        <v>491</v>
      </c>
      <c r="Q229" t="s">
        <v>1</v>
      </c>
      <c r="R229">
        <f t="shared" si="9"/>
        <v>40</v>
      </c>
      <c r="S229">
        <f t="shared" ca="1" si="10"/>
        <v>1</v>
      </c>
      <c r="T229">
        <f t="shared" si="11"/>
        <v>226</v>
      </c>
      <c r="U229" t="str">
        <f>IF($T229&lt;=Z$4,INDEX(TypicalCriticalitiesMAHBarrier23[Barrier Family Description],MATCH($T229,TypicalCriticalitiesMAHBarrier23[Barrier Family ID],0)),"")</f>
        <v/>
      </c>
      <c r="V229" t="str">
        <f ca="1">IF($T229&lt;=AA$4,INDEX(TypicalCriticalitiesMAHBarrier23[Typical Components],MATCH($T229,TypicalCriticalitiesMAHBarrier23[Column2],0)),"")</f>
        <v/>
      </c>
      <c r="W229" t="str">
        <f ca="1">IF($T229&lt;=AA$4,INDEX(TypicalCriticalitiesMAHBarrier23[Typical Criticality],MATCH($T229,TypicalCriticalitiesMAHBarrier23[Column2],0)),"")</f>
        <v/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488</v>
      </c>
      <c r="O230" t="s">
        <v>489</v>
      </c>
      <c r="P230" t="s">
        <v>492</v>
      </c>
      <c r="Q230" t="s">
        <v>0</v>
      </c>
      <c r="R230">
        <f t="shared" si="9"/>
        <v>40</v>
      </c>
      <c r="S230">
        <f t="shared" ca="1" si="10"/>
        <v>1</v>
      </c>
      <c r="T230">
        <f t="shared" si="11"/>
        <v>227</v>
      </c>
      <c r="U230" t="str">
        <f>IF($T230&lt;=Z$4,INDEX(TypicalCriticalitiesMAHBarrier23[Barrier Family Description],MATCH($T230,TypicalCriticalitiesMAHBarrier23[Barrier Family ID],0)),"")</f>
        <v/>
      </c>
      <c r="V230" t="str">
        <f ca="1">IF($T230&lt;=AA$4,INDEX(TypicalCriticalitiesMAHBarrier23[Typical Components],MATCH($T230,TypicalCriticalitiesMAHBarrier23[Column2],0)),"")</f>
        <v/>
      </c>
      <c r="W230" t="str">
        <f ca="1">IF($T230&lt;=AA$4,INDEX(TypicalCriticalitiesMAHBarrier23[Typical Criticality],MATCH($T230,TypicalCriticalitiesMAHBarrier23[Column2],0)),"")</f>
        <v/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493</v>
      </c>
      <c r="O231" t="s">
        <v>494</v>
      </c>
      <c r="P231" t="s">
        <v>495</v>
      </c>
      <c r="Q231" t="s">
        <v>0</v>
      </c>
      <c r="R231">
        <f t="shared" si="9"/>
        <v>41</v>
      </c>
      <c r="S231">
        <f t="shared" ca="1" si="10"/>
        <v>1</v>
      </c>
      <c r="T231">
        <f t="shared" si="11"/>
        <v>228</v>
      </c>
      <c r="U231" t="str">
        <f>IF($T231&lt;=Z$4,INDEX(TypicalCriticalitiesMAHBarrier23[Barrier Family Description],MATCH($T231,TypicalCriticalitiesMAHBarrier23[Barrier Family ID],0)),"")</f>
        <v/>
      </c>
      <c r="V231" t="str">
        <f ca="1">IF($T231&lt;=AA$4,INDEX(TypicalCriticalitiesMAHBarrier23[Typical Components],MATCH($T231,TypicalCriticalitiesMAHBarrier23[Column2],0)),"")</f>
        <v/>
      </c>
      <c r="W231" t="str">
        <f ca="1">IF($T231&lt;=AA$4,INDEX(TypicalCriticalitiesMAHBarrier23[Typical Criticality],MATCH($T231,TypicalCriticalitiesMAHBarrier23[Column2],0)),"")</f>
        <v/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493</v>
      </c>
      <c r="O232" t="s">
        <v>494</v>
      </c>
      <c r="P232" t="s">
        <v>496</v>
      </c>
      <c r="Q232" t="s">
        <v>1</v>
      </c>
      <c r="R232">
        <f t="shared" si="9"/>
        <v>41</v>
      </c>
      <c r="S232">
        <f t="shared" ca="1" si="10"/>
        <v>1</v>
      </c>
      <c r="T232">
        <f t="shared" si="11"/>
        <v>229</v>
      </c>
      <c r="U232" t="str">
        <f>IF($T232&lt;=Z$4,INDEX(TypicalCriticalitiesMAHBarrier23[Barrier Family Description],MATCH($T232,TypicalCriticalitiesMAHBarrier23[Barrier Family ID],0)),"")</f>
        <v/>
      </c>
      <c r="V232" t="str">
        <f ca="1">IF($T232&lt;=AA$4,INDEX(TypicalCriticalitiesMAHBarrier23[Typical Components],MATCH($T232,TypicalCriticalitiesMAHBarrier23[Column2],0)),"")</f>
        <v/>
      </c>
      <c r="W232" t="str">
        <f ca="1">IF($T232&lt;=AA$4,INDEX(TypicalCriticalitiesMAHBarrier23[Typical Criticality],MATCH($T232,TypicalCriticalitiesMAHBarrier23[Column2],0)),"")</f>
        <v/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493</v>
      </c>
      <c r="O233" t="s">
        <v>494</v>
      </c>
      <c r="P233" t="s">
        <v>497</v>
      </c>
      <c r="Q233" t="s">
        <v>0</v>
      </c>
      <c r="R233">
        <f t="shared" si="9"/>
        <v>41</v>
      </c>
      <c r="S233">
        <f t="shared" ca="1" si="10"/>
        <v>1</v>
      </c>
      <c r="T233">
        <f t="shared" si="11"/>
        <v>230</v>
      </c>
      <c r="U233" t="str">
        <f>IF($T233&lt;=Z$4,INDEX(TypicalCriticalitiesMAHBarrier23[Barrier Family Description],MATCH($T233,TypicalCriticalitiesMAHBarrier23[Barrier Family ID],0)),"")</f>
        <v/>
      </c>
      <c r="V233" t="str">
        <f ca="1">IF($T233&lt;=AA$4,INDEX(TypicalCriticalitiesMAHBarrier23[Typical Components],MATCH($T233,TypicalCriticalitiesMAHBarrier23[Column2],0)),"")</f>
        <v/>
      </c>
      <c r="W233" t="str">
        <f ca="1">IF($T233&lt;=AA$4,INDEX(TypicalCriticalitiesMAHBarrier23[Typical Criticality],MATCH($T233,TypicalCriticalitiesMAHBarrier23[Column2],0)),"")</f>
        <v/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498</v>
      </c>
      <c r="O234" t="s">
        <v>499</v>
      </c>
      <c r="P234" t="s">
        <v>500</v>
      </c>
      <c r="Q234" t="s">
        <v>0</v>
      </c>
      <c r="R234">
        <f t="shared" si="9"/>
        <v>42</v>
      </c>
      <c r="S234">
        <f t="shared" ca="1" si="10"/>
        <v>1</v>
      </c>
      <c r="T234">
        <f t="shared" si="11"/>
        <v>231</v>
      </c>
      <c r="U234" t="str">
        <f>IF($T234&lt;=Z$4,INDEX(TypicalCriticalitiesMAHBarrier23[Barrier Family Description],MATCH($T234,TypicalCriticalitiesMAHBarrier23[Barrier Family ID],0)),"")</f>
        <v/>
      </c>
      <c r="V234" t="str">
        <f ca="1">IF($T234&lt;=AA$4,INDEX(TypicalCriticalitiesMAHBarrier23[Typical Components],MATCH($T234,TypicalCriticalitiesMAHBarrier23[Column2],0)),"")</f>
        <v/>
      </c>
      <c r="W234" t="str">
        <f ca="1">IF($T234&lt;=AA$4,INDEX(TypicalCriticalitiesMAHBarrier23[Typical Criticality],MATCH($T234,TypicalCriticalitiesMAHBarrier23[Column2],0)),"")</f>
        <v/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498</v>
      </c>
      <c r="O235" t="s">
        <v>499</v>
      </c>
      <c r="P235" t="s">
        <v>501</v>
      </c>
      <c r="Q235" t="s">
        <v>1</v>
      </c>
      <c r="R235">
        <f t="shared" si="9"/>
        <v>42</v>
      </c>
      <c r="S235">
        <f t="shared" ca="1" si="10"/>
        <v>1</v>
      </c>
      <c r="T235">
        <f t="shared" si="11"/>
        <v>232</v>
      </c>
      <c r="U235" t="str">
        <f>IF($T235&lt;=Z$4,INDEX(TypicalCriticalitiesMAHBarrier23[Barrier Family Description],MATCH($T235,TypicalCriticalitiesMAHBarrier23[Barrier Family ID],0)),"")</f>
        <v/>
      </c>
      <c r="V235" t="str">
        <f ca="1">IF($T235&lt;=AA$4,INDEX(TypicalCriticalitiesMAHBarrier23[Typical Components],MATCH($T235,TypicalCriticalitiesMAHBarrier23[Column2],0)),"")</f>
        <v/>
      </c>
      <c r="W235" t="str">
        <f ca="1">IF($T235&lt;=AA$4,INDEX(TypicalCriticalitiesMAHBarrier23[Typical Criticality],MATCH($T235,TypicalCriticalitiesMAHBarrier23[Column2],0)),"")</f>
        <v/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498</v>
      </c>
      <c r="O236" t="s">
        <v>499</v>
      </c>
      <c r="P236" t="s">
        <v>502</v>
      </c>
      <c r="Q236" t="s">
        <v>0</v>
      </c>
      <c r="R236">
        <f t="shared" si="9"/>
        <v>42</v>
      </c>
      <c r="S236">
        <f t="shared" ca="1" si="10"/>
        <v>1</v>
      </c>
      <c r="T236">
        <f t="shared" si="11"/>
        <v>233</v>
      </c>
      <c r="U236" t="str">
        <f>IF($T236&lt;=Z$4,INDEX(TypicalCriticalitiesMAHBarrier23[Barrier Family Description],MATCH($T236,TypicalCriticalitiesMAHBarrier23[Barrier Family ID],0)),"")</f>
        <v/>
      </c>
      <c r="V236" t="str">
        <f ca="1">IF($T236&lt;=AA$4,INDEX(TypicalCriticalitiesMAHBarrier23[Typical Components],MATCH($T236,TypicalCriticalitiesMAHBarrier23[Column2],0)),"")</f>
        <v/>
      </c>
      <c r="W236" t="str">
        <f ca="1">IF($T236&lt;=AA$4,INDEX(TypicalCriticalitiesMAHBarrier23[Typical Criticality],MATCH($T236,TypicalCriticalitiesMAHBarrier23[Column2],0)),"")</f>
        <v/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498</v>
      </c>
      <c r="O237" t="s">
        <v>499</v>
      </c>
      <c r="P237" t="s">
        <v>503</v>
      </c>
      <c r="Q237" t="s">
        <v>1</v>
      </c>
      <c r="R237">
        <f t="shared" si="9"/>
        <v>42</v>
      </c>
      <c r="S237">
        <f t="shared" ca="1" si="10"/>
        <v>1</v>
      </c>
      <c r="T237">
        <f t="shared" si="11"/>
        <v>234</v>
      </c>
      <c r="U237" t="str">
        <f>IF($T237&lt;=Z$4,INDEX(TypicalCriticalitiesMAHBarrier23[Barrier Family Description],MATCH($T237,TypicalCriticalitiesMAHBarrier23[Barrier Family ID],0)),"")</f>
        <v/>
      </c>
      <c r="V237" t="str">
        <f ca="1">IF($T237&lt;=AA$4,INDEX(TypicalCriticalitiesMAHBarrier23[Typical Components],MATCH($T237,TypicalCriticalitiesMAHBarrier23[Column2],0)),"")</f>
        <v/>
      </c>
      <c r="W237" t="str">
        <f ca="1">IF($T237&lt;=AA$4,INDEX(TypicalCriticalitiesMAHBarrier23[Typical Criticality],MATCH($T237,TypicalCriticalitiesMAHBarrier23[Column2],0)),"")</f>
        <v/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498</v>
      </c>
      <c r="O238" t="s">
        <v>499</v>
      </c>
      <c r="P238" t="s">
        <v>504</v>
      </c>
      <c r="Q238" t="s">
        <v>1</v>
      </c>
      <c r="R238">
        <f t="shared" si="9"/>
        <v>42</v>
      </c>
      <c r="S238">
        <f t="shared" ca="1" si="10"/>
        <v>1</v>
      </c>
      <c r="T238">
        <f t="shared" si="11"/>
        <v>235</v>
      </c>
      <c r="U238" t="str">
        <f>IF($T238&lt;=Z$4,INDEX(TypicalCriticalitiesMAHBarrier23[Barrier Family Description],MATCH($T238,TypicalCriticalitiesMAHBarrier23[Barrier Family ID],0)),"")</f>
        <v/>
      </c>
      <c r="V238" t="str">
        <f ca="1">IF($T238&lt;=AA$4,INDEX(TypicalCriticalitiesMAHBarrier23[Typical Components],MATCH($T238,TypicalCriticalitiesMAHBarrier23[Column2],0)),"")</f>
        <v/>
      </c>
      <c r="W238" t="str">
        <f ca="1">IF($T238&lt;=AA$4,INDEX(TypicalCriticalitiesMAHBarrier23[Typical Criticality],MATCH($T238,TypicalCriticalitiesMAHBarrier23[Column2],0)),"")</f>
        <v/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498</v>
      </c>
      <c r="O239" t="s">
        <v>499</v>
      </c>
      <c r="P239" t="s">
        <v>505</v>
      </c>
      <c r="Q239" t="s">
        <v>1</v>
      </c>
      <c r="R239">
        <f t="shared" si="9"/>
        <v>42</v>
      </c>
      <c r="S239">
        <f t="shared" ca="1" si="10"/>
        <v>1</v>
      </c>
      <c r="T239">
        <f t="shared" si="11"/>
        <v>236</v>
      </c>
      <c r="U239" t="str">
        <f>IF($T239&lt;=Z$4,INDEX(TypicalCriticalitiesMAHBarrier23[Barrier Family Description],MATCH($T239,TypicalCriticalitiesMAHBarrier23[Barrier Family ID],0)),"")</f>
        <v/>
      </c>
      <c r="V239" t="str">
        <f ca="1">IF($T239&lt;=AA$4,INDEX(TypicalCriticalitiesMAHBarrier23[Typical Components],MATCH($T239,TypicalCriticalitiesMAHBarrier23[Column2],0)),"")</f>
        <v/>
      </c>
      <c r="W239" t="str">
        <f ca="1">IF($T239&lt;=AA$4,INDEX(TypicalCriticalitiesMAHBarrier23[Typical Criticality],MATCH($T239,TypicalCriticalitiesMAHBarrier23[Column2],0)),"")</f>
        <v/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498</v>
      </c>
      <c r="O240" t="s">
        <v>499</v>
      </c>
      <c r="P240" t="s">
        <v>506</v>
      </c>
      <c r="Q240" t="s">
        <v>0</v>
      </c>
      <c r="R240">
        <f t="shared" si="9"/>
        <v>42</v>
      </c>
      <c r="S240">
        <f t="shared" ca="1" si="10"/>
        <v>1</v>
      </c>
      <c r="T240">
        <f t="shared" si="11"/>
        <v>237</v>
      </c>
      <c r="U240" t="str">
        <f>IF($T240&lt;=Z$4,INDEX(TypicalCriticalitiesMAHBarrier23[Barrier Family Description],MATCH($T240,TypicalCriticalitiesMAHBarrier23[Barrier Family ID],0)),"")</f>
        <v/>
      </c>
      <c r="V240" t="str">
        <f ca="1">IF($T240&lt;=AA$4,INDEX(TypicalCriticalitiesMAHBarrier23[Typical Components],MATCH($T240,TypicalCriticalitiesMAHBarrier23[Column2],0)),"")</f>
        <v/>
      </c>
      <c r="W240" t="str">
        <f ca="1">IF($T240&lt;=AA$4,INDEX(TypicalCriticalitiesMAHBarrier23[Typical Criticality],MATCH($T240,TypicalCriticalitiesMAHBarrier23[Column2],0)),"")</f>
        <v/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498</v>
      </c>
      <c r="O241" t="s">
        <v>499</v>
      </c>
      <c r="P241" t="s">
        <v>507</v>
      </c>
      <c r="Q241" t="s">
        <v>1</v>
      </c>
      <c r="R241">
        <f t="shared" si="9"/>
        <v>42</v>
      </c>
      <c r="S241">
        <f t="shared" ca="1" si="10"/>
        <v>1</v>
      </c>
      <c r="T241">
        <f t="shared" si="11"/>
        <v>238</v>
      </c>
      <c r="U241" t="str">
        <f>IF($T241&lt;=Z$4,INDEX(TypicalCriticalitiesMAHBarrier23[Barrier Family Description],MATCH($T241,TypicalCriticalitiesMAHBarrier23[Barrier Family ID],0)),"")</f>
        <v/>
      </c>
      <c r="V241" t="str">
        <f ca="1">IF($T241&lt;=AA$4,INDEX(TypicalCriticalitiesMAHBarrier23[Typical Components],MATCH($T241,TypicalCriticalitiesMAHBarrier23[Column2],0)),"")</f>
        <v/>
      </c>
      <c r="W241" t="str">
        <f ca="1">IF($T241&lt;=AA$4,INDEX(TypicalCriticalitiesMAHBarrier23[Typical Criticality],MATCH($T241,TypicalCriticalitiesMAHBarrier23[Column2],0)),"")</f>
        <v/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498</v>
      </c>
      <c r="O242" t="s">
        <v>499</v>
      </c>
      <c r="P242" t="s">
        <v>508</v>
      </c>
      <c r="Q242" t="s">
        <v>2</v>
      </c>
      <c r="R242">
        <f t="shared" si="9"/>
        <v>42</v>
      </c>
      <c r="S242">
        <f t="shared" ca="1" si="10"/>
        <v>1</v>
      </c>
      <c r="T242">
        <f t="shared" si="11"/>
        <v>239</v>
      </c>
      <c r="U242" t="str">
        <f>IF($T242&lt;=Z$4,INDEX(TypicalCriticalitiesMAHBarrier23[Barrier Family Description],MATCH($T242,TypicalCriticalitiesMAHBarrier23[Barrier Family ID],0)),"")</f>
        <v/>
      </c>
      <c r="V242" t="str">
        <f ca="1">IF($T242&lt;=AA$4,INDEX(TypicalCriticalitiesMAHBarrier23[Typical Components],MATCH($T242,TypicalCriticalitiesMAHBarrier23[Column2],0)),"")</f>
        <v/>
      </c>
      <c r="W242" t="str">
        <f ca="1">IF($T242&lt;=AA$4,INDEX(TypicalCriticalitiesMAHBarrier23[Typical Criticality],MATCH($T242,TypicalCriticalitiesMAHBarrier23[Column2],0)),"")</f>
        <v/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509</v>
      </c>
      <c r="O243" t="s">
        <v>510</v>
      </c>
      <c r="P243" t="s">
        <v>511</v>
      </c>
      <c r="Q243" t="s">
        <v>1</v>
      </c>
      <c r="R243">
        <f t="shared" si="9"/>
        <v>43</v>
      </c>
      <c r="S243">
        <f t="shared" ca="1" si="10"/>
        <v>1</v>
      </c>
      <c r="T243">
        <f t="shared" si="11"/>
        <v>240</v>
      </c>
      <c r="U243" t="str">
        <f>IF($T243&lt;=Z$4,INDEX(TypicalCriticalitiesMAHBarrier23[Barrier Family Description],MATCH($T243,TypicalCriticalitiesMAHBarrier23[Barrier Family ID],0)),"")</f>
        <v/>
      </c>
      <c r="V243" t="str">
        <f ca="1">IF($T243&lt;=AA$4,INDEX(TypicalCriticalitiesMAHBarrier23[Typical Components],MATCH($T243,TypicalCriticalitiesMAHBarrier23[Column2],0)),"")</f>
        <v/>
      </c>
      <c r="W243" t="str">
        <f ca="1">IF($T243&lt;=AA$4,INDEX(TypicalCriticalitiesMAHBarrier23[Typical Criticality],MATCH($T243,TypicalCriticalitiesMAHBarrier23[Column2],0)),"")</f>
        <v/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509</v>
      </c>
      <c r="O244" t="s">
        <v>510</v>
      </c>
      <c r="P244" t="s">
        <v>512</v>
      </c>
      <c r="Q244" t="s">
        <v>0</v>
      </c>
      <c r="R244">
        <f t="shared" si="9"/>
        <v>43</v>
      </c>
      <c r="S244">
        <f t="shared" ca="1" si="10"/>
        <v>1</v>
      </c>
      <c r="T244">
        <f t="shared" si="11"/>
        <v>241</v>
      </c>
      <c r="U244" t="str">
        <f>IF($T244&lt;=Z$4,INDEX(TypicalCriticalitiesMAHBarrier23[Barrier Family Description],MATCH($T244,TypicalCriticalitiesMAHBarrier23[Barrier Family ID],0)),"")</f>
        <v/>
      </c>
      <c r="V244" t="str">
        <f ca="1">IF($T244&lt;=AA$4,INDEX(TypicalCriticalitiesMAHBarrier23[Typical Components],MATCH($T244,TypicalCriticalitiesMAHBarrier23[Column2],0)),"")</f>
        <v/>
      </c>
      <c r="W244" t="str">
        <f ca="1">IF($T244&lt;=AA$4,INDEX(TypicalCriticalitiesMAHBarrier23[Typical Criticality],MATCH($T244,TypicalCriticalitiesMAHBarrier23[Column2],0)),"")</f>
        <v/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509</v>
      </c>
      <c r="O245" t="s">
        <v>510</v>
      </c>
      <c r="P245" t="s">
        <v>513</v>
      </c>
      <c r="Q245" t="s">
        <v>0</v>
      </c>
      <c r="R245">
        <f t="shared" si="9"/>
        <v>43</v>
      </c>
      <c r="S245">
        <f t="shared" ca="1" si="10"/>
        <v>1</v>
      </c>
      <c r="T245">
        <f t="shared" si="11"/>
        <v>242</v>
      </c>
      <c r="U245" t="str">
        <f>IF($T245&lt;=Z$4,INDEX(TypicalCriticalitiesMAHBarrier23[Barrier Family Description],MATCH($T245,TypicalCriticalitiesMAHBarrier23[Barrier Family ID],0)),"")</f>
        <v/>
      </c>
      <c r="V245" t="str">
        <f ca="1">IF($T245&lt;=AA$4,INDEX(TypicalCriticalitiesMAHBarrier23[Typical Components],MATCH($T245,TypicalCriticalitiesMAHBarrier23[Column2],0)),"")</f>
        <v/>
      </c>
      <c r="W245" t="str">
        <f ca="1">IF($T245&lt;=AA$4,INDEX(TypicalCriticalitiesMAHBarrier23[Typical Criticality],MATCH($T245,TypicalCriticalitiesMAHBarrier23[Column2],0)),"")</f>
        <v/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509</v>
      </c>
      <c r="O246" t="s">
        <v>510</v>
      </c>
      <c r="P246" t="s">
        <v>514</v>
      </c>
      <c r="Q246" t="s">
        <v>0</v>
      </c>
      <c r="R246">
        <f t="shared" si="9"/>
        <v>43</v>
      </c>
      <c r="S246">
        <f t="shared" ca="1" si="10"/>
        <v>1</v>
      </c>
      <c r="T246">
        <f t="shared" si="11"/>
        <v>243</v>
      </c>
      <c r="U246" t="str">
        <f>IF($T246&lt;=Z$4,INDEX(TypicalCriticalitiesMAHBarrier23[Barrier Family Description],MATCH($T246,TypicalCriticalitiesMAHBarrier23[Barrier Family ID],0)),"")</f>
        <v/>
      </c>
      <c r="V246" t="str">
        <f ca="1">IF($T246&lt;=AA$4,INDEX(TypicalCriticalitiesMAHBarrier23[Typical Components],MATCH($T246,TypicalCriticalitiesMAHBarrier23[Column2],0)),"")</f>
        <v/>
      </c>
      <c r="W246" t="str">
        <f ca="1">IF($T246&lt;=AA$4,INDEX(TypicalCriticalitiesMAHBarrier23[Typical Criticality],MATCH($T246,TypicalCriticalitiesMAHBarrier23[Column2],0)),"")</f>
        <v/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509</v>
      </c>
      <c r="O247" t="s">
        <v>510</v>
      </c>
      <c r="P247" t="s">
        <v>515</v>
      </c>
      <c r="Q247" t="s">
        <v>0</v>
      </c>
      <c r="R247">
        <f t="shared" si="9"/>
        <v>43</v>
      </c>
      <c r="S247">
        <f t="shared" ca="1" si="10"/>
        <v>1</v>
      </c>
      <c r="T247">
        <f t="shared" si="11"/>
        <v>244</v>
      </c>
      <c r="U247" t="str">
        <f>IF($T247&lt;=Z$4,INDEX(TypicalCriticalitiesMAHBarrier23[Barrier Family Description],MATCH($T247,TypicalCriticalitiesMAHBarrier23[Barrier Family ID],0)),"")</f>
        <v/>
      </c>
      <c r="V247" t="str">
        <f ca="1">IF($T247&lt;=AA$4,INDEX(TypicalCriticalitiesMAHBarrier23[Typical Components],MATCH($T247,TypicalCriticalitiesMAHBarrier23[Column2],0)),"")</f>
        <v/>
      </c>
      <c r="W247" t="str">
        <f ca="1">IF($T247&lt;=AA$4,INDEX(TypicalCriticalitiesMAHBarrier23[Typical Criticality],MATCH($T247,TypicalCriticalitiesMAHBarrier23[Column2],0)),"")</f>
        <v/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509</v>
      </c>
      <c r="O248" t="s">
        <v>510</v>
      </c>
      <c r="P248" t="s">
        <v>516</v>
      </c>
      <c r="Q248" t="s">
        <v>0</v>
      </c>
      <c r="R248">
        <f t="shared" si="9"/>
        <v>43</v>
      </c>
      <c r="S248">
        <f t="shared" ca="1" si="10"/>
        <v>1</v>
      </c>
      <c r="T248">
        <f t="shared" si="11"/>
        <v>245</v>
      </c>
      <c r="U248" t="str">
        <f>IF($T248&lt;=Z$4,INDEX(TypicalCriticalitiesMAHBarrier23[Barrier Family Description],MATCH($T248,TypicalCriticalitiesMAHBarrier23[Barrier Family ID],0)),"")</f>
        <v/>
      </c>
      <c r="V248" t="str">
        <f ca="1">IF($T248&lt;=AA$4,INDEX(TypicalCriticalitiesMAHBarrier23[Typical Components],MATCH($T248,TypicalCriticalitiesMAHBarrier23[Column2],0)),"")</f>
        <v/>
      </c>
      <c r="W248" t="str">
        <f ca="1">IF($T248&lt;=AA$4,INDEX(TypicalCriticalitiesMAHBarrier23[Typical Criticality],MATCH($T248,TypicalCriticalitiesMAHBarrier23[Column2],0)),"")</f>
        <v/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509</v>
      </c>
      <c r="O249" t="s">
        <v>510</v>
      </c>
      <c r="P249" t="s">
        <v>517</v>
      </c>
      <c r="Q249" t="s">
        <v>1</v>
      </c>
      <c r="R249">
        <f t="shared" si="9"/>
        <v>43</v>
      </c>
      <c r="S249">
        <f t="shared" ca="1" si="10"/>
        <v>1</v>
      </c>
      <c r="T249">
        <f t="shared" si="11"/>
        <v>246</v>
      </c>
      <c r="U249" t="str">
        <f>IF($T249&lt;=Z$4,INDEX(TypicalCriticalitiesMAHBarrier23[Barrier Family Description],MATCH($T249,TypicalCriticalitiesMAHBarrier23[Barrier Family ID],0)),"")</f>
        <v/>
      </c>
      <c r="V249" t="str">
        <f ca="1">IF($T249&lt;=AA$4,INDEX(TypicalCriticalitiesMAHBarrier23[Typical Components],MATCH($T249,TypicalCriticalitiesMAHBarrier23[Column2],0)),"")</f>
        <v/>
      </c>
      <c r="W249" t="str">
        <f ca="1">IF($T249&lt;=AA$4,INDEX(TypicalCriticalitiesMAHBarrier23[Typical Criticality],MATCH($T249,TypicalCriticalitiesMAHBarrier23[Column2],0)),"")</f>
        <v/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518</v>
      </c>
      <c r="O250" t="s">
        <v>519</v>
      </c>
      <c r="P250" t="s">
        <v>520</v>
      </c>
      <c r="Q250" t="s">
        <v>0</v>
      </c>
      <c r="R250">
        <f t="shared" si="9"/>
        <v>44</v>
      </c>
      <c r="S250">
        <f t="shared" ca="1" si="10"/>
        <v>1</v>
      </c>
      <c r="T250">
        <f t="shared" si="11"/>
        <v>247</v>
      </c>
      <c r="U250" t="str">
        <f>IF($T250&lt;=Z$4,INDEX(TypicalCriticalitiesMAHBarrier23[Barrier Family Description],MATCH($T250,TypicalCriticalitiesMAHBarrier23[Barrier Family ID],0)),"")</f>
        <v/>
      </c>
      <c r="V250" t="str">
        <f ca="1">IF($T250&lt;=AA$4,INDEX(TypicalCriticalitiesMAHBarrier23[Typical Components],MATCH($T250,TypicalCriticalitiesMAHBarrier23[Column2],0)),"")</f>
        <v/>
      </c>
      <c r="W250" t="str">
        <f ca="1">IF($T250&lt;=AA$4,INDEX(TypicalCriticalitiesMAHBarrier23[Typical Criticality],MATCH($T250,TypicalCriticalitiesMAHBarrier23[Column2],0)),"")</f>
        <v/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518</v>
      </c>
      <c r="O251" t="s">
        <v>519</v>
      </c>
      <c r="P251" t="s">
        <v>521</v>
      </c>
      <c r="Q251" t="s">
        <v>0</v>
      </c>
      <c r="R251">
        <f t="shared" si="9"/>
        <v>44</v>
      </c>
      <c r="S251">
        <f t="shared" ca="1" si="10"/>
        <v>1</v>
      </c>
      <c r="T251">
        <f t="shared" si="11"/>
        <v>248</v>
      </c>
      <c r="U251" t="str">
        <f>IF($T251&lt;=Z$4,INDEX(TypicalCriticalitiesMAHBarrier23[Barrier Family Description],MATCH($T251,TypicalCriticalitiesMAHBarrier23[Barrier Family ID],0)),"")</f>
        <v/>
      </c>
      <c r="V251" t="str">
        <f ca="1">IF($T251&lt;=AA$4,INDEX(TypicalCriticalitiesMAHBarrier23[Typical Components],MATCH($T251,TypicalCriticalitiesMAHBarrier23[Column2],0)),"")</f>
        <v/>
      </c>
      <c r="W251" t="str">
        <f ca="1">IF($T251&lt;=AA$4,INDEX(TypicalCriticalitiesMAHBarrier23[Typical Criticality],MATCH($T251,TypicalCriticalitiesMAHBarrier23[Column2],0)),"")</f>
        <v/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518</v>
      </c>
      <c r="O252" t="s">
        <v>519</v>
      </c>
      <c r="P252" t="s">
        <v>522</v>
      </c>
      <c r="Q252" t="s">
        <v>0</v>
      </c>
      <c r="R252">
        <f t="shared" si="9"/>
        <v>44</v>
      </c>
      <c r="S252">
        <f t="shared" ca="1" si="10"/>
        <v>1</v>
      </c>
      <c r="T252">
        <f t="shared" si="11"/>
        <v>249</v>
      </c>
      <c r="U252" t="str">
        <f>IF($T252&lt;=Z$4,INDEX(TypicalCriticalitiesMAHBarrier23[Barrier Family Description],MATCH($T252,TypicalCriticalitiesMAHBarrier23[Barrier Family ID],0)),"")</f>
        <v/>
      </c>
      <c r="V252" t="str">
        <f ca="1">IF($T252&lt;=AA$4,INDEX(TypicalCriticalitiesMAHBarrier23[Typical Components],MATCH($T252,TypicalCriticalitiesMAHBarrier23[Column2],0)),"")</f>
        <v/>
      </c>
      <c r="W252" t="str">
        <f ca="1">IF($T252&lt;=AA$4,INDEX(TypicalCriticalitiesMAHBarrier23[Typical Criticality],MATCH($T252,TypicalCriticalitiesMAHBarrier23[Column2],0)),"")</f>
        <v/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518</v>
      </c>
      <c r="O253" t="s">
        <v>519</v>
      </c>
      <c r="P253" t="s">
        <v>523</v>
      </c>
      <c r="Q253" t="s">
        <v>0</v>
      </c>
      <c r="R253">
        <f t="shared" si="9"/>
        <v>44</v>
      </c>
      <c r="S253">
        <f t="shared" ca="1" si="10"/>
        <v>1</v>
      </c>
      <c r="T253">
        <f t="shared" si="11"/>
        <v>250</v>
      </c>
      <c r="U253" t="str">
        <f>IF($T253&lt;=Z$4,INDEX(TypicalCriticalitiesMAHBarrier23[Barrier Family Description],MATCH($T253,TypicalCriticalitiesMAHBarrier23[Barrier Family ID],0)),"")</f>
        <v/>
      </c>
      <c r="V253" t="str">
        <f ca="1">IF($T253&lt;=AA$4,INDEX(TypicalCriticalitiesMAHBarrier23[Typical Components],MATCH($T253,TypicalCriticalitiesMAHBarrier23[Column2],0)),"")</f>
        <v/>
      </c>
      <c r="W253" t="str">
        <f ca="1">IF($T253&lt;=AA$4,INDEX(TypicalCriticalitiesMAHBarrier23[Typical Criticality],MATCH($T253,TypicalCriticalitiesMAHBarrier23[Column2],0)),"")</f>
        <v/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518</v>
      </c>
      <c r="O254" t="s">
        <v>519</v>
      </c>
      <c r="P254" t="s">
        <v>524</v>
      </c>
      <c r="Q254" t="s">
        <v>0</v>
      </c>
      <c r="R254">
        <f t="shared" si="9"/>
        <v>44</v>
      </c>
      <c r="S254">
        <f t="shared" ca="1" si="10"/>
        <v>1</v>
      </c>
      <c r="T254">
        <f t="shared" si="11"/>
        <v>251</v>
      </c>
      <c r="U254" t="str">
        <f>IF($T254&lt;=Z$4,INDEX(TypicalCriticalitiesMAHBarrier23[Barrier Family Description],MATCH($T254,TypicalCriticalitiesMAHBarrier23[Barrier Family ID],0)),"")</f>
        <v/>
      </c>
      <c r="V254" t="str">
        <f ca="1">IF($T254&lt;=AA$4,INDEX(TypicalCriticalitiesMAHBarrier23[Typical Components],MATCH($T254,TypicalCriticalitiesMAHBarrier23[Column2],0)),"")</f>
        <v/>
      </c>
      <c r="W254" t="str">
        <f ca="1">IF($T254&lt;=AA$4,INDEX(TypicalCriticalitiesMAHBarrier23[Typical Criticality],MATCH($T254,TypicalCriticalitiesMAHBarrier23[Column2],0)),"")</f>
        <v/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518</v>
      </c>
      <c r="O255" t="s">
        <v>519</v>
      </c>
      <c r="P255" t="s">
        <v>525</v>
      </c>
      <c r="Q255" t="s">
        <v>0</v>
      </c>
      <c r="R255">
        <f t="shared" si="9"/>
        <v>44</v>
      </c>
      <c r="S255">
        <f t="shared" ca="1" si="10"/>
        <v>1</v>
      </c>
      <c r="T255">
        <f t="shared" si="11"/>
        <v>252</v>
      </c>
      <c r="U255" t="str">
        <f>IF($T255&lt;=Z$4,INDEX(TypicalCriticalitiesMAHBarrier23[Barrier Family Description],MATCH($T255,TypicalCriticalitiesMAHBarrier23[Barrier Family ID],0)),"")</f>
        <v/>
      </c>
      <c r="V255" t="str">
        <f ca="1">IF($T255&lt;=AA$4,INDEX(TypicalCriticalitiesMAHBarrier23[Typical Components],MATCH($T255,TypicalCriticalitiesMAHBarrier23[Column2],0)),"")</f>
        <v/>
      </c>
      <c r="W255" t="str">
        <f ca="1">IF($T255&lt;=AA$4,INDEX(TypicalCriticalitiesMAHBarrier23[Typical Criticality],MATCH($T255,TypicalCriticalitiesMAHBarrier23[Column2],0)),"")</f>
        <v/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526</v>
      </c>
      <c r="O256" t="s">
        <v>527</v>
      </c>
      <c r="P256" t="s">
        <v>528</v>
      </c>
      <c r="Q256" t="s">
        <v>0</v>
      </c>
      <c r="R256">
        <f t="shared" si="9"/>
        <v>45</v>
      </c>
      <c r="S256">
        <f t="shared" ca="1" si="10"/>
        <v>1</v>
      </c>
      <c r="T256">
        <f t="shared" si="11"/>
        <v>253</v>
      </c>
      <c r="U256" t="str">
        <f>IF($T256&lt;=Z$4,INDEX(TypicalCriticalitiesMAHBarrier23[Barrier Family Description],MATCH($T256,TypicalCriticalitiesMAHBarrier23[Barrier Family ID],0)),"")</f>
        <v/>
      </c>
      <c r="V256" t="str">
        <f ca="1">IF($T256&lt;=AA$4,INDEX(TypicalCriticalitiesMAHBarrier23[Typical Components],MATCH($T256,TypicalCriticalitiesMAHBarrier23[Column2],0)),"")</f>
        <v/>
      </c>
      <c r="W256" t="str">
        <f ca="1">IF($T256&lt;=AA$4,INDEX(TypicalCriticalitiesMAHBarrier23[Typical Criticality],MATCH($T256,TypicalCriticalitiesMAHBarrier23[Column2],0)),"")</f>
        <v/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526</v>
      </c>
      <c r="O257" t="s">
        <v>527</v>
      </c>
      <c r="P257" t="s">
        <v>529</v>
      </c>
      <c r="Q257" t="s">
        <v>0</v>
      </c>
      <c r="R257">
        <f t="shared" si="9"/>
        <v>45</v>
      </c>
      <c r="S257">
        <f t="shared" ca="1" si="10"/>
        <v>1</v>
      </c>
      <c r="T257">
        <f t="shared" si="11"/>
        <v>254</v>
      </c>
      <c r="U257" t="str">
        <f>IF($T257&lt;=Z$4,INDEX(TypicalCriticalitiesMAHBarrier23[Barrier Family Description],MATCH($T257,TypicalCriticalitiesMAHBarrier23[Barrier Family ID],0)),"")</f>
        <v/>
      </c>
      <c r="V257" t="str">
        <f ca="1">IF($T257&lt;=AA$4,INDEX(TypicalCriticalitiesMAHBarrier23[Typical Components],MATCH($T257,TypicalCriticalitiesMAHBarrier23[Column2],0)),"")</f>
        <v/>
      </c>
      <c r="W257" t="str">
        <f ca="1">IF($T257&lt;=AA$4,INDEX(TypicalCriticalitiesMAHBarrier23[Typical Criticality],MATCH($T257,TypicalCriticalitiesMAHBarrier23[Column2],0)),"")</f>
        <v/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526</v>
      </c>
      <c r="O258" t="s">
        <v>527</v>
      </c>
      <c r="P258" t="s">
        <v>530</v>
      </c>
      <c r="Q258" t="s">
        <v>0</v>
      </c>
      <c r="R258">
        <f t="shared" si="9"/>
        <v>45</v>
      </c>
      <c r="S258">
        <f t="shared" ca="1" si="10"/>
        <v>1</v>
      </c>
      <c r="T258">
        <f t="shared" si="11"/>
        <v>255</v>
      </c>
      <c r="U258" t="str">
        <f>IF($T258&lt;=Z$4,INDEX(TypicalCriticalitiesMAHBarrier23[Barrier Family Description],MATCH($T258,TypicalCriticalitiesMAHBarrier23[Barrier Family ID],0)),"")</f>
        <v/>
      </c>
      <c r="V258" t="str">
        <f ca="1">IF($T258&lt;=AA$4,INDEX(TypicalCriticalitiesMAHBarrier23[Typical Components],MATCH($T258,TypicalCriticalitiesMAHBarrier23[Column2],0)),"")</f>
        <v/>
      </c>
      <c r="W258" t="str">
        <f ca="1">IF($T258&lt;=AA$4,INDEX(TypicalCriticalitiesMAHBarrier23[Typical Criticality],MATCH($T258,TypicalCriticalitiesMAHBarrier23[Column2],0)),"")</f>
        <v/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531</v>
      </c>
      <c r="O259" t="s">
        <v>532</v>
      </c>
      <c r="P259" t="s">
        <v>533</v>
      </c>
      <c r="Q259" t="s">
        <v>2</v>
      </c>
      <c r="R259">
        <f t="shared" si="9"/>
        <v>46</v>
      </c>
      <c r="S259">
        <f t="shared" ca="1" si="10"/>
        <v>1</v>
      </c>
      <c r="T259">
        <f t="shared" si="11"/>
        <v>256</v>
      </c>
      <c r="U259" t="str">
        <f>IF($T259&lt;=Z$4,INDEX(TypicalCriticalitiesMAHBarrier23[Barrier Family Description],MATCH($T259,TypicalCriticalitiesMAHBarrier23[Barrier Family ID],0)),"")</f>
        <v/>
      </c>
      <c r="V259" t="str">
        <f ca="1">IF($T259&lt;=AA$4,INDEX(TypicalCriticalitiesMAHBarrier23[Typical Components],MATCH($T259,TypicalCriticalitiesMAHBarrier23[Column2],0)),"")</f>
        <v/>
      </c>
      <c r="W259" t="str">
        <f ca="1">IF($T259&lt;=AA$4,INDEX(TypicalCriticalitiesMAHBarrier23[Typical Criticality],MATCH($T259,TypicalCriticalitiesMAHBarrier23[Column2],0)),"")</f>
        <v/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531</v>
      </c>
      <c r="O260" t="s">
        <v>532</v>
      </c>
      <c r="P260" t="s">
        <v>534</v>
      </c>
      <c r="Q260" t="s">
        <v>1</v>
      </c>
      <c r="R260">
        <f t="shared" si="9"/>
        <v>46</v>
      </c>
      <c r="S260">
        <f t="shared" ca="1" si="10"/>
        <v>1</v>
      </c>
      <c r="T260">
        <f t="shared" si="11"/>
        <v>257</v>
      </c>
      <c r="U260" t="str">
        <f>IF($T260&lt;=Z$4,INDEX(TypicalCriticalitiesMAHBarrier23[Barrier Family Description],MATCH($T260,TypicalCriticalitiesMAHBarrier23[Barrier Family ID],0)),"")</f>
        <v/>
      </c>
      <c r="V260" t="str">
        <f ca="1">IF($T260&lt;=AA$4,INDEX(TypicalCriticalitiesMAHBarrier23[Typical Components],MATCH($T260,TypicalCriticalitiesMAHBarrier23[Column2],0)),"")</f>
        <v/>
      </c>
      <c r="W260" t="str">
        <f ca="1">IF($T260&lt;=AA$4,INDEX(TypicalCriticalitiesMAHBarrier23[Typical Criticality],MATCH($T260,TypicalCriticalitiesMAHBarrier23[Column2],0)),"")</f>
        <v/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531</v>
      </c>
      <c r="O261" t="s">
        <v>532</v>
      </c>
      <c r="P261" t="s">
        <v>535</v>
      </c>
      <c r="Q261" t="s">
        <v>0</v>
      </c>
      <c r="R261">
        <f t="shared" si="9"/>
        <v>46</v>
      </c>
      <c r="S261">
        <f t="shared" ca="1" si="10"/>
        <v>1</v>
      </c>
      <c r="T261">
        <f t="shared" si="11"/>
        <v>258</v>
      </c>
      <c r="U261" t="str">
        <f>IF($T261&lt;=Z$4,INDEX(TypicalCriticalitiesMAHBarrier23[Barrier Family Description],MATCH($T261,TypicalCriticalitiesMAHBarrier23[Barrier Family ID],0)),"")</f>
        <v/>
      </c>
      <c r="V261" t="str">
        <f ca="1">IF($T261&lt;=AA$4,INDEX(TypicalCriticalitiesMAHBarrier23[Typical Components],MATCH($T261,TypicalCriticalitiesMAHBarrier23[Column2],0)),"")</f>
        <v/>
      </c>
      <c r="W261" t="str">
        <f ca="1">IF($T261&lt;=AA$4,INDEX(TypicalCriticalitiesMAHBarrier23[Typical Criticality],MATCH($T261,TypicalCriticalitiesMAHBarrier23[Column2],0)),"")</f>
        <v/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531</v>
      </c>
      <c r="O262" t="s">
        <v>532</v>
      </c>
      <c r="P262" t="s">
        <v>536</v>
      </c>
      <c r="Q262" t="s">
        <v>0</v>
      </c>
      <c r="R262">
        <f t="shared" si="9"/>
        <v>46</v>
      </c>
      <c r="S262">
        <f t="shared" ca="1" si="10"/>
        <v>1</v>
      </c>
      <c r="T262">
        <f t="shared" si="11"/>
        <v>259</v>
      </c>
      <c r="U262" t="str">
        <f>IF($T262&lt;=Z$4,INDEX(TypicalCriticalitiesMAHBarrier23[Barrier Family Description],MATCH($T262,TypicalCriticalitiesMAHBarrier23[Barrier Family ID],0)),"")</f>
        <v/>
      </c>
      <c r="V262" t="str">
        <f ca="1">IF($T262&lt;=AA$4,INDEX(TypicalCriticalitiesMAHBarrier23[Typical Components],MATCH($T262,TypicalCriticalitiesMAHBarrier23[Column2],0)),"")</f>
        <v/>
      </c>
      <c r="W262" t="str">
        <f ca="1">IF($T262&lt;=AA$4,INDEX(TypicalCriticalitiesMAHBarrier23[Typical Criticality],MATCH($T262,TypicalCriticalitiesMAHBarrier23[Column2],0)),"")</f>
        <v/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531</v>
      </c>
      <c r="O263" t="s">
        <v>532</v>
      </c>
      <c r="P263" t="s">
        <v>537</v>
      </c>
      <c r="Q263" t="s">
        <v>0</v>
      </c>
      <c r="R263">
        <f t="shared" si="9"/>
        <v>46</v>
      </c>
      <c r="S263">
        <f t="shared" ca="1" si="10"/>
        <v>1</v>
      </c>
      <c r="T263">
        <f t="shared" si="11"/>
        <v>260</v>
      </c>
      <c r="U263" t="str">
        <f>IF($T263&lt;=Z$4,INDEX(TypicalCriticalitiesMAHBarrier23[Barrier Family Description],MATCH($T263,TypicalCriticalitiesMAHBarrier23[Barrier Family ID],0)),"")</f>
        <v/>
      </c>
      <c r="V263" t="str">
        <f ca="1">IF($T263&lt;=AA$4,INDEX(TypicalCriticalitiesMAHBarrier23[Typical Components],MATCH($T263,TypicalCriticalitiesMAHBarrier23[Column2],0)),"")</f>
        <v/>
      </c>
      <c r="W263" t="str">
        <f ca="1">IF($T263&lt;=AA$4,INDEX(TypicalCriticalitiesMAHBarrier23[Typical Criticality],MATCH($T263,TypicalCriticalitiesMAHBarrier23[Column2],0)),"")</f>
        <v/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531</v>
      </c>
      <c r="O264" t="s">
        <v>532</v>
      </c>
      <c r="P264" t="s">
        <v>538</v>
      </c>
      <c r="Q264" t="s">
        <v>2</v>
      </c>
      <c r="R264">
        <f t="shared" si="9"/>
        <v>46</v>
      </c>
      <c r="S264">
        <f t="shared" ca="1" si="10"/>
        <v>1</v>
      </c>
      <c r="T264">
        <f t="shared" si="11"/>
        <v>261</v>
      </c>
      <c r="U264" t="str">
        <f>IF($T264&lt;=Z$4,INDEX(TypicalCriticalitiesMAHBarrier23[Barrier Family Description],MATCH($T264,TypicalCriticalitiesMAHBarrier23[Barrier Family ID],0)),"")</f>
        <v/>
      </c>
      <c r="V264" t="str">
        <f ca="1">IF($T264&lt;=AA$4,INDEX(TypicalCriticalitiesMAHBarrier23[Typical Components],MATCH($T264,TypicalCriticalitiesMAHBarrier23[Column2],0)),"")</f>
        <v/>
      </c>
      <c r="W264" t="str">
        <f ca="1">IF($T264&lt;=AA$4,INDEX(TypicalCriticalitiesMAHBarrier23[Typical Criticality],MATCH($T264,TypicalCriticalitiesMAHBarrier23[Column2],0)),"")</f>
        <v/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531</v>
      </c>
      <c r="O265" t="s">
        <v>532</v>
      </c>
      <c r="P265" t="s">
        <v>539</v>
      </c>
      <c r="Q265" t="s">
        <v>1</v>
      </c>
      <c r="R265">
        <f t="shared" ref="R265:R309" si="13">IF(AND(O265&lt;&gt;O264,O265&lt;&gt;""),R264+1,R264)</f>
        <v>46</v>
      </c>
      <c r="S265">
        <f t="shared" ref="S265:S309" ca="1" si="14">IF(R265=$Z$5,IF(AND(P265&lt;&gt;P264,P265&lt;&gt;""),S264+1,S264),S264)</f>
        <v>1</v>
      </c>
      <c r="T265">
        <f t="shared" ref="T265:T309" si="15">T264+1</f>
        <v>262</v>
      </c>
      <c r="U265" t="str">
        <f>IF($T265&lt;=Z$4,INDEX(TypicalCriticalitiesMAHBarrier23[Barrier Family Description],MATCH($T265,TypicalCriticalitiesMAHBarrier23[Barrier Family ID],0)),"")</f>
        <v/>
      </c>
      <c r="V265" t="str">
        <f ca="1">IF($T265&lt;=AA$4,INDEX(TypicalCriticalitiesMAHBarrier23[Typical Components],MATCH($T265,TypicalCriticalitiesMAHBarrier23[Column2],0)),"")</f>
        <v/>
      </c>
      <c r="W265" t="str">
        <f ca="1">IF($T265&lt;=AA$4,INDEX(TypicalCriticalitiesMAHBarrier23[Typical Criticality],MATCH($T265,TypicalCriticalitiesMAHBarrier23[Column2],0)),"")</f>
        <v/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531</v>
      </c>
      <c r="O266" t="s">
        <v>532</v>
      </c>
      <c r="P266" t="s">
        <v>540</v>
      </c>
      <c r="Q266" t="s">
        <v>2</v>
      </c>
      <c r="R266">
        <f t="shared" si="13"/>
        <v>46</v>
      </c>
      <c r="S266">
        <f t="shared" ca="1" si="14"/>
        <v>1</v>
      </c>
      <c r="T266">
        <f t="shared" si="15"/>
        <v>263</v>
      </c>
      <c r="U266" t="str">
        <f>IF($T266&lt;=Z$4,INDEX(TypicalCriticalitiesMAHBarrier23[Barrier Family Description],MATCH($T266,TypicalCriticalitiesMAHBarrier23[Barrier Family ID],0)),"")</f>
        <v/>
      </c>
      <c r="V266" t="str">
        <f ca="1">IF($T266&lt;=AA$4,INDEX(TypicalCriticalitiesMAHBarrier23[Typical Components],MATCH($T266,TypicalCriticalitiesMAHBarrier23[Column2],0)),"")</f>
        <v/>
      </c>
      <c r="W266" t="str">
        <f ca="1">IF($T266&lt;=AA$4,INDEX(TypicalCriticalitiesMAHBarrier23[Typical Criticality],MATCH($T266,TypicalCriticalitiesMAHBarrier23[Column2],0)),"")</f>
        <v/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541</v>
      </c>
      <c r="O267" t="s">
        <v>542</v>
      </c>
      <c r="P267" t="s">
        <v>543</v>
      </c>
      <c r="Q267" t="s">
        <v>1</v>
      </c>
      <c r="R267">
        <f t="shared" si="13"/>
        <v>47</v>
      </c>
      <c r="S267">
        <f t="shared" ca="1" si="14"/>
        <v>1</v>
      </c>
      <c r="T267">
        <f t="shared" si="15"/>
        <v>264</v>
      </c>
      <c r="U267" t="str">
        <f>IF($T267&lt;=Z$4,INDEX(TypicalCriticalitiesMAHBarrier23[Barrier Family Description],MATCH($T267,TypicalCriticalitiesMAHBarrier23[Barrier Family ID],0)),"")</f>
        <v/>
      </c>
      <c r="V267" t="str">
        <f ca="1">IF($T267&lt;=AA$4,INDEX(TypicalCriticalitiesMAHBarrier23[Typical Components],MATCH($T267,TypicalCriticalitiesMAHBarrier23[Column2],0)),"")</f>
        <v/>
      </c>
      <c r="W267" t="str">
        <f ca="1">IF($T267&lt;=AA$4,INDEX(TypicalCriticalitiesMAHBarrier23[Typical Criticality],MATCH($T267,TypicalCriticalitiesMAHBarrier23[Column2],0)),"")</f>
        <v/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541</v>
      </c>
      <c r="O268" t="s">
        <v>542</v>
      </c>
      <c r="P268" t="s">
        <v>544</v>
      </c>
      <c r="Q268" t="s">
        <v>1</v>
      </c>
      <c r="R268">
        <f t="shared" si="13"/>
        <v>47</v>
      </c>
      <c r="S268">
        <f t="shared" ca="1" si="14"/>
        <v>1</v>
      </c>
      <c r="T268">
        <f t="shared" si="15"/>
        <v>265</v>
      </c>
      <c r="U268" t="str">
        <f>IF($T268&lt;=Z$4,INDEX(TypicalCriticalitiesMAHBarrier23[Barrier Family Description],MATCH($T268,TypicalCriticalitiesMAHBarrier23[Barrier Family ID],0)),"")</f>
        <v/>
      </c>
      <c r="V268" t="str">
        <f ca="1">IF($T268&lt;=AA$4,INDEX(TypicalCriticalitiesMAHBarrier23[Typical Components],MATCH($T268,TypicalCriticalitiesMAHBarrier23[Column2],0)),"")</f>
        <v/>
      </c>
      <c r="W268" t="str">
        <f ca="1">IF($T268&lt;=AA$4,INDEX(TypicalCriticalitiesMAHBarrier23[Typical Criticality],MATCH($T268,TypicalCriticalitiesMAHBarrier23[Column2],0)),"")</f>
        <v/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541</v>
      </c>
      <c r="O269" t="s">
        <v>542</v>
      </c>
      <c r="P269" t="s">
        <v>545</v>
      </c>
      <c r="Q269" t="s">
        <v>1</v>
      </c>
      <c r="R269">
        <f t="shared" si="13"/>
        <v>47</v>
      </c>
      <c r="S269">
        <f t="shared" ca="1" si="14"/>
        <v>1</v>
      </c>
      <c r="T269">
        <f t="shared" si="15"/>
        <v>266</v>
      </c>
      <c r="U269" t="str">
        <f>IF($T269&lt;=Z$4,INDEX(TypicalCriticalitiesMAHBarrier23[Barrier Family Description],MATCH($T269,TypicalCriticalitiesMAHBarrier23[Barrier Family ID],0)),"")</f>
        <v/>
      </c>
      <c r="V269" t="str">
        <f ca="1">IF($T269&lt;=AA$4,INDEX(TypicalCriticalitiesMAHBarrier23[Typical Components],MATCH($T269,TypicalCriticalitiesMAHBarrier23[Column2],0)),"")</f>
        <v/>
      </c>
      <c r="W269" t="str">
        <f ca="1">IF($T269&lt;=AA$4,INDEX(TypicalCriticalitiesMAHBarrier23[Typical Criticality],MATCH($T269,TypicalCriticalitiesMAHBarrier23[Column2],0)),"")</f>
        <v/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546</v>
      </c>
      <c r="O270" t="s">
        <v>547</v>
      </c>
      <c r="P270" t="s">
        <v>548</v>
      </c>
      <c r="Q270" t="s">
        <v>0</v>
      </c>
      <c r="R270">
        <f t="shared" si="13"/>
        <v>48</v>
      </c>
      <c r="S270">
        <f t="shared" ca="1" si="14"/>
        <v>1</v>
      </c>
      <c r="T270">
        <f t="shared" si="15"/>
        <v>267</v>
      </c>
      <c r="U270" t="str">
        <f>IF($T270&lt;=Z$4,INDEX(TypicalCriticalitiesMAHBarrier23[Barrier Family Description],MATCH($T270,TypicalCriticalitiesMAHBarrier23[Barrier Family ID],0)),"")</f>
        <v/>
      </c>
      <c r="V270" t="str">
        <f ca="1">IF($T270&lt;=AA$4,INDEX(TypicalCriticalitiesMAHBarrier23[Typical Components],MATCH($T270,TypicalCriticalitiesMAHBarrier23[Column2],0)),"")</f>
        <v/>
      </c>
      <c r="W270" t="str">
        <f ca="1">IF($T270&lt;=AA$4,INDEX(TypicalCriticalitiesMAHBarrier23[Typical Criticality],MATCH($T270,TypicalCriticalitiesMAHBarrier23[Column2],0)),"")</f>
        <v/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546</v>
      </c>
      <c r="O271" t="s">
        <v>547</v>
      </c>
      <c r="P271" t="s">
        <v>549</v>
      </c>
      <c r="Q271" t="s">
        <v>0</v>
      </c>
      <c r="R271">
        <f t="shared" si="13"/>
        <v>48</v>
      </c>
      <c r="S271">
        <f t="shared" ca="1" si="14"/>
        <v>1</v>
      </c>
      <c r="T271">
        <f t="shared" si="15"/>
        <v>268</v>
      </c>
      <c r="U271" t="str">
        <f>IF($T271&lt;=Z$4,INDEX(TypicalCriticalitiesMAHBarrier23[Barrier Family Description],MATCH($T271,TypicalCriticalitiesMAHBarrier23[Barrier Family ID],0)),"")</f>
        <v/>
      </c>
      <c r="V271" t="str">
        <f ca="1">IF($T271&lt;=AA$4,INDEX(TypicalCriticalitiesMAHBarrier23[Typical Components],MATCH($T271,TypicalCriticalitiesMAHBarrier23[Column2],0)),"")</f>
        <v/>
      </c>
      <c r="W271" t="str">
        <f ca="1">IF($T271&lt;=AA$4,INDEX(TypicalCriticalitiesMAHBarrier23[Typical Criticality],MATCH($T271,TypicalCriticalitiesMAHBarrier23[Column2],0)),"")</f>
        <v/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546</v>
      </c>
      <c r="O272" t="s">
        <v>547</v>
      </c>
      <c r="P272" t="s">
        <v>550</v>
      </c>
      <c r="Q272" t="s">
        <v>0</v>
      </c>
      <c r="R272">
        <f t="shared" si="13"/>
        <v>48</v>
      </c>
      <c r="S272">
        <f t="shared" ca="1" si="14"/>
        <v>1</v>
      </c>
      <c r="T272">
        <f t="shared" si="15"/>
        <v>269</v>
      </c>
      <c r="U272" t="str">
        <f>IF($T272&lt;=Z$4,INDEX(TypicalCriticalitiesMAHBarrier23[Barrier Family Description],MATCH($T272,TypicalCriticalitiesMAHBarrier23[Barrier Family ID],0)),"")</f>
        <v/>
      </c>
      <c r="V272" t="str">
        <f ca="1">IF($T272&lt;=AA$4,INDEX(TypicalCriticalitiesMAHBarrier23[Typical Components],MATCH($T272,TypicalCriticalitiesMAHBarrier23[Column2],0)),"")</f>
        <v/>
      </c>
      <c r="W272" t="str">
        <f ca="1">IF($T272&lt;=AA$4,INDEX(TypicalCriticalitiesMAHBarrier23[Typical Criticality],MATCH($T272,TypicalCriticalitiesMAHBarrier23[Column2],0)),"")</f>
        <v/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546</v>
      </c>
      <c r="O273" t="s">
        <v>547</v>
      </c>
      <c r="P273" t="s">
        <v>551</v>
      </c>
      <c r="Q273" t="s">
        <v>0</v>
      </c>
      <c r="R273">
        <f t="shared" si="13"/>
        <v>48</v>
      </c>
      <c r="S273">
        <f t="shared" ca="1" si="14"/>
        <v>1</v>
      </c>
      <c r="T273">
        <f t="shared" si="15"/>
        <v>270</v>
      </c>
      <c r="U273" t="str">
        <f>IF($T273&lt;=Z$4,INDEX(TypicalCriticalitiesMAHBarrier23[Barrier Family Description],MATCH($T273,TypicalCriticalitiesMAHBarrier23[Barrier Family ID],0)),"")</f>
        <v/>
      </c>
      <c r="V273" t="str">
        <f ca="1">IF($T273&lt;=AA$4,INDEX(TypicalCriticalitiesMAHBarrier23[Typical Components],MATCH($T273,TypicalCriticalitiesMAHBarrier23[Column2],0)),"")</f>
        <v/>
      </c>
      <c r="W273" t="str">
        <f ca="1">IF($T273&lt;=AA$4,INDEX(TypicalCriticalitiesMAHBarrier23[Typical Criticality],MATCH($T273,TypicalCriticalitiesMAHBarrier23[Column2],0)),"")</f>
        <v/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546</v>
      </c>
      <c r="O274" t="s">
        <v>547</v>
      </c>
      <c r="P274" t="s">
        <v>552</v>
      </c>
      <c r="Q274" t="s">
        <v>1</v>
      </c>
      <c r="R274">
        <f t="shared" si="13"/>
        <v>48</v>
      </c>
      <c r="S274">
        <f t="shared" ca="1" si="14"/>
        <v>1</v>
      </c>
      <c r="T274">
        <f t="shared" si="15"/>
        <v>271</v>
      </c>
      <c r="U274" t="str">
        <f>IF($T274&lt;=Z$4,INDEX(TypicalCriticalitiesMAHBarrier23[Barrier Family Description],MATCH($T274,TypicalCriticalitiesMAHBarrier23[Barrier Family ID],0)),"")</f>
        <v/>
      </c>
      <c r="V274" t="str">
        <f ca="1">IF($T274&lt;=AA$4,INDEX(TypicalCriticalitiesMAHBarrier23[Typical Components],MATCH($T274,TypicalCriticalitiesMAHBarrier23[Column2],0)),"")</f>
        <v/>
      </c>
      <c r="W274" t="str">
        <f ca="1">IF($T274&lt;=AA$4,INDEX(TypicalCriticalitiesMAHBarrier23[Typical Criticality],MATCH($T274,TypicalCriticalitiesMAHBarrier23[Column2],0)),"")</f>
        <v/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546</v>
      </c>
      <c r="O275" t="s">
        <v>547</v>
      </c>
      <c r="P275" t="s">
        <v>553</v>
      </c>
      <c r="Q275" t="s">
        <v>1</v>
      </c>
      <c r="R275">
        <f t="shared" si="13"/>
        <v>48</v>
      </c>
      <c r="S275">
        <f t="shared" ca="1" si="14"/>
        <v>1</v>
      </c>
      <c r="T275">
        <f t="shared" si="15"/>
        <v>272</v>
      </c>
      <c r="U275" t="str">
        <f>IF($T275&lt;=Z$4,INDEX(TypicalCriticalitiesMAHBarrier23[Barrier Family Description],MATCH($T275,TypicalCriticalitiesMAHBarrier23[Barrier Family ID],0)),"")</f>
        <v/>
      </c>
      <c r="V275" t="str">
        <f ca="1">IF($T275&lt;=AA$4,INDEX(TypicalCriticalitiesMAHBarrier23[Typical Components],MATCH($T275,TypicalCriticalitiesMAHBarrier23[Column2],0)),"")</f>
        <v/>
      </c>
      <c r="W275" t="str">
        <f ca="1">IF($T275&lt;=AA$4,INDEX(TypicalCriticalitiesMAHBarrier23[Typical Criticality],MATCH($T275,TypicalCriticalitiesMAHBarrier23[Column2],0)),"")</f>
        <v/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546</v>
      </c>
      <c r="O276" t="s">
        <v>547</v>
      </c>
      <c r="P276" t="s">
        <v>554</v>
      </c>
      <c r="Q276" t="s">
        <v>1</v>
      </c>
      <c r="R276">
        <f t="shared" si="13"/>
        <v>48</v>
      </c>
      <c r="S276">
        <f t="shared" ca="1" si="14"/>
        <v>1</v>
      </c>
      <c r="T276">
        <f t="shared" si="15"/>
        <v>273</v>
      </c>
      <c r="U276" t="str">
        <f>IF($T276&lt;=Z$4,INDEX(TypicalCriticalitiesMAHBarrier23[Barrier Family Description],MATCH($T276,TypicalCriticalitiesMAHBarrier23[Barrier Family ID],0)),"")</f>
        <v/>
      </c>
      <c r="V276" t="str">
        <f ca="1">IF($T276&lt;=AA$4,INDEX(TypicalCriticalitiesMAHBarrier23[Typical Components],MATCH($T276,TypicalCriticalitiesMAHBarrier23[Column2],0)),"")</f>
        <v/>
      </c>
      <c r="W276" t="str">
        <f ca="1">IF($T276&lt;=AA$4,INDEX(TypicalCriticalitiesMAHBarrier23[Typical Criticality],MATCH($T276,TypicalCriticalitiesMAHBarrier23[Column2],0)),"")</f>
        <v/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546</v>
      </c>
      <c r="O277" t="s">
        <v>547</v>
      </c>
      <c r="P277" t="s">
        <v>555</v>
      </c>
      <c r="Q277" t="s">
        <v>0</v>
      </c>
      <c r="R277">
        <f t="shared" si="13"/>
        <v>48</v>
      </c>
      <c r="S277">
        <f t="shared" ca="1" si="14"/>
        <v>1</v>
      </c>
      <c r="T277">
        <f t="shared" si="15"/>
        <v>274</v>
      </c>
      <c r="U277" t="str">
        <f>IF($T277&lt;=Z$4,INDEX(TypicalCriticalitiesMAHBarrier23[Barrier Family Description],MATCH($T277,TypicalCriticalitiesMAHBarrier23[Barrier Family ID],0)),"")</f>
        <v/>
      </c>
      <c r="V277" t="str">
        <f ca="1">IF($T277&lt;=AA$4,INDEX(TypicalCriticalitiesMAHBarrier23[Typical Components],MATCH($T277,TypicalCriticalitiesMAHBarrier23[Column2],0)),"")</f>
        <v/>
      </c>
      <c r="W277" t="str">
        <f ca="1">IF($T277&lt;=AA$4,INDEX(TypicalCriticalitiesMAHBarrier23[Typical Criticality],MATCH($T277,TypicalCriticalitiesMAHBarrier23[Column2],0)),"")</f>
        <v/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546</v>
      </c>
      <c r="O278" t="s">
        <v>547</v>
      </c>
      <c r="P278" t="s">
        <v>556</v>
      </c>
      <c r="Q278" t="s">
        <v>2</v>
      </c>
      <c r="R278">
        <f t="shared" si="13"/>
        <v>48</v>
      </c>
      <c r="S278">
        <f t="shared" ca="1" si="14"/>
        <v>1</v>
      </c>
      <c r="T278">
        <f t="shared" si="15"/>
        <v>275</v>
      </c>
      <c r="U278" t="str">
        <f>IF($T278&lt;=Z$4,INDEX(TypicalCriticalitiesMAHBarrier23[Barrier Family Description],MATCH($T278,TypicalCriticalitiesMAHBarrier23[Barrier Family ID],0)),"")</f>
        <v/>
      </c>
      <c r="V278" t="str">
        <f ca="1">IF($T278&lt;=AA$4,INDEX(TypicalCriticalitiesMAHBarrier23[Typical Components],MATCH($T278,TypicalCriticalitiesMAHBarrier23[Column2],0)),"")</f>
        <v/>
      </c>
      <c r="W278" t="str">
        <f ca="1">IF($T278&lt;=AA$4,INDEX(TypicalCriticalitiesMAHBarrier23[Typical Criticality],MATCH($T278,TypicalCriticalitiesMAHBarrier23[Column2],0)),"")</f>
        <v/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546</v>
      </c>
      <c r="O279" t="s">
        <v>557</v>
      </c>
      <c r="P279" t="s">
        <v>558</v>
      </c>
      <c r="Q279" t="s">
        <v>0</v>
      </c>
      <c r="R279">
        <f t="shared" si="13"/>
        <v>49</v>
      </c>
      <c r="S279">
        <f t="shared" ca="1" si="14"/>
        <v>1</v>
      </c>
      <c r="T279">
        <f t="shared" si="15"/>
        <v>276</v>
      </c>
      <c r="U279" t="str">
        <f>IF($T279&lt;=Z$4,INDEX(TypicalCriticalitiesMAHBarrier23[Barrier Family Description],MATCH($T279,TypicalCriticalitiesMAHBarrier23[Barrier Family ID],0)),"")</f>
        <v/>
      </c>
      <c r="V279" t="str">
        <f ca="1">IF($T279&lt;=AA$4,INDEX(TypicalCriticalitiesMAHBarrier23[Typical Components],MATCH($T279,TypicalCriticalitiesMAHBarrier23[Column2],0)),"")</f>
        <v/>
      </c>
      <c r="W279" t="str">
        <f ca="1">IF($T279&lt;=AA$4,INDEX(TypicalCriticalitiesMAHBarrier23[Typical Criticality],MATCH($T279,TypicalCriticalitiesMAHBarrier23[Column2],0)),"")</f>
        <v/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546</v>
      </c>
      <c r="O280" t="s">
        <v>557</v>
      </c>
      <c r="P280" t="s">
        <v>559</v>
      </c>
      <c r="Q280" t="s">
        <v>0</v>
      </c>
      <c r="R280">
        <f t="shared" si="13"/>
        <v>49</v>
      </c>
      <c r="S280">
        <f t="shared" ca="1" si="14"/>
        <v>1</v>
      </c>
      <c r="T280">
        <f t="shared" si="15"/>
        <v>277</v>
      </c>
      <c r="U280" t="str">
        <f>IF($T280&lt;=Z$4,INDEX(TypicalCriticalitiesMAHBarrier23[Barrier Family Description],MATCH($T280,TypicalCriticalitiesMAHBarrier23[Barrier Family ID],0)),"")</f>
        <v/>
      </c>
      <c r="V280" t="str">
        <f ca="1">IF($T280&lt;=AA$4,INDEX(TypicalCriticalitiesMAHBarrier23[Typical Components],MATCH($T280,TypicalCriticalitiesMAHBarrier23[Column2],0)),"")</f>
        <v/>
      </c>
      <c r="W280" t="str">
        <f ca="1">IF($T280&lt;=AA$4,INDEX(TypicalCriticalitiesMAHBarrier23[Typical Criticality],MATCH($T280,TypicalCriticalitiesMAHBarrier23[Column2],0)),"")</f>
        <v/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546</v>
      </c>
      <c r="O281" t="s">
        <v>557</v>
      </c>
      <c r="P281" t="s">
        <v>560</v>
      </c>
      <c r="Q281" t="s">
        <v>0</v>
      </c>
      <c r="R281">
        <f t="shared" si="13"/>
        <v>49</v>
      </c>
      <c r="S281">
        <f t="shared" ca="1" si="14"/>
        <v>1</v>
      </c>
      <c r="T281">
        <f t="shared" si="15"/>
        <v>278</v>
      </c>
      <c r="U281" t="str">
        <f>IF($T281&lt;=Z$4,INDEX(TypicalCriticalitiesMAHBarrier23[Barrier Family Description],MATCH($T281,TypicalCriticalitiesMAHBarrier23[Barrier Family ID],0)),"")</f>
        <v/>
      </c>
      <c r="V281" t="str">
        <f ca="1">IF($T281&lt;=AA$4,INDEX(TypicalCriticalitiesMAHBarrier23[Typical Components],MATCH($T281,TypicalCriticalitiesMAHBarrier23[Column2],0)),"")</f>
        <v/>
      </c>
      <c r="W281" t="str">
        <f ca="1">IF($T281&lt;=AA$4,INDEX(TypicalCriticalitiesMAHBarrier23[Typical Criticality],MATCH($T281,TypicalCriticalitiesMAHBarrier23[Column2],0)),"")</f>
        <v/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546</v>
      </c>
      <c r="O282" t="s">
        <v>557</v>
      </c>
      <c r="P282" t="s">
        <v>561</v>
      </c>
      <c r="Q282" t="s">
        <v>0</v>
      </c>
      <c r="R282">
        <f t="shared" si="13"/>
        <v>49</v>
      </c>
      <c r="S282">
        <f t="shared" ca="1" si="14"/>
        <v>1</v>
      </c>
      <c r="T282">
        <f t="shared" si="15"/>
        <v>279</v>
      </c>
      <c r="U282" t="str">
        <f>IF($T282&lt;=Z$4,INDEX(TypicalCriticalitiesMAHBarrier23[Barrier Family Description],MATCH($T282,TypicalCriticalitiesMAHBarrier23[Barrier Family ID],0)),"")</f>
        <v/>
      </c>
      <c r="V282" t="str">
        <f ca="1">IF($T282&lt;=AA$4,INDEX(TypicalCriticalitiesMAHBarrier23[Typical Components],MATCH($T282,TypicalCriticalitiesMAHBarrier23[Column2],0)),"")</f>
        <v/>
      </c>
      <c r="W282" t="str">
        <f ca="1">IF($T282&lt;=AA$4,INDEX(TypicalCriticalitiesMAHBarrier23[Typical Criticality],MATCH($T282,TypicalCriticalitiesMAHBarrier23[Column2],0)),"")</f>
        <v/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546</v>
      </c>
      <c r="O283" t="s">
        <v>557</v>
      </c>
      <c r="P283" t="s">
        <v>562</v>
      </c>
      <c r="Q283" t="s">
        <v>1</v>
      </c>
      <c r="R283">
        <f t="shared" si="13"/>
        <v>49</v>
      </c>
      <c r="S283">
        <f t="shared" ca="1" si="14"/>
        <v>1</v>
      </c>
      <c r="T283">
        <f t="shared" si="15"/>
        <v>280</v>
      </c>
      <c r="U283" t="str">
        <f>IF($T283&lt;=Z$4,INDEX(TypicalCriticalitiesMAHBarrier23[Barrier Family Description],MATCH($T283,TypicalCriticalitiesMAHBarrier23[Barrier Family ID],0)),"")</f>
        <v/>
      </c>
      <c r="V283" t="str">
        <f ca="1">IF($T283&lt;=AA$4,INDEX(TypicalCriticalitiesMAHBarrier23[Typical Components],MATCH($T283,TypicalCriticalitiesMAHBarrier23[Column2],0)),"")</f>
        <v/>
      </c>
      <c r="W283" t="str">
        <f ca="1">IF($T283&lt;=AA$4,INDEX(TypicalCriticalitiesMAHBarrier23[Typical Criticality],MATCH($T283,TypicalCriticalitiesMAHBarrier23[Column2],0)),"")</f>
        <v/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546</v>
      </c>
      <c r="O284" t="s">
        <v>557</v>
      </c>
      <c r="P284" t="s">
        <v>563</v>
      </c>
      <c r="Q284" t="s">
        <v>0</v>
      </c>
      <c r="R284">
        <f t="shared" si="13"/>
        <v>49</v>
      </c>
      <c r="S284">
        <f t="shared" ca="1" si="14"/>
        <v>1</v>
      </c>
      <c r="T284">
        <f t="shared" si="15"/>
        <v>281</v>
      </c>
      <c r="U284" t="str">
        <f>IF($T284&lt;=Z$4,INDEX(TypicalCriticalitiesMAHBarrier23[Barrier Family Description],MATCH($T284,TypicalCriticalitiesMAHBarrier23[Barrier Family ID],0)),"")</f>
        <v/>
      </c>
      <c r="V284" t="str">
        <f ca="1">IF($T284&lt;=AA$4,INDEX(TypicalCriticalitiesMAHBarrier23[Typical Components],MATCH($T284,TypicalCriticalitiesMAHBarrier23[Column2],0)),"")</f>
        <v/>
      </c>
      <c r="W284" t="str">
        <f ca="1">IF($T284&lt;=AA$4,INDEX(TypicalCriticalitiesMAHBarrier23[Typical Criticality],MATCH($T284,TypicalCriticalitiesMAHBarrier23[Column2],0)),"")</f>
        <v/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546</v>
      </c>
      <c r="O285" t="s">
        <v>557</v>
      </c>
      <c r="P285" t="s">
        <v>564</v>
      </c>
      <c r="Q285" t="s">
        <v>1</v>
      </c>
      <c r="R285">
        <f t="shared" si="13"/>
        <v>49</v>
      </c>
      <c r="S285">
        <f t="shared" ca="1" si="14"/>
        <v>1</v>
      </c>
      <c r="T285">
        <f t="shared" si="15"/>
        <v>282</v>
      </c>
      <c r="U285" t="str">
        <f>IF($T285&lt;=Z$4,INDEX(TypicalCriticalitiesMAHBarrier23[Barrier Family Description],MATCH($T285,TypicalCriticalitiesMAHBarrier23[Barrier Family ID],0)),"")</f>
        <v/>
      </c>
      <c r="V285" t="str">
        <f ca="1">IF($T285&lt;=AA$4,INDEX(TypicalCriticalitiesMAHBarrier23[Typical Components],MATCH($T285,TypicalCriticalitiesMAHBarrier23[Column2],0)),"")</f>
        <v/>
      </c>
      <c r="W285" t="str">
        <f ca="1">IF($T285&lt;=AA$4,INDEX(TypicalCriticalitiesMAHBarrier23[Typical Criticality],MATCH($T285,TypicalCriticalitiesMAHBarrier23[Column2],0)),"")</f>
        <v/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565</v>
      </c>
      <c r="O286" t="s">
        <v>566</v>
      </c>
      <c r="P286" t="s">
        <v>567</v>
      </c>
      <c r="Q286" t="s">
        <v>0</v>
      </c>
      <c r="R286">
        <f t="shared" si="13"/>
        <v>50</v>
      </c>
      <c r="S286">
        <f t="shared" ca="1" si="14"/>
        <v>1</v>
      </c>
      <c r="T286">
        <f t="shared" si="15"/>
        <v>283</v>
      </c>
      <c r="U286" t="str">
        <f>IF($T286&lt;=Z$4,INDEX(TypicalCriticalitiesMAHBarrier23[Barrier Family Description],MATCH($T286,TypicalCriticalitiesMAHBarrier23[Barrier Family ID],0)),"")</f>
        <v/>
      </c>
      <c r="V286" t="str">
        <f ca="1">IF($T286&lt;=AA$4,INDEX(TypicalCriticalitiesMAHBarrier23[Typical Components],MATCH($T286,TypicalCriticalitiesMAHBarrier23[Column2],0)),"")</f>
        <v/>
      </c>
      <c r="W286" t="str">
        <f ca="1">IF($T286&lt;=AA$4,INDEX(TypicalCriticalitiesMAHBarrier23[Typical Criticality],MATCH($T286,TypicalCriticalitiesMAHBarrier23[Column2],0)),"")</f>
        <v/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565</v>
      </c>
      <c r="O287" t="s">
        <v>566</v>
      </c>
      <c r="P287" t="s">
        <v>568</v>
      </c>
      <c r="Q287" t="s">
        <v>0</v>
      </c>
      <c r="R287">
        <f t="shared" si="13"/>
        <v>50</v>
      </c>
      <c r="S287">
        <f t="shared" ca="1" si="14"/>
        <v>1</v>
      </c>
      <c r="T287">
        <f t="shared" si="15"/>
        <v>284</v>
      </c>
      <c r="U287" t="str">
        <f>IF($T287&lt;=Z$4,INDEX(TypicalCriticalitiesMAHBarrier23[Barrier Family Description],MATCH($T287,TypicalCriticalitiesMAHBarrier23[Barrier Family ID],0)),"")</f>
        <v/>
      </c>
      <c r="V287" t="str">
        <f ca="1">IF($T287&lt;=AA$4,INDEX(TypicalCriticalitiesMAHBarrier23[Typical Components],MATCH($T287,TypicalCriticalitiesMAHBarrier23[Column2],0)),"")</f>
        <v/>
      </c>
      <c r="W287" t="str">
        <f ca="1">IF($T287&lt;=AA$4,INDEX(TypicalCriticalitiesMAHBarrier23[Typical Criticality],MATCH($T287,TypicalCriticalitiesMAHBarrier23[Column2],0)),"")</f>
        <v/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569</v>
      </c>
      <c r="O288" t="s">
        <v>570</v>
      </c>
      <c r="P288" t="s">
        <v>571</v>
      </c>
      <c r="Q288" t="s">
        <v>0</v>
      </c>
      <c r="R288">
        <f t="shared" si="13"/>
        <v>51</v>
      </c>
      <c r="S288">
        <f t="shared" ca="1" si="14"/>
        <v>1</v>
      </c>
      <c r="T288">
        <f t="shared" si="15"/>
        <v>285</v>
      </c>
      <c r="U288" t="str">
        <f>IF($T288&lt;=Z$4,INDEX(TypicalCriticalitiesMAHBarrier23[Barrier Family Description],MATCH($T288,TypicalCriticalitiesMAHBarrier23[Barrier Family ID],0)),"")</f>
        <v/>
      </c>
      <c r="V288" t="str">
        <f ca="1">IF($T288&lt;=AA$4,INDEX(TypicalCriticalitiesMAHBarrier23[Typical Components],MATCH($T288,TypicalCriticalitiesMAHBarrier23[Column2],0)),"")</f>
        <v/>
      </c>
      <c r="W288" t="str">
        <f ca="1">IF($T288&lt;=AA$4,INDEX(TypicalCriticalitiesMAHBarrier23[Typical Criticality],MATCH($T288,TypicalCriticalitiesMAHBarrier23[Column2],0)),"")</f>
        <v/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572</v>
      </c>
      <c r="O289" t="s">
        <v>573</v>
      </c>
      <c r="P289" t="s">
        <v>574</v>
      </c>
      <c r="Q289" t="s">
        <v>0</v>
      </c>
      <c r="R289">
        <f t="shared" si="13"/>
        <v>52</v>
      </c>
      <c r="S289">
        <f t="shared" ca="1" si="14"/>
        <v>1</v>
      </c>
      <c r="T289">
        <f t="shared" si="15"/>
        <v>286</v>
      </c>
      <c r="U289" t="str">
        <f>IF($T289&lt;=Z$4,INDEX(TypicalCriticalitiesMAHBarrier23[Barrier Family Description],MATCH($T289,TypicalCriticalitiesMAHBarrier23[Barrier Family ID],0)),"")</f>
        <v/>
      </c>
      <c r="V289" t="str">
        <f ca="1">IF($T289&lt;=AA$4,INDEX(TypicalCriticalitiesMAHBarrier23[Typical Components],MATCH($T289,TypicalCriticalitiesMAHBarrier23[Column2],0)),"")</f>
        <v/>
      </c>
      <c r="W289" t="str">
        <f ca="1">IF($T289&lt;=AA$4,INDEX(TypicalCriticalitiesMAHBarrier23[Typical Criticality],MATCH($T289,TypicalCriticalitiesMAHBarrier23[Column2],0)),"")</f>
        <v/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572</v>
      </c>
      <c r="O290" t="s">
        <v>573</v>
      </c>
      <c r="P290" t="s">
        <v>575</v>
      </c>
      <c r="Q290" t="s">
        <v>0</v>
      </c>
      <c r="R290">
        <f t="shared" si="13"/>
        <v>52</v>
      </c>
      <c r="S290">
        <f t="shared" ca="1" si="14"/>
        <v>1</v>
      </c>
      <c r="T290">
        <f t="shared" si="15"/>
        <v>287</v>
      </c>
      <c r="U290" t="str">
        <f>IF($T290&lt;=Z$4,INDEX(TypicalCriticalitiesMAHBarrier23[Barrier Family Description],MATCH($T290,TypicalCriticalitiesMAHBarrier23[Barrier Family ID],0)),"")</f>
        <v/>
      </c>
      <c r="V290" t="str">
        <f ca="1">IF($T290&lt;=AA$4,INDEX(TypicalCriticalitiesMAHBarrier23[Typical Components],MATCH($T290,TypicalCriticalitiesMAHBarrier23[Column2],0)),"")</f>
        <v/>
      </c>
      <c r="W290" t="str">
        <f ca="1">IF($T290&lt;=AA$4,INDEX(TypicalCriticalitiesMAHBarrier23[Typical Criticality],MATCH($T290,TypicalCriticalitiesMAHBarrier23[Column2],0)),"")</f>
        <v/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572</v>
      </c>
      <c r="O291" t="s">
        <v>573</v>
      </c>
      <c r="P291" t="s">
        <v>576</v>
      </c>
      <c r="Q291" t="s">
        <v>0</v>
      </c>
      <c r="R291">
        <f t="shared" si="13"/>
        <v>52</v>
      </c>
      <c r="S291">
        <f t="shared" ca="1" si="14"/>
        <v>1</v>
      </c>
      <c r="T291">
        <f t="shared" si="15"/>
        <v>288</v>
      </c>
      <c r="U291" t="str">
        <f>IF($T291&lt;=Z$4,INDEX(TypicalCriticalitiesMAHBarrier23[Barrier Family Description],MATCH($T291,TypicalCriticalitiesMAHBarrier23[Barrier Family ID],0)),"")</f>
        <v/>
      </c>
      <c r="V291" t="str">
        <f ca="1">IF($T291&lt;=AA$4,INDEX(TypicalCriticalitiesMAHBarrier23[Typical Components],MATCH($T291,TypicalCriticalitiesMAHBarrier23[Column2],0)),"")</f>
        <v/>
      </c>
      <c r="W291" t="str">
        <f ca="1">IF($T291&lt;=AA$4,INDEX(TypicalCriticalitiesMAHBarrier23[Typical Criticality],MATCH($T291,TypicalCriticalitiesMAHBarrier23[Column2],0)),"")</f>
        <v/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577</v>
      </c>
      <c r="O292" t="s">
        <v>578</v>
      </c>
      <c r="P292" t="s">
        <v>579</v>
      </c>
      <c r="Q292" t="s">
        <v>0</v>
      </c>
      <c r="R292">
        <f t="shared" si="13"/>
        <v>53</v>
      </c>
      <c r="S292">
        <f t="shared" ca="1" si="14"/>
        <v>1</v>
      </c>
      <c r="T292">
        <f t="shared" si="15"/>
        <v>289</v>
      </c>
      <c r="U292" t="str">
        <f>IF($T292&lt;=Z$4,INDEX(TypicalCriticalitiesMAHBarrier23[Barrier Family Description],MATCH($T292,TypicalCriticalitiesMAHBarrier23[Barrier Family ID],0)),"")</f>
        <v/>
      </c>
      <c r="V292" t="str">
        <f ca="1">IF($T292&lt;=AA$4,INDEX(TypicalCriticalitiesMAHBarrier23[Typical Components],MATCH($T292,TypicalCriticalitiesMAHBarrier23[Column2],0)),"")</f>
        <v/>
      </c>
      <c r="W292" t="str">
        <f ca="1">IF($T292&lt;=AA$4,INDEX(TypicalCriticalitiesMAHBarrier23[Typical Criticality],MATCH($T292,TypicalCriticalitiesMAHBarrier23[Column2],0)),"")</f>
        <v/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577</v>
      </c>
      <c r="O293" t="s">
        <v>578</v>
      </c>
      <c r="P293" t="s">
        <v>580</v>
      </c>
      <c r="Q293" t="s">
        <v>1</v>
      </c>
      <c r="R293">
        <f t="shared" si="13"/>
        <v>53</v>
      </c>
      <c r="S293">
        <f t="shared" ca="1" si="14"/>
        <v>1</v>
      </c>
      <c r="T293">
        <f t="shared" si="15"/>
        <v>290</v>
      </c>
      <c r="U293" t="str">
        <f>IF($T293&lt;=Z$4,INDEX(TypicalCriticalitiesMAHBarrier23[Barrier Family Description],MATCH($T293,TypicalCriticalitiesMAHBarrier23[Barrier Family ID],0)),"")</f>
        <v/>
      </c>
      <c r="V293" t="str">
        <f ca="1">IF($T293&lt;=AA$4,INDEX(TypicalCriticalitiesMAHBarrier23[Typical Components],MATCH($T293,TypicalCriticalitiesMAHBarrier23[Column2],0)),"")</f>
        <v/>
      </c>
      <c r="W293" t="str">
        <f ca="1">IF($T293&lt;=AA$4,INDEX(TypicalCriticalitiesMAHBarrier23[Typical Criticality],MATCH($T293,TypicalCriticalitiesMAHBarrier23[Column2],0)),"")</f>
        <v/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577</v>
      </c>
      <c r="O294" t="s">
        <v>578</v>
      </c>
      <c r="P294" t="s">
        <v>581</v>
      </c>
      <c r="Q294" t="s">
        <v>0</v>
      </c>
      <c r="R294">
        <f t="shared" si="13"/>
        <v>53</v>
      </c>
      <c r="S294">
        <f t="shared" ca="1" si="14"/>
        <v>1</v>
      </c>
      <c r="T294">
        <f t="shared" si="15"/>
        <v>291</v>
      </c>
      <c r="U294" t="str">
        <f>IF($T294&lt;=Z$4,INDEX(TypicalCriticalitiesMAHBarrier23[Barrier Family Description],MATCH($T294,TypicalCriticalitiesMAHBarrier23[Barrier Family ID],0)),"")</f>
        <v/>
      </c>
      <c r="V294" t="str">
        <f ca="1">IF($T294&lt;=AA$4,INDEX(TypicalCriticalitiesMAHBarrier23[Typical Components],MATCH($T294,TypicalCriticalitiesMAHBarrier23[Column2],0)),"")</f>
        <v/>
      </c>
      <c r="W294" t="str">
        <f ca="1">IF($T294&lt;=AA$4,INDEX(TypicalCriticalitiesMAHBarrier23[Typical Criticality],MATCH($T294,TypicalCriticalitiesMAHBarrier23[Column2],0)),"")</f>
        <v/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577</v>
      </c>
      <c r="O295" t="s">
        <v>578</v>
      </c>
      <c r="P295" t="s">
        <v>582</v>
      </c>
      <c r="Q295" t="s">
        <v>0</v>
      </c>
      <c r="R295">
        <f t="shared" si="13"/>
        <v>53</v>
      </c>
      <c r="S295">
        <f t="shared" ca="1" si="14"/>
        <v>1</v>
      </c>
      <c r="T295">
        <f t="shared" si="15"/>
        <v>292</v>
      </c>
      <c r="U295" t="str">
        <f>IF($T295&lt;=Z$4,INDEX(TypicalCriticalitiesMAHBarrier23[Barrier Family Description],MATCH($T295,TypicalCriticalitiesMAHBarrier23[Barrier Family ID],0)),"")</f>
        <v/>
      </c>
      <c r="V295" t="str">
        <f ca="1">IF($T295&lt;=AA$4,INDEX(TypicalCriticalitiesMAHBarrier23[Typical Components],MATCH($T295,TypicalCriticalitiesMAHBarrier23[Column2],0)),"")</f>
        <v/>
      </c>
      <c r="W295" t="str">
        <f ca="1">IF($T295&lt;=AA$4,INDEX(TypicalCriticalitiesMAHBarrier23[Typical Criticality],MATCH($T295,TypicalCriticalitiesMAHBarrier23[Column2],0)),"")</f>
        <v/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577</v>
      </c>
      <c r="O296" t="s">
        <v>578</v>
      </c>
      <c r="P296" t="s">
        <v>583</v>
      </c>
      <c r="Q296" t="s">
        <v>1</v>
      </c>
      <c r="R296">
        <f t="shared" si="13"/>
        <v>53</v>
      </c>
      <c r="S296">
        <f t="shared" ca="1" si="14"/>
        <v>1</v>
      </c>
      <c r="T296">
        <f t="shared" si="15"/>
        <v>293</v>
      </c>
      <c r="U296" t="str">
        <f>IF($T296&lt;=Z$4,INDEX(TypicalCriticalitiesMAHBarrier23[Barrier Family Description],MATCH($T296,TypicalCriticalitiesMAHBarrier23[Barrier Family ID],0)),"")</f>
        <v/>
      </c>
      <c r="V296" t="str">
        <f ca="1">IF($T296&lt;=AA$4,INDEX(TypicalCriticalitiesMAHBarrier23[Typical Components],MATCH($T296,TypicalCriticalitiesMAHBarrier23[Column2],0)),"")</f>
        <v/>
      </c>
      <c r="W296" t="str">
        <f ca="1">IF($T296&lt;=AA$4,INDEX(TypicalCriticalitiesMAHBarrier23[Typical Criticality],MATCH($T296,TypicalCriticalitiesMAHBarrier23[Column2],0)),"")</f>
        <v/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577</v>
      </c>
      <c r="O297" t="s">
        <v>578</v>
      </c>
      <c r="P297" t="s">
        <v>584</v>
      </c>
      <c r="Q297" t="s">
        <v>0</v>
      </c>
      <c r="R297">
        <f t="shared" si="13"/>
        <v>53</v>
      </c>
      <c r="S297">
        <f t="shared" ca="1" si="14"/>
        <v>1</v>
      </c>
      <c r="T297">
        <f t="shared" si="15"/>
        <v>294</v>
      </c>
      <c r="U297" t="str">
        <f>IF($T297&lt;=Z$4,INDEX(TypicalCriticalitiesMAHBarrier23[Barrier Family Description],MATCH($T297,TypicalCriticalitiesMAHBarrier23[Barrier Family ID],0)),"")</f>
        <v/>
      </c>
      <c r="V297" t="str">
        <f ca="1">IF($T297&lt;=AA$4,INDEX(TypicalCriticalitiesMAHBarrier23[Typical Components],MATCH($T297,TypicalCriticalitiesMAHBarrier23[Column2],0)),"")</f>
        <v/>
      </c>
      <c r="W297" t="str">
        <f ca="1">IF($T297&lt;=AA$4,INDEX(TypicalCriticalitiesMAHBarrier23[Typical Criticality],MATCH($T297,TypicalCriticalitiesMAHBarrier23[Column2],0)),"")</f>
        <v/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577</v>
      </c>
      <c r="O298" t="s">
        <v>578</v>
      </c>
      <c r="P298" t="s">
        <v>585</v>
      </c>
      <c r="Q298" t="s">
        <v>0</v>
      </c>
      <c r="R298">
        <f t="shared" si="13"/>
        <v>53</v>
      </c>
      <c r="S298">
        <f t="shared" ca="1" si="14"/>
        <v>1</v>
      </c>
      <c r="T298">
        <f t="shared" si="15"/>
        <v>295</v>
      </c>
      <c r="U298" t="str">
        <f>IF($T298&lt;=Z$4,INDEX(TypicalCriticalitiesMAHBarrier23[Barrier Family Description],MATCH($T298,TypicalCriticalitiesMAHBarrier23[Barrier Family ID],0)),"")</f>
        <v/>
      </c>
      <c r="V298" t="str">
        <f ca="1">IF($T298&lt;=AA$4,INDEX(TypicalCriticalitiesMAHBarrier23[Typical Components],MATCH($T298,TypicalCriticalitiesMAHBarrier23[Column2],0)),"")</f>
        <v/>
      </c>
      <c r="W298" t="str">
        <f ca="1">IF($T298&lt;=AA$4,INDEX(TypicalCriticalitiesMAHBarrier23[Typical Criticality],MATCH($T298,TypicalCriticalitiesMAHBarrier23[Column2],0)),"")</f>
        <v/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577</v>
      </c>
      <c r="O299" t="s">
        <v>578</v>
      </c>
      <c r="P299" t="s">
        <v>586</v>
      </c>
      <c r="Q299" t="s">
        <v>0</v>
      </c>
      <c r="R299">
        <f t="shared" si="13"/>
        <v>53</v>
      </c>
      <c r="S299">
        <f t="shared" ca="1" si="14"/>
        <v>1</v>
      </c>
      <c r="T299">
        <f t="shared" si="15"/>
        <v>296</v>
      </c>
      <c r="U299" t="str">
        <f>IF($T299&lt;=Z$4,INDEX(TypicalCriticalitiesMAHBarrier23[Barrier Family Description],MATCH($T299,TypicalCriticalitiesMAHBarrier23[Barrier Family ID],0)),"")</f>
        <v/>
      </c>
      <c r="V299" t="str">
        <f ca="1">IF($T299&lt;=AA$4,INDEX(TypicalCriticalitiesMAHBarrier23[Typical Components],MATCH($T299,TypicalCriticalitiesMAHBarrier23[Column2],0)),"")</f>
        <v/>
      </c>
      <c r="W299" t="str">
        <f ca="1">IF($T299&lt;=AA$4,INDEX(TypicalCriticalitiesMAHBarrier23[Typical Criticality],MATCH($T299,TypicalCriticalitiesMAHBarrier23[Column2],0)),"")</f>
        <v/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577</v>
      </c>
      <c r="O300" t="s">
        <v>578</v>
      </c>
      <c r="P300" t="s">
        <v>587</v>
      </c>
      <c r="Q300" t="s">
        <v>0</v>
      </c>
      <c r="R300">
        <f t="shared" si="13"/>
        <v>53</v>
      </c>
      <c r="S300">
        <f t="shared" ca="1" si="14"/>
        <v>1</v>
      </c>
      <c r="T300">
        <f t="shared" si="15"/>
        <v>297</v>
      </c>
      <c r="U300" t="str">
        <f>IF($T300&lt;=Z$4,INDEX(TypicalCriticalitiesMAHBarrier23[Barrier Family Description],MATCH($T300,TypicalCriticalitiesMAHBarrier23[Barrier Family ID],0)),"")</f>
        <v/>
      </c>
      <c r="V300" t="str">
        <f ca="1">IF($T300&lt;=AA$4,INDEX(TypicalCriticalitiesMAHBarrier23[Typical Components],MATCH($T300,TypicalCriticalitiesMAHBarrier23[Column2],0)),"")</f>
        <v/>
      </c>
      <c r="W300" t="str">
        <f ca="1">IF($T300&lt;=AA$4,INDEX(TypicalCriticalitiesMAHBarrier23[Typical Criticality],MATCH($T300,TypicalCriticalitiesMAHBarrier23[Column2],0)),"")</f>
        <v/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577</v>
      </c>
      <c r="O301" t="s">
        <v>578</v>
      </c>
      <c r="P301" t="s">
        <v>588</v>
      </c>
      <c r="Q301" t="s">
        <v>0</v>
      </c>
      <c r="R301">
        <f t="shared" si="13"/>
        <v>53</v>
      </c>
      <c r="S301">
        <f t="shared" ca="1" si="14"/>
        <v>1</v>
      </c>
      <c r="T301">
        <f t="shared" si="15"/>
        <v>298</v>
      </c>
      <c r="U301" t="str">
        <f>IF($T301&lt;=Z$4,INDEX(TypicalCriticalitiesMAHBarrier23[Barrier Family Description],MATCH($T301,TypicalCriticalitiesMAHBarrier23[Barrier Family ID],0)),"")</f>
        <v/>
      </c>
      <c r="V301" t="str">
        <f ca="1">IF($T301&lt;=AA$4,INDEX(TypicalCriticalitiesMAHBarrier23[Typical Components],MATCH($T301,TypicalCriticalitiesMAHBarrier23[Column2],0)),"")</f>
        <v/>
      </c>
      <c r="W301" t="str">
        <f ca="1">IF($T301&lt;=AA$4,INDEX(TypicalCriticalitiesMAHBarrier23[Typical Criticality],MATCH($T301,TypicalCriticalitiesMAHBarrier23[Column2],0)),"")</f>
        <v/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577</v>
      </c>
      <c r="O302" t="s">
        <v>578</v>
      </c>
      <c r="P302" t="s">
        <v>589</v>
      </c>
      <c r="Q302" t="s">
        <v>1</v>
      </c>
      <c r="R302">
        <f t="shared" si="13"/>
        <v>53</v>
      </c>
      <c r="S302">
        <f t="shared" ca="1" si="14"/>
        <v>1</v>
      </c>
      <c r="T302">
        <f t="shared" si="15"/>
        <v>299</v>
      </c>
      <c r="U302" t="str">
        <f>IF($T302&lt;=Z$4,INDEX(TypicalCriticalitiesMAHBarrier23[Barrier Family Description],MATCH($T302,TypicalCriticalitiesMAHBarrier23[Barrier Family ID],0)),"")</f>
        <v/>
      </c>
      <c r="V302" t="str">
        <f ca="1">IF($T302&lt;=AA$4,INDEX(TypicalCriticalitiesMAHBarrier23[Typical Components],MATCH($T302,TypicalCriticalitiesMAHBarrier23[Column2],0)),"")</f>
        <v/>
      </c>
      <c r="W302" t="str">
        <f ca="1">IF($T302&lt;=AA$4,INDEX(TypicalCriticalitiesMAHBarrier23[Typical Criticality],MATCH($T302,TypicalCriticalitiesMAHBarrier23[Column2],0)),"")</f>
        <v/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577</v>
      </c>
      <c r="O303" t="s">
        <v>578</v>
      </c>
      <c r="P303" t="s">
        <v>590</v>
      </c>
      <c r="Q303" t="s">
        <v>1</v>
      </c>
      <c r="R303">
        <f t="shared" si="13"/>
        <v>53</v>
      </c>
      <c r="S303">
        <f t="shared" ca="1" si="14"/>
        <v>1</v>
      </c>
      <c r="T303">
        <f t="shared" si="15"/>
        <v>300</v>
      </c>
      <c r="U303" t="str">
        <f>IF($T303&lt;=Z$4,INDEX(TypicalCriticalitiesMAHBarrier23[Barrier Family Description],MATCH($T303,TypicalCriticalitiesMAHBarrier23[Barrier Family ID],0)),"")</f>
        <v/>
      </c>
      <c r="V303" t="str">
        <f ca="1">IF($T303&lt;=AA$4,INDEX(TypicalCriticalitiesMAHBarrier23[Typical Components],MATCH($T303,TypicalCriticalitiesMAHBarrier23[Column2],0)),"")</f>
        <v/>
      </c>
      <c r="W303" t="str">
        <f ca="1">IF($T303&lt;=AA$4,INDEX(TypicalCriticalitiesMAHBarrier23[Typical Criticality],MATCH($T303,TypicalCriticalitiesMAHBarrier23[Column2],0)),"")</f>
        <v/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577</v>
      </c>
      <c r="O304" t="s">
        <v>578</v>
      </c>
      <c r="P304" t="s">
        <v>591</v>
      </c>
      <c r="Q304" t="s">
        <v>0</v>
      </c>
      <c r="R304">
        <f t="shared" si="13"/>
        <v>53</v>
      </c>
      <c r="S304">
        <f t="shared" ca="1" si="14"/>
        <v>1</v>
      </c>
      <c r="T304">
        <f t="shared" si="15"/>
        <v>301</v>
      </c>
      <c r="U304" t="str">
        <f>IF($T304&lt;=Z$4,INDEX(TypicalCriticalitiesMAHBarrier23[Barrier Family Description],MATCH($T304,TypicalCriticalitiesMAHBarrier23[Barrier Family ID],0)),"")</f>
        <v/>
      </c>
      <c r="V304" t="str">
        <f ca="1">IF($T304&lt;=AA$4,INDEX(TypicalCriticalitiesMAHBarrier23[Typical Components],MATCH($T304,TypicalCriticalitiesMAHBarrier23[Column2],0)),"")</f>
        <v/>
      </c>
      <c r="W304" t="str">
        <f ca="1">IF($T304&lt;=AA$4,INDEX(TypicalCriticalitiesMAHBarrier23[Typical Criticality],MATCH($T304,TypicalCriticalitiesMAHBarrier23[Column2],0)),"")</f>
        <v/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592</v>
      </c>
      <c r="O305" t="s">
        <v>593</v>
      </c>
      <c r="P305" t="s">
        <v>594</v>
      </c>
      <c r="Q305" t="s">
        <v>1</v>
      </c>
      <c r="R305">
        <f t="shared" si="13"/>
        <v>54</v>
      </c>
      <c r="S305">
        <f t="shared" ca="1" si="14"/>
        <v>1</v>
      </c>
      <c r="T305">
        <f t="shared" si="15"/>
        <v>302</v>
      </c>
      <c r="U305" t="str">
        <f>IF($T305&lt;=Z$4,INDEX(TypicalCriticalitiesMAHBarrier23[Barrier Family Description],MATCH($T305,TypicalCriticalitiesMAHBarrier23[Barrier Family ID],0)),"")</f>
        <v/>
      </c>
      <c r="V305" t="str">
        <f ca="1">IF($T305&lt;=AA$4,INDEX(TypicalCriticalitiesMAHBarrier23[Typical Components],MATCH($T305,TypicalCriticalitiesMAHBarrier23[Column2],0)),"")</f>
        <v/>
      </c>
      <c r="W305" t="str">
        <f ca="1">IF($T305&lt;=AA$4,INDEX(TypicalCriticalitiesMAHBarrier23[Typical Criticality],MATCH($T305,TypicalCriticalitiesMAHBarrier23[Column2],0)),"")</f>
        <v/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592</v>
      </c>
      <c r="O306" t="s">
        <v>593</v>
      </c>
      <c r="P306" t="s">
        <v>595</v>
      </c>
      <c r="Q306" t="s">
        <v>1</v>
      </c>
      <c r="R306">
        <f t="shared" si="13"/>
        <v>54</v>
      </c>
      <c r="S306">
        <f t="shared" ca="1" si="14"/>
        <v>1</v>
      </c>
      <c r="T306">
        <f t="shared" si="15"/>
        <v>303</v>
      </c>
      <c r="U306" t="str">
        <f>IF($T306&lt;=Z$4,INDEX(TypicalCriticalitiesMAHBarrier23[Barrier Family Description],MATCH($T306,TypicalCriticalitiesMAHBarrier23[Barrier Family ID],0)),"")</f>
        <v/>
      </c>
      <c r="V306" t="str">
        <f ca="1">IF($T306&lt;=AA$4,INDEX(TypicalCriticalitiesMAHBarrier23[Typical Components],MATCH($T306,TypicalCriticalitiesMAHBarrier23[Column2],0)),"")</f>
        <v/>
      </c>
      <c r="W306" t="str">
        <f ca="1">IF($T306&lt;=AA$4,INDEX(TypicalCriticalitiesMAHBarrier23[Typical Criticality],MATCH($T306,TypicalCriticalitiesMAHBarrier23[Column2],0)),"")</f>
        <v/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592</v>
      </c>
      <c r="O307" t="s">
        <v>593</v>
      </c>
      <c r="P307" t="s">
        <v>596</v>
      </c>
      <c r="Q307" t="s">
        <v>1</v>
      </c>
      <c r="R307">
        <f t="shared" si="13"/>
        <v>54</v>
      </c>
      <c r="S307">
        <f t="shared" ca="1" si="14"/>
        <v>1</v>
      </c>
      <c r="T307">
        <f t="shared" si="15"/>
        <v>304</v>
      </c>
      <c r="U307" t="str">
        <f>IF($T307&lt;=Z$4,INDEX(TypicalCriticalitiesMAHBarrier23[Barrier Family Description],MATCH($T307,TypicalCriticalitiesMAHBarrier23[Barrier Family ID],0)),"")</f>
        <v/>
      </c>
      <c r="V307" t="str">
        <f ca="1">IF($T307&lt;=AA$4,INDEX(TypicalCriticalitiesMAHBarrier23[Typical Components],MATCH($T307,TypicalCriticalitiesMAHBarrier23[Column2],0)),"")</f>
        <v/>
      </c>
      <c r="W307" t="str">
        <f ca="1">IF($T307&lt;=AA$4,INDEX(TypicalCriticalitiesMAHBarrier23[Typical Criticality],MATCH($T307,TypicalCriticalitiesMAHBarrier23[Column2],0)),"")</f>
        <v/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592</v>
      </c>
      <c r="O308" t="s">
        <v>593</v>
      </c>
      <c r="P308" t="s">
        <v>597</v>
      </c>
      <c r="Q308" t="s">
        <v>0</v>
      </c>
      <c r="R308">
        <f t="shared" si="13"/>
        <v>54</v>
      </c>
      <c r="S308">
        <f t="shared" ca="1" si="14"/>
        <v>1</v>
      </c>
      <c r="T308">
        <f t="shared" si="15"/>
        <v>305</v>
      </c>
      <c r="U308" t="str">
        <f>IF($T308&lt;=Z$4,INDEX(TypicalCriticalitiesMAHBarrier23[Barrier Family Description],MATCH($T308,TypicalCriticalitiesMAHBarrier23[Barrier Family ID],0)),"")</f>
        <v/>
      </c>
      <c r="V308" t="str">
        <f ca="1">IF($T308&lt;=AA$4,INDEX(TypicalCriticalitiesMAHBarrier23[Typical Components],MATCH($T308,TypicalCriticalitiesMAHBarrier23[Column2],0)),"")</f>
        <v/>
      </c>
      <c r="W308" t="str">
        <f ca="1">IF($T308&lt;=AA$4,INDEX(TypicalCriticalitiesMAHBarrier23[Typical Criticality],MATCH($T308,TypicalCriticalitiesMAHBarrier23[Column2],0)),"")</f>
        <v/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592</v>
      </c>
      <c r="O309" t="s">
        <v>593</v>
      </c>
      <c r="P309" t="s">
        <v>598</v>
      </c>
      <c r="Q309" t="s">
        <v>1</v>
      </c>
      <c r="R309">
        <f t="shared" si="13"/>
        <v>54</v>
      </c>
      <c r="S309">
        <f t="shared" ca="1" si="14"/>
        <v>1</v>
      </c>
      <c r="T309">
        <f t="shared" si="15"/>
        <v>306</v>
      </c>
      <c r="U309" t="str">
        <f>IF($T309&lt;=Z$4,INDEX(TypicalCriticalitiesMAHBarrier23[Barrier Family Description],MATCH($T309,TypicalCriticalitiesMAHBarrier23[Barrier Family ID],0)),"")</f>
        <v/>
      </c>
      <c r="V309" t="str">
        <f ca="1">IF($T309&lt;=AA$4,INDEX(TypicalCriticalitiesMAHBarrier23[Typical Components],MATCH($T309,TypicalCriticalitiesMAHBarrier23[Column2],0)),"")</f>
        <v/>
      </c>
      <c r="W309" t="str">
        <f ca="1">IF($T309&lt;=AA$4,INDEX(TypicalCriticalitiesMAHBarrier23[Typical Criticality],MATCH($T309,TypicalCriticalitiesMAHBarrier23[Column2],0)),"")</f>
        <v/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/>
  <mergeCells count="6">
    <mergeCell ref="A14:F14"/>
    <mergeCell ref="A6:D6"/>
    <mergeCell ref="I7:K9"/>
    <mergeCell ref="A5:D5"/>
    <mergeCell ref="F5:G5"/>
    <mergeCell ref="H5:K5"/>
  </mergeCells>
  <conditionalFormatting sqref="G6">
    <cfRule type="containsText" dxfId="1" priority="1" operator="containsText" text="YES">
      <formula>NOT(ISERROR(SEARCH("YES",G6)))</formula>
    </cfRule>
  </conditionalFormatting>
  <conditionalFormatting sqref="I7">
    <cfRule type="expression" dxfId="0" priority="2">
      <formula>NOT(K6)</formula>
    </cfRule>
  </conditionalFormatting>
  <dataValidations disablePrompts="1"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9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B9:B12 C9:D12" calculatedColumn="1"/>
  </ignoredErrors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'https://addenergygroup-my.sharepoint.com/personal/douglas_crooke_addenergy_no/Documents/CriticalityVBA/[WND Criticality Template.xlsx]DataTables'!#REF!</xm:f>
          </x14:formula1>
          <xm:sqref>C16:C19 C22:C24 C34:C38 C28:C31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TestDefaultCriticalities</vt:lpstr>
      <vt:lpstr>TestFailureCodeTemplate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2017-09-15T11:58:25Z</dcterms:modified>
</cp:coreProperties>
</file>