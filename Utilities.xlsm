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2090" yWindow="0" windowWidth="20490" windowHeight="8115" firstSheet="3" activeTab="8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10" r:id="rId9"/>
  </sheets>
  <functionGroups builtInGroupCount="18"/>
  <externalReferences>
    <externalReference r:id="rId10"/>
    <externalReference r:id="rId11"/>
  </externalReferences>
  <definedNames>
    <definedName name="BarrierFamilies" localSheetId="8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8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3" i="10"/>
  <c r="O202" i="10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B10" i="10" s="1"/>
  <c r="D22" i="10"/>
  <c r="E19" i="10"/>
  <c r="D19" i="10"/>
  <c r="E18" i="10"/>
  <c r="D18" i="10"/>
  <c r="K17" i="10"/>
  <c r="E17" i="10"/>
  <c r="D17" i="10"/>
  <c r="E16" i="10"/>
  <c r="B9" i="10" s="1"/>
  <c r="G9" i="10" s="1"/>
  <c r="D16" i="10"/>
  <c r="R6" i="10"/>
  <c r="R7" i="10" s="1"/>
  <c r="R5" i="10"/>
  <c r="T4" i="10"/>
  <c r="B12" i="10" l="1"/>
  <c r="D12" i="10" s="1" a="1"/>
  <c r="D12" i="10" s="1"/>
  <c r="G5" i="10"/>
  <c r="C9" i="10" a="1"/>
  <c r="C9" i="10" s="1"/>
  <c r="D9" i="10" a="1"/>
  <c r="D9" i="10" s="1"/>
  <c r="R8" i="10"/>
  <c r="T5" i="10"/>
  <c r="G10" i="10"/>
  <c r="C10" i="10" a="1"/>
  <c r="C10" i="10" s="1"/>
  <c r="B11" i="10"/>
  <c r="D10" i="10" a="1"/>
  <c r="D10" i="10" s="1"/>
  <c r="O204" i="10"/>
  <c r="C12" i="10" l="1" a="1"/>
  <c r="C12" i="10" s="1"/>
  <c r="J36" i="10" s="1"/>
  <c r="K36" i="10" s="1"/>
  <c r="G12" i="10"/>
  <c r="J30" i="10"/>
  <c r="J31" i="10"/>
  <c r="K31" i="10" s="1"/>
  <c r="J29" i="10"/>
  <c r="K29" i="10" s="1"/>
  <c r="C11" i="10" a="1"/>
  <c r="C11" i="10" s="1"/>
  <c r="G11" i="10"/>
  <c r="D11" i="10" a="1"/>
  <c r="D11" i="10" s="1"/>
  <c r="T6" i="10"/>
  <c r="R9" i="10"/>
  <c r="O205" i="10"/>
  <c r="G7" i="10" l="1"/>
  <c r="K30" i="10"/>
  <c r="K10" i="10" s="1"/>
  <c r="T7" i="10"/>
  <c r="O206" i="10"/>
  <c r="R10" i="10"/>
  <c r="R11" i="10" l="1"/>
  <c r="K1" i="10"/>
  <c r="K6" i="10" s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l="1"/>
  <c r="T214" i="10"/>
  <c r="T215" i="10" l="1"/>
  <c r="R218" i="10"/>
  <c r="R219" i="10" l="1"/>
  <c r="T216" i="10"/>
  <c r="R220" i="10" l="1"/>
  <c r="T217" i="10"/>
  <c r="T218" i="10" l="1"/>
  <c r="R221" i="10"/>
  <c r="T219" i="10" l="1"/>
  <c r="R222" i="10"/>
  <c r="R223" i="10" l="1"/>
  <c r="T220" i="10"/>
  <c r="T221" i="10" l="1"/>
  <c r="R224" i="10"/>
  <c r="R225" i="10" l="1"/>
  <c r="T222" i="10"/>
  <c r="T223" i="10" l="1"/>
  <c r="R226" i="10"/>
  <c r="R227" i="10" l="1"/>
  <c r="T224" i="10"/>
  <c r="T225" i="10" l="1"/>
  <c r="R228" i="10"/>
  <c r="R229" i="10" l="1"/>
  <c r="T226" i="10"/>
  <c r="T227" i="10" l="1"/>
  <c r="R230" i="10"/>
  <c r="R231" i="10" l="1"/>
  <c r="T228" i="10"/>
  <c r="T229" i="10" l="1"/>
  <c r="R232" i="10"/>
  <c r="R233" i="10" l="1"/>
  <c r="T230" i="10"/>
  <c r="T231" i="10" l="1"/>
  <c r="R234" i="10"/>
  <c r="R235" i="10" l="1"/>
  <c r="T232" i="10"/>
  <c r="R236" i="10" l="1"/>
  <c r="T233" i="10"/>
  <c r="T234" i="10" l="1"/>
  <c r="R237" i="10"/>
  <c r="T235" i="10" l="1"/>
  <c r="R238" i="10"/>
  <c r="R239" i="10" l="1"/>
  <c r="T236" i="10"/>
  <c r="T237" i="10" l="1"/>
  <c r="R240" i="10"/>
  <c r="R241" i="10" l="1"/>
  <c r="T238" i="10"/>
  <c r="T239" i="10" l="1"/>
  <c r="R242" i="10"/>
  <c r="R243" i="10" l="1"/>
  <c r="T240" i="10"/>
  <c r="T241" i="10" l="1"/>
  <c r="R244" i="10"/>
  <c r="R245" i="10" l="1"/>
  <c r="T242" i="10"/>
  <c r="T243" i="10" l="1"/>
  <c r="R246" i="10"/>
  <c r="R247" i="10" l="1"/>
  <c r="T244" i="10"/>
  <c r="T245" i="10" l="1"/>
  <c r="R248" i="10"/>
  <c r="R249" i="10" l="1"/>
  <c r="T246" i="10"/>
  <c r="T247" i="10" l="1"/>
  <c r="R250" i="10"/>
  <c r="R251" i="10" l="1"/>
  <c r="T248" i="10"/>
  <c r="T249" i="10" l="1"/>
  <c r="R252" i="10"/>
  <c r="R253" i="10" l="1"/>
  <c r="T250" i="10"/>
  <c r="T251" i="10" l="1"/>
  <c r="R254" i="10"/>
  <c r="T252" i="10" l="1"/>
  <c r="R255" i="10"/>
  <c r="T253" i="10" l="1"/>
  <c r="R256" i="10"/>
  <c r="T254" i="10" l="1"/>
  <c r="R257" i="10"/>
  <c r="T255" i="10" l="1"/>
  <c r="R258" i="10"/>
  <c r="T256" i="10" l="1"/>
  <c r="R259" i="10"/>
  <c r="T257" i="10" l="1"/>
  <c r="R260" i="10"/>
  <c r="R261" i="10" l="1"/>
  <c r="T258" i="10"/>
  <c r="R262" i="10" l="1"/>
  <c r="T259" i="10"/>
  <c r="T260" i="10" l="1"/>
  <c r="R263" i="10"/>
  <c r="T261" i="10" l="1"/>
  <c r="R264" i="10"/>
  <c r="T262" i="10" l="1"/>
  <c r="R265" i="10"/>
  <c r="T263" i="10" l="1"/>
  <c r="R266" i="10"/>
  <c r="T264" i="10" l="1"/>
  <c r="R267" i="10"/>
  <c r="T265" i="10" l="1"/>
  <c r="R268" i="10"/>
  <c r="R269" i="10" l="1"/>
  <c r="T266" i="10"/>
  <c r="T267" i="10" l="1"/>
  <c r="R270" i="10"/>
  <c r="T268" i="10" l="1"/>
  <c r="R271" i="10"/>
  <c r="T269" i="10" l="1"/>
  <c r="R272" i="10"/>
  <c r="T270" i="10" l="1"/>
  <c r="R273" i="10"/>
  <c r="T271" i="10" l="1"/>
  <c r="R274" i="10"/>
  <c r="T272" i="10" l="1"/>
  <c r="R275" i="10"/>
  <c r="T273" i="10" l="1"/>
  <c r="R276" i="10"/>
  <c r="T274" i="10" l="1"/>
  <c r="R277" i="10"/>
  <c r="T275" i="10" l="1"/>
  <c r="R278" i="10"/>
  <c r="T276" i="10" l="1"/>
  <c r="R279" i="10"/>
  <c r="T277" i="10" l="1"/>
  <c r="R280" i="10"/>
  <c r="R281" i="10" l="1"/>
  <c r="T278" i="10"/>
  <c r="T279" i="10" l="1"/>
  <c r="R282" i="10"/>
  <c r="T280" i="10" l="1"/>
  <c r="R283" i="10"/>
  <c r="T281" i="10" l="1"/>
  <c r="R284" i="10"/>
  <c r="R285" i="10" l="1"/>
  <c r="T282" i="10"/>
  <c r="T283" i="10" l="1"/>
  <c r="R286" i="10"/>
  <c r="T284" i="10" l="1"/>
  <c r="R287" i="10"/>
  <c r="T285" i="10" l="1"/>
  <c r="R288" i="10"/>
  <c r="T286" i="10" l="1"/>
  <c r="R289" i="10"/>
  <c r="T287" i="10" l="1"/>
  <c r="R290" i="10"/>
  <c r="T288" i="10" l="1"/>
  <c r="R291" i="10"/>
  <c r="T289" i="10" l="1"/>
  <c r="R292" i="10"/>
  <c r="T290" i="10" l="1"/>
  <c r="R293" i="10"/>
  <c r="T291" i="10" l="1"/>
  <c r="R294" i="10"/>
  <c r="T292" i="10" l="1"/>
  <c r="R295" i="10"/>
  <c r="T293" i="10" l="1"/>
  <c r="R296" i="10"/>
  <c r="T294" i="10" l="1"/>
  <c r="R297" i="10"/>
  <c r="T295" i="10" l="1"/>
  <c r="R298" i="10"/>
  <c r="T296" i="10" l="1"/>
  <c r="R299" i="10"/>
  <c r="T297" i="10" l="1"/>
  <c r="R300" i="10"/>
  <c r="R301" i="10" l="1"/>
  <c r="T298" i="10"/>
  <c r="T299" i="10" l="1"/>
  <c r="R302" i="10"/>
  <c r="T300" i="10" l="1"/>
  <c r="R303" i="10"/>
  <c r="T301" i="10" l="1"/>
  <c r="R304" i="10"/>
  <c r="T302" i="10" l="1"/>
  <c r="R305" i="10"/>
  <c r="T303" i="10" l="1"/>
  <c r="Z4" i="10"/>
  <c r="T304" i="10" l="1"/>
  <c r="U303" i="10"/>
  <c r="Z8" i="10"/>
  <c r="U4" i="10"/>
  <c r="Z5" i="10" s="1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S5" i="10" l="1"/>
  <c r="AA4" i="10" s="1"/>
  <c r="W304" i="10" s="1"/>
  <c r="S7" i="10"/>
  <c r="S6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U304" i="10"/>
  <c r="T305" i="10"/>
  <c r="V304" i="10" l="1"/>
  <c r="W305" i="10"/>
  <c r="V305" i="10"/>
  <c r="U305" i="10"/>
  <c r="AA8" i="10"/>
  <c r="W4" i="10"/>
  <c r="V4" i="10"/>
  <c r="W5" i="10"/>
  <c r="V5" i="10"/>
  <c r="W6" i="10"/>
  <c r="V6" i="10"/>
  <c r="V7" i="10"/>
  <c r="W7" i="10"/>
  <c r="V8" i="10"/>
  <c r="W8" i="10"/>
  <c r="W9" i="10"/>
  <c r="V9" i="10"/>
  <c r="W10" i="10"/>
  <c r="V10" i="10"/>
  <c r="V11" i="10"/>
  <c r="W11" i="10"/>
  <c r="W12" i="10"/>
  <c r="V12" i="10"/>
  <c r="V13" i="10"/>
  <c r="W13" i="10"/>
  <c r="W14" i="10"/>
  <c r="V14" i="10"/>
  <c r="W15" i="10"/>
  <c r="V15" i="10"/>
  <c r="W16" i="10"/>
  <c r="V16" i="10"/>
  <c r="V17" i="10"/>
  <c r="W17" i="10"/>
  <c r="V18" i="10"/>
  <c r="W18" i="10"/>
  <c r="V19" i="10"/>
  <c r="W19" i="10"/>
  <c r="V20" i="10"/>
  <c r="W20" i="10"/>
  <c r="V21" i="10"/>
  <c r="W21" i="10"/>
  <c r="V22" i="10"/>
  <c r="W22" i="10"/>
  <c r="V23" i="10"/>
  <c r="W23" i="10"/>
  <c r="V24" i="10"/>
  <c r="W24" i="10"/>
  <c r="W25" i="10"/>
  <c r="V25" i="10"/>
  <c r="V26" i="10"/>
  <c r="W26" i="10"/>
  <c r="V27" i="10"/>
  <c r="W27" i="10"/>
  <c r="W28" i="10"/>
  <c r="V28" i="10"/>
  <c r="W29" i="10"/>
  <c r="V29" i="10"/>
  <c r="V30" i="10"/>
  <c r="W30" i="10"/>
  <c r="V31" i="10"/>
  <c r="W31" i="10"/>
  <c r="V32" i="10"/>
  <c r="W32" i="10"/>
  <c r="V33" i="10"/>
  <c r="W33" i="10"/>
  <c r="V34" i="10"/>
  <c r="W34" i="10"/>
  <c r="W35" i="10"/>
  <c r="V35" i="10"/>
  <c r="W36" i="10"/>
  <c r="V36" i="10"/>
  <c r="W37" i="10"/>
  <c r="V37" i="10"/>
  <c r="W38" i="10"/>
  <c r="V38" i="10"/>
  <c r="W39" i="10"/>
  <c r="V39" i="10"/>
  <c r="W40" i="10"/>
  <c r="V40" i="10"/>
  <c r="V41" i="10"/>
  <c r="W41" i="10"/>
  <c r="W42" i="10"/>
  <c r="V42" i="10"/>
  <c r="V43" i="10"/>
  <c r="W43" i="10"/>
  <c r="V44" i="10"/>
  <c r="W44" i="10"/>
  <c r="V45" i="10"/>
  <c r="W45" i="10"/>
  <c r="V46" i="10"/>
  <c r="W46" i="10"/>
  <c r="W47" i="10"/>
  <c r="V47" i="10"/>
  <c r="W48" i="10"/>
  <c r="V48" i="10"/>
  <c r="V49" i="10"/>
  <c r="W49" i="10"/>
  <c r="W50" i="10"/>
  <c r="V50" i="10"/>
  <c r="W51" i="10"/>
  <c r="V51" i="10"/>
  <c r="V52" i="10"/>
  <c r="W52" i="10"/>
  <c r="W53" i="10"/>
  <c r="V53" i="10"/>
  <c r="W54" i="10"/>
  <c r="V54" i="10"/>
  <c r="W55" i="10"/>
  <c r="V55" i="10"/>
  <c r="W56" i="10"/>
  <c r="V56" i="10"/>
  <c r="V57" i="10"/>
  <c r="W57" i="10"/>
  <c r="V58" i="10"/>
  <c r="W58" i="10"/>
  <c r="V59" i="10"/>
  <c r="W59" i="10"/>
  <c r="W60" i="10"/>
  <c r="V60" i="10"/>
  <c r="V61" i="10"/>
  <c r="W61" i="10"/>
  <c r="W62" i="10"/>
  <c r="V62" i="10"/>
  <c r="W63" i="10"/>
  <c r="V63" i="10"/>
  <c r="W64" i="10"/>
  <c r="V64" i="10"/>
  <c r="V65" i="10"/>
  <c r="W65" i="10"/>
  <c r="W66" i="10"/>
  <c r="V66" i="10"/>
  <c r="W67" i="10"/>
  <c r="V67" i="10"/>
  <c r="W68" i="10"/>
  <c r="V68" i="10"/>
  <c r="W69" i="10"/>
  <c r="V69" i="10"/>
  <c r="W70" i="10"/>
  <c r="V70" i="10"/>
  <c r="W71" i="10"/>
  <c r="V71" i="10"/>
  <c r="W72" i="10"/>
  <c r="V72" i="10"/>
  <c r="V73" i="10"/>
  <c r="W73" i="10"/>
  <c r="W74" i="10"/>
  <c r="V74" i="10"/>
  <c r="V75" i="10"/>
  <c r="W75" i="10"/>
  <c r="V76" i="10"/>
  <c r="W76" i="10"/>
  <c r="W77" i="10"/>
  <c r="V77" i="10"/>
  <c r="W78" i="10"/>
  <c r="V78" i="10"/>
  <c r="W79" i="10"/>
  <c r="V79" i="10"/>
  <c r="W80" i="10"/>
  <c r="V80" i="10"/>
  <c r="V81" i="10"/>
  <c r="W81" i="10"/>
  <c r="W82" i="10"/>
  <c r="V82" i="10"/>
  <c r="W83" i="10"/>
  <c r="V83" i="10"/>
  <c r="V84" i="10"/>
  <c r="W84" i="10"/>
  <c r="W85" i="10"/>
  <c r="V85" i="10"/>
  <c r="W86" i="10"/>
  <c r="V86" i="10"/>
  <c r="W87" i="10"/>
  <c r="V87" i="10"/>
  <c r="W88" i="10"/>
  <c r="V88" i="10"/>
  <c r="V89" i="10"/>
  <c r="W89" i="10"/>
  <c r="W90" i="10"/>
  <c r="V90" i="10"/>
  <c r="W91" i="10"/>
  <c r="V91" i="10"/>
  <c r="V92" i="10"/>
  <c r="W92" i="10"/>
  <c r="W93" i="10"/>
  <c r="V93" i="10"/>
  <c r="W94" i="10"/>
  <c r="V94" i="10"/>
  <c r="W95" i="10"/>
  <c r="V95" i="10"/>
  <c r="W96" i="10"/>
  <c r="V96" i="10"/>
  <c r="V97" i="10"/>
  <c r="W97" i="10"/>
  <c r="W98" i="10"/>
  <c r="V98" i="10"/>
  <c r="W99" i="10"/>
  <c r="V99" i="10"/>
  <c r="V100" i="10"/>
  <c r="W100" i="10"/>
  <c r="W101" i="10"/>
  <c r="V101" i="10"/>
  <c r="W102" i="10"/>
  <c r="V102" i="10"/>
  <c r="V103" i="10"/>
  <c r="W103" i="10"/>
  <c r="W104" i="10"/>
  <c r="V104" i="10"/>
  <c r="W105" i="10"/>
  <c r="V105" i="10"/>
  <c r="W106" i="10"/>
  <c r="V106" i="10"/>
  <c r="W107" i="10"/>
  <c r="V107" i="10"/>
  <c r="W108" i="10"/>
  <c r="V108" i="10"/>
  <c r="W109" i="10"/>
  <c r="V109" i="10"/>
  <c r="V110" i="10"/>
  <c r="W110" i="10"/>
  <c r="W111" i="10"/>
  <c r="V111" i="10"/>
  <c r="W112" i="10"/>
  <c r="V112" i="10"/>
  <c r="V113" i="10"/>
  <c r="W113" i="10"/>
  <c r="W114" i="10"/>
  <c r="V114" i="10"/>
  <c r="W115" i="10"/>
  <c r="V115" i="10"/>
  <c r="V116" i="10"/>
  <c r="W116" i="10"/>
  <c r="V117" i="10"/>
  <c r="W117" i="10"/>
  <c r="V118" i="10"/>
  <c r="W118" i="10"/>
  <c r="W119" i="10"/>
  <c r="V119" i="10"/>
  <c r="V120" i="10"/>
  <c r="W120" i="10"/>
  <c r="W121" i="10"/>
  <c r="V121" i="10"/>
  <c r="V122" i="10"/>
  <c r="W122" i="10"/>
  <c r="V123" i="10"/>
  <c r="W123" i="10"/>
  <c r="W124" i="10"/>
  <c r="V124" i="10"/>
  <c r="V125" i="10"/>
  <c r="W125" i="10"/>
  <c r="V126" i="10"/>
  <c r="W126" i="10"/>
  <c r="W127" i="10"/>
  <c r="V127" i="10"/>
  <c r="V128" i="10"/>
  <c r="W128" i="10"/>
  <c r="V129" i="10"/>
  <c r="W129" i="10"/>
  <c r="W130" i="10"/>
  <c r="V130" i="10"/>
  <c r="W131" i="10"/>
  <c r="V131" i="10"/>
  <c r="V132" i="10"/>
  <c r="W132" i="10"/>
  <c r="W133" i="10"/>
  <c r="V133" i="10"/>
  <c r="V134" i="10"/>
  <c r="W134" i="10"/>
  <c r="W135" i="10"/>
  <c r="V135" i="10"/>
  <c r="V136" i="10"/>
  <c r="W136" i="10"/>
  <c r="V137" i="10"/>
  <c r="W137" i="10"/>
  <c r="W138" i="10"/>
  <c r="V138" i="10"/>
  <c r="W139" i="10"/>
  <c r="V139" i="10"/>
  <c r="V140" i="10"/>
  <c r="W140" i="10"/>
  <c r="W141" i="10"/>
  <c r="V141" i="10"/>
  <c r="W142" i="10"/>
  <c r="V142" i="10"/>
  <c r="W143" i="10"/>
  <c r="V143" i="10"/>
  <c r="V144" i="10"/>
  <c r="W144" i="10"/>
  <c r="W145" i="10"/>
  <c r="V145" i="10"/>
  <c r="W146" i="10"/>
  <c r="V146" i="10"/>
  <c r="W147" i="10"/>
  <c r="V147" i="10"/>
  <c r="W148" i="10"/>
  <c r="V148" i="10"/>
  <c r="W149" i="10"/>
  <c r="V149" i="10"/>
  <c r="W150" i="10"/>
  <c r="V150" i="10"/>
  <c r="W151" i="10"/>
  <c r="V151" i="10"/>
  <c r="W152" i="10"/>
  <c r="V152" i="10"/>
  <c r="V153" i="10"/>
  <c r="W153" i="10"/>
  <c r="V154" i="10"/>
  <c r="W154" i="10"/>
  <c r="V155" i="10"/>
  <c r="W155" i="10"/>
  <c r="V156" i="10"/>
  <c r="W156" i="10"/>
  <c r="V157" i="10"/>
  <c r="W157" i="10"/>
  <c r="W158" i="10"/>
  <c r="V158" i="10"/>
  <c r="V159" i="10"/>
  <c r="W159" i="10"/>
  <c r="W160" i="10"/>
  <c r="V160" i="10"/>
  <c r="V161" i="10"/>
  <c r="W161" i="10"/>
  <c r="W162" i="10"/>
  <c r="V162" i="10"/>
  <c r="V163" i="10"/>
  <c r="W163" i="10"/>
  <c r="W164" i="10"/>
  <c r="V164" i="10"/>
  <c r="V165" i="10"/>
  <c r="W165" i="10"/>
  <c r="V166" i="10"/>
  <c r="W166" i="10"/>
  <c r="V167" i="10"/>
  <c r="W167" i="10"/>
  <c r="W168" i="10"/>
  <c r="V168" i="10"/>
  <c r="W169" i="10"/>
  <c r="V169" i="10"/>
  <c r="V170" i="10"/>
  <c r="W170" i="10"/>
  <c r="W171" i="10"/>
  <c r="V171" i="10"/>
  <c r="V172" i="10"/>
  <c r="W172" i="10"/>
  <c r="V173" i="10"/>
  <c r="W173" i="10"/>
  <c r="V174" i="10"/>
  <c r="W174" i="10"/>
  <c r="V175" i="10"/>
  <c r="W175" i="10"/>
  <c r="W176" i="10"/>
  <c r="V176" i="10"/>
  <c r="V177" i="10"/>
  <c r="W177" i="10"/>
  <c r="W178" i="10"/>
  <c r="V178" i="10"/>
  <c r="V179" i="10"/>
  <c r="W179" i="10"/>
  <c r="V180" i="10"/>
  <c r="W180" i="10"/>
  <c r="V181" i="10"/>
  <c r="W181" i="10"/>
  <c r="V182" i="10"/>
  <c r="W182" i="10"/>
  <c r="W183" i="10"/>
  <c r="V183" i="10"/>
  <c r="V184" i="10"/>
  <c r="W184" i="10"/>
  <c r="W185" i="10"/>
  <c r="V185" i="10"/>
  <c r="W186" i="10"/>
  <c r="V186" i="10"/>
  <c r="W187" i="10"/>
  <c r="V187" i="10"/>
  <c r="V188" i="10"/>
  <c r="W188" i="10"/>
  <c r="V189" i="10"/>
  <c r="W189" i="10"/>
  <c r="V190" i="10"/>
  <c r="W190" i="10"/>
  <c r="V191" i="10"/>
  <c r="W191" i="10"/>
  <c r="W192" i="10"/>
  <c r="V192" i="10"/>
  <c r="V193" i="10"/>
  <c r="W193" i="10"/>
  <c r="W194" i="10"/>
  <c r="V194" i="10"/>
  <c r="W195" i="10"/>
  <c r="V195" i="10"/>
  <c r="V196" i="10"/>
  <c r="W196" i="10"/>
  <c r="W197" i="10"/>
  <c r="V197" i="10"/>
  <c r="V198" i="10"/>
  <c r="W198" i="10"/>
  <c r="V199" i="10"/>
  <c r="W199" i="10"/>
  <c r="V200" i="10"/>
  <c r="W200" i="10"/>
  <c r="W201" i="10"/>
  <c r="V201" i="10"/>
  <c r="V202" i="10"/>
  <c r="W202" i="10"/>
  <c r="V203" i="10"/>
  <c r="W203" i="10"/>
  <c r="W204" i="10"/>
  <c r="V204" i="10"/>
  <c r="W205" i="10"/>
  <c r="V205" i="10"/>
  <c r="V206" i="10"/>
  <c r="W206" i="10"/>
  <c r="V207" i="10"/>
  <c r="W207" i="10"/>
  <c r="W208" i="10"/>
  <c r="V208" i="10"/>
  <c r="V209" i="10"/>
  <c r="W209" i="10"/>
  <c r="W210" i="10"/>
  <c r="V210" i="10"/>
  <c r="W211" i="10"/>
  <c r="V211" i="10"/>
  <c r="V212" i="10"/>
  <c r="W212" i="10"/>
  <c r="V213" i="10"/>
  <c r="W213" i="10"/>
  <c r="V214" i="10"/>
  <c r="W214" i="10"/>
  <c r="W215" i="10"/>
  <c r="V215" i="10"/>
  <c r="W216" i="10"/>
  <c r="V216" i="10"/>
  <c r="V217" i="10"/>
  <c r="W217" i="10"/>
  <c r="V218" i="10"/>
  <c r="W218" i="10"/>
  <c r="W219" i="10"/>
  <c r="V219" i="10"/>
  <c r="V220" i="10"/>
  <c r="W220" i="10"/>
  <c r="W221" i="10"/>
  <c r="V221" i="10"/>
  <c r="V222" i="10"/>
  <c r="W222" i="10"/>
  <c r="W223" i="10"/>
  <c r="V223" i="10"/>
  <c r="V224" i="10"/>
  <c r="W224" i="10"/>
  <c r="W225" i="10"/>
  <c r="V225" i="10"/>
  <c r="V226" i="10"/>
  <c r="W226" i="10"/>
  <c r="V227" i="10"/>
  <c r="W227" i="10"/>
  <c r="V228" i="10"/>
  <c r="W228" i="10"/>
  <c r="V229" i="10"/>
  <c r="W229" i="10"/>
  <c r="V230" i="10"/>
  <c r="W230" i="10"/>
  <c r="V231" i="10"/>
  <c r="W231" i="10"/>
  <c r="V232" i="10"/>
  <c r="W232" i="10"/>
  <c r="V233" i="10"/>
  <c r="W233" i="10"/>
  <c r="V234" i="10"/>
  <c r="W234" i="10"/>
  <c r="W235" i="10"/>
  <c r="V235" i="10"/>
  <c r="V236" i="10"/>
  <c r="W236" i="10"/>
  <c r="W237" i="10"/>
  <c r="V237" i="10"/>
  <c r="V238" i="10"/>
  <c r="W238" i="10"/>
  <c r="W239" i="10"/>
  <c r="V239" i="10"/>
  <c r="V240" i="10"/>
  <c r="W240" i="10"/>
  <c r="W241" i="10"/>
  <c r="V241" i="10"/>
  <c r="V242" i="10"/>
  <c r="W242" i="10"/>
  <c r="W243" i="10"/>
  <c r="V243" i="10"/>
  <c r="V244" i="10"/>
  <c r="W244" i="10"/>
  <c r="V245" i="10"/>
  <c r="W245" i="10"/>
  <c r="V246" i="10"/>
  <c r="W246" i="10"/>
  <c r="W247" i="10"/>
  <c r="V247" i="10"/>
  <c r="V248" i="10"/>
  <c r="W248" i="10"/>
  <c r="W249" i="10"/>
  <c r="V249" i="10"/>
  <c r="W250" i="10"/>
  <c r="V250" i="10"/>
  <c r="W251" i="10"/>
  <c r="V251" i="10"/>
  <c r="W252" i="10"/>
  <c r="V252" i="10"/>
  <c r="W253" i="10"/>
  <c r="V253" i="10"/>
  <c r="V254" i="10"/>
  <c r="W254" i="10"/>
  <c r="W255" i="10"/>
  <c r="V255" i="10"/>
  <c r="W256" i="10"/>
  <c r="V256" i="10"/>
  <c r="W257" i="10"/>
  <c r="V257" i="10"/>
  <c r="W258" i="10"/>
  <c r="V258" i="10"/>
  <c r="W259" i="10"/>
  <c r="V259" i="10"/>
  <c r="W260" i="10"/>
  <c r="V260" i="10"/>
  <c r="W261" i="10"/>
  <c r="V261" i="10"/>
  <c r="V262" i="10"/>
  <c r="W262" i="10"/>
  <c r="W263" i="10"/>
  <c r="V263" i="10"/>
  <c r="W264" i="10"/>
  <c r="V264" i="10"/>
  <c r="V265" i="10"/>
  <c r="W265" i="10"/>
  <c r="W266" i="10"/>
  <c r="V266" i="10"/>
  <c r="W267" i="10"/>
  <c r="V267" i="10"/>
  <c r="W268" i="10"/>
  <c r="V268" i="10"/>
  <c r="W269" i="10"/>
  <c r="V269" i="10"/>
  <c r="W270" i="10"/>
  <c r="V270" i="10"/>
  <c r="W271" i="10"/>
  <c r="V271" i="10"/>
  <c r="V272" i="10"/>
  <c r="W272" i="10"/>
  <c r="W273" i="10"/>
  <c r="V273" i="10"/>
  <c r="W274" i="10"/>
  <c r="V274" i="10"/>
  <c r="W275" i="10"/>
  <c r="V275" i="10"/>
  <c r="W276" i="10"/>
  <c r="V276" i="10"/>
  <c r="V277" i="10"/>
  <c r="W277" i="10"/>
  <c r="W278" i="10"/>
  <c r="V278" i="10"/>
  <c r="W279" i="10"/>
  <c r="V279" i="10"/>
  <c r="W280" i="10"/>
  <c r="V280" i="10"/>
  <c r="V281" i="10"/>
  <c r="W281" i="10"/>
  <c r="W282" i="10"/>
  <c r="V282" i="10"/>
  <c r="W283" i="10"/>
  <c r="V283" i="10"/>
  <c r="W284" i="10"/>
  <c r="V284" i="10"/>
  <c r="W285" i="10"/>
  <c r="V285" i="10"/>
  <c r="W286" i="10"/>
  <c r="V286" i="10"/>
  <c r="W287" i="10"/>
  <c r="V287" i="10"/>
  <c r="V288" i="10"/>
  <c r="W288" i="10"/>
  <c r="W289" i="10"/>
  <c r="V289" i="10"/>
  <c r="W290" i="10"/>
  <c r="V290" i="10"/>
  <c r="W291" i="10"/>
  <c r="V291" i="10"/>
  <c r="W292" i="10"/>
  <c r="V292" i="10"/>
  <c r="W293" i="10"/>
  <c r="V293" i="10"/>
  <c r="W294" i="10"/>
  <c r="V294" i="10"/>
  <c r="W295" i="10"/>
  <c r="V295" i="10"/>
  <c r="V296" i="10"/>
  <c r="W296" i="10"/>
  <c r="V297" i="10"/>
  <c r="W297" i="10"/>
  <c r="W298" i="10"/>
  <c r="V298" i="10"/>
  <c r="W299" i="10"/>
  <c r="V299" i="10"/>
  <c r="W300" i="10"/>
  <c r="V300" i="10"/>
  <c r="W301" i="10"/>
  <c r="V301" i="10"/>
  <c r="W302" i="10"/>
  <c r="V302" i="10"/>
  <c r="W303" i="10"/>
  <c r="V303" i="10"/>
  <c r="AA5" i="10" l="1"/>
  <c r="T40" i="1" l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T37" i="1"/>
  <c r="T38" i="1" s="1"/>
  <c r="S37" i="1"/>
  <c r="S38" i="1" s="1"/>
  <c r="M38" i="1"/>
  <c r="M7" i="6" l="1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<sst xmlns="http://schemas.openxmlformats.org/spreadsheetml/2006/main" count="1742" uniqueCount="631">
  <si>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</si>
  <si>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</si>
  <si>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</si>
  <si>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</si>
  <si>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</si>
  <si>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</si>
  <si>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</si>
  <si>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</si>
  <si>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</si>
  <si>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</si>
  <si>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</si>
  <si>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</si>
  <si>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</si>
  <si>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</si>
  <si>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</si>
  <si>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</si>
  <si>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</si>
  <si>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</si>
  <si>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</si>
  <si>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</si>
  <si>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</si>
  <si>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</si>
  <si>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</si>
  <si>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</si>
  <si>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</si>
  <si>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</si>
  <si>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</si>
  <si>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</si>
  <si>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</si>
  <si>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</si>
  <si>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</si>
  <si>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</si>
  <si>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</si>
  <si>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</si>
  <si>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</si>
  <si>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</si>
  <si>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</si>
  <si>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</si>
  <si>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</si>
  <si>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</si>
  <si>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</si>
  <si>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</si>
  <si>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</si>
  <si>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</si>
  <si>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</si>
  <si>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</si>
  <si>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</si>
  <si>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</si>
  <si>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</si>
  <si>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</si>
  <si>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</si>
  <si>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</si>
  <si>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</si>
  <si>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</si>
  <si>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</si>
  <si>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</si>
  <si>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</si>
  <si>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</si>
  <si>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</si>
  <si>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</si>
  <si>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</si>
  <si>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</si>
  <si>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</si>
  <si>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</si>
  <si>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</si>
  <si>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</si>
  <si>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</si>
  <si>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</si>
  <si>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</si>
  <si>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</si>
  <si>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</si>
  <si>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</si>
  <si>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</si>
  <si>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</si>
  <si>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</si>
  <si>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</si>
  <si>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</si>
  <si>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</si>
  <si>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</si>
  <si>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</si>
  <si>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</si>
  <si>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</si>
  <si>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</si>
  <si>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</si>
  <si>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</si>
  <si>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</si>
  <si>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</si>
  <si>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</si>
  <si>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</si>
  <si>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</si>
  <si>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</si>
  <si>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</si>
  <si>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</si>
  <si>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</si>
  <si>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</si>
  <si>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</si>
  <si>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</si>
  <si>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</si>
  <si>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</si>
  <si>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</si>
  <si>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</si>
  <si>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</si>
  <si>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</si>
  <si>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</si>
  <si>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</si>
  <si>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</si>
  <si>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</si>
  <si>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</si>
  <si>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</si>
  <si>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</si>
  <si>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</si>
  <si>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</si>
  <si>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</si>
  <si>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</si>
  <si>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</si>
  <si>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</si>
  <si>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</si>
  <si>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</si>
  <si>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</si>
  <si>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</si>
  <si>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</si>
  <si>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</si>
  <si>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</si>
  <si>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</si>
  <si>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</si>
  <si>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</si>
  <si>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</si>
  <si>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</si>
  <si>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</si>
  <si>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</si>
  <si>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</si>
  <si>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</si>
  <si>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</si>
  <si>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</si>
  <si>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</si>
  <si>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</si>
  <si>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</si>
  <si>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</si>
  <si>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</si>
  <si>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</si>
  <si>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</si>
  <si>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</si>
  <si>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</si>
  <si>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</si>
  <si>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</si>
  <si>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</si>
  <si>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</si>
  <si>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</si>
  <si>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</si>
  <si>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</si>
  <si>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</si>
  <si>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</si>
  <si>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</si>
  <si>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</si>
  <si>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</si>
  <si>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</si>
  <si>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</si>
  <si>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</si>
  <si>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</si>
  <si>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</si>
  <si>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</si>
  <si>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</si>
  <si>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</si>
  <si>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</si>
  <si>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</si>
  <si>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</si>
  <si>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</si>
  <si>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</si>
  <si>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</si>
  <si>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</si>
  <si>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</si>
  <si>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</si>
  <si>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</si>
  <si>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</si>
  <si>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</si>
  <si>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</si>
  <si>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</si>
  <si>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</si>
  <si>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</si>
  <si>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</si>
  <si>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</si>
  <si>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</si>
  <si>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</si>
  <si>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</si>
  <si>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</si>
  <si>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</si>
  <si>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</si>
  <si>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</si>
  <si>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</si>
  <si>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</si>
  <si>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</si>
  <si>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</si>
  <si>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</si>
  <si>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</si>
  <si>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</si>
  <si>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</si>
  <si>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</si>
  <si>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</si>
  <si>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</si>
  <si>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</si>
  <si>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</si>
  <si>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</si>
  <si>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</si>
  <si>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</si>
  <si>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</si>
  <si>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</si>
  <si>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</si>
  <si>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</si>
  <si>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</si>
  <si>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</si>
  <si>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</si>
  <si>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</si>
  <si>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</si>
  <si>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</si>
  <si>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</si>
  <si>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</si>
  <si>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DEFAULT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</si>
  <si>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</si>
  <si>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</si>
  <si>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</si>
  <si>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</si>
  <si>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</si>
  <si>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</si>
  <si>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</si>
  <si>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</si>
  <si>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</si>
  <si>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</si>
  <si>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</si>
  <si>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</si>
  <si>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</si>
  <si>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</si>
  <si>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</si>
  <si>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</si>
  <si>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</si>
  <si>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</si>
  <si>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</si>
  <si>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</si>
  <si>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</si>
  <si>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</si>
  <si>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</si>
  <si>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</si>
  <si>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</si>
  <si>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</si>
  <si>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</si>
  <si>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</si>
  <si>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</si>
  <si>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</si>
  <si>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</si>
  <si>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</si>
  <si>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</si>
  <si>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</si>
  <si>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</si>
  <si>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</si>
  <si>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</si>
  <si>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</si>
  <si>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</si>
  <si>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</si>
  <si>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</si>
  <si>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</si>
  <si>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</si>
  <si>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</si>
  <si>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</si>
  <si>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</si>
  <si>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</si>
  <si>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</si>
  <si>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</si>
  <si>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</si>
  <si>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</si>
  <si>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</si>
  <si>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</si>
  <si>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</si>
  <si>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</si>
  <si>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</si>
  <si>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</si>
  <si>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</si>
  <si>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</si>
  <si>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</si>
  <si>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</si>
  <si>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</si>
  <si>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</si>
  <si>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</si>
  <si>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</si>
  <si>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</si>
  <si>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</si>
  <si>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</si>
  <si>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</si>
  <si>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</si>
  <si>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</si>
  <si>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</si>
  <si>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</si>
  <si>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</si>
  <si>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</si>
  <si>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</si>
  <si>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</si>
  <si>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</si>
  <si>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</si>
  <si>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</si>
  <si>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</si>
  <si>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</si>
  <si>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</si>
  <si>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</si>
  <si>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</si>
  <si>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</si>
  <si>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</si>
  <si>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</si>
  <si>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</si>
  <si>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</si>
  <si>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</si>
  <si>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</si>
  <si>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</si>
  <si>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</si>
  <si>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</si>
  <si>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</si>
  <si>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</si>
  <si>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</si>
  <si>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</si>
  <si>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</si>
  <si>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</si>
  <si>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</si>
  <si>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</si>
  <si>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</si>
  <si>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</si>
  <si>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</si>
  <si>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</si>
  <si>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</si>
  <si>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r>
      <t>All pressure retaining Equipment and pipework for hydrocarbons with flash point less than 52</t>
    </r>
    <r>
      <rPr>
        <vertAlign val="superscript"/>
        <sz val="8"/>
        <color theme="1"/>
        <rFont val="Univers 45 Light"/>
      </rPr>
      <t>o</t>
    </r>
    <r>
      <rPr>
        <sz val="8"/>
        <color theme="1"/>
        <rFont val="Univers 45 Light"/>
      </rPr>
      <t xml:space="preserve"> C</t>
    </r>
  </si>
  <si>
    <t>All pressure retaining Equipment and pipework for service conditions greater than B16.5, Class 300</t>
  </si>
  <si>
    <r>
      <t>All pressure retaining Equipment and pipework operating at temperature greater than 120</t>
    </r>
    <r>
      <rPr>
        <vertAlign val="superscript"/>
        <sz val="8"/>
        <color theme="1"/>
        <rFont val="Univers 45 Light"/>
      </rPr>
      <t>o</t>
    </r>
    <r>
      <rPr>
        <sz val="8"/>
        <color theme="1"/>
        <rFont val="Univers 45 Light"/>
      </rPr>
      <t xml:space="preserve"> C</t>
    </r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</si>
  <si>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</si>
  <si>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</si>
  <si>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</si>
  <si>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</si>
  <si>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</si>
  <si>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</si>
  <si>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</si>
  <si>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</si>
  <si>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</si>
  <si>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</si>
  <si>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</si>
  <si>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</si>
  <si>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</si>
  <si>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</si>
  <si>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</si>
  <si>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</si>
  <si>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</si>
  <si>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</si>
  <si>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</si>
  <si>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</si>
  <si>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</si>
  <si>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</si>
  <si>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</si>
  <si>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</si>
  <si>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</si>
  <si>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</si>
  <si>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</si>
  <si>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</si>
  <si>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</si>
  <si>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</si>
  <si>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</si>
  <si>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</si>
  <si>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</si>
  <si>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</si>
  <si>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</si>
  <si>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</si>
  <si>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</si>
  <si>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</si>
  <si>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</si>
  <si>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</si>
  <si>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</si>
  <si>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</si>
  <si>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</si>
  <si>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</si>
  <si>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</si>
  <si>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</si>
  <si>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</si>
  <si>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</si>
  <si>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</si>
  <si>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</si>
  <si>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</si>
  <si>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</si>
  <si>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</si>
  <si>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</si>
  <si>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</si>
  <si>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</si>
  <si>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</si>
  <si>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</si>
  <si>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</si>
  <si>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</si>
  <si>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</si>
  <si>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</si>
  <si>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</si>
  <si>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</si>
  <si>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</si>
  <si>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</si>
  <si>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</si>
  <si>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</si>
  <si>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</si>
  <si>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</si>
  <si>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</si>
  <si>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</si>
  <si>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</si>
  <si>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</si>
  <si>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</si>
  <si>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</si>
  <si>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</si>
  <si>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</si>
  <si>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</si>
  <si>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</si>
  <si>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</si>
  <si>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</si>
  <si>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</si>
  <si>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</si>
  <si>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</si>
  <si>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</si>
  <si>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</si>
  <si>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</si>
  <si>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</si>
  <si>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</si>
  <si>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</si>
  <si>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</si>
  <si>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</si>
  <si>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</si>
  <si>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</si>
  <si>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</si>
  <si>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</si>
  <si>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</si>
  <si>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</si>
  <si>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</si>
  <si>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</si>
  <si>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</si>
  <si>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</si>
  <si>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</si>
  <si>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</si>
  <si>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</si>
  <si>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</si>
  <si>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</si>
  <si>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</si>
  <si>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</si>
  <si>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</si>
  <si>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</si>
  <si>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</si>
  <si>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</si>
  <si>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</si>
  <si>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</si>
  <si>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</si>
  <si>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</si>
  <si>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</si>
  <si>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</si>
  <si>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</si>
  <si>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</si>
  <si>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</si>
  <si>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</si>
  <si>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</si>
  <si>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</si>
  <si>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</si>
  <si>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</si>
  <si>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</si>
  <si>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</si>
  <si>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</si>
  <si>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</si>
  <si>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</si>
  <si>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</si>
  <si>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</si>
  <si>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</si>
  <si>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</si>
  <si>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</si>
  <si>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</si>
  <si>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</si>
  <si>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</si>
  <si>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</si>
  <si>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</si>
  <si>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</si>
  <si>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</si>
  <si>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</si>
  <si>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</si>
  <si>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</si>
  <si>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</si>
  <si>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</si>
  <si>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</si>
  <si>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</si>
  <si>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</si>
  <si>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</si>
  <si>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</si>
  <si>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</si>
  <si>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</si>
  <si>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</si>
  <si>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</si>
  <si>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</si>
  <si>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</si>
  <si>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</si>
  <si>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</si>
  <si>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</si>
  <si>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</si>
  <si>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</si>
  <si>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</si>
  <si>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</si>
  <si>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</si>
  <si>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</si>
  <si>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</si>
  <si>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</si>
  <si>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</si>
  <si>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</si>
  <si>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</si>
  <si>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</si>
  <si>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</si>
  <si>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</si>
  <si>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</si>
  <si>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</si>
  <si>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</si>
  <si>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</si>
  <si>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</si>
  <si>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</si>
  <si>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</si>
  <si>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</si>
  <si>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</si>
  <si>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</si>
  <si>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</si>
  <si>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</si>
  <si>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</si>
  <si>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</si>
  <si>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</si>
  <si>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</si>
  <si>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</si>
  <si>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</si>
  <si>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</si>
  <si>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</si>
  <si>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</si>
  <si>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</si>
  <si>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</si>
  <si>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</si>
  <si>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</si>
  <si>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</si>
  <si>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</si>
  <si>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</si>
  <si>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</si>
  <si>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</si>
  <si>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</si>
  <si>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</si>
  <si>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</si>
  <si>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</si>
  <si>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</si>
  <si>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</si>
  <si>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</si>
  <si>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</si>
  <si>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</si>
  <si>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</si>
  <si>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</si>
  <si>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</si>
  <si>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</si>
  <si>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</si>
  <si>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</si>
  <si>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</si>
  <si>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</si>
  <si>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</si>
  <si>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</si>
  <si>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</si>
  <si>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</si>
  <si>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</si>
  <si>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</si>
  <si>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</si>
  <si>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</si>
  <si>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</si>
  <si>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</si>
  <si>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</si>
  <si>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</si>
  <si>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</si>
  <si>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</si>
  <si>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</si>
  <si>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</si>
  <si>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</si>
  <si>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</si>
  <si>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</si>
  <si>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</si>
  <si>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</si>
  <si>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</si>
  <si>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</si>
  <si>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</si>
  <si>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</si>
  <si>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</si>
  <si>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</si>
  <si>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</si>
  <si>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</si>
  <si>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</si>
  <si>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</si>
  <si>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</si>
  <si>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</si>
  <si>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</si>
  <si>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</si>
  <si>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</si>
  <si>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</si>
  <si>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</si>
  <si>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</si>
  <si>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</si>
  <si>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</si>
  <si>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</si>
  <si>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</si>
  <si>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</si>
  <si>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</si>
  <si>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</si>
  <si>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</si>
  <si>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</si>
  <si>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</si>
  <si>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</si>
  <si>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</si>
  <si>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</si>
  <si>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</si>
  <si>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</si>
  <si>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</si>
  <si>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</si>
  <si>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</si>
  <si>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</si>
  <si>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</si>
  <si>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</si>
  <si>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</si>
  <si>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</si>
  <si>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</si>
  <si>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</si>
  <si>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</si>
  <si>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</si>
  <si>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</si>
  <si>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</si>
  <si>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</si>
  <si>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</si>
  <si>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</si>
  <si>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</si>
  <si>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</si>
  <si>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</si>
  <si>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 xml:space="preserve">DEFAULT </t>
  </si>
  <si>
    <t>Is this equipment an IPL in a LOPA?</t>
  </si>
  <si>
    <t>FA_code here</t>
  </si>
  <si>
    <t>FA_Code Description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</si>
</sst>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Univers 45 Light"/>
    </font>
    <font>
      <sz val="8"/>
      <color theme="1"/>
      <name val="Univers 45 Light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perscript"/>
      <sz val="8"/>
      <color theme="1"/>
      <name val="Univers 45 Light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rgb="FFFA7D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1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17" borderId="13" xfId="0" applyFont="1" applyFill="1" applyBorder="1" applyAlignment="1">
      <alignment horizontal="center" vertical="center" wrapText="1"/>
    </xf>
    <xf numFmtId="0" fontId="23" fillId="17" borderId="14" xfId="0" applyFont="1" applyFill="1" applyBorder="1" applyAlignment="1">
      <alignment horizontal="center" vertical="center" wrapText="1"/>
    </xf>
    <xf numFmtId="0" fontId="23" fillId="17" borderId="14" xfId="0" applyFont="1" applyFill="1" applyBorder="1" applyAlignment="1">
      <alignment horizontal="center" vertical="center"/>
    </xf>
    <xf numFmtId="0" fontId="23" fillId="17" borderId="15" xfId="0" applyFont="1" applyFill="1" applyBorder="1" applyAlignment="1">
      <alignment horizontal="center" vertical="center" wrapText="1"/>
    </xf>
    <xf numFmtId="0" fontId="24" fillId="0" borderId="16" xfId="0" applyFont="1" applyBorder="1" applyAlignment="1">
      <alignment vertical="center"/>
    </xf>
    <xf numFmtId="0" fontId="24" fillId="0" borderId="16" xfId="0" applyFont="1" applyBorder="1" applyAlignment="1">
      <alignment horizontal="center" vertical="center" wrapText="1"/>
    </xf>
    <xf numFmtId="0" fontId="25" fillId="6" borderId="1" xfId="5" applyFont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4" fillId="0" borderId="17" xfId="0" applyFont="1" applyBorder="1" applyAlignment="1">
      <alignment horizontal="center" vertical="center" wrapText="1"/>
    </xf>
    <xf numFmtId="0" fontId="21" fillId="9" borderId="4" xfId="9" applyFont="1" applyAlignment="1">
      <alignment horizontal="right"/>
    </xf>
    <xf numFmtId="0" fontId="26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7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7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4" fillId="0" borderId="20" xfId="0" applyFont="1" applyBorder="1" applyAlignment="1">
      <alignment vertical="center"/>
    </xf>
    <xf numFmtId="0" fontId="24" fillId="0" borderId="20" xfId="0" applyFont="1" applyBorder="1" applyAlignment="1">
      <alignment horizontal="center" vertical="center" wrapText="1"/>
    </xf>
    <xf numFmtId="0" fontId="24" fillId="0" borderId="21" xfId="0" applyFont="1" applyBorder="1" applyAlignment="1">
      <alignment horizontal="center" vertical="center" wrapText="1"/>
    </xf>
    <xf numFmtId="0" fontId="24" fillId="0" borderId="22" xfId="0" applyFont="1" applyBorder="1" applyAlignment="1">
      <alignment horizontal="center" vertical="center" wrapText="1"/>
    </xf>
    <xf numFmtId="0" fontId="30" fillId="18" borderId="27" xfId="0" applyFont="1" applyFill="1" applyBorder="1"/>
    <xf numFmtId="0" fontId="30" fillId="18" borderId="28" xfId="0" applyFont="1" applyFill="1" applyBorder="1"/>
    <xf numFmtId="0" fontId="31" fillId="19" borderId="23" xfId="0" applyFont="1" applyFill="1" applyBorder="1" applyAlignment="1">
      <alignment horizontal="left" vertical="top" wrapText="1"/>
    </xf>
    <xf numFmtId="0" fontId="31" fillId="19" borderId="24" xfId="0" applyFont="1" applyFill="1" applyBorder="1" applyAlignment="1">
      <alignment horizontal="left" vertical="top" wrapText="1"/>
    </xf>
    <xf numFmtId="0" fontId="31" fillId="19" borderId="25" xfId="0" applyFont="1" applyFill="1" applyBorder="1" applyAlignment="1">
      <alignment horizontal="left" vertical="top" wrapText="1"/>
    </xf>
    <xf numFmtId="0" fontId="31" fillId="19" borderId="26" xfId="0" applyFont="1" applyFill="1" applyBorder="1" applyAlignment="1">
      <alignment horizontal="left" vertical="top" wrapText="1"/>
    </xf>
    <xf numFmtId="1" fontId="31" fillId="19" borderId="24" xfId="0" applyNumberFormat="1" applyFont="1" applyFill="1" applyBorder="1" applyAlignment="1">
      <alignment horizontal="right" vertical="top" wrapText="1"/>
    </xf>
    <xf numFmtId="1" fontId="31" fillId="19" borderId="25" xfId="0" applyNumberFormat="1" applyFont="1" applyFill="1" applyBorder="1" applyAlignment="1">
      <alignment horizontal="right" vertical="top" wrapText="1"/>
    </xf>
    <xf numFmtId="1" fontId="31" fillId="19" borderId="26" xfId="0" applyNumberFormat="1" applyFont="1" applyFill="1" applyBorder="1" applyAlignment="1">
      <alignment horizontal="right" vertical="top" wrapText="1"/>
    </xf>
    <xf numFmtId="1" fontId="31" fillId="19" borderId="21" xfId="0" quotePrefix="1" applyNumberFormat="1" applyFont="1" applyFill="1" applyBorder="1" applyAlignment="1">
      <alignment horizontal="right" vertical="top" wrapText="1"/>
    </xf>
    <xf numFmtId="16" fontId="31" fillId="19" borderId="17" xfId="0" quotePrefix="1" applyNumberFormat="1" applyFont="1" applyFill="1" applyBorder="1" applyAlignment="1">
      <alignment vertical="top" wrapText="1"/>
    </xf>
    <xf numFmtId="0" fontId="32" fillId="20" borderId="27" xfId="0" applyFont="1" applyFill="1" applyBorder="1"/>
    <xf numFmtId="0" fontId="32" fillId="20" borderId="28" xfId="0" applyFont="1" applyFill="1" applyBorder="1"/>
    <xf numFmtId="1" fontId="31" fillId="19" borderId="27" xfId="0" applyNumberFormat="1" applyFont="1" applyFill="1" applyBorder="1" applyAlignment="1">
      <alignment horizontal="right" vertical="top" wrapText="1"/>
    </xf>
    <xf numFmtId="0" fontId="32" fillId="0" borderId="29" xfId="0" applyFont="1" applyFill="1" applyBorder="1"/>
    <xf numFmtId="0" fontId="32" fillId="0" borderId="30" xfId="0" applyFont="1" applyFill="1" applyBorder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 applyProtection="1">
      <alignment vertical="top" wrapText="1"/>
      <protection locked="0"/>
    </xf>
    <xf numFmtId="0" fontId="34" fillId="0" borderId="0" xfId="0" applyFont="1"/>
    <xf numFmtId="0" fontId="35" fillId="6" borderId="1" xfId="5" applyFont="1" applyAlignment="1">
      <alignment horizontal="center" vertical="center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5" fillId="5" borderId="33" xfId="4" applyBorder="1" applyAlignment="1">
      <alignment vertical="top" wrapText="1"/>
    </xf>
    <xf numFmtId="0" fontId="5" fillId="5" borderId="34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35" xfId="4" applyBorder="1" applyAlignment="1">
      <alignment vertical="top" wrapText="1"/>
    </xf>
    <xf numFmtId="0" fontId="5" fillId="5" borderId="36" xfId="4" applyBorder="1" applyAlignment="1">
      <alignment vertical="top" wrapText="1"/>
    </xf>
    <xf numFmtId="0" fontId="5" fillId="5" borderId="37" xfId="4" applyBorder="1" applyAlignment="1">
      <alignment vertical="top" wrapText="1"/>
    </xf>
    <xf numFmtId="0" fontId="5" fillId="5" borderId="38" xfId="4" applyBorder="1" applyAlignment="1">
      <alignment vertical="top" wrapText="1"/>
    </xf>
    <xf numFmtId="0" fontId="5" fillId="5" borderId="18" xfId="4" applyBorder="1" applyAlignment="1">
      <alignment horizontal="left" vertical="top"/>
    </xf>
    <xf numFmtId="0" fontId="5" fillId="5" borderId="19" xfId="4" applyBorder="1" applyAlignment="1">
      <alignment horizontal="left" vertical="top"/>
    </xf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93"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fill>
        <patternFill patternType="solid">
          <fgColor indexed="64"/>
          <bgColor rgb="FFD9D9D9"/>
        </patternFill>
      </fill>
      <alignment horizontal="center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FailureCodeTemplate"/>
      <sheetName val="DataTables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87" dataDxfId="86">
  <autoFilter ref="B4:J12"/>
  <tableColumns count="9">
    <tableColumn id="1" name="Impact" dataDxfId="85" dataCellStyle="Bad"/>
    <tableColumn id="2" name="1" dataDxfId="84"/>
    <tableColumn id="3" name="2" dataDxfId="83">
      <calculatedColumnFormula>C5+1</calculatedColumnFormula>
    </tableColumn>
    <tableColumn id="4" name="3" dataDxfId="82">
      <calculatedColumnFormula>D5+1</calculatedColumnFormula>
    </tableColumn>
    <tableColumn id="5" name="4" dataDxfId="81">
      <calculatedColumnFormula>E5+1</calculatedColumnFormula>
    </tableColumn>
    <tableColumn id="6" name="5" dataDxfId="80">
      <calculatedColumnFormula>F5+1</calculatedColumnFormula>
    </tableColumn>
    <tableColumn id="7" name="6" dataDxfId="79">
      <calculatedColumnFormula>G5+1</calculatedColumnFormula>
    </tableColumn>
    <tableColumn id="8" name="7" dataDxfId="78">
      <calculatedColumnFormula>H5+1</calculatedColumnFormula>
    </tableColumn>
    <tableColumn id="9" name="8" dataDxfId="77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6" dataDxfId="75" headerRowCellStyle="Explanatory Text" dataCellStyle="Explanatory Text">
  <autoFilter ref="D5:F13"/>
  <tableColumns count="3">
    <tableColumn id="1" name="Impact Level" dataDxfId="74" dataCellStyle="Normal"/>
    <tableColumn id="2" name="Criticality Unspared" dataDxfId="73" dataCellStyle="Normal"/>
    <tableColumn id="3" name="Criticality If Redundancy" dataDxfId="72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1">
  <autoFilter ref="A5:B18"/>
  <tableColumns count="2">
    <tableColumn id="1" name="Impact Level" dataDxfId="70" dataCellStyle="Accent6"/>
    <tableColumn id="2" name="Criticality Rating of Equipment" dataDxfId="69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5" headerRowCellStyle="Normal" dataCellStyle="Normal">
  <autoFilter ref="B6:C9"/>
  <tableColumns count="2">
    <tableColumn id="1" name="Criticality Rating" dataDxfId="64" dataCellStyle="Normal"/>
    <tableColumn id="2" name="Criticality Level" dataDxfId="63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2" dataDxfId="61" tableBorderDxfId="60">
  <autoFilter ref="E6:F16"/>
  <tableColumns count="2">
    <tableColumn id="1" name="Criticality Rating" dataDxfId="59"/>
    <tableColumn id="2" name="Criticality Level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7"/>
    <tableColumn id="4" name="Maximo Criticality type"/>
    <tableColumn id="5" name="SCE Threshold" dataDxfId="56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2">
  <autoFilter ref="A1:P8"/>
  <tableColumns count="16">
    <tableColumn id="1" name="Rule"/>
    <tableColumn id="2" name="Applies to"/>
    <tableColumn id="3" name="What to do with existing data" dataDxfId="51"/>
    <tableColumn id="4" name="Comments to add" dataDxfId="50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49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FAILURE_CODE_template18" displayName="FAILURE_CODE_template18" ref="A8:D12" totalsRowShown="0" headerRowDxfId="46" dataDxfId="45">
  <autoFilter ref="A8:D12"/>
  <tableColumns count="4">
    <tableColumn id="1" name="Category" dataDxfId="44"/>
    <tableColumn id="2" name="Impact" dataDxfId="43" dataCellStyle="Calculation">
      <calculatedColumnFormula>max</calculatedColumnFormula>
    </tableColumn>
    <tableColumn id="3" name="Likelihood" dataDxfId="42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1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8" name="FAILURE_CODE_Safety_scenarios19" displayName="FAILURE_CODE_Safety_scenarios19" ref="A15:F19" totalsRowShown="0" headerRowDxfId="40">
  <autoFilter ref="A15:F19"/>
  <sortState ref="A16:F19">
    <sortCondition descending="1" ref="D15:D19"/>
  </sortState>
  <tableColumns count="6">
    <tableColumn id="1" name="Safety Scenarios" dataDxfId="39" dataCellStyle="Input"/>
    <tableColumn id="3" name="Impact" dataDxfId="38" dataCellStyle="Input"/>
    <tableColumn id="4" name="Likelihood" dataDxfId="37" dataCellStyle="Input"/>
    <tableColumn id="6" name="Risk Score" dataDxfId="36" dataCellStyle="Calculation">
      <calculatedColumnFormula>MATCH(B16,{"H","G","F","E","D","C","B","A"},0)+MATCH(C16, {1,2,3,4,5,6,7,8}, 0) - 1</calculatedColumnFormula>
    </tableColumn>
    <tableColumn id="5" name="Code for Letter" dataDxfId="35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4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9" name="FAILURE_CODE_Environmetal_scenarios20" displayName="FAILURE_CODE_Environmetal_scenarios20" ref="A21:F24" totalsRowShown="0" headerRowDxfId="33">
  <autoFilter ref="A21:F24"/>
  <sortState ref="A22:F24">
    <sortCondition descending="1" ref="D21:D24"/>
  </sortState>
  <tableColumns count="6">
    <tableColumn id="1" name="Environmental Scenarios" dataDxfId="32" dataCellStyle="Input"/>
    <tableColumn id="2" name="Impact" dataDxfId="31" dataCellStyle="Input"/>
    <tableColumn id="3" name="Likelihood" dataDxfId="30" dataCellStyle="Input"/>
    <tableColumn id="4" name="Risk Score" dataDxfId="29" dataCellStyle="Calculation">
      <calculatedColumnFormula>MATCH(B22,{"H","G","F","E","D","C","B","A"},0)+MATCH(C22, {1,2,3,4,5,6,7,8}, 0) - 1</calculatedColumnFormula>
    </tableColumn>
    <tableColumn id="5" name="Code for Letter" dataDxfId="28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27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20" name="FAILURE_CODE_Financial_scenarios21" displayName="FAILURE_CODE_Financial_scenarios21" ref="A27:F31" totalsRowShown="0" headerRowDxfId="26">
  <autoFilter ref="A27:F31"/>
  <sortState ref="A28:F31">
    <sortCondition descending="1" ref="D27:D31"/>
  </sortState>
  <tableColumns count="6">
    <tableColumn id="1" name="Financial Scenarios" dataDxfId="25" dataCellStyle="Input"/>
    <tableColumn id="2" name="Impact" dataDxfId="24" dataCellStyle="Input"/>
    <tableColumn id="3" name="Likelihood" dataDxfId="23" dataCellStyle="Input"/>
    <tableColumn id="4" name="Risk Score" dataDxfId="22" dataCellStyle="Calculation">
      <calculatedColumnFormula>MATCH(B28,{"H","G","F","E","D","C","B","A"},0)+MATCH(C28, {1,2,3,4,5,6,7,8}, 0) - 1</calculatedColumnFormula>
    </tableColumn>
    <tableColumn id="5" name="Code for Letter" dataDxfId="21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0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1" name="FAILURE_CODE_Non_Financial_scenarios22" displayName="FAILURE_CODE_Non_Financial_scenarios22" ref="A33:F36" totalsRowShown="0" headerRowDxfId="19">
  <autoFilter ref="A33:F36"/>
  <sortState ref="A34:F36">
    <sortCondition descending="1" ref="D33:D36"/>
  </sortState>
  <tableColumns count="6">
    <tableColumn id="1" name="Non-Financial Scenarios" dataDxfId="18" dataCellStyle="Input"/>
    <tableColumn id="2" name="Impact" dataDxfId="17" dataCellStyle="Input"/>
    <tableColumn id="3" name="Likelihood" dataDxfId="16" dataCellStyle="Input"/>
    <tableColumn id="4" name="Risk Score" dataDxfId="15" dataCellStyle="Calculation">
      <calculatedColumnFormula>MATCH(B34,{"H","G","F","E","D","C","B","A"},0)+MATCH(C34, {1,2,3,4,5,6,7,8}, 0) - 1</calculatedColumnFormula>
    </tableColumn>
    <tableColumn id="5" name="Code for Letter" dataDxfId="14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3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22" name="TypicalCriticalitiesMAHBarrier23" displayName="TypicalCriticalitiesMAHBarrier23" ref="N3:W305" totalsRowShown="0" headerRowDxfId="12" headerRowBorderDxfId="10" tableBorderDxfId="11">
  <tableColumns count="10">
    <tableColumn id="1" name="Barrier Family" dataDxfId="9"/>
    <tableColumn id="2" name="Barrier Family Description" dataDxfId="8"/>
    <tableColumn id="3" name="Typical Components" dataDxfId="7"/>
    <tableColumn id="4" name="Typical Criticality" dataDxfId="6"/>
    <tableColumn id="5" name="Barrier Family ID" dataDxfId="5"/>
    <tableColumn id="8" name="Column2" dataDxfId="4"/>
    <tableColumn id="6" name="Item No" dataDxfId="3"/>
    <tableColumn id="7" name="FamilyList" dataDxfId="2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DxfId="1">
      <calculatedColumnFormula>IF($T4&lt;=AA$4,INDEX(TypicalCriticalitiesMAHBarrier23[Typical Components],MATCH($T4,TypicalCriticalitiesMAHBarrier23[Column2],0)),"")</calculatedColumnFormula>
    </tableColumn>
    <tableColumn id="10" name="Code" dataDxfId="0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topLeftCell="A33" workbookViewId="0">
      <selection activeCell="J63" sqref="J63"/>
    </sheetView>
  </sheetViews>
  <sheetFormatPr defaultRowHeight="1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96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96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96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96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96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96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>
      <c r="L13" t="s">
        <v>24</v>
      </c>
    </row>
    <row r="14" spans="2:24" ht="15.75" thickBot="1">
      <c r="B14" t="s">
        <v>39</v>
      </c>
      <c r="P14" t="s">
        <v>23</v>
      </c>
      <c r="T14" t="s">
        <v>23</v>
      </c>
    </row>
    <row r="15" spans="2:24" ht="16.5" thickTop="1" thickBot="1">
      <c r="B15" t="s">
        <v>151</v>
      </c>
      <c r="L15" s="96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>
      <c r="L16" s="96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>
      <c r="L17" s="96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>
      <c r="L18" s="96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>
      <c r="L19" s="96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>
      <c r="L20" s="96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>
      <c r="L21" s="96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>
      <c r="L22" s="96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>
      <c r="L23" s="96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>
      <c r="L24" s="96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/>
    <row r="30" spans="2:24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>
      <c r="F36" s="2"/>
      <c r="G36" s="2"/>
      <c r="H36" s="2"/>
    </row>
    <row r="37" spans="2:20" ht="15.75" thickBot="1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/>
    <row r="40" spans="2:20" ht="15.75" thickBot="1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/>
    <row r="56" spans="12:19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2" priority="6">
      <formula>AND(C5&gt;9,ROW(C5)-ROW(C$5)=3)</formula>
    </cfRule>
    <cfRule type="expression" dxfId="91" priority="7">
      <formula>AND((C5&gt;8),ROW(C5)-ROW(C$5)&lt;3)</formula>
    </cfRule>
    <cfRule type="expression" dxfId="90" priority="8">
      <formula>AND(ROW(C5)-ROW($C$5)&gt;4,C5&gt;6)</formula>
    </cfRule>
    <cfRule type="expression" dxfId="89" priority="10">
      <formula>AND(C5&gt;6,ROW(C5)-ROW(C$5)&lt;5)</formula>
    </cfRule>
    <cfRule type="expression" dxfId="88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>
      <c r="I2" s="17" t="s">
        <v>76</v>
      </c>
      <c r="O2" s="17" t="s">
        <v>77</v>
      </c>
      <c r="R2" s="17" t="s">
        <v>78</v>
      </c>
    </row>
    <row r="4" spans="1:20" ht="15.75" thickBot="1">
      <c r="I4" s="17" t="s">
        <v>79</v>
      </c>
    </row>
    <row r="5" spans="1:20" ht="16.5" thickTop="1" thickBot="1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97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98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98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98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98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98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98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>
      <c r="A14" s="16" t="s">
        <v>5</v>
      </c>
      <c r="B14" s="2">
        <v>5</v>
      </c>
      <c r="H14" s="98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>
      <c r="A15" s="13" t="s">
        <v>6</v>
      </c>
      <c r="B15" s="2">
        <v>4</v>
      </c>
      <c r="H15" s="98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>
      <c r="A16" s="16" t="s">
        <v>6</v>
      </c>
      <c r="B16" s="2">
        <v>3</v>
      </c>
      <c r="H16" s="98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>
      <c r="A17" s="13" t="s">
        <v>7</v>
      </c>
      <c r="B17" s="2">
        <v>2</v>
      </c>
      <c r="H17" s="98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>
      <c r="A18" s="13" t="s">
        <v>7</v>
      </c>
      <c r="B18" s="2">
        <v>1</v>
      </c>
      <c r="H18" s="98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>
      <c r="H19" s="98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>
      <c r="H20" s="99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/>
    <row r="22" spans="1:20" ht="15" customHeight="1" thickTop="1" thickBot="1">
      <c r="H22" s="96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>
      <c r="H23" s="96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>
      <c r="H24" s="96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>
      <c r="H25" s="96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>
      <c r="H26" s="96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>
      <c r="H27" s="96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>
      <c r="H28" s="96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>
      <c r="I2" s="17" t="s">
        <v>76</v>
      </c>
      <c r="N2" s="17" t="s">
        <v>77</v>
      </c>
      <c r="Q2" s="17" t="s">
        <v>77</v>
      </c>
    </row>
    <row r="4" spans="2:18">
      <c r="I4" s="17" t="s">
        <v>79</v>
      </c>
    </row>
    <row r="5" spans="2:18">
      <c r="I5" t="s">
        <v>45</v>
      </c>
    </row>
    <row r="6" spans="2:18" ht="15.75" thickBot="1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>
      <c r="B7" s="2" t="s">
        <v>66</v>
      </c>
      <c r="C7" s="24" t="s">
        <v>69</v>
      </c>
      <c r="E7" s="2">
        <v>10</v>
      </c>
      <c r="F7" s="2" t="s">
        <v>69</v>
      </c>
      <c r="H7" s="100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>
      <c r="B8" s="2" t="s">
        <v>67</v>
      </c>
      <c r="C8" s="25" t="s">
        <v>70</v>
      </c>
      <c r="E8" s="2">
        <v>9</v>
      </c>
      <c r="F8" s="2" t="s">
        <v>69</v>
      </c>
      <c r="H8" s="100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>
      <c r="B9" s="2" t="s">
        <v>68</v>
      </c>
      <c r="C9" s="26" t="s">
        <v>71</v>
      </c>
      <c r="E9" s="2">
        <v>8</v>
      </c>
      <c r="F9" s="2" t="s">
        <v>69</v>
      </c>
      <c r="H9" s="100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>
      <c r="E10" s="2">
        <v>7</v>
      </c>
      <c r="F10" s="2" t="s">
        <v>70</v>
      </c>
      <c r="H10" s="100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>
      <c r="E11" s="2">
        <v>6</v>
      </c>
      <c r="F11" s="2" t="s">
        <v>70</v>
      </c>
      <c r="H11" s="100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>
      <c r="E12" s="2">
        <v>5</v>
      </c>
      <c r="F12" s="2" t="s">
        <v>70</v>
      </c>
      <c r="H12" s="100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>
      <c r="E13" s="2">
        <v>4</v>
      </c>
      <c r="F13" s="2" t="s">
        <v>70</v>
      </c>
    </row>
    <row r="14" spans="2:18" ht="15.75" thickBot="1">
      <c r="E14" s="2">
        <v>3</v>
      </c>
      <c r="F14" s="2" t="s">
        <v>71</v>
      </c>
    </row>
    <row r="15" spans="2:18" ht="16.5" thickTop="1" thickBot="1">
      <c r="E15" s="2">
        <v>2</v>
      </c>
      <c r="F15" s="2" t="s">
        <v>71</v>
      </c>
      <c r="H15" s="100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>
      <c r="E16" s="2">
        <v>1</v>
      </c>
      <c r="F16" s="2" t="s">
        <v>71</v>
      </c>
      <c r="H16" s="100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>
      <c r="H17" s="100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>
      <c r="H18" s="100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>
      <c r="H19" s="100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>
      <c r="H20" s="100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>
      <c r="H21" s="100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>
      <c r="H22" s="100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/>
  </sheetData>
  <mergeCells count="2">
    <mergeCell ref="H7:H12"/>
    <mergeCell ref="H15:H22"/>
  </mergeCells>
  <conditionalFormatting sqref="F7:F16">
    <cfRule type="cellIs" dxfId="68" priority="1" operator="equal">
      <formula>"Low"</formula>
    </cfRule>
    <cfRule type="cellIs" dxfId="67" priority="2" operator="equal">
      <formula>"High"</formula>
    </cfRule>
    <cfRule type="cellIs" dxfId="66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>
      <c r="H2" s="17" t="s">
        <v>120</v>
      </c>
    </row>
    <row r="3" spans="1:16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>
      <c r="A4" t="s">
        <v>85</v>
      </c>
      <c r="B4" t="s">
        <v>89</v>
      </c>
      <c r="C4" s="2">
        <v>7</v>
      </c>
      <c r="D4" t="s">
        <v>85</v>
      </c>
    </row>
    <row r="5" spans="1:16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/>
    <row r="18" spans="8:14" ht="16.5" thickTop="1" thickBot="1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/>
  <cols>
    <col min="2" max="2" width="11" customWidth="1"/>
  </cols>
  <sheetData>
    <row r="1" spans="1:25">
      <c r="C1" s="101" t="s">
        <v>17</v>
      </c>
      <c r="D1" s="101"/>
      <c r="E1" s="101"/>
      <c r="F1" s="101"/>
      <c r="G1" s="101"/>
      <c r="R1" s="17" t="s">
        <v>107</v>
      </c>
    </row>
    <row r="2" spans="1: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>
      <c r="A3" s="102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>
      <c r="A4" s="102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>
      <c r="A5" s="102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>
      <c r="A6" s="102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>
      <c r="J7" s="97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>
      <c r="J8" s="98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>
      <c r="J9" s="98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>
      <c r="J10" s="98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>
      <c r="J11" s="98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>
      <c r="J12" s="98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>
      <c r="J13" s="99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>
      <c r="J14" t="s">
        <v>24</v>
      </c>
    </row>
    <row r="15" spans="1:25" ht="15.75" thickBot="1">
      <c r="N15" t="s">
        <v>23</v>
      </c>
    </row>
    <row r="16" spans="1:25" ht="16.5" thickTop="1" thickBot="1">
      <c r="J16" s="96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>
      <c r="J17" s="96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>
      <c r="J18" s="96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>
      <c r="J19" s="96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>
      <c r="J20" s="96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>
      <c r="J21" s="96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>
      <c r="J22" s="96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>
      <c r="J23" s="96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>
      <c r="J24" s="96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>
      <c r="J25" s="96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/>
  </sheetData>
  <mergeCells count="4">
    <mergeCell ref="C1:G1"/>
    <mergeCell ref="A3:A6"/>
    <mergeCell ref="J16:J25"/>
    <mergeCell ref="J7:J13"/>
  </mergeCells>
  <conditionalFormatting sqref="C3:G6">
    <cfRule type="cellIs" dxfId="55" priority="1" operator="equal">
      <formula>"B"</formula>
    </cfRule>
    <cfRule type="cellIs" dxfId="54" priority="2" operator="equal">
      <formula>"C"</formula>
    </cfRule>
    <cfRule type="cellIs" dxfId="53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/>
  <cols>
    <col min="1" max="1" width="9.7109375" bestFit="1" customWidth="1"/>
    <col min="2" max="2" width="23.42578125" bestFit="1" customWidth="1"/>
  </cols>
  <sheetData>
    <row r="1" spans="1:2">
      <c r="A1" t="s">
        <v>102</v>
      </c>
      <c r="B1" t="s">
        <v>101</v>
      </c>
    </row>
    <row r="2" spans="1:2">
      <c r="A2" t="s">
        <v>100</v>
      </c>
      <c r="B2" t="s">
        <v>99</v>
      </c>
    </row>
    <row r="3" spans="1:2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>
      <c r="A4" t="s">
        <v>138</v>
      </c>
      <c r="B4" t="s">
        <v>139</v>
      </c>
      <c r="C4" s="36" t="s">
        <v>142</v>
      </c>
      <c r="D4" s="36" t="s">
        <v>149</v>
      </c>
    </row>
    <row r="5" spans="1:16">
      <c r="A5" t="s">
        <v>161</v>
      </c>
    </row>
    <row r="6" spans="1:16">
      <c r="A6" t="s">
        <v>162</v>
      </c>
    </row>
    <row r="7" spans="1:16">
      <c r="A7" t="s">
        <v>163</v>
      </c>
    </row>
    <row r="8" spans="1:16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>
      <c r="A1" s="80" t="s">
        <v>602</v>
      </c>
      <c r="B1" s="80" t="s">
        <v>101</v>
      </c>
      <c r="C1" s="81" t="s">
        <v>603</v>
      </c>
      <c r="D1" s="82" t="s">
        <v>17</v>
      </c>
      <c r="E1" s="83" t="s">
        <v>604</v>
      </c>
      <c r="F1" s="84" t="s">
        <v>605</v>
      </c>
      <c r="G1" s="84" t="s">
        <v>606</v>
      </c>
      <c r="H1" s="85" t="s">
        <v>607</v>
      </c>
      <c r="I1" s="86" t="s">
        <v>608</v>
      </c>
      <c r="J1" s="87" t="s">
        <v>609</v>
      </c>
      <c r="K1" s="87" t="s">
        <v>610</v>
      </c>
      <c r="L1" s="88" t="s">
        <v>611</v>
      </c>
      <c r="M1" s="89" t="s">
        <v>612</v>
      </c>
      <c r="N1" s="90" t="s">
        <v>125</v>
      </c>
      <c r="O1" s="93" t="s">
        <v>613</v>
      </c>
    </row>
    <row r="2" spans="1:15">
      <c r="A2" s="91" t="s">
        <v>614</v>
      </c>
      <c r="B2" s="91" t="s">
        <v>615</v>
      </c>
      <c r="C2" s="92">
        <v>4</v>
      </c>
      <c r="D2" s="91">
        <v>3</v>
      </c>
      <c r="E2" s="91" t="s">
        <v>619</v>
      </c>
      <c r="F2" s="91" t="s">
        <v>620</v>
      </c>
      <c r="G2" s="91" t="s">
        <v>620</v>
      </c>
      <c r="H2" s="91" t="s">
        <v>620</v>
      </c>
      <c r="I2" s="91">
        <v>8</v>
      </c>
      <c r="J2" s="91">
        <v>2</v>
      </c>
      <c r="K2" s="91">
        <v>2</v>
      </c>
      <c r="L2" s="91">
        <v>2</v>
      </c>
      <c r="M2" s="91">
        <v>8</v>
      </c>
      <c r="N2" s="91" t="s">
        <v>0</v>
      </c>
      <c r="O2" s="91" t="s">
        <v>616</v>
      </c>
    </row>
    <row r="3" spans="1:15">
      <c r="A3" s="94" t="s">
        <v>617</v>
      </c>
      <c r="B3" s="94" t="s">
        <v>618</v>
      </c>
      <c r="C3" s="95">
        <v>37</v>
      </c>
      <c r="D3" s="94">
        <v>7</v>
      </c>
      <c r="E3" s="94" t="s">
        <v>621</v>
      </c>
      <c r="F3" s="94" t="s">
        <v>620</v>
      </c>
      <c r="G3" s="94" t="s">
        <v>620</v>
      </c>
      <c r="H3" s="94" t="s">
        <v>620</v>
      </c>
      <c r="I3" s="94">
        <v>4</v>
      </c>
      <c r="J3" s="94">
        <v>2</v>
      </c>
      <c r="K3" s="94">
        <v>2</v>
      </c>
      <c r="L3" s="94">
        <v>2</v>
      </c>
      <c r="M3" s="94">
        <v>4</v>
      </c>
      <c r="N3" s="94" t="s">
        <v>1</v>
      </c>
      <c r="O3" s="94" t="s">
        <v>616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5"/>
  <sheetViews>
    <sheetView tabSelected="1" zoomScale="90" zoomScaleNormal="90" workbookViewId="0">
      <selection activeCell="H17" sqref="H17"/>
    </sheetView>
  </sheetViews>
  <sheetFormatPr defaultRowHeight="1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style="44" customWidth="1"/>
    <col min="22" max="22" width="32.140625" style="44" customWidth="1"/>
    <col min="23" max="23" width="9.140625" style="44" customWidth="1"/>
    <col min="24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>
      <c r="A1" s="40" t="s">
        <v>165</v>
      </c>
      <c r="B1" s="41" t="s">
        <v>629</v>
      </c>
      <c r="C1" s="42"/>
      <c r="I1" s="104" t="s">
        <v>622</v>
      </c>
      <c r="K1" s="105" t="str">
        <f>K10</f>
        <v>C</v>
      </c>
      <c r="N1" s="33" t="s">
        <v>166</v>
      </c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>
      <c r="A2" s="40" t="s">
        <v>101</v>
      </c>
      <c r="B2" s="45" t="s">
        <v>630</v>
      </c>
      <c r="C2" s="42"/>
      <c r="AE2" s="44"/>
      <c r="AF2" s="44"/>
      <c r="AG2" s="44"/>
      <c r="AH2" s="44"/>
      <c r="AI2" s="44"/>
      <c r="AJ2" s="44"/>
    </row>
    <row r="3" spans="1:36" ht="23.25" customHeight="1" thickBot="1">
      <c r="A3" s="46" t="s">
        <v>167</v>
      </c>
      <c r="B3" s="43"/>
      <c r="C3" s="42"/>
      <c r="N3" s="47" t="s">
        <v>168</v>
      </c>
      <c r="O3" s="48" t="s">
        <v>169</v>
      </c>
      <c r="P3" s="49" t="s">
        <v>170</v>
      </c>
      <c r="Q3" s="48" t="s">
        <v>171</v>
      </c>
      <c r="R3" s="50" t="s">
        <v>172</v>
      </c>
      <c r="S3" s="50" t="s">
        <v>173</v>
      </c>
      <c r="T3" s="50" t="s">
        <v>174</v>
      </c>
      <c r="U3" s="50" t="s">
        <v>175</v>
      </c>
      <c r="V3" s="50" t="s">
        <v>176</v>
      </c>
      <c r="W3" s="50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>
      <c r="A4" s="46" t="s">
        <v>179</v>
      </c>
      <c r="B4" s="43"/>
      <c r="C4" s="42"/>
      <c r="N4" s="51" t="s">
        <v>180</v>
      </c>
      <c r="O4" s="51" t="s">
        <v>181</v>
      </c>
      <c r="P4" s="51" t="s">
        <v>182</v>
      </c>
      <c r="Q4" s="52" t="s">
        <v>0</v>
      </c>
      <c r="R4" s="44">
        <v>1</v>
      </c>
      <c r="S4" s="44">
        <v>0</v>
      </c>
      <c r="T4" s="44">
        <f>1</f>
        <v>1</v>
      </c>
      <c r="U4" s="44" t="str">
        <f>IF($T4&lt;=Z$4,INDEX(TypicalCriticalitiesMAHBarrier23[Barrier Family Description],MATCH($T4,TypicalCriticalitiesMAHBarrier23[Barrier Family ID],0)),"")</f>
        <v>Structural Integrity</v>
      </c>
      <c r="V4" s="44" t="e">
        <f ca="1">IF($T4&lt;=AA$4,INDEX(TypicalCriticalitiesMAHBarrier23[Typical Components],MATCH($T4,TypicalCriticalitiesMAHBarrier23[Column2],0)),"")</f>
        <v>#N/A</v>
      </c>
      <c r="W4" s="2" t="e">
        <f ca="1">IF($T4&lt;=AA$4,INDEX(TypicalCriticalitiesMAHBarrier23[Typical Criticality],MATCH($T4,TypicalCriticalitiesMAHBarrier23[Column2],0)),"")</f>
        <v>#N/A</v>
      </c>
      <c r="Y4" t="s">
        <v>183</v>
      </c>
      <c r="Z4">
        <f>MAX(TypicalCriticalitiesMAHBarrier23[Barrier Family ID])</f>
        <v>50</v>
      </c>
      <c r="AA4" t="e">
        <f ca="1">MAX(TypicalCriticalitiesMAHBarrier23[Column2])</f>
        <v>#N/A</v>
      </c>
      <c r="AE4" s="44"/>
      <c r="AF4" s="44"/>
      <c r="AG4" s="44"/>
      <c r="AH4" s="44"/>
      <c r="AI4" s="44"/>
      <c r="AJ4" s="44"/>
    </row>
    <row r="5" spans="1:36" ht="18.75">
      <c r="A5" s="46"/>
      <c r="B5" s="43"/>
      <c r="C5" s="42"/>
      <c r="F5" s="38" t="s">
        <v>184</v>
      </c>
      <c r="G5" s="53" t="str">
        <f>_xlfn.SWITCH(B9, "A", "YES","B", "YES","C", "YES","D", "YES","E", "NO","F", "NO","G", "NO","H", "NO","", "YES")</f>
        <v>YES</v>
      </c>
      <c r="N5" s="54" t="s">
        <v>180</v>
      </c>
      <c r="O5" s="54" t="s">
        <v>181</v>
      </c>
      <c r="P5" s="54" t="s">
        <v>185</v>
      </c>
      <c r="Q5" s="55" t="s">
        <v>0</v>
      </c>
      <c r="R5" s="44">
        <f t="shared" ref="R5:R68" si="0">IF(AND(O5&lt;&gt;O4,O5&lt;&gt;""),R4+1,R4)</f>
        <v>1</v>
      </c>
      <c r="S5" s="44" t="e">
        <f t="shared" ref="S5:S68" ca="1" si="1">IF(R5=$Z$5,IF(AND(P5&lt;&gt;P4,P5&lt;&gt;""),S4+1,S4),S4)</f>
        <v>#N/A</v>
      </c>
      <c r="T5" s="44">
        <f t="shared" ref="T5:T68" si="2">T4+1</f>
        <v>2</v>
      </c>
      <c r="U5" s="44" t="str">
        <f>IF($T5&lt;=Z$4,INDEX(TypicalCriticalitiesMAHBarrier23[Barrier Family Description],MATCH($T5,TypicalCriticalitiesMAHBarrier23[Barrier Family ID],0)),"")</f>
        <v>Stability loading control &amp; watertight integrity</v>
      </c>
      <c r="V5" s="44" t="e">
        <f ca="1">IF($T5&lt;=AA$4,INDEX(TypicalCriticalitiesMAHBarrier23[Typical Components],MATCH($T5,TypicalCriticalitiesMAHBarrier23[Column2],0)),"")</f>
        <v>#N/A</v>
      </c>
      <c r="W5" s="2" t="e">
        <f ca="1">IF($T5&lt;=AA$4,INDEX(TypicalCriticalitiesMAHBarrier23[Typical Criticality],MATCH($T5,TypicalCriticalitiesMAHBarrier23[Column2],0)),"")</f>
        <v>#N/A</v>
      </c>
      <c r="Y5" t="s">
        <v>186</v>
      </c>
      <c r="Z5" t="e">
        <f ca="1">MATCH(H17,BarrierFamilies,0)</f>
        <v>#N/A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>
      <c r="A6" s="103" t="s">
        <v>187</v>
      </c>
      <c r="B6" s="103"/>
      <c r="C6" s="103"/>
      <c r="D6" s="103"/>
      <c r="J6" s="38" t="s">
        <v>623</v>
      </c>
      <c r="K6" s="7" t="b">
        <f>K10&lt;&gt;K1</f>
        <v>0</v>
      </c>
      <c r="N6" s="54" t="s">
        <v>180</v>
      </c>
      <c r="O6" s="54" t="s">
        <v>181</v>
      </c>
      <c r="P6" s="54" t="s">
        <v>188</v>
      </c>
      <c r="Q6" s="55" t="s">
        <v>0</v>
      </c>
      <c r="R6" s="44">
        <f t="shared" si="0"/>
        <v>1</v>
      </c>
      <c r="S6" s="44" t="e">
        <f t="shared" ca="1" si="1"/>
        <v>#N/A</v>
      </c>
      <c r="T6" s="44">
        <f t="shared" si="2"/>
        <v>3</v>
      </c>
      <c r="U6" s="44" t="str">
        <f>IF($T6&lt;=Z$4,INDEX(TypicalCriticalitiesMAHBarrier23[Barrier Family Description],MATCH($T6,TypicalCriticalitiesMAHBarrier23[Barrier Family ID],0)),"")</f>
        <v>Station Keeping</v>
      </c>
      <c r="V6" s="44" t="e">
        <f ca="1">IF($T6&lt;=AA$4,INDEX(TypicalCriticalitiesMAHBarrier23[Typical Components],MATCH($T6,TypicalCriticalitiesMAHBarrier23[Column2],0)),"")</f>
        <v>#N/A</v>
      </c>
      <c r="W6" s="2" t="e">
        <f ca="1">IF($T6&lt;=AA$4,INDEX(TypicalCriticalitiesMAHBarrier23[Typical Criticality],MATCH($T6,TypicalCriticalitiesMAHBarrier23[Column2],0)),"")</f>
        <v>#N/A</v>
      </c>
      <c r="AE6" s="44"/>
      <c r="AF6" s="44"/>
      <c r="AG6" s="44"/>
      <c r="AH6" s="44"/>
      <c r="AI6" s="44"/>
      <c r="AJ6" s="44"/>
    </row>
    <row r="7" spans="1:36" ht="21">
      <c r="A7" s="34" t="s">
        <v>189</v>
      </c>
      <c r="B7" s="42"/>
      <c r="C7" s="42"/>
      <c r="F7" s="56" t="s">
        <v>190</v>
      </c>
      <c r="G7" s="57">
        <f>MAX(G9:G12)</f>
        <v>10</v>
      </c>
      <c r="I7" s="106" t="s">
        <v>624</v>
      </c>
      <c r="J7" s="107"/>
      <c r="K7" s="108"/>
      <c r="N7" s="54" t="s">
        <v>180</v>
      </c>
      <c r="O7" s="54" t="s">
        <v>181</v>
      </c>
      <c r="P7" s="54" t="s">
        <v>191</v>
      </c>
      <c r="Q7" s="55" t="s">
        <v>2</v>
      </c>
      <c r="R7" s="44">
        <f t="shared" si="0"/>
        <v>1</v>
      </c>
      <c r="S7" s="44" t="e">
        <f t="shared" ca="1" si="1"/>
        <v>#N/A</v>
      </c>
      <c r="T7" s="44">
        <f t="shared" si="2"/>
        <v>4</v>
      </c>
      <c r="U7" s="44" t="str">
        <f>IF($T7&lt;=Z$4,INDEX(TypicalCriticalitiesMAHBarrier23[Barrier Family Description],MATCH($T7,TypicalCriticalitiesMAHBarrier23[Barrier Family ID],0)),"")</f>
        <v>Swivel Stack Assembly</v>
      </c>
      <c r="V7" s="44" t="e">
        <f ca="1">IF($T7&lt;=AA$4,INDEX(TypicalCriticalitiesMAHBarrier23[Typical Components],MATCH($T7,TypicalCriticalitiesMAHBarrier23[Column2],0)),"")</f>
        <v>#N/A</v>
      </c>
      <c r="W7" s="2" t="e">
        <f ca="1">IF($T7&lt;=AA$4,INDEX(TypicalCriticalitiesMAHBarrier23[Typical Criticality],MATCH($T7,TypicalCriticalitiesMAHBarrier23[Column2],0)),"")</f>
        <v>#N/A</v>
      </c>
      <c r="AE7" s="44"/>
      <c r="AF7" s="44"/>
      <c r="AG7" s="44"/>
      <c r="AH7" s="44"/>
      <c r="AI7" s="44"/>
      <c r="AJ7" s="44"/>
    </row>
    <row r="8" spans="1:36">
      <c r="A8" s="46" t="s">
        <v>192</v>
      </c>
      <c r="B8" s="42" t="s">
        <v>8</v>
      </c>
      <c r="C8" s="42" t="s">
        <v>17</v>
      </c>
      <c r="D8" s="42" t="s">
        <v>73</v>
      </c>
      <c r="F8" s="58" t="s">
        <v>193</v>
      </c>
      <c r="G8" s="4" t="s">
        <v>194</v>
      </c>
      <c r="I8" s="109"/>
      <c r="J8" s="110"/>
      <c r="K8" s="111"/>
      <c r="N8" s="54" t="s">
        <v>180</v>
      </c>
      <c r="O8" s="54" t="s">
        <v>181</v>
      </c>
      <c r="P8" s="54" t="s">
        <v>195</v>
      </c>
      <c r="Q8" s="55" t="s">
        <v>0</v>
      </c>
      <c r="R8" s="44">
        <f t="shared" si="0"/>
        <v>1</v>
      </c>
      <c r="S8" s="44" t="e">
        <f t="shared" ca="1" si="1"/>
        <v>#N/A</v>
      </c>
      <c r="T8" s="44">
        <f t="shared" si="2"/>
        <v>5</v>
      </c>
      <c r="U8" s="44" t="str">
        <f>IF($T8&lt;=Z$4,INDEX(TypicalCriticalitiesMAHBarrier23[Barrier Family Description],MATCH($T8,TypicalCriticalitiesMAHBarrier23[Barrier Family ID],0)),"")</f>
        <v>Swivel Fluid Barrier System</v>
      </c>
      <c r="V8" s="44" t="e">
        <f ca="1">IF($T8&lt;=AA$4,INDEX(TypicalCriticalitiesMAHBarrier23[Typical Components],MATCH($T8,TypicalCriticalitiesMAHBarrier23[Column2],0)),"")</f>
        <v>#N/A</v>
      </c>
      <c r="W8" s="2" t="e">
        <f ca="1">IF($T8&lt;=AA$4,INDEX(TypicalCriticalitiesMAHBarrier23[Typical Criticality],MATCH($T8,TypicalCriticalitiesMAHBarrier23[Column2],0)),"")</f>
        <v>#N/A</v>
      </c>
      <c r="Z8">
        <f ca="1">ROWS(BarrierFamilies)</f>
        <v>50</v>
      </c>
      <c r="AA8" t="e">
        <f ca="1">ROWS(TypicalComponents)</f>
        <v>#N/A</v>
      </c>
      <c r="AE8" s="44"/>
      <c r="AF8" s="44"/>
      <c r="AG8" s="44"/>
      <c r="AH8" s="44"/>
      <c r="AI8" s="44"/>
      <c r="AJ8" s="44"/>
    </row>
    <row r="9" spans="1:36">
      <c r="A9" s="59" t="s">
        <v>93</v>
      </c>
      <c r="B9" s="60" t="str">
        <f>CHAR(MIN(FAILURE_CODE_Safety_scenarios19[Code for Letter]))</f>
        <v>A</v>
      </c>
      <c r="C9" s="61">
        <f t="array" ref="C9">MAX(IF(FAILURE_CODE_Safety_scenarios19[Impact]=FAILURE_CODE_template18[[#This Row],[Impact]],FAILURE_CODE_Safety_scenarios19[Likelihood]))</f>
        <v>8</v>
      </c>
      <c r="D9" s="61">
        <f t="array" ref="D9">MAX(IF(FAILURE_CODE_Safety_scenarios19[Impact]=FAILURE_CODE_template18[[#This Row],[Impact]],FAILURE_CODE_Safety_scenarios19[Risk Score]))</f>
        <v>15</v>
      </c>
      <c r="F9" s="62" t="s">
        <v>196</v>
      </c>
      <c r="G9" s="63">
        <f>INDEX({10,10,10,10,8,6,4,2;10,10,10,9,7,5,3,1},
               IF(OR(G$8="SPARED",G$8="Y",G$8="yes",G$8),2,1),
               MATCH($B9,{"A","B","C","D","E","F","G","H"},0)
)</f>
        <v>10</v>
      </c>
      <c r="I9" s="112"/>
      <c r="J9" s="113"/>
      <c r="K9" s="114"/>
      <c r="N9" s="54" t="s">
        <v>180</v>
      </c>
      <c r="O9" s="54" t="s">
        <v>181</v>
      </c>
      <c r="P9" s="54" t="s">
        <v>197</v>
      </c>
      <c r="Q9" s="55" t="s">
        <v>1</v>
      </c>
      <c r="R9" s="44">
        <f t="shared" si="0"/>
        <v>1</v>
      </c>
      <c r="S9" s="44" t="e">
        <f t="shared" ca="1" si="1"/>
        <v>#N/A</v>
      </c>
      <c r="T9" s="44">
        <f t="shared" si="2"/>
        <v>6</v>
      </c>
      <c r="U9" s="44" t="str">
        <f>IF($T9&lt;=Z$4,INDEX(TypicalCriticalitiesMAHBarrier23[Barrier Family Description],MATCH($T9,TypicalCriticalitiesMAHBarrier23[Barrier Family ID],0)),"")</f>
        <v>Swivel/Turret Pipework</v>
      </c>
      <c r="V9" s="44" t="e">
        <f ca="1">IF($T9&lt;=AA$4,INDEX(TypicalCriticalitiesMAHBarrier23[Typical Components],MATCH($T9,TypicalCriticalitiesMAHBarrier23[Column2],0)),"")</f>
        <v>#N/A</v>
      </c>
      <c r="W9" s="2" t="e">
        <f ca="1">IF($T9&lt;=AA$4,INDEX(TypicalCriticalitiesMAHBarrier23[Typical Criticality],MATCH($T9,TypicalCriticalitiesMAHBarrier23[Column2],0)),"")</f>
        <v>#N/A</v>
      </c>
      <c r="AE9" s="44"/>
      <c r="AF9" s="44"/>
      <c r="AG9" s="44"/>
      <c r="AH9" s="44"/>
      <c r="AI9" s="44"/>
      <c r="AJ9" s="44"/>
    </row>
    <row r="10" spans="1:36" ht="18.75">
      <c r="A10" s="59" t="s">
        <v>85</v>
      </c>
      <c r="B10" s="60" t="str">
        <f>CHAR(MIN(FAILURE_CODE_Environmetal_scenarios20[Code for Letter]))</f>
        <v>A</v>
      </c>
      <c r="C10" s="61">
        <f t="array" ref="C10">MAX(IF(FAILURE_CODE_Environmetal_scenarios20[Impact]=FAILURE_CODE_template18[[#This Row],[Impact]],FAILURE_CODE_Environmetal_scenarios20[Likelihood]))</f>
        <v>8</v>
      </c>
      <c r="D10" s="61">
        <f t="array" ref="D10">MAX(IF(FAILURE_CODE_Environmetal_scenarios20[Impact]=FAILURE_CODE_template18[[#This Row],[Impact]],FAILURE_CODE_Environmetal_scenarios20[Risk Score]))</f>
        <v>15</v>
      </c>
      <c r="F10"/>
      <c r="G10" s="63">
        <f>INDEX({10,10,10,10,8,6,4,2;10,10,10,9,7,5,3,1},
               IF(OR(G$8="SPARED",G$8="Y",G$8="yes",G$8),2,1),
               MATCH($B10,{"A","B","C","D","E","F","G","H"},0)
)</f>
        <v>10</v>
      </c>
      <c r="I10" s="64" t="s">
        <v>202</v>
      </c>
      <c r="K10" s="53" t="str">
        <f>IF(ISERR(SEARCH("A", K17 &amp; K29 &amp; K30 &amp; K31 &amp; K35 &amp; K36 &amp; K37)),
       IF(ISERR(SEARCH("B", K17 &amp; K29 &amp; K30 &amp; K31 &amp; K35 &amp; K36 &amp; K37)),"C","B"),
"A")</f>
        <v>C</v>
      </c>
      <c r="N10" s="54" t="s">
        <v>180</v>
      </c>
      <c r="O10" s="54" t="s">
        <v>181</v>
      </c>
      <c r="P10" s="54" t="s">
        <v>198</v>
      </c>
      <c r="Q10" s="55" t="s">
        <v>2</v>
      </c>
      <c r="R10" s="44">
        <f t="shared" si="0"/>
        <v>1</v>
      </c>
      <c r="S10" s="44" t="e">
        <f t="shared" ca="1" si="1"/>
        <v>#N/A</v>
      </c>
      <c r="T10" s="44">
        <f t="shared" si="2"/>
        <v>7</v>
      </c>
      <c r="U10" s="44" t="str">
        <f>IF($T10&lt;=Z$4,INDEX(TypicalCriticalitiesMAHBarrier23[Barrier Family Description],MATCH($T10,TypicalCriticalitiesMAHBarrier23[Barrier Family ID],0)),"")</f>
        <v>Turret Chain Table</v>
      </c>
      <c r="V10" s="44" t="e">
        <f ca="1">IF($T10&lt;=AA$4,INDEX(TypicalCriticalitiesMAHBarrier23[Typical Components],MATCH($T10,TypicalCriticalitiesMAHBarrier23[Column2],0)),"")</f>
        <v>#N/A</v>
      </c>
      <c r="W10" s="2" t="e">
        <f ca="1">IF($T10&lt;=AA$4,INDEX(TypicalCriticalitiesMAHBarrier23[Typical Criticality],MATCH($T10,TypicalCriticalitiesMAHBarrier23[Column2],0)),"")</f>
        <v>#N/A</v>
      </c>
      <c r="AE10" s="44"/>
      <c r="AF10" s="44"/>
      <c r="AG10" s="44"/>
      <c r="AH10" s="44"/>
      <c r="AI10" s="44"/>
      <c r="AJ10" s="44"/>
    </row>
    <row r="11" spans="1:36">
      <c r="A11" s="59" t="s">
        <v>94</v>
      </c>
      <c r="B11" s="60" t="str">
        <f>CHAR(MIN(FAILURE_CODE_Financial_scenarios21[Code for Letter]))</f>
        <v>H</v>
      </c>
      <c r="C11" s="61">
        <f t="array" ref="C11">MAX(IF(FAILURE_CODE_Financial_scenarios21[Impact]=FAILURE_CODE_template18[[#This Row],[Impact]],FAILURE_CODE_Financial_scenarios21[Likelihood]))</f>
        <v>8</v>
      </c>
      <c r="D11" s="61">
        <f t="array" ref="D11">MAX(IF(FAILURE_CODE_Financial_scenarios21[Impact]=FAILURE_CODE_template18[[#This Row],[Impact]],FAILURE_CODE_Financial_scenarios21[Risk Score]))</f>
        <v>8</v>
      </c>
      <c r="F11"/>
      <c r="G11" s="63">
        <f>INDEX({10,10,10,10,8,6,4,2;10,10,10,9,7,5,3,1},
               IF(OR(G$8="SPARED",G$8="Y",G$8="yes",G$8),2,1),
               MATCH($B11,{"A","B","C","D","E","F","G","H"},0)
)</f>
        <v>2</v>
      </c>
      <c r="I11" t="s">
        <v>625</v>
      </c>
      <c r="J11" s="43"/>
      <c r="N11" s="54" t="s">
        <v>199</v>
      </c>
      <c r="O11" s="54" t="s">
        <v>200</v>
      </c>
      <c r="P11" s="54" t="s">
        <v>201</v>
      </c>
      <c r="Q11" s="55" t="s">
        <v>0</v>
      </c>
      <c r="R11" s="44">
        <f t="shared" si="0"/>
        <v>2</v>
      </c>
      <c r="S11" s="44" t="e">
        <f t="shared" ca="1" si="1"/>
        <v>#N/A</v>
      </c>
      <c r="T11" s="44">
        <f t="shared" si="2"/>
        <v>8</v>
      </c>
      <c r="U11" s="44" t="str">
        <f>IF($T11&lt;=Z$4,INDEX(TypicalCriticalitiesMAHBarrier23[Barrier Family Description],MATCH($T11,TypicalCriticalitiesMAHBarrier23[Barrier Family ID],0)),"")</f>
        <v>Main Turret Bearing</v>
      </c>
      <c r="V11" s="44" t="e">
        <f ca="1">IF($T11&lt;=AA$4,INDEX(TypicalCriticalitiesMAHBarrier23[Typical Components],MATCH($T11,TypicalCriticalitiesMAHBarrier23[Column2],0)),"")</f>
        <v>#N/A</v>
      </c>
      <c r="W11" s="2" t="e">
        <f ca="1">IF($T11&lt;=AA$4,INDEX(TypicalCriticalitiesMAHBarrier23[Typical Criticality],MATCH($T11,TypicalCriticalitiesMAHBarrier23[Column2],0)),"")</f>
        <v>#N/A</v>
      </c>
      <c r="AE11" s="44"/>
      <c r="AF11" s="44"/>
      <c r="AG11" s="44"/>
      <c r="AH11" s="44"/>
      <c r="AI11" s="44"/>
      <c r="AJ11" s="44"/>
    </row>
    <row r="12" spans="1:36">
      <c r="A12" s="59" t="s">
        <v>92</v>
      </c>
      <c r="B12" s="60" t="str">
        <f>CHAR(MIN(FAILURE_CODE_Non_Financial_scenarios22[Code for Letter]))</f>
        <v>H</v>
      </c>
      <c r="C12" s="61">
        <f t="array" ref="C12">MAX(IF(FAILURE_CODE_Non_Financial_scenarios22[Impact]=FAILURE_CODE_template18[[#This Row],[Impact]],FAILURE_CODE_Non_Financial_scenarios22[Likelihood]))</f>
        <v>8</v>
      </c>
      <c r="D12" s="61">
        <f t="array" ref="D12">MAX(IF(FAILURE_CODE_Non_Financial_scenarios22[Impact]=FAILURE_CODE_template18[[#This Row],[Impact]],FAILURE_CODE_Non_Financial_scenarios22[Risk Score]))</f>
        <v>8</v>
      </c>
      <c r="F12"/>
      <c r="G12" s="63">
        <f>INDEX({10,10,10,10,8,6,4,2;10,10,10,9,7,5,3,1},
               IF(OR(G$8="SPARED",G$8="Y",G$8="yes",G$8),2,1),
               MATCH($B12,{"A","B","C","D","E","F","G","H"},0)
)</f>
        <v>2</v>
      </c>
      <c r="I12" t="s">
        <v>626</v>
      </c>
      <c r="N12" s="54" t="s">
        <v>199</v>
      </c>
      <c r="O12" s="54" t="s">
        <v>200</v>
      </c>
      <c r="P12" s="54" t="s">
        <v>203</v>
      </c>
      <c r="Q12" s="55" t="s">
        <v>0</v>
      </c>
      <c r="R12" s="44">
        <f t="shared" si="0"/>
        <v>2</v>
      </c>
      <c r="S12" s="44" t="e">
        <f t="shared" ca="1" si="1"/>
        <v>#N/A</v>
      </c>
      <c r="T12" s="44">
        <f t="shared" si="2"/>
        <v>9</v>
      </c>
      <c r="U12" s="44" t="str">
        <f>IF($T12&lt;=Z$4,INDEX(TypicalCriticalitiesMAHBarrier23[Barrier Family Description],MATCH($T12,TypicalCriticalitiesMAHBarrier23[Barrier Family ID],0)),"")</f>
        <v>Wellhead integrity</v>
      </c>
      <c r="V12" s="44" t="e">
        <f ca="1">IF($T12&lt;=AA$4,INDEX(TypicalCriticalitiesMAHBarrier23[Typical Components],MATCH($T12,TypicalCriticalitiesMAHBarrier23[Column2],0)),"")</f>
        <v>#N/A</v>
      </c>
      <c r="W12" s="2" t="e">
        <f ca="1">IF($T12&lt;=AA$4,INDEX(TypicalCriticalitiesMAHBarrier23[Typical Criticality],MATCH($T12,TypicalCriticalitiesMAHBarrier23[Column2],0)),"")</f>
        <v>#N/A</v>
      </c>
      <c r="AE12" s="44"/>
      <c r="AF12" s="44"/>
      <c r="AG12" s="44"/>
      <c r="AH12" s="44"/>
      <c r="AI12" s="44"/>
      <c r="AJ12" s="44"/>
    </row>
    <row r="13" spans="1:36">
      <c r="N13" s="54" t="s">
        <v>199</v>
      </c>
      <c r="O13" s="54" t="s">
        <v>200</v>
      </c>
      <c r="P13" s="54" t="s">
        <v>204</v>
      </c>
      <c r="Q13" s="55" t="s">
        <v>0</v>
      </c>
      <c r="R13" s="44">
        <f t="shared" si="0"/>
        <v>2</v>
      </c>
      <c r="S13" s="44" t="e">
        <f t="shared" ca="1" si="1"/>
        <v>#N/A</v>
      </c>
      <c r="T13" s="44">
        <f t="shared" si="2"/>
        <v>10</v>
      </c>
      <c r="U13" s="44" t="str">
        <f>IF($T13&lt;=Z$4,INDEX(TypicalCriticalitiesMAHBarrier23[Barrier Family Description],MATCH($T13,TypicalCriticalitiesMAHBarrier23[Barrier Family ID],0)),"")</f>
        <v>Subsea Integrity</v>
      </c>
      <c r="V13" s="44" t="e">
        <f ca="1">IF($T13&lt;=AA$4,INDEX(TypicalCriticalitiesMAHBarrier23[Typical Components],MATCH($T13,TypicalCriticalitiesMAHBarrier23[Column2],0)),"")</f>
        <v>#N/A</v>
      </c>
      <c r="W13" s="2" t="e">
        <f ca="1">IF($T13&lt;=AA$4,INDEX(TypicalCriticalitiesMAHBarrier23[Typical Criticality],MATCH($T13,TypicalCriticalitiesMAHBarrier23[Column2],0)),"")</f>
        <v>#N/A</v>
      </c>
      <c r="AE13" s="44"/>
      <c r="AF13" s="44"/>
      <c r="AG13" s="44"/>
      <c r="AH13" s="44"/>
      <c r="AI13" s="44"/>
      <c r="AJ13" s="44"/>
    </row>
    <row r="14" spans="1:36">
      <c r="N14" s="54" t="s">
        <v>199</v>
      </c>
      <c r="O14" s="54" t="s">
        <v>200</v>
      </c>
      <c r="P14" s="54" t="s">
        <v>205</v>
      </c>
      <c r="Q14" s="55" t="s">
        <v>1</v>
      </c>
      <c r="R14" s="44">
        <f t="shared" si="0"/>
        <v>2</v>
      </c>
      <c r="S14" s="44" t="e">
        <f t="shared" ca="1" si="1"/>
        <v>#N/A</v>
      </c>
      <c r="T14" s="44">
        <f t="shared" si="2"/>
        <v>11</v>
      </c>
      <c r="U14" s="44" t="str">
        <f>IF($T14&lt;=Z$4,INDEX(TypicalCriticalitiesMAHBarrier23[Barrier Family Description],MATCH($T14,TypicalCriticalitiesMAHBarrier23[Barrier Family ID],0)),"")</f>
        <v>Process Containment Integrity</v>
      </c>
      <c r="V14" s="44" t="e">
        <f ca="1">IF($T14&lt;=AA$4,INDEX(TypicalCriticalitiesMAHBarrier23[Typical Components],MATCH($T14,TypicalCriticalitiesMAHBarrier23[Column2],0)),"")</f>
        <v>#N/A</v>
      </c>
      <c r="W14" s="2" t="e">
        <f ca="1">IF($T14&lt;=AA$4,INDEX(TypicalCriticalitiesMAHBarrier23[Typical Criticality],MATCH($T14,TypicalCriticalitiesMAHBarrier23[Column2],0)),"")</f>
        <v>#N/A</v>
      </c>
      <c r="AE14" s="44"/>
      <c r="AF14" s="44"/>
      <c r="AG14" s="44"/>
      <c r="AH14" s="44"/>
      <c r="AI14" s="44"/>
      <c r="AJ14" s="44"/>
    </row>
    <row r="15" spans="1:36" s="43" customFormat="1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65" t="s">
        <v>210</v>
      </c>
      <c r="I15"/>
      <c r="J15"/>
      <c r="K15"/>
      <c r="N15" s="54" t="s">
        <v>199</v>
      </c>
      <c r="O15" s="54" t="s">
        <v>200</v>
      </c>
      <c r="P15" s="54" t="s">
        <v>211</v>
      </c>
      <c r="Q15" s="55" t="s">
        <v>0</v>
      </c>
      <c r="R15" s="44">
        <f t="shared" si="0"/>
        <v>2</v>
      </c>
      <c r="S15" s="44" t="e">
        <f t="shared" ca="1" si="1"/>
        <v>#N/A</v>
      </c>
      <c r="T15" s="44">
        <f t="shared" si="2"/>
        <v>12</v>
      </c>
      <c r="U15" s="44" t="str">
        <f>IF($T15&lt;=Z$4,INDEX(TypicalCriticalitiesMAHBarrier23[Barrier Family Description],MATCH($T15,TypicalCriticalitiesMAHBarrier23[Barrier Family ID],0)),"")</f>
        <v>Gas Turbine Packages &amp; Hydrocarbon RE</v>
      </c>
      <c r="V15" s="44" t="e">
        <f ca="1">IF($T15&lt;=AA$4,INDEX(TypicalCriticalitiesMAHBarrier23[Typical Components],MATCH($T15,TypicalCriticalitiesMAHBarrier23[Column2],0)),"")</f>
        <v>#N/A</v>
      </c>
      <c r="W15" s="2" t="e">
        <f ca="1">IF($T15&lt;=AA$4,INDEX(TypicalCriticalitiesMAHBarrier23[Typical Criticality],MATCH($T15,TypicalCriticalitiesMAHBarrier23[Column2],0)),"")</f>
        <v>#N/A</v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>
      <c r="A16" s="66" t="s">
        <v>212</v>
      </c>
      <c r="B16" s="4" t="s">
        <v>0</v>
      </c>
      <c r="C16" s="4">
        <v>8</v>
      </c>
      <c r="D16" s="61">
        <f>MATCH(B16,{"H","G","F","E","D","C","B","A"},0)+MATCH(C16, {1,2,3,4,5,6,7,8}, 0) - 1</f>
        <v>15</v>
      </c>
      <c r="E16" s="67">
        <f>IF(ISERR(CODE(FAILURE_CODE_Safety_scenarios19[[#This Row],[Impact]])), "", CODE(FAILURE_CODE_Safety_scenarios19[[#This Row],[Impact]]))</f>
        <v>65</v>
      </c>
      <c r="F16" s="66" t="s">
        <v>627</v>
      </c>
      <c r="H16" s="68" t="s">
        <v>213</v>
      </c>
      <c r="I16" s="68" t="s">
        <v>214</v>
      </c>
      <c r="J16" s="43"/>
      <c r="K16" s="69" t="s">
        <v>125</v>
      </c>
      <c r="N16" s="54" t="s">
        <v>199</v>
      </c>
      <c r="O16" s="54" t="s">
        <v>200</v>
      </c>
      <c r="P16" s="54" t="s">
        <v>215</v>
      </c>
      <c r="Q16" s="55" t="s">
        <v>0</v>
      </c>
      <c r="R16" s="44">
        <f t="shared" si="0"/>
        <v>2</v>
      </c>
      <c r="S16" s="44" t="e">
        <f t="shared" ca="1" si="1"/>
        <v>#N/A</v>
      </c>
      <c r="T16" s="44">
        <f t="shared" si="2"/>
        <v>13</v>
      </c>
      <c r="U16" s="44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s="44" t="e">
        <f ca="1">IF($T16&lt;=AA$4,INDEX(TypicalCriticalitiesMAHBarrier23[Typical Components],MATCH($T16,TypicalCriticalitiesMAHBarrier23[Column2],0)),"")</f>
        <v>#N/A</v>
      </c>
      <c r="W16" s="2" t="e">
        <f ca="1">IF($T16&lt;=AA$4,INDEX(TypicalCriticalitiesMAHBarrier23[Typical Criticality],MATCH($T16,TypicalCriticalitiesMAHBarrier23[Column2],0)),"")</f>
        <v>#N/A</v>
      </c>
      <c r="AE16" s="44"/>
      <c r="AF16" s="44"/>
      <c r="AG16" s="44"/>
      <c r="AH16" s="44"/>
      <c r="AI16" s="44"/>
      <c r="AJ16" s="44"/>
    </row>
    <row r="17" spans="1:36">
      <c r="A17" s="66"/>
      <c r="B17" s="4"/>
      <c r="C17" s="4"/>
      <c r="D17" s="61" t="e">
        <f>MATCH(B17,{"H","G","F","E","D","C","B","A"},0)+MATCH(C17, {1,2,3,4,5,6,7,8}, 0) - 1</f>
        <v>#N/A</v>
      </c>
      <c r="E17" s="67" t="str">
        <f>IF(ISERR(CODE(FAILURE_CODE_Safety_scenarios19[[#This Row],[Impact]])), "", CODE(FAILURE_CODE_Safety_scenarios19[[#This Row],[Impact]]))</f>
        <v/>
      </c>
      <c r="F17" s="66"/>
      <c r="H17" s="115"/>
      <c r="I17" s="116"/>
      <c r="K17" s="7" t="str">
        <f>IF(ISBLANK(I17),"C",VLOOKUP(I17,TypicalCriticalitiesMAHBarrier23[[ComponentList]:[Code]],2,FALSE))</f>
        <v>C</v>
      </c>
      <c r="N17" s="54" t="s">
        <v>199</v>
      </c>
      <c r="O17" s="54" t="s">
        <v>200</v>
      </c>
      <c r="P17" s="54" t="s">
        <v>217</v>
      </c>
      <c r="Q17" s="55" t="s">
        <v>0</v>
      </c>
      <c r="R17" s="44">
        <f t="shared" si="0"/>
        <v>2</v>
      </c>
      <c r="S17" s="44" t="e">
        <f t="shared" ca="1" si="1"/>
        <v>#N/A</v>
      </c>
      <c r="T17" s="44">
        <f t="shared" si="2"/>
        <v>14</v>
      </c>
      <c r="U17" s="44" t="str">
        <f>IF($T17&lt;=Z$4,INDEX(TypicalCriticalitiesMAHBarrier23[Barrier Family Description],MATCH($T17,TypicalCriticalitiesMAHBarrier23[Barrier Family ID],0)),"")</f>
        <v>Diesel Driven Packages</v>
      </c>
      <c r="V17" s="44" t="e">
        <f ca="1">IF($T17&lt;=AA$4,INDEX(TypicalCriticalitiesMAHBarrier23[Typical Components],MATCH($T17,TypicalCriticalitiesMAHBarrier23[Column2],0)),"")</f>
        <v>#N/A</v>
      </c>
      <c r="W17" s="2" t="e">
        <f ca="1">IF($T17&lt;=AA$4,INDEX(TypicalCriticalitiesMAHBarrier23[Typical Criticality],MATCH($T17,TypicalCriticalitiesMAHBarrier23[Column2],0)),"")</f>
        <v>#N/A</v>
      </c>
      <c r="AE17" s="44"/>
      <c r="AF17" s="44"/>
      <c r="AG17" s="44"/>
      <c r="AH17" s="44"/>
      <c r="AI17" s="44"/>
      <c r="AJ17" s="44"/>
    </row>
    <row r="18" spans="1:36">
      <c r="A18" s="66"/>
      <c r="B18" s="4"/>
      <c r="C18" s="4"/>
      <c r="D18" s="61" t="e">
        <f>MATCH(B18,{"H","G","F","E","D","C","B","A"},0)+MATCH(C18, {1,2,3,4,5,6,7,8}, 0) - 1</f>
        <v>#N/A</v>
      </c>
      <c r="E18" s="67" t="str">
        <f>IF(ISERR(CODE(FAILURE_CODE_Safety_scenarios19[[#This Row],[Impact]])), "", CODE(FAILURE_CODE_Safety_scenarios19[[#This Row],[Impact]]))</f>
        <v/>
      </c>
      <c r="F18" s="66"/>
      <c r="N18" s="54" t="s">
        <v>199</v>
      </c>
      <c r="O18" s="54" t="s">
        <v>200</v>
      </c>
      <c r="P18" s="54" t="s">
        <v>218</v>
      </c>
      <c r="Q18" s="55" t="s">
        <v>0</v>
      </c>
      <c r="R18" s="44">
        <f t="shared" si="0"/>
        <v>2</v>
      </c>
      <c r="S18" s="44" t="e">
        <f t="shared" ca="1" si="1"/>
        <v>#N/A</v>
      </c>
      <c r="T18" s="44">
        <f t="shared" si="2"/>
        <v>15</v>
      </c>
      <c r="U18" s="44" t="str">
        <f>IF($T18&lt;=Z$4,INDEX(TypicalCriticalitiesMAHBarrier23[Barrier Family Description],MATCH($T18,TypicalCriticalitiesMAHBarrier23[Barrier Family ID],0)),"")</f>
        <v>Oil Storage &amp; Offloading</v>
      </c>
      <c r="V18" s="44" t="e">
        <f ca="1">IF($T18&lt;=AA$4,INDEX(TypicalCriticalitiesMAHBarrier23[Typical Components],MATCH($T18,TypicalCriticalitiesMAHBarrier23[Column2],0)),"")</f>
        <v>#N/A</v>
      </c>
      <c r="W18" s="2" t="e">
        <f ca="1">IF($T18&lt;=AA$4,INDEX(TypicalCriticalitiesMAHBarrier23[Typical Criticality],MATCH($T18,TypicalCriticalitiesMAHBarrier23[Column2],0)),"")</f>
        <v>#N/A</v>
      </c>
      <c r="AE18" s="44"/>
      <c r="AF18" s="44"/>
      <c r="AG18" s="44"/>
      <c r="AH18" s="44"/>
      <c r="AI18" s="44"/>
      <c r="AJ18" s="44"/>
    </row>
    <row r="19" spans="1:36">
      <c r="A19" s="66"/>
      <c r="B19" s="4"/>
      <c r="C19" s="4"/>
      <c r="D19" s="61" t="e">
        <f>MATCH(B19,{"H","G","F","E","D","C","B","A"},0)+MATCH(C19, {1,2,3,4,5,6,7,8}, 0) - 1</f>
        <v>#N/A</v>
      </c>
      <c r="E19" s="67" t="str">
        <f>IF(ISERR(CODE(FAILURE_CODE_Safety_scenarios19[[#This Row],[Impact]])), "", CODE(FAILURE_CODE_Safety_scenarios19[[#This Row],[Impact]]))</f>
        <v/>
      </c>
      <c r="F19" s="66"/>
      <c r="N19" s="54" t="s">
        <v>199</v>
      </c>
      <c r="O19" s="54" t="s">
        <v>200</v>
      </c>
      <c r="P19" s="54" t="s">
        <v>219</v>
      </c>
      <c r="Q19" s="55" t="s">
        <v>1</v>
      </c>
      <c r="R19" s="44">
        <f t="shared" si="0"/>
        <v>2</v>
      </c>
      <c r="S19" s="44" t="e">
        <f t="shared" ca="1" si="1"/>
        <v>#N/A</v>
      </c>
      <c r="T19" s="44">
        <f t="shared" si="2"/>
        <v>16</v>
      </c>
      <c r="U19" s="44" t="str">
        <f>IF($T19&lt;=Z$4,INDEX(TypicalCriticalitiesMAHBarrier23[Barrier Family Description],MATCH($T19,TypicalCriticalitiesMAHBarrier23[Barrier Family ID],0)),"")</f>
        <v>Overpressure Protection</v>
      </c>
      <c r="V19" s="44" t="e">
        <f ca="1">IF($T19&lt;=AA$4,INDEX(TypicalCriticalitiesMAHBarrier23[Typical Components],MATCH($T19,TypicalCriticalitiesMAHBarrier23[Column2],0)),"")</f>
        <v>#N/A</v>
      </c>
      <c r="W19" s="2" t="e">
        <f ca="1">IF($T19&lt;=AA$4,INDEX(TypicalCriticalitiesMAHBarrier23[Typical Criticality],MATCH($T19,TypicalCriticalitiesMAHBarrier23[Column2],0)),"")</f>
        <v>#N/A</v>
      </c>
      <c r="AE19" s="44"/>
      <c r="AF19" s="44"/>
      <c r="AG19" s="44"/>
      <c r="AH19" s="44"/>
      <c r="AI19" s="44"/>
      <c r="AJ19" s="44"/>
    </row>
    <row r="20" spans="1:36">
      <c r="N20" s="54" t="s">
        <v>199</v>
      </c>
      <c r="O20" s="54" t="s">
        <v>200</v>
      </c>
      <c r="P20" s="54" t="s">
        <v>220</v>
      </c>
      <c r="Q20" s="55" t="s">
        <v>0</v>
      </c>
      <c r="R20" s="44">
        <f t="shared" si="0"/>
        <v>2</v>
      </c>
      <c r="S20" s="44" t="e">
        <f t="shared" ca="1" si="1"/>
        <v>#N/A</v>
      </c>
      <c r="T20" s="44">
        <f t="shared" si="2"/>
        <v>17</v>
      </c>
      <c r="U20" s="44" t="str">
        <f>IF($T20&lt;=Z$4,INDEX(TypicalCriticalitiesMAHBarrier23[Barrier Family Description],MATCH($T20,TypicalCriticalitiesMAHBarrier23[Barrier Family ID],0)),"")</f>
        <v>Blowdown vent and flare</v>
      </c>
      <c r="V20" s="44" t="e">
        <f ca="1">IF($T20&lt;=AA$4,INDEX(TypicalCriticalitiesMAHBarrier23[Typical Components],MATCH($T20,TypicalCriticalitiesMAHBarrier23[Column2],0)),"")</f>
        <v>#N/A</v>
      </c>
      <c r="W20" s="2" t="e">
        <f ca="1">IF($T20&lt;=AA$4,INDEX(TypicalCriticalitiesMAHBarrier23[Typical Criticality],MATCH($T20,TypicalCriticalitiesMAHBarrier23[Column2],0)),"")</f>
        <v>#N/A</v>
      </c>
      <c r="AE20" s="44"/>
      <c r="AF20" s="44"/>
      <c r="AG20" s="44"/>
      <c r="AH20" s="44"/>
      <c r="AI20" s="44"/>
      <c r="AJ20" s="44"/>
    </row>
    <row r="21" spans="1:36" s="43" customFormat="1">
      <c r="A21" s="46" t="s">
        <v>221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s="54" t="s">
        <v>222</v>
      </c>
      <c r="O21" s="54" t="s">
        <v>223</v>
      </c>
      <c r="P21" s="54" t="s">
        <v>224</v>
      </c>
      <c r="Q21" s="55" t="s">
        <v>0</v>
      </c>
      <c r="R21" s="44">
        <f t="shared" si="0"/>
        <v>3</v>
      </c>
      <c r="S21" s="44" t="e">
        <f t="shared" ca="1" si="1"/>
        <v>#N/A</v>
      </c>
      <c r="T21" s="44">
        <f t="shared" si="2"/>
        <v>18</v>
      </c>
      <c r="U21" s="44" t="str">
        <f>IF($T21&lt;=Z$4,INDEX(TypicalCriticalitiesMAHBarrier23[Barrier Family Description],MATCH($T21,TypicalCriticalitiesMAHBarrier23[Barrier Family ID],0)),"")</f>
        <v>Digital security</v>
      </c>
      <c r="V21" s="44" t="e">
        <f ca="1">IF($T21&lt;=AA$4,INDEX(TypicalCriticalitiesMAHBarrier23[Typical Components],MATCH($T21,TypicalCriticalitiesMAHBarrier23[Column2],0)),"")</f>
        <v>#N/A</v>
      </c>
      <c r="W21" s="2" t="e">
        <f ca="1">IF($T21&lt;=AA$4,INDEX(TypicalCriticalitiesMAHBarrier23[Typical Criticality],MATCH($T21,TypicalCriticalitiesMAHBarrier23[Column2],0)),"")</f>
        <v>#N/A</v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>
      <c r="A22" s="66" t="s">
        <v>212</v>
      </c>
      <c r="B22" s="4" t="s">
        <v>0</v>
      </c>
      <c r="C22" s="4">
        <v>8</v>
      </c>
      <c r="D22" s="61">
        <f>MATCH(B22,{"H","G","F","E","D","C","B","A"},0)+MATCH(C22, {1,2,3,4,5,6,7,8}, 0) - 1</f>
        <v>15</v>
      </c>
      <c r="E22" s="67">
        <f>IF(ISERR(CODE(FAILURE_CODE_Environmetal_scenarios20[Impact])), "", CODE(FAILURE_CODE_Environmetal_scenarios20[Impact]))</f>
        <v>65</v>
      </c>
      <c r="F22" s="66" t="s">
        <v>627</v>
      </c>
      <c r="N22" s="54" t="s">
        <v>222</v>
      </c>
      <c r="O22" s="54" t="s">
        <v>223</v>
      </c>
      <c r="P22" s="54" t="s">
        <v>225</v>
      </c>
      <c r="Q22" s="55" t="s">
        <v>0</v>
      </c>
      <c r="R22" s="44">
        <f t="shared" si="0"/>
        <v>3</v>
      </c>
      <c r="S22" s="44" t="e">
        <f t="shared" ca="1" si="1"/>
        <v>#N/A</v>
      </c>
      <c r="T22" s="44">
        <f t="shared" si="2"/>
        <v>19</v>
      </c>
      <c r="U22" s="44" t="str">
        <f>IF($T22&lt;=Z$4,INDEX(TypicalCriticalitiesMAHBarrier23[Barrier Family Description],MATCH($T22,TypicalCriticalitiesMAHBarrier23[Barrier Family ID],0)),"")</f>
        <v>Control systems - LoPs</v>
      </c>
      <c r="V22" s="44" t="e">
        <f ca="1">IF($T22&lt;=AA$4,INDEX(TypicalCriticalitiesMAHBarrier23[Typical Components],MATCH($T22,TypicalCriticalitiesMAHBarrier23[Column2],0)),"")</f>
        <v>#N/A</v>
      </c>
      <c r="W22" s="2" t="e">
        <f ca="1">IF($T22&lt;=AA$4,INDEX(TypicalCriticalitiesMAHBarrier23[Typical Criticality],MATCH($T22,TypicalCriticalitiesMAHBarrier23[Column2],0)),"")</f>
        <v>#N/A</v>
      </c>
      <c r="AE22" s="44"/>
      <c r="AF22" s="44"/>
      <c r="AG22" s="44"/>
      <c r="AH22" s="44"/>
      <c r="AI22" s="44"/>
      <c r="AJ22" s="44"/>
    </row>
    <row r="23" spans="1:36">
      <c r="A23" s="66"/>
      <c r="B23" s="4"/>
      <c r="C23" s="4"/>
      <c r="D23" s="61" t="e">
        <f>MATCH(B23,{"H","G","F","E","D","C","B","A"},0)+MATCH(C23, {1,2,3,4,5,6,7,8}, 0) - 1</f>
        <v>#N/A</v>
      </c>
      <c r="E23" s="67" t="str">
        <f>IF(ISERR(CODE(FAILURE_CODE_Environmetal_scenarios20[Impact])), "", CODE(FAILURE_CODE_Environmetal_scenarios20[Impact]))</f>
        <v/>
      </c>
      <c r="F23" s="66"/>
      <c r="N23" s="54" t="s">
        <v>222</v>
      </c>
      <c r="O23" s="54" t="s">
        <v>223</v>
      </c>
      <c r="P23" s="54" t="s">
        <v>226</v>
      </c>
      <c r="Q23" s="55" t="s">
        <v>0</v>
      </c>
      <c r="R23" s="44">
        <f t="shared" si="0"/>
        <v>3</v>
      </c>
      <c r="S23" s="44" t="e">
        <f t="shared" ca="1" si="1"/>
        <v>#N/A</v>
      </c>
      <c r="T23" s="44">
        <f t="shared" si="2"/>
        <v>20</v>
      </c>
      <c r="U23" s="44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s="44" t="e">
        <f ca="1">IF($T23&lt;=AA$4,INDEX(TypicalCriticalitiesMAHBarrier23[Typical Components],MATCH($T23,TypicalCriticalitiesMAHBarrier23[Column2],0)),"")</f>
        <v>#N/A</v>
      </c>
      <c r="W23" s="2" t="e">
        <f ca="1">IF($T23&lt;=AA$4,INDEX(TypicalCriticalitiesMAHBarrier23[Typical Criticality],MATCH($T23,TypicalCriticalitiesMAHBarrier23[Column2],0)),"")</f>
        <v>#N/A</v>
      </c>
      <c r="AE23" s="44"/>
      <c r="AF23" s="44"/>
      <c r="AG23" s="44"/>
      <c r="AH23" s="44"/>
      <c r="AI23" s="44"/>
      <c r="AJ23" s="44"/>
    </row>
    <row r="24" spans="1:36">
      <c r="A24" s="66"/>
      <c r="B24" s="4"/>
      <c r="C24" s="4"/>
      <c r="D24" s="61" t="e">
        <f>MATCH(B24,{"H","G","F","E","D","C","B","A"},0)+MATCH(C24, {1,2,3,4,5,6,7,8}, 0) - 1</f>
        <v>#N/A</v>
      </c>
      <c r="E24" s="67" t="str">
        <f>IF(ISERR(CODE(FAILURE_CODE_Environmetal_scenarios20[Impact])), "", CODE(FAILURE_CODE_Environmetal_scenarios20[Impact]))</f>
        <v/>
      </c>
      <c r="F24" s="66"/>
      <c r="N24" s="54" t="s">
        <v>227</v>
      </c>
      <c r="O24" s="54" t="s">
        <v>228</v>
      </c>
      <c r="P24" s="54" t="s">
        <v>229</v>
      </c>
      <c r="Q24" s="55" t="s">
        <v>0</v>
      </c>
      <c r="R24" s="44">
        <f t="shared" si="0"/>
        <v>4</v>
      </c>
      <c r="S24" s="44" t="e">
        <f t="shared" ca="1" si="1"/>
        <v>#N/A</v>
      </c>
      <c r="T24" s="44">
        <f t="shared" si="2"/>
        <v>21</v>
      </c>
      <c r="U24" s="44" t="str">
        <f>IF($T24&lt;=Z$4,INDEX(TypicalCriticalitiesMAHBarrier23[Barrier Family Description],MATCH($T24,TypicalCriticalitiesMAHBarrier23[Barrier Family ID],0)),"")</f>
        <v>Control systems - all others</v>
      </c>
      <c r="V24" s="44" t="e">
        <f ca="1">IF($T24&lt;=AA$4,INDEX(TypicalCriticalitiesMAHBarrier23[Typical Components],MATCH($T24,TypicalCriticalitiesMAHBarrier23[Column2],0)),"")</f>
        <v>#N/A</v>
      </c>
      <c r="W24" s="2" t="e">
        <f ca="1">IF($T24&lt;=AA$4,INDEX(TypicalCriticalitiesMAHBarrier23[Typical Criticality],MATCH($T24,TypicalCriticalitiesMAHBarrier23[Column2],0)),"")</f>
        <v>#N/A</v>
      </c>
      <c r="AE24" s="44"/>
      <c r="AF24" s="44"/>
      <c r="AG24" s="44"/>
      <c r="AH24" s="44"/>
      <c r="AI24" s="44"/>
      <c r="AJ24" s="44"/>
    </row>
    <row r="25" spans="1:36">
      <c r="B25" s="2"/>
      <c r="D25" s="43"/>
      <c r="N25" s="54" t="s">
        <v>227</v>
      </c>
      <c r="O25" s="54" t="s">
        <v>228</v>
      </c>
      <c r="P25" s="54" t="s">
        <v>230</v>
      </c>
      <c r="Q25" s="55" t="s">
        <v>0</v>
      </c>
      <c r="R25" s="44">
        <f t="shared" si="0"/>
        <v>4</v>
      </c>
      <c r="S25" s="44" t="e">
        <f t="shared" ca="1" si="1"/>
        <v>#N/A</v>
      </c>
      <c r="T25" s="44">
        <f t="shared" si="2"/>
        <v>22</v>
      </c>
      <c r="U25" s="44" t="str">
        <f>IF($T25&lt;=Z$4,INDEX(TypicalCriticalitiesMAHBarrier23[Barrier Family Description],MATCH($T25,TypicalCriticalitiesMAHBarrier23[Barrier Family ID],0)),"")</f>
        <v>SIS - LoP Components</v>
      </c>
      <c r="V25" s="44" t="e">
        <f ca="1">IF($T25&lt;=AA$4,INDEX(TypicalCriticalitiesMAHBarrier23[Typical Components],MATCH($T25,TypicalCriticalitiesMAHBarrier23[Column2],0)),"")</f>
        <v>#N/A</v>
      </c>
      <c r="W25" s="2" t="e">
        <f ca="1">IF($T25&lt;=AA$4,INDEX(TypicalCriticalitiesMAHBarrier23[Typical Criticality],MATCH($T25,TypicalCriticalitiesMAHBarrier23[Column2],0)),"")</f>
        <v>#N/A</v>
      </c>
      <c r="AE25" s="44"/>
      <c r="AF25" s="44"/>
      <c r="AG25" s="44"/>
      <c r="AH25" s="44"/>
      <c r="AI25" s="44"/>
      <c r="AJ25" s="44"/>
    </row>
    <row r="26" spans="1:36">
      <c r="B26" s="2"/>
      <c r="D26" s="43"/>
      <c r="H26" t="s">
        <v>231</v>
      </c>
      <c r="J26" s="70">
        <v>5</v>
      </c>
      <c r="N26" s="54" t="s">
        <v>227</v>
      </c>
      <c r="O26" s="54" t="s">
        <v>228</v>
      </c>
      <c r="P26" s="54" t="s">
        <v>232</v>
      </c>
      <c r="Q26" s="55" t="s">
        <v>0</v>
      </c>
      <c r="R26" s="44">
        <f t="shared" si="0"/>
        <v>4</v>
      </c>
      <c r="S26" s="44" t="e">
        <f t="shared" ca="1" si="1"/>
        <v>#N/A</v>
      </c>
      <c r="T26" s="44">
        <f t="shared" si="2"/>
        <v>23</v>
      </c>
      <c r="U26" s="44" t="str">
        <f>IF($T26&lt;=Z$4,INDEX(TypicalCriticalitiesMAHBarrier23[Barrier Family Description],MATCH($T26,TypicalCriticalitiesMAHBarrier23[Barrier Family ID],0)),"")</f>
        <v>SIS - Non LoP Components</v>
      </c>
      <c r="V26" s="44" t="e">
        <f ca="1">IF($T26&lt;=AA$4,INDEX(TypicalCriticalitiesMAHBarrier23[Typical Components],MATCH($T26,TypicalCriticalitiesMAHBarrier23[Column2],0)),"")</f>
        <v>#N/A</v>
      </c>
      <c r="W26" s="2" t="e">
        <f ca="1">IF($T26&lt;=AA$4,INDEX(TypicalCriticalitiesMAHBarrier23[Typical Criticality],MATCH($T26,TypicalCriticalitiesMAHBarrier23[Column2],0)),"")</f>
        <v>#N/A</v>
      </c>
      <c r="AE26" s="44"/>
      <c r="AF26" s="44"/>
      <c r="AG26" s="44"/>
      <c r="AH26" s="44"/>
      <c r="AI26" s="44"/>
      <c r="AJ26" s="44"/>
    </row>
    <row r="27" spans="1:36" s="43" customFormat="1">
      <c r="A27" s="46" t="s">
        <v>233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71" t="s">
        <v>234</v>
      </c>
      <c r="N27" s="54" t="s">
        <v>227</v>
      </c>
      <c r="O27" s="54" t="s">
        <v>235</v>
      </c>
      <c r="P27" s="54" t="s">
        <v>236</v>
      </c>
      <c r="Q27" s="55" t="s">
        <v>0</v>
      </c>
      <c r="R27" s="44">
        <f t="shared" si="0"/>
        <v>5</v>
      </c>
      <c r="S27" s="44" t="e">
        <f t="shared" ca="1" si="1"/>
        <v>#N/A</v>
      </c>
      <c r="T27" s="44">
        <f t="shared" si="2"/>
        <v>24</v>
      </c>
      <c r="U27" s="44" t="str">
        <f>IF($T27&lt;=Z$4,INDEX(TypicalCriticalitiesMAHBarrier23[Barrier Family Description],MATCH($T27,TypicalCriticalitiesMAHBarrier23[Barrier Family ID],0)),"")</f>
        <v>Alarms &amp; operator response</v>
      </c>
      <c r="V27" s="44" t="e">
        <f ca="1">IF($T27&lt;=AA$4,INDEX(TypicalCriticalitiesMAHBarrier23[Typical Components],MATCH($T27,TypicalCriticalitiesMAHBarrier23[Column2],0)),"")</f>
        <v>#N/A</v>
      </c>
      <c r="W27" s="2" t="e">
        <f ca="1">IF($T27&lt;=AA$4,INDEX(TypicalCriticalitiesMAHBarrier23[Typical Criticality],MATCH($T27,TypicalCriticalitiesMAHBarrier23[Column2],0)),"")</f>
        <v>#N/A</v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>
      <c r="A28" s="66" t="s">
        <v>212</v>
      </c>
      <c r="B28" s="4" t="s">
        <v>7</v>
      </c>
      <c r="C28" s="4">
        <v>8</v>
      </c>
      <c r="D28" s="61">
        <f>MATCH(B28,{"H","G","F","E","D","C","B","A"},0)+MATCH(C28, {1,2,3,4,5,6,7,8}, 0) - 1</f>
        <v>8</v>
      </c>
      <c r="E28" s="67">
        <f>IF(ISERR(CODE(FAILURE_CODE_Financial_scenarios21[Impact])), "", CODE(FAILURE_CODE_Financial_scenarios21[Impact]))</f>
        <v>72</v>
      </c>
      <c r="F28" s="66" t="s">
        <v>216</v>
      </c>
      <c r="H28" s="72" t="s">
        <v>237</v>
      </c>
      <c r="I28" s="72"/>
      <c r="J28" s="72" t="s">
        <v>238</v>
      </c>
      <c r="K28" s="69" t="s">
        <v>125</v>
      </c>
      <c r="N28" s="54" t="s">
        <v>227</v>
      </c>
      <c r="O28" s="54" t="s">
        <v>235</v>
      </c>
      <c r="P28" s="54" t="s">
        <v>239</v>
      </c>
      <c r="Q28" s="55" t="s">
        <v>0</v>
      </c>
      <c r="R28" s="44">
        <f t="shared" si="0"/>
        <v>5</v>
      </c>
      <c r="S28" s="44" t="e">
        <f t="shared" ca="1" si="1"/>
        <v>#N/A</v>
      </c>
      <c r="T28" s="44">
        <f t="shared" si="2"/>
        <v>25</v>
      </c>
      <c r="U28" s="44" t="str">
        <f>IF($T28&lt;=Z$4,INDEX(TypicalCriticalitiesMAHBarrier23[Barrier Family Description],MATCH($T28,TypicalCriticalitiesMAHBarrier23[Barrier Family ID],0)),"")</f>
        <v>Collision Prevention</v>
      </c>
      <c r="V28" s="44" t="e">
        <f ca="1">IF($T28&lt;=AA$4,INDEX(TypicalCriticalitiesMAHBarrier23[Typical Components],MATCH($T28,TypicalCriticalitiesMAHBarrier23[Column2],0)),"")</f>
        <v>#N/A</v>
      </c>
      <c r="W28" s="2" t="e">
        <f ca="1">IF($T28&lt;=AA$4,INDEX(TypicalCriticalitiesMAHBarrier23[Typical Criticality],MATCH($T28,TypicalCriticalitiesMAHBarrier23[Column2],0)),"")</f>
        <v>#N/A</v>
      </c>
      <c r="AE28" s="44"/>
      <c r="AF28" s="44"/>
      <c r="AG28" s="44"/>
      <c r="AH28" s="44"/>
      <c r="AI28" s="44"/>
      <c r="AJ28" s="44"/>
    </row>
    <row r="29" spans="1:36">
      <c r="A29" s="66"/>
      <c r="B29" s="4"/>
      <c r="C29" s="4"/>
      <c r="D29" s="61" t="e">
        <f>MATCH(B29,{"H","G","F","E","D","C","B","A"},0)+MATCH(C29, {1,2,3,4,5,6,7,8}, 0) - 1</f>
        <v>#N/A</v>
      </c>
      <c r="E29" s="67" t="str">
        <f>IF(ISERR(CODE(FAILURE_CODE_Financial_scenarios21[Impact])), "", CODE(FAILURE_CODE_Financial_scenarios21[Impact]))</f>
        <v/>
      </c>
      <c r="F29" s="66"/>
      <c r="H29" t="s">
        <v>240</v>
      </c>
      <c r="J29" s="21" t="str">
        <f>IF(CODE(B11) &gt; CODE("E"),"Yes", "No")</f>
        <v>Yes</v>
      </c>
      <c r="K29" s="22" t="str">
        <f>IF(J29="Yes","C",
      IF(C10&gt;J26, "A", "B")
)</f>
        <v>C</v>
      </c>
      <c r="N29" s="54" t="s">
        <v>227</v>
      </c>
      <c r="O29" s="54" t="s">
        <v>235</v>
      </c>
      <c r="P29" s="54" t="s">
        <v>241</v>
      </c>
      <c r="Q29" s="55" t="s">
        <v>0</v>
      </c>
      <c r="R29" s="44">
        <f t="shared" si="0"/>
        <v>5</v>
      </c>
      <c r="S29" s="44" t="e">
        <f t="shared" ca="1" si="1"/>
        <v>#N/A</v>
      </c>
      <c r="T29" s="44">
        <f t="shared" si="2"/>
        <v>26</v>
      </c>
      <c r="U29" s="44" t="str">
        <f>IF($T29&lt;=Z$4,INDEX(TypicalCriticalitiesMAHBarrier23[Barrier Family Description],MATCH($T29,TypicalCriticalitiesMAHBarrier23[Barrier Family ID],0)),"")</f>
        <v>Export tanker birthing and position monitoring</v>
      </c>
      <c r="V29" s="44" t="e">
        <f ca="1">IF($T29&lt;=AA$4,INDEX(TypicalCriticalitiesMAHBarrier23[Typical Components],MATCH($T29,TypicalCriticalitiesMAHBarrier23[Column2],0)),"")</f>
        <v>#N/A</v>
      </c>
      <c r="W29" s="2" t="e">
        <f ca="1">IF($T29&lt;=AA$4,INDEX(TypicalCriticalitiesMAHBarrier23[Typical Criticality],MATCH($T29,TypicalCriticalitiesMAHBarrier23[Column2],0)),"")</f>
        <v>#N/A</v>
      </c>
      <c r="AE29" s="44"/>
      <c r="AF29" s="44"/>
      <c r="AG29" s="44"/>
      <c r="AH29" s="44"/>
      <c r="AI29" s="44"/>
      <c r="AJ29" s="44"/>
    </row>
    <row r="30" spans="1:36">
      <c r="A30" s="66"/>
      <c r="B30" s="4"/>
      <c r="C30" s="4"/>
      <c r="D30" s="73" t="e">
        <f>MATCH(B30,{"H","G","F","E","D","C","B","A"},0)+MATCH(C30, {1,2,3,4,5,6,7,8}, 0) - 1</f>
        <v>#N/A</v>
      </c>
      <c r="E30" s="74" t="str">
        <f>IF(ISERR(CODE(FAILURE_CODE_Financial_scenarios21[Impact])), "", CODE(FAILURE_CODE_Financial_scenarios21[Impact]))</f>
        <v/>
      </c>
      <c r="F30" s="66"/>
      <c r="H30" t="s">
        <v>242</v>
      </c>
      <c r="J30" s="21" t="str">
        <f>IF(CODE(B11) &gt; CODE("F"),"Yes", "No")</f>
        <v>Yes</v>
      </c>
      <c r="K30" s="22" t="str">
        <f>IF(J30="Yes","C",
    IF(C11&gt;J26,"B", "C")
)</f>
        <v>C</v>
      </c>
      <c r="N30" s="54" t="s">
        <v>227</v>
      </c>
      <c r="O30" s="54" t="s">
        <v>243</v>
      </c>
      <c r="P30" s="54" t="s">
        <v>244</v>
      </c>
      <c r="Q30" s="55" t="s">
        <v>0</v>
      </c>
      <c r="R30" s="44">
        <f t="shared" si="0"/>
        <v>6</v>
      </c>
      <c r="S30" s="44" t="e">
        <f t="shared" ca="1" si="1"/>
        <v>#N/A</v>
      </c>
      <c r="T30" s="44">
        <f t="shared" si="2"/>
        <v>27</v>
      </c>
      <c r="U30" s="44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s="44" t="e">
        <f ca="1">IF($T30&lt;=AA$4,INDEX(TypicalCriticalitiesMAHBarrier23[Typical Components],MATCH($T30,TypicalCriticalitiesMAHBarrier23[Column2],0)),"")</f>
        <v>#N/A</v>
      </c>
      <c r="W30" s="2" t="e">
        <f ca="1">IF($T30&lt;=AA$4,INDEX(TypicalCriticalitiesMAHBarrier23[Typical Criticality],MATCH($T30,TypicalCriticalitiesMAHBarrier23[Column2],0)),"")</f>
        <v>#N/A</v>
      </c>
      <c r="AE30" s="44"/>
      <c r="AF30" s="44"/>
      <c r="AG30" s="44"/>
      <c r="AH30" s="44"/>
      <c r="AI30" s="44"/>
      <c r="AJ30" s="44"/>
    </row>
    <row r="31" spans="1:36">
      <c r="A31" s="66"/>
      <c r="B31" s="4"/>
      <c r="C31" s="4"/>
      <c r="D31" s="61" t="e">
        <f>MATCH(B31,{"H","G","F","E","D","C","B","A"},0)+MATCH(C31, {1,2,3,4,5,6,7,8}, 0) - 1</f>
        <v>#N/A</v>
      </c>
      <c r="E31" s="67" t="str">
        <f>IF(ISERR(CODE(FAILURE_CODE_Financial_scenarios21[Impact])), "", CODE(FAILURE_CODE_Financial_scenarios21[Impact]))</f>
        <v/>
      </c>
      <c r="F31" s="66"/>
      <c r="H31" t="s">
        <v>245</v>
      </c>
      <c r="J31" s="21" t="str">
        <f>IF(CODE(B11) &gt;= CODE("G"),"Yes", "No")</f>
        <v>Yes</v>
      </c>
      <c r="K31" s="22" t="str">
        <f>IF(J31="Yes","C","")</f>
        <v>C</v>
      </c>
      <c r="N31" s="54" t="s">
        <v>227</v>
      </c>
      <c r="O31" s="54" t="s">
        <v>243</v>
      </c>
      <c r="P31" s="54" t="s">
        <v>246</v>
      </c>
      <c r="Q31" s="55" t="s">
        <v>0</v>
      </c>
      <c r="R31" s="44">
        <f t="shared" si="0"/>
        <v>6</v>
      </c>
      <c r="S31" s="44" t="e">
        <f t="shared" ca="1" si="1"/>
        <v>#N/A</v>
      </c>
      <c r="T31" s="44">
        <f t="shared" si="2"/>
        <v>28</v>
      </c>
      <c r="U31" s="44" t="str">
        <f>IF($T31&lt;=Z$4,INDEX(TypicalCriticalitiesMAHBarrier23[Barrier Family Description],MATCH($T31,TypicalCriticalitiesMAHBarrier23[Barrier Family ID],0)),"")</f>
        <v xml:space="preserve">Passive Fire Protection </v>
      </c>
      <c r="V31" s="44" t="e">
        <f ca="1">IF($T31&lt;=AA$4,INDEX(TypicalCriticalitiesMAHBarrier23[Typical Components],MATCH($T31,TypicalCriticalitiesMAHBarrier23[Column2],0)),"")</f>
        <v>#N/A</v>
      </c>
      <c r="W31" s="2" t="e">
        <f ca="1">IF($T31&lt;=AA$4,INDEX(TypicalCriticalitiesMAHBarrier23[Typical Criticality],MATCH($T31,TypicalCriticalitiesMAHBarrier23[Column2],0)),"")</f>
        <v>#N/A</v>
      </c>
      <c r="AE31" s="44"/>
      <c r="AF31" s="44"/>
      <c r="AG31" s="44"/>
      <c r="AH31" s="44"/>
      <c r="AI31" s="44"/>
      <c r="AJ31" s="44"/>
    </row>
    <row r="32" spans="1:36" s="43" customFormat="1">
      <c r="A32" s="36"/>
      <c r="B32"/>
      <c r="C32"/>
      <c r="F32" s="36"/>
      <c r="H32"/>
      <c r="I32"/>
      <c r="J32"/>
      <c r="K32"/>
      <c r="N32" s="54" t="s">
        <v>227</v>
      </c>
      <c r="O32" s="54" t="s">
        <v>247</v>
      </c>
      <c r="P32" s="54" t="s">
        <v>248</v>
      </c>
      <c r="Q32" s="55" t="s">
        <v>0</v>
      </c>
      <c r="R32" s="44">
        <f t="shared" si="0"/>
        <v>7</v>
      </c>
      <c r="S32" s="44" t="e">
        <f t="shared" ca="1" si="1"/>
        <v>#N/A</v>
      </c>
      <c r="T32" s="44">
        <f t="shared" si="2"/>
        <v>29</v>
      </c>
      <c r="U32" s="44" t="str">
        <f>IF($T32&lt;=Z$4,INDEX(TypicalCriticalitiesMAHBarrier23[Barrier Family Description],MATCH($T32,TypicalCriticalitiesMAHBarrier23[Barrier Family ID],0)),"")</f>
        <v xml:space="preserve">Blast Overpressure Protection </v>
      </c>
      <c r="V32" s="44" t="e">
        <f ca="1">IF($T32&lt;=AA$4,INDEX(TypicalCriticalitiesMAHBarrier23[Typical Components],MATCH($T32,TypicalCriticalitiesMAHBarrier23[Column2],0)),"")</f>
        <v>#N/A</v>
      </c>
      <c r="W32" s="2" t="e">
        <f ca="1">IF($T32&lt;=AA$4,INDEX(TypicalCriticalitiesMAHBarrier23[Typical Criticality],MATCH($T32,TypicalCriticalitiesMAHBarrier23[Column2],0)),"")</f>
        <v>#N/A</v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>
      <c r="A33" s="46" t="s">
        <v>249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65" t="s">
        <v>250</v>
      </c>
      <c r="N33" s="54" t="s">
        <v>227</v>
      </c>
      <c r="O33" s="54" t="s">
        <v>247</v>
      </c>
      <c r="P33" s="54" t="s">
        <v>251</v>
      </c>
      <c r="Q33" s="55" t="s">
        <v>0</v>
      </c>
      <c r="R33" s="44">
        <f t="shared" si="0"/>
        <v>7</v>
      </c>
      <c r="S33" s="44" t="e">
        <f t="shared" ca="1" si="1"/>
        <v>#N/A</v>
      </c>
      <c r="T33" s="44">
        <f t="shared" si="2"/>
        <v>30</v>
      </c>
      <c r="U33" s="44" t="str">
        <f>IF($T33&lt;=Z$4,INDEX(TypicalCriticalitiesMAHBarrier23[Barrier Family Description],MATCH($T33,TypicalCriticalitiesMAHBarrier23[Barrier Family ID],0)),"")</f>
        <v xml:space="preserve">Temporary refuge integrity </v>
      </c>
      <c r="V33" s="44" t="e">
        <f ca="1">IF($T33&lt;=AA$4,INDEX(TypicalCriticalitiesMAHBarrier23[Typical Components],MATCH($T33,TypicalCriticalitiesMAHBarrier23[Column2],0)),"")</f>
        <v>#N/A</v>
      </c>
      <c r="W33" s="2" t="e">
        <f ca="1">IF($T33&lt;=AA$4,INDEX(TypicalCriticalitiesMAHBarrier23[Typical Criticality],MATCH($T33,TypicalCriticalitiesMAHBarrier23[Column2],0)),"")</f>
        <v>#N/A</v>
      </c>
      <c r="AE33" s="44"/>
      <c r="AF33" s="44"/>
      <c r="AG33" s="44"/>
      <c r="AH33" s="44"/>
      <c r="AI33" s="44"/>
      <c r="AJ33" s="44"/>
    </row>
    <row r="34" spans="1:36">
      <c r="A34" s="66" t="s">
        <v>212</v>
      </c>
      <c r="B34" s="4" t="s">
        <v>7</v>
      </c>
      <c r="C34" s="4">
        <v>8</v>
      </c>
      <c r="D34" s="61">
        <f>MATCH(B34,{"H","G","F","E","D","C","B","A"},0)+MATCH(C34, {1,2,3,4,5,6,7,8}, 0) - 1</f>
        <v>8</v>
      </c>
      <c r="E34" s="67">
        <f>IF(ISERR(CODE(FAILURE_CODE_Non_Financial_scenarios22[Impact])), "", CODE(FAILURE_CODE_Non_Financial_scenarios22[Impact]))</f>
        <v>72</v>
      </c>
      <c r="F34" s="66" t="s">
        <v>627</v>
      </c>
      <c r="H34" s="72" t="s">
        <v>237</v>
      </c>
      <c r="I34" s="72"/>
      <c r="J34" s="72" t="s">
        <v>238</v>
      </c>
      <c r="K34" s="69" t="s">
        <v>125</v>
      </c>
      <c r="N34" s="54" t="s">
        <v>227</v>
      </c>
      <c r="O34" s="54" t="s">
        <v>247</v>
      </c>
      <c r="P34" s="54" t="s">
        <v>252</v>
      </c>
      <c r="Q34" s="55" t="s">
        <v>0</v>
      </c>
      <c r="R34" s="44">
        <f t="shared" si="0"/>
        <v>7</v>
      </c>
      <c r="S34" s="44" t="e">
        <f t="shared" ca="1" si="1"/>
        <v>#N/A</v>
      </c>
      <c r="T34" s="44">
        <f t="shared" si="2"/>
        <v>31</v>
      </c>
      <c r="U34" s="44" t="str">
        <f>IF($T34&lt;=Z$4,INDEX(TypicalCriticalitiesMAHBarrier23[Barrier Family Description],MATCH($T34,TypicalCriticalitiesMAHBarrier23[Barrier Family ID],0)),"")</f>
        <v xml:space="preserve">Alarm Annunciation System:  </v>
      </c>
      <c r="V34" s="44" t="e">
        <f ca="1">IF($T34&lt;=AA$4,INDEX(TypicalCriticalitiesMAHBarrier23[Typical Components],MATCH($T34,TypicalCriticalitiesMAHBarrier23[Column2],0)),"")</f>
        <v>#N/A</v>
      </c>
      <c r="W34" s="2" t="e">
        <f ca="1">IF($T34&lt;=AA$4,INDEX(TypicalCriticalitiesMAHBarrier23[Typical Criticality],MATCH($T34,TypicalCriticalitiesMAHBarrier23[Column2],0)),"")</f>
        <v>#N/A</v>
      </c>
      <c r="AE34" s="44"/>
      <c r="AF34" s="44"/>
      <c r="AG34" s="44"/>
      <c r="AH34" s="44"/>
      <c r="AI34" s="44"/>
      <c r="AJ34" s="44"/>
    </row>
    <row r="35" spans="1:36">
      <c r="A35" s="66"/>
      <c r="B35" s="4"/>
      <c r="C35" s="4"/>
      <c r="D35" s="61" t="e">
        <f>MATCH(B35,{"H","G","F","E","D","C","B","A"},0)+MATCH(C35, {1,2,3,4,5,6,7,8}, 0) - 1</f>
        <v>#N/A</v>
      </c>
      <c r="E35" s="67" t="str">
        <f>IF(ISERR(CODE(FAILURE_CODE_Non_Financial_scenarios22[Impact])), "", CODE(FAILURE_CODE_Non_Financial_scenarios22[Impact]))</f>
        <v/>
      </c>
      <c r="F35" s="66"/>
      <c r="H35" t="s">
        <v>628</v>
      </c>
      <c r="J35" s="6" t="s">
        <v>194</v>
      </c>
      <c r="K35" s="22" t="str">
        <f>IF(J35="yes", "A", "C")</f>
        <v>C</v>
      </c>
      <c r="N35" s="54" t="s">
        <v>227</v>
      </c>
      <c r="O35" s="54" t="s">
        <v>247</v>
      </c>
      <c r="P35" s="54" t="s">
        <v>253</v>
      </c>
      <c r="Q35" s="55" t="s">
        <v>0</v>
      </c>
      <c r="R35" s="44">
        <f t="shared" si="0"/>
        <v>7</v>
      </c>
      <c r="S35" s="44" t="e">
        <f t="shared" ca="1" si="1"/>
        <v>#N/A</v>
      </c>
      <c r="T35" s="44">
        <f t="shared" si="2"/>
        <v>32</v>
      </c>
      <c r="U35" s="44" t="str">
        <f>IF($T35&lt;=Z$4,INDEX(TypicalCriticalitiesMAHBarrier23[Barrier Family Description],MATCH($T35,TypicalCriticalitiesMAHBarrier23[Barrier Family ID],0)),"")</f>
        <v xml:space="preserve">Personnel Address (PA) System </v>
      </c>
      <c r="V35" s="44" t="e">
        <f ca="1">IF($T35&lt;=AA$4,INDEX(TypicalCriticalitiesMAHBarrier23[Typical Components],MATCH($T35,TypicalCriticalitiesMAHBarrier23[Column2],0)),"")</f>
        <v>#N/A</v>
      </c>
      <c r="W35" s="2" t="e">
        <f ca="1">IF($T35&lt;=AA$4,INDEX(TypicalCriticalitiesMAHBarrier23[Typical Criticality],MATCH($T35,TypicalCriticalitiesMAHBarrier23[Column2],0)),"")</f>
        <v>#N/A</v>
      </c>
      <c r="AE35" s="44"/>
      <c r="AF35" s="44"/>
      <c r="AG35" s="44"/>
      <c r="AH35" s="44"/>
      <c r="AI35" s="44"/>
      <c r="AJ35" s="44"/>
    </row>
    <row r="36" spans="1:36">
      <c r="A36" s="66"/>
      <c r="B36" s="4"/>
      <c r="C36" s="4"/>
      <c r="D36" s="61" t="e">
        <f>MATCH(B36,{"H","G","F","E","D","C","B","A"},0)+MATCH(C36, {1,2,3,4,5,6,7,8}, 0) - 1</f>
        <v>#N/A</v>
      </c>
      <c r="E36" s="67" t="str">
        <f>IF(ISERR(CODE(FAILURE_CODE_Non_Financial_scenarios22[Impact])), "", CODE(FAILURE_CODE_Non_Financial_scenarios22[Impact]))</f>
        <v/>
      </c>
      <c r="F36" s="66"/>
      <c r="H36" t="s">
        <v>254</v>
      </c>
      <c r="J36" s="21" t="str">
        <f>IF(AND(CODE(B12)&lt;CODE("E"), C12&gt;$J$26),"Yes","No")</f>
        <v>No</v>
      </c>
      <c r="K36" s="22" t="str">
        <f>IF(J36="yes", "A", "C")</f>
        <v>C</v>
      </c>
      <c r="N36" s="54" t="s">
        <v>227</v>
      </c>
      <c r="O36" s="54" t="s">
        <v>255</v>
      </c>
      <c r="P36" s="54" t="s">
        <v>256</v>
      </c>
      <c r="Q36" s="55" t="s">
        <v>0</v>
      </c>
      <c r="R36" s="44">
        <f t="shared" si="0"/>
        <v>8</v>
      </c>
      <c r="S36" s="44" t="e">
        <f t="shared" ca="1" si="1"/>
        <v>#N/A</v>
      </c>
      <c r="T36" s="44">
        <f t="shared" si="2"/>
        <v>33</v>
      </c>
      <c r="U36" s="44" t="str">
        <f>IF($T36&lt;=Z$4,INDEX(TypicalCriticalitiesMAHBarrier23[Barrier Family Description],MATCH($T36,TypicalCriticalitiesMAHBarrier23[Barrier Family ID],0)),"")</f>
        <v>Marine, Aircraft and Helicopter Radio System</v>
      </c>
      <c r="V36" s="44" t="e">
        <f ca="1">IF($T36&lt;=AA$4,INDEX(TypicalCriticalitiesMAHBarrier23[Typical Components],MATCH($T36,TypicalCriticalitiesMAHBarrier23[Column2],0)),"")</f>
        <v>#N/A</v>
      </c>
      <c r="W36" s="2" t="e">
        <f ca="1">IF($T36&lt;=AA$4,INDEX(TypicalCriticalitiesMAHBarrier23[Typical Criticality],MATCH($T36,TypicalCriticalitiesMAHBarrier23[Column2],0)),"")</f>
        <v>#N/A</v>
      </c>
      <c r="AE36" s="44"/>
      <c r="AF36" s="44"/>
      <c r="AG36" s="44"/>
      <c r="AH36" s="44"/>
      <c r="AI36" s="44"/>
      <c r="AJ36" s="44"/>
    </row>
    <row r="37" spans="1:36" ht="30">
      <c r="A37"/>
      <c r="C37"/>
      <c r="D37"/>
      <c r="E37"/>
      <c r="F37"/>
      <c r="H37" s="36" t="s">
        <v>257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s="54" t="s">
        <v>227</v>
      </c>
      <c r="O37" s="54" t="s">
        <v>255</v>
      </c>
      <c r="P37" s="54" t="s">
        <v>258</v>
      </c>
      <c r="Q37" s="55" t="s">
        <v>0</v>
      </c>
      <c r="R37" s="44">
        <f t="shared" si="0"/>
        <v>8</v>
      </c>
      <c r="S37" s="44" t="e">
        <f t="shared" ca="1" si="1"/>
        <v>#N/A</v>
      </c>
      <c r="T37" s="44">
        <f t="shared" si="2"/>
        <v>34</v>
      </c>
      <c r="U37" s="44" t="str">
        <f>IF($T37&lt;=Z$4,INDEX(TypicalCriticalitiesMAHBarrier23[Barrier Family Description],MATCH($T37,TypicalCriticalitiesMAHBarrier23[Barrier Family ID],0)),"")</f>
        <v>Emergency Power</v>
      </c>
      <c r="V37" s="44" t="e">
        <f ca="1">IF($T37&lt;=AA$4,INDEX(TypicalCriticalitiesMAHBarrier23[Typical Components],MATCH($T37,TypicalCriticalitiesMAHBarrier23[Column2],0)),"")</f>
        <v>#N/A</v>
      </c>
      <c r="W37" s="2" t="e">
        <f ca="1">IF($T37&lt;=AA$4,INDEX(TypicalCriticalitiesMAHBarrier23[Typical Criticality],MATCH($T37,TypicalCriticalitiesMAHBarrier23[Column2],0)),"")</f>
        <v>#N/A</v>
      </c>
      <c r="AE37" s="44"/>
      <c r="AF37" s="44"/>
      <c r="AG37" s="44"/>
      <c r="AH37" s="44"/>
      <c r="AI37" s="44"/>
      <c r="AJ37" s="44"/>
    </row>
    <row r="38" spans="1:36">
      <c r="A38"/>
      <c r="C38"/>
      <c r="D38"/>
      <c r="E38"/>
      <c r="F38"/>
      <c r="H38" s="75"/>
      <c r="I38" s="75"/>
      <c r="N38" s="54" t="s">
        <v>227</v>
      </c>
      <c r="O38" s="54" t="s">
        <v>255</v>
      </c>
      <c r="P38" s="54" t="s">
        <v>259</v>
      </c>
      <c r="Q38" s="55" t="s">
        <v>0</v>
      </c>
      <c r="R38" s="44">
        <f t="shared" si="0"/>
        <v>8</v>
      </c>
      <c r="S38" s="44" t="e">
        <f t="shared" ca="1" si="1"/>
        <v>#N/A</v>
      </c>
      <c r="T38" s="44">
        <f t="shared" si="2"/>
        <v>35</v>
      </c>
      <c r="U38" s="44" t="str">
        <f>IF($T38&lt;=Z$4,INDEX(TypicalCriticalitiesMAHBarrier23[Barrier Family Description],MATCH($T38,TypicalCriticalitiesMAHBarrier23[Barrier Family ID],0)),"")</f>
        <v>Emergency Lighting</v>
      </c>
      <c r="V38" s="44" t="e">
        <f ca="1">IF($T38&lt;=AA$4,INDEX(TypicalCriticalitiesMAHBarrier23[Typical Components],MATCH($T38,TypicalCriticalitiesMAHBarrier23[Column2],0)),"")</f>
        <v>#N/A</v>
      </c>
      <c r="W38" s="2" t="e">
        <f ca="1">IF($T38&lt;=AA$4,INDEX(TypicalCriticalitiesMAHBarrier23[Typical Criticality],MATCH($T38,TypicalCriticalitiesMAHBarrier23[Column2],0)),"")</f>
        <v>#N/A</v>
      </c>
      <c r="AE38" s="44"/>
      <c r="AF38" s="44"/>
      <c r="AG38" s="44"/>
      <c r="AH38" s="44"/>
      <c r="AI38" s="44"/>
      <c r="AJ38" s="44"/>
    </row>
    <row r="39" spans="1:36">
      <c r="N39" s="54" t="s">
        <v>260</v>
      </c>
      <c r="O39" s="54" t="s">
        <v>261</v>
      </c>
      <c r="P39" s="54" t="s">
        <v>262</v>
      </c>
      <c r="Q39" s="55" t="s">
        <v>1</v>
      </c>
      <c r="R39" s="44">
        <f t="shared" si="0"/>
        <v>9</v>
      </c>
      <c r="S39" s="44" t="e">
        <f t="shared" ca="1" si="1"/>
        <v>#N/A</v>
      </c>
      <c r="T39" s="44">
        <f t="shared" si="2"/>
        <v>36</v>
      </c>
      <c r="U39" s="44" t="str">
        <f>IF($T39&lt;=Z$4,INDEX(TypicalCriticalitiesMAHBarrier23[Barrier Family Description],MATCH($T39,TypicalCriticalitiesMAHBarrier23[Barrier Family ID],0)),"")</f>
        <v>Ignition Prevention</v>
      </c>
      <c r="V39" s="44" t="e">
        <f ca="1">IF($T39&lt;=AA$4,INDEX(TypicalCriticalitiesMAHBarrier23[Typical Components],MATCH($T39,TypicalCriticalitiesMAHBarrier23[Column2],0)),"")</f>
        <v>#N/A</v>
      </c>
      <c r="W39" s="2" t="e">
        <f ca="1">IF($T39&lt;=AA$4,INDEX(TypicalCriticalitiesMAHBarrier23[Typical Criticality],MATCH($T39,TypicalCriticalitiesMAHBarrier23[Column2],0)),"")</f>
        <v>#N/A</v>
      </c>
      <c r="AE39" s="44"/>
      <c r="AF39" s="44"/>
      <c r="AG39" s="44"/>
      <c r="AH39" s="44"/>
      <c r="AI39" s="44"/>
      <c r="AJ39" s="44"/>
    </row>
    <row r="40" spans="1:36">
      <c r="N40" s="54" t="s">
        <v>260</v>
      </c>
      <c r="O40" s="54" t="s">
        <v>261</v>
      </c>
      <c r="P40" s="54" t="s">
        <v>263</v>
      </c>
      <c r="Q40" s="55" t="s">
        <v>1</v>
      </c>
      <c r="R40" s="44">
        <f t="shared" si="0"/>
        <v>9</v>
      </c>
      <c r="S40" s="44" t="e">
        <f t="shared" ca="1" si="1"/>
        <v>#N/A</v>
      </c>
      <c r="T40" s="44">
        <f t="shared" si="2"/>
        <v>37</v>
      </c>
      <c r="U40" s="44" t="str">
        <f>IF($T40&lt;=Z$4,INDEX(TypicalCriticalitiesMAHBarrier23[Barrier Family Description],MATCH($T40,TypicalCriticalitiesMAHBarrier23[Barrier Family ID],0)),"")</f>
        <v>Inert Gas Blanketing</v>
      </c>
      <c r="V40" s="44" t="e">
        <f ca="1">IF($T40&lt;=AA$4,INDEX(TypicalCriticalitiesMAHBarrier23[Typical Components],MATCH($T40,TypicalCriticalitiesMAHBarrier23[Column2],0)),"")</f>
        <v>#N/A</v>
      </c>
      <c r="W40" s="2" t="e">
        <f ca="1">IF($T40&lt;=AA$4,INDEX(TypicalCriticalitiesMAHBarrier23[Typical Criticality],MATCH($T40,TypicalCriticalitiesMAHBarrier23[Column2],0)),"")</f>
        <v>#N/A</v>
      </c>
      <c r="AE40" s="44"/>
      <c r="AF40" s="44"/>
      <c r="AG40" s="44"/>
      <c r="AH40" s="44"/>
      <c r="AI40" s="44"/>
      <c r="AJ40" s="44"/>
    </row>
    <row r="41" spans="1:36">
      <c r="N41" s="54" t="s">
        <v>260</v>
      </c>
      <c r="O41" s="54" t="s">
        <v>261</v>
      </c>
      <c r="P41" s="54" t="s">
        <v>264</v>
      </c>
      <c r="Q41" s="55" t="s">
        <v>1</v>
      </c>
      <c r="R41" s="44">
        <f t="shared" si="0"/>
        <v>9</v>
      </c>
      <c r="S41" s="44" t="e">
        <f t="shared" ca="1" si="1"/>
        <v>#N/A</v>
      </c>
      <c r="T41" s="44">
        <f t="shared" si="2"/>
        <v>38</v>
      </c>
      <c r="U41" s="44" t="str">
        <f>IF($T41&lt;=Z$4,INDEX(TypicalCriticalitiesMAHBarrier23[Barrier Family Description],MATCH($T41,TypicalCriticalitiesMAHBarrier23[Barrier Family ID],0)),"")</f>
        <v>Lifesaving Equipment</v>
      </c>
      <c r="V41" s="44" t="e">
        <f ca="1">IF($T41&lt;=AA$4,INDEX(TypicalCriticalitiesMAHBarrier23[Typical Components],MATCH($T41,TypicalCriticalitiesMAHBarrier23[Column2],0)),"")</f>
        <v>#N/A</v>
      </c>
      <c r="W41" s="2" t="e">
        <f ca="1">IF($T41&lt;=AA$4,INDEX(TypicalCriticalitiesMAHBarrier23[Typical Criticality],MATCH($T41,TypicalCriticalitiesMAHBarrier23[Column2],0)),"")</f>
        <v>#N/A</v>
      </c>
      <c r="AE41" s="44"/>
      <c r="AF41" s="44"/>
      <c r="AG41" s="44"/>
      <c r="AH41" s="44"/>
      <c r="AI41" s="44"/>
      <c r="AJ41" s="44"/>
    </row>
    <row r="42" spans="1:36">
      <c r="N42" s="54" t="s">
        <v>260</v>
      </c>
      <c r="O42" s="54" t="s">
        <v>261</v>
      </c>
      <c r="P42" s="54" t="s">
        <v>265</v>
      </c>
      <c r="Q42" s="55" t="s">
        <v>1</v>
      </c>
      <c r="R42" s="44">
        <f t="shared" si="0"/>
        <v>9</v>
      </c>
      <c r="S42" s="44" t="e">
        <f t="shared" ca="1" si="1"/>
        <v>#N/A</v>
      </c>
      <c r="T42" s="44">
        <f t="shared" si="2"/>
        <v>39</v>
      </c>
      <c r="U42" s="44" t="str">
        <f>IF($T42&lt;=Z$4,INDEX(TypicalCriticalitiesMAHBarrier23[Barrier Family Description],MATCH($T42,TypicalCriticalitiesMAHBarrier23[Barrier Family ID],0)),"")</f>
        <v>Muster areas, escape and evacuation routes</v>
      </c>
      <c r="V42" s="44" t="e">
        <f ca="1">IF($T42&lt;=AA$4,INDEX(TypicalCriticalitiesMAHBarrier23[Typical Components],MATCH($T42,TypicalCriticalitiesMAHBarrier23[Column2],0)),"")</f>
        <v>#N/A</v>
      </c>
      <c r="W42" s="2" t="e">
        <f ca="1">IF($T42&lt;=AA$4,INDEX(TypicalCriticalitiesMAHBarrier23[Typical Criticality],MATCH($T42,TypicalCriticalitiesMAHBarrier23[Column2],0)),"")</f>
        <v>#N/A</v>
      </c>
      <c r="AE42" s="44"/>
      <c r="AF42" s="44"/>
      <c r="AG42" s="44"/>
      <c r="AH42" s="44"/>
      <c r="AI42" s="44"/>
      <c r="AJ42" s="44"/>
    </row>
    <row r="43" spans="1:36">
      <c r="N43" s="54" t="s">
        <v>260</v>
      </c>
      <c r="O43" s="54" t="s">
        <v>261</v>
      </c>
      <c r="P43" s="54" t="s">
        <v>266</v>
      </c>
      <c r="Q43" s="55" t="s">
        <v>1</v>
      </c>
      <c r="R43" s="44">
        <f t="shared" si="0"/>
        <v>9</v>
      </c>
      <c r="S43" s="44" t="e">
        <f t="shared" ca="1" si="1"/>
        <v>#N/A</v>
      </c>
      <c r="T43" s="44">
        <f t="shared" si="2"/>
        <v>40</v>
      </c>
      <c r="U43" s="44" t="str">
        <f>IF($T43&lt;=Z$4,INDEX(TypicalCriticalitiesMAHBarrier23[Barrier Family Description],MATCH($T43,TypicalCriticalitiesMAHBarrier23[Barrier Family ID],0)),"")</f>
        <v>Lifeboats</v>
      </c>
      <c r="V43" s="44" t="e">
        <f ca="1">IF($T43&lt;=AA$4,INDEX(TypicalCriticalitiesMAHBarrier23[Typical Components],MATCH($T43,TypicalCriticalitiesMAHBarrier23[Column2],0)),"")</f>
        <v>#N/A</v>
      </c>
      <c r="W43" s="2" t="e">
        <f ca="1">IF($T43&lt;=AA$4,INDEX(TypicalCriticalitiesMAHBarrier23[Typical Criticality],MATCH($T43,TypicalCriticalitiesMAHBarrier23[Column2],0)),"")</f>
        <v>#N/A</v>
      </c>
      <c r="AE43" s="44"/>
      <c r="AF43" s="44"/>
      <c r="AG43" s="44"/>
      <c r="AH43" s="44"/>
      <c r="AI43" s="44"/>
      <c r="AJ43" s="44"/>
    </row>
    <row r="44" spans="1:36">
      <c r="N44" s="54" t="s">
        <v>260</v>
      </c>
      <c r="O44" s="54" t="s">
        <v>261</v>
      </c>
      <c r="P44" s="54" t="s">
        <v>267</v>
      </c>
      <c r="Q44" s="55" t="s">
        <v>1</v>
      </c>
      <c r="R44" s="44">
        <f t="shared" si="0"/>
        <v>9</v>
      </c>
      <c r="S44" s="44" t="e">
        <f t="shared" ca="1" si="1"/>
        <v>#N/A</v>
      </c>
      <c r="T44" s="44">
        <f t="shared" si="2"/>
        <v>41</v>
      </c>
      <c r="U44" s="44" t="str">
        <f>IF($T44&lt;=Z$4,INDEX(TypicalCriticalitiesMAHBarrier23[Barrier Family Description],MATCH($T44,TypicalCriticalitiesMAHBarrier23[Barrier Family ID],0)),"")</f>
        <v>Means of escape to sea</v>
      </c>
      <c r="V44" s="44" t="e">
        <f ca="1">IF($T44&lt;=AA$4,INDEX(TypicalCriticalitiesMAHBarrier23[Typical Components],MATCH($T44,TypicalCriticalitiesMAHBarrier23[Column2],0)),"")</f>
        <v>#N/A</v>
      </c>
      <c r="W44" s="2" t="e">
        <f ca="1">IF($T44&lt;=AA$4,INDEX(TypicalCriticalitiesMAHBarrier23[Typical Criticality],MATCH($T44,TypicalCriticalitiesMAHBarrier23[Column2],0)),"")</f>
        <v>#N/A</v>
      </c>
      <c r="AE44" s="44"/>
      <c r="AF44" s="44"/>
      <c r="AG44" s="44"/>
      <c r="AH44" s="44"/>
      <c r="AI44" s="44"/>
      <c r="AJ44" s="44"/>
    </row>
    <row r="45" spans="1:36">
      <c r="N45" s="54" t="s">
        <v>260</v>
      </c>
      <c r="O45" s="54" t="s">
        <v>261</v>
      </c>
      <c r="P45" s="54" t="s">
        <v>268</v>
      </c>
      <c r="Q45" s="55" t="s">
        <v>0</v>
      </c>
      <c r="R45" s="44">
        <f t="shared" si="0"/>
        <v>9</v>
      </c>
      <c r="S45" s="44" t="e">
        <f t="shared" ca="1" si="1"/>
        <v>#N/A</v>
      </c>
      <c r="T45" s="44">
        <f t="shared" si="2"/>
        <v>42</v>
      </c>
      <c r="U45" s="44" t="str">
        <f>IF($T45&lt;=Z$4,INDEX(TypicalCriticalitiesMAHBarrier23[Barrier Family Description],MATCH($T45,TypicalCriticalitiesMAHBarrier23[Barrier Family ID],0)),"")</f>
        <v>Helideck</v>
      </c>
      <c r="V45" s="44" t="e">
        <f ca="1">IF($T45&lt;=AA$4,INDEX(TypicalCriticalitiesMAHBarrier23[Typical Components],MATCH($T45,TypicalCriticalitiesMAHBarrier23[Column2],0)),"")</f>
        <v>#N/A</v>
      </c>
      <c r="W45" s="2" t="e">
        <f ca="1">IF($T45&lt;=AA$4,INDEX(TypicalCriticalitiesMAHBarrier23[Typical Criticality],MATCH($T45,TypicalCriticalitiesMAHBarrier23[Column2],0)),"")</f>
        <v>#N/A</v>
      </c>
      <c r="AE45" s="44"/>
      <c r="AF45" s="44"/>
      <c r="AG45" s="44"/>
      <c r="AH45" s="44"/>
      <c r="AI45" s="44"/>
      <c r="AJ45" s="44"/>
    </row>
    <row r="46" spans="1:36">
      <c r="N46" s="54" t="s">
        <v>269</v>
      </c>
      <c r="O46" s="54" t="s">
        <v>270</v>
      </c>
      <c r="P46" s="54" t="s">
        <v>271</v>
      </c>
      <c r="Q46" s="55" t="s">
        <v>0</v>
      </c>
      <c r="R46" s="44">
        <f t="shared" si="0"/>
        <v>10</v>
      </c>
      <c r="S46" s="44" t="e">
        <f t="shared" ca="1" si="1"/>
        <v>#N/A</v>
      </c>
      <c r="T46" s="44">
        <f t="shared" si="2"/>
        <v>43</v>
      </c>
      <c r="U46" s="44" t="str">
        <f>IF($T46&lt;=Z$4,INDEX(TypicalCriticalitiesMAHBarrier23[Barrier Family Description],MATCH($T46,TypicalCriticalitiesMAHBarrier23[Barrier Family ID],0)),"")</f>
        <v>Rescue &amp; Recovery Systems</v>
      </c>
      <c r="V46" s="44" t="e">
        <f ca="1">IF($T46&lt;=AA$4,INDEX(TypicalCriticalitiesMAHBarrier23[Typical Components],MATCH($T46,TypicalCriticalitiesMAHBarrier23[Column2],0)),"")</f>
        <v>#N/A</v>
      </c>
      <c r="W46" s="2" t="e">
        <f ca="1">IF($T46&lt;=AA$4,INDEX(TypicalCriticalitiesMAHBarrier23[Typical Criticality],MATCH($T46,TypicalCriticalitiesMAHBarrier23[Column2],0)),"")</f>
        <v>#N/A</v>
      </c>
      <c r="AE46" s="44"/>
      <c r="AF46" s="44"/>
      <c r="AG46" s="44"/>
      <c r="AH46" s="44"/>
      <c r="AI46" s="44"/>
      <c r="AJ46" s="44"/>
    </row>
    <row r="47" spans="1:36">
      <c r="N47" s="54" t="s">
        <v>269</v>
      </c>
      <c r="O47" s="54" t="s">
        <v>270</v>
      </c>
      <c r="P47" s="54" t="s">
        <v>272</v>
      </c>
      <c r="Q47" s="55" t="s">
        <v>0</v>
      </c>
      <c r="R47" s="44">
        <f t="shared" si="0"/>
        <v>10</v>
      </c>
      <c r="S47" s="44" t="e">
        <f t="shared" ca="1" si="1"/>
        <v>#N/A</v>
      </c>
      <c r="T47" s="44">
        <f t="shared" si="2"/>
        <v>44</v>
      </c>
      <c r="U47" s="44" t="str">
        <f>IF($T47&lt;=Z$4,INDEX(TypicalCriticalitiesMAHBarrier23[Barrier Family Description],MATCH($T47,TypicalCriticalitiesMAHBarrier23[Barrier Family ID],0)),"")</f>
        <v>Cranes</v>
      </c>
      <c r="V47" s="44" t="e">
        <f ca="1">IF($T47&lt;=AA$4,INDEX(TypicalCriticalitiesMAHBarrier23[Typical Components],MATCH($T47,TypicalCriticalitiesMAHBarrier23[Column2],0)),"")</f>
        <v>#N/A</v>
      </c>
      <c r="W47" s="2" t="e">
        <f ca="1">IF($T47&lt;=AA$4,INDEX(TypicalCriticalitiesMAHBarrier23[Typical Criticality],MATCH($T47,TypicalCriticalitiesMAHBarrier23[Column2],0)),"")</f>
        <v>#N/A</v>
      </c>
      <c r="AE47" s="44"/>
      <c r="AF47" s="44"/>
      <c r="AG47" s="44"/>
      <c r="AH47" s="44"/>
      <c r="AI47" s="44"/>
      <c r="AJ47" s="44"/>
    </row>
    <row r="48" spans="1:36">
      <c r="N48" s="54" t="s">
        <v>269</v>
      </c>
      <c r="O48" s="54" t="s">
        <v>270</v>
      </c>
      <c r="P48" s="54" t="s">
        <v>273</v>
      </c>
      <c r="Q48" s="55" t="s">
        <v>0</v>
      </c>
      <c r="R48" s="44">
        <f t="shared" si="0"/>
        <v>10</v>
      </c>
      <c r="S48" s="44" t="e">
        <f t="shared" ca="1" si="1"/>
        <v>#N/A</v>
      </c>
      <c r="T48" s="44">
        <f t="shared" si="2"/>
        <v>45</v>
      </c>
      <c r="U48" s="44" t="str">
        <f>IF($T48&lt;=Z$4,INDEX(TypicalCriticalitiesMAHBarrier23[Barrier Family Description],MATCH($T48,TypicalCriticalitiesMAHBarrier23[Barrier Family ID],0)),"")</f>
        <v>Lifting system</v>
      </c>
      <c r="V48" s="44" t="e">
        <f ca="1">IF($T48&lt;=AA$4,INDEX(TypicalCriticalitiesMAHBarrier23[Typical Components],MATCH($T48,TypicalCriticalitiesMAHBarrier23[Column2],0)),"")</f>
        <v>#N/A</v>
      </c>
      <c r="W48" s="2" t="e">
        <f ca="1">IF($T48&lt;=AA$4,INDEX(TypicalCriticalitiesMAHBarrier23[Typical Criticality],MATCH($T48,TypicalCriticalitiesMAHBarrier23[Column2],0)),"")</f>
        <v>#N/A</v>
      </c>
      <c r="AE48" s="44"/>
      <c r="AF48" s="44"/>
      <c r="AG48" s="44"/>
      <c r="AH48" s="44"/>
      <c r="AI48" s="44"/>
      <c r="AJ48" s="44"/>
    </row>
    <row r="49" spans="14:36">
      <c r="N49" s="54" t="s">
        <v>269</v>
      </c>
      <c r="O49" s="54" t="s">
        <v>270</v>
      </c>
      <c r="P49" s="54" t="s">
        <v>274</v>
      </c>
      <c r="Q49" s="55" t="s">
        <v>0</v>
      </c>
      <c r="R49" s="44">
        <f t="shared" si="0"/>
        <v>10</v>
      </c>
      <c r="S49" s="44" t="e">
        <f t="shared" ca="1" si="1"/>
        <v>#N/A</v>
      </c>
      <c r="T49" s="44">
        <f t="shared" si="2"/>
        <v>46</v>
      </c>
      <c r="U49" s="44" t="str">
        <f>IF($T49&lt;=Z$4,INDEX(TypicalCriticalitiesMAHBarrier23[Barrier Family Description],MATCH($T49,TypicalCriticalitiesMAHBarrier23[Barrier Family ID],0)),"")</f>
        <v xml:space="preserve"> Fire &amp; Gas systems</v>
      </c>
      <c r="V49" s="44" t="e">
        <f ca="1">IF($T49&lt;=AA$4,INDEX(TypicalCriticalitiesMAHBarrier23[Typical Components],MATCH($T49,TypicalCriticalitiesMAHBarrier23[Column2],0)),"")</f>
        <v>#N/A</v>
      </c>
      <c r="W49" s="2" t="e">
        <f ca="1">IF($T49&lt;=AA$4,INDEX(TypicalCriticalitiesMAHBarrier23[Typical Criticality],MATCH($T49,TypicalCriticalitiesMAHBarrier23[Column2],0)),"")</f>
        <v>#N/A</v>
      </c>
      <c r="AE49" s="44"/>
      <c r="AF49" s="44"/>
      <c r="AG49" s="44"/>
      <c r="AH49" s="44"/>
      <c r="AI49" s="44"/>
      <c r="AJ49" s="44"/>
    </row>
    <row r="50" spans="14:36">
      <c r="N50" s="54" t="s">
        <v>269</v>
      </c>
      <c r="O50" s="54" t="s">
        <v>270</v>
      </c>
      <c r="P50" s="54" t="s">
        <v>275</v>
      </c>
      <c r="Q50" s="55" t="s">
        <v>0</v>
      </c>
      <c r="R50" s="44">
        <f t="shared" si="0"/>
        <v>10</v>
      </c>
      <c r="S50" s="44" t="e">
        <f t="shared" ca="1" si="1"/>
        <v>#N/A</v>
      </c>
      <c r="T50" s="44">
        <f t="shared" si="2"/>
        <v>47</v>
      </c>
      <c r="U50" s="44" t="str">
        <f>IF($T50&lt;=Z$4,INDEX(TypicalCriticalitiesMAHBarrier23[Barrier Family Description],MATCH($T50,TypicalCriticalitiesMAHBarrier23[Barrier Family ID],0)),"")</f>
        <v>Emergency Shutdown Systems</v>
      </c>
      <c r="V50" s="44" t="e">
        <f ca="1">IF($T50&lt;=AA$4,INDEX(TypicalCriticalitiesMAHBarrier23[Typical Components],MATCH($T50,TypicalCriticalitiesMAHBarrier23[Column2],0)),"")</f>
        <v>#N/A</v>
      </c>
      <c r="W50" s="2" t="e">
        <f ca="1">IF($T50&lt;=AA$4,INDEX(TypicalCriticalitiesMAHBarrier23[Typical Criticality],MATCH($T50,TypicalCriticalitiesMAHBarrier23[Column2],0)),"")</f>
        <v>#N/A</v>
      </c>
      <c r="AE50" s="44"/>
      <c r="AF50" s="44"/>
      <c r="AG50" s="44"/>
      <c r="AH50" s="44"/>
      <c r="AI50" s="44"/>
      <c r="AJ50" s="44"/>
    </row>
    <row r="51" spans="14:36">
      <c r="N51" s="54" t="s">
        <v>269</v>
      </c>
      <c r="O51" s="54" t="s">
        <v>270</v>
      </c>
      <c r="P51" s="54" t="s">
        <v>276</v>
      </c>
      <c r="Q51" s="55" t="s">
        <v>1</v>
      </c>
      <c r="R51" s="44">
        <f t="shared" si="0"/>
        <v>10</v>
      </c>
      <c r="S51" s="44" t="e">
        <f t="shared" ca="1" si="1"/>
        <v>#N/A</v>
      </c>
      <c r="T51" s="44">
        <f t="shared" si="2"/>
        <v>48</v>
      </c>
      <c r="U51" s="44" t="str">
        <f>IF($T51&lt;=Z$4,INDEX(TypicalCriticalitiesMAHBarrier23[Barrier Family Description],MATCH($T51,TypicalCriticalitiesMAHBarrier23[Barrier Family ID],0)),"")</f>
        <v>Riser ESDVs &amp; EIVs</v>
      </c>
      <c r="V51" s="44" t="e">
        <f ca="1">IF($T51&lt;=AA$4,INDEX(TypicalCriticalitiesMAHBarrier23[Typical Components],MATCH($T51,TypicalCriticalitiesMAHBarrier23[Column2],0)),"")</f>
        <v>#N/A</v>
      </c>
      <c r="W51" s="2" t="e">
        <f ca="1">IF($T51&lt;=AA$4,INDEX(TypicalCriticalitiesMAHBarrier23[Typical Criticality],MATCH($T51,TypicalCriticalitiesMAHBarrier23[Column2],0)),"")</f>
        <v>#N/A</v>
      </c>
      <c r="AE51" s="44"/>
      <c r="AF51" s="44"/>
      <c r="AG51" s="44"/>
      <c r="AH51" s="44"/>
      <c r="AI51" s="44"/>
      <c r="AJ51" s="44"/>
    </row>
    <row r="52" spans="14:36">
      <c r="N52" s="54" t="s">
        <v>269</v>
      </c>
      <c r="O52" s="54" t="s">
        <v>270</v>
      </c>
      <c r="P52" s="54" t="s">
        <v>277</v>
      </c>
      <c r="Q52" s="55" t="s">
        <v>0</v>
      </c>
      <c r="R52" s="44">
        <f t="shared" si="0"/>
        <v>10</v>
      </c>
      <c r="S52" s="44" t="e">
        <f t="shared" ca="1" si="1"/>
        <v>#N/A</v>
      </c>
      <c r="T52" s="44">
        <f t="shared" si="2"/>
        <v>49</v>
      </c>
      <c r="U52" s="44" t="str">
        <f>IF($T52&lt;=Z$4,INDEX(TypicalCriticalitiesMAHBarrier23[Barrier Family Description],MATCH($T52,TypicalCriticalitiesMAHBarrier23[Barrier Family ID],0)),"")</f>
        <v>Fire protection</v>
      </c>
      <c r="V52" s="44" t="e">
        <f ca="1">IF($T52&lt;=AA$4,INDEX(TypicalCriticalitiesMAHBarrier23[Typical Components],MATCH($T52,TypicalCriticalitiesMAHBarrier23[Column2],0)),"")</f>
        <v>#N/A</v>
      </c>
      <c r="W52" s="2" t="e">
        <f ca="1">IF($T52&lt;=AA$4,INDEX(TypicalCriticalitiesMAHBarrier23[Typical Criticality],MATCH($T52,TypicalCriticalitiesMAHBarrier23[Column2],0)),"")</f>
        <v>#N/A</v>
      </c>
      <c r="AE52" s="44"/>
      <c r="AF52" s="44"/>
      <c r="AG52" s="44"/>
      <c r="AH52" s="44"/>
      <c r="AI52" s="44"/>
      <c r="AJ52" s="44"/>
    </row>
    <row r="53" spans="14:36">
      <c r="N53" s="54" t="s">
        <v>269</v>
      </c>
      <c r="O53" s="54" t="s">
        <v>270</v>
      </c>
      <c r="P53" s="54" t="s">
        <v>278</v>
      </c>
      <c r="Q53" s="55" t="s">
        <v>0</v>
      </c>
      <c r="R53" s="44">
        <f t="shared" si="0"/>
        <v>10</v>
      </c>
      <c r="S53" s="44" t="e">
        <f t="shared" ca="1" si="1"/>
        <v>#N/A</v>
      </c>
      <c r="T53" s="44">
        <f t="shared" si="2"/>
        <v>50</v>
      </c>
      <c r="U53" s="44" t="str">
        <f>IF($T53&lt;=Z$4,INDEX(TypicalCriticalitiesMAHBarrier23[Barrier Family Description],MATCH($T53,TypicalCriticalitiesMAHBarrier23[Barrier Family ID],0)),"")</f>
        <v>Miscellaneous fire protection systems</v>
      </c>
      <c r="V53" s="44" t="e">
        <f ca="1">IF($T53&lt;=AA$4,INDEX(TypicalCriticalitiesMAHBarrier23[Typical Components],MATCH($T53,TypicalCriticalitiesMAHBarrier23[Column2],0)),"")</f>
        <v>#N/A</v>
      </c>
      <c r="W53" s="2" t="e">
        <f ca="1">IF($T53&lt;=AA$4,INDEX(TypicalCriticalitiesMAHBarrier23[Typical Criticality],MATCH($T53,TypicalCriticalitiesMAHBarrier23[Column2],0)),"")</f>
        <v>#N/A</v>
      </c>
      <c r="AE53" s="44"/>
      <c r="AF53" s="44"/>
      <c r="AG53" s="44"/>
      <c r="AH53" s="44"/>
      <c r="AI53" s="44"/>
      <c r="AJ53" s="44"/>
    </row>
    <row r="54" spans="14:36">
      <c r="N54" s="54" t="s">
        <v>269</v>
      </c>
      <c r="O54" s="54" t="s">
        <v>270</v>
      </c>
      <c r="P54" s="54" t="s">
        <v>279</v>
      </c>
      <c r="Q54" s="55" t="s">
        <v>0</v>
      </c>
      <c r="R54" s="44">
        <f t="shared" si="0"/>
        <v>10</v>
      </c>
      <c r="S54" s="44" t="e">
        <f t="shared" ca="1" si="1"/>
        <v>#N/A</v>
      </c>
      <c r="T54" s="44">
        <f t="shared" si="2"/>
        <v>51</v>
      </c>
      <c r="U54" s="44" t="str">
        <f>IF($T54&lt;=Z$4,INDEX(TypicalCriticalitiesMAHBarrier23[Barrier Family Description],MATCH($T54,TypicalCriticalitiesMAHBarrier23[Barrier Family ID],0)),"")</f>
        <v/>
      </c>
      <c r="V54" s="44" t="e">
        <f ca="1">IF($T54&lt;=AA$4,INDEX(TypicalCriticalitiesMAHBarrier23[Typical Components],MATCH($T54,TypicalCriticalitiesMAHBarrier23[Column2],0)),"")</f>
        <v>#N/A</v>
      </c>
      <c r="W54" s="2" t="e">
        <f ca="1">IF($T54&lt;=AA$4,INDEX(TypicalCriticalitiesMAHBarrier23[Typical Criticality],MATCH($T54,TypicalCriticalitiesMAHBarrier23[Column2],0)),"")</f>
        <v>#N/A</v>
      </c>
      <c r="AE54" s="44"/>
      <c r="AF54" s="44"/>
      <c r="AG54" s="44"/>
      <c r="AH54" s="44"/>
      <c r="AI54" s="44"/>
      <c r="AJ54" s="44"/>
    </row>
    <row r="55" spans="14:36">
      <c r="N55" s="54" t="s">
        <v>269</v>
      </c>
      <c r="O55" s="54" t="s">
        <v>270</v>
      </c>
      <c r="P55" s="54" t="s">
        <v>280</v>
      </c>
      <c r="Q55" s="55" t="s">
        <v>1</v>
      </c>
      <c r="R55" s="44">
        <f t="shared" si="0"/>
        <v>10</v>
      </c>
      <c r="S55" s="44" t="e">
        <f t="shared" ca="1" si="1"/>
        <v>#N/A</v>
      </c>
      <c r="T55" s="44">
        <f t="shared" si="2"/>
        <v>52</v>
      </c>
      <c r="U55" s="44" t="str">
        <f>IF($T55&lt;=Z$4,INDEX(TypicalCriticalitiesMAHBarrier23[Barrier Family Description],MATCH($T55,TypicalCriticalitiesMAHBarrier23[Barrier Family ID],0)),"")</f>
        <v/>
      </c>
      <c r="V55" s="44" t="e">
        <f ca="1">IF($T55&lt;=AA$4,INDEX(TypicalCriticalitiesMAHBarrier23[Typical Components],MATCH($T55,TypicalCriticalitiesMAHBarrier23[Column2],0)),"")</f>
        <v>#N/A</v>
      </c>
      <c r="W55" s="2" t="e">
        <f ca="1">IF($T55&lt;=AA$4,INDEX(TypicalCriticalitiesMAHBarrier23[Typical Criticality],MATCH($T55,TypicalCriticalitiesMAHBarrier23[Column2],0)),"")</f>
        <v>#N/A</v>
      </c>
      <c r="AE55" s="44"/>
      <c r="AF55" s="44"/>
      <c r="AG55" s="44"/>
      <c r="AH55" s="44"/>
      <c r="AI55" s="44"/>
      <c r="AJ55" s="44"/>
    </row>
    <row r="56" spans="14:36">
      <c r="N56" s="54" t="s">
        <v>269</v>
      </c>
      <c r="O56" s="54" t="s">
        <v>270</v>
      </c>
      <c r="P56" s="54" t="s">
        <v>281</v>
      </c>
      <c r="Q56" s="55" t="s">
        <v>1</v>
      </c>
      <c r="R56" s="44">
        <f t="shared" si="0"/>
        <v>10</v>
      </c>
      <c r="S56" s="44" t="e">
        <f t="shared" ca="1" si="1"/>
        <v>#N/A</v>
      </c>
      <c r="T56" s="44">
        <f t="shared" si="2"/>
        <v>53</v>
      </c>
      <c r="U56" s="44" t="str">
        <f>IF($T56&lt;=Z$4,INDEX(TypicalCriticalitiesMAHBarrier23[Barrier Family Description],MATCH($T56,TypicalCriticalitiesMAHBarrier23[Barrier Family ID],0)),"")</f>
        <v/>
      </c>
      <c r="V56" s="44" t="e">
        <f ca="1">IF($T56&lt;=AA$4,INDEX(TypicalCriticalitiesMAHBarrier23[Typical Components],MATCH($T56,TypicalCriticalitiesMAHBarrier23[Column2],0)),"")</f>
        <v>#N/A</v>
      </c>
      <c r="W56" s="2" t="e">
        <f ca="1">IF($T56&lt;=AA$4,INDEX(TypicalCriticalitiesMAHBarrier23[Typical Criticality],MATCH($T56,TypicalCriticalitiesMAHBarrier23[Column2],0)),"")</f>
        <v>#N/A</v>
      </c>
      <c r="AE56" s="44"/>
      <c r="AF56" s="44"/>
      <c r="AG56" s="44"/>
      <c r="AH56" s="44"/>
      <c r="AI56" s="44"/>
      <c r="AJ56" s="44"/>
    </row>
    <row r="57" spans="14:36">
      <c r="N57" s="54" t="s">
        <v>269</v>
      </c>
      <c r="O57" s="54" t="s">
        <v>270</v>
      </c>
      <c r="P57" s="54" t="s">
        <v>282</v>
      </c>
      <c r="Q57" s="55" t="s">
        <v>1</v>
      </c>
      <c r="R57" s="44">
        <f t="shared" si="0"/>
        <v>10</v>
      </c>
      <c r="S57" s="44" t="e">
        <f t="shared" ca="1" si="1"/>
        <v>#N/A</v>
      </c>
      <c r="T57" s="44">
        <f t="shared" si="2"/>
        <v>54</v>
      </c>
      <c r="U57" s="44" t="str">
        <f>IF($T57&lt;=Z$4,INDEX(TypicalCriticalitiesMAHBarrier23[Barrier Family Description],MATCH($T57,TypicalCriticalitiesMAHBarrier23[Barrier Family ID],0)),"")</f>
        <v/>
      </c>
      <c r="V57" s="44" t="e">
        <f ca="1">IF($T57&lt;=AA$4,INDEX(TypicalCriticalitiesMAHBarrier23[Typical Components],MATCH($T57,TypicalCriticalitiesMAHBarrier23[Column2],0)),"")</f>
        <v>#N/A</v>
      </c>
      <c r="W57" s="2" t="e">
        <f ca="1">IF($T57&lt;=AA$4,INDEX(TypicalCriticalitiesMAHBarrier23[Typical Criticality],MATCH($T57,TypicalCriticalitiesMAHBarrier23[Column2],0)),"")</f>
        <v>#N/A</v>
      </c>
      <c r="AE57" s="44"/>
      <c r="AF57" s="44"/>
      <c r="AG57" s="44"/>
      <c r="AH57" s="44"/>
      <c r="AI57" s="44"/>
      <c r="AJ57" s="44"/>
    </row>
    <row r="58" spans="14:36">
      <c r="N58" s="54" t="s">
        <v>269</v>
      </c>
      <c r="O58" s="54" t="s">
        <v>270</v>
      </c>
      <c r="P58" s="54" t="s">
        <v>283</v>
      </c>
      <c r="Q58" s="55" t="s">
        <v>1</v>
      </c>
      <c r="R58" s="44">
        <f t="shared" si="0"/>
        <v>10</v>
      </c>
      <c r="S58" s="44" t="e">
        <f t="shared" ca="1" si="1"/>
        <v>#N/A</v>
      </c>
      <c r="T58" s="44">
        <f t="shared" si="2"/>
        <v>55</v>
      </c>
      <c r="U58" s="44" t="str">
        <f>IF($T58&lt;=Z$4,INDEX(TypicalCriticalitiesMAHBarrier23[Barrier Family Description],MATCH($T58,TypicalCriticalitiesMAHBarrier23[Barrier Family ID],0)),"")</f>
        <v/>
      </c>
      <c r="V58" s="44" t="e">
        <f ca="1">IF($T58&lt;=AA$4,INDEX(TypicalCriticalitiesMAHBarrier23[Typical Components],MATCH($T58,TypicalCriticalitiesMAHBarrier23[Column2],0)),"")</f>
        <v>#N/A</v>
      </c>
      <c r="W58" s="2" t="e">
        <f ca="1">IF($T58&lt;=AA$4,INDEX(TypicalCriticalitiesMAHBarrier23[Typical Criticality],MATCH($T58,TypicalCriticalitiesMAHBarrier23[Column2],0)),"")</f>
        <v>#N/A</v>
      </c>
      <c r="AE58" s="44"/>
      <c r="AF58" s="44"/>
      <c r="AG58" s="44"/>
      <c r="AH58" s="44"/>
      <c r="AI58" s="44"/>
      <c r="AJ58" s="44"/>
    </row>
    <row r="59" spans="14:36">
      <c r="N59" s="54" t="s">
        <v>269</v>
      </c>
      <c r="O59" s="54" t="s">
        <v>270</v>
      </c>
      <c r="P59" s="54" t="s">
        <v>284</v>
      </c>
      <c r="Q59" s="55" t="s">
        <v>1</v>
      </c>
      <c r="R59" s="44">
        <f t="shared" si="0"/>
        <v>10</v>
      </c>
      <c r="S59" s="44" t="e">
        <f t="shared" ca="1" si="1"/>
        <v>#N/A</v>
      </c>
      <c r="T59" s="44">
        <f t="shared" si="2"/>
        <v>56</v>
      </c>
      <c r="U59" s="44" t="str">
        <f>IF($T59&lt;=Z$4,INDEX(TypicalCriticalitiesMAHBarrier23[Barrier Family Description],MATCH($T59,TypicalCriticalitiesMAHBarrier23[Barrier Family ID],0)),"")</f>
        <v/>
      </c>
      <c r="V59" s="44" t="e">
        <f ca="1">IF($T59&lt;=AA$4,INDEX(TypicalCriticalitiesMAHBarrier23[Typical Components],MATCH($T59,TypicalCriticalitiesMAHBarrier23[Column2],0)),"")</f>
        <v>#N/A</v>
      </c>
      <c r="W59" s="2" t="e">
        <f ca="1">IF($T59&lt;=AA$4,INDEX(TypicalCriticalitiesMAHBarrier23[Typical Criticality],MATCH($T59,TypicalCriticalitiesMAHBarrier23[Column2],0)),"")</f>
        <v>#N/A</v>
      </c>
      <c r="AE59" s="44"/>
      <c r="AF59" s="44"/>
      <c r="AG59" s="44"/>
      <c r="AH59" s="44"/>
      <c r="AI59" s="44"/>
      <c r="AJ59" s="44"/>
    </row>
    <row r="60" spans="14:36">
      <c r="N60" s="54" t="s">
        <v>269</v>
      </c>
      <c r="O60" s="54" t="s">
        <v>270</v>
      </c>
      <c r="P60" s="54" t="s">
        <v>285</v>
      </c>
      <c r="Q60" s="55" t="s">
        <v>0</v>
      </c>
      <c r="R60" s="44">
        <f t="shared" si="0"/>
        <v>10</v>
      </c>
      <c r="S60" s="44" t="e">
        <f t="shared" ca="1" si="1"/>
        <v>#N/A</v>
      </c>
      <c r="T60" s="44">
        <f t="shared" si="2"/>
        <v>57</v>
      </c>
      <c r="U60" s="44" t="str">
        <f>IF($T60&lt;=Z$4,INDEX(TypicalCriticalitiesMAHBarrier23[Barrier Family Description],MATCH($T60,TypicalCriticalitiesMAHBarrier23[Barrier Family ID],0)),"")</f>
        <v/>
      </c>
      <c r="V60" s="44" t="e">
        <f ca="1">IF($T60&lt;=AA$4,INDEX(TypicalCriticalitiesMAHBarrier23[Typical Components],MATCH($T60,TypicalCriticalitiesMAHBarrier23[Column2],0)),"")</f>
        <v>#N/A</v>
      </c>
      <c r="W60" s="2" t="e">
        <f ca="1">IF($T60&lt;=AA$4,INDEX(TypicalCriticalitiesMAHBarrier23[Typical Criticality],MATCH($T60,TypicalCriticalitiesMAHBarrier23[Column2],0)),"")</f>
        <v>#N/A</v>
      </c>
      <c r="AE60" s="44"/>
      <c r="AF60" s="44"/>
      <c r="AG60" s="44"/>
      <c r="AH60" s="44"/>
      <c r="AI60" s="44"/>
      <c r="AJ60" s="44"/>
    </row>
    <row r="61" spans="14:36">
      <c r="N61" s="54" t="s">
        <v>269</v>
      </c>
      <c r="O61" s="54" t="s">
        <v>270</v>
      </c>
      <c r="P61" s="54" t="s">
        <v>286</v>
      </c>
      <c r="Q61" s="55" t="s">
        <v>0</v>
      </c>
      <c r="R61" s="44">
        <f t="shared" si="0"/>
        <v>10</v>
      </c>
      <c r="S61" s="44" t="e">
        <f t="shared" ca="1" si="1"/>
        <v>#N/A</v>
      </c>
      <c r="T61" s="44">
        <f t="shared" si="2"/>
        <v>58</v>
      </c>
      <c r="U61" s="44" t="str">
        <f>IF($T61&lt;=Z$4,INDEX(TypicalCriticalitiesMAHBarrier23[Barrier Family Description],MATCH($T61,TypicalCriticalitiesMAHBarrier23[Barrier Family ID],0)),"")</f>
        <v/>
      </c>
      <c r="V61" s="44" t="e">
        <f ca="1">IF($T61&lt;=AA$4,INDEX(TypicalCriticalitiesMAHBarrier23[Typical Components],MATCH($T61,TypicalCriticalitiesMAHBarrier23[Column2],0)),"")</f>
        <v>#N/A</v>
      </c>
      <c r="W61" s="2" t="e">
        <f ca="1">IF($T61&lt;=AA$4,INDEX(TypicalCriticalitiesMAHBarrier23[Typical Criticality],MATCH($T61,TypicalCriticalitiesMAHBarrier23[Column2],0)),"")</f>
        <v>#N/A</v>
      </c>
      <c r="AE61" s="44"/>
      <c r="AF61" s="44"/>
      <c r="AG61" s="44"/>
      <c r="AH61" s="44"/>
      <c r="AI61" s="44"/>
      <c r="AJ61" s="44"/>
    </row>
    <row r="62" spans="14:36">
      <c r="N62" s="54" t="s">
        <v>269</v>
      </c>
      <c r="O62" s="54" t="s">
        <v>270</v>
      </c>
      <c r="P62" s="54" t="s">
        <v>287</v>
      </c>
      <c r="Q62" s="55" t="s">
        <v>0</v>
      </c>
      <c r="R62" s="44">
        <f t="shared" si="0"/>
        <v>10</v>
      </c>
      <c r="S62" s="44" t="e">
        <f t="shared" ca="1" si="1"/>
        <v>#N/A</v>
      </c>
      <c r="T62" s="44">
        <f t="shared" si="2"/>
        <v>59</v>
      </c>
      <c r="U62" s="44" t="str">
        <f>IF($T62&lt;=Z$4,INDEX(TypicalCriticalitiesMAHBarrier23[Barrier Family Description],MATCH($T62,TypicalCriticalitiesMAHBarrier23[Barrier Family ID],0)),"")</f>
        <v/>
      </c>
      <c r="V62" s="44" t="e">
        <f ca="1">IF($T62&lt;=AA$4,INDEX(TypicalCriticalitiesMAHBarrier23[Typical Components],MATCH($T62,TypicalCriticalitiesMAHBarrier23[Column2],0)),"")</f>
        <v>#N/A</v>
      </c>
      <c r="W62" s="2" t="e">
        <f ca="1">IF($T62&lt;=AA$4,INDEX(TypicalCriticalitiesMAHBarrier23[Typical Criticality],MATCH($T62,TypicalCriticalitiesMAHBarrier23[Column2],0)),"")</f>
        <v>#N/A</v>
      </c>
      <c r="AE62" s="44"/>
      <c r="AF62" s="44"/>
      <c r="AG62" s="44"/>
      <c r="AH62" s="44"/>
      <c r="AI62" s="44"/>
      <c r="AJ62" s="44"/>
    </row>
    <row r="63" spans="14:36">
      <c r="N63" s="54" t="s">
        <v>269</v>
      </c>
      <c r="O63" s="54" t="s">
        <v>270</v>
      </c>
      <c r="P63" s="54" t="s">
        <v>288</v>
      </c>
      <c r="Q63" s="55" t="s">
        <v>0</v>
      </c>
      <c r="R63" s="44">
        <f t="shared" si="0"/>
        <v>10</v>
      </c>
      <c r="S63" s="44" t="e">
        <f t="shared" ca="1" si="1"/>
        <v>#N/A</v>
      </c>
      <c r="T63" s="44">
        <f t="shared" si="2"/>
        <v>60</v>
      </c>
      <c r="U63" s="44" t="str">
        <f>IF($T63&lt;=Z$4,INDEX(TypicalCriticalitiesMAHBarrier23[Barrier Family Description],MATCH($T63,TypicalCriticalitiesMAHBarrier23[Barrier Family ID],0)),"")</f>
        <v/>
      </c>
      <c r="V63" s="44" t="e">
        <f ca="1">IF($T63&lt;=AA$4,INDEX(TypicalCriticalitiesMAHBarrier23[Typical Components],MATCH($T63,TypicalCriticalitiesMAHBarrier23[Column2],0)),"")</f>
        <v>#N/A</v>
      </c>
      <c r="W63" s="2" t="e">
        <f ca="1">IF($T63&lt;=AA$4,INDEX(TypicalCriticalitiesMAHBarrier23[Typical Criticality],MATCH($T63,TypicalCriticalitiesMAHBarrier23[Column2],0)),"")</f>
        <v>#N/A</v>
      </c>
      <c r="AE63" s="44"/>
      <c r="AF63" s="44"/>
      <c r="AG63" s="44"/>
      <c r="AH63" s="44"/>
      <c r="AI63" s="44"/>
      <c r="AJ63" s="44"/>
    </row>
    <row r="64" spans="14:36">
      <c r="N64" s="54" t="s">
        <v>269</v>
      </c>
      <c r="O64" s="54" t="s">
        <v>270</v>
      </c>
      <c r="P64" s="54" t="s">
        <v>289</v>
      </c>
      <c r="Q64" s="55" t="s">
        <v>0</v>
      </c>
      <c r="R64" s="44">
        <f t="shared" si="0"/>
        <v>10</v>
      </c>
      <c r="S64" s="44" t="e">
        <f t="shared" ca="1" si="1"/>
        <v>#N/A</v>
      </c>
      <c r="T64" s="44">
        <f t="shared" si="2"/>
        <v>61</v>
      </c>
      <c r="U64" s="44" t="str">
        <f>IF($T64&lt;=Z$4,INDEX(TypicalCriticalitiesMAHBarrier23[Barrier Family Description],MATCH($T64,TypicalCriticalitiesMAHBarrier23[Barrier Family ID],0)),"")</f>
        <v/>
      </c>
      <c r="V64" s="44" t="e">
        <f ca="1">IF($T64&lt;=AA$4,INDEX(TypicalCriticalitiesMAHBarrier23[Typical Components],MATCH($T64,TypicalCriticalitiesMAHBarrier23[Column2],0)),"")</f>
        <v>#N/A</v>
      </c>
      <c r="W64" s="2" t="e">
        <f ca="1">IF($T64&lt;=AA$4,INDEX(TypicalCriticalitiesMAHBarrier23[Typical Criticality],MATCH($T64,TypicalCriticalitiesMAHBarrier23[Column2],0)),"")</f>
        <v>#N/A</v>
      </c>
      <c r="AE64" s="44"/>
      <c r="AF64" s="44"/>
      <c r="AG64" s="44"/>
      <c r="AH64" s="44"/>
      <c r="AI64" s="44"/>
      <c r="AJ64" s="44"/>
    </row>
    <row r="65" spans="14:36">
      <c r="N65" s="54" t="s">
        <v>269</v>
      </c>
      <c r="O65" s="54" t="s">
        <v>270</v>
      </c>
      <c r="P65" s="54" t="s">
        <v>290</v>
      </c>
      <c r="Q65" s="55" t="s">
        <v>0</v>
      </c>
      <c r="R65" s="44">
        <f t="shared" si="0"/>
        <v>10</v>
      </c>
      <c r="S65" s="44" t="e">
        <f t="shared" ca="1" si="1"/>
        <v>#N/A</v>
      </c>
      <c r="T65" s="44">
        <f t="shared" si="2"/>
        <v>62</v>
      </c>
      <c r="U65" s="44" t="str">
        <f>IF($T65&lt;=Z$4,INDEX(TypicalCriticalitiesMAHBarrier23[Barrier Family Description],MATCH($T65,TypicalCriticalitiesMAHBarrier23[Barrier Family ID],0)),"")</f>
        <v/>
      </c>
      <c r="V65" s="44" t="e">
        <f ca="1">IF($T65&lt;=AA$4,INDEX(TypicalCriticalitiesMAHBarrier23[Typical Components],MATCH($T65,TypicalCriticalitiesMAHBarrier23[Column2],0)),"")</f>
        <v>#N/A</v>
      </c>
      <c r="W65" s="2" t="e">
        <f ca="1">IF($T65&lt;=AA$4,INDEX(TypicalCriticalitiesMAHBarrier23[Typical Criticality],MATCH($T65,TypicalCriticalitiesMAHBarrier23[Column2],0)),"")</f>
        <v>#N/A</v>
      </c>
      <c r="AE65" s="44"/>
      <c r="AF65" s="44"/>
      <c r="AG65" s="44"/>
      <c r="AH65" s="44"/>
      <c r="AI65" s="44"/>
      <c r="AJ65" s="44"/>
    </row>
    <row r="66" spans="14:36">
      <c r="N66" s="54" t="s">
        <v>269</v>
      </c>
      <c r="O66" s="54" t="s">
        <v>270</v>
      </c>
      <c r="P66" s="54" t="s">
        <v>291</v>
      </c>
      <c r="Q66" s="55" t="s">
        <v>1</v>
      </c>
      <c r="R66" s="44">
        <f t="shared" si="0"/>
        <v>10</v>
      </c>
      <c r="S66" s="44" t="e">
        <f t="shared" ca="1" si="1"/>
        <v>#N/A</v>
      </c>
      <c r="T66" s="44">
        <f t="shared" si="2"/>
        <v>63</v>
      </c>
      <c r="U66" s="44" t="str">
        <f>IF($T66&lt;=Z$4,INDEX(TypicalCriticalitiesMAHBarrier23[Barrier Family Description],MATCH($T66,TypicalCriticalitiesMAHBarrier23[Barrier Family ID],0)),"")</f>
        <v/>
      </c>
      <c r="V66" s="44" t="e">
        <f ca="1">IF($T66&lt;=AA$4,INDEX(TypicalCriticalitiesMAHBarrier23[Typical Components],MATCH($T66,TypicalCriticalitiesMAHBarrier23[Column2],0)),"")</f>
        <v>#N/A</v>
      </c>
      <c r="W66" s="2" t="e">
        <f ca="1">IF($T66&lt;=AA$4,INDEX(TypicalCriticalitiesMAHBarrier23[Typical Criticality],MATCH($T66,TypicalCriticalitiesMAHBarrier23[Column2],0)),"")</f>
        <v>#N/A</v>
      </c>
      <c r="AE66" s="44"/>
      <c r="AF66" s="44"/>
      <c r="AG66" s="44"/>
      <c r="AH66" s="44"/>
      <c r="AI66" s="44"/>
      <c r="AJ66" s="44"/>
    </row>
    <row r="67" spans="14:36">
      <c r="N67" s="54" t="s">
        <v>269</v>
      </c>
      <c r="O67" s="54" t="s">
        <v>270</v>
      </c>
      <c r="P67" s="54" t="s">
        <v>292</v>
      </c>
      <c r="Q67" s="55" t="s">
        <v>0</v>
      </c>
      <c r="R67" s="44">
        <f t="shared" si="0"/>
        <v>10</v>
      </c>
      <c r="S67" s="44" t="e">
        <f t="shared" ca="1" si="1"/>
        <v>#N/A</v>
      </c>
      <c r="T67" s="44">
        <f t="shared" si="2"/>
        <v>64</v>
      </c>
      <c r="U67" s="44" t="str">
        <f>IF($T67&lt;=Z$4,INDEX(TypicalCriticalitiesMAHBarrier23[Barrier Family Description],MATCH($T67,TypicalCriticalitiesMAHBarrier23[Barrier Family ID],0)),"")</f>
        <v/>
      </c>
      <c r="V67" s="44" t="e">
        <f ca="1">IF($T67&lt;=AA$4,INDEX(TypicalCriticalitiesMAHBarrier23[Typical Components],MATCH($T67,TypicalCriticalitiesMAHBarrier23[Column2],0)),"")</f>
        <v>#N/A</v>
      </c>
      <c r="W67" s="2" t="e">
        <f ca="1">IF($T67&lt;=AA$4,INDEX(TypicalCriticalitiesMAHBarrier23[Typical Criticality],MATCH($T67,TypicalCriticalitiesMAHBarrier23[Column2],0)),"")</f>
        <v>#N/A</v>
      </c>
      <c r="AE67" s="44"/>
      <c r="AF67" s="44"/>
      <c r="AG67" s="44"/>
      <c r="AH67" s="44"/>
      <c r="AI67" s="44"/>
      <c r="AJ67" s="44"/>
    </row>
    <row r="68" spans="14:36">
      <c r="N68" s="54" t="s">
        <v>269</v>
      </c>
      <c r="O68" s="54" t="s">
        <v>270</v>
      </c>
      <c r="P68" s="54" t="s">
        <v>293</v>
      </c>
      <c r="Q68" s="55" t="s">
        <v>0</v>
      </c>
      <c r="R68" s="44">
        <f t="shared" si="0"/>
        <v>10</v>
      </c>
      <c r="S68" s="44" t="e">
        <f t="shared" ca="1" si="1"/>
        <v>#N/A</v>
      </c>
      <c r="T68" s="44">
        <f t="shared" si="2"/>
        <v>65</v>
      </c>
      <c r="U68" s="44" t="str">
        <f>IF($T68&lt;=Z$4,INDEX(TypicalCriticalitiesMAHBarrier23[Barrier Family Description],MATCH($T68,TypicalCriticalitiesMAHBarrier23[Barrier Family ID],0)),"")</f>
        <v/>
      </c>
      <c r="V68" s="44" t="e">
        <f ca="1">IF($T68&lt;=AA$4,INDEX(TypicalCriticalitiesMAHBarrier23[Typical Components],MATCH($T68,TypicalCriticalitiesMAHBarrier23[Column2],0)),"")</f>
        <v>#N/A</v>
      </c>
      <c r="W68" s="2" t="e">
        <f ca="1">IF($T68&lt;=AA$4,INDEX(TypicalCriticalitiesMAHBarrier23[Typical Criticality],MATCH($T68,TypicalCriticalitiesMAHBarrier23[Column2],0)),"")</f>
        <v>#N/A</v>
      </c>
      <c r="AE68" s="44"/>
      <c r="AF68" s="44"/>
      <c r="AG68" s="44"/>
      <c r="AH68" s="44"/>
      <c r="AI68" s="44"/>
      <c r="AJ68" s="44"/>
    </row>
    <row r="69" spans="14:36">
      <c r="N69" s="54" t="s">
        <v>269</v>
      </c>
      <c r="O69" s="54" t="s">
        <v>270</v>
      </c>
      <c r="P69" s="54" t="s">
        <v>294</v>
      </c>
      <c r="Q69" s="55" t="s">
        <v>1</v>
      </c>
      <c r="R69" s="44">
        <f t="shared" ref="R69:R132" si="3">IF(AND(O69&lt;&gt;O68,O69&lt;&gt;""),R68+1,R68)</f>
        <v>10</v>
      </c>
      <c r="S69" s="44" t="e">
        <f t="shared" ref="S69:S132" ca="1" si="4">IF(R69=$Z$5,IF(AND(P69&lt;&gt;P68,P69&lt;&gt;""),S68+1,S68),S68)</f>
        <v>#N/A</v>
      </c>
      <c r="T69" s="44">
        <f t="shared" ref="T69:T132" si="5">T68+1</f>
        <v>66</v>
      </c>
      <c r="U69" s="44" t="str">
        <f>IF($T69&lt;=Z$4,INDEX(TypicalCriticalitiesMAHBarrier23[Barrier Family Description],MATCH($T69,TypicalCriticalitiesMAHBarrier23[Barrier Family ID],0)),"")</f>
        <v/>
      </c>
      <c r="V69" s="44" t="e">
        <f ca="1">IF($T69&lt;=AA$4,INDEX(TypicalCriticalitiesMAHBarrier23[Typical Components],MATCH($T69,TypicalCriticalitiesMAHBarrier23[Column2],0)),"")</f>
        <v>#N/A</v>
      </c>
      <c r="W69" s="2" t="e">
        <f ca="1">IF($T69&lt;=AA$4,INDEX(TypicalCriticalitiesMAHBarrier23[Typical Criticality],MATCH($T69,TypicalCriticalitiesMAHBarrier23[Column2],0)),"")</f>
        <v>#N/A</v>
      </c>
      <c r="AE69" s="44"/>
      <c r="AF69" s="44"/>
      <c r="AG69" s="44"/>
      <c r="AH69" s="44"/>
      <c r="AI69" s="44"/>
      <c r="AJ69" s="44"/>
    </row>
    <row r="70" spans="14:36">
      <c r="N70" s="54" t="s">
        <v>269</v>
      </c>
      <c r="O70" s="54" t="s">
        <v>270</v>
      </c>
      <c r="P70" s="54" t="s">
        <v>295</v>
      </c>
      <c r="Q70" s="55" t="s">
        <v>1</v>
      </c>
      <c r="R70" s="44">
        <f t="shared" si="3"/>
        <v>10</v>
      </c>
      <c r="S70" s="44" t="e">
        <f t="shared" ca="1" si="4"/>
        <v>#N/A</v>
      </c>
      <c r="T70" s="44">
        <f t="shared" si="5"/>
        <v>67</v>
      </c>
      <c r="U70" s="44" t="str">
        <f>IF($T70&lt;=Z$4,INDEX(TypicalCriticalitiesMAHBarrier23[Barrier Family Description],MATCH($T70,TypicalCriticalitiesMAHBarrier23[Barrier Family ID],0)),"")</f>
        <v/>
      </c>
      <c r="V70" s="44" t="e">
        <f ca="1">IF($T70&lt;=AA$4,INDEX(TypicalCriticalitiesMAHBarrier23[Typical Components],MATCH($T70,TypicalCriticalitiesMAHBarrier23[Column2],0)),"")</f>
        <v>#N/A</v>
      </c>
      <c r="W70" s="2" t="e">
        <f ca="1">IF($T70&lt;=AA$4,INDEX(TypicalCriticalitiesMAHBarrier23[Typical Criticality],MATCH($T70,TypicalCriticalitiesMAHBarrier23[Column2],0)),"")</f>
        <v>#N/A</v>
      </c>
      <c r="AE70" s="44"/>
      <c r="AF70" s="44"/>
      <c r="AG70" s="44"/>
      <c r="AH70" s="44"/>
      <c r="AI70" s="44"/>
      <c r="AJ70" s="44"/>
    </row>
    <row r="71" spans="14:36">
      <c r="N71" s="54" t="s">
        <v>269</v>
      </c>
      <c r="O71" s="54" t="s">
        <v>270</v>
      </c>
      <c r="P71" s="54" t="s">
        <v>296</v>
      </c>
      <c r="Q71" s="55" t="s">
        <v>0</v>
      </c>
      <c r="R71" s="44">
        <f t="shared" si="3"/>
        <v>10</v>
      </c>
      <c r="S71" s="44" t="e">
        <f t="shared" ca="1" si="4"/>
        <v>#N/A</v>
      </c>
      <c r="T71" s="44">
        <f t="shared" si="5"/>
        <v>68</v>
      </c>
      <c r="U71" s="44" t="str">
        <f>IF($T71&lt;=Z$4,INDEX(TypicalCriticalitiesMAHBarrier23[Barrier Family Description],MATCH($T71,TypicalCriticalitiesMAHBarrier23[Barrier Family ID],0)),"")</f>
        <v/>
      </c>
      <c r="V71" s="44" t="e">
        <f ca="1">IF($T71&lt;=AA$4,INDEX(TypicalCriticalitiesMAHBarrier23[Typical Components],MATCH($T71,TypicalCriticalitiesMAHBarrier23[Column2],0)),"")</f>
        <v>#N/A</v>
      </c>
      <c r="W71" s="2" t="e">
        <f ca="1">IF($T71&lt;=AA$4,INDEX(TypicalCriticalitiesMAHBarrier23[Typical Criticality],MATCH($T71,TypicalCriticalitiesMAHBarrier23[Column2],0)),"")</f>
        <v>#N/A</v>
      </c>
      <c r="AE71" s="44"/>
      <c r="AF71" s="44"/>
      <c r="AG71" s="44"/>
      <c r="AH71" s="44"/>
      <c r="AI71" s="44"/>
      <c r="AJ71" s="44"/>
    </row>
    <row r="72" spans="14:36">
      <c r="N72" s="54" t="s">
        <v>269</v>
      </c>
      <c r="O72" s="54" t="s">
        <v>270</v>
      </c>
      <c r="P72" s="54" t="s">
        <v>297</v>
      </c>
      <c r="Q72" s="55" t="s">
        <v>1</v>
      </c>
      <c r="R72" s="44">
        <f t="shared" si="3"/>
        <v>10</v>
      </c>
      <c r="S72" s="44" t="e">
        <f t="shared" ca="1" si="4"/>
        <v>#N/A</v>
      </c>
      <c r="T72" s="44">
        <f t="shared" si="5"/>
        <v>69</v>
      </c>
      <c r="U72" s="44" t="str">
        <f>IF($T72&lt;=Z$4,INDEX(TypicalCriticalitiesMAHBarrier23[Barrier Family Description],MATCH($T72,TypicalCriticalitiesMAHBarrier23[Barrier Family ID],0)),"")</f>
        <v/>
      </c>
      <c r="V72" s="44" t="e">
        <f ca="1">IF($T72&lt;=AA$4,INDEX(TypicalCriticalitiesMAHBarrier23[Typical Components],MATCH($T72,TypicalCriticalitiesMAHBarrier23[Column2],0)),"")</f>
        <v>#N/A</v>
      </c>
      <c r="W72" s="2" t="e">
        <f ca="1">IF($T72&lt;=AA$4,INDEX(TypicalCriticalitiesMAHBarrier23[Typical Criticality],MATCH($T72,TypicalCriticalitiesMAHBarrier23[Column2],0)),"")</f>
        <v>#N/A</v>
      </c>
      <c r="AE72" s="44"/>
      <c r="AF72" s="44"/>
      <c r="AG72" s="44"/>
      <c r="AH72" s="44"/>
      <c r="AI72" s="44"/>
      <c r="AJ72" s="44"/>
    </row>
    <row r="73" spans="14:36">
      <c r="N73" s="54" t="s">
        <v>269</v>
      </c>
      <c r="O73" s="54" t="s">
        <v>270</v>
      </c>
      <c r="P73" s="54" t="s">
        <v>298</v>
      </c>
      <c r="Q73" s="55" t="s">
        <v>1</v>
      </c>
      <c r="R73" s="44">
        <f t="shared" si="3"/>
        <v>10</v>
      </c>
      <c r="S73" s="44" t="e">
        <f t="shared" ca="1" si="4"/>
        <v>#N/A</v>
      </c>
      <c r="T73" s="44">
        <f t="shared" si="5"/>
        <v>70</v>
      </c>
      <c r="U73" s="44" t="str">
        <f>IF($T73&lt;=Z$4,INDEX(TypicalCriticalitiesMAHBarrier23[Barrier Family Description],MATCH($T73,TypicalCriticalitiesMAHBarrier23[Barrier Family ID],0)),"")</f>
        <v/>
      </c>
      <c r="V73" s="44" t="e">
        <f ca="1">IF($T73&lt;=AA$4,INDEX(TypicalCriticalitiesMAHBarrier23[Typical Components],MATCH($T73,TypicalCriticalitiesMAHBarrier23[Column2],0)),"")</f>
        <v>#N/A</v>
      </c>
      <c r="W73" s="2" t="e">
        <f ca="1">IF($T73&lt;=AA$4,INDEX(TypicalCriticalitiesMAHBarrier23[Typical Criticality],MATCH($T73,TypicalCriticalitiesMAHBarrier23[Column2],0)),"")</f>
        <v>#N/A</v>
      </c>
      <c r="AE73" s="44"/>
      <c r="AF73" s="44"/>
      <c r="AG73" s="44"/>
      <c r="AH73" s="44"/>
      <c r="AI73" s="44"/>
      <c r="AJ73" s="44"/>
    </row>
    <row r="74" spans="14:36">
      <c r="N74" s="54" t="s">
        <v>269</v>
      </c>
      <c r="O74" s="54" t="s">
        <v>270</v>
      </c>
      <c r="P74" s="54" t="s">
        <v>299</v>
      </c>
      <c r="Q74" s="55" t="s">
        <v>1</v>
      </c>
      <c r="R74" s="44">
        <f t="shared" si="3"/>
        <v>10</v>
      </c>
      <c r="S74" s="44" t="e">
        <f t="shared" ca="1" si="4"/>
        <v>#N/A</v>
      </c>
      <c r="T74" s="44">
        <f t="shared" si="5"/>
        <v>71</v>
      </c>
      <c r="U74" s="44" t="str">
        <f>IF($T74&lt;=Z$4,INDEX(TypicalCriticalitiesMAHBarrier23[Barrier Family Description],MATCH($T74,TypicalCriticalitiesMAHBarrier23[Barrier Family ID],0)),"")</f>
        <v/>
      </c>
      <c r="V74" s="44" t="e">
        <f ca="1">IF($T74&lt;=AA$4,INDEX(TypicalCriticalitiesMAHBarrier23[Typical Components],MATCH($T74,TypicalCriticalitiesMAHBarrier23[Column2],0)),"")</f>
        <v>#N/A</v>
      </c>
      <c r="W74" s="2" t="e">
        <f ca="1">IF($T74&lt;=AA$4,INDEX(TypicalCriticalitiesMAHBarrier23[Typical Criticality],MATCH($T74,TypicalCriticalitiesMAHBarrier23[Column2],0)),"")</f>
        <v>#N/A</v>
      </c>
      <c r="AE74" s="44"/>
      <c r="AF74" s="44"/>
      <c r="AG74" s="44"/>
      <c r="AH74" s="44"/>
      <c r="AI74" s="44"/>
      <c r="AJ74" s="44"/>
    </row>
    <row r="75" spans="14:36">
      <c r="N75" s="54" t="s">
        <v>269</v>
      </c>
      <c r="O75" s="54" t="s">
        <v>270</v>
      </c>
      <c r="P75" s="54" t="s">
        <v>300</v>
      </c>
      <c r="Q75" s="55" t="s">
        <v>0</v>
      </c>
      <c r="R75" s="44">
        <f t="shared" si="3"/>
        <v>10</v>
      </c>
      <c r="S75" s="44" t="e">
        <f t="shared" ca="1" si="4"/>
        <v>#N/A</v>
      </c>
      <c r="T75" s="44">
        <f t="shared" si="5"/>
        <v>72</v>
      </c>
      <c r="U75" s="44" t="str">
        <f>IF($T75&lt;=Z$4,INDEX(TypicalCriticalitiesMAHBarrier23[Barrier Family Description],MATCH($T75,TypicalCriticalitiesMAHBarrier23[Barrier Family ID],0)),"")</f>
        <v/>
      </c>
      <c r="V75" s="44" t="e">
        <f ca="1">IF($T75&lt;=AA$4,INDEX(TypicalCriticalitiesMAHBarrier23[Typical Components],MATCH($T75,TypicalCriticalitiesMAHBarrier23[Column2],0)),"")</f>
        <v>#N/A</v>
      </c>
      <c r="W75" s="2" t="e">
        <f ca="1">IF($T75&lt;=AA$4,INDEX(TypicalCriticalitiesMAHBarrier23[Typical Criticality],MATCH($T75,TypicalCriticalitiesMAHBarrier23[Column2],0)),"")</f>
        <v>#N/A</v>
      </c>
      <c r="AE75" s="44"/>
      <c r="AF75" s="44"/>
      <c r="AG75" s="44"/>
      <c r="AH75" s="44"/>
      <c r="AI75" s="44"/>
      <c r="AJ75" s="44"/>
    </row>
    <row r="76" spans="14:36">
      <c r="N76" s="54" t="s">
        <v>269</v>
      </c>
      <c r="O76" s="54" t="s">
        <v>270</v>
      </c>
      <c r="P76" s="54" t="s">
        <v>301</v>
      </c>
      <c r="Q76" s="55" t="s">
        <v>1</v>
      </c>
      <c r="R76" s="44">
        <f t="shared" si="3"/>
        <v>10</v>
      </c>
      <c r="S76" s="44" t="e">
        <f t="shared" ca="1" si="4"/>
        <v>#N/A</v>
      </c>
      <c r="T76" s="44">
        <f t="shared" si="5"/>
        <v>73</v>
      </c>
      <c r="U76" s="44" t="str">
        <f>IF($T76&lt;=Z$4,INDEX(TypicalCriticalitiesMAHBarrier23[Barrier Family Description],MATCH($T76,TypicalCriticalitiesMAHBarrier23[Barrier Family ID],0)),"")</f>
        <v/>
      </c>
      <c r="V76" s="44" t="e">
        <f ca="1">IF($T76&lt;=AA$4,INDEX(TypicalCriticalitiesMAHBarrier23[Typical Components],MATCH($T76,TypicalCriticalitiesMAHBarrier23[Column2],0)),"")</f>
        <v>#N/A</v>
      </c>
      <c r="W76" s="2" t="e">
        <f ca="1">IF($T76&lt;=AA$4,INDEX(TypicalCriticalitiesMAHBarrier23[Typical Criticality],MATCH($T76,TypicalCriticalitiesMAHBarrier23[Column2],0)),"")</f>
        <v>#N/A</v>
      </c>
      <c r="AE76" s="44"/>
      <c r="AF76" s="44"/>
      <c r="AG76" s="44"/>
      <c r="AH76" s="44"/>
      <c r="AI76" s="44"/>
      <c r="AJ76" s="44"/>
    </row>
    <row r="77" spans="14:36">
      <c r="N77" s="54" t="s">
        <v>269</v>
      </c>
      <c r="O77" s="54" t="s">
        <v>270</v>
      </c>
      <c r="P77" s="54" t="s">
        <v>302</v>
      </c>
      <c r="Q77" s="55" t="s">
        <v>0</v>
      </c>
      <c r="R77" s="44">
        <f t="shared" si="3"/>
        <v>10</v>
      </c>
      <c r="S77" s="44" t="e">
        <f t="shared" ca="1" si="4"/>
        <v>#N/A</v>
      </c>
      <c r="T77" s="44">
        <f t="shared" si="5"/>
        <v>74</v>
      </c>
      <c r="U77" s="44" t="str">
        <f>IF($T77&lt;=Z$4,INDEX(TypicalCriticalitiesMAHBarrier23[Barrier Family Description],MATCH($T77,TypicalCriticalitiesMAHBarrier23[Barrier Family ID],0)),"")</f>
        <v/>
      </c>
      <c r="V77" s="44" t="e">
        <f ca="1">IF($T77&lt;=AA$4,INDEX(TypicalCriticalitiesMAHBarrier23[Typical Components],MATCH($T77,TypicalCriticalitiesMAHBarrier23[Column2],0)),"")</f>
        <v>#N/A</v>
      </c>
      <c r="W77" s="2" t="e">
        <f ca="1">IF($T77&lt;=AA$4,INDEX(TypicalCriticalitiesMAHBarrier23[Typical Criticality],MATCH($T77,TypicalCriticalitiesMAHBarrier23[Column2],0)),"")</f>
        <v>#N/A</v>
      </c>
      <c r="AE77" s="44"/>
      <c r="AF77" s="44"/>
      <c r="AG77" s="44"/>
      <c r="AH77" s="44"/>
      <c r="AI77" s="44"/>
      <c r="AJ77" s="44"/>
    </row>
    <row r="78" spans="14:36">
      <c r="N78" s="54" t="s">
        <v>269</v>
      </c>
      <c r="O78" s="54" t="s">
        <v>270</v>
      </c>
      <c r="P78" s="54" t="s">
        <v>303</v>
      </c>
      <c r="Q78" s="55" t="s">
        <v>0</v>
      </c>
      <c r="R78" s="44">
        <f t="shared" si="3"/>
        <v>10</v>
      </c>
      <c r="S78" s="44" t="e">
        <f t="shared" ca="1" si="4"/>
        <v>#N/A</v>
      </c>
      <c r="T78" s="44">
        <f t="shared" si="5"/>
        <v>75</v>
      </c>
      <c r="U78" s="44" t="str">
        <f>IF($T78&lt;=Z$4,INDEX(TypicalCriticalitiesMAHBarrier23[Barrier Family Description],MATCH($T78,TypicalCriticalitiesMAHBarrier23[Barrier Family ID],0)),"")</f>
        <v/>
      </c>
      <c r="V78" s="44" t="e">
        <f ca="1">IF($T78&lt;=AA$4,INDEX(TypicalCriticalitiesMAHBarrier23[Typical Components],MATCH($T78,TypicalCriticalitiesMAHBarrier23[Column2],0)),"")</f>
        <v>#N/A</v>
      </c>
      <c r="W78" s="2" t="e">
        <f ca="1">IF($T78&lt;=AA$4,INDEX(TypicalCriticalitiesMAHBarrier23[Typical Criticality],MATCH($T78,TypicalCriticalitiesMAHBarrier23[Column2],0)),"")</f>
        <v>#N/A</v>
      </c>
      <c r="AE78" s="44"/>
      <c r="AF78" s="44"/>
      <c r="AG78" s="44"/>
      <c r="AH78" s="44"/>
      <c r="AI78" s="44"/>
      <c r="AJ78" s="44"/>
    </row>
    <row r="79" spans="14:36">
      <c r="N79" s="54" t="s">
        <v>269</v>
      </c>
      <c r="O79" s="54" t="s">
        <v>270</v>
      </c>
      <c r="P79" s="54" t="s">
        <v>304</v>
      </c>
      <c r="Q79" s="55" t="s">
        <v>1</v>
      </c>
      <c r="R79" s="44">
        <f t="shared" si="3"/>
        <v>10</v>
      </c>
      <c r="S79" s="44" t="e">
        <f t="shared" ca="1" si="4"/>
        <v>#N/A</v>
      </c>
      <c r="T79" s="44">
        <f t="shared" si="5"/>
        <v>76</v>
      </c>
      <c r="U79" s="44" t="str">
        <f>IF($T79&lt;=Z$4,INDEX(TypicalCriticalitiesMAHBarrier23[Barrier Family Description],MATCH($T79,TypicalCriticalitiesMAHBarrier23[Barrier Family ID],0)),"")</f>
        <v/>
      </c>
      <c r="V79" s="44" t="e">
        <f ca="1">IF($T79&lt;=AA$4,INDEX(TypicalCriticalitiesMAHBarrier23[Typical Components],MATCH($T79,TypicalCriticalitiesMAHBarrier23[Column2],0)),"")</f>
        <v>#N/A</v>
      </c>
      <c r="W79" s="2" t="e">
        <f ca="1">IF($T79&lt;=AA$4,INDEX(TypicalCriticalitiesMAHBarrier23[Typical Criticality],MATCH($T79,TypicalCriticalitiesMAHBarrier23[Column2],0)),"")</f>
        <v>#N/A</v>
      </c>
      <c r="AE79" s="44"/>
      <c r="AF79" s="44"/>
      <c r="AG79" s="44"/>
      <c r="AH79" s="44"/>
      <c r="AI79" s="44"/>
      <c r="AJ79" s="44"/>
    </row>
    <row r="80" spans="14:36">
      <c r="N80" s="54" t="s">
        <v>269</v>
      </c>
      <c r="O80" s="54" t="s">
        <v>270</v>
      </c>
      <c r="P80" s="54" t="s">
        <v>305</v>
      </c>
      <c r="Q80" s="55" t="s">
        <v>1</v>
      </c>
      <c r="R80" s="44">
        <f t="shared" si="3"/>
        <v>10</v>
      </c>
      <c r="S80" s="44" t="e">
        <f t="shared" ca="1" si="4"/>
        <v>#N/A</v>
      </c>
      <c r="T80" s="44">
        <f t="shared" si="5"/>
        <v>77</v>
      </c>
      <c r="U80" s="44" t="str">
        <f>IF($T80&lt;=Z$4,INDEX(TypicalCriticalitiesMAHBarrier23[Barrier Family Description],MATCH($T80,TypicalCriticalitiesMAHBarrier23[Barrier Family ID],0)),"")</f>
        <v/>
      </c>
      <c r="V80" s="44" t="e">
        <f ca="1">IF($T80&lt;=AA$4,INDEX(TypicalCriticalitiesMAHBarrier23[Typical Components],MATCH($T80,TypicalCriticalitiesMAHBarrier23[Column2],0)),"")</f>
        <v>#N/A</v>
      </c>
      <c r="W80" s="2" t="e">
        <f ca="1">IF($T80&lt;=AA$4,INDEX(TypicalCriticalitiesMAHBarrier23[Typical Criticality],MATCH($T80,TypicalCriticalitiesMAHBarrier23[Column2],0)),"")</f>
        <v>#N/A</v>
      </c>
      <c r="AE80" s="44"/>
      <c r="AF80" s="44"/>
      <c r="AG80" s="44"/>
      <c r="AH80" s="44"/>
      <c r="AI80" s="44"/>
      <c r="AJ80" s="44"/>
    </row>
    <row r="81" spans="14:36">
      <c r="N81" s="54" t="s">
        <v>269</v>
      </c>
      <c r="O81" s="54" t="s">
        <v>270</v>
      </c>
      <c r="P81" s="54" t="s">
        <v>306</v>
      </c>
      <c r="Q81" s="55" t="s">
        <v>1</v>
      </c>
      <c r="R81" s="44">
        <f t="shared" si="3"/>
        <v>10</v>
      </c>
      <c r="S81" s="44" t="e">
        <f t="shared" ca="1" si="4"/>
        <v>#N/A</v>
      </c>
      <c r="T81" s="44">
        <f t="shared" si="5"/>
        <v>78</v>
      </c>
      <c r="U81" s="44" t="str">
        <f>IF($T81&lt;=Z$4,INDEX(TypicalCriticalitiesMAHBarrier23[Barrier Family Description],MATCH($T81,TypicalCriticalitiesMAHBarrier23[Barrier Family ID],0)),"")</f>
        <v/>
      </c>
      <c r="V81" s="44" t="e">
        <f ca="1">IF($T81&lt;=AA$4,INDEX(TypicalCriticalitiesMAHBarrier23[Typical Components],MATCH($T81,TypicalCriticalitiesMAHBarrier23[Column2],0)),"")</f>
        <v>#N/A</v>
      </c>
      <c r="W81" s="2" t="e">
        <f ca="1">IF($T81&lt;=AA$4,INDEX(TypicalCriticalitiesMAHBarrier23[Typical Criticality],MATCH($T81,TypicalCriticalitiesMAHBarrier23[Column2],0)),"")</f>
        <v>#N/A</v>
      </c>
      <c r="AE81" s="44"/>
      <c r="AF81" s="44"/>
      <c r="AG81" s="44"/>
      <c r="AH81" s="44"/>
      <c r="AI81" s="44"/>
      <c r="AJ81" s="44"/>
    </row>
    <row r="82" spans="14:36">
      <c r="N82" s="54" t="s">
        <v>269</v>
      </c>
      <c r="O82" s="54" t="s">
        <v>270</v>
      </c>
      <c r="P82" s="54" t="s">
        <v>307</v>
      </c>
      <c r="Q82" s="55" t="s">
        <v>0</v>
      </c>
      <c r="R82" s="44">
        <f t="shared" si="3"/>
        <v>10</v>
      </c>
      <c r="S82" s="44" t="e">
        <f t="shared" ca="1" si="4"/>
        <v>#N/A</v>
      </c>
      <c r="T82" s="44">
        <f t="shared" si="5"/>
        <v>79</v>
      </c>
      <c r="U82" s="44" t="str">
        <f>IF($T82&lt;=Z$4,INDEX(TypicalCriticalitiesMAHBarrier23[Barrier Family Description],MATCH($T82,TypicalCriticalitiesMAHBarrier23[Barrier Family ID],0)),"")</f>
        <v/>
      </c>
      <c r="V82" s="44" t="e">
        <f ca="1">IF($T82&lt;=AA$4,INDEX(TypicalCriticalitiesMAHBarrier23[Typical Components],MATCH($T82,TypicalCriticalitiesMAHBarrier23[Column2],0)),"")</f>
        <v>#N/A</v>
      </c>
      <c r="W82" s="2" t="e">
        <f ca="1">IF($T82&lt;=AA$4,INDEX(TypicalCriticalitiesMAHBarrier23[Typical Criticality],MATCH($T82,TypicalCriticalitiesMAHBarrier23[Column2],0)),"")</f>
        <v>#N/A</v>
      </c>
      <c r="AE82" s="44"/>
      <c r="AF82" s="44"/>
      <c r="AG82" s="44"/>
      <c r="AH82" s="44"/>
      <c r="AI82" s="44"/>
      <c r="AJ82" s="44"/>
    </row>
    <row r="83" spans="14:36">
      <c r="N83" s="54" t="s">
        <v>269</v>
      </c>
      <c r="O83" s="54" t="s">
        <v>270</v>
      </c>
      <c r="P83" s="54" t="s">
        <v>308</v>
      </c>
      <c r="Q83" s="55" t="s">
        <v>1</v>
      </c>
      <c r="R83" s="44">
        <f t="shared" si="3"/>
        <v>10</v>
      </c>
      <c r="S83" s="44" t="e">
        <f t="shared" ca="1" si="4"/>
        <v>#N/A</v>
      </c>
      <c r="T83" s="44">
        <f t="shared" si="5"/>
        <v>80</v>
      </c>
      <c r="U83" s="44" t="str">
        <f>IF($T83&lt;=Z$4,INDEX(TypicalCriticalitiesMAHBarrier23[Barrier Family Description],MATCH($T83,TypicalCriticalitiesMAHBarrier23[Barrier Family ID],0)),"")</f>
        <v/>
      </c>
      <c r="V83" s="44" t="e">
        <f ca="1">IF($T83&lt;=AA$4,INDEX(TypicalCriticalitiesMAHBarrier23[Typical Components],MATCH($T83,TypicalCriticalitiesMAHBarrier23[Column2],0)),"")</f>
        <v>#N/A</v>
      </c>
      <c r="W83" s="2" t="e">
        <f ca="1">IF($T83&lt;=AA$4,INDEX(TypicalCriticalitiesMAHBarrier23[Typical Criticality],MATCH($T83,TypicalCriticalitiesMAHBarrier23[Column2],0)),"")</f>
        <v>#N/A</v>
      </c>
      <c r="AE83" s="44"/>
      <c r="AF83" s="44"/>
      <c r="AG83" s="44"/>
      <c r="AH83" s="44"/>
      <c r="AI83" s="44"/>
      <c r="AJ83" s="44"/>
    </row>
    <row r="84" spans="14:36">
      <c r="N84" s="54" t="s">
        <v>269</v>
      </c>
      <c r="O84" s="54" t="s">
        <v>270</v>
      </c>
      <c r="P84" s="54" t="s">
        <v>309</v>
      </c>
      <c r="Q84" s="55" t="s">
        <v>0</v>
      </c>
      <c r="R84" s="44">
        <f t="shared" si="3"/>
        <v>10</v>
      </c>
      <c r="S84" s="44" t="e">
        <f t="shared" ca="1" si="4"/>
        <v>#N/A</v>
      </c>
      <c r="T84" s="44">
        <f t="shared" si="5"/>
        <v>81</v>
      </c>
      <c r="U84" s="44" t="str">
        <f>IF($T84&lt;=Z$4,INDEX(TypicalCriticalitiesMAHBarrier23[Barrier Family Description],MATCH($T84,TypicalCriticalitiesMAHBarrier23[Barrier Family ID],0)),"")</f>
        <v/>
      </c>
      <c r="V84" s="44" t="e">
        <f ca="1">IF($T84&lt;=AA$4,INDEX(TypicalCriticalitiesMAHBarrier23[Typical Components],MATCH($T84,TypicalCriticalitiesMAHBarrier23[Column2],0)),"")</f>
        <v>#N/A</v>
      </c>
      <c r="W84" s="2" t="e">
        <f ca="1">IF($T84&lt;=AA$4,INDEX(TypicalCriticalitiesMAHBarrier23[Typical Criticality],MATCH($T84,TypicalCriticalitiesMAHBarrier23[Column2],0)),"")</f>
        <v>#N/A</v>
      </c>
      <c r="AE84" s="44"/>
      <c r="AF84" s="44"/>
      <c r="AG84" s="44"/>
      <c r="AH84" s="44"/>
      <c r="AI84" s="44"/>
      <c r="AJ84" s="44"/>
    </row>
    <row r="85" spans="14:36">
      <c r="N85" s="54" t="s">
        <v>269</v>
      </c>
      <c r="O85" s="54" t="s">
        <v>270</v>
      </c>
      <c r="P85" s="54" t="s">
        <v>310</v>
      </c>
      <c r="Q85" s="55" t="s">
        <v>1</v>
      </c>
      <c r="R85" s="44">
        <f t="shared" si="3"/>
        <v>10</v>
      </c>
      <c r="S85" s="44" t="e">
        <f t="shared" ca="1" si="4"/>
        <v>#N/A</v>
      </c>
      <c r="T85" s="44">
        <f t="shared" si="5"/>
        <v>82</v>
      </c>
      <c r="U85" s="44" t="str">
        <f>IF($T85&lt;=Z$4,INDEX(TypicalCriticalitiesMAHBarrier23[Barrier Family Description],MATCH($T85,TypicalCriticalitiesMAHBarrier23[Barrier Family ID],0)),"")</f>
        <v/>
      </c>
      <c r="V85" s="44" t="e">
        <f ca="1">IF($T85&lt;=AA$4,INDEX(TypicalCriticalitiesMAHBarrier23[Typical Components],MATCH($T85,TypicalCriticalitiesMAHBarrier23[Column2],0)),"")</f>
        <v>#N/A</v>
      </c>
      <c r="W85" s="2" t="e">
        <f ca="1">IF($T85&lt;=AA$4,INDEX(TypicalCriticalitiesMAHBarrier23[Typical Criticality],MATCH($T85,TypicalCriticalitiesMAHBarrier23[Column2],0)),"")</f>
        <v>#N/A</v>
      </c>
      <c r="AE85" s="44"/>
      <c r="AF85" s="44"/>
      <c r="AG85" s="44"/>
      <c r="AH85" s="44"/>
      <c r="AI85" s="44"/>
      <c r="AJ85" s="44"/>
    </row>
    <row r="86" spans="14:36">
      <c r="N86" s="54" t="s">
        <v>269</v>
      </c>
      <c r="O86" s="54" t="s">
        <v>270</v>
      </c>
      <c r="P86" s="54" t="s">
        <v>311</v>
      </c>
      <c r="Q86" s="55" t="s">
        <v>1</v>
      </c>
      <c r="R86" s="44">
        <f t="shared" si="3"/>
        <v>10</v>
      </c>
      <c r="S86" s="44" t="e">
        <f t="shared" ca="1" si="4"/>
        <v>#N/A</v>
      </c>
      <c r="T86" s="44">
        <f t="shared" si="5"/>
        <v>83</v>
      </c>
      <c r="U86" s="44" t="str">
        <f>IF($T86&lt;=Z$4,INDEX(TypicalCriticalitiesMAHBarrier23[Barrier Family Description],MATCH($T86,TypicalCriticalitiesMAHBarrier23[Barrier Family ID],0)),"")</f>
        <v/>
      </c>
      <c r="V86" s="44" t="e">
        <f ca="1">IF($T86&lt;=AA$4,INDEX(TypicalCriticalitiesMAHBarrier23[Typical Components],MATCH($T86,TypicalCriticalitiesMAHBarrier23[Column2],0)),"")</f>
        <v>#N/A</v>
      </c>
      <c r="W86" s="2" t="e">
        <f ca="1">IF($T86&lt;=AA$4,INDEX(TypicalCriticalitiesMAHBarrier23[Typical Criticality],MATCH($T86,TypicalCriticalitiesMAHBarrier23[Column2],0)),"")</f>
        <v>#N/A</v>
      </c>
      <c r="AE86" s="44"/>
      <c r="AF86" s="44"/>
      <c r="AG86" s="44"/>
      <c r="AH86" s="44"/>
      <c r="AI86" s="44"/>
      <c r="AJ86" s="44"/>
    </row>
    <row r="87" spans="14:36">
      <c r="N87" s="54" t="s">
        <v>269</v>
      </c>
      <c r="O87" s="54" t="s">
        <v>270</v>
      </c>
      <c r="P87" s="54" t="s">
        <v>312</v>
      </c>
      <c r="Q87" s="55" t="s">
        <v>1</v>
      </c>
      <c r="R87" s="44">
        <f t="shared" si="3"/>
        <v>10</v>
      </c>
      <c r="S87" s="44" t="e">
        <f t="shared" ca="1" si="4"/>
        <v>#N/A</v>
      </c>
      <c r="T87" s="44">
        <f t="shared" si="5"/>
        <v>84</v>
      </c>
      <c r="U87" s="44" t="str">
        <f>IF($T87&lt;=Z$4,INDEX(TypicalCriticalitiesMAHBarrier23[Barrier Family Description],MATCH($T87,TypicalCriticalitiesMAHBarrier23[Barrier Family ID],0)),"")</f>
        <v/>
      </c>
      <c r="V87" s="44" t="e">
        <f ca="1">IF($T87&lt;=AA$4,INDEX(TypicalCriticalitiesMAHBarrier23[Typical Components],MATCH($T87,TypicalCriticalitiesMAHBarrier23[Column2],0)),"")</f>
        <v>#N/A</v>
      </c>
      <c r="W87" s="2" t="e">
        <f ca="1">IF($T87&lt;=AA$4,INDEX(TypicalCriticalitiesMAHBarrier23[Typical Criticality],MATCH($T87,TypicalCriticalitiesMAHBarrier23[Column2],0)),"")</f>
        <v>#N/A</v>
      </c>
      <c r="AE87" s="44"/>
      <c r="AF87" s="44"/>
      <c r="AG87" s="44"/>
      <c r="AH87" s="44"/>
      <c r="AI87" s="44"/>
      <c r="AJ87" s="44"/>
    </row>
    <row r="88" spans="14:36">
      <c r="N88" s="54" t="s">
        <v>269</v>
      </c>
      <c r="O88" s="54" t="s">
        <v>270</v>
      </c>
      <c r="P88" s="54" t="s">
        <v>313</v>
      </c>
      <c r="Q88" s="55" t="s">
        <v>0</v>
      </c>
      <c r="R88" s="44">
        <f t="shared" si="3"/>
        <v>10</v>
      </c>
      <c r="S88" s="44" t="e">
        <f t="shared" ca="1" si="4"/>
        <v>#N/A</v>
      </c>
      <c r="T88" s="44">
        <f t="shared" si="5"/>
        <v>85</v>
      </c>
      <c r="U88" s="44" t="str">
        <f>IF($T88&lt;=Z$4,INDEX(TypicalCriticalitiesMAHBarrier23[Barrier Family Description],MATCH($T88,TypicalCriticalitiesMAHBarrier23[Barrier Family ID],0)),"")</f>
        <v/>
      </c>
      <c r="V88" s="44" t="e">
        <f ca="1">IF($T88&lt;=AA$4,INDEX(TypicalCriticalitiesMAHBarrier23[Typical Components],MATCH($T88,TypicalCriticalitiesMAHBarrier23[Column2],0)),"")</f>
        <v>#N/A</v>
      </c>
      <c r="W88" s="2" t="e">
        <f ca="1">IF($T88&lt;=AA$4,INDEX(TypicalCriticalitiesMAHBarrier23[Typical Criticality],MATCH($T88,TypicalCriticalitiesMAHBarrier23[Column2],0)),"")</f>
        <v>#N/A</v>
      </c>
      <c r="AE88" s="44"/>
      <c r="AF88" s="44"/>
      <c r="AG88" s="44"/>
      <c r="AH88" s="44"/>
      <c r="AI88" s="44"/>
      <c r="AJ88" s="44"/>
    </row>
    <row r="89" spans="14:36">
      <c r="N89" s="54" t="s">
        <v>269</v>
      </c>
      <c r="O89" s="54" t="s">
        <v>270</v>
      </c>
      <c r="P89" s="54" t="s">
        <v>314</v>
      </c>
      <c r="Q89" s="55" t="s">
        <v>0</v>
      </c>
      <c r="R89" s="44">
        <f t="shared" si="3"/>
        <v>10</v>
      </c>
      <c r="S89" s="44" t="e">
        <f t="shared" ca="1" si="4"/>
        <v>#N/A</v>
      </c>
      <c r="T89" s="44">
        <f t="shared" si="5"/>
        <v>86</v>
      </c>
      <c r="U89" s="44" t="str">
        <f>IF($T89&lt;=Z$4,INDEX(TypicalCriticalitiesMAHBarrier23[Barrier Family Description],MATCH($T89,TypicalCriticalitiesMAHBarrier23[Barrier Family ID],0)),"")</f>
        <v/>
      </c>
      <c r="V89" s="44" t="e">
        <f ca="1">IF($T89&lt;=AA$4,INDEX(TypicalCriticalitiesMAHBarrier23[Typical Components],MATCH($T89,TypicalCriticalitiesMAHBarrier23[Column2],0)),"")</f>
        <v>#N/A</v>
      </c>
      <c r="W89" s="2" t="e">
        <f ca="1">IF($T89&lt;=AA$4,INDEX(TypicalCriticalitiesMAHBarrier23[Typical Criticality],MATCH($T89,TypicalCriticalitiesMAHBarrier23[Column2],0)),"")</f>
        <v>#N/A</v>
      </c>
      <c r="AE89" s="44"/>
      <c r="AF89" s="44"/>
      <c r="AG89" s="44"/>
      <c r="AH89" s="44"/>
      <c r="AI89" s="44"/>
      <c r="AJ89" s="44"/>
    </row>
    <row r="90" spans="14:36">
      <c r="N90" s="54" t="s">
        <v>269</v>
      </c>
      <c r="O90" s="54" t="s">
        <v>270</v>
      </c>
      <c r="P90" s="54" t="s">
        <v>315</v>
      </c>
      <c r="Q90" s="55" t="s">
        <v>0</v>
      </c>
      <c r="R90" s="44">
        <f t="shared" si="3"/>
        <v>10</v>
      </c>
      <c r="S90" s="44" t="e">
        <f t="shared" ca="1" si="4"/>
        <v>#N/A</v>
      </c>
      <c r="T90" s="44">
        <f t="shared" si="5"/>
        <v>87</v>
      </c>
      <c r="U90" s="44" t="str">
        <f>IF($T90&lt;=Z$4,INDEX(TypicalCriticalitiesMAHBarrier23[Barrier Family Description],MATCH($T90,TypicalCriticalitiesMAHBarrier23[Barrier Family ID],0)),"")</f>
        <v/>
      </c>
      <c r="V90" s="44" t="e">
        <f ca="1">IF($T90&lt;=AA$4,INDEX(TypicalCriticalitiesMAHBarrier23[Typical Components],MATCH($T90,TypicalCriticalitiesMAHBarrier23[Column2],0)),"")</f>
        <v>#N/A</v>
      </c>
      <c r="W90" s="2" t="e">
        <f ca="1">IF($T90&lt;=AA$4,INDEX(TypicalCriticalitiesMAHBarrier23[Typical Criticality],MATCH($T90,TypicalCriticalitiesMAHBarrier23[Column2],0)),"")</f>
        <v>#N/A</v>
      </c>
      <c r="AE90" s="44"/>
      <c r="AF90" s="44"/>
      <c r="AG90" s="44"/>
      <c r="AH90" s="44"/>
      <c r="AI90" s="44"/>
      <c r="AJ90" s="44"/>
    </row>
    <row r="91" spans="14:36">
      <c r="N91" s="54" t="s">
        <v>269</v>
      </c>
      <c r="O91" s="54" t="s">
        <v>270</v>
      </c>
      <c r="P91" s="54" t="s">
        <v>316</v>
      </c>
      <c r="Q91" s="55" t="s">
        <v>1</v>
      </c>
      <c r="R91" s="44">
        <f t="shared" si="3"/>
        <v>10</v>
      </c>
      <c r="S91" s="44" t="e">
        <f t="shared" ca="1" si="4"/>
        <v>#N/A</v>
      </c>
      <c r="T91" s="44">
        <f t="shared" si="5"/>
        <v>88</v>
      </c>
      <c r="U91" s="44" t="str">
        <f>IF($T91&lt;=Z$4,INDEX(TypicalCriticalitiesMAHBarrier23[Barrier Family Description],MATCH($T91,TypicalCriticalitiesMAHBarrier23[Barrier Family ID],0)),"")</f>
        <v/>
      </c>
      <c r="V91" s="44" t="e">
        <f ca="1">IF($T91&lt;=AA$4,INDEX(TypicalCriticalitiesMAHBarrier23[Typical Components],MATCH($T91,TypicalCriticalitiesMAHBarrier23[Column2],0)),"")</f>
        <v>#N/A</v>
      </c>
      <c r="W91" s="2" t="e">
        <f ca="1">IF($T91&lt;=AA$4,INDEX(TypicalCriticalitiesMAHBarrier23[Typical Criticality],MATCH($T91,TypicalCriticalitiesMAHBarrier23[Column2],0)),"")</f>
        <v>#N/A</v>
      </c>
      <c r="AE91" s="44"/>
      <c r="AF91" s="44"/>
      <c r="AG91" s="44"/>
      <c r="AH91" s="44"/>
      <c r="AI91" s="44"/>
      <c r="AJ91" s="44"/>
    </row>
    <row r="92" spans="14:36">
      <c r="N92" s="54" t="s">
        <v>269</v>
      </c>
      <c r="O92" s="54" t="s">
        <v>270</v>
      </c>
      <c r="P92" s="54" t="s">
        <v>317</v>
      </c>
      <c r="Q92" s="55" t="s">
        <v>0</v>
      </c>
      <c r="R92" s="44">
        <f t="shared" si="3"/>
        <v>10</v>
      </c>
      <c r="S92" s="44" t="e">
        <f t="shared" ca="1" si="4"/>
        <v>#N/A</v>
      </c>
      <c r="T92" s="44">
        <f t="shared" si="5"/>
        <v>89</v>
      </c>
      <c r="U92" s="44" t="str">
        <f>IF($T92&lt;=Z$4,INDEX(TypicalCriticalitiesMAHBarrier23[Barrier Family Description],MATCH($T92,TypicalCriticalitiesMAHBarrier23[Barrier Family ID],0)),"")</f>
        <v/>
      </c>
      <c r="V92" s="44" t="e">
        <f ca="1">IF($T92&lt;=AA$4,INDEX(TypicalCriticalitiesMAHBarrier23[Typical Components],MATCH($T92,TypicalCriticalitiesMAHBarrier23[Column2],0)),"")</f>
        <v>#N/A</v>
      </c>
      <c r="W92" s="2" t="e">
        <f ca="1">IF($T92&lt;=AA$4,INDEX(TypicalCriticalitiesMAHBarrier23[Typical Criticality],MATCH($T92,TypicalCriticalitiesMAHBarrier23[Column2],0)),"")</f>
        <v>#N/A</v>
      </c>
      <c r="AE92" s="44"/>
      <c r="AF92" s="44"/>
      <c r="AG92" s="44"/>
      <c r="AH92" s="44"/>
      <c r="AI92" s="44"/>
      <c r="AJ92" s="44"/>
    </row>
    <row r="93" spans="14:36">
      <c r="N93" s="54" t="s">
        <v>269</v>
      </c>
      <c r="O93" s="54" t="s">
        <v>270</v>
      </c>
      <c r="P93" s="54" t="s">
        <v>318</v>
      </c>
      <c r="Q93" s="55" t="s">
        <v>0</v>
      </c>
      <c r="R93" s="44">
        <f t="shared" si="3"/>
        <v>10</v>
      </c>
      <c r="S93" s="44" t="e">
        <f t="shared" ca="1" si="4"/>
        <v>#N/A</v>
      </c>
      <c r="T93" s="44">
        <f t="shared" si="5"/>
        <v>90</v>
      </c>
      <c r="U93" s="44" t="str">
        <f>IF($T93&lt;=Z$4,INDEX(TypicalCriticalitiesMAHBarrier23[Barrier Family Description],MATCH($T93,TypicalCriticalitiesMAHBarrier23[Barrier Family ID],0)),"")</f>
        <v/>
      </c>
      <c r="V93" s="44" t="e">
        <f ca="1">IF($T93&lt;=AA$4,INDEX(TypicalCriticalitiesMAHBarrier23[Typical Components],MATCH($T93,TypicalCriticalitiesMAHBarrier23[Column2],0)),"")</f>
        <v>#N/A</v>
      </c>
      <c r="W93" s="2" t="e">
        <f ca="1">IF($T93&lt;=AA$4,INDEX(TypicalCriticalitiesMAHBarrier23[Typical Criticality],MATCH($T93,TypicalCriticalitiesMAHBarrier23[Column2],0)),"")</f>
        <v>#N/A</v>
      </c>
      <c r="AE93" s="44"/>
      <c r="AF93" s="44"/>
      <c r="AG93" s="44"/>
      <c r="AH93" s="44"/>
      <c r="AI93" s="44"/>
      <c r="AJ93" s="44"/>
    </row>
    <row r="94" spans="14:36">
      <c r="N94" s="54" t="s">
        <v>269</v>
      </c>
      <c r="O94" s="54" t="s">
        <v>270</v>
      </c>
      <c r="P94" s="54" t="s">
        <v>319</v>
      </c>
      <c r="Q94" s="55" t="s">
        <v>1</v>
      </c>
      <c r="R94" s="44">
        <f t="shared" si="3"/>
        <v>10</v>
      </c>
      <c r="S94" s="44" t="e">
        <f t="shared" ca="1" si="4"/>
        <v>#N/A</v>
      </c>
      <c r="T94" s="44">
        <f t="shared" si="5"/>
        <v>91</v>
      </c>
      <c r="U94" s="44" t="str">
        <f>IF($T94&lt;=Z$4,INDEX(TypicalCriticalitiesMAHBarrier23[Barrier Family Description],MATCH($T94,TypicalCriticalitiesMAHBarrier23[Barrier Family ID],0)),"")</f>
        <v/>
      </c>
      <c r="V94" s="44" t="e">
        <f ca="1">IF($T94&lt;=AA$4,INDEX(TypicalCriticalitiesMAHBarrier23[Typical Components],MATCH($T94,TypicalCriticalitiesMAHBarrier23[Column2],0)),"")</f>
        <v>#N/A</v>
      </c>
      <c r="W94" s="2" t="e">
        <f ca="1">IF($T94&lt;=AA$4,INDEX(TypicalCriticalitiesMAHBarrier23[Typical Criticality],MATCH($T94,TypicalCriticalitiesMAHBarrier23[Column2],0)),"")</f>
        <v>#N/A</v>
      </c>
      <c r="AE94" s="44"/>
      <c r="AF94" s="44"/>
      <c r="AG94" s="44"/>
      <c r="AH94" s="44"/>
      <c r="AI94" s="44"/>
      <c r="AJ94" s="44"/>
    </row>
    <row r="95" spans="14:36">
      <c r="N95" s="54" t="s">
        <v>269</v>
      </c>
      <c r="O95" s="54" t="s">
        <v>270</v>
      </c>
      <c r="P95" s="54" t="s">
        <v>320</v>
      </c>
      <c r="Q95" s="55" t="s">
        <v>0</v>
      </c>
      <c r="R95" s="44">
        <f t="shared" si="3"/>
        <v>10</v>
      </c>
      <c r="S95" s="44" t="e">
        <f t="shared" ca="1" si="4"/>
        <v>#N/A</v>
      </c>
      <c r="T95" s="44">
        <f t="shared" si="5"/>
        <v>92</v>
      </c>
      <c r="U95" s="44" t="str">
        <f>IF($T95&lt;=Z$4,INDEX(TypicalCriticalitiesMAHBarrier23[Barrier Family Description],MATCH($T95,TypicalCriticalitiesMAHBarrier23[Barrier Family ID],0)),"")</f>
        <v/>
      </c>
      <c r="V95" s="44" t="e">
        <f ca="1">IF($T95&lt;=AA$4,INDEX(TypicalCriticalitiesMAHBarrier23[Typical Components],MATCH($T95,TypicalCriticalitiesMAHBarrier23[Column2],0)),"")</f>
        <v>#N/A</v>
      </c>
      <c r="W95" s="2" t="e">
        <f ca="1">IF($T95&lt;=AA$4,INDEX(TypicalCriticalitiesMAHBarrier23[Typical Criticality],MATCH($T95,TypicalCriticalitiesMAHBarrier23[Column2],0)),"")</f>
        <v>#N/A</v>
      </c>
      <c r="AE95" s="44"/>
      <c r="AF95" s="44"/>
      <c r="AG95" s="44"/>
      <c r="AH95" s="44"/>
      <c r="AI95" s="44"/>
      <c r="AJ95" s="44"/>
    </row>
    <row r="96" spans="14:36">
      <c r="N96" s="54" t="s">
        <v>269</v>
      </c>
      <c r="O96" s="54" t="s">
        <v>270</v>
      </c>
      <c r="P96" s="54" t="s">
        <v>321</v>
      </c>
      <c r="Q96" s="55" t="s">
        <v>1</v>
      </c>
      <c r="R96" s="44">
        <f t="shared" si="3"/>
        <v>10</v>
      </c>
      <c r="S96" s="44" t="e">
        <f t="shared" ca="1" si="4"/>
        <v>#N/A</v>
      </c>
      <c r="T96" s="44">
        <f t="shared" si="5"/>
        <v>93</v>
      </c>
      <c r="U96" s="44" t="str">
        <f>IF($T96&lt;=Z$4,INDEX(TypicalCriticalitiesMAHBarrier23[Barrier Family Description],MATCH($T96,TypicalCriticalitiesMAHBarrier23[Barrier Family ID],0)),"")</f>
        <v/>
      </c>
      <c r="V96" s="44" t="e">
        <f ca="1">IF($T96&lt;=AA$4,INDEX(TypicalCriticalitiesMAHBarrier23[Typical Components],MATCH($T96,TypicalCriticalitiesMAHBarrier23[Column2],0)),"")</f>
        <v>#N/A</v>
      </c>
      <c r="W96" s="2" t="e">
        <f ca="1">IF($T96&lt;=AA$4,INDEX(TypicalCriticalitiesMAHBarrier23[Typical Criticality],MATCH($T96,TypicalCriticalitiesMAHBarrier23[Column2],0)),"")</f>
        <v>#N/A</v>
      </c>
      <c r="AE96" s="44"/>
      <c r="AF96" s="44"/>
      <c r="AG96" s="44"/>
      <c r="AH96" s="44"/>
      <c r="AI96" s="44"/>
      <c r="AJ96" s="44"/>
    </row>
    <row r="97" spans="14:36">
      <c r="N97" s="54" t="s">
        <v>269</v>
      </c>
      <c r="O97" s="54" t="s">
        <v>270</v>
      </c>
      <c r="P97" s="54" t="s">
        <v>322</v>
      </c>
      <c r="Q97" s="55" t="s">
        <v>1</v>
      </c>
      <c r="R97" s="44">
        <f t="shared" si="3"/>
        <v>10</v>
      </c>
      <c r="S97" s="44" t="e">
        <f t="shared" ca="1" si="4"/>
        <v>#N/A</v>
      </c>
      <c r="T97" s="44">
        <f t="shared" si="5"/>
        <v>94</v>
      </c>
      <c r="U97" s="44" t="str">
        <f>IF($T97&lt;=Z$4,INDEX(TypicalCriticalitiesMAHBarrier23[Barrier Family Description],MATCH($T97,TypicalCriticalitiesMAHBarrier23[Barrier Family ID],0)),"")</f>
        <v/>
      </c>
      <c r="V97" s="44" t="e">
        <f ca="1">IF($T97&lt;=AA$4,INDEX(TypicalCriticalitiesMAHBarrier23[Typical Components],MATCH($T97,TypicalCriticalitiesMAHBarrier23[Column2],0)),"")</f>
        <v>#N/A</v>
      </c>
      <c r="W97" s="2" t="e">
        <f ca="1">IF($T97&lt;=AA$4,INDEX(TypicalCriticalitiesMAHBarrier23[Typical Criticality],MATCH($T97,TypicalCriticalitiesMAHBarrier23[Column2],0)),"")</f>
        <v>#N/A</v>
      </c>
      <c r="AE97" s="44"/>
      <c r="AF97" s="44"/>
      <c r="AG97" s="44"/>
      <c r="AH97" s="44"/>
      <c r="AI97" s="44"/>
      <c r="AJ97" s="44"/>
    </row>
    <row r="98" spans="14:36">
      <c r="N98" s="54" t="s">
        <v>323</v>
      </c>
      <c r="O98" s="54" t="s">
        <v>324</v>
      </c>
      <c r="P98" s="54" t="s">
        <v>325</v>
      </c>
      <c r="Q98" s="55" t="s">
        <v>0</v>
      </c>
      <c r="R98" s="44">
        <f t="shared" si="3"/>
        <v>11</v>
      </c>
      <c r="S98" s="44" t="e">
        <f t="shared" ca="1" si="4"/>
        <v>#N/A</v>
      </c>
      <c r="T98" s="44">
        <f t="shared" si="5"/>
        <v>95</v>
      </c>
      <c r="U98" s="44" t="str">
        <f>IF($T98&lt;=Z$4,INDEX(TypicalCriticalitiesMAHBarrier23[Barrier Family Description],MATCH($T98,TypicalCriticalitiesMAHBarrier23[Barrier Family ID],0)),"")</f>
        <v/>
      </c>
      <c r="V98" s="44" t="e">
        <f ca="1">IF($T98&lt;=AA$4,INDEX(TypicalCriticalitiesMAHBarrier23[Typical Components],MATCH($T98,TypicalCriticalitiesMAHBarrier23[Column2],0)),"")</f>
        <v>#N/A</v>
      </c>
      <c r="W98" s="2" t="e">
        <f ca="1">IF($T98&lt;=AA$4,INDEX(TypicalCriticalitiesMAHBarrier23[Typical Criticality],MATCH($T98,TypicalCriticalitiesMAHBarrier23[Column2],0)),"")</f>
        <v>#N/A</v>
      </c>
      <c r="AE98" s="44"/>
      <c r="AF98" s="44"/>
      <c r="AG98" s="44"/>
      <c r="AH98" s="44"/>
      <c r="AI98" s="44"/>
      <c r="AJ98" s="44"/>
    </row>
    <row r="99" spans="14:36">
      <c r="N99" s="54" t="s">
        <v>323</v>
      </c>
      <c r="O99" s="54" t="s">
        <v>324</v>
      </c>
      <c r="P99" s="54" t="s">
        <v>326</v>
      </c>
      <c r="Q99" s="55" t="s">
        <v>0</v>
      </c>
      <c r="R99" s="44">
        <f t="shared" si="3"/>
        <v>11</v>
      </c>
      <c r="S99" s="44" t="e">
        <f t="shared" ca="1" si="4"/>
        <v>#N/A</v>
      </c>
      <c r="T99" s="44">
        <f t="shared" si="5"/>
        <v>96</v>
      </c>
      <c r="U99" s="44" t="str">
        <f>IF($T99&lt;=Z$4,INDEX(TypicalCriticalitiesMAHBarrier23[Barrier Family Description],MATCH($T99,TypicalCriticalitiesMAHBarrier23[Barrier Family ID],0)),"")</f>
        <v/>
      </c>
      <c r="V99" s="44" t="e">
        <f ca="1">IF($T99&lt;=AA$4,INDEX(TypicalCriticalitiesMAHBarrier23[Typical Components],MATCH($T99,TypicalCriticalitiesMAHBarrier23[Column2],0)),"")</f>
        <v>#N/A</v>
      </c>
      <c r="W99" s="2" t="e">
        <f ca="1">IF($T99&lt;=AA$4,INDEX(TypicalCriticalitiesMAHBarrier23[Typical Criticality],MATCH($T99,TypicalCriticalitiesMAHBarrier23[Column2],0)),"")</f>
        <v>#N/A</v>
      </c>
      <c r="AE99" s="44"/>
      <c r="AF99" s="44"/>
      <c r="AG99" s="44"/>
      <c r="AH99" s="44"/>
      <c r="AI99" s="44"/>
      <c r="AJ99" s="44"/>
    </row>
    <row r="100" spans="14:36">
      <c r="N100" s="54" t="s">
        <v>323</v>
      </c>
      <c r="O100" s="54" t="s">
        <v>324</v>
      </c>
      <c r="P100" s="54" t="s">
        <v>327</v>
      </c>
      <c r="Q100" s="55" t="s">
        <v>0</v>
      </c>
      <c r="R100" s="44">
        <f t="shared" si="3"/>
        <v>11</v>
      </c>
      <c r="S100" s="44" t="e">
        <f t="shared" ca="1" si="4"/>
        <v>#N/A</v>
      </c>
      <c r="T100" s="44">
        <f t="shared" si="5"/>
        <v>97</v>
      </c>
      <c r="U100" s="44" t="str">
        <f>IF($T100&lt;=Z$4,INDEX(TypicalCriticalitiesMAHBarrier23[Barrier Family Description],MATCH($T100,TypicalCriticalitiesMAHBarrier23[Barrier Family ID],0)),"")</f>
        <v/>
      </c>
      <c r="V100" s="44" t="e">
        <f ca="1">IF($T100&lt;=AA$4,INDEX(TypicalCriticalitiesMAHBarrier23[Typical Components],MATCH($T100,TypicalCriticalitiesMAHBarrier23[Column2],0)),"")</f>
        <v>#N/A</v>
      </c>
      <c r="W100" s="2" t="e">
        <f ca="1">IF($T100&lt;=AA$4,INDEX(TypicalCriticalitiesMAHBarrier23[Typical Criticality],MATCH($T100,TypicalCriticalitiesMAHBarrier23[Column2],0)),"")</f>
        <v>#N/A</v>
      </c>
      <c r="AE100" s="44"/>
      <c r="AF100" s="44"/>
      <c r="AG100" s="44"/>
      <c r="AH100" s="44"/>
      <c r="AI100" s="44"/>
      <c r="AJ100" s="44"/>
    </row>
    <row r="101" spans="14:36">
      <c r="N101" s="54" t="s">
        <v>323</v>
      </c>
      <c r="O101" s="54" t="s">
        <v>324</v>
      </c>
      <c r="P101" s="54" t="s">
        <v>328</v>
      </c>
      <c r="Q101" s="55" t="s">
        <v>0</v>
      </c>
      <c r="R101" s="44">
        <f t="shared" si="3"/>
        <v>11</v>
      </c>
      <c r="S101" s="44" t="e">
        <f t="shared" ca="1" si="4"/>
        <v>#N/A</v>
      </c>
      <c r="T101" s="44">
        <f t="shared" si="5"/>
        <v>98</v>
      </c>
      <c r="U101" s="44" t="str">
        <f>IF($T101&lt;=Z$4,INDEX(TypicalCriticalitiesMAHBarrier23[Barrier Family Description],MATCH($T101,TypicalCriticalitiesMAHBarrier23[Barrier Family ID],0)),"")</f>
        <v/>
      </c>
      <c r="V101" s="44" t="e">
        <f ca="1">IF($T101&lt;=AA$4,INDEX(TypicalCriticalitiesMAHBarrier23[Typical Components],MATCH($T101,TypicalCriticalitiesMAHBarrier23[Column2],0)),"")</f>
        <v>#N/A</v>
      </c>
      <c r="W101" s="2" t="e">
        <f ca="1">IF($T101&lt;=AA$4,INDEX(TypicalCriticalitiesMAHBarrier23[Typical Criticality],MATCH($T101,TypicalCriticalitiesMAHBarrier23[Column2],0)),"")</f>
        <v>#N/A</v>
      </c>
      <c r="AE101" s="44"/>
      <c r="AF101" s="44"/>
      <c r="AG101" s="44"/>
      <c r="AH101" s="44"/>
      <c r="AI101" s="44"/>
      <c r="AJ101" s="44"/>
    </row>
    <row r="102" spans="14:36">
      <c r="N102" s="54" t="s">
        <v>323</v>
      </c>
      <c r="O102" s="54" t="s">
        <v>324</v>
      </c>
      <c r="P102" s="54" t="s">
        <v>329</v>
      </c>
      <c r="Q102" s="55" t="s">
        <v>0</v>
      </c>
      <c r="R102" s="44">
        <f t="shared" si="3"/>
        <v>11</v>
      </c>
      <c r="S102" s="44" t="e">
        <f t="shared" ca="1" si="4"/>
        <v>#N/A</v>
      </c>
      <c r="T102" s="44">
        <f t="shared" si="5"/>
        <v>99</v>
      </c>
      <c r="U102" s="44" t="str">
        <f>IF($T102&lt;=Z$4,INDEX(TypicalCriticalitiesMAHBarrier23[Barrier Family Description],MATCH($T102,TypicalCriticalitiesMAHBarrier23[Barrier Family ID],0)),"")</f>
        <v/>
      </c>
      <c r="V102" s="44" t="e">
        <f ca="1">IF($T102&lt;=AA$4,INDEX(TypicalCriticalitiesMAHBarrier23[Typical Components],MATCH($T102,TypicalCriticalitiesMAHBarrier23[Column2],0)),"")</f>
        <v>#N/A</v>
      </c>
      <c r="W102" s="2" t="e">
        <f ca="1">IF($T102&lt;=AA$4,INDEX(TypicalCriticalitiesMAHBarrier23[Typical Criticality],MATCH($T102,TypicalCriticalitiesMAHBarrier23[Column2],0)),"")</f>
        <v>#N/A</v>
      </c>
      <c r="AE102" s="44"/>
      <c r="AF102" s="44"/>
      <c r="AG102" s="44"/>
      <c r="AH102" s="44"/>
      <c r="AI102" s="44"/>
      <c r="AJ102" s="44"/>
    </row>
    <row r="103" spans="14:36">
      <c r="N103" s="54" t="s">
        <v>323</v>
      </c>
      <c r="O103" s="54" t="s">
        <v>324</v>
      </c>
      <c r="P103" s="54" t="s">
        <v>330</v>
      </c>
      <c r="Q103" s="55" t="s">
        <v>0</v>
      </c>
      <c r="R103" s="44">
        <f t="shared" si="3"/>
        <v>11</v>
      </c>
      <c r="S103" s="44" t="e">
        <f t="shared" ca="1" si="4"/>
        <v>#N/A</v>
      </c>
      <c r="T103" s="44">
        <f t="shared" si="5"/>
        <v>100</v>
      </c>
      <c r="U103" s="44" t="str">
        <f>IF($T103&lt;=Z$4,INDEX(TypicalCriticalitiesMAHBarrier23[Barrier Family Description],MATCH($T103,TypicalCriticalitiesMAHBarrier23[Barrier Family ID],0)),"")</f>
        <v/>
      </c>
      <c r="V103" s="44" t="e">
        <f ca="1">IF($T103&lt;=AA$4,INDEX(TypicalCriticalitiesMAHBarrier23[Typical Components],MATCH($T103,TypicalCriticalitiesMAHBarrier23[Column2],0)),"")</f>
        <v>#N/A</v>
      </c>
      <c r="W103" s="2" t="e">
        <f ca="1">IF($T103&lt;=AA$4,INDEX(TypicalCriticalitiesMAHBarrier23[Typical Criticality],MATCH($T103,TypicalCriticalitiesMAHBarrier23[Column2],0)),"")</f>
        <v>#N/A</v>
      </c>
      <c r="AE103" s="44"/>
      <c r="AF103" s="44"/>
      <c r="AG103" s="44"/>
      <c r="AH103" s="44"/>
      <c r="AI103" s="44"/>
      <c r="AJ103" s="44"/>
    </row>
    <row r="104" spans="14:36">
      <c r="N104" s="54" t="s">
        <v>323</v>
      </c>
      <c r="O104" s="54" t="s">
        <v>324</v>
      </c>
      <c r="P104" s="54" t="s">
        <v>331</v>
      </c>
      <c r="Q104" s="55" t="s">
        <v>0</v>
      </c>
      <c r="R104" s="44">
        <f t="shared" si="3"/>
        <v>11</v>
      </c>
      <c r="S104" s="44" t="e">
        <f t="shared" ca="1" si="4"/>
        <v>#N/A</v>
      </c>
      <c r="T104" s="44">
        <f t="shared" si="5"/>
        <v>101</v>
      </c>
      <c r="U104" s="44" t="str">
        <f>IF($T104&lt;=Z$4,INDEX(TypicalCriticalitiesMAHBarrier23[Barrier Family Description],MATCH($T104,TypicalCriticalitiesMAHBarrier23[Barrier Family ID],0)),"")</f>
        <v/>
      </c>
      <c r="V104" s="44" t="e">
        <f ca="1">IF($T104&lt;=AA$4,INDEX(TypicalCriticalitiesMAHBarrier23[Typical Components],MATCH($T104,TypicalCriticalitiesMAHBarrier23[Column2],0)),"")</f>
        <v>#N/A</v>
      </c>
      <c r="W104" s="2" t="e">
        <f ca="1">IF($T104&lt;=AA$4,INDEX(TypicalCriticalitiesMAHBarrier23[Typical Criticality],MATCH($T104,TypicalCriticalitiesMAHBarrier23[Column2],0)),"")</f>
        <v>#N/A</v>
      </c>
      <c r="AE104" s="44"/>
      <c r="AF104" s="44"/>
      <c r="AG104" s="44"/>
      <c r="AH104" s="44"/>
      <c r="AI104" s="44"/>
      <c r="AJ104" s="44"/>
    </row>
    <row r="105" spans="14:36">
      <c r="N105" s="54" t="s">
        <v>323</v>
      </c>
      <c r="O105" s="54" t="s">
        <v>324</v>
      </c>
      <c r="P105" s="54" t="s">
        <v>332</v>
      </c>
      <c r="Q105" s="55" t="s">
        <v>2</v>
      </c>
      <c r="R105" s="44">
        <f t="shared" si="3"/>
        <v>11</v>
      </c>
      <c r="S105" s="44" t="e">
        <f t="shared" ca="1" si="4"/>
        <v>#N/A</v>
      </c>
      <c r="T105" s="44">
        <f t="shared" si="5"/>
        <v>102</v>
      </c>
      <c r="U105" s="44" t="str">
        <f>IF($T105&lt;=Z$4,INDEX(TypicalCriticalitiesMAHBarrier23[Barrier Family Description],MATCH($T105,TypicalCriticalitiesMAHBarrier23[Barrier Family ID],0)),"")</f>
        <v/>
      </c>
      <c r="V105" s="44" t="e">
        <f ca="1">IF($T105&lt;=AA$4,INDEX(TypicalCriticalitiesMAHBarrier23[Typical Components],MATCH($T105,TypicalCriticalitiesMAHBarrier23[Column2],0)),"")</f>
        <v>#N/A</v>
      </c>
      <c r="W105" s="2" t="e">
        <f ca="1">IF($T105&lt;=AA$4,INDEX(TypicalCriticalitiesMAHBarrier23[Typical Criticality],MATCH($T105,TypicalCriticalitiesMAHBarrier23[Column2],0)),"")</f>
        <v>#N/A</v>
      </c>
      <c r="AE105" s="44"/>
      <c r="AF105" s="44"/>
      <c r="AG105" s="44"/>
      <c r="AH105" s="44"/>
      <c r="AI105" s="44"/>
      <c r="AJ105" s="44"/>
    </row>
    <row r="106" spans="14:36">
      <c r="N106" s="54" t="s">
        <v>323</v>
      </c>
      <c r="O106" s="54" t="s">
        <v>324</v>
      </c>
      <c r="P106" s="54" t="s">
        <v>333</v>
      </c>
      <c r="Q106" s="55" t="s">
        <v>0</v>
      </c>
      <c r="R106" s="44">
        <f t="shared" si="3"/>
        <v>11</v>
      </c>
      <c r="S106" s="44" t="e">
        <f t="shared" ca="1" si="4"/>
        <v>#N/A</v>
      </c>
      <c r="T106" s="44">
        <f t="shared" si="5"/>
        <v>103</v>
      </c>
      <c r="U106" s="44" t="str">
        <f>IF($T106&lt;=Z$4,INDEX(TypicalCriticalitiesMAHBarrier23[Barrier Family Description],MATCH($T106,TypicalCriticalitiesMAHBarrier23[Barrier Family ID],0)),"")</f>
        <v/>
      </c>
      <c r="V106" s="44" t="e">
        <f ca="1">IF($T106&lt;=AA$4,INDEX(TypicalCriticalitiesMAHBarrier23[Typical Components],MATCH($T106,TypicalCriticalitiesMAHBarrier23[Column2],0)),"")</f>
        <v>#N/A</v>
      </c>
      <c r="W106" s="2" t="e">
        <f ca="1">IF($T106&lt;=AA$4,INDEX(TypicalCriticalitiesMAHBarrier23[Typical Criticality],MATCH($T106,TypicalCriticalitiesMAHBarrier23[Column2],0)),"")</f>
        <v>#N/A</v>
      </c>
      <c r="AE106" s="44"/>
      <c r="AF106" s="44"/>
      <c r="AG106" s="44"/>
      <c r="AH106" s="44"/>
      <c r="AI106" s="44"/>
      <c r="AJ106" s="44"/>
    </row>
    <row r="107" spans="14:36">
      <c r="N107" s="54" t="s">
        <v>323</v>
      </c>
      <c r="O107" s="54" t="s">
        <v>324</v>
      </c>
      <c r="P107" s="54" t="s">
        <v>334</v>
      </c>
      <c r="Q107" s="55" t="s">
        <v>0</v>
      </c>
      <c r="R107" s="44">
        <f t="shared" si="3"/>
        <v>11</v>
      </c>
      <c r="S107" s="44" t="e">
        <f t="shared" ca="1" si="4"/>
        <v>#N/A</v>
      </c>
      <c r="T107" s="44">
        <f t="shared" si="5"/>
        <v>104</v>
      </c>
      <c r="U107" s="44" t="str">
        <f>IF($T107&lt;=Z$4,INDEX(TypicalCriticalitiesMAHBarrier23[Barrier Family Description],MATCH($T107,TypicalCriticalitiesMAHBarrier23[Barrier Family ID],0)),"")</f>
        <v/>
      </c>
      <c r="V107" s="44" t="e">
        <f ca="1">IF($T107&lt;=AA$4,INDEX(TypicalCriticalitiesMAHBarrier23[Typical Components],MATCH($T107,TypicalCriticalitiesMAHBarrier23[Column2],0)),"")</f>
        <v>#N/A</v>
      </c>
      <c r="W107" s="2" t="e">
        <f ca="1">IF($T107&lt;=AA$4,INDEX(TypicalCriticalitiesMAHBarrier23[Typical Criticality],MATCH($T107,TypicalCriticalitiesMAHBarrier23[Column2],0)),"")</f>
        <v>#N/A</v>
      </c>
      <c r="AE107" s="44"/>
      <c r="AF107" s="44"/>
      <c r="AG107" s="44"/>
      <c r="AH107" s="44"/>
      <c r="AI107" s="44"/>
      <c r="AJ107" s="44"/>
    </row>
    <row r="108" spans="14:36">
      <c r="N108" s="54" t="s">
        <v>323</v>
      </c>
      <c r="O108" s="54" t="s">
        <v>324</v>
      </c>
      <c r="P108" s="54" t="s">
        <v>335</v>
      </c>
      <c r="Q108" s="55" t="s">
        <v>0</v>
      </c>
      <c r="R108" s="44">
        <f t="shared" si="3"/>
        <v>11</v>
      </c>
      <c r="S108" s="44" t="e">
        <f t="shared" ca="1" si="4"/>
        <v>#N/A</v>
      </c>
      <c r="T108" s="44">
        <f t="shared" si="5"/>
        <v>105</v>
      </c>
      <c r="U108" s="44" t="str">
        <f>IF($T108&lt;=Z$4,INDEX(TypicalCriticalitiesMAHBarrier23[Barrier Family Description],MATCH($T108,TypicalCriticalitiesMAHBarrier23[Barrier Family ID],0)),"")</f>
        <v/>
      </c>
      <c r="V108" s="44" t="e">
        <f ca="1">IF($T108&lt;=AA$4,INDEX(TypicalCriticalitiesMAHBarrier23[Typical Components],MATCH($T108,TypicalCriticalitiesMAHBarrier23[Column2],0)),"")</f>
        <v>#N/A</v>
      </c>
      <c r="W108" s="2" t="e">
        <f ca="1">IF($T108&lt;=AA$4,INDEX(TypicalCriticalitiesMAHBarrier23[Typical Criticality],MATCH($T108,TypicalCriticalitiesMAHBarrier23[Column2],0)),"")</f>
        <v>#N/A</v>
      </c>
      <c r="AE108" s="44"/>
      <c r="AF108" s="44"/>
      <c r="AG108" s="44"/>
      <c r="AH108" s="44"/>
      <c r="AI108" s="44"/>
      <c r="AJ108" s="44"/>
    </row>
    <row r="109" spans="14:36">
      <c r="N109" s="54" t="s">
        <v>323</v>
      </c>
      <c r="O109" s="54" t="s">
        <v>324</v>
      </c>
      <c r="P109" s="54" t="s">
        <v>336</v>
      </c>
      <c r="Q109" s="55" t="s">
        <v>0</v>
      </c>
      <c r="R109" s="44">
        <f t="shared" si="3"/>
        <v>11</v>
      </c>
      <c r="S109" s="44" t="e">
        <f t="shared" ca="1" si="4"/>
        <v>#N/A</v>
      </c>
      <c r="T109" s="44">
        <f t="shared" si="5"/>
        <v>106</v>
      </c>
      <c r="U109" s="44" t="str">
        <f>IF($T109&lt;=Z$4,INDEX(TypicalCriticalitiesMAHBarrier23[Barrier Family Description],MATCH($T109,TypicalCriticalitiesMAHBarrier23[Barrier Family ID],0)),"")</f>
        <v/>
      </c>
      <c r="V109" s="44" t="e">
        <f ca="1">IF($T109&lt;=AA$4,INDEX(TypicalCriticalitiesMAHBarrier23[Typical Components],MATCH($T109,TypicalCriticalitiesMAHBarrier23[Column2],0)),"")</f>
        <v>#N/A</v>
      </c>
      <c r="W109" s="2" t="e">
        <f ca="1">IF($T109&lt;=AA$4,INDEX(TypicalCriticalitiesMAHBarrier23[Typical Criticality],MATCH($T109,TypicalCriticalitiesMAHBarrier23[Column2],0)),"")</f>
        <v>#N/A</v>
      </c>
      <c r="AE109" s="44"/>
      <c r="AF109" s="44"/>
      <c r="AG109" s="44"/>
      <c r="AH109" s="44"/>
      <c r="AI109" s="44"/>
      <c r="AJ109" s="44"/>
    </row>
    <row r="110" spans="14:36">
      <c r="N110" s="54" t="s">
        <v>323</v>
      </c>
      <c r="O110" s="54" t="s">
        <v>324</v>
      </c>
      <c r="P110" s="54" t="s">
        <v>337</v>
      </c>
      <c r="Q110" s="55" t="s">
        <v>2</v>
      </c>
      <c r="R110" s="44">
        <f t="shared" si="3"/>
        <v>11</v>
      </c>
      <c r="S110" s="44" t="e">
        <f t="shared" ca="1" si="4"/>
        <v>#N/A</v>
      </c>
      <c r="T110" s="44">
        <f t="shared" si="5"/>
        <v>107</v>
      </c>
      <c r="U110" s="44" t="str">
        <f>IF($T110&lt;=Z$4,INDEX(TypicalCriticalitiesMAHBarrier23[Barrier Family Description],MATCH($T110,TypicalCriticalitiesMAHBarrier23[Barrier Family ID],0)),"")</f>
        <v/>
      </c>
      <c r="V110" s="44" t="e">
        <f ca="1">IF($T110&lt;=AA$4,INDEX(TypicalCriticalitiesMAHBarrier23[Typical Components],MATCH($T110,TypicalCriticalitiesMAHBarrier23[Column2],0)),"")</f>
        <v>#N/A</v>
      </c>
      <c r="W110" s="2" t="e">
        <f ca="1">IF($T110&lt;=AA$4,INDEX(TypicalCriticalitiesMAHBarrier23[Typical Criticality],MATCH($T110,TypicalCriticalitiesMAHBarrier23[Column2],0)),"")</f>
        <v>#N/A</v>
      </c>
      <c r="AE110" s="44"/>
      <c r="AF110" s="44"/>
      <c r="AG110" s="44"/>
      <c r="AH110" s="44"/>
      <c r="AI110" s="44"/>
      <c r="AJ110" s="44"/>
    </row>
    <row r="111" spans="14:36">
      <c r="N111" s="54" t="s">
        <v>338</v>
      </c>
      <c r="O111" s="54" t="s">
        <v>339</v>
      </c>
      <c r="P111" s="54" t="s">
        <v>340</v>
      </c>
      <c r="Q111" s="55" t="s">
        <v>0</v>
      </c>
      <c r="R111" s="44">
        <f t="shared" si="3"/>
        <v>12</v>
      </c>
      <c r="S111" s="44" t="e">
        <f t="shared" ca="1" si="4"/>
        <v>#N/A</v>
      </c>
      <c r="T111" s="44">
        <f t="shared" si="5"/>
        <v>108</v>
      </c>
      <c r="U111" s="44" t="str">
        <f>IF($T111&lt;=Z$4,INDEX(TypicalCriticalitiesMAHBarrier23[Barrier Family Description],MATCH($T111,TypicalCriticalitiesMAHBarrier23[Barrier Family ID],0)),"")</f>
        <v/>
      </c>
      <c r="V111" s="44" t="e">
        <f ca="1">IF($T111&lt;=AA$4,INDEX(TypicalCriticalitiesMAHBarrier23[Typical Components],MATCH($T111,TypicalCriticalitiesMAHBarrier23[Column2],0)),"")</f>
        <v>#N/A</v>
      </c>
      <c r="W111" s="2" t="e">
        <f ca="1">IF($T111&lt;=AA$4,INDEX(TypicalCriticalitiesMAHBarrier23[Typical Criticality],MATCH($T111,TypicalCriticalitiesMAHBarrier23[Column2],0)),"")</f>
        <v>#N/A</v>
      </c>
      <c r="AE111" s="44"/>
      <c r="AF111" s="44"/>
      <c r="AG111" s="44"/>
      <c r="AH111" s="44"/>
      <c r="AI111" s="44"/>
      <c r="AJ111" s="44"/>
    </row>
    <row r="112" spans="14:36">
      <c r="N112" s="54" t="s">
        <v>338</v>
      </c>
      <c r="O112" s="54" t="s">
        <v>339</v>
      </c>
      <c r="P112" s="54" t="s">
        <v>341</v>
      </c>
      <c r="Q112" s="55" t="s">
        <v>1</v>
      </c>
      <c r="R112" s="44">
        <f t="shared" si="3"/>
        <v>12</v>
      </c>
      <c r="S112" s="44" t="e">
        <f t="shared" ca="1" si="4"/>
        <v>#N/A</v>
      </c>
      <c r="T112" s="44">
        <f t="shared" si="5"/>
        <v>109</v>
      </c>
      <c r="U112" s="44" t="str">
        <f>IF($T112&lt;=Z$4,INDEX(TypicalCriticalitiesMAHBarrier23[Barrier Family Description],MATCH($T112,TypicalCriticalitiesMAHBarrier23[Barrier Family ID],0)),"")</f>
        <v/>
      </c>
      <c r="V112" s="44" t="e">
        <f ca="1">IF($T112&lt;=AA$4,INDEX(TypicalCriticalitiesMAHBarrier23[Typical Components],MATCH($T112,TypicalCriticalitiesMAHBarrier23[Column2],0)),"")</f>
        <v>#N/A</v>
      </c>
      <c r="W112" s="2" t="e">
        <f ca="1">IF($T112&lt;=AA$4,INDEX(TypicalCriticalitiesMAHBarrier23[Typical Criticality],MATCH($T112,TypicalCriticalitiesMAHBarrier23[Column2],0)),"")</f>
        <v>#N/A</v>
      </c>
      <c r="AE112" s="44"/>
      <c r="AF112" s="44"/>
      <c r="AG112" s="44"/>
      <c r="AH112" s="44"/>
      <c r="AI112" s="44"/>
      <c r="AJ112" s="44"/>
    </row>
    <row r="113" spans="14:36">
      <c r="N113" s="54" t="s">
        <v>338</v>
      </c>
      <c r="O113" s="54" t="s">
        <v>339</v>
      </c>
      <c r="P113" s="54" t="s">
        <v>342</v>
      </c>
      <c r="Q113" s="55" t="s">
        <v>1</v>
      </c>
      <c r="R113" s="44">
        <f t="shared" si="3"/>
        <v>12</v>
      </c>
      <c r="S113" s="44" t="e">
        <f t="shared" ca="1" si="4"/>
        <v>#N/A</v>
      </c>
      <c r="T113" s="44">
        <f t="shared" si="5"/>
        <v>110</v>
      </c>
      <c r="U113" s="44" t="str">
        <f>IF($T113&lt;=Z$4,INDEX(TypicalCriticalitiesMAHBarrier23[Barrier Family Description],MATCH($T113,TypicalCriticalitiesMAHBarrier23[Barrier Family ID],0)),"")</f>
        <v/>
      </c>
      <c r="V113" s="44" t="e">
        <f ca="1">IF($T113&lt;=AA$4,INDEX(TypicalCriticalitiesMAHBarrier23[Typical Components],MATCH($T113,TypicalCriticalitiesMAHBarrier23[Column2],0)),"")</f>
        <v>#N/A</v>
      </c>
      <c r="W113" s="2" t="e">
        <f ca="1">IF($T113&lt;=AA$4,INDEX(TypicalCriticalitiesMAHBarrier23[Typical Criticality],MATCH($T113,TypicalCriticalitiesMAHBarrier23[Column2],0)),"")</f>
        <v>#N/A</v>
      </c>
      <c r="AE113" s="44"/>
      <c r="AF113" s="44"/>
      <c r="AG113" s="44"/>
      <c r="AH113" s="44"/>
      <c r="AI113" s="44"/>
      <c r="AJ113" s="44"/>
    </row>
    <row r="114" spans="14:36">
      <c r="N114" s="54" t="s">
        <v>338</v>
      </c>
      <c r="O114" s="54" t="s">
        <v>339</v>
      </c>
      <c r="P114" s="54" t="s">
        <v>343</v>
      </c>
      <c r="Q114" s="55" t="s">
        <v>1</v>
      </c>
      <c r="R114" s="44">
        <f t="shared" si="3"/>
        <v>12</v>
      </c>
      <c r="S114" s="44" t="e">
        <f t="shared" ca="1" si="4"/>
        <v>#N/A</v>
      </c>
      <c r="T114" s="44">
        <f t="shared" si="5"/>
        <v>111</v>
      </c>
      <c r="U114" s="44" t="str">
        <f>IF($T114&lt;=Z$4,INDEX(TypicalCriticalitiesMAHBarrier23[Barrier Family Description],MATCH($T114,TypicalCriticalitiesMAHBarrier23[Barrier Family ID],0)),"")</f>
        <v/>
      </c>
      <c r="V114" s="44" t="e">
        <f ca="1">IF($T114&lt;=AA$4,INDEX(TypicalCriticalitiesMAHBarrier23[Typical Components],MATCH($T114,TypicalCriticalitiesMAHBarrier23[Column2],0)),"")</f>
        <v>#N/A</v>
      </c>
      <c r="W114" s="2" t="e">
        <f ca="1">IF($T114&lt;=AA$4,INDEX(TypicalCriticalitiesMAHBarrier23[Typical Criticality],MATCH($T114,TypicalCriticalitiesMAHBarrier23[Column2],0)),"")</f>
        <v>#N/A</v>
      </c>
      <c r="AE114" s="44"/>
      <c r="AF114" s="44"/>
      <c r="AG114" s="44"/>
      <c r="AH114" s="44"/>
      <c r="AI114" s="44"/>
      <c r="AJ114" s="44"/>
    </row>
    <row r="115" spans="14:36">
      <c r="N115" s="54" t="s">
        <v>338</v>
      </c>
      <c r="O115" s="54" t="s">
        <v>339</v>
      </c>
      <c r="P115" s="54" t="s">
        <v>344</v>
      </c>
      <c r="Q115" s="55" t="s">
        <v>0</v>
      </c>
      <c r="R115" s="44">
        <f t="shared" si="3"/>
        <v>12</v>
      </c>
      <c r="S115" s="44" t="e">
        <f t="shared" ca="1" si="4"/>
        <v>#N/A</v>
      </c>
      <c r="T115" s="44">
        <f t="shared" si="5"/>
        <v>112</v>
      </c>
      <c r="U115" s="44" t="str">
        <f>IF($T115&lt;=Z$4,INDEX(TypicalCriticalitiesMAHBarrier23[Barrier Family Description],MATCH($T115,TypicalCriticalitiesMAHBarrier23[Barrier Family ID],0)),"")</f>
        <v/>
      </c>
      <c r="V115" s="44" t="e">
        <f ca="1">IF($T115&lt;=AA$4,INDEX(TypicalCriticalitiesMAHBarrier23[Typical Components],MATCH($T115,TypicalCriticalitiesMAHBarrier23[Column2],0)),"")</f>
        <v>#N/A</v>
      </c>
      <c r="W115" s="2" t="e">
        <f ca="1">IF($T115&lt;=AA$4,INDEX(TypicalCriticalitiesMAHBarrier23[Typical Criticality],MATCH($T115,TypicalCriticalitiesMAHBarrier23[Column2],0)),"")</f>
        <v>#N/A</v>
      </c>
      <c r="AE115" s="44"/>
      <c r="AF115" s="44"/>
      <c r="AG115" s="44"/>
      <c r="AH115" s="44"/>
      <c r="AI115" s="44"/>
      <c r="AJ115" s="44"/>
    </row>
    <row r="116" spans="14:36">
      <c r="N116" s="54" t="s">
        <v>338</v>
      </c>
      <c r="O116" s="54" t="s">
        <v>339</v>
      </c>
      <c r="P116" s="54" t="s">
        <v>345</v>
      </c>
      <c r="Q116" s="55" t="s">
        <v>1</v>
      </c>
      <c r="R116" s="44">
        <f t="shared" si="3"/>
        <v>12</v>
      </c>
      <c r="S116" s="44" t="e">
        <f t="shared" ca="1" si="4"/>
        <v>#N/A</v>
      </c>
      <c r="T116" s="44">
        <f t="shared" si="5"/>
        <v>113</v>
      </c>
      <c r="U116" s="44" t="str">
        <f>IF($T116&lt;=Z$4,INDEX(TypicalCriticalitiesMAHBarrier23[Barrier Family Description],MATCH($T116,TypicalCriticalitiesMAHBarrier23[Barrier Family ID],0)),"")</f>
        <v/>
      </c>
      <c r="V116" s="44" t="e">
        <f ca="1">IF($T116&lt;=AA$4,INDEX(TypicalCriticalitiesMAHBarrier23[Typical Components],MATCH($T116,TypicalCriticalitiesMAHBarrier23[Column2],0)),"")</f>
        <v>#N/A</v>
      </c>
      <c r="W116" s="2" t="e">
        <f ca="1">IF($T116&lt;=AA$4,INDEX(TypicalCriticalitiesMAHBarrier23[Typical Criticality],MATCH($T116,TypicalCriticalitiesMAHBarrier23[Column2],0)),"")</f>
        <v>#N/A</v>
      </c>
      <c r="AE116" s="44"/>
      <c r="AF116" s="44"/>
      <c r="AG116" s="44"/>
      <c r="AH116" s="44"/>
      <c r="AI116" s="44"/>
      <c r="AJ116" s="44"/>
    </row>
    <row r="117" spans="14:36">
      <c r="N117" s="54" t="s">
        <v>338</v>
      </c>
      <c r="O117" s="54" t="s">
        <v>339</v>
      </c>
      <c r="P117" s="54" t="s">
        <v>346</v>
      </c>
      <c r="Q117" s="55" t="s">
        <v>0</v>
      </c>
      <c r="R117" s="44">
        <f t="shared" si="3"/>
        <v>12</v>
      </c>
      <c r="S117" s="44" t="e">
        <f t="shared" ca="1" si="4"/>
        <v>#N/A</v>
      </c>
      <c r="T117" s="44">
        <f t="shared" si="5"/>
        <v>114</v>
      </c>
      <c r="U117" s="44" t="str">
        <f>IF($T117&lt;=Z$4,INDEX(TypicalCriticalitiesMAHBarrier23[Barrier Family Description],MATCH($T117,TypicalCriticalitiesMAHBarrier23[Barrier Family ID],0)),"")</f>
        <v/>
      </c>
      <c r="V117" s="44" t="e">
        <f ca="1">IF($T117&lt;=AA$4,INDEX(TypicalCriticalitiesMAHBarrier23[Typical Components],MATCH($T117,TypicalCriticalitiesMAHBarrier23[Column2],0)),"")</f>
        <v>#N/A</v>
      </c>
      <c r="W117" s="2" t="e">
        <f ca="1">IF($T117&lt;=AA$4,INDEX(TypicalCriticalitiesMAHBarrier23[Typical Criticality],MATCH($T117,TypicalCriticalitiesMAHBarrier23[Column2],0)),"")</f>
        <v>#N/A</v>
      </c>
      <c r="AE117" s="44"/>
      <c r="AF117" s="44"/>
      <c r="AG117" s="44"/>
      <c r="AH117" s="44"/>
      <c r="AI117" s="44"/>
      <c r="AJ117" s="44"/>
    </row>
    <row r="118" spans="14:36">
      <c r="N118" s="54" t="s">
        <v>338</v>
      </c>
      <c r="O118" s="54" t="s">
        <v>339</v>
      </c>
      <c r="P118" s="54" t="s">
        <v>347</v>
      </c>
      <c r="Q118" s="55" t="s">
        <v>0</v>
      </c>
      <c r="R118" s="44">
        <f t="shared" si="3"/>
        <v>12</v>
      </c>
      <c r="S118" s="44" t="e">
        <f t="shared" ca="1" si="4"/>
        <v>#N/A</v>
      </c>
      <c r="T118" s="44">
        <f t="shared" si="5"/>
        <v>115</v>
      </c>
      <c r="U118" s="44" t="str">
        <f>IF($T118&lt;=Z$4,INDEX(TypicalCriticalitiesMAHBarrier23[Barrier Family Description],MATCH($T118,TypicalCriticalitiesMAHBarrier23[Barrier Family ID],0)),"")</f>
        <v/>
      </c>
      <c r="V118" s="44" t="e">
        <f ca="1">IF($T118&lt;=AA$4,INDEX(TypicalCriticalitiesMAHBarrier23[Typical Components],MATCH($T118,TypicalCriticalitiesMAHBarrier23[Column2],0)),"")</f>
        <v>#N/A</v>
      </c>
      <c r="W118" s="2" t="e">
        <f ca="1">IF($T118&lt;=AA$4,INDEX(TypicalCriticalitiesMAHBarrier23[Typical Criticality],MATCH($T118,TypicalCriticalitiesMAHBarrier23[Column2],0)),"")</f>
        <v>#N/A</v>
      </c>
      <c r="AE118" s="44"/>
      <c r="AF118" s="44"/>
      <c r="AG118" s="44"/>
      <c r="AH118" s="44"/>
      <c r="AI118" s="44"/>
      <c r="AJ118" s="44"/>
    </row>
    <row r="119" spans="14:36">
      <c r="N119" s="54" t="s">
        <v>338</v>
      </c>
      <c r="O119" s="54" t="s">
        <v>339</v>
      </c>
      <c r="P119" s="54" t="s">
        <v>348</v>
      </c>
      <c r="Q119" s="55" t="s">
        <v>0</v>
      </c>
      <c r="R119" s="44">
        <f t="shared" si="3"/>
        <v>12</v>
      </c>
      <c r="S119" s="44" t="e">
        <f t="shared" ca="1" si="4"/>
        <v>#N/A</v>
      </c>
      <c r="T119" s="44">
        <f t="shared" si="5"/>
        <v>116</v>
      </c>
      <c r="U119" s="44" t="str">
        <f>IF($T119&lt;=Z$4,INDEX(TypicalCriticalitiesMAHBarrier23[Barrier Family Description],MATCH($T119,TypicalCriticalitiesMAHBarrier23[Barrier Family ID],0)),"")</f>
        <v/>
      </c>
      <c r="V119" s="44" t="e">
        <f ca="1">IF($T119&lt;=AA$4,INDEX(TypicalCriticalitiesMAHBarrier23[Typical Components],MATCH($T119,TypicalCriticalitiesMAHBarrier23[Column2],0)),"")</f>
        <v>#N/A</v>
      </c>
      <c r="W119" s="2" t="e">
        <f ca="1">IF($T119&lt;=AA$4,INDEX(TypicalCriticalitiesMAHBarrier23[Typical Criticality],MATCH($T119,TypicalCriticalitiesMAHBarrier23[Column2],0)),"")</f>
        <v>#N/A</v>
      </c>
      <c r="AE119" s="44"/>
      <c r="AF119" s="44"/>
      <c r="AG119" s="44"/>
      <c r="AH119" s="44"/>
      <c r="AI119" s="44"/>
      <c r="AJ119" s="44"/>
    </row>
    <row r="120" spans="14:36">
      <c r="N120" s="54" t="s">
        <v>338</v>
      </c>
      <c r="O120" s="54" t="s">
        <v>339</v>
      </c>
      <c r="P120" s="54" t="s">
        <v>349</v>
      </c>
      <c r="Q120" s="55" t="s">
        <v>0</v>
      </c>
      <c r="R120" s="44">
        <f t="shared" si="3"/>
        <v>12</v>
      </c>
      <c r="S120" s="44" t="e">
        <f t="shared" ca="1" si="4"/>
        <v>#N/A</v>
      </c>
      <c r="T120" s="44">
        <f t="shared" si="5"/>
        <v>117</v>
      </c>
      <c r="U120" s="44" t="str">
        <f>IF($T120&lt;=Z$4,INDEX(TypicalCriticalitiesMAHBarrier23[Barrier Family Description],MATCH($T120,TypicalCriticalitiesMAHBarrier23[Barrier Family ID],0)),"")</f>
        <v/>
      </c>
      <c r="V120" s="44" t="e">
        <f ca="1">IF($T120&lt;=AA$4,INDEX(TypicalCriticalitiesMAHBarrier23[Typical Components],MATCH($T120,TypicalCriticalitiesMAHBarrier23[Column2],0)),"")</f>
        <v>#N/A</v>
      </c>
      <c r="W120" s="2" t="e">
        <f ca="1">IF($T120&lt;=AA$4,INDEX(TypicalCriticalitiesMAHBarrier23[Typical Criticality],MATCH($T120,TypicalCriticalitiesMAHBarrier23[Column2],0)),"")</f>
        <v>#N/A</v>
      </c>
      <c r="AE120" s="44"/>
      <c r="AF120" s="44"/>
      <c r="AG120" s="44"/>
      <c r="AH120" s="44"/>
      <c r="AI120" s="44"/>
      <c r="AJ120" s="44"/>
    </row>
    <row r="121" spans="14:36">
      <c r="N121" s="54" t="s">
        <v>338</v>
      </c>
      <c r="O121" s="54" t="s">
        <v>339</v>
      </c>
      <c r="P121" s="54" t="s">
        <v>350</v>
      </c>
      <c r="Q121" s="55" t="s">
        <v>0</v>
      </c>
      <c r="R121" s="44">
        <f t="shared" si="3"/>
        <v>12</v>
      </c>
      <c r="S121" s="44" t="e">
        <f t="shared" ca="1" si="4"/>
        <v>#N/A</v>
      </c>
      <c r="T121" s="44">
        <f t="shared" si="5"/>
        <v>118</v>
      </c>
      <c r="U121" s="44" t="str">
        <f>IF($T121&lt;=Z$4,INDEX(TypicalCriticalitiesMAHBarrier23[Barrier Family Description],MATCH($T121,TypicalCriticalitiesMAHBarrier23[Barrier Family ID],0)),"")</f>
        <v/>
      </c>
      <c r="V121" s="44" t="e">
        <f ca="1">IF($T121&lt;=AA$4,INDEX(TypicalCriticalitiesMAHBarrier23[Typical Components],MATCH($T121,TypicalCriticalitiesMAHBarrier23[Column2],0)),"")</f>
        <v>#N/A</v>
      </c>
      <c r="W121" s="2" t="e">
        <f ca="1">IF($T121&lt;=AA$4,INDEX(TypicalCriticalitiesMAHBarrier23[Typical Criticality],MATCH($T121,TypicalCriticalitiesMAHBarrier23[Column2],0)),"")</f>
        <v>#N/A</v>
      </c>
      <c r="AE121" s="44"/>
      <c r="AF121" s="44"/>
      <c r="AG121" s="44"/>
      <c r="AH121" s="44"/>
      <c r="AI121" s="44"/>
      <c r="AJ121" s="44"/>
    </row>
    <row r="122" spans="14:36">
      <c r="N122" s="54" t="s">
        <v>338</v>
      </c>
      <c r="O122" s="54" t="s">
        <v>339</v>
      </c>
      <c r="P122" s="54" t="s">
        <v>351</v>
      </c>
      <c r="Q122" s="55" t="s">
        <v>1</v>
      </c>
      <c r="R122" s="44">
        <f t="shared" si="3"/>
        <v>12</v>
      </c>
      <c r="S122" s="44" t="e">
        <f t="shared" ca="1" si="4"/>
        <v>#N/A</v>
      </c>
      <c r="T122" s="44">
        <f t="shared" si="5"/>
        <v>119</v>
      </c>
      <c r="U122" s="44" t="str">
        <f>IF($T122&lt;=Z$4,INDEX(TypicalCriticalitiesMAHBarrier23[Barrier Family Description],MATCH($T122,TypicalCriticalitiesMAHBarrier23[Barrier Family ID],0)),"")</f>
        <v/>
      </c>
      <c r="V122" s="44" t="e">
        <f ca="1">IF($T122&lt;=AA$4,INDEX(TypicalCriticalitiesMAHBarrier23[Typical Components],MATCH($T122,TypicalCriticalitiesMAHBarrier23[Column2],0)),"")</f>
        <v>#N/A</v>
      </c>
      <c r="W122" s="2" t="e">
        <f ca="1">IF($T122&lt;=AA$4,INDEX(TypicalCriticalitiesMAHBarrier23[Typical Criticality],MATCH($T122,TypicalCriticalitiesMAHBarrier23[Column2],0)),"")</f>
        <v>#N/A</v>
      </c>
      <c r="AE122" s="44"/>
      <c r="AF122" s="44"/>
      <c r="AG122" s="44"/>
      <c r="AH122" s="44"/>
      <c r="AI122" s="44"/>
      <c r="AJ122" s="44"/>
    </row>
    <row r="123" spans="14:36">
      <c r="N123" s="54" t="s">
        <v>338</v>
      </c>
      <c r="O123" s="54" t="s">
        <v>352</v>
      </c>
      <c r="P123" s="54" t="s">
        <v>353</v>
      </c>
      <c r="Q123" s="55" t="s">
        <v>1</v>
      </c>
      <c r="R123" s="44">
        <f t="shared" si="3"/>
        <v>13</v>
      </c>
      <c r="S123" s="44" t="e">
        <f t="shared" ca="1" si="4"/>
        <v>#N/A</v>
      </c>
      <c r="T123" s="44">
        <f t="shared" si="5"/>
        <v>120</v>
      </c>
      <c r="U123" s="44" t="str">
        <f>IF($T123&lt;=Z$4,INDEX(TypicalCriticalitiesMAHBarrier23[Barrier Family Description],MATCH($T123,TypicalCriticalitiesMAHBarrier23[Barrier Family ID],0)),"")</f>
        <v/>
      </c>
      <c r="V123" s="44" t="e">
        <f ca="1">IF($T123&lt;=AA$4,INDEX(TypicalCriticalitiesMAHBarrier23[Typical Components],MATCH($T123,TypicalCriticalitiesMAHBarrier23[Column2],0)),"")</f>
        <v>#N/A</v>
      </c>
      <c r="W123" s="2" t="e">
        <f ca="1">IF($T123&lt;=AA$4,INDEX(TypicalCriticalitiesMAHBarrier23[Typical Criticality],MATCH($T123,TypicalCriticalitiesMAHBarrier23[Column2],0)),"")</f>
        <v>#N/A</v>
      </c>
      <c r="AE123" s="44"/>
      <c r="AF123" s="44"/>
      <c r="AG123" s="44"/>
      <c r="AH123" s="44"/>
      <c r="AI123" s="44"/>
      <c r="AJ123" s="44"/>
    </row>
    <row r="124" spans="14:36">
      <c r="N124" s="54" t="s">
        <v>338</v>
      </c>
      <c r="O124" s="54" t="s">
        <v>352</v>
      </c>
      <c r="P124" s="54" t="s">
        <v>354</v>
      </c>
      <c r="Q124" s="55" t="s">
        <v>0</v>
      </c>
      <c r="R124" s="44">
        <f t="shared" si="3"/>
        <v>13</v>
      </c>
      <c r="S124" s="44" t="e">
        <f t="shared" ca="1" si="4"/>
        <v>#N/A</v>
      </c>
      <c r="T124" s="44">
        <f t="shared" si="5"/>
        <v>121</v>
      </c>
      <c r="U124" s="44" t="str">
        <f>IF($T124&lt;=Z$4,INDEX(TypicalCriticalitiesMAHBarrier23[Barrier Family Description],MATCH($T124,TypicalCriticalitiesMAHBarrier23[Barrier Family ID],0)),"")</f>
        <v/>
      </c>
      <c r="V124" s="44" t="e">
        <f ca="1">IF($T124&lt;=AA$4,INDEX(TypicalCriticalitiesMAHBarrier23[Typical Components],MATCH($T124,TypicalCriticalitiesMAHBarrier23[Column2],0)),"")</f>
        <v>#N/A</v>
      </c>
      <c r="W124" s="2" t="e">
        <f ca="1">IF($T124&lt;=AA$4,INDEX(TypicalCriticalitiesMAHBarrier23[Typical Criticality],MATCH($T124,TypicalCriticalitiesMAHBarrier23[Column2],0)),"")</f>
        <v>#N/A</v>
      </c>
      <c r="AE124" s="44"/>
      <c r="AF124" s="44"/>
      <c r="AG124" s="44"/>
      <c r="AH124" s="44"/>
      <c r="AI124" s="44"/>
      <c r="AJ124" s="44"/>
    </row>
    <row r="125" spans="14:36">
      <c r="N125" s="54" t="s">
        <v>338</v>
      </c>
      <c r="O125" s="54" t="s">
        <v>355</v>
      </c>
      <c r="P125" s="54" t="s">
        <v>356</v>
      </c>
      <c r="Q125" s="55" t="s">
        <v>1</v>
      </c>
      <c r="R125" s="44">
        <f t="shared" si="3"/>
        <v>14</v>
      </c>
      <c r="S125" s="44" t="e">
        <f t="shared" ca="1" si="4"/>
        <v>#N/A</v>
      </c>
      <c r="T125" s="44">
        <f t="shared" si="5"/>
        <v>122</v>
      </c>
      <c r="U125" s="44" t="str">
        <f>IF($T125&lt;=Z$4,INDEX(TypicalCriticalitiesMAHBarrier23[Barrier Family Description],MATCH($T125,TypicalCriticalitiesMAHBarrier23[Barrier Family ID],0)),"")</f>
        <v/>
      </c>
      <c r="V125" s="44" t="e">
        <f ca="1">IF($T125&lt;=AA$4,INDEX(TypicalCriticalitiesMAHBarrier23[Typical Components],MATCH($T125,TypicalCriticalitiesMAHBarrier23[Column2],0)),"")</f>
        <v>#N/A</v>
      </c>
      <c r="W125" s="2" t="e">
        <f ca="1">IF($T125&lt;=AA$4,INDEX(TypicalCriticalitiesMAHBarrier23[Typical Criticality],MATCH($T125,TypicalCriticalitiesMAHBarrier23[Column2],0)),"")</f>
        <v>#N/A</v>
      </c>
      <c r="AE125" s="44"/>
      <c r="AF125" s="44"/>
      <c r="AG125" s="44"/>
      <c r="AH125" s="44"/>
      <c r="AI125" s="44"/>
      <c r="AJ125" s="44"/>
    </row>
    <row r="126" spans="14:36">
      <c r="N126" s="54" t="s">
        <v>338</v>
      </c>
      <c r="O126" s="54" t="s">
        <v>355</v>
      </c>
      <c r="P126" s="54" t="s">
        <v>341</v>
      </c>
      <c r="Q126" s="55" t="s">
        <v>1</v>
      </c>
      <c r="R126" s="44">
        <f t="shared" si="3"/>
        <v>14</v>
      </c>
      <c r="S126" s="44" t="e">
        <f t="shared" ca="1" si="4"/>
        <v>#N/A</v>
      </c>
      <c r="T126" s="44">
        <f t="shared" si="5"/>
        <v>123</v>
      </c>
      <c r="U126" s="44" t="str">
        <f>IF($T126&lt;=Z$4,INDEX(TypicalCriticalitiesMAHBarrier23[Barrier Family Description],MATCH($T126,TypicalCriticalitiesMAHBarrier23[Barrier Family ID],0)),"")</f>
        <v/>
      </c>
      <c r="V126" s="44" t="e">
        <f ca="1">IF($T126&lt;=AA$4,INDEX(TypicalCriticalitiesMAHBarrier23[Typical Components],MATCH($T126,TypicalCriticalitiesMAHBarrier23[Column2],0)),"")</f>
        <v>#N/A</v>
      </c>
      <c r="W126" s="2" t="e">
        <f ca="1">IF($T126&lt;=AA$4,INDEX(TypicalCriticalitiesMAHBarrier23[Typical Criticality],MATCH($T126,TypicalCriticalitiesMAHBarrier23[Column2],0)),"")</f>
        <v>#N/A</v>
      </c>
      <c r="AE126" s="44"/>
      <c r="AF126" s="44"/>
      <c r="AG126" s="44"/>
      <c r="AH126" s="44"/>
      <c r="AI126" s="44"/>
      <c r="AJ126" s="44"/>
    </row>
    <row r="127" spans="14:36">
      <c r="N127" s="54" t="s">
        <v>338</v>
      </c>
      <c r="O127" s="54" t="s">
        <v>355</v>
      </c>
      <c r="P127" s="54" t="s">
        <v>357</v>
      </c>
      <c r="Q127" s="55" t="s">
        <v>1</v>
      </c>
      <c r="R127" s="44">
        <f t="shared" si="3"/>
        <v>14</v>
      </c>
      <c r="S127" s="44" t="e">
        <f t="shared" ca="1" si="4"/>
        <v>#N/A</v>
      </c>
      <c r="T127" s="44">
        <f t="shared" si="5"/>
        <v>124</v>
      </c>
      <c r="U127" s="44" t="str">
        <f>IF($T127&lt;=Z$4,INDEX(TypicalCriticalitiesMAHBarrier23[Barrier Family Description],MATCH($T127,TypicalCriticalitiesMAHBarrier23[Barrier Family ID],0)),"")</f>
        <v/>
      </c>
      <c r="V127" s="44" t="e">
        <f ca="1">IF($T127&lt;=AA$4,INDEX(TypicalCriticalitiesMAHBarrier23[Typical Components],MATCH($T127,TypicalCriticalitiesMAHBarrier23[Column2],0)),"")</f>
        <v>#N/A</v>
      </c>
      <c r="W127" s="2" t="e">
        <f ca="1">IF($T127&lt;=AA$4,INDEX(TypicalCriticalitiesMAHBarrier23[Typical Criticality],MATCH($T127,TypicalCriticalitiesMAHBarrier23[Column2],0)),"")</f>
        <v>#N/A</v>
      </c>
      <c r="AE127" s="44"/>
      <c r="AF127" s="44"/>
      <c r="AG127" s="44"/>
      <c r="AH127" s="44"/>
      <c r="AI127" s="44"/>
      <c r="AJ127" s="44"/>
    </row>
    <row r="128" spans="14:36">
      <c r="N128" s="54" t="s">
        <v>338</v>
      </c>
      <c r="O128" s="54" t="s">
        <v>355</v>
      </c>
      <c r="P128" s="54" t="s">
        <v>345</v>
      </c>
      <c r="Q128" s="55" t="s">
        <v>1</v>
      </c>
      <c r="R128" s="44">
        <f t="shared" si="3"/>
        <v>14</v>
      </c>
      <c r="S128" s="44" t="e">
        <f t="shared" ca="1" si="4"/>
        <v>#N/A</v>
      </c>
      <c r="T128" s="44">
        <f t="shared" si="5"/>
        <v>125</v>
      </c>
      <c r="U128" s="44" t="str">
        <f>IF($T128&lt;=Z$4,INDEX(TypicalCriticalitiesMAHBarrier23[Barrier Family Description],MATCH($T128,TypicalCriticalitiesMAHBarrier23[Barrier Family ID],0)),"")</f>
        <v/>
      </c>
      <c r="V128" s="44" t="e">
        <f ca="1">IF($T128&lt;=AA$4,INDEX(TypicalCriticalitiesMAHBarrier23[Typical Components],MATCH($T128,TypicalCriticalitiesMAHBarrier23[Column2],0)),"")</f>
        <v>#N/A</v>
      </c>
      <c r="W128" s="2" t="e">
        <f ca="1">IF($T128&lt;=AA$4,INDEX(TypicalCriticalitiesMAHBarrier23[Typical Criticality],MATCH($T128,TypicalCriticalitiesMAHBarrier23[Column2],0)),"")</f>
        <v>#N/A</v>
      </c>
      <c r="AE128" s="44"/>
      <c r="AF128" s="44"/>
      <c r="AG128" s="44"/>
      <c r="AH128" s="44"/>
      <c r="AI128" s="44"/>
      <c r="AJ128" s="44"/>
    </row>
    <row r="129" spans="14:36">
      <c r="N129" s="54" t="s">
        <v>338</v>
      </c>
      <c r="O129" s="54" t="s">
        <v>355</v>
      </c>
      <c r="P129" s="54" t="s">
        <v>358</v>
      </c>
      <c r="Q129" s="55" t="s">
        <v>0</v>
      </c>
      <c r="R129" s="44">
        <f t="shared" si="3"/>
        <v>14</v>
      </c>
      <c r="S129" s="44" t="e">
        <f t="shared" ca="1" si="4"/>
        <v>#N/A</v>
      </c>
      <c r="T129" s="44">
        <f t="shared" si="5"/>
        <v>126</v>
      </c>
      <c r="U129" s="44" t="str">
        <f>IF($T129&lt;=Z$4,INDEX(TypicalCriticalitiesMAHBarrier23[Barrier Family Description],MATCH($T129,TypicalCriticalitiesMAHBarrier23[Barrier Family ID],0)),"")</f>
        <v/>
      </c>
      <c r="V129" s="44" t="e">
        <f ca="1">IF($T129&lt;=AA$4,INDEX(TypicalCriticalitiesMAHBarrier23[Typical Components],MATCH($T129,TypicalCriticalitiesMAHBarrier23[Column2],0)),"")</f>
        <v>#N/A</v>
      </c>
      <c r="W129" s="2" t="e">
        <f ca="1">IF($T129&lt;=AA$4,INDEX(TypicalCriticalitiesMAHBarrier23[Typical Criticality],MATCH($T129,TypicalCriticalitiesMAHBarrier23[Column2],0)),"")</f>
        <v>#N/A</v>
      </c>
      <c r="AE129" s="44"/>
      <c r="AF129" s="44"/>
      <c r="AG129" s="44"/>
      <c r="AH129" s="44"/>
      <c r="AI129" s="44"/>
      <c r="AJ129" s="44"/>
    </row>
    <row r="130" spans="14:36">
      <c r="N130" s="54" t="s">
        <v>338</v>
      </c>
      <c r="O130" s="54" t="s">
        <v>355</v>
      </c>
      <c r="P130" s="54" t="s">
        <v>359</v>
      </c>
      <c r="Q130" s="55" t="s">
        <v>1</v>
      </c>
      <c r="R130" s="44">
        <f t="shared" si="3"/>
        <v>14</v>
      </c>
      <c r="S130" s="44" t="e">
        <f t="shared" ca="1" si="4"/>
        <v>#N/A</v>
      </c>
      <c r="T130" s="44">
        <f t="shared" si="5"/>
        <v>127</v>
      </c>
      <c r="U130" s="44" t="str">
        <f>IF($T130&lt;=Z$4,INDEX(TypicalCriticalitiesMAHBarrier23[Barrier Family Description],MATCH($T130,TypicalCriticalitiesMAHBarrier23[Barrier Family ID],0)),"")</f>
        <v/>
      </c>
      <c r="V130" s="44" t="e">
        <f ca="1">IF($T130&lt;=AA$4,INDEX(TypicalCriticalitiesMAHBarrier23[Typical Components],MATCH($T130,TypicalCriticalitiesMAHBarrier23[Column2],0)),"")</f>
        <v>#N/A</v>
      </c>
      <c r="W130" s="2" t="e">
        <f ca="1">IF($T130&lt;=AA$4,INDEX(TypicalCriticalitiesMAHBarrier23[Typical Criticality],MATCH($T130,TypicalCriticalitiesMAHBarrier23[Column2],0)),"")</f>
        <v>#N/A</v>
      </c>
      <c r="AE130" s="44"/>
      <c r="AF130" s="44"/>
      <c r="AG130" s="44"/>
      <c r="AH130" s="44"/>
      <c r="AI130" s="44"/>
      <c r="AJ130" s="44"/>
    </row>
    <row r="131" spans="14:36">
      <c r="N131" s="54" t="s">
        <v>360</v>
      </c>
      <c r="O131" s="54" t="s">
        <v>361</v>
      </c>
      <c r="P131" s="54" t="s">
        <v>362</v>
      </c>
      <c r="Q131" s="55" t="s">
        <v>0</v>
      </c>
      <c r="R131" s="44">
        <f t="shared" si="3"/>
        <v>15</v>
      </c>
      <c r="S131" s="44" t="e">
        <f t="shared" ca="1" si="4"/>
        <v>#N/A</v>
      </c>
      <c r="T131" s="44">
        <f t="shared" si="5"/>
        <v>128</v>
      </c>
      <c r="U131" s="44" t="str">
        <f>IF($T131&lt;=Z$4,INDEX(TypicalCriticalitiesMAHBarrier23[Barrier Family Description],MATCH($T131,TypicalCriticalitiesMAHBarrier23[Barrier Family ID],0)),"")</f>
        <v/>
      </c>
      <c r="V131" s="44" t="e">
        <f ca="1">IF($T131&lt;=AA$4,INDEX(TypicalCriticalitiesMAHBarrier23[Typical Components],MATCH($T131,TypicalCriticalitiesMAHBarrier23[Column2],0)),"")</f>
        <v>#N/A</v>
      </c>
      <c r="W131" s="2" t="e">
        <f ca="1">IF($T131&lt;=AA$4,INDEX(TypicalCriticalitiesMAHBarrier23[Typical Criticality],MATCH($T131,TypicalCriticalitiesMAHBarrier23[Column2],0)),"")</f>
        <v>#N/A</v>
      </c>
      <c r="AE131" s="44"/>
      <c r="AF131" s="44"/>
      <c r="AG131" s="44"/>
      <c r="AH131" s="44"/>
      <c r="AI131" s="44"/>
      <c r="AJ131" s="44"/>
    </row>
    <row r="132" spans="14:36">
      <c r="N132" s="54" t="s">
        <v>360</v>
      </c>
      <c r="O132" s="54" t="s">
        <v>361</v>
      </c>
      <c r="P132" s="54" t="s">
        <v>363</v>
      </c>
      <c r="Q132" s="55" t="s">
        <v>0</v>
      </c>
      <c r="R132" s="44">
        <f t="shared" si="3"/>
        <v>15</v>
      </c>
      <c r="S132" s="44" t="e">
        <f t="shared" ca="1" si="4"/>
        <v>#N/A</v>
      </c>
      <c r="T132" s="44">
        <f t="shared" si="5"/>
        <v>129</v>
      </c>
      <c r="U132" s="44" t="str">
        <f>IF($T132&lt;=Z$4,INDEX(TypicalCriticalitiesMAHBarrier23[Barrier Family Description],MATCH($T132,TypicalCriticalitiesMAHBarrier23[Barrier Family ID],0)),"")</f>
        <v/>
      </c>
      <c r="V132" s="44" t="e">
        <f ca="1">IF($T132&lt;=AA$4,INDEX(TypicalCriticalitiesMAHBarrier23[Typical Components],MATCH($T132,TypicalCriticalitiesMAHBarrier23[Column2],0)),"")</f>
        <v>#N/A</v>
      </c>
      <c r="W132" s="2" t="e">
        <f ca="1">IF($T132&lt;=AA$4,INDEX(TypicalCriticalitiesMAHBarrier23[Typical Criticality],MATCH($T132,TypicalCriticalitiesMAHBarrier23[Column2],0)),"")</f>
        <v>#N/A</v>
      </c>
      <c r="AE132" s="44"/>
      <c r="AF132" s="44"/>
      <c r="AG132" s="44"/>
      <c r="AH132" s="44"/>
      <c r="AI132" s="44"/>
      <c r="AJ132" s="44"/>
    </row>
    <row r="133" spans="14:36">
      <c r="N133" s="54" t="s">
        <v>360</v>
      </c>
      <c r="O133" s="54" t="s">
        <v>361</v>
      </c>
      <c r="P133" s="54" t="s">
        <v>364</v>
      </c>
      <c r="Q133" s="55" t="s">
        <v>1</v>
      </c>
      <c r="R133" s="44">
        <f t="shared" ref="R133:R196" si="6">IF(AND(O133&lt;&gt;O132,O133&lt;&gt;""),R132+1,R132)</f>
        <v>15</v>
      </c>
      <c r="S133" s="44" t="e">
        <f t="shared" ref="S133:S196" ca="1" si="7">IF(R133=$Z$5,IF(AND(P133&lt;&gt;P132,P133&lt;&gt;""),S132+1,S132),S132)</f>
        <v>#N/A</v>
      </c>
      <c r="T133" s="44">
        <f t="shared" ref="T133:T196" si="8">T132+1</f>
        <v>130</v>
      </c>
      <c r="U133" s="44" t="str">
        <f>IF($T133&lt;=Z$4,INDEX(TypicalCriticalitiesMAHBarrier23[Barrier Family Description],MATCH($T133,TypicalCriticalitiesMAHBarrier23[Barrier Family ID],0)),"")</f>
        <v/>
      </c>
      <c r="V133" s="44" t="e">
        <f ca="1">IF($T133&lt;=AA$4,INDEX(TypicalCriticalitiesMAHBarrier23[Typical Components],MATCH($T133,TypicalCriticalitiesMAHBarrier23[Column2],0)),"")</f>
        <v>#N/A</v>
      </c>
      <c r="W133" s="2" t="e">
        <f ca="1">IF($T133&lt;=AA$4,INDEX(TypicalCriticalitiesMAHBarrier23[Typical Criticality],MATCH($T133,TypicalCriticalitiesMAHBarrier23[Column2],0)),"")</f>
        <v>#N/A</v>
      </c>
      <c r="AE133" s="44"/>
      <c r="AF133" s="44"/>
      <c r="AG133" s="44"/>
      <c r="AH133" s="44"/>
      <c r="AI133" s="44"/>
      <c r="AJ133" s="44"/>
    </row>
    <row r="134" spans="14:36">
      <c r="N134" s="54" t="s">
        <v>360</v>
      </c>
      <c r="O134" s="54" t="s">
        <v>361</v>
      </c>
      <c r="P134" s="54" t="s">
        <v>365</v>
      </c>
      <c r="Q134" s="55" t="s">
        <v>1</v>
      </c>
      <c r="R134" s="44">
        <f t="shared" si="6"/>
        <v>15</v>
      </c>
      <c r="S134" s="44" t="e">
        <f t="shared" ca="1" si="7"/>
        <v>#N/A</v>
      </c>
      <c r="T134" s="44">
        <f t="shared" si="8"/>
        <v>131</v>
      </c>
      <c r="U134" s="44" t="str">
        <f>IF($T134&lt;=Z$4,INDEX(TypicalCriticalitiesMAHBarrier23[Barrier Family Description],MATCH($T134,TypicalCriticalitiesMAHBarrier23[Barrier Family ID],0)),"")</f>
        <v/>
      </c>
      <c r="V134" s="44" t="e">
        <f ca="1">IF($T134&lt;=AA$4,INDEX(TypicalCriticalitiesMAHBarrier23[Typical Components],MATCH($T134,TypicalCriticalitiesMAHBarrier23[Column2],0)),"")</f>
        <v>#N/A</v>
      </c>
      <c r="W134" s="2" t="e">
        <f ca="1">IF($T134&lt;=AA$4,INDEX(TypicalCriticalitiesMAHBarrier23[Typical Criticality],MATCH($T134,TypicalCriticalitiesMAHBarrier23[Column2],0)),"")</f>
        <v>#N/A</v>
      </c>
      <c r="AE134" s="44"/>
      <c r="AF134" s="44"/>
      <c r="AG134" s="44"/>
      <c r="AH134" s="44"/>
      <c r="AI134" s="44"/>
      <c r="AJ134" s="44"/>
    </row>
    <row r="135" spans="14:36">
      <c r="N135" s="54" t="s">
        <v>360</v>
      </c>
      <c r="O135" s="54" t="s">
        <v>361</v>
      </c>
      <c r="P135" s="54" t="s">
        <v>366</v>
      </c>
      <c r="Q135" s="55" t="s">
        <v>0</v>
      </c>
      <c r="R135" s="44">
        <f t="shared" si="6"/>
        <v>15</v>
      </c>
      <c r="S135" s="44" t="e">
        <f t="shared" ca="1" si="7"/>
        <v>#N/A</v>
      </c>
      <c r="T135" s="44">
        <f t="shared" si="8"/>
        <v>132</v>
      </c>
      <c r="U135" s="44" t="str">
        <f>IF($T135&lt;=Z$4,INDEX(TypicalCriticalitiesMAHBarrier23[Barrier Family Description],MATCH($T135,TypicalCriticalitiesMAHBarrier23[Barrier Family ID],0)),"")</f>
        <v/>
      </c>
      <c r="V135" s="44" t="e">
        <f ca="1">IF($T135&lt;=AA$4,INDEX(TypicalCriticalitiesMAHBarrier23[Typical Components],MATCH($T135,TypicalCriticalitiesMAHBarrier23[Column2],0)),"")</f>
        <v>#N/A</v>
      </c>
      <c r="W135" s="2" t="e">
        <f ca="1">IF($T135&lt;=AA$4,INDEX(TypicalCriticalitiesMAHBarrier23[Typical Criticality],MATCH($T135,TypicalCriticalitiesMAHBarrier23[Column2],0)),"")</f>
        <v>#N/A</v>
      </c>
      <c r="AE135" s="44"/>
      <c r="AF135" s="44"/>
      <c r="AG135" s="44"/>
      <c r="AH135" s="44"/>
      <c r="AI135" s="44"/>
      <c r="AJ135" s="44"/>
    </row>
    <row r="136" spans="14:36">
      <c r="N136" s="54" t="s">
        <v>360</v>
      </c>
      <c r="O136" s="54" t="s">
        <v>361</v>
      </c>
      <c r="P136" s="54" t="s">
        <v>367</v>
      </c>
      <c r="Q136" s="55" t="s">
        <v>1</v>
      </c>
      <c r="R136" s="44">
        <f t="shared" si="6"/>
        <v>15</v>
      </c>
      <c r="S136" s="44" t="e">
        <f t="shared" ca="1" si="7"/>
        <v>#N/A</v>
      </c>
      <c r="T136" s="44">
        <f t="shared" si="8"/>
        <v>133</v>
      </c>
      <c r="U136" s="44" t="str">
        <f>IF($T136&lt;=Z$4,INDEX(TypicalCriticalitiesMAHBarrier23[Barrier Family Description],MATCH($T136,TypicalCriticalitiesMAHBarrier23[Barrier Family ID],0)),"")</f>
        <v/>
      </c>
      <c r="V136" s="44" t="e">
        <f ca="1">IF($T136&lt;=AA$4,INDEX(TypicalCriticalitiesMAHBarrier23[Typical Components],MATCH($T136,TypicalCriticalitiesMAHBarrier23[Column2],0)),"")</f>
        <v>#N/A</v>
      </c>
      <c r="W136" s="2" t="e">
        <f ca="1">IF($T136&lt;=AA$4,INDEX(TypicalCriticalitiesMAHBarrier23[Typical Criticality],MATCH($T136,TypicalCriticalitiesMAHBarrier23[Column2],0)),"")</f>
        <v>#N/A</v>
      </c>
      <c r="AE136" s="44"/>
      <c r="AF136" s="44"/>
      <c r="AG136" s="44"/>
      <c r="AH136" s="44"/>
      <c r="AI136" s="44"/>
      <c r="AJ136" s="44"/>
    </row>
    <row r="137" spans="14:36">
      <c r="N137" s="54" t="s">
        <v>360</v>
      </c>
      <c r="O137" s="54" t="s">
        <v>361</v>
      </c>
      <c r="P137" s="54" t="s">
        <v>368</v>
      </c>
      <c r="Q137" s="55" t="s">
        <v>0</v>
      </c>
      <c r="R137" s="44">
        <f t="shared" si="6"/>
        <v>15</v>
      </c>
      <c r="S137" s="44" t="e">
        <f t="shared" ca="1" si="7"/>
        <v>#N/A</v>
      </c>
      <c r="T137" s="44">
        <f t="shared" si="8"/>
        <v>134</v>
      </c>
      <c r="U137" s="44" t="str">
        <f>IF($T137&lt;=Z$4,INDEX(TypicalCriticalitiesMAHBarrier23[Barrier Family Description],MATCH($T137,TypicalCriticalitiesMAHBarrier23[Barrier Family ID],0)),"")</f>
        <v/>
      </c>
      <c r="V137" s="44" t="e">
        <f ca="1">IF($T137&lt;=AA$4,INDEX(TypicalCriticalitiesMAHBarrier23[Typical Components],MATCH($T137,TypicalCriticalitiesMAHBarrier23[Column2],0)),"")</f>
        <v>#N/A</v>
      </c>
      <c r="W137" s="2" t="e">
        <f ca="1">IF($T137&lt;=AA$4,INDEX(TypicalCriticalitiesMAHBarrier23[Typical Criticality],MATCH($T137,TypicalCriticalitiesMAHBarrier23[Column2],0)),"")</f>
        <v>#N/A</v>
      </c>
      <c r="AE137" s="44"/>
      <c r="AF137" s="44"/>
      <c r="AG137" s="44"/>
      <c r="AH137" s="44"/>
      <c r="AI137" s="44"/>
      <c r="AJ137" s="44"/>
    </row>
    <row r="138" spans="14:36">
      <c r="N138" s="54" t="s">
        <v>360</v>
      </c>
      <c r="O138" s="54" t="s">
        <v>361</v>
      </c>
      <c r="P138" s="54" t="s">
        <v>369</v>
      </c>
      <c r="Q138" s="55" t="s">
        <v>1</v>
      </c>
      <c r="R138" s="44">
        <f t="shared" si="6"/>
        <v>15</v>
      </c>
      <c r="S138" s="44" t="e">
        <f t="shared" ca="1" si="7"/>
        <v>#N/A</v>
      </c>
      <c r="T138" s="44">
        <f t="shared" si="8"/>
        <v>135</v>
      </c>
      <c r="U138" s="44" t="str">
        <f>IF($T138&lt;=Z$4,INDEX(TypicalCriticalitiesMAHBarrier23[Barrier Family Description],MATCH($T138,TypicalCriticalitiesMAHBarrier23[Barrier Family ID],0)),"")</f>
        <v/>
      </c>
      <c r="V138" s="44" t="e">
        <f ca="1">IF($T138&lt;=AA$4,INDEX(TypicalCriticalitiesMAHBarrier23[Typical Components],MATCH($T138,TypicalCriticalitiesMAHBarrier23[Column2],0)),"")</f>
        <v>#N/A</v>
      </c>
      <c r="W138" s="2" t="e">
        <f ca="1">IF($T138&lt;=AA$4,INDEX(TypicalCriticalitiesMAHBarrier23[Typical Criticality],MATCH($T138,TypicalCriticalitiesMAHBarrier23[Column2],0)),"")</f>
        <v>#N/A</v>
      </c>
      <c r="AE138" s="44"/>
      <c r="AF138" s="44"/>
      <c r="AG138" s="44"/>
      <c r="AH138" s="44"/>
      <c r="AI138" s="44"/>
      <c r="AJ138" s="44"/>
    </row>
    <row r="139" spans="14:36">
      <c r="N139" s="54" t="s">
        <v>360</v>
      </c>
      <c r="O139" s="54" t="s">
        <v>361</v>
      </c>
      <c r="P139" s="54" t="s">
        <v>370</v>
      </c>
      <c r="Q139" s="55" t="s">
        <v>0</v>
      </c>
      <c r="R139" s="44">
        <f t="shared" si="6"/>
        <v>15</v>
      </c>
      <c r="S139" s="44" t="e">
        <f t="shared" ca="1" si="7"/>
        <v>#N/A</v>
      </c>
      <c r="T139" s="44">
        <f t="shared" si="8"/>
        <v>136</v>
      </c>
      <c r="U139" s="44" t="str">
        <f>IF($T139&lt;=Z$4,INDEX(TypicalCriticalitiesMAHBarrier23[Barrier Family Description],MATCH($T139,TypicalCriticalitiesMAHBarrier23[Barrier Family ID],0)),"")</f>
        <v/>
      </c>
      <c r="V139" s="44" t="e">
        <f ca="1">IF($T139&lt;=AA$4,INDEX(TypicalCriticalitiesMAHBarrier23[Typical Components],MATCH($T139,TypicalCriticalitiesMAHBarrier23[Column2],0)),"")</f>
        <v>#N/A</v>
      </c>
      <c r="W139" s="2" t="e">
        <f ca="1">IF($T139&lt;=AA$4,INDEX(TypicalCriticalitiesMAHBarrier23[Typical Criticality],MATCH($T139,TypicalCriticalitiesMAHBarrier23[Column2],0)),"")</f>
        <v>#N/A</v>
      </c>
      <c r="AE139" s="44"/>
      <c r="AF139" s="44"/>
      <c r="AG139" s="44"/>
      <c r="AH139" s="44"/>
      <c r="AI139" s="44"/>
      <c r="AJ139" s="44"/>
    </row>
    <row r="140" spans="14:36">
      <c r="N140" s="54" t="s">
        <v>360</v>
      </c>
      <c r="O140" s="54" t="s">
        <v>361</v>
      </c>
      <c r="P140" s="54" t="s">
        <v>371</v>
      </c>
      <c r="Q140" s="55" t="s">
        <v>0</v>
      </c>
      <c r="R140" s="44">
        <f t="shared" si="6"/>
        <v>15</v>
      </c>
      <c r="S140" s="44" t="e">
        <f t="shared" ca="1" si="7"/>
        <v>#N/A</v>
      </c>
      <c r="T140" s="44">
        <f t="shared" si="8"/>
        <v>137</v>
      </c>
      <c r="U140" s="44" t="str">
        <f>IF($T140&lt;=Z$4,INDEX(TypicalCriticalitiesMAHBarrier23[Barrier Family Description],MATCH($T140,TypicalCriticalitiesMAHBarrier23[Barrier Family ID],0)),"")</f>
        <v/>
      </c>
      <c r="V140" s="44" t="e">
        <f ca="1">IF($T140&lt;=AA$4,INDEX(TypicalCriticalitiesMAHBarrier23[Typical Components],MATCH($T140,TypicalCriticalitiesMAHBarrier23[Column2],0)),"")</f>
        <v>#N/A</v>
      </c>
      <c r="W140" s="2" t="e">
        <f ca="1">IF($T140&lt;=AA$4,INDEX(TypicalCriticalitiesMAHBarrier23[Typical Criticality],MATCH($T140,TypicalCriticalitiesMAHBarrier23[Column2],0)),"")</f>
        <v>#N/A</v>
      </c>
      <c r="AE140" s="44"/>
      <c r="AF140" s="44"/>
      <c r="AG140" s="44"/>
      <c r="AH140" s="44"/>
      <c r="AI140" s="44"/>
      <c r="AJ140" s="44"/>
    </row>
    <row r="141" spans="14:36">
      <c r="N141" s="54" t="s">
        <v>360</v>
      </c>
      <c r="O141" s="54" t="s">
        <v>361</v>
      </c>
      <c r="P141" s="54" t="s">
        <v>372</v>
      </c>
      <c r="Q141" s="55" t="s">
        <v>1</v>
      </c>
      <c r="R141" s="44">
        <f t="shared" si="6"/>
        <v>15</v>
      </c>
      <c r="S141" s="44" t="e">
        <f t="shared" ca="1" si="7"/>
        <v>#N/A</v>
      </c>
      <c r="T141" s="44">
        <f t="shared" si="8"/>
        <v>138</v>
      </c>
      <c r="U141" s="44" t="str">
        <f>IF($T141&lt;=Z$4,INDEX(TypicalCriticalitiesMAHBarrier23[Barrier Family Description],MATCH($T141,TypicalCriticalitiesMAHBarrier23[Barrier Family ID],0)),"")</f>
        <v/>
      </c>
      <c r="V141" s="44" t="e">
        <f ca="1">IF($T141&lt;=AA$4,INDEX(TypicalCriticalitiesMAHBarrier23[Typical Components],MATCH($T141,TypicalCriticalitiesMAHBarrier23[Column2],0)),"")</f>
        <v>#N/A</v>
      </c>
      <c r="W141" s="2" t="e">
        <f ca="1">IF($T141&lt;=AA$4,INDEX(TypicalCriticalitiesMAHBarrier23[Typical Criticality],MATCH($T141,TypicalCriticalitiesMAHBarrier23[Column2],0)),"")</f>
        <v>#N/A</v>
      </c>
      <c r="AE141" s="44"/>
      <c r="AF141" s="44"/>
      <c r="AG141" s="44"/>
      <c r="AH141" s="44"/>
      <c r="AI141" s="44"/>
      <c r="AJ141" s="44"/>
    </row>
    <row r="142" spans="14:36">
      <c r="N142" s="54" t="s">
        <v>373</v>
      </c>
      <c r="O142" s="54" t="s">
        <v>374</v>
      </c>
      <c r="P142" s="54" t="s">
        <v>375</v>
      </c>
      <c r="Q142" s="55" t="s">
        <v>0</v>
      </c>
      <c r="R142" s="44">
        <f t="shared" si="6"/>
        <v>16</v>
      </c>
      <c r="S142" s="44" t="e">
        <f t="shared" ca="1" si="7"/>
        <v>#N/A</v>
      </c>
      <c r="T142" s="44">
        <f t="shared" si="8"/>
        <v>139</v>
      </c>
      <c r="U142" s="44" t="str">
        <f>IF($T142&lt;=Z$4,INDEX(TypicalCriticalitiesMAHBarrier23[Barrier Family Description],MATCH($T142,TypicalCriticalitiesMAHBarrier23[Barrier Family ID],0)),"")</f>
        <v/>
      </c>
      <c r="V142" s="44" t="e">
        <f ca="1">IF($T142&lt;=AA$4,INDEX(TypicalCriticalitiesMAHBarrier23[Typical Components],MATCH($T142,TypicalCriticalitiesMAHBarrier23[Column2],0)),"")</f>
        <v>#N/A</v>
      </c>
      <c r="W142" s="2" t="e">
        <f ca="1">IF($T142&lt;=AA$4,INDEX(TypicalCriticalitiesMAHBarrier23[Typical Criticality],MATCH($T142,TypicalCriticalitiesMAHBarrier23[Column2],0)),"")</f>
        <v>#N/A</v>
      </c>
      <c r="AE142" s="44"/>
      <c r="AF142" s="44"/>
      <c r="AG142" s="44"/>
      <c r="AH142" s="44"/>
      <c r="AI142" s="44"/>
      <c r="AJ142" s="44"/>
    </row>
    <row r="143" spans="14:36">
      <c r="N143" s="54" t="s">
        <v>373</v>
      </c>
      <c r="O143" s="54" t="s">
        <v>374</v>
      </c>
      <c r="P143" s="54" t="s">
        <v>376</v>
      </c>
      <c r="Q143" s="55" t="s">
        <v>0</v>
      </c>
      <c r="R143" s="44">
        <f t="shared" si="6"/>
        <v>16</v>
      </c>
      <c r="S143" s="44" t="e">
        <f t="shared" ca="1" si="7"/>
        <v>#N/A</v>
      </c>
      <c r="T143" s="44">
        <f t="shared" si="8"/>
        <v>140</v>
      </c>
      <c r="U143" s="44" t="str">
        <f>IF($T143&lt;=Z$4,INDEX(TypicalCriticalitiesMAHBarrier23[Barrier Family Description],MATCH($T143,TypicalCriticalitiesMAHBarrier23[Barrier Family ID],0)),"")</f>
        <v/>
      </c>
      <c r="V143" s="44" t="e">
        <f ca="1">IF($T143&lt;=AA$4,INDEX(TypicalCriticalitiesMAHBarrier23[Typical Components],MATCH($T143,TypicalCriticalitiesMAHBarrier23[Column2],0)),"")</f>
        <v>#N/A</v>
      </c>
      <c r="W143" s="2" t="e">
        <f ca="1">IF($T143&lt;=AA$4,INDEX(TypicalCriticalitiesMAHBarrier23[Typical Criticality],MATCH($T143,TypicalCriticalitiesMAHBarrier23[Column2],0)),"")</f>
        <v>#N/A</v>
      </c>
      <c r="AE143" s="44"/>
      <c r="AF143" s="44"/>
      <c r="AG143" s="44"/>
      <c r="AH143" s="44"/>
      <c r="AI143" s="44"/>
      <c r="AJ143" s="44"/>
    </row>
    <row r="144" spans="14:36">
      <c r="N144" s="54" t="s">
        <v>373</v>
      </c>
      <c r="O144" s="54" t="s">
        <v>374</v>
      </c>
      <c r="P144" s="54" t="s">
        <v>377</v>
      </c>
      <c r="Q144" s="55" t="s">
        <v>0</v>
      </c>
      <c r="R144" s="44">
        <f t="shared" si="6"/>
        <v>16</v>
      </c>
      <c r="S144" s="44" t="e">
        <f t="shared" ca="1" si="7"/>
        <v>#N/A</v>
      </c>
      <c r="T144" s="44">
        <f t="shared" si="8"/>
        <v>141</v>
      </c>
      <c r="U144" s="44" t="str">
        <f>IF($T144&lt;=Z$4,INDEX(TypicalCriticalitiesMAHBarrier23[Barrier Family Description],MATCH($T144,TypicalCriticalitiesMAHBarrier23[Barrier Family ID],0)),"")</f>
        <v/>
      </c>
      <c r="V144" s="44" t="e">
        <f ca="1">IF($T144&lt;=AA$4,INDEX(TypicalCriticalitiesMAHBarrier23[Typical Components],MATCH($T144,TypicalCriticalitiesMAHBarrier23[Column2],0)),"")</f>
        <v>#N/A</v>
      </c>
      <c r="W144" s="2" t="e">
        <f ca="1">IF($T144&lt;=AA$4,INDEX(TypicalCriticalitiesMAHBarrier23[Typical Criticality],MATCH($T144,TypicalCriticalitiesMAHBarrier23[Column2],0)),"")</f>
        <v>#N/A</v>
      </c>
      <c r="AE144" s="44"/>
      <c r="AF144" s="44"/>
      <c r="AG144" s="44"/>
      <c r="AH144" s="44"/>
      <c r="AI144" s="44"/>
      <c r="AJ144" s="44"/>
    </row>
    <row r="145" spans="14:36">
      <c r="N145" s="54" t="s">
        <v>373</v>
      </c>
      <c r="O145" s="54" t="s">
        <v>374</v>
      </c>
      <c r="P145" s="54" t="s">
        <v>378</v>
      </c>
      <c r="Q145" s="55" t="s">
        <v>0</v>
      </c>
      <c r="R145" s="44">
        <f t="shared" si="6"/>
        <v>16</v>
      </c>
      <c r="S145" s="44" t="e">
        <f t="shared" ca="1" si="7"/>
        <v>#N/A</v>
      </c>
      <c r="T145" s="44">
        <f t="shared" si="8"/>
        <v>142</v>
      </c>
      <c r="U145" s="44" t="str">
        <f>IF($T145&lt;=Z$4,INDEX(TypicalCriticalitiesMAHBarrier23[Barrier Family Description],MATCH($T145,TypicalCriticalitiesMAHBarrier23[Barrier Family ID],0)),"")</f>
        <v/>
      </c>
      <c r="V145" s="44" t="e">
        <f ca="1">IF($T145&lt;=AA$4,INDEX(TypicalCriticalitiesMAHBarrier23[Typical Components],MATCH($T145,TypicalCriticalitiesMAHBarrier23[Column2],0)),"")</f>
        <v>#N/A</v>
      </c>
      <c r="W145" s="2" t="e">
        <f ca="1">IF($T145&lt;=AA$4,INDEX(TypicalCriticalitiesMAHBarrier23[Typical Criticality],MATCH($T145,TypicalCriticalitiesMAHBarrier23[Column2],0)),"")</f>
        <v>#N/A</v>
      </c>
      <c r="AE145" s="44"/>
      <c r="AF145" s="44"/>
      <c r="AG145" s="44"/>
      <c r="AH145" s="44"/>
      <c r="AI145" s="44"/>
      <c r="AJ145" s="44"/>
    </row>
    <row r="146" spans="14:36">
      <c r="N146" s="54" t="s">
        <v>373</v>
      </c>
      <c r="O146" s="54" t="s">
        <v>374</v>
      </c>
      <c r="P146" s="54" t="s">
        <v>379</v>
      </c>
      <c r="Q146" s="55" t="s">
        <v>1</v>
      </c>
      <c r="R146" s="44">
        <f t="shared" si="6"/>
        <v>16</v>
      </c>
      <c r="S146" s="44" t="e">
        <f t="shared" ca="1" si="7"/>
        <v>#N/A</v>
      </c>
      <c r="T146" s="44">
        <f t="shared" si="8"/>
        <v>143</v>
      </c>
      <c r="U146" s="44" t="str">
        <f>IF($T146&lt;=Z$4,INDEX(TypicalCriticalitiesMAHBarrier23[Barrier Family Description],MATCH($T146,TypicalCriticalitiesMAHBarrier23[Barrier Family ID],0)),"")</f>
        <v/>
      </c>
      <c r="V146" s="44" t="e">
        <f ca="1">IF($T146&lt;=AA$4,INDEX(TypicalCriticalitiesMAHBarrier23[Typical Components],MATCH($T146,TypicalCriticalitiesMAHBarrier23[Column2],0)),"")</f>
        <v>#N/A</v>
      </c>
      <c r="W146" s="2" t="e">
        <f ca="1">IF($T146&lt;=AA$4,INDEX(TypicalCriticalitiesMAHBarrier23[Typical Criticality],MATCH($T146,TypicalCriticalitiesMAHBarrier23[Column2],0)),"")</f>
        <v>#N/A</v>
      </c>
      <c r="AE146" s="44"/>
      <c r="AF146" s="44"/>
      <c r="AG146" s="44"/>
      <c r="AH146" s="44"/>
      <c r="AI146" s="44"/>
      <c r="AJ146" s="44"/>
    </row>
    <row r="147" spans="14:36">
      <c r="N147" s="54" t="s">
        <v>373</v>
      </c>
      <c r="O147" s="54" t="s">
        <v>374</v>
      </c>
      <c r="P147" s="54" t="s">
        <v>380</v>
      </c>
      <c r="Q147" s="55" t="s">
        <v>0</v>
      </c>
      <c r="R147" s="44">
        <f t="shared" si="6"/>
        <v>16</v>
      </c>
      <c r="S147" s="44" t="e">
        <f t="shared" ca="1" si="7"/>
        <v>#N/A</v>
      </c>
      <c r="T147" s="44">
        <f t="shared" si="8"/>
        <v>144</v>
      </c>
      <c r="U147" s="44" t="str">
        <f>IF($T147&lt;=Z$4,INDEX(TypicalCriticalitiesMAHBarrier23[Barrier Family Description],MATCH($T147,TypicalCriticalitiesMAHBarrier23[Barrier Family ID],0)),"")</f>
        <v/>
      </c>
      <c r="V147" s="44" t="e">
        <f ca="1">IF($T147&lt;=AA$4,INDEX(TypicalCriticalitiesMAHBarrier23[Typical Components],MATCH($T147,TypicalCriticalitiesMAHBarrier23[Column2],0)),"")</f>
        <v>#N/A</v>
      </c>
      <c r="W147" s="2" t="e">
        <f ca="1">IF($T147&lt;=AA$4,INDEX(TypicalCriticalitiesMAHBarrier23[Typical Criticality],MATCH($T147,TypicalCriticalitiesMAHBarrier23[Column2],0)),"")</f>
        <v>#N/A</v>
      </c>
      <c r="AE147" s="44"/>
      <c r="AF147" s="44"/>
      <c r="AG147" s="44"/>
      <c r="AH147" s="44"/>
      <c r="AI147" s="44"/>
      <c r="AJ147" s="44"/>
    </row>
    <row r="148" spans="14:36">
      <c r="N148" s="54" t="s">
        <v>373</v>
      </c>
      <c r="O148" s="54" t="s">
        <v>374</v>
      </c>
      <c r="P148" s="54" t="s">
        <v>381</v>
      </c>
      <c r="Q148" s="55" t="s">
        <v>0</v>
      </c>
      <c r="R148" s="44">
        <f t="shared" si="6"/>
        <v>16</v>
      </c>
      <c r="S148" s="44" t="e">
        <f t="shared" ca="1" si="7"/>
        <v>#N/A</v>
      </c>
      <c r="T148" s="44">
        <f t="shared" si="8"/>
        <v>145</v>
      </c>
      <c r="U148" s="44" t="str">
        <f>IF($T148&lt;=Z$4,INDEX(TypicalCriticalitiesMAHBarrier23[Barrier Family Description],MATCH($T148,TypicalCriticalitiesMAHBarrier23[Barrier Family ID],0)),"")</f>
        <v/>
      </c>
      <c r="V148" s="44" t="e">
        <f ca="1">IF($T148&lt;=AA$4,INDEX(TypicalCriticalitiesMAHBarrier23[Typical Components],MATCH($T148,TypicalCriticalitiesMAHBarrier23[Column2],0)),"")</f>
        <v>#N/A</v>
      </c>
      <c r="W148" s="2" t="e">
        <f ca="1">IF($T148&lt;=AA$4,INDEX(TypicalCriticalitiesMAHBarrier23[Typical Criticality],MATCH($T148,TypicalCriticalitiesMAHBarrier23[Column2],0)),"")</f>
        <v>#N/A</v>
      </c>
      <c r="AE148" s="44"/>
      <c r="AF148" s="44"/>
      <c r="AG148" s="44"/>
      <c r="AH148" s="44"/>
      <c r="AI148" s="44"/>
      <c r="AJ148" s="44"/>
    </row>
    <row r="149" spans="14:36">
      <c r="N149" s="54" t="s">
        <v>373</v>
      </c>
      <c r="O149" s="54" t="s">
        <v>374</v>
      </c>
      <c r="P149" s="54" t="s">
        <v>382</v>
      </c>
      <c r="Q149" s="55" t="s">
        <v>1</v>
      </c>
      <c r="R149" s="44">
        <f t="shared" si="6"/>
        <v>16</v>
      </c>
      <c r="S149" s="44" t="e">
        <f t="shared" ca="1" si="7"/>
        <v>#N/A</v>
      </c>
      <c r="T149" s="44">
        <f t="shared" si="8"/>
        <v>146</v>
      </c>
      <c r="U149" s="44" t="str">
        <f>IF($T149&lt;=Z$4,INDEX(TypicalCriticalitiesMAHBarrier23[Barrier Family Description],MATCH($T149,TypicalCriticalitiesMAHBarrier23[Barrier Family ID],0)),"")</f>
        <v/>
      </c>
      <c r="V149" s="44" t="e">
        <f ca="1">IF($T149&lt;=AA$4,INDEX(TypicalCriticalitiesMAHBarrier23[Typical Components],MATCH($T149,TypicalCriticalitiesMAHBarrier23[Column2],0)),"")</f>
        <v>#N/A</v>
      </c>
      <c r="W149" s="2" t="e">
        <f ca="1">IF($T149&lt;=AA$4,INDEX(TypicalCriticalitiesMAHBarrier23[Typical Criticality],MATCH($T149,TypicalCriticalitiesMAHBarrier23[Column2],0)),"")</f>
        <v>#N/A</v>
      </c>
      <c r="AE149" s="44"/>
      <c r="AF149" s="44"/>
      <c r="AG149" s="44"/>
      <c r="AH149" s="44"/>
      <c r="AI149" s="44"/>
      <c r="AJ149" s="44"/>
    </row>
    <row r="150" spans="14:36">
      <c r="N150" s="54" t="s">
        <v>373</v>
      </c>
      <c r="O150" s="54" t="s">
        <v>374</v>
      </c>
      <c r="P150" s="54" t="s">
        <v>383</v>
      </c>
      <c r="Q150" s="55" t="s">
        <v>2</v>
      </c>
      <c r="R150" s="44">
        <f t="shared" si="6"/>
        <v>16</v>
      </c>
      <c r="S150" s="44" t="e">
        <f t="shared" ca="1" si="7"/>
        <v>#N/A</v>
      </c>
      <c r="T150" s="44">
        <f t="shared" si="8"/>
        <v>147</v>
      </c>
      <c r="U150" s="44" t="str">
        <f>IF($T150&lt;=Z$4,INDEX(TypicalCriticalitiesMAHBarrier23[Barrier Family Description],MATCH($T150,TypicalCriticalitiesMAHBarrier23[Barrier Family ID],0)),"")</f>
        <v/>
      </c>
      <c r="V150" s="44" t="e">
        <f ca="1">IF($T150&lt;=AA$4,INDEX(TypicalCriticalitiesMAHBarrier23[Typical Components],MATCH($T150,TypicalCriticalitiesMAHBarrier23[Column2],0)),"")</f>
        <v>#N/A</v>
      </c>
      <c r="W150" s="2" t="e">
        <f ca="1">IF($T150&lt;=AA$4,INDEX(TypicalCriticalitiesMAHBarrier23[Typical Criticality],MATCH($T150,TypicalCriticalitiesMAHBarrier23[Column2],0)),"")</f>
        <v>#N/A</v>
      </c>
      <c r="AE150" s="44"/>
      <c r="AF150" s="44"/>
      <c r="AG150" s="44"/>
      <c r="AH150" s="44"/>
      <c r="AI150" s="44"/>
      <c r="AJ150" s="44"/>
    </row>
    <row r="151" spans="14:36">
      <c r="N151" s="54" t="s">
        <v>373</v>
      </c>
      <c r="O151" s="54" t="s">
        <v>374</v>
      </c>
      <c r="P151" s="54" t="s">
        <v>384</v>
      </c>
      <c r="Q151" s="55" t="s">
        <v>0</v>
      </c>
      <c r="R151" s="44">
        <f t="shared" si="6"/>
        <v>16</v>
      </c>
      <c r="S151" s="44" t="e">
        <f t="shared" ca="1" si="7"/>
        <v>#N/A</v>
      </c>
      <c r="T151" s="44">
        <f t="shared" si="8"/>
        <v>148</v>
      </c>
      <c r="U151" s="44" t="str">
        <f>IF($T151&lt;=Z$4,INDEX(TypicalCriticalitiesMAHBarrier23[Barrier Family Description],MATCH($T151,TypicalCriticalitiesMAHBarrier23[Barrier Family ID],0)),"")</f>
        <v/>
      </c>
      <c r="V151" s="44" t="e">
        <f ca="1">IF($T151&lt;=AA$4,INDEX(TypicalCriticalitiesMAHBarrier23[Typical Components],MATCH($T151,TypicalCriticalitiesMAHBarrier23[Column2],0)),"")</f>
        <v>#N/A</v>
      </c>
      <c r="W151" s="2" t="e">
        <f ca="1">IF($T151&lt;=AA$4,INDEX(TypicalCriticalitiesMAHBarrier23[Typical Criticality],MATCH($T151,TypicalCriticalitiesMAHBarrier23[Column2],0)),"")</f>
        <v>#N/A</v>
      </c>
      <c r="AE151" s="44"/>
      <c r="AF151" s="44"/>
      <c r="AG151" s="44"/>
      <c r="AH151" s="44"/>
      <c r="AI151" s="44"/>
      <c r="AJ151" s="44"/>
    </row>
    <row r="152" spans="14:36">
      <c r="N152" s="54" t="s">
        <v>373</v>
      </c>
      <c r="O152" s="54" t="s">
        <v>374</v>
      </c>
      <c r="P152" s="54" t="s">
        <v>385</v>
      </c>
      <c r="Q152" s="55" t="s">
        <v>0</v>
      </c>
      <c r="R152" s="44">
        <f t="shared" si="6"/>
        <v>16</v>
      </c>
      <c r="S152" s="44" t="e">
        <f t="shared" ca="1" si="7"/>
        <v>#N/A</v>
      </c>
      <c r="T152" s="44">
        <f t="shared" si="8"/>
        <v>149</v>
      </c>
      <c r="U152" s="44" t="str">
        <f>IF($T152&lt;=Z$4,INDEX(TypicalCriticalitiesMAHBarrier23[Barrier Family Description],MATCH($T152,TypicalCriticalitiesMAHBarrier23[Barrier Family ID],0)),"")</f>
        <v/>
      </c>
      <c r="V152" s="44" t="e">
        <f ca="1">IF($T152&lt;=AA$4,INDEX(TypicalCriticalitiesMAHBarrier23[Typical Components],MATCH($T152,TypicalCriticalitiesMAHBarrier23[Column2],0)),"")</f>
        <v>#N/A</v>
      </c>
      <c r="W152" s="2" t="e">
        <f ca="1">IF($T152&lt;=AA$4,INDEX(TypicalCriticalitiesMAHBarrier23[Typical Criticality],MATCH($T152,TypicalCriticalitiesMAHBarrier23[Column2],0)),"")</f>
        <v>#N/A</v>
      </c>
      <c r="AE152" s="44"/>
      <c r="AF152" s="44"/>
      <c r="AG152" s="44"/>
      <c r="AH152" s="44"/>
      <c r="AI152" s="44"/>
      <c r="AJ152" s="44"/>
    </row>
    <row r="153" spans="14:36">
      <c r="N153" s="54" t="s">
        <v>373</v>
      </c>
      <c r="O153" s="54" t="s">
        <v>374</v>
      </c>
      <c r="P153" s="54" t="s">
        <v>386</v>
      </c>
      <c r="Q153" s="55" t="s">
        <v>1</v>
      </c>
      <c r="R153" s="44">
        <f t="shared" si="6"/>
        <v>16</v>
      </c>
      <c r="S153" s="44" t="e">
        <f t="shared" ca="1" si="7"/>
        <v>#N/A</v>
      </c>
      <c r="T153" s="44">
        <f t="shared" si="8"/>
        <v>150</v>
      </c>
      <c r="U153" s="44" t="str">
        <f>IF($T153&lt;=Z$4,INDEX(TypicalCriticalitiesMAHBarrier23[Barrier Family Description],MATCH($T153,TypicalCriticalitiesMAHBarrier23[Barrier Family ID],0)),"")</f>
        <v/>
      </c>
      <c r="V153" s="44" t="e">
        <f ca="1">IF($T153&lt;=AA$4,INDEX(TypicalCriticalitiesMAHBarrier23[Typical Components],MATCH($T153,TypicalCriticalitiesMAHBarrier23[Column2],0)),"")</f>
        <v>#N/A</v>
      </c>
      <c r="W153" s="2" t="e">
        <f ca="1">IF($T153&lt;=AA$4,INDEX(TypicalCriticalitiesMAHBarrier23[Typical Criticality],MATCH($T153,TypicalCriticalitiesMAHBarrier23[Column2],0)),"")</f>
        <v>#N/A</v>
      </c>
      <c r="AE153" s="44"/>
      <c r="AF153" s="44"/>
      <c r="AG153" s="44"/>
      <c r="AH153" s="44"/>
      <c r="AI153" s="44"/>
      <c r="AJ153" s="44"/>
    </row>
    <row r="154" spans="14:36">
      <c r="N154" s="54" t="s">
        <v>373</v>
      </c>
      <c r="O154" s="54" t="s">
        <v>374</v>
      </c>
      <c r="P154" s="54" t="s">
        <v>387</v>
      </c>
      <c r="Q154" s="55" t="s">
        <v>0</v>
      </c>
      <c r="R154" s="44">
        <f t="shared" si="6"/>
        <v>16</v>
      </c>
      <c r="S154" s="44" t="e">
        <f t="shared" ca="1" si="7"/>
        <v>#N/A</v>
      </c>
      <c r="T154" s="44">
        <f t="shared" si="8"/>
        <v>151</v>
      </c>
      <c r="U154" s="44" t="str">
        <f>IF($T154&lt;=Z$4,INDEX(TypicalCriticalitiesMAHBarrier23[Barrier Family Description],MATCH($T154,TypicalCriticalitiesMAHBarrier23[Barrier Family ID],0)),"")</f>
        <v/>
      </c>
      <c r="V154" s="44" t="e">
        <f ca="1">IF($T154&lt;=AA$4,INDEX(TypicalCriticalitiesMAHBarrier23[Typical Components],MATCH($T154,TypicalCriticalitiesMAHBarrier23[Column2],0)),"")</f>
        <v>#N/A</v>
      </c>
      <c r="W154" s="2" t="e">
        <f ca="1">IF($T154&lt;=AA$4,INDEX(TypicalCriticalitiesMAHBarrier23[Typical Criticality],MATCH($T154,TypicalCriticalitiesMAHBarrier23[Column2],0)),"")</f>
        <v>#N/A</v>
      </c>
      <c r="AE154" s="44"/>
      <c r="AF154" s="44"/>
      <c r="AG154" s="44"/>
      <c r="AH154" s="44"/>
      <c r="AI154" s="44"/>
      <c r="AJ154" s="44"/>
    </row>
    <row r="155" spans="14:36">
      <c r="N155" s="54" t="s">
        <v>373</v>
      </c>
      <c r="O155" s="54" t="s">
        <v>374</v>
      </c>
      <c r="P155" s="54" t="s">
        <v>388</v>
      </c>
      <c r="Q155" s="55" t="s">
        <v>0</v>
      </c>
      <c r="R155" s="44">
        <f t="shared" si="6"/>
        <v>16</v>
      </c>
      <c r="S155" s="44" t="e">
        <f t="shared" ca="1" si="7"/>
        <v>#N/A</v>
      </c>
      <c r="T155" s="44">
        <f t="shared" si="8"/>
        <v>152</v>
      </c>
      <c r="U155" s="44" t="str">
        <f>IF($T155&lt;=Z$4,INDEX(TypicalCriticalitiesMAHBarrier23[Barrier Family Description],MATCH($T155,TypicalCriticalitiesMAHBarrier23[Barrier Family ID],0)),"")</f>
        <v/>
      </c>
      <c r="V155" s="44" t="e">
        <f ca="1">IF($T155&lt;=AA$4,INDEX(TypicalCriticalitiesMAHBarrier23[Typical Components],MATCH($T155,TypicalCriticalitiesMAHBarrier23[Column2],0)),"")</f>
        <v>#N/A</v>
      </c>
      <c r="W155" s="2" t="e">
        <f ca="1">IF($T155&lt;=AA$4,INDEX(TypicalCriticalitiesMAHBarrier23[Typical Criticality],MATCH($T155,TypicalCriticalitiesMAHBarrier23[Column2],0)),"")</f>
        <v>#N/A</v>
      </c>
      <c r="AE155" s="44"/>
      <c r="AF155" s="44"/>
      <c r="AG155" s="44"/>
      <c r="AH155" s="44"/>
      <c r="AI155" s="44"/>
      <c r="AJ155" s="44"/>
    </row>
    <row r="156" spans="14:36">
      <c r="N156" s="54" t="s">
        <v>373</v>
      </c>
      <c r="O156" s="54" t="s">
        <v>374</v>
      </c>
      <c r="P156" s="54" t="s">
        <v>389</v>
      </c>
      <c r="Q156" s="55" t="s">
        <v>0</v>
      </c>
      <c r="R156" s="44">
        <f t="shared" si="6"/>
        <v>16</v>
      </c>
      <c r="S156" s="44" t="e">
        <f t="shared" ca="1" si="7"/>
        <v>#N/A</v>
      </c>
      <c r="T156" s="44">
        <f t="shared" si="8"/>
        <v>153</v>
      </c>
      <c r="U156" s="44" t="str">
        <f>IF($T156&lt;=Z$4,INDEX(TypicalCriticalitiesMAHBarrier23[Barrier Family Description],MATCH($T156,TypicalCriticalitiesMAHBarrier23[Barrier Family ID],0)),"")</f>
        <v/>
      </c>
      <c r="V156" s="44" t="e">
        <f ca="1">IF($T156&lt;=AA$4,INDEX(TypicalCriticalitiesMAHBarrier23[Typical Components],MATCH($T156,TypicalCriticalitiesMAHBarrier23[Column2],0)),"")</f>
        <v>#N/A</v>
      </c>
      <c r="W156" s="2" t="e">
        <f ca="1">IF($T156&lt;=AA$4,INDEX(TypicalCriticalitiesMAHBarrier23[Typical Criticality],MATCH($T156,TypicalCriticalitiesMAHBarrier23[Column2],0)),"")</f>
        <v>#N/A</v>
      </c>
      <c r="AE156" s="44"/>
      <c r="AF156" s="44"/>
      <c r="AG156" s="44"/>
      <c r="AH156" s="44"/>
      <c r="AI156" s="44"/>
      <c r="AJ156" s="44"/>
    </row>
    <row r="157" spans="14:36">
      <c r="N157" s="54" t="s">
        <v>373</v>
      </c>
      <c r="O157" s="54" t="s">
        <v>374</v>
      </c>
      <c r="P157" s="54" t="s">
        <v>390</v>
      </c>
      <c r="Q157" s="55" t="s">
        <v>0</v>
      </c>
      <c r="R157" s="44">
        <f t="shared" si="6"/>
        <v>16</v>
      </c>
      <c r="S157" s="44" t="e">
        <f t="shared" ca="1" si="7"/>
        <v>#N/A</v>
      </c>
      <c r="T157" s="44">
        <f t="shared" si="8"/>
        <v>154</v>
      </c>
      <c r="U157" s="44" t="str">
        <f>IF($T157&lt;=Z$4,INDEX(TypicalCriticalitiesMAHBarrier23[Barrier Family Description],MATCH($T157,TypicalCriticalitiesMAHBarrier23[Barrier Family ID],0)),"")</f>
        <v/>
      </c>
      <c r="V157" s="44" t="e">
        <f ca="1">IF($T157&lt;=AA$4,INDEX(TypicalCriticalitiesMAHBarrier23[Typical Components],MATCH($T157,TypicalCriticalitiesMAHBarrier23[Column2],0)),"")</f>
        <v>#N/A</v>
      </c>
      <c r="W157" s="2" t="e">
        <f ca="1">IF($T157&lt;=AA$4,INDEX(TypicalCriticalitiesMAHBarrier23[Typical Criticality],MATCH($T157,TypicalCriticalitiesMAHBarrier23[Column2],0)),"")</f>
        <v>#N/A</v>
      </c>
      <c r="AE157" s="44"/>
      <c r="AF157" s="44"/>
      <c r="AG157" s="44"/>
      <c r="AH157" s="44"/>
      <c r="AI157" s="44"/>
      <c r="AJ157" s="44"/>
    </row>
    <row r="158" spans="14:36" ht="22.5">
      <c r="N158" s="54" t="s">
        <v>373</v>
      </c>
      <c r="O158" s="54" t="s">
        <v>374</v>
      </c>
      <c r="P158" s="54" t="s">
        <v>391</v>
      </c>
      <c r="Q158" s="55" t="s">
        <v>392</v>
      </c>
      <c r="R158" s="44">
        <f t="shared" si="6"/>
        <v>16</v>
      </c>
      <c r="S158" s="44" t="e">
        <f t="shared" ca="1" si="7"/>
        <v>#N/A</v>
      </c>
      <c r="T158" s="44">
        <f t="shared" si="8"/>
        <v>155</v>
      </c>
      <c r="U158" s="44" t="str">
        <f>IF($T158&lt;=Z$4,INDEX(TypicalCriticalitiesMAHBarrier23[Barrier Family Description],MATCH($T158,TypicalCriticalitiesMAHBarrier23[Barrier Family ID],0)),"")</f>
        <v/>
      </c>
      <c r="V158" s="44" t="e">
        <f ca="1">IF($T158&lt;=AA$4,INDEX(TypicalCriticalitiesMAHBarrier23[Typical Components],MATCH($T158,TypicalCriticalitiesMAHBarrier23[Column2],0)),"")</f>
        <v>#N/A</v>
      </c>
      <c r="W158" s="2" t="e">
        <f ca="1">IF($T158&lt;=AA$4,INDEX(TypicalCriticalitiesMAHBarrier23[Typical Criticality],MATCH($T158,TypicalCriticalitiesMAHBarrier23[Column2],0)),"")</f>
        <v>#N/A</v>
      </c>
      <c r="AE158" s="44"/>
      <c r="AF158" s="44"/>
      <c r="AG158" s="44"/>
      <c r="AH158" s="44"/>
      <c r="AI158" s="44"/>
      <c r="AJ158" s="44"/>
    </row>
    <row r="159" spans="14:36">
      <c r="N159" s="54" t="s">
        <v>373</v>
      </c>
      <c r="O159" s="54" t="s">
        <v>374</v>
      </c>
      <c r="P159" s="54" t="s">
        <v>393</v>
      </c>
      <c r="Q159" s="55" t="s">
        <v>1</v>
      </c>
      <c r="R159" s="44">
        <f t="shared" si="6"/>
        <v>16</v>
      </c>
      <c r="S159" s="44" t="e">
        <f t="shared" ca="1" si="7"/>
        <v>#N/A</v>
      </c>
      <c r="T159" s="44">
        <f t="shared" si="8"/>
        <v>156</v>
      </c>
      <c r="U159" s="44" t="str">
        <f>IF($T159&lt;=Z$4,INDEX(TypicalCriticalitiesMAHBarrier23[Barrier Family Description],MATCH($T159,TypicalCriticalitiesMAHBarrier23[Barrier Family ID],0)),"")</f>
        <v/>
      </c>
      <c r="V159" s="44" t="e">
        <f ca="1">IF($T159&lt;=AA$4,INDEX(TypicalCriticalitiesMAHBarrier23[Typical Components],MATCH($T159,TypicalCriticalitiesMAHBarrier23[Column2],0)),"")</f>
        <v>#N/A</v>
      </c>
      <c r="W159" s="2" t="e">
        <f ca="1">IF($T159&lt;=AA$4,INDEX(TypicalCriticalitiesMAHBarrier23[Typical Criticality],MATCH($T159,TypicalCriticalitiesMAHBarrier23[Column2],0)),"")</f>
        <v>#N/A</v>
      </c>
      <c r="AE159" s="44"/>
      <c r="AF159" s="44"/>
      <c r="AG159" s="44"/>
      <c r="AH159" s="44"/>
      <c r="AI159" s="44"/>
      <c r="AJ159" s="44"/>
    </row>
    <row r="160" spans="14:36">
      <c r="N160" s="54" t="s">
        <v>373</v>
      </c>
      <c r="O160" s="54" t="s">
        <v>374</v>
      </c>
      <c r="P160" s="54" t="s">
        <v>394</v>
      </c>
      <c r="Q160" s="55" t="s">
        <v>0</v>
      </c>
      <c r="R160" s="44">
        <f t="shared" si="6"/>
        <v>16</v>
      </c>
      <c r="S160" s="44" t="e">
        <f t="shared" ca="1" si="7"/>
        <v>#N/A</v>
      </c>
      <c r="T160" s="44">
        <f t="shared" si="8"/>
        <v>157</v>
      </c>
      <c r="U160" s="44" t="str">
        <f>IF($T160&lt;=Z$4,INDEX(TypicalCriticalitiesMAHBarrier23[Barrier Family Description],MATCH($T160,TypicalCriticalitiesMAHBarrier23[Barrier Family ID],0)),"")</f>
        <v/>
      </c>
      <c r="V160" s="44" t="e">
        <f ca="1">IF($T160&lt;=AA$4,INDEX(TypicalCriticalitiesMAHBarrier23[Typical Components],MATCH($T160,TypicalCriticalitiesMAHBarrier23[Column2],0)),"")</f>
        <v>#N/A</v>
      </c>
      <c r="W160" s="2" t="e">
        <f ca="1">IF($T160&lt;=AA$4,INDEX(TypicalCriticalitiesMAHBarrier23[Typical Criticality],MATCH($T160,TypicalCriticalitiesMAHBarrier23[Column2],0)),"")</f>
        <v>#N/A</v>
      </c>
      <c r="AE160" s="44"/>
      <c r="AF160" s="44"/>
      <c r="AG160" s="44"/>
      <c r="AH160" s="44"/>
      <c r="AI160" s="44"/>
      <c r="AJ160" s="44"/>
    </row>
    <row r="161" spans="14:36">
      <c r="N161" s="54" t="s">
        <v>373</v>
      </c>
      <c r="O161" s="54" t="s">
        <v>374</v>
      </c>
      <c r="P161" s="54" t="s">
        <v>395</v>
      </c>
      <c r="Q161" s="55" t="s">
        <v>0</v>
      </c>
      <c r="R161" s="44">
        <f t="shared" si="6"/>
        <v>16</v>
      </c>
      <c r="S161" s="44" t="e">
        <f t="shared" ca="1" si="7"/>
        <v>#N/A</v>
      </c>
      <c r="T161" s="44">
        <f t="shared" si="8"/>
        <v>158</v>
      </c>
      <c r="U161" s="44" t="str">
        <f>IF($T161&lt;=Z$4,INDEX(TypicalCriticalitiesMAHBarrier23[Barrier Family Description],MATCH($T161,TypicalCriticalitiesMAHBarrier23[Barrier Family ID],0)),"")</f>
        <v/>
      </c>
      <c r="V161" s="44" t="e">
        <f ca="1">IF($T161&lt;=AA$4,INDEX(TypicalCriticalitiesMAHBarrier23[Typical Components],MATCH($T161,TypicalCriticalitiesMAHBarrier23[Column2],0)),"")</f>
        <v>#N/A</v>
      </c>
      <c r="W161" s="2" t="e">
        <f ca="1">IF($T161&lt;=AA$4,INDEX(TypicalCriticalitiesMAHBarrier23[Typical Criticality],MATCH($T161,TypicalCriticalitiesMAHBarrier23[Column2],0)),"")</f>
        <v>#N/A</v>
      </c>
      <c r="AE161" s="44"/>
      <c r="AF161" s="44"/>
      <c r="AG161" s="44"/>
      <c r="AH161" s="44"/>
      <c r="AI161" s="44"/>
      <c r="AJ161" s="44"/>
    </row>
    <row r="162" spans="14:36">
      <c r="N162" s="54" t="s">
        <v>373</v>
      </c>
      <c r="O162" s="54" t="s">
        <v>374</v>
      </c>
      <c r="P162" s="54" t="s">
        <v>396</v>
      </c>
      <c r="Q162" s="55" t="s">
        <v>2</v>
      </c>
      <c r="R162" s="44">
        <f t="shared" si="6"/>
        <v>16</v>
      </c>
      <c r="S162" s="44" t="e">
        <f t="shared" ca="1" si="7"/>
        <v>#N/A</v>
      </c>
      <c r="T162" s="44">
        <f t="shared" si="8"/>
        <v>159</v>
      </c>
      <c r="U162" s="44" t="str">
        <f>IF($T162&lt;=Z$4,INDEX(TypicalCriticalitiesMAHBarrier23[Barrier Family Description],MATCH($T162,TypicalCriticalitiesMAHBarrier23[Barrier Family ID],0)),"")</f>
        <v/>
      </c>
      <c r="V162" s="44" t="e">
        <f ca="1">IF($T162&lt;=AA$4,INDEX(TypicalCriticalitiesMAHBarrier23[Typical Components],MATCH($T162,TypicalCriticalitiesMAHBarrier23[Column2],0)),"")</f>
        <v>#N/A</v>
      </c>
      <c r="W162" s="2" t="e">
        <f ca="1">IF($T162&lt;=AA$4,INDEX(TypicalCriticalitiesMAHBarrier23[Typical Criticality],MATCH($T162,TypicalCriticalitiesMAHBarrier23[Column2],0)),"")</f>
        <v>#N/A</v>
      </c>
      <c r="AE162" s="44"/>
      <c r="AF162" s="44"/>
      <c r="AG162" s="44"/>
      <c r="AH162" s="44"/>
      <c r="AI162" s="44"/>
      <c r="AJ162" s="44"/>
    </row>
    <row r="163" spans="14:36" ht="33.75">
      <c r="N163" s="54" t="s">
        <v>373</v>
      </c>
      <c r="O163" s="54" t="s">
        <v>374</v>
      </c>
      <c r="P163" s="54" t="s">
        <v>397</v>
      </c>
      <c r="Q163" s="55" t="s">
        <v>398</v>
      </c>
      <c r="R163" s="44">
        <f t="shared" si="6"/>
        <v>16</v>
      </c>
      <c r="S163" s="44" t="e">
        <f t="shared" ca="1" si="7"/>
        <v>#N/A</v>
      </c>
      <c r="T163" s="44">
        <f t="shared" si="8"/>
        <v>160</v>
      </c>
      <c r="U163" s="44" t="str">
        <f>IF($T163&lt;=Z$4,INDEX(TypicalCriticalitiesMAHBarrier23[Barrier Family Description],MATCH($T163,TypicalCriticalitiesMAHBarrier23[Barrier Family ID],0)),"")</f>
        <v/>
      </c>
      <c r="V163" s="44" t="e">
        <f ca="1">IF($T163&lt;=AA$4,INDEX(TypicalCriticalitiesMAHBarrier23[Typical Components],MATCH($T163,TypicalCriticalitiesMAHBarrier23[Column2],0)),"")</f>
        <v>#N/A</v>
      </c>
      <c r="W163" s="2" t="e">
        <f ca="1">IF($T163&lt;=AA$4,INDEX(TypicalCriticalitiesMAHBarrier23[Typical Criticality],MATCH($T163,TypicalCriticalitiesMAHBarrier23[Column2],0)),"")</f>
        <v>#N/A</v>
      </c>
      <c r="AE163" s="44"/>
      <c r="AF163" s="44"/>
      <c r="AG163" s="44"/>
      <c r="AH163" s="44"/>
      <c r="AI163" s="44"/>
      <c r="AJ163" s="44"/>
    </row>
    <row r="164" spans="14:36">
      <c r="N164" s="54" t="s">
        <v>399</v>
      </c>
      <c r="O164" s="54" t="s">
        <v>400</v>
      </c>
      <c r="P164" s="54" t="s">
        <v>401</v>
      </c>
      <c r="Q164" s="55" t="s">
        <v>0</v>
      </c>
      <c r="R164" s="44">
        <f t="shared" si="6"/>
        <v>17</v>
      </c>
      <c r="S164" s="44" t="e">
        <f t="shared" ca="1" si="7"/>
        <v>#N/A</v>
      </c>
      <c r="T164" s="44">
        <f t="shared" si="8"/>
        <v>161</v>
      </c>
      <c r="U164" s="44" t="str">
        <f>IF($T164&lt;=Z$4,INDEX(TypicalCriticalitiesMAHBarrier23[Barrier Family Description],MATCH($T164,TypicalCriticalitiesMAHBarrier23[Barrier Family ID],0)),"")</f>
        <v/>
      </c>
      <c r="V164" s="44" t="e">
        <f ca="1">IF($T164&lt;=AA$4,INDEX(TypicalCriticalitiesMAHBarrier23[Typical Components],MATCH($T164,TypicalCriticalitiesMAHBarrier23[Column2],0)),"")</f>
        <v>#N/A</v>
      </c>
      <c r="W164" s="2" t="e">
        <f ca="1">IF($T164&lt;=AA$4,INDEX(TypicalCriticalitiesMAHBarrier23[Typical Criticality],MATCH($T164,TypicalCriticalitiesMAHBarrier23[Column2],0)),"")</f>
        <v>#N/A</v>
      </c>
      <c r="AE164" s="44"/>
      <c r="AF164" s="44"/>
      <c r="AG164" s="44"/>
      <c r="AH164" s="44"/>
      <c r="AI164" s="44"/>
      <c r="AJ164" s="44"/>
    </row>
    <row r="165" spans="14:36">
      <c r="N165" s="54" t="s">
        <v>399</v>
      </c>
      <c r="O165" s="54" t="s">
        <v>400</v>
      </c>
      <c r="P165" s="54" t="s">
        <v>402</v>
      </c>
      <c r="Q165" s="55" t="s">
        <v>1</v>
      </c>
      <c r="R165" s="44">
        <f t="shared" si="6"/>
        <v>17</v>
      </c>
      <c r="S165" s="44" t="e">
        <f t="shared" ca="1" si="7"/>
        <v>#N/A</v>
      </c>
      <c r="T165" s="44">
        <f t="shared" si="8"/>
        <v>162</v>
      </c>
      <c r="U165" s="44" t="str">
        <f>IF($T165&lt;=Z$4,INDEX(TypicalCriticalitiesMAHBarrier23[Barrier Family Description],MATCH($T165,TypicalCriticalitiesMAHBarrier23[Barrier Family ID],0)),"")</f>
        <v/>
      </c>
      <c r="V165" s="44" t="e">
        <f ca="1">IF($T165&lt;=AA$4,INDEX(TypicalCriticalitiesMAHBarrier23[Typical Components],MATCH($T165,TypicalCriticalitiesMAHBarrier23[Column2],0)),"")</f>
        <v>#N/A</v>
      </c>
      <c r="W165" s="2" t="e">
        <f ca="1">IF($T165&lt;=AA$4,INDEX(TypicalCriticalitiesMAHBarrier23[Typical Criticality],MATCH($T165,TypicalCriticalitiesMAHBarrier23[Column2],0)),"")</f>
        <v>#N/A</v>
      </c>
      <c r="AE165" s="44"/>
      <c r="AF165" s="44"/>
      <c r="AG165" s="44"/>
      <c r="AH165" s="44"/>
      <c r="AI165" s="44"/>
      <c r="AJ165" s="44"/>
    </row>
    <row r="166" spans="14:36">
      <c r="N166" s="54" t="s">
        <v>399</v>
      </c>
      <c r="O166" s="54" t="s">
        <v>400</v>
      </c>
      <c r="P166" s="54" t="s">
        <v>403</v>
      </c>
      <c r="Q166" s="55" t="s">
        <v>0</v>
      </c>
      <c r="R166" s="44">
        <f t="shared" si="6"/>
        <v>17</v>
      </c>
      <c r="S166" s="44" t="e">
        <f t="shared" ca="1" si="7"/>
        <v>#N/A</v>
      </c>
      <c r="T166" s="44">
        <f t="shared" si="8"/>
        <v>163</v>
      </c>
      <c r="U166" s="44" t="str">
        <f>IF($T166&lt;=Z$4,INDEX(TypicalCriticalitiesMAHBarrier23[Barrier Family Description],MATCH($T166,TypicalCriticalitiesMAHBarrier23[Barrier Family ID],0)),"")</f>
        <v/>
      </c>
      <c r="V166" s="44" t="e">
        <f ca="1">IF($T166&lt;=AA$4,INDEX(TypicalCriticalitiesMAHBarrier23[Typical Components],MATCH($T166,TypicalCriticalitiesMAHBarrier23[Column2],0)),"")</f>
        <v>#N/A</v>
      </c>
      <c r="W166" s="2" t="e">
        <f ca="1">IF($T166&lt;=AA$4,INDEX(TypicalCriticalitiesMAHBarrier23[Typical Criticality],MATCH($T166,TypicalCriticalitiesMAHBarrier23[Column2],0)),"")</f>
        <v>#N/A</v>
      </c>
      <c r="AE166" s="44"/>
      <c r="AF166" s="44"/>
      <c r="AG166" s="44"/>
      <c r="AH166" s="44"/>
      <c r="AI166" s="44"/>
      <c r="AJ166" s="44"/>
    </row>
    <row r="167" spans="14:36">
      <c r="N167" s="54" t="s">
        <v>399</v>
      </c>
      <c r="O167" s="54" t="s">
        <v>400</v>
      </c>
      <c r="P167" s="54" t="s">
        <v>404</v>
      </c>
      <c r="Q167" s="55" t="s">
        <v>0</v>
      </c>
      <c r="R167" s="44">
        <f t="shared" si="6"/>
        <v>17</v>
      </c>
      <c r="S167" s="44" t="e">
        <f t="shared" ca="1" si="7"/>
        <v>#N/A</v>
      </c>
      <c r="T167" s="44">
        <f t="shared" si="8"/>
        <v>164</v>
      </c>
      <c r="U167" s="44" t="str">
        <f>IF($T167&lt;=Z$4,INDEX(TypicalCriticalitiesMAHBarrier23[Barrier Family Description],MATCH($T167,TypicalCriticalitiesMAHBarrier23[Barrier Family ID],0)),"")</f>
        <v/>
      </c>
      <c r="V167" s="44" t="e">
        <f ca="1">IF($T167&lt;=AA$4,INDEX(TypicalCriticalitiesMAHBarrier23[Typical Components],MATCH($T167,TypicalCriticalitiesMAHBarrier23[Column2],0)),"")</f>
        <v>#N/A</v>
      </c>
      <c r="W167" s="2" t="e">
        <f ca="1">IF($T167&lt;=AA$4,INDEX(TypicalCriticalitiesMAHBarrier23[Typical Criticality],MATCH($T167,TypicalCriticalitiesMAHBarrier23[Column2],0)),"")</f>
        <v>#N/A</v>
      </c>
      <c r="AE167" s="44"/>
      <c r="AF167" s="44"/>
      <c r="AG167" s="44"/>
      <c r="AH167" s="44"/>
      <c r="AI167" s="44"/>
      <c r="AJ167" s="44"/>
    </row>
    <row r="168" spans="14:36">
      <c r="N168" s="54" t="s">
        <v>399</v>
      </c>
      <c r="O168" s="54" t="s">
        <v>400</v>
      </c>
      <c r="P168" s="54" t="s">
        <v>405</v>
      </c>
      <c r="Q168" s="55" t="s">
        <v>1</v>
      </c>
      <c r="R168" s="44">
        <f t="shared" si="6"/>
        <v>17</v>
      </c>
      <c r="S168" s="44" t="e">
        <f t="shared" ca="1" si="7"/>
        <v>#N/A</v>
      </c>
      <c r="T168" s="44">
        <f t="shared" si="8"/>
        <v>165</v>
      </c>
      <c r="U168" s="44" t="str">
        <f>IF($T168&lt;=Z$4,INDEX(TypicalCriticalitiesMAHBarrier23[Barrier Family Description],MATCH($T168,TypicalCriticalitiesMAHBarrier23[Barrier Family ID],0)),"")</f>
        <v/>
      </c>
      <c r="V168" s="44" t="e">
        <f ca="1">IF($T168&lt;=AA$4,INDEX(TypicalCriticalitiesMAHBarrier23[Typical Components],MATCH($T168,TypicalCriticalitiesMAHBarrier23[Column2],0)),"")</f>
        <v>#N/A</v>
      </c>
      <c r="W168" s="2" t="e">
        <f ca="1">IF($T168&lt;=AA$4,INDEX(TypicalCriticalitiesMAHBarrier23[Typical Criticality],MATCH($T168,TypicalCriticalitiesMAHBarrier23[Column2],0)),"")</f>
        <v>#N/A</v>
      </c>
      <c r="AE168" s="44"/>
      <c r="AF168" s="44"/>
      <c r="AG168" s="44"/>
      <c r="AH168" s="44"/>
      <c r="AI168" s="44"/>
      <c r="AJ168" s="44"/>
    </row>
    <row r="169" spans="14:36">
      <c r="N169" s="54" t="s">
        <v>399</v>
      </c>
      <c r="O169" s="54" t="s">
        <v>400</v>
      </c>
      <c r="P169" s="54" t="s">
        <v>406</v>
      </c>
      <c r="Q169" s="55" t="s">
        <v>0</v>
      </c>
      <c r="R169" s="44">
        <f t="shared" si="6"/>
        <v>17</v>
      </c>
      <c r="S169" s="44" t="e">
        <f t="shared" ca="1" si="7"/>
        <v>#N/A</v>
      </c>
      <c r="T169" s="44">
        <f t="shared" si="8"/>
        <v>166</v>
      </c>
      <c r="U169" s="44" t="str">
        <f>IF($T169&lt;=Z$4,INDEX(TypicalCriticalitiesMAHBarrier23[Barrier Family Description],MATCH($T169,TypicalCriticalitiesMAHBarrier23[Barrier Family ID],0)),"")</f>
        <v/>
      </c>
      <c r="V169" s="44" t="e">
        <f ca="1">IF($T169&lt;=AA$4,INDEX(TypicalCriticalitiesMAHBarrier23[Typical Components],MATCH($T169,TypicalCriticalitiesMAHBarrier23[Column2],0)),"")</f>
        <v>#N/A</v>
      </c>
      <c r="W169" s="2" t="e">
        <f ca="1">IF($T169&lt;=AA$4,INDEX(TypicalCriticalitiesMAHBarrier23[Typical Criticality],MATCH($T169,TypicalCriticalitiesMAHBarrier23[Column2],0)),"")</f>
        <v>#N/A</v>
      </c>
      <c r="AE169" s="44"/>
      <c r="AF169" s="44"/>
      <c r="AG169" s="44"/>
      <c r="AH169" s="44"/>
      <c r="AI169" s="44"/>
      <c r="AJ169" s="44"/>
    </row>
    <row r="170" spans="14:36">
      <c r="N170" s="54" t="s">
        <v>399</v>
      </c>
      <c r="O170" s="54" t="s">
        <v>400</v>
      </c>
      <c r="P170" s="54" t="s">
        <v>407</v>
      </c>
      <c r="Q170" s="55" t="s">
        <v>0</v>
      </c>
      <c r="R170" s="44">
        <f t="shared" si="6"/>
        <v>17</v>
      </c>
      <c r="S170" s="44" t="e">
        <f t="shared" ca="1" si="7"/>
        <v>#N/A</v>
      </c>
      <c r="T170" s="44">
        <f t="shared" si="8"/>
        <v>167</v>
      </c>
      <c r="U170" s="44" t="str">
        <f>IF($T170&lt;=Z$4,INDEX(TypicalCriticalitiesMAHBarrier23[Barrier Family Description],MATCH($T170,TypicalCriticalitiesMAHBarrier23[Barrier Family ID],0)),"")</f>
        <v/>
      </c>
      <c r="V170" s="44" t="e">
        <f ca="1">IF($T170&lt;=AA$4,INDEX(TypicalCriticalitiesMAHBarrier23[Typical Components],MATCH($T170,TypicalCriticalitiesMAHBarrier23[Column2],0)),"")</f>
        <v>#N/A</v>
      </c>
      <c r="W170" s="2" t="e">
        <f ca="1">IF($T170&lt;=AA$4,INDEX(TypicalCriticalitiesMAHBarrier23[Typical Criticality],MATCH($T170,TypicalCriticalitiesMAHBarrier23[Column2],0)),"")</f>
        <v>#N/A</v>
      </c>
      <c r="AE170" s="44"/>
      <c r="AF170" s="44"/>
      <c r="AG170" s="44"/>
      <c r="AH170" s="44"/>
      <c r="AI170" s="44"/>
      <c r="AJ170" s="44"/>
    </row>
    <row r="171" spans="14:36">
      <c r="N171" s="54" t="s">
        <v>399</v>
      </c>
      <c r="O171" s="54" t="s">
        <v>400</v>
      </c>
      <c r="P171" s="54" t="s">
        <v>408</v>
      </c>
      <c r="Q171" s="55" t="s">
        <v>0</v>
      </c>
      <c r="R171" s="44">
        <f t="shared" si="6"/>
        <v>17</v>
      </c>
      <c r="S171" s="44" t="e">
        <f t="shared" ca="1" si="7"/>
        <v>#N/A</v>
      </c>
      <c r="T171" s="44">
        <f t="shared" si="8"/>
        <v>168</v>
      </c>
      <c r="U171" s="44" t="str">
        <f>IF($T171&lt;=Z$4,INDEX(TypicalCriticalitiesMAHBarrier23[Barrier Family Description],MATCH($T171,TypicalCriticalitiesMAHBarrier23[Barrier Family ID],0)),"")</f>
        <v/>
      </c>
      <c r="V171" s="44" t="e">
        <f ca="1">IF($T171&lt;=AA$4,INDEX(TypicalCriticalitiesMAHBarrier23[Typical Components],MATCH($T171,TypicalCriticalitiesMAHBarrier23[Column2],0)),"")</f>
        <v>#N/A</v>
      </c>
      <c r="W171" s="2" t="e">
        <f ca="1">IF($T171&lt;=AA$4,INDEX(TypicalCriticalitiesMAHBarrier23[Typical Criticality],MATCH($T171,TypicalCriticalitiesMAHBarrier23[Column2],0)),"")</f>
        <v>#N/A</v>
      </c>
      <c r="AE171" s="44"/>
      <c r="AF171" s="44"/>
      <c r="AG171" s="44"/>
      <c r="AH171" s="44"/>
      <c r="AI171" s="44"/>
      <c r="AJ171" s="44"/>
    </row>
    <row r="172" spans="14:36">
      <c r="N172" s="54" t="s">
        <v>399</v>
      </c>
      <c r="O172" s="54" t="s">
        <v>400</v>
      </c>
      <c r="P172" s="54" t="s">
        <v>409</v>
      </c>
      <c r="Q172" s="55" t="s">
        <v>0</v>
      </c>
      <c r="R172" s="44">
        <f t="shared" si="6"/>
        <v>17</v>
      </c>
      <c r="S172" s="44" t="e">
        <f t="shared" ca="1" si="7"/>
        <v>#N/A</v>
      </c>
      <c r="T172" s="44">
        <f t="shared" si="8"/>
        <v>169</v>
      </c>
      <c r="U172" s="44" t="str">
        <f>IF($T172&lt;=Z$4,INDEX(TypicalCriticalitiesMAHBarrier23[Barrier Family Description],MATCH($T172,TypicalCriticalitiesMAHBarrier23[Barrier Family ID],0)),"")</f>
        <v/>
      </c>
      <c r="V172" s="44" t="e">
        <f ca="1">IF($T172&lt;=AA$4,INDEX(TypicalCriticalitiesMAHBarrier23[Typical Components],MATCH($T172,TypicalCriticalitiesMAHBarrier23[Column2],0)),"")</f>
        <v>#N/A</v>
      </c>
      <c r="W172" s="2" t="e">
        <f ca="1">IF($T172&lt;=AA$4,INDEX(TypicalCriticalitiesMAHBarrier23[Typical Criticality],MATCH($T172,TypicalCriticalitiesMAHBarrier23[Column2],0)),"")</f>
        <v>#N/A</v>
      </c>
      <c r="AE172" s="44"/>
      <c r="AF172" s="44"/>
      <c r="AG172" s="44"/>
      <c r="AH172" s="44"/>
      <c r="AI172" s="44"/>
      <c r="AJ172" s="44"/>
    </row>
    <row r="173" spans="14:36">
      <c r="N173" s="54" t="s">
        <v>399</v>
      </c>
      <c r="O173" s="54" t="s">
        <v>400</v>
      </c>
      <c r="P173" s="54" t="s">
        <v>410</v>
      </c>
      <c r="Q173" s="55" t="s">
        <v>0</v>
      </c>
      <c r="R173" s="44">
        <f t="shared" si="6"/>
        <v>17</v>
      </c>
      <c r="S173" s="44" t="e">
        <f t="shared" ca="1" si="7"/>
        <v>#N/A</v>
      </c>
      <c r="T173" s="44">
        <f t="shared" si="8"/>
        <v>170</v>
      </c>
      <c r="U173" s="44" t="str">
        <f>IF($T173&lt;=Z$4,INDEX(TypicalCriticalitiesMAHBarrier23[Barrier Family Description],MATCH($T173,TypicalCriticalitiesMAHBarrier23[Barrier Family ID],0)),"")</f>
        <v/>
      </c>
      <c r="V173" s="44" t="e">
        <f ca="1">IF($T173&lt;=AA$4,INDEX(TypicalCriticalitiesMAHBarrier23[Typical Components],MATCH($T173,TypicalCriticalitiesMAHBarrier23[Column2],0)),"")</f>
        <v>#N/A</v>
      </c>
      <c r="W173" s="2" t="e">
        <f ca="1">IF($T173&lt;=AA$4,INDEX(TypicalCriticalitiesMAHBarrier23[Typical Criticality],MATCH($T173,TypicalCriticalitiesMAHBarrier23[Column2],0)),"")</f>
        <v>#N/A</v>
      </c>
      <c r="AE173" s="44"/>
      <c r="AF173" s="44"/>
      <c r="AG173" s="44"/>
      <c r="AH173" s="44"/>
      <c r="AI173" s="44"/>
      <c r="AJ173" s="44"/>
    </row>
    <row r="174" spans="14:36">
      <c r="N174" s="54" t="s">
        <v>399</v>
      </c>
      <c r="O174" s="54" t="s">
        <v>400</v>
      </c>
      <c r="P174" s="54" t="s">
        <v>411</v>
      </c>
      <c r="Q174" s="55" t="s">
        <v>1</v>
      </c>
      <c r="R174" s="44">
        <f t="shared" si="6"/>
        <v>17</v>
      </c>
      <c r="S174" s="44" t="e">
        <f t="shared" ca="1" si="7"/>
        <v>#N/A</v>
      </c>
      <c r="T174" s="44">
        <f t="shared" si="8"/>
        <v>171</v>
      </c>
      <c r="U174" s="44" t="str">
        <f>IF($T174&lt;=Z$4,INDEX(TypicalCriticalitiesMAHBarrier23[Barrier Family Description],MATCH($T174,TypicalCriticalitiesMAHBarrier23[Barrier Family ID],0)),"")</f>
        <v/>
      </c>
      <c r="V174" s="44" t="e">
        <f ca="1">IF($T174&lt;=AA$4,INDEX(TypicalCriticalitiesMAHBarrier23[Typical Components],MATCH($T174,TypicalCriticalitiesMAHBarrier23[Column2],0)),"")</f>
        <v>#N/A</v>
      </c>
      <c r="W174" s="2" t="e">
        <f ca="1">IF($T174&lt;=AA$4,INDEX(TypicalCriticalitiesMAHBarrier23[Typical Criticality],MATCH($T174,TypicalCriticalitiesMAHBarrier23[Column2],0)),"")</f>
        <v>#N/A</v>
      </c>
      <c r="AE174" s="44"/>
      <c r="AF174" s="44"/>
      <c r="AG174" s="44"/>
      <c r="AH174" s="44"/>
      <c r="AI174" s="44"/>
      <c r="AJ174" s="44"/>
    </row>
    <row r="175" spans="14:36">
      <c r="N175" s="54" t="s">
        <v>399</v>
      </c>
      <c r="O175" s="54" t="s">
        <v>400</v>
      </c>
      <c r="P175" s="54" t="s">
        <v>412</v>
      </c>
      <c r="Q175" s="55" t="s">
        <v>0</v>
      </c>
      <c r="R175" s="44">
        <f t="shared" si="6"/>
        <v>17</v>
      </c>
      <c r="S175" s="44" t="e">
        <f t="shared" ca="1" si="7"/>
        <v>#N/A</v>
      </c>
      <c r="T175" s="44">
        <f t="shared" si="8"/>
        <v>172</v>
      </c>
      <c r="U175" s="44" t="str">
        <f>IF($T175&lt;=Z$4,INDEX(TypicalCriticalitiesMAHBarrier23[Barrier Family Description],MATCH($T175,TypicalCriticalitiesMAHBarrier23[Barrier Family ID],0)),"")</f>
        <v/>
      </c>
      <c r="V175" s="44" t="e">
        <f ca="1">IF($T175&lt;=AA$4,INDEX(TypicalCriticalitiesMAHBarrier23[Typical Components],MATCH($T175,TypicalCriticalitiesMAHBarrier23[Column2],0)),"")</f>
        <v>#N/A</v>
      </c>
      <c r="W175" s="2" t="e">
        <f ca="1">IF($T175&lt;=AA$4,INDEX(TypicalCriticalitiesMAHBarrier23[Typical Criticality],MATCH($T175,TypicalCriticalitiesMAHBarrier23[Column2],0)),"")</f>
        <v>#N/A</v>
      </c>
      <c r="AE175" s="44"/>
      <c r="AF175" s="44"/>
      <c r="AG175" s="44"/>
      <c r="AH175" s="44"/>
      <c r="AI175" s="44"/>
      <c r="AJ175" s="44"/>
    </row>
    <row r="176" spans="14:36">
      <c r="N176" s="54" t="s">
        <v>399</v>
      </c>
      <c r="O176" s="54" t="s">
        <v>400</v>
      </c>
      <c r="P176" s="54" t="s">
        <v>413</v>
      </c>
      <c r="Q176" s="55" t="s">
        <v>0</v>
      </c>
      <c r="R176" s="44">
        <f t="shared" si="6"/>
        <v>17</v>
      </c>
      <c r="S176" s="44" t="e">
        <f t="shared" ca="1" si="7"/>
        <v>#N/A</v>
      </c>
      <c r="T176" s="44">
        <f t="shared" si="8"/>
        <v>173</v>
      </c>
      <c r="U176" s="44" t="str">
        <f>IF($T176&lt;=Z$4,INDEX(TypicalCriticalitiesMAHBarrier23[Barrier Family Description],MATCH($T176,TypicalCriticalitiesMAHBarrier23[Barrier Family ID],0)),"")</f>
        <v/>
      </c>
      <c r="V176" s="44" t="e">
        <f ca="1">IF($T176&lt;=AA$4,INDEX(TypicalCriticalitiesMAHBarrier23[Typical Components],MATCH($T176,TypicalCriticalitiesMAHBarrier23[Column2],0)),"")</f>
        <v>#N/A</v>
      </c>
      <c r="W176" s="2" t="e">
        <f ca="1">IF($T176&lt;=AA$4,INDEX(TypicalCriticalitiesMAHBarrier23[Typical Criticality],MATCH($T176,TypicalCriticalitiesMAHBarrier23[Column2],0)),"")</f>
        <v>#N/A</v>
      </c>
      <c r="AE176" s="44"/>
      <c r="AF176" s="44"/>
      <c r="AG176" s="44"/>
      <c r="AH176" s="44"/>
      <c r="AI176" s="44"/>
      <c r="AJ176" s="44"/>
    </row>
    <row r="177" spans="14:36">
      <c r="N177" s="54" t="s">
        <v>399</v>
      </c>
      <c r="O177" s="54" t="s">
        <v>400</v>
      </c>
      <c r="P177" s="54" t="s">
        <v>414</v>
      </c>
      <c r="Q177" s="55" t="s">
        <v>0</v>
      </c>
      <c r="R177" s="44">
        <f t="shared" si="6"/>
        <v>17</v>
      </c>
      <c r="S177" s="44" t="e">
        <f t="shared" ca="1" si="7"/>
        <v>#N/A</v>
      </c>
      <c r="T177" s="44">
        <f t="shared" si="8"/>
        <v>174</v>
      </c>
      <c r="U177" s="44" t="str">
        <f>IF($T177&lt;=Z$4,INDEX(TypicalCriticalitiesMAHBarrier23[Barrier Family Description],MATCH($T177,TypicalCriticalitiesMAHBarrier23[Barrier Family ID],0)),"")</f>
        <v/>
      </c>
      <c r="V177" s="44" t="e">
        <f ca="1">IF($T177&lt;=AA$4,INDEX(TypicalCriticalitiesMAHBarrier23[Typical Components],MATCH($T177,TypicalCriticalitiesMAHBarrier23[Column2],0)),"")</f>
        <v>#N/A</v>
      </c>
      <c r="W177" s="2" t="e">
        <f ca="1">IF($T177&lt;=AA$4,INDEX(TypicalCriticalitiesMAHBarrier23[Typical Criticality],MATCH($T177,TypicalCriticalitiesMAHBarrier23[Column2],0)),"")</f>
        <v>#N/A</v>
      </c>
      <c r="AE177" s="44"/>
      <c r="AF177" s="44"/>
      <c r="AG177" s="44"/>
      <c r="AH177" s="44"/>
      <c r="AI177" s="44"/>
      <c r="AJ177" s="44"/>
    </row>
    <row r="178" spans="14:36">
      <c r="N178" s="54" t="s">
        <v>399</v>
      </c>
      <c r="O178" s="54" t="s">
        <v>400</v>
      </c>
      <c r="P178" s="54" t="s">
        <v>415</v>
      </c>
      <c r="Q178" s="55" t="s">
        <v>0</v>
      </c>
      <c r="R178" s="44">
        <f t="shared" si="6"/>
        <v>17</v>
      </c>
      <c r="S178" s="44" t="e">
        <f t="shared" ca="1" si="7"/>
        <v>#N/A</v>
      </c>
      <c r="T178" s="44">
        <f t="shared" si="8"/>
        <v>175</v>
      </c>
      <c r="U178" s="44" t="str">
        <f>IF($T178&lt;=Z$4,INDEX(TypicalCriticalitiesMAHBarrier23[Barrier Family Description],MATCH($T178,TypicalCriticalitiesMAHBarrier23[Barrier Family ID],0)),"")</f>
        <v/>
      </c>
      <c r="V178" s="44" t="e">
        <f ca="1">IF($T178&lt;=AA$4,INDEX(TypicalCriticalitiesMAHBarrier23[Typical Components],MATCH($T178,TypicalCriticalitiesMAHBarrier23[Column2],0)),"")</f>
        <v>#N/A</v>
      </c>
      <c r="W178" s="2" t="e">
        <f ca="1">IF($T178&lt;=AA$4,INDEX(TypicalCriticalitiesMAHBarrier23[Typical Criticality],MATCH($T178,TypicalCriticalitiesMAHBarrier23[Column2],0)),"")</f>
        <v>#N/A</v>
      </c>
      <c r="AE178" s="44"/>
      <c r="AF178" s="44"/>
      <c r="AG178" s="44"/>
      <c r="AH178" s="44"/>
      <c r="AI178" s="44"/>
      <c r="AJ178" s="44"/>
    </row>
    <row r="179" spans="14:36">
      <c r="N179" s="54" t="s">
        <v>399</v>
      </c>
      <c r="O179" s="54" t="s">
        <v>400</v>
      </c>
      <c r="P179" s="54" t="s">
        <v>416</v>
      </c>
      <c r="Q179" s="55" t="s">
        <v>0</v>
      </c>
      <c r="R179" s="44">
        <f t="shared" si="6"/>
        <v>17</v>
      </c>
      <c r="S179" s="44" t="e">
        <f t="shared" ca="1" si="7"/>
        <v>#N/A</v>
      </c>
      <c r="T179" s="44">
        <f t="shared" si="8"/>
        <v>176</v>
      </c>
      <c r="U179" s="44" t="str">
        <f>IF($T179&lt;=Z$4,INDEX(TypicalCriticalitiesMAHBarrier23[Barrier Family Description],MATCH($T179,TypicalCriticalitiesMAHBarrier23[Barrier Family ID],0)),"")</f>
        <v/>
      </c>
      <c r="V179" s="44" t="e">
        <f ca="1">IF($T179&lt;=AA$4,INDEX(TypicalCriticalitiesMAHBarrier23[Typical Components],MATCH($T179,TypicalCriticalitiesMAHBarrier23[Column2],0)),"")</f>
        <v>#N/A</v>
      </c>
      <c r="W179" s="2" t="e">
        <f ca="1">IF($T179&lt;=AA$4,INDEX(TypicalCriticalitiesMAHBarrier23[Typical Criticality],MATCH($T179,TypicalCriticalitiesMAHBarrier23[Column2],0)),"")</f>
        <v>#N/A</v>
      </c>
      <c r="AE179" s="44"/>
      <c r="AF179" s="44"/>
      <c r="AG179" s="44"/>
      <c r="AH179" s="44"/>
      <c r="AI179" s="44"/>
      <c r="AJ179" s="44"/>
    </row>
    <row r="180" spans="14:36">
      <c r="N180" s="54" t="s">
        <v>399</v>
      </c>
      <c r="O180" s="54" t="s">
        <v>400</v>
      </c>
      <c r="P180" s="54" t="s">
        <v>417</v>
      </c>
      <c r="Q180" s="55" t="s">
        <v>2</v>
      </c>
      <c r="R180" s="44">
        <f t="shared" si="6"/>
        <v>17</v>
      </c>
      <c r="S180" s="44" t="e">
        <f t="shared" ca="1" si="7"/>
        <v>#N/A</v>
      </c>
      <c r="T180" s="44">
        <f t="shared" si="8"/>
        <v>177</v>
      </c>
      <c r="U180" s="44" t="str">
        <f>IF($T180&lt;=Z$4,INDEX(TypicalCriticalitiesMAHBarrier23[Barrier Family Description],MATCH($T180,TypicalCriticalitiesMAHBarrier23[Barrier Family ID],0)),"")</f>
        <v/>
      </c>
      <c r="V180" s="44" t="e">
        <f ca="1">IF($T180&lt;=AA$4,INDEX(TypicalCriticalitiesMAHBarrier23[Typical Components],MATCH($T180,TypicalCriticalitiesMAHBarrier23[Column2],0)),"")</f>
        <v>#N/A</v>
      </c>
      <c r="W180" s="2" t="e">
        <f ca="1">IF($T180&lt;=AA$4,INDEX(TypicalCriticalitiesMAHBarrier23[Typical Criticality],MATCH($T180,TypicalCriticalitiesMAHBarrier23[Column2],0)),"")</f>
        <v>#N/A</v>
      </c>
      <c r="AE180" s="44"/>
      <c r="AF180" s="44"/>
      <c r="AG180" s="44"/>
      <c r="AH180" s="44"/>
      <c r="AI180" s="44"/>
      <c r="AJ180" s="44"/>
    </row>
    <row r="181" spans="14:36">
      <c r="N181" s="54" t="s">
        <v>399</v>
      </c>
      <c r="O181" s="54" t="s">
        <v>400</v>
      </c>
      <c r="P181" s="54" t="s">
        <v>418</v>
      </c>
      <c r="Q181" s="55" t="s">
        <v>0</v>
      </c>
      <c r="R181" s="44">
        <f t="shared" si="6"/>
        <v>17</v>
      </c>
      <c r="S181" s="44" t="e">
        <f t="shared" ca="1" si="7"/>
        <v>#N/A</v>
      </c>
      <c r="T181" s="44">
        <f t="shared" si="8"/>
        <v>178</v>
      </c>
      <c r="U181" s="44" t="str">
        <f>IF($T181&lt;=Z$4,INDEX(TypicalCriticalitiesMAHBarrier23[Barrier Family Description],MATCH($T181,TypicalCriticalitiesMAHBarrier23[Barrier Family ID],0)),"")</f>
        <v/>
      </c>
      <c r="V181" s="44" t="e">
        <f ca="1">IF($T181&lt;=AA$4,INDEX(TypicalCriticalitiesMAHBarrier23[Typical Components],MATCH($T181,TypicalCriticalitiesMAHBarrier23[Column2],0)),"")</f>
        <v>#N/A</v>
      </c>
      <c r="W181" s="2" t="e">
        <f ca="1">IF($T181&lt;=AA$4,INDEX(TypicalCriticalitiesMAHBarrier23[Typical Criticality],MATCH($T181,TypicalCriticalitiesMAHBarrier23[Column2],0)),"")</f>
        <v>#N/A</v>
      </c>
      <c r="AE181" s="44"/>
      <c r="AF181" s="44"/>
      <c r="AG181" s="44"/>
      <c r="AH181" s="44"/>
      <c r="AI181" s="44"/>
      <c r="AJ181" s="44"/>
    </row>
    <row r="182" spans="14:36" ht="33.75">
      <c r="N182" s="54" t="s">
        <v>399</v>
      </c>
      <c r="O182" s="54" t="s">
        <v>400</v>
      </c>
      <c r="P182" s="54" t="s">
        <v>397</v>
      </c>
      <c r="Q182" s="55" t="s">
        <v>398</v>
      </c>
      <c r="R182" s="44">
        <f t="shared" si="6"/>
        <v>17</v>
      </c>
      <c r="S182" s="44" t="e">
        <f t="shared" ca="1" si="7"/>
        <v>#N/A</v>
      </c>
      <c r="T182" s="44">
        <f t="shared" si="8"/>
        <v>179</v>
      </c>
      <c r="U182" s="44" t="str">
        <f>IF($T182&lt;=Z$4,INDEX(TypicalCriticalitiesMAHBarrier23[Barrier Family Description],MATCH($T182,TypicalCriticalitiesMAHBarrier23[Barrier Family ID],0)),"")</f>
        <v/>
      </c>
      <c r="V182" s="44" t="e">
        <f ca="1">IF($T182&lt;=AA$4,INDEX(TypicalCriticalitiesMAHBarrier23[Typical Components],MATCH($T182,TypicalCriticalitiesMAHBarrier23[Column2],0)),"")</f>
        <v>#N/A</v>
      </c>
      <c r="W182" s="2" t="e">
        <f ca="1">IF($T182&lt;=AA$4,INDEX(TypicalCriticalitiesMAHBarrier23[Typical Criticality],MATCH($T182,TypicalCriticalitiesMAHBarrier23[Column2],0)),"")</f>
        <v>#N/A</v>
      </c>
      <c r="AE182" s="44"/>
      <c r="AF182" s="44"/>
      <c r="AG182" s="44"/>
      <c r="AH182" s="44"/>
      <c r="AI182" s="44"/>
      <c r="AJ182" s="44"/>
    </row>
    <row r="183" spans="14:36">
      <c r="N183" s="54" t="s">
        <v>399</v>
      </c>
      <c r="O183" s="54" t="s">
        <v>400</v>
      </c>
      <c r="P183" s="54" t="s">
        <v>419</v>
      </c>
      <c r="Q183" s="55" t="s">
        <v>0</v>
      </c>
      <c r="R183" s="44">
        <f t="shared" si="6"/>
        <v>17</v>
      </c>
      <c r="S183" s="44" t="e">
        <f t="shared" ca="1" si="7"/>
        <v>#N/A</v>
      </c>
      <c r="T183" s="44">
        <f t="shared" si="8"/>
        <v>180</v>
      </c>
      <c r="U183" s="44" t="str">
        <f>IF($T183&lt;=Z$4,INDEX(TypicalCriticalitiesMAHBarrier23[Barrier Family Description],MATCH($T183,TypicalCriticalitiesMAHBarrier23[Barrier Family ID],0)),"")</f>
        <v/>
      </c>
      <c r="V183" s="44" t="e">
        <f ca="1">IF($T183&lt;=AA$4,INDEX(TypicalCriticalitiesMAHBarrier23[Typical Components],MATCH($T183,TypicalCriticalitiesMAHBarrier23[Column2],0)),"")</f>
        <v>#N/A</v>
      </c>
      <c r="W183" s="2" t="e">
        <f ca="1">IF($T183&lt;=AA$4,INDEX(TypicalCriticalitiesMAHBarrier23[Typical Criticality],MATCH($T183,TypicalCriticalitiesMAHBarrier23[Column2],0)),"")</f>
        <v>#N/A</v>
      </c>
      <c r="AE183" s="44"/>
      <c r="AF183" s="44"/>
      <c r="AG183" s="44"/>
      <c r="AH183" s="44"/>
      <c r="AI183" s="44"/>
      <c r="AJ183" s="44"/>
    </row>
    <row r="184" spans="14:36">
      <c r="N184" s="54" t="s">
        <v>420</v>
      </c>
      <c r="O184" s="54" t="s">
        <v>421</v>
      </c>
      <c r="P184" s="54" t="s">
        <v>422</v>
      </c>
      <c r="Q184" s="55" t="s">
        <v>0</v>
      </c>
      <c r="R184" s="44">
        <f t="shared" si="6"/>
        <v>18</v>
      </c>
      <c r="S184" s="44" t="e">
        <f t="shared" ca="1" si="7"/>
        <v>#N/A</v>
      </c>
      <c r="T184" s="44">
        <f t="shared" si="8"/>
        <v>181</v>
      </c>
      <c r="U184" s="44" t="str">
        <f>IF($T184&lt;=Z$4,INDEX(TypicalCriticalitiesMAHBarrier23[Barrier Family Description],MATCH($T184,TypicalCriticalitiesMAHBarrier23[Barrier Family ID],0)),"")</f>
        <v/>
      </c>
      <c r="V184" s="44" t="e">
        <f ca="1">IF($T184&lt;=AA$4,INDEX(TypicalCriticalitiesMAHBarrier23[Typical Components],MATCH($T184,TypicalCriticalitiesMAHBarrier23[Column2],0)),"")</f>
        <v>#N/A</v>
      </c>
      <c r="W184" s="2" t="e">
        <f ca="1">IF($T184&lt;=AA$4,INDEX(TypicalCriticalitiesMAHBarrier23[Typical Criticality],MATCH($T184,TypicalCriticalitiesMAHBarrier23[Column2],0)),"")</f>
        <v>#N/A</v>
      </c>
      <c r="AE184" s="44"/>
      <c r="AF184" s="44"/>
      <c r="AG184" s="44"/>
      <c r="AH184" s="44"/>
      <c r="AI184" s="44"/>
      <c r="AJ184" s="44"/>
    </row>
    <row r="185" spans="14:36">
      <c r="N185" s="54" t="s">
        <v>420</v>
      </c>
      <c r="O185" s="54" t="s">
        <v>421</v>
      </c>
      <c r="P185" s="54" t="s">
        <v>423</v>
      </c>
      <c r="Q185" s="55" t="s">
        <v>0</v>
      </c>
      <c r="R185" s="44">
        <f t="shared" si="6"/>
        <v>18</v>
      </c>
      <c r="S185" s="44" t="e">
        <f t="shared" ca="1" si="7"/>
        <v>#N/A</v>
      </c>
      <c r="T185" s="44">
        <f t="shared" si="8"/>
        <v>182</v>
      </c>
      <c r="U185" s="44" t="str">
        <f>IF($T185&lt;=Z$4,INDEX(TypicalCriticalitiesMAHBarrier23[Barrier Family Description],MATCH($T185,TypicalCriticalitiesMAHBarrier23[Barrier Family ID],0)),"")</f>
        <v/>
      </c>
      <c r="V185" s="44" t="e">
        <f ca="1">IF($T185&lt;=AA$4,INDEX(TypicalCriticalitiesMAHBarrier23[Typical Components],MATCH($T185,TypicalCriticalitiesMAHBarrier23[Column2],0)),"")</f>
        <v>#N/A</v>
      </c>
      <c r="W185" s="2" t="e">
        <f ca="1">IF($T185&lt;=AA$4,INDEX(TypicalCriticalitiesMAHBarrier23[Typical Criticality],MATCH($T185,TypicalCriticalitiesMAHBarrier23[Column2],0)),"")</f>
        <v>#N/A</v>
      </c>
      <c r="AE185" s="44"/>
      <c r="AF185" s="44"/>
      <c r="AG185" s="44"/>
      <c r="AH185" s="44"/>
      <c r="AI185" s="44"/>
      <c r="AJ185" s="44"/>
    </row>
    <row r="186" spans="14:36">
      <c r="N186" s="54" t="s">
        <v>420</v>
      </c>
      <c r="O186" s="54" t="s">
        <v>421</v>
      </c>
      <c r="P186" s="54" t="s">
        <v>424</v>
      </c>
      <c r="Q186" s="55" t="s">
        <v>0</v>
      </c>
      <c r="R186" s="44">
        <f t="shared" si="6"/>
        <v>18</v>
      </c>
      <c r="S186" s="44" t="e">
        <f t="shared" ca="1" si="7"/>
        <v>#N/A</v>
      </c>
      <c r="T186" s="44">
        <f t="shared" si="8"/>
        <v>183</v>
      </c>
      <c r="U186" s="44" t="str">
        <f>IF($T186&lt;=Z$4,INDEX(TypicalCriticalitiesMAHBarrier23[Barrier Family Description],MATCH($T186,TypicalCriticalitiesMAHBarrier23[Barrier Family ID],0)),"")</f>
        <v/>
      </c>
      <c r="V186" s="44" t="e">
        <f ca="1">IF($T186&lt;=AA$4,INDEX(TypicalCriticalitiesMAHBarrier23[Typical Components],MATCH($T186,TypicalCriticalitiesMAHBarrier23[Column2],0)),"")</f>
        <v>#N/A</v>
      </c>
      <c r="W186" s="2" t="e">
        <f ca="1">IF($T186&lt;=AA$4,INDEX(TypicalCriticalitiesMAHBarrier23[Typical Criticality],MATCH($T186,TypicalCriticalitiesMAHBarrier23[Column2],0)),"")</f>
        <v>#N/A</v>
      </c>
      <c r="AE186" s="44"/>
      <c r="AF186" s="44"/>
      <c r="AG186" s="44"/>
      <c r="AH186" s="44"/>
      <c r="AI186" s="44"/>
      <c r="AJ186" s="44"/>
    </row>
    <row r="187" spans="14:36">
      <c r="N187" s="54" t="s">
        <v>420</v>
      </c>
      <c r="O187" s="54" t="s">
        <v>421</v>
      </c>
      <c r="P187" s="54" t="s">
        <v>425</v>
      </c>
      <c r="Q187" s="55" t="s">
        <v>0</v>
      </c>
      <c r="R187" s="44">
        <f t="shared" si="6"/>
        <v>18</v>
      </c>
      <c r="S187" s="44" t="e">
        <f t="shared" ca="1" si="7"/>
        <v>#N/A</v>
      </c>
      <c r="T187" s="44">
        <f t="shared" si="8"/>
        <v>184</v>
      </c>
      <c r="U187" s="44" t="str">
        <f>IF($T187&lt;=Z$4,INDEX(TypicalCriticalitiesMAHBarrier23[Barrier Family Description],MATCH($T187,TypicalCriticalitiesMAHBarrier23[Barrier Family ID],0)),"")</f>
        <v/>
      </c>
      <c r="V187" s="44" t="e">
        <f ca="1">IF($T187&lt;=AA$4,INDEX(TypicalCriticalitiesMAHBarrier23[Typical Components],MATCH($T187,TypicalCriticalitiesMAHBarrier23[Column2],0)),"")</f>
        <v>#N/A</v>
      </c>
      <c r="W187" s="2" t="e">
        <f ca="1">IF($T187&lt;=AA$4,INDEX(TypicalCriticalitiesMAHBarrier23[Typical Criticality],MATCH($T187,TypicalCriticalitiesMAHBarrier23[Column2],0)),"")</f>
        <v>#N/A</v>
      </c>
      <c r="AE187" s="44"/>
      <c r="AF187" s="44"/>
      <c r="AG187" s="44"/>
      <c r="AH187" s="44"/>
      <c r="AI187" s="44"/>
      <c r="AJ187" s="44"/>
    </row>
    <row r="188" spans="14:36">
      <c r="N188" s="54" t="s">
        <v>420</v>
      </c>
      <c r="O188" s="54" t="s">
        <v>426</v>
      </c>
      <c r="P188" s="54" t="s">
        <v>427</v>
      </c>
      <c r="Q188" s="55" t="s">
        <v>0</v>
      </c>
      <c r="R188" s="44">
        <f t="shared" si="6"/>
        <v>19</v>
      </c>
      <c r="S188" s="44" t="e">
        <f t="shared" ca="1" si="7"/>
        <v>#N/A</v>
      </c>
      <c r="T188" s="44">
        <f t="shared" si="8"/>
        <v>185</v>
      </c>
      <c r="U188" s="44" t="str">
        <f>IF($T188&lt;=Z$4,INDEX(TypicalCriticalitiesMAHBarrier23[Barrier Family Description],MATCH($T188,TypicalCriticalitiesMAHBarrier23[Barrier Family ID],0)),"")</f>
        <v/>
      </c>
      <c r="V188" s="44" t="e">
        <f ca="1">IF($T188&lt;=AA$4,INDEX(TypicalCriticalitiesMAHBarrier23[Typical Components],MATCH($T188,TypicalCriticalitiesMAHBarrier23[Column2],0)),"")</f>
        <v>#N/A</v>
      </c>
      <c r="W188" s="2" t="e">
        <f ca="1">IF($T188&lt;=AA$4,INDEX(TypicalCriticalitiesMAHBarrier23[Typical Criticality],MATCH($T188,TypicalCriticalitiesMAHBarrier23[Column2],0)),"")</f>
        <v>#N/A</v>
      </c>
      <c r="AE188" s="44"/>
      <c r="AF188" s="44"/>
      <c r="AG188" s="44"/>
      <c r="AH188" s="44"/>
      <c r="AI188" s="44"/>
      <c r="AJ188" s="44"/>
    </row>
    <row r="189" spans="14:36">
      <c r="N189" s="54" t="s">
        <v>420</v>
      </c>
      <c r="O189" s="54" t="s">
        <v>428</v>
      </c>
      <c r="P189" s="54" t="s">
        <v>429</v>
      </c>
      <c r="Q189" s="55" t="s">
        <v>1</v>
      </c>
      <c r="R189" s="44">
        <f t="shared" si="6"/>
        <v>20</v>
      </c>
      <c r="S189" s="44" t="e">
        <f t="shared" ca="1" si="7"/>
        <v>#N/A</v>
      </c>
      <c r="T189" s="44">
        <f t="shared" si="8"/>
        <v>186</v>
      </c>
      <c r="U189" s="44" t="str">
        <f>IF($T189&lt;=Z$4,INDEX(TypicalCriticalitiesMAHBarrier23[Barrier Family Description],MATCH($T189,TypicalCriticalitiesMAHBarrier23[Barrier Family ID],0)),"")</f>
        <v/>
      </c>
      <c r="V189" s="44" t="e">
        <f ca="1">IF($T189&lt;=AA$4,INDEX(TypicalCriticalitiesMAHBarrier23[Typical Components],MATCH($T189,TypicalCriticalitiesMAHBarrier23[Column2],0)),"")</f>
        <v>#N/A</v>
      </c>
      <c r="W189" s="2" t="e">
        <f ca="1">IF($T189&lt;=AA$4,INDEX(TypicalCriticalitiesMAHBarrier23[Typical Criticality],MATCH($T189,TypicalCriticalitiesMAHBarrier23[Column2],0)),"")</f>
        <v>#N/A</v>
      </c>
      <c r="AE189" s="44"/>
      <c r="AF189" s="44"/>
      <c r="AG189" s="44"/>
      <c r="AH189" s="44"/>
      <c r="AI189" s="44"/>
      <c r="AJ189" s="44"/>
    </row>
    <row r="190" spans="14:36">
      <c r="N190" s="54" t="s">
        <v>420</v>
      </c>
      <c r="O190" s="54" t="s">
        <v>430</v>
      </c>
      <c r="P190" s="54" t="s">
        <v>429</v>
      </c>
      <c r="Q190" s="55" t="s">
        <v>2</v>
      </c>
      <c r="R190" s="44">
        <f t="shared" si="6"/>
        <v>21</v>
      </c>
      <c r="S190" s="44" t="e">
        <f t="shared" ca="1" si="7"/>
        <v>#N/A</v>
      </c>
      <c r="T190" s="44">
        <f t="shared" si="8"/>
        <v>187</v>
      </c>
      <c r="U190" s="44" t="str">
        <f>IF($T190&lt;=Z$4,INDEX(TypicalCriticalitiesMAHBarrier23[Barrier Family Description],MATCH($T190,TypicalCriticalitiesMAHBarrier23[Barrier Family ID],0)),"")</f>
        <v/>
      </c>
      <c r="V190" s="44" t="e">
        <f ca="1">IF($T190&lt;=AA$4,INDEX(TypicalCriticalitiesMAHBarrier23[Typical Components],MATCH($T190,TypicalCriticalitiesMAHBarrier23[Column2],0)),"")</f>
        <v>#N/A</v>
      </c>
      <c r="W190" s="2" t="e">
        <f ca="1">IF($T190&lt;=AA$4,INDEX(TypicalCriticalitiesMAHBarrier23[Typical Criticality],MATCH($T190,TypicalCriticalitiesMAHBarrier23[Column2],0)),"")</f>
        <v>#N/A</v>
      </c>
      <c r="AE190" s="44"/>
      <c r="AF190" s="44"/>
      <c r="AG190" s="44"/>
      <c r="AH190" s="44"/>
      <c r="AI190" s="44"/>
      <c r="AJ190" s="44"/>
    </row>
    <row r="191" spans="14:36">
      <c r="N191" s="54" t="s">
        <v>431</v>
      </c>
      <c r="O191" s="54" t="s">
        <v>432</v>
      </c>
      <c r="P191" s="54" t="s">
        <v>433</v>
      </c>
      <c r="Q191" s="55" t="s">
        <v>0</v>
      </c>
      <c r="R191" s="44">
        <f t="shared" si="6"/>
        <v>22</v>
      </c>
      <c r="S191" s="44" t="e">
        <f t="shared" ca="1" si="7"/>
        <v>#N/A</v>
      </c>
      <c r="T191" s="44">
        <f t="shared" si="8"/>
        <v>188</v>
      </c>
      <c r="U191" s="44" t="str">
        <f>IF($T191&lt;=Z$4,INDEX(TypicalCriticalitiesMAHBarrier23[Barrier Family Description],MATCH($T191,TypicalCriticalitiesMAHBarrier23[Barrier Family ID],0)),"")</f>
        <v/>
      </c>
      <c r="V191" s="44" t="e">
        <f ca="1">IF($T191&lt;=AA$4,INDEX(TypicalCriticalitiesMAHBarrier23[Typical Components],MATCH($T191,TypicalCriticalitiesMAHBarrier23[Column2],0)),"")</f>
        <v>#N/A</v>
      </c>
      <c r="W191" s="2" t="e">
        <f ca="1">IF($T191&lt;=AA$4,INDEX(TypicalCriticalitiesMAHBarrier23[Typical Criticality],MATCH($T191,TypicalCriticalitiesMAHBarrier23[Column2],0)),"")</f>
        <v>#N/A</v>
      </c>
      <c r="AE191" s="44"/>
      <c r="AF191" s="44"/>
      <c r="AG191" s="44"/>
      <c r="AH191" s="44"/>
      <c r="AI191" s="44"/>
      <c r="AJ191" s="44"/>
    </row>
    <row r="192" spans="14:36">
      <c r="N192" s="54" t="s">
        <v>431</v>
      </c>
      <c r="O192" s="54" t="s">
        <v>432</v>
      </c>
      <c r="P192" s="54" t="s">
        <v>434</v>
      </c>
      <c r="Q192" s="55" t="s">
        <v>0</v>
      </c>
      <c r="R192" s="44">
        <f t="shared" si="6"/>
        <v>22</v>
      </c>
      <c r="S192" s="44" t="e">
        <f t="shared" ca="1" si="7"/>
        <v>#N/A</v>
      </c>
      <c r="T192" s="44">
        <f t="shared" si="8"/>
        <v>189</v>
      </c>
      <c r="U192" s="44" t="str">
        <f>IF($T192&lt;=Z$4,INDEX(TypicalCriticalitiesMAHBarrier23[Barrier Family Description],MATCH($T192,TypicalCriticalitiesMAHBarrier23[Barrier Family ID],0)),"")</f>
        <v/>
      </c>
      <c r="V192" s="44" t="e">
        <f ca="1">IF($T192&lt;=AA$4,INDEX(TypicalCriticalitiesMAHBarrier23[Typical Components],MATCH($T192,TypicalCriticalitiesMAHBarrier23[Column2],0)),"")</f>
        <v>#N/A</v>
      </c>
      <c r="W192" s="2" t="e">
        <f ca="1">IF($T192&lt;=AA$4,INDEX(TypicalCriticalitiesMAHBarrier23[Typical Criticality],MATCH($T192,TypicalCriticalitiesMAHBarrier23[Column2],0)),"")</f>
        <v>#N/A</v>
      </c>
      <c r="AE192" s="44"/>
      <c r="AF192" s="44"/>
      <c r="AG192" s="44"/>
      <c r="AH192" s="44"/>
      <c r="AI192" s="44"/>
      <c r="AJ192" s="44"/>
    </row>
    <row r="193" spans="14:36">
      <c r="N193" s="54" t="s">
        <v>431</v>
      </c>
      <c r="O193" s="54" t="s">
        <v>432</v>
      </c>
      <c r="P193" s="54" t="s">
        <v>435</v>
      </c>
      <c r="Q193" s="55" t="s">
        <v>0</v>
      </c>
      <c r="R193" s="44">
        <f t="shared" si="6"/>
        <v>22</v>
      </c>
      <c r="S193" s="44" t="e">
        <f t="shared" ca="1" si="7"/>
        <v>#N/A</v>
      </c>
      <c r="T193" s="44">
        <f t="shared" si="8"/>
        <v>190</v>
      </c>
      <c r="U193" s="44" t="str">
        <f>IF($T193&lt;=Z$4,INDEX(TypicalCriticalitiesMAHBarrier23[Barrier Family Description],MATCH($T193,TypicalCriticalitiesMAHBarrier23[Barrier Family ID],0)),"")</f>
        <v/>
      </c>
      <c r="V193" s="44" t="e">
        <f ca="1">IF($T193&lt;=AA$4,INDEX(TypicalCriticalitiesMAHBarrier23[Typical Components],MATCH($T193,TypicalCriticalitiesMAHBarrier23[Column2],0)),"")</f>
        <v>#N/A</v>
      </c>
      <c r="W193" s="2" t="e">
        <f ca="1">IF($T193&lt;=AA$4,INDEX(TypicalCriticalitiesMAHBarrier23[Typical Criticality],MATCH($T193,TypicalCriticalitiesMAHBarrier23[Column2],0)),"")</f>
        <v>#N/A</v>
      </c>
      <c r="AE193" s="44"/>
      <c r="AF193" s="44"/>
      <c r="AG193" s="44"/>
      <c r="AH193" s="44"/>
      <c r="AI193" s="44"/>
      <c r="AJ193" s="44"/>
    </row>
    <row r="194" spans="14:36">
      <c r="N194" s="54" t="s">
        <v>431</v>
      </c>
      <c r="O194" s="54" t="s">
        <v>432</v>
      </c>
      <c r="P194" s="54" t="s">
        <v>436</v>
      </c>
      <c r="Q194" s="55" t="s">
        <v>0</v>
      </c>
      <c r="R194" s="44">
        <f t="shared" si="6"/>
        <v>22</v>
      </c>
      <c r="S194" s="44" t="e">
        <f t="shared" ca="1" si="7"/>
        <v>#N/A</v>
      </c>
      <c r="T194" s="44">
        <f t="shared" si="8"/>
        <v>191</v>
      </c>
      <c r="U194" s="44" t="str">
        <f>IF($T194&lt;=Z$4,INDEX(TypicalCriticalitiesMAHBarrier23[Barrier Family Description],MATCH($T194,TypicalCriticalitiesMAHBarrier23[Barrier Family ID],0)),"")</f>
        <v/>
      </c>
      <c r="V194" s="44" t="e">
        <f ca="1">IF($T194&lt;=AA$4,INDEX(TypicalCriticalitiesMAHBarrier23[Typical Components],MATCH($T194,TypicalCriticalitiesMAHBarrier23[Column2],0)),"")</f>
        <v>#N/A</v>
      </c>
      <c r="W194" s="2" t="e">
        <f ca="1">IF($T194&lt;=AA$4,INDEX(TypicalCriticalitiesMAHBarrier23[Typical Criticality],MATCH($T194,TypicalCriticalitiesMAHBarrier23[Column2],0)),"")</f>
        <v>#N/A</v>
      </c>
      <c r="AE194" s="44"/>
      <c r="AF194" s="44"/>
      <c r="AG194" s="44"/>
      <c r="AH194" s="44"/>
      <c r="AI194" s="44"/>
      <c r="AJ194" s="44"/>
    </row>
    <row r="195" spans="14:36">
      <c r="N195" s="54" t="s">
        <v>431</v>
      </c>
      <c r="O195" s="54" t="s">
        <v>437</v>
      </c>
      <c r="P195" s="54" t="s">
        <v>433</v>
      </c>
      <c r="Q195" s="55" t="s">
        <v>1</v>
      </c>
      <c r="R195" s="44">
        <f t="shared" si="6"/>
        <v>23</v>
      </c>
      <c r="S195" s="44" t="e">
        <f t="shared" ca="1" si="7"/>
        <v>#N/A</v>
      </c>
      <c r="T195" s="44">
        <f t="shared" si="8"/>
        <v>192</v>
      </c>
      <c r="U195" s="44" t="str">
        <f>IF($T195&lt;=Z$4,INDEX(TypicalCriticalitiesMAHBarrier23[Barrier Family Description],MATCH($T195,TypicalCriticalitiesMAHBarrier23[Barrier Family ID],0)),"")</f>
        <v/>
      </c>
      <c r="V195" s="44" t="e">
        <f ca="1">IF($T195&lt;=AA$4,INDEX(TypicalCriticalitiesMAHBarrier23[Typical Components],MATCH($T195,TypicalCriticalitiesMAHBarrier23[Column2],0)),"")</f>
        <v>#N/A</v>
      </c>
      <c r="W195" s="2" t="e">
        <f ca="1">IF($T195&lt;=AA$4,INDEX(TypicalCriticalitiesMAHBarrier23[Typical Criticality],MATCH($T195,TypicalCriticalitiesMAHBarrier23[Column2],0)),"")</f>
        <v>#N/A</v>
      </c>
      <c r="AE195" s="44"/>
      <c r="AF195" s="44"/>
      <c r="AG195" s="44"/>
      <c r="AH195" s="44"/>
      <c r="AI195" s="44"/>
      <c r="AJ195" s="44"/>
    </row>
    <row r="196" spans="14:36">
      <c r="N196" s="54" t="s">
        <v>431</v>
      </c>
      <c r="O196" s="54" t="s">
        <v>437</v>
      </c>
      <c r="P196" s="54" t="s">
        <v>438</v>
      </c>
      <c r="Q196" s="55" t="s">
        <v>1</v>
      </c>
      <c r="R196" s="44">
        <f t="shared" si="6"/>
        <v>23</v>
      </c>
      <c r="S196" s="44" t="e">
        <f t="shared" ca="1" si="7"/>
        <v>#N/A</v>
      </c>
      <c r="T196" s="44">
        <f t="shared" si="8"/>
        <v>193</v>
      </c>
      <c r="U196" s="44" t="str">
        <f>IF($T196&lt;=Z$4,INDEX(TypicalCriticalitiesMAHBarrier23[Barrier Family Description],MATCH($T196,TypicalCriticalitiesMAHBarrier23[Barrier Family ID],0)),"")</f>
        <v/>
      </c>
      <c r="V196" s="44" t="e">
        <f ca="1">IF($T196&lt;=AA$4,INDEX(TypicalCriticalitiesMAHBarrier23[Typical Components],MATCH($T196,TypicalCriticalitiesMAHBarrier23[Column2],0)),"")</f>
        <v>#N/A</v>
      </c>
      <c r="W196" s="2" t="e">
        <f ca="1">IF($T196&lt;=AA$4,INDEX(TypicalCriticalitiesMAHBarrier23[Typical Criticality],MATCH($T196,TypicalCriticalitiesMAHBarrier23[Column2],0)),"")</f>
        <v>#N/A</v>
      </c>
      <c r="AE196" s="44"/>
      <c r="AF196" s="44"/>
      <c r="AG196" s="44"/>
      <c r="AH196" s="44"/>
      <c r="AI196" s="44"/>
      <c r="AJ196" s="44"/>
    </row>
    <row r="197" spans="14:36">
      <c r="N197" s="54" t="s">
        <v>439</v>
      </c>
      <c r="O197" s="54" t="s">
        <v>440</v>
      </c>
      <c r="P197" s="54" t="s">
        <v>441</v>
      </c>
      <c r="Q197" s="55" t="s">
        <v>0</v>
      </c>
      <c r="R197" s="44">
        <f t="shared" ref="R197:R260" si="9">IF(AND(O197&lt;&gt;O196,O197&lt;&gt;""),R196+1,R196)</f>
        <v>24</v>
      </c>
      <c r="S197" s="44" t="e">
        <f t="shared" ref="S197:S260" ca="1" si="10">IF(R197=$Z$5,IF(AND(P197&lt;&gt;P196,P197&lt;&gt;""),S196+1,S196),S196)</f>
        <v>#N/A</v>
      </c>
      <c r="T197" s="44">
        <f t="shared" ref="T197:T260" si="11">T196+1</f>
        <v>194</v>
      </c>
      <c r="U197" s="44" t="str">
        <f>IF($T197&lt;=Z$4,INDEX(TypicalCriticalitiesMAHBarrier23[Barrier Family Description],MATCH($T197,TypicalCriticalitiesMAHBarrier23[Barrier Family ID],0)),"")</f>
        <v/>
      </c>
      <c r="V197" s="44" t="e">
        <f ca="1">IF($T197&lt;=AA$4,INDEX(TypicalCriticalitiesMAHBarrier23[Typical Components],MATCH($T197,TypicalCriticalitiesMAHBarrier23[Column2],0)),"")</f>
        <v>#N/A</v>
      </c>
      <c r="W197" s="2" t="e">
        <f ca="1">IF($T197&lt;=AA$4,INDEX(TypicalCriticalitiesMAHBarrier23[Typical Criticality],MATCH($T197,TypicalCriticalitiesMAHBarrier23[Column2],0)),"")</f>
        <v>#N/A</v>
      </c>
      <c r="AE197" s="44"/>
      <c r="AF197" s="44"/>
      <c r="AG197" s="44"/>
      <c r="AH197" s="44"/>
      <c r="AI197" s="44"/>
      <c r="AJ197" s="44"/>
    </row>
    <row r="198" spans="14:36">
      <c r="N198" s="54" t="s">
        <v>442</v>
      </c>
      <c r="O198" s="54" t="s">
        <v>443</v>
      </c>
      <c r="P198" s="54" t="s">
        <v>444</v>
      </c>
      <c r="Q198" s="55" t="s">
        <v>0</v>
      </c>
      <c r="R198" s="44">
        <f t="shared" si="9"/>
        <v>25</v>
      </c>
      <c r="S198" s="44" t="e">
        <f t="shared" ca="1" si="10"/>
        <v>#N/A</v>
      </c>
      <c r="T198" s="44">
        <f t="shared" si="11"/>
        <v>195</v>
      </c>
      <c r="U198" s="44" t="str">
        <f>IF($T198&lt;=Z$4,INDEX(TypicalCriticalitiesMAHBarrier23[Barrier Family Description],MATCH($T198,TypicalCriticalitiesMAHBarrier23[Barrier Family ID],0)),"")</f>
        <v/>
      </c>
      <c r="V198" s="44" t="e">
        <f ca="1">IF($T198&lt;=AA$4,INDEX(TypicalCriticalitiesMAHBarrier23[Typical Components],MATCH($T198,TypicalCriticalitiesMAHBarrier23[Column2],0)),"")</f>
        <v>#N/A</v>
      </c>
      <c r="W198" s="2" t="e">
        <f ca="1">IF($T198&lt;=AA$4,INDEX(TypicalCriticalitiesMAHBarrier23[Typical Criticality],MATCH($T198,TypicalCriticalitiesMAHBarrier23[Column2],0)),"")</f>
        <v>#N/A</v>
      </c>
      <c r="AE198" s="44"/>
      <c r="AF198" s="44"/>
      <c r="AG198" s="44"/>
      <c r="AH198" s="44"/>
      <c r="AI198" s="44"/>
      <c r="AJ198" s="44"/>
    </row>
    <row r="199" spans="14:36">
      <c r="N199" s="54" t="s">
        <v>445</v>
      </c>
      <c r="O199" s="54" t="s">
        <v>446</v>
      </c>
      <c r="P199" s="54" t="s">
        <v>447</v>
      </c>
      <c r="Q199" s="55" t="s">
        <v>1</v>
      </c>
      <c r="R199" s="44">
        <f t="shared" si="9"/>
        <v>26</v>
      </c>
      <c r="S199" s="44" t="e">
        <f t="shared" ca="1" si="10"/>
        <v>#N/A</v>
      </c>
      <c r="T199" s="44">
        <f t="shared" si="11"/>
        <v>196</v>
      </c>
      <c r="U199" s="44" t="str">
        <f>IF($T199&lt;=Z$4,INDEX(TypicalCriticalitiesMAHBarrier23[Barrier Family Description],MATCH($T199,TypicalCriticalitiesMAHBarrier23[Barrier Family ID],0)),"")</f>
        <v/>
      </c>
      <c r="V199" s="44" t="e">
        <f ca="1">IF($T199&lt;=AA$4,INDEX(TypicalCriticalitiesMAHBarrier23[Typical Components],MATCH($T199,TypicalCriticalitiesMAHBarrier23[Column2],0)),"")</f>
        <v>#N/A</v>
      </c>
      <c r="W199" s="2" t="e">
        <f ca="1">IF($T199&lt;=AA$4,INDEX(TypicalCriticalitiesMAHBarrier23[Typical Criticality],MATCH($T199,TypicalCriticalitiesMAHBarrier23[Column2],0)),"")</f>
        <v>#N/A</v>
      </c>
      <c r="AE199" s="44"/>
      <c r="AF199" s="44"/>
      <c r="AG199" s="44"/>
      <c r="AH199" s="44"/>
      <c r="AI199" s="44"/>
      <c r="AJ199" s="44"/>
    </row>
    <row r="200" spans="14:36">
      <c r="N200" s="76" t="s">
        <v>445</v>
      </c>
      <c r="O200" s="76" t="s">
        <v>446</v>
      </c>
      <c r="P200" s="76" t="s">
        <v>448</v>
      </c>
      <c r="Q200" s="77" t="s">
        <v>1</v>
      </c>
      <c r="R200" s="44">
        <f t="shared" si="9"/>
        <v>26</v>
      </c>
      <c r="S200" s="44" t="e">
        <f t="shared" ca="1" si="10"/>
        <v>#N/A</v>
      </c>
      <c r="T200" s="44">
        <f t="shared" si="11"/>
        <v>197</v>
      </c>
      <c r="U200" s="44" t="str">
        <f>IF($T200&lt;=Z$4,INDEX(TypicalCriticalitiesMAHBarrier23[Barrier Family Description],MATCH($T200,TypicalCriticalitiesMAHBarrier23[Barrier Family ID],0)),"")</f>
        <v/>
      </c>
      <c r="V200" s="44" t="e">
        <f ca="1">IF($T200&lt;=AA$4,INDEX(TypicalCriticalitiesMAHBarrier23[Typical Components],MATCH($T200,TypicalCriticalitiesMAHBarrier23[Column2],0)),"")</f>
        <v>#N/A</v>
      </c>
      <c r="W200" s="2" t="e">
        <f ca="1">IF($T200&lt;=AA$4,INDEX(TypicalCriticalitiesMAHBarrier23[Typical Criticality],MATCH($T200,TypicalCriticalitiesMAHBarrier23[Column2],0)),"")</f>
        <v>#N/A</v>
      </c>
      <c r="AE200" s="44"/>
      <c r="AF200" s="44"/>
      <c r="AG200" s="44"/>
      <c r="AH200" s="44"/>
      <c r="AI200" s="44"/>
      <c r="AJ200" s="44"/>
    </row>
    <row r="201" spans="14:36">
      <c r="N201" s="54" t="s">
        <v>449</v>
      </c>
      <c r="O201" s="54" t="s">
        <v>450</v>
      </c>
      <c r="P201" s="54" t="s">
        <v>451</v>
      </c>
      <c r="Q201" s="78" t="s">
        <v>452</v>
      </c>
      <c r="R201" s="44">
        <f t="shared" si="9"/>
        <v>27</v>
      </c>
      <c r="S201" s="44" t="e">
        <f t="shared" ca="1" si="10"/>
        <v>#N/A</v>
      </c>
      <c r="T201" s="44">
        <f t="shared" si="11"/>
        <v>198</v>
      </c>
      <c r="U201" s="44" t="str">
        <f>IF($T201&lt;=Z$4,INDEX(TypicalCriticalitiesMAHBarrier23[Barrier Family Description],MATCH($T201,TypicalCriticalitiesMAHBarrier23[Barrier Family ID],0)),"")</f>
        <v/>
      </c>
      <c r="V201" s="44" t="e">
        <f ca="1">IF($T201&lt;=AA$4,INDEX(TypicalCriticalitiesMAHBarrier23[Typical Components],MATCH($T201,TypicalCriticalitiesMAHBarrier23[Column2],0)),"")</f>
        <v>#N/A</v>
      </c>
      <c r="W201" s="2" t="e">
        <f ca="1">IF($T201&lt;=AA$4,INDEX(TypicalCriticalitiesMAHBarrier23[Typical Criticality],MATCH($T201,TypicalCriticalitiesMAHBarrier23[Column2],0)),"")</f>
        <v>#N/A</v>
      </c>
      <c r="AE201" s="44"/>
      <c r="AF201" s="44"/>
      <c r="AG201" s="44"/>
      <c r="AH201" s="44"/>
      <c r="AI201" s="44"/>
      <c r="AJ201" s="44"/>
    </row>
    <row r="202" spans="14:36">
      <c r="N202" s="54" t="s">
        <v>449</v>
      </c>
      <c r="O202" s="54" t="str">
        <f t="shared" ref="O202:O208" si="12">O201</f>
        <v xml:space="preserve">Bunding, Open and Closed Hazardous Drains </v>
      </c>
      <c r="P202" s="54" t="s">
        <v>453</v>
      </c>
      <c r="Q202" s="78" t="s">
        <v>452</v>
      </c>
      <c r="R202" s="44">
        <f t="shared" si="9"/>
        <v>27</v>
      </c>
      <c r="S202" s="44" t="e">
        <f t="shared" ca="1" si="10"/>
        <v>#N/A</v>
      </c>
      <c r="T202" s="44">
        <f t="shared" si="11"/>
        <v>199</v>
      </c>
      <c r="U202" s="44" t="str">
        <f>IF($T202&lt;=Z$4,INDEX(TypicalCriticalitiesMAHBarrier23[Barrier Family Description],MATCH($T202,TypicalCriticalitiesMAHBarrier23[Barrier Family ID],0)),"")</f>
        <v/>
      </c>
      <c r="V202" s="44" t="e">
        <f ca="1">IF($T202&lt;=AA$4,INDEX(TypicalCriticalitiesMAHBarrier23[Typical Components],MATCH($T202,TypicalCriticalitiesMAHBarrier23[Column2],0)),"")</f>
        <v>#N/A</v>
      </c>
      <c r="W202" s="2" t="e">
        <f ca="1">IF($T202&lt;=AA$4,INDEX(TypicalCriticalitiesMAHBarrier23[Typical Criticality],MATCH($T202,TypicalCriticalitiesMAHBarrier23[Column2],0)),"")</f>
        <v>#N/A</v>
      </c>
      <c r="AE202" s="44"/>
      <c r="AF202" s="44"/>
      <c r="AG202" s="44"/>
      <c r="AH202" s="44"/>
      <c r="AI202" s="44"/>
      <c r="AJ202" s="44"/>
    </row>
    <row r="203" spans="14:36">
      <c r="N203" s="54" t="s">
        <v>449</v>
      </c>
      <c r="O203" s="54" t="str">
        <f t="shared" si="12"/>
        <v xml:space="preserve">Bunding, Open and Closed Hazardous Drains </v>
      </c>
      <c r="P203" s="54" t="s">
        <v>454</v>
      </c>
      <c r="Q203" s="78" t="s">
        <v>455</v>
      </c>
      <c r="R203" s="44">
        <f t="shared" si="9"/>
        <v>27</v>
      </c>
      <c r="S203" s="44" t="e">
        <f t="shared" ca="1" si="10"/>
        <v>#N/A</v>
      </c>
      <c r="T203" s="44">
        <f t="shared" si="11"/>
        <v>200</v>
      </c>
      <c r="U203" s="44" t="str">
        <f>IF($T203&lt;=Z$4,INDEX(TypicalCriticalitiesMAHBarrier23[Barrier Family Description],MATCH($T203,TypicalCriticalitiesMAHBarrier23[Barrier Family ID],0)),"")</f>
        <v/>
      </c>
      <c r="V203" s="44" t="e">
        <f ca="1">IF($T203&lt;=AA$4,INDEX(TypicalCriticalitiesMAHBarrier23[Typical Components],MATCH($T203,TypicalCriticalitiesMAHBarrier23[Column2],0)),"")</f>
        <v>#N/A</v>
      </c>
      <c r="W203" s="2" t="e">
        <f ca="1">IF($T203&lt;=AA$4,INDEX(TypicalCriticalitiesMAHBarrier23[Typical Criticality],MATCH($T203,TypicalCriticalitiesMAHBarrier23[Column2],0)),"")</f>
        <v>#N/A</v>
      </c>
      <c r="AE203" s="44"/>
      <c r="AF203" s="44"/>
      <c r="AG203" s="44"/>
      <c r="AH203" s="44"/>
      <c r="AI203" s="44"/>
      <c r="AJ203" s="44"/>
    </row>
    <row r="204" spans="14:36">
      <c r="N204" s="54" t="s">
        <v>449</v>
      </c>
      <c r="O204" s="54" t="str">
        <f t="shared" si="12"/>
        <v xml:space="preserve">Bunding, Open and Closed Hazardous Drains </v>
      </c>
      <c r="P204" s="54" t="s">
        <v>456</v>
      </c>
      <c r="Q204" s="78" t="s">
        <v>455</v>
      </c>
      <c r="R204" s="44">
        <f t="shared" si="9"/>
        <v>27</v>
      </c>
      <c r="S204" s="44" t="e">
        <f t="shared" ca="1" si="10"/>
        <v>#N/A</v>
      </c>
      <c r="T204" s="44">
        <f t="shared" si="11"/>
        <v>201</v>
      </c>
      <c r="U204" s="44" t="str">
        <f>IF($T204&lt;=Z$4,INDEX(TypicalCriticalitiesMAHBarrier23[Barrier Family Description],MATCH($T204,TypicalCriticalitiesMAHBarrier23[Barrier Family ID],0)),"")</f>
        <v/>
      </c>
      <c r="V204" s="44" t="e">
        <f ca="1">IF($T204&lt;=AA$4,INDEX(TypicalCriticalitiesMAHBarrier23[Typical Components],MATCH($T204,TypicalCriticalitiesMAHBarrier23[Column2],0)),"")</f>
        <v>#N/A</v>
      </c>
      <c r="W204" s="2" t="e">
        <f ca="1">IF($T204&lt;=AA$4,INDEX(TypicalCriticalitiesMAHBarrier23[Typical Criticality],MATCH($T204,TypicalCriticalitiesMAHBarrier23[Column2],0)),"")</f>
        <v>#N/A</v>
      </c>
      <c r="AE204" s="44"/>
      <c r="AF204" s="44"/>
      <c r="AG204" s="44"/>
      <c r="AH204" s="44"/>
      <c r="AI204" s="44"/>
      <c r="AJ204" s="44"/>
    </row>
    <row r="205" spans="14:36">
      <c r="N205" s="54" t="s">
        <v>449</v>
      </c>
      <c r="O205" s="54" t="str">
        <f t="shared" si="12"/>
        <v xml:space="preserve">Bunding, Open and Closed Hazardous Drains </v>
      </c>
      <c r="P205" s="54" t="s">
        <v>457</v>
      </c>
      <c r="Q205" s="78" t="s">
        <v>455</v>
      </c>
      <c r="R205" s="44">
        <f t="shared" si="9"/>
        <v>27</v>
      </c>
      <c r="S205" s="44" t="e">
        <f t="shared" ca="1" si="10"/>
        <v>#N/A</v>
      </c>
      <c r="T205" s="44">
        <f t="shared" si="11"/>
        <v>202</v>
      </c>
      <c r="U205" s="44" t="str">
        <f>IF($T205&lt;=Z$4,INDEX(TypicalCriticalitiesMAHBarrier23[Barrier Family Description],MATCH($T205,TypicalCriticalitiesMAHBarrier23[Barrier Family ID],0)),"")</f>
        <v/>
      </c>
      <c r="V205" s="44" t="e">
        <f ca="1">IF($T205&lt;=AA$4,INDEX(TypicalCriticalitiesMAHBarrier23[Typical Components],MATCH($T205,TypicalCriticalitiesMAHBarrier23[Column2],0)),"")</f>
        <v>#N/A</v>
      </c>
      <c r="W205" s="2" t="e">
        <f ca="1">IF($T205&lt;=AA$4,INDEX(TypicalCriticalitiesMAHBarrier23[Typical Criticality],MATCH($T205,TypicalCriticalitiesMAHBarrier23[Column2],0)),"")</f>
        <v>#N/A</v>
      </c>
      <c r="AE205" s="44"/>
      <c r="AF205" s="44"/>
      <c r="AG205" s="44"/>
      <c r="AH205" s="44"/>
      <c r="AI205" s="44"/>
      <c r="AJ205" s="44"/>
    </row>
    <row r="206" spans="14:36">
      <c r="N206" s="54" t="s">
        <v>449</v>
      </c>
      <c r="O206" s="54" t="str">
        <f t="shared" si="12"/>
        <v xml:space="preserve">Bunding, Open and Closed Hazardous Drains </v>
      </c>
      <c r="P206" s="54" t="s">
        <v>458</v>
      </c>
      <c r="Q206" s="78" t="s">
        <v>452</v>
      </c>
      <c r="R206" s="44">
        <f t="shared" si="9"/>
        <v>27</v>
      </c>
      <c r="S206" s="44" t="e">
        <f t="shared" ca="1" si="10"/>
        <v>#N/A</v>
      </c>
      <c r="T206" s="44">
        <f t="shared" si="11"/>
        <v>203</v>
      </c>
      <c r="U206" s="44" t="str">
        <f>IF($T206&lt;=Z$4,INDEX(TypicalCriticalitiesMAHBarrier23[Barrier Family Description],MATCH($T206,TypicalCriticalitiesMAHBarrier23[Barrier Family ID],0)),"")</f>
        <v/>
      </c>
      <c r="V206" s="44" t="e">
        <f ca="1">IF($T206&lt;=AA$4,INDEX(TypicalCriticalitiesMAHBarrier23[Typical Components],MATCH($T206,TypicalCriticalitiesMAHBarrier23[Column2],0)),"")</f>
        <v>#N/A</v>
      </c>
      <c r="W206" s="2" t="e">
        <f ca="1">IF($T206&lt;=AA$4,INDEX(TypicalCriticalitiesMAHBarrier23[Typical Criticality],MATCH($T206,TypicalCriticalitiesMAHBarrier23[Column2],0)),"")</f>
        <v>#N/A</v>
      </c>
      <c r="AE206" s="44"/>
      <c r="AF206" s="44"/>
      <c r="AG206" s="44"/>
      <c r="AH206" s="44"/>
      <c r="AI206" s="44"/>
      <c r="AJ206" s="44"/>
    </row>
    <row r="207" spans="14:36">
      <c r="N207" s="54" t="s">
        <v>449</v>
      </c>
      <c r="O207" s="54" t="str">
        <f t="shared" si="12"/>
        <v xml:space="preserve">Bunding, Open and Closed Hazardous Drains </v>
      </c>
      <c r="P207" s="54" t="s">
        <v>459</v>
      </c>
      <c r="Q207" s="78" t="s">
        <v>452</v>
      </c>
      <c r="R207" s="44">
        <f t="shared" si="9"/>
        <v>27</v>
      </c>
      <c r="S207" s="44" t="e">
        <f t="shared" ca="1" si="10"/>
        <v>#N/A</v>
      </c>
      <c r="T207" s="44">
        <f t="shared" si="11"/>
        <v>204</v>
      </c>
      <c r="U207" s="44" t="str">
        <f>IF($T207&lt;=Z$4,INDEX(TypicalCriticalitiesMAHBarrier23[Barrier Family Description],MATCH($T207,TypicalCriticalitiesMAHBarrier23[Barrier Family ID],0)),"")</f>
        <v/>
      </c>
      <c r="V207" s="44" t="e">
        <f ca="1">IF($T207&lt;=AA$4,INDEX(TypicalCriticalitiesMAHBarrier23[Typical Components],MATCH($T207,TypicalCriticalitiesMAHBarrier23[Column2],0)),"")</f>
        <v>#N/A</v>
      </c>
      <c r="W207" s="2" t="e">
        <f ca="1">IF($T207&lt;=AA$4,INDEX(TypicalCriticalitiesMAHBarrier23[Typical Criticality],MATCH($T207,TypicalCriticalitiesMAHBarrier23[Column2],0)),"")</f>
        <v>#N/A</v>
      </c>
      <c r="AE207" s="44"/>
      <c r="AF207" s="44"/>
      <c r="AG207" s="44"/>
      <c r="AH207" s="44"/>
      <c r="AI207" s="44"/>
      <c r="AJ207" s="44"/>
    </row>
    <row r="208" spans="14:36">
      <c r="N208" s="54" t="s">
        <v>449</v>
      </c>
      <c r="O208" s="54" t="str">
        <f t="shared" si="12"/>
        <v xml:space="preserve">Bunding, Open and Closed Hazardous Drains </v>
      </c>
      <c r="P208" s="54" t="s">
        <v>460</v>
      </c>
      <c r="Q208" s="78" t="s">
        <v>455</v>
      </c>
      <c r="R208" s="44">
        <f t="shared" si="9"/>
        <v>27</v>
      </c>
      <c r="S208" s="44" t="e">
        <f t="shared" ca="1" si="10"/>
        <v>#N/A</v>
      </c>
      <c r="T208" s="44">
        <f t="shared" si="11"/>
        <v>205</v>
      </c>
      <c r="U208" s="44" t="str">
        <f>IF($T208&lt;=Z$4,INDEX(TypicalCriticalitiesMAHBarrier23[Barrier Family Description],MATCH($T208,TypicalCriticalitiesMAHBarrier23[Barrier Family ID],0)),"")</f>
        <v/>
      </c>
      <c r="V208" s="44" t="e">
        <f ca="1">IF($T208&lt;=AA$4,INDEX(TypicalCriticalitiesMAHBarrier23[Typical Components],MATCH($T208,TypicalCriticalitiesMAHBarrier23[Column2],0)),"")</f>
        <v>#N/A</v>
      </c>
      <c r="W208" s="2" t="e">
        <f ca="1">IF($T208&lt;=AA$4,INDEX(TypicalCriticalitiesMAHBarrier23[Typical Criticality],MATCH($T208,TypicalCriticalitiesMAHBarrier23[Column2],0)),"")</f>
        <v>#N/A</v>
      </c>
      <c r="AE208" s="44"/>
      <c r="AF208" s="44"/>
      <c r="AG208" s="44"/>
      <c r="AH208" s="44"/>
      <c r="AI208" s="44"/>
      <c r="AJ208" s="44"/>
    </row>
    <row r="209" spans="14:36">
      <c r="N209" s="54" t="s">
        <v>461</v>
      </c>
      <c r="O209" s="54" t="s">
        <v>462</v>
      </c>
      <c r="P209" s="54" t="s">
        <v>463</v>
      </c>
      <c r="Q209" s="78" t="s">
        <v>455</v>
      </c>
      <c r="R209" s="44">
        <f t="shared" si="9"/>
        <v>28</v>
      </c>
      <c r="S209" s="44" t="e">
        <f t="shared" ca="1" si="10"/>
        <v>#N/A</v>
      </c>
      <c r="T209" s="44">
        <f t="shared" si="11"/>
        <v>206</v>
      </c>
      <c r="U209" s="44" t="str">
        <f>IF($T209&lt;=Z$4,INDEX(TypicalCriticalitiesMAHBarrier23[Barrier Family Description],MATCH($T209,TypicalCriticalitiesMAHBarrier23[Barrier Family ID],0)),"")</f>
        <v/>
      </c>
      <c r="V209" s="44" t="e">
        <f ca="1">IF($T209&lt;=AA$4,INDEX(TypicalCriticalitiesMAHBarrier23[Typical Components],MATCH($T209,TypicalCriticalitiesMAHBarrier23[Column2],0)),"")</f>
        <v>#N/A</v>
      </c>
      <c r="W209" s="2" t="e">
        <f ca="1">IF($T209&lt;=AA$4,INDEX(TypicalCriticalitiesMAHBarrier23[Typical Criticality],MATCH($T209,TypicalCriticalitiesMAHBarrier23[Column2],0)),"")</f>
        <v>#N/A</v>
      </c>
      <c r="AE209" s="44"/>
      <c r="AF209" s="44"/>
      <c r="AG209" s="44"/>
      <c r="AH209" s="44"/>
      <c r="AI209" s="44"/>
      <c r="AJ209" s="44"/>
    </row>
    <row r="210" spans="14:36">
      <c r="N210" s="54" t="s">
        <v>464</v>
      </c>
      <c r="O210" s="54" t="s">
        <v>465</v>
      </c>
      <c r="P210" s="54" t="s">
        <v>466</v>
      </c>
      <c r="Q210" s="78" t="s">
        <v>455</v>
      </c>
      <c r="R210" s="44">
        <f t="shared" si="9"/>
        <v>29</v>
      </c>
      <c r="S210" s="44" t="e">
        <f t="shared" ca="1" si="10"/>
        <v>#N/A</v>
      </c>
      <c r="T210" s="44">
        <f t="shared" si="11"/>
        <v>207</v>
      </c>
      <c r="U210" s="44" t="str">
        <f>IF($T210&lt;=Z$4,INDEX(TypicalCriticalitiesMAHBarrier23[Barrier Family Description],MATCH($T210,TypicalCriticalitiesMAHBarrier23[Barrier Family ID],0)),"")</f>
        <v/>
      </c>
      <c r="V210" s="44" t="e">
        <f ca="1">IF($T210&lt;=AA$4,INDEX(TypicalCriticalitiesMAHBarrier23[Typical Components],MATCH($T210,TypicalCriticalitiesMAHBarrier23[Column2],0)),"")</f>
        <v>#N/A</v>
      </c>
      <c r="W210" s="2" t="e">
        <f ca="1">IF($T210&lt;=AA$4,INDEX(TypicalCriticalitiesMAHBarrier23[Typical Criticality],MATCH($T210,TypicalCriticalitiesMAHBarrier23[Column2],0)),"")</f>
        <v>#N/A</v>
      </c>
      <c r="AE210" s="44"/>
      <c r="AF210" s="44"/>
      <c r="AG210" s="44"/>
      <c r="AH210" s="44"/>
      <c r="AI210" s="44"/>
      <c r="AJ210" s="44"/>
    </row>
    <row r="211" spans="14:36">
      <c r="N211" s="54" t="s">
        <v>464</v>
      </c>
      <c r="O211" s="54" t="str">
        <f>O210</f>
        <v xml:space="preserve">Blast Overpressure Protection </v>
      </c>
      <c r="P211" s="54" t="s">
        <v>467</v>
      </c>
      <c r="Q211" s="78" t="s">
        <v>455</v>
      </c>
      <c r="R211" s="44">
        <f t="shared" si="9"/>
        <v>29</v>
      </c>
      <c r="S211" s="44" t="e">
        <f t="shared" ca="1" si="10"/>
        <v>#N/A</v>
      </c>
      <c r="T211" s="44">
        <f t="shared" si="11"/>
        <v>208</v>
      </c>
      <c r="U211" s="44" t="str">
        <f>IF($T211&lt;=Z$4,INDEX(TypicalCriticalitiesMAHBarrier23[Barrier Family Description],MATCH($T211,TypicalCriticalitiesMAHBarrier23[Barrier Family ID],0)),"")</f>
        <v/>
      </c>
      <c r="V211" s="44" t="e">
        <f ca="1">IF($T211&lt;=AA$4,INDEX(TypicalCriticalitiesMAHBarrier23[Typical Components],MATCH($T211,TypicalCriticalitiesMAHBarrier23[Column2],0)),"")</f>
        <v>#N/A</v>
      </c>
      <c r="W211" s="2" t="e">
        <f ca="1">IF($T211&lt;=AA$4,INDEX(TypicalCriticalitiesMAHBarrier23[Typical Criticality],MATCH($T211,TypicalCriticalitiesMAHBarrier23[Column2],0)),"")</f>
        <v>#N/A</v>
      </c>
      <c r="AE211" s="44"/>
      <c r="AF211" s="44"/>
      <c r="AG211" s="44"/>
      <c r="AH211" s="44"/>
      <c r="AI211" s="44"/>
      <c r="AJ211" s="44"/>
    </row>
    <row r="212" spans="14:36">
      <c r="N212" s="54" t="s">
        <v>468</v>
      </c>
      <c r="O212" s="54" t="s">
        <v>469</v>
      </c>
      <c r="P212" s="54" t="s">
        <v>470</v>
      </c>
      <c r="Q212" s="78" t="s">
        <v>455</v>
      </c>
      <c r="R212" s="44">
        <f t="shared" si="9"/>
        <v>30</v>
      </c>
      <c r="S212" s="44" t="e">
        <f t="shared" ca="1" si="10"/>
        <v>#N/A</v>
      </c>
      <c r="T212" s="44">
        <f t="shared" si="11"/>
        <v>209</v>
      </c>
      <c r="U212" s="44" t="str">
        <f>IF($T212&lt;=Z$4,INDEX(TypicalCriticalitiesMAHBarrier23[Barrier Family Description],MATCH($T212,TypicalCriticalitiesMAHBarrier23[Barrier Family ID],0)),"")</f>
        <v/>
      </c>
      <c r="V212" s="44" t="e">
        <f ca="1">IF($T212&lt;=AA$4,INDEX(TypicalCriticalitiesMAHBarrier23[Typical Components],MATCH($T212,TypicalCriticalitiesMAHBarrier23[Column2],0)),"")</f>
        <v>#N/A</v>
      </c>
      <c r="W212" s="2" t="e">
        <f ca="1">IF($T212&lt;=AA$4,INDEX(TypicalCriticalitiesMAHBarrier23[Typical Criticality],MATCH($T212,TypicalCriticalitiesMAHBarrier23[Column2],0)),"")</f>
        <v>#N/A</v>
      </c>
      <c r="AE212" s="44"/>
      <c r="AF212" s="44"/>
      <c r="AG212" s="44"/>
      <c r="AH212" s="44"/>
      <c r="AI212" s="44"/>
      <c r="AJ212" s="44"/>
    </row>
    <row r="213" spans="14:36">
      <c r="N213" s="54" t="s">
        <v>468</v>
      </c>
      <c r="O213" s="54" t="s">
        <v>469</v>
      </c>
      <c r="P213" s="54" t="s">
        <v>471</v>
      </c>
      <c r="Q213" s="78" t="s">
        <v>452</v>
      </c>
      <c r="R213" s="44">
        <f t="shared" si="9"/>
        <v>30</v>
      </c>
      <c r="S213" s="44" t="e">
        <f t="shared" ca="1" si="10"/>
        <v>#N/A</v>
      </c>
      <c r="T213" s="44">
        <f t="shared" si="11"/>
        <v>210</v>
      </c>
      <c r="U213" s="44" t="str">
        <f>IF($T213&lt;=Z$4,INDEX(TypicalCriticalitiesMAHBarrier23[Barrier Family Description],MATCH($T213,TypicalCriticalitiesMAHBarrier23[Barrier Family ID],0)),"")</f>
        <v/>
      </c>
      <c r="V213" s="44" t="e">
        <f ca="1">IF($T213&lt;=AA$4,INDEX(TypicalCriticalitiesMAHBarrier23[Typical Components],MATCH($T213,TypicalCriticalitiesMAHBarrier23[Column2],0)),"")</f>
        <v>#N/A</v>
      </c>
      <c r="W213" s="2" t="e">
        <f ca="1">IF($T213&lt;=AA$4,INDEX(TypicalCriticalitiesMAHBarrier23[Typical Criticality],MATCH($T213,TypicalCriticalitiesMAHBarrier23[Column2],0)),"")</f>
        <v>#N/A</v>
      </c>
      <c r="AE213" s="44"/>
      <c r="AF213" s="44"/>
      <c r="AG213" s="44"/>
      <c r="AH213" s="44"/>
      <c r="AI213" s="44"/>
      <c r="AJ213" s="44"/>
    </row>
    <row r="214" spans="14:36">
      <c r="N214" s="54" t="s">
        <v>472</v>
      </c>
      <c r="O214" s="54" t="s">
        <v>473</v>
      </c>
      <c r="P214" s="54" t="s">
        <v>474</v>
      </c>
      <c r="Q214" s="78" t="s">
        <v>455</v>
      </c>
      <c r="R214" s="44">
        <f t="shared" si="9"/>
        <v>31</v>
      </c>
      <c r="S214" s="44" t="e">
        <f t="shared" ca="1" si="10"/>
        <v>#N/A</v>
      </c>
      <c r="T214" s="44">
        <f t="shared" si="11"/>
        <v>211</v>
      </c>
      <c r="U214" s="44" t="str">
        <f>IF($T214&lt;=Z$4,INDEX(TypicalCriticalitiesMAHBarrier23[Barrier Family Description],MATCH($T214,TypicalCriticalitiesMAHBarrier23[Barrier Family ID],0)),"")</f>
        <v/>
      </c>
      <c r="V214" s="44" t="e">
        <f ca="1">IF($T214&lt;=AA$4,INDEX(TypicalCriticalitiesMAHBarrier23[Typical Components],MATCH($T214,TypicalCriticalitiesMAHBarrier23[Column2],0)),"")</f>
        <v>#N/A</v>
      </c>
      <c r="W214" s="2" t="e">
        <f ca="1">IF($T214&lt;=AA$4,INDEX(TypicalCriticalitiesMAHBarrier23[Typical Criticality],MATCH($T214,TypicalCriticalitiesMAHBarrier23[Column2],0)),"")</f>
        <v>#N/A</v>
      </c>
      <c r="AE214" s="44"/>
      <c r="AF214" s="44"/>
      <c r="AG214" s="44"/>
      <c r="AH214" s="44"/>
      <c r="AI214" s="44"/>
      <c r="AJ214" s="44"/>
    </row>
    <row r="215" spans="14:36">
      <c r="N215" s="54" t="s">
        <v>472</v>
      </c>
      <c r="O215" s="54" t="s">
        <v>475</v>
      </c>
      <c r="P215" s="54" t="s">
        <v>476</v>
      </c>
      <c r="Q215" s="78" t="s">
        <v>455</v>
      </c>
      <c r="R215" s="44">
        <f t="shared" si="9"/>
        <v>32</v>
      </c>
      <c r="S215" s="44" t="e">
        <f t="shared" ca="1" si="10"/>
        <v>#N/A</v>
      </c>
      <c r="T215" s="44">
        <f t="shared" si="11"/>
        <v>212</v>
      </c>
      <c r="U215" s="44" t="str">
        <f>IF($T215&lt;=Z$4,INDEX(TypicalCriticalitiesMAHBarrier23[Barrier Family Description],MATCH($T215,TypicalCriticalitiesMAHBarrier23[Barrier Family ID],0)),"")</f>
        <v/>
      </c>
      <c r="V215" s="44" t="e">
        <f ca="1">IF($T215&lt;=AA$4,INDEX(TypicalCriticalitiesMAHBarrier23[Typical Components],MATCH($T215,TypicalCriticalitiesMAHBarrier23[Column2],0)),"")</f>
        <v>#N/A</v>
      </c>
      <c r="W215" s="2" t="e">
        <f ca="1">IF($T215&lt;=AA$4,INDEX(TypicalCriticalitiesMAHBarrier23[Typical Criticality],MATCH($T215,TypicalCriticalitiesMAHBarrier23[Column2],0)),"")</f>
        <v>#N/A</v>
      </c>
      <c r="AE215" s="44"/>
      <c r="AF215" s="44"/>
      <c r="AG215" s="44"/>
      <c r="AH215" s="44"/>
      <c r="AI215" s="44"/>
      <c r="AJ215" s="44"/>
    </row>
    <row r="216" spans="14:36">
      <c r="N216" s="54" t="s">
        <v>477</v>
      </c>
      <c r="O216" s="54" t="s">
        <v>478</v>
      </c>
      <c r="P216" s="54" t="s">
        <v>479</v>
      </c>
      <c r="Q216" s="78" t="s">
        <v>0</v>
      </c>
      <c r="R216" s="44">
        <f t="shared" si="9"/>
        <v>33</v>
      </c>
      <c r="S216" s="44" t="e">
        <f t="shared" ca="1" si="10"/>
        <v>#N/A</v>
      </c>
      <c r="T216" s="44">
        <f t="shared" si="11"/>
        <v>213</v>
      </c>
      <c r="U216" s="44" t="str">
        <f>IF($T216&lt;=Z$4,INDEX(TypicalCriticalitiesMAHBarrier23[Barrier Family Description],MATCH($T216,TypicalCriticalitiesMAHBarrier23[Barrier Family ID],0)),"")</f>
        <v/>
      </c>
      <c r="V216" s="44" t="e">
        <f ca="1">IF($T216&lt;=AA$4,INDEX(TypicalCriticalitiesMAHBarrier23[Typical Components],MATCH($T216,TypicalCriticalitiesMAHBarrier23[Column2],0)),"")</f>
        <v>#N/A</v>
      </c>
      <c r="W216" s="2" t="e">
        <f ca="1">IF($T216&lt;=AA$4,INDEX(TypicalCriticalitiesMAHBarrier23[Typical Criticality],MATCH($T216,TypicalCriticalitiesMAHBarrier23[Column2],0)),"")</f>
        <v>#N/A</v>
      </c>
      <c r="AE216" s="44"/>
      <c r="AF216" s="44"/>
      <c r="AG216" s="44"/>
      <c r="AH216" s="44"/>
      <c r="AI216" s="44"/>
      <c r="AJ216" s="44"/>
    </row>
    <row r="217" spans="14:36">
      <c r="N217" s="54" t="s">
        <v>480</v>
      </c>
      <c r="O217" s="54" t="s">
        <v>481</v>
      </c>
      <c r="P217" s="54" t="s">
        <v>482</v>
      </c>
      <c r="Q217" s="78" t="s">
        <v>0</v>
      </c>
      <c r="R217" s="44">
        <f t="shared" si="9"/>
        <v>34</v>
      </c>
      <c r="S217" s="44" t="e">
        <f t="shared" ca="1" si="10"/>
        <v>#N/A</v>
      </c>
      <c r="T217" s="44">
        <f t="shared" si="11"/>
        <v>214</v>
      </c>
      <c r="U217" s="44" t="str">
        <f>IF($T217&lt;=Z$4,INDEX(TypicalCriticalitiesMAHBarrier23[Barrier Family Description],MATCH($T217,TypicalCriticalitiesMAHBarrier23[Barrier Family ID],0)),"")</f>
        <v/>
      </c>
      <c r="V217" s="44" t="e">
        <f ca="1">IF($T217&lt;=AA$4,INDEX(TypicalCriticalitiesMAHBarrier23[Typical Components],MATCH($T217,TypicalCriticalitiesMAHBarrier23[Column2],0)),"")</f>
        <v>#N/A</v>
      </c>
      <c r="W217" s="2" t="e">
        <f ca="1">IF($T217&lt;=AA$4,INDEX(TypicalCriticalitiesMAHBarrier23[Typical Criticality],MATCH($T217,TypicalCriticalitiesMAHBarrier23[Column2],0)),"")</f>
        <v>#N/A</v>
      </c>
      <c r="AE217" s="44"/>
      <c r="AF217" s="44"/>
      <c r="AG217" s="44"/>
      <c r="AH217" s="44"/>
      <c r="AI217" s="44"/>
      <c r="AJ217" s="44"/>
    </row>
    <row r="218" spans="14:36">
      <c r="N218" s="54" t="s">
        <v>480</v>
      </c>
      <c r="O218" s="54" t="s">
        <v>481</v>
      </c>
      <c r="P218" s="54" t="s">
        <v>483</v>
      </c>
      <c r="Q218" s="78" t="s">
        <v>0</v>
      </c>
      <c r="R218" s="44">
        <f t="shared" si="9"/>
        <v>34</v>
      </c>
      <c r="S218" s="44" t="e">
        <f t="shared" ca="1" si="10"/>
        <v>#N/A</v>
      </c>
      <c r="T218" s="44">
        <f t="shared" si="11"/>
        <v>215</v>
      </c>
      <c r="U218" s="44" t="str">
        <f>IF($T218&lt;=Z$4,INDEX(TypicalCriticalitiesMAHBarrier23[Barrier Family Description],MATCH($T218,TypicalCriticalitiesMAHBarrier23[Barrier Family ID],0)),"")</f>
        <v/>
      </c>
      <c r="V218" s="44" t="e">
        <f ca="1">IF($T218&lt;=AA$4,INDEX(TypicalCriticalitiesMAHBarrier23[Typical Components],MATCH($T218,TypicalCriticalitiesMAHBarrier23[Column2],0)),"")</f>
        <v>#N/A</v>
      </c>
      <c r="W218" s="2" t="e">
        <f ca="1">IF($T218&lt;=AA$4,INDEX(TypicalCriticalitiesMAHBarrier23[Typical Criticality],MATCH($T218,TypicalCriticalitiesMAHBarrier23[Column2],0)),"")</f>
        <v>#N/A</v>
      </c>
      <c r="AE218" s="44"/>
      <c r="AF218" s="44"/>
      <c r="AG218" s="44"/>
      <c r="AH218" s="44"/>
      <c r="AI218" s="44"/>
      <c r="AJ218" s="44"/>
    </row>
    <row r="219" spans="14:36">
      <c r="N219" s="54" t="s">
        <v>480</v>
      </c>
      <c r="O219" s="54" t="s">
        <v>481</v>
      </c>
      <c r="P219" s="54" t="s">
        <v>484</v>
      </c>
      <c r="Q219" s="78" t="s">
        <v>1</v>
      </c>
      <c r="R219" s="44">
        <f t="shared" si="9"/>
        <v>34</v>
      </c>
      <c r="S219" s="44" t="e">
        <f t="shared" ca="1" si="10"/>
        <v>#N/A</v>
      </c>
      <c r="T219" s="44">
        <f t="shared" si="11"/>
        <v>216</v>
      </c>
      <c r="U219" s="44" t="str">
        <f>IF($T219&lt;=Z$4,INDEX(TypicalCriticalitiesMAHBarrier23[Barrier Family Description],MATCH($T219,TypicalCriticalitiesMAHBarrier23[Barrier Family ID],0)),"")</f>
        <v/>
      </c>
      <c r="V219" s="44" t="e">
        <f ca="1">IF($T219&lt;=AA$4,INDEX(TypicalCriticalitiesMAHBarrier23[Typical Components],MATCH($T219,TypicalCriticalitiesMAHBarrier23[Column2],0)),"")</f>
        <v>#N/A</v>
      </c>
      <c r="W219" s="2" t="e">
        <f ca="1">IF($T219&lt;=AA$4,INDEX(TypicalCriticalitiesMAHBarrier23[Typical Criticality],MATCH($T219,TypicalCriticalitiesMAHBarrier23[Column2],0)),"")</f>
        <v>#N/A</v>
      </c>
      <c r="AE219" s="44"/>
      <c r="AF219" s="44"/>
      <c r="AG219" s="44"/>
      <c r="AH219" s="44"/>
      <c r="AI219" s="44"/>
      <c r="AJ219" s="44"/>
    </row>
    <row r="220" spans="14:36">
      <c r="N220" s="54" t="s">
        <v>480</v>
      </c>
      <c r="O220" s="54" t="s">
        <v>481</v>
      </c>
      <c r="P220" s="54" t="s">
        <v>485</v>
      </c>
      <c r="Q220" s="78" t="s">
        <v>0</v>
      </c>
      <c r="R220" s="44">
        <f t="shared" si="9"/>
        <v>34</v>
      </c>
      <c r="S220" s="44" t="e">
        <f t="shared" ca="1" si="10"/>
        <v>#N/A</v>
      </c>
      <c r="T220" s="44">
        <f t="shared" si="11"/>
        <v>217</v>
      </c>
      <c r="U220" s="44" t="str">
        <f>IF($T220&lt;=Z$4,INDEX(TypicalCriticalitiesMAHBarrier23[Barrier Family Description],MATCH($T220,TypicalCriticalitiesMAHBarrier23[Barrier Family ID],0)),"")</f>
        <v/>
      </c>
      <c r="V220" s="44" t="e">
        <f ca="1">IF($T220&lt;=AA$4,INDEX(TypicalCriticalitiesMAHBarrier23[Typical Components],MATCH($T220,TypicalCriticalitiesMAHBarrier23[Column2],0)),"")</f>
        <v>#N/A</v>
      </c>
      <c r="W220" s="2" t="e">
        <f ca="1">IF($T220&lt;=AA$4,INDEX(TypicalCriticalitiesMAHBarrier23[Typical Criticality],MATCH($T220,TypicalCriticalitiesMAHBarrier23[Column2],0)),"")</f>
        <v>#N/A</v>
      </c>
      <c r="AE220" s="44"/>
      <c r="AF220" s="44"/>
      <c r="AG220" s="44"/>
      <c r="AH220" s="44"/>
      <c r="AI220" s="44"/>
      <c r="AJ220" s="44"/>
    </row>
    <row r="221" spans="14:36">
      <c r="N221" s="54" t="s">
        <v>486</v>
      </c>
      <c r="O221" s="54" t="s">
        <v>487</v>
      </c>
      <c r="P221" s="54" t="s">
        <v>488</v>
      </c>
      <c r="Q221" s="78" t="s">
        <v>0</v>
      </c>
      <c r="R221" s="44">
        <f t="shared" si="9"/>
        <v>35</v>
      </c>
      <c r="S221" s="44" t="e">
        <f t="shared" ca="1" si="10"/>
        <v>#N/A</v>
      </c>
      <c r="T221" s="44">
        <f t="shared" si="11"/>
        <v>218</v>
      </c>
      <c r="U221" s="44" t="str">
        <f>IF($T221&lt;=Z$4,INDEX(TypicalCriticalitiesMAHBarrier23[Barrier Family Description],MATCH($T221,TypicalCriticalitiesMAHBarrier23[Barrier Family ID],0)),"")</f>
        <v/>
      </c>
      <c r="V221" s="44" t="e">
        <f ca="1">IF($T221&lt;=AA$4,INDEX(TypicalCriticalitiesMAHBarrier23[Typical Components],MATCH($T221,TypicalCriticalitiesMAHBarrier23[Column2],0)),"")</f>
        <v>#N/A</v>
      </c>
      <c r="W221" s="2" t="e">
        <f ca="1">IF($T221&lt;=AA$4,INDEX(TypicalCriticalitiesMAHBarrier23[Typical Criticality],MATCH($T221,TypicalCriticalitiesMAHBarrier23[Column2],0)),"")</f>
        <v>#N/A</v>
      </c>
      <c r="AE221" s="44"/>
      <c r="AF221" s="44"/>
      <c r="AG221" s="44"/>
      <c r="AH221" s="44"/>
      <c r="AI221" s="44"/>
      <c r="AJ221" s="44"/>
    </row>
    <row r="222" spans="14:36">
      <c r="N222" s="54" t="s">
        <v>486</v>
      </c>
      <c r="O222" s="54" t="s">
        <v>487</v>
      </c>
      <c r="P222" s="54" t="s">
        <v>489</v>
      </c>
      <c r="Q222" s="78" t="s">
        <v>1</v>
      </c>
      <c r="R222" s="44">
        <f t="shared" si="9"/>
        <v>35</v>
      </c>
      <c r="S222" s="44" t="e">
        <f t="shared" ca="1" si="10"/>
        <v>#N/A</v>
      </c>
      <c r="T222" s="44">
        <f t="shared" si="11"/>
        <v>219</v>
      </c>
      <c r="U222" s="44" t="str">
        <f>IF($T222&lt;=Z$4,INDEX(TypicalCriticalitiesMAHBarrier23[Barrier Family Description],MATCH($T222,TypicalCriticalitiesMAHBarrier23[Barrier Family ID],0)),"")</f>
        <v/>
      </c>
      <c r="V222" s="44" t="e">
        <f ca="1">IF($T222&lt;=AA$4,INDEX(TypicalCriticalitiesMAHBarrier23[Typical Components],MATCH($T222,TypicalCriticalitiesMAHBarrier23[Column2],0)),"")</f>
        <v>#N/A</v>
      </c>
      <c r="W222" s="2" t="e">
        <f ca="1">IF($T222&lt;=AA$4,INDEX(TypicalCriticalitiesMAHBarrier23[Typical Criticality],MATCH($T222,TypicalCriticalitiesMAHBarrier23[Column2],0)),"")</f>
        <v>#N/A</v>
      </c>
      <c r="AE222" s="44"/>
      <c r="AF222" s="44"/>
      <c r="AG222" s="44"/>
      <c r="AH222" s="44"/>
      <c r="AI222" s="44"/>
      <c r="AJ222" s="44"/>
    </row>
    <row r="223" spans="14:36">
      <c r="N223" s="54" t="s">
        <v>486</v>
      </c>
      <c r="O223" s="54" t="s">
        <v>487</v>
      </c>
      <c r="P223" s="54" t="s">
        <v>490</v>
      </c>
      <c r="Q223" s="78" t="s">
        <v>1</v>
      </c>
      <c r="R223" s="44">
        <f t="shared" si="9"/>
        <v>35</v>
      </c>
      <c r="S223" s="44" t="e">
        <f t="shared" ca="1" si="10"/>
        <v>#N/A</v>
      </c>
      <c r="T223" s="44">
        <f t="shared" si="11"/>
        <v>220</v>
      </c>
      <c r="U223" s="44" t="str">
        <f>IF($T223&lt;=Z$4,INDEX(TypicalCriticalitiesMAHBarrier23[Barrier Family Description],MATCH($T223,TypicalCriticalitiesMAHBarrier23[Barrier Family ID],0)),"")</f>
        <v/>
      </c>
      <c r="V223" s="44" t="e">
        <f ca="1">IF($T223&lt;=AA$4,INDEX(TypicalCriticalitiesMAHBarrier23[Typical Components],MATCH($T223,TypicalCriticalitiesMAHBarrier23[Column2],0)),"")</f>
        <v>#N/A</v>
      </c>
      <c r="W223" s="2" t="e">
        <f ca="1">IF($T223&lt;=AA$4,INDEX(TypicalCriticalitiesMAHBarrier23[Typical Criticality],MATCH($T223,TypicalCriticalitiesMAHBarrier23[Column2],0)),"")</f>
        <v>#N/A</v>
      </c>
      <c r="AE223" s="44"/>
      <c r="AF223" s="44"/>
      <c r="AG223" s="44"/>
      <c r="AH223" s="44"/>
      <c r="AI223" s="44"/>
      <c r="AJ223" s="44"/>
    </row>
    <row r="224" spans="14:36">
      <c r="N224" s="54" t="s">
        <v>491</v>
      </c>
      <c r="O224" s="54" t="s">
        <v>492</v>
      </c>
      <c r="P224" s="54" t="s">
        <v>493</v>
      </c>
      <c r="Q224" s="78" t="s">
        <v>0</v>
      </c>
      <c r="R224" s="44">
        <f t="shared" si="9"/>
        <v>36</v>
      </c>
      <c r="S224" s="44" t="e">
        <f t="shared" ca="1" si="10"/>
        <v>#N/A</v>
      </c>
      <c r="T224" s="44">
        <f t="shared" si="11"/>
        <v>221</v>
      </c>
      <c r="U224" s="44" t="str">
        <f>IF($T224&lt;=Z$4,INDEX(TypicalCriticalitiesMAHBarrier23[Barrier Family Description],MATCH($T224,TypicalCriticalitiesMAHBarrier23[Barrier Family ID],0)),"")</f>
        <v/>
      </c>
      <c r="V224" s="44" t="e">
        <f ca="1">IF($T224&lt;=AA$4,INDEX(TypicalCriticalitiesMAHBarrier23[Typical Components],MATCH($T224,TypicalCriticalitiesMAHBarrier23[Column2],0)),"")</f>
        <v>#N/A</v>
      </c>
      <c r="W224" s="2" t="e">
        <f ca="1">IF($T224&lt;=AA$4,INDEX(TypicalCriticalitiesMAHBarrier23[Typical Criticality],MATCH($T224,TypicalCriticalitiesMAHBarrier23[Column2],0)),"")</f>
        <v>#N/A</v>
      </c>
      <c r="AE224" s="44"/>
      <c r="AF224" s="44"/>
      <c r="AG224" s="44"/>
      <c r="AH224" s="44"/>
      <c r="AI224" s="44"/>
      <c r="AJ224" s="44"/>
    </row>
    <row r="225" spans="14:36">
      <c r="N225" s="54" t="s">
        <v>491</v>
      </c>
      <c r="O225" s="54" t="s">
        <v>492</v>
      </c>
      <c r="P225" s="54" t="s">
        <v>494</v>
      </c>
      <c r="Q225" s="78" t="s">
        <v>1</v>
      </c>
      <c r="R225" s="44">
        <f t="shared" si="9"/>
        <v>36</v>
      </c>
      <c r="S225" s="44" t="e">
        <f t="shared" ca="1" si="10"/>
        <v>#N/A</v>
      </c>
      <c r="T225" s="44">
        <f t="shared" si="11"/>
        <v>222</v>
      </c>
      <c r="U225" s="44" t="str">
        <f>IF($T225&lt;=Z$4,INDEX(TypicalCriticalitiesMAHBarrier23[Barrier Family Description],MATCH($T225,TypicalCriticalitiesMAHBarrier23[Barrier Family ID],0)),"")</f>
        <v/>
      </c>
      <c r="V225" s="44" t="e">
        <f ca="1">IF($T225&lt;=AA$4,INDEX(TypicalCriticalitiesMAHBarrier23[Typical Components],MATCH($T225,TypicalCriticalitiesMAHBarrier23[Column2],0)),"")</f>
        <v>#N/A</v>
      </c>
      <c r="W225" s="2" t="e">
        <f ca="1">IF($T225&lt;=AA$4,INDEX(TypicalCriticalitiesMAHBarrier23[Typical Criticality],MATCH($T225,TypicalCriticalitiesMAHBarrier23[Column2],0)),"")</f>
        <v>#N/A</v>
      </c>
      <c r="AE225" s="44"/>
      <c r="AF225" s="44"/>
      <c r="AG225" s="44"/>
      <c r="AH225" s="44"/>
      <c r="AI225" s="44"/>
      <c r="AJ225" s="44"/>
    </row>
    <row r="226" spans="14:36">
      <c r="N226" s="54" t="s">
        <v>491</v>
      </c>
      <c r="O226" s="54" t="s">
        <v>492</v>
      </c>
      <c r="P226" s="54" t="s">
        <v>495</v>
      </c>
      <c r="Q226" s="78" t="s">
        <v>0</v>
      </c>
      <c r="R226" s="44">
        <f t="shared" si="9"/>
        <v>36</v>
      </c>
      <c r="S226" s="44" t="e">
        <f t="shared" ca="1" si="10"/>
        <v>#N/A</v>
      </c>
      <c r="T226" s="44">
        <f t="shared" si="11"/>
        <v>223</v>
      </c>
      <c r="U226" s="44" t="str">
        <f>IF($T226&lt;=Z$4,INDEX(TypicalCriticalitiesMAHBarrier23[Barrier Family Description],MATCH($T226,TypicalCriticalitiesMAHBarrier23[Barrier Family ID],0)),"")</f>
        <v/>
      </c>
      <c r="V226" s="44" t="e">
        <f ca="1">IF($T226&lt;=AA$4,INDEX(TypicalCriticalitiesMAHBarrier23[Typical Components],MATCH($T226,TypicalCriticalitiesMAHBarrier23[Column2],0)),"")</f>
        <v>#N/A</v>
      </c>
      <c r="W226" s="2" t="e">
        <f ca="1">IF($T226&lt;=AA$4,INDEX(TypicalCriticalitiesMAHBarrier23[Typical Criticality],MATCH($T226,TypicalCriticalitiesMAHBarrier23[Column2],0)),"")</f>
        <v>#N/A</v>
      </c>
      <c r="AE226" s="44"/>
      <c r="AF226" s="44"/>
      <c r="AG226" s="44"/>
      <c r="AH226" s="44"/>
      <c r="AI226" s="44"/>
      <c r="AJ226" s="44"/>
    </row>
    <row r="227" spans="14:36">
      <c r="N227" s="54" t="s">
        <v>496</v>
      </c>
      <c r="O227" s="54" t="s">
        <v>497</v>
      </c>
      <c r="P227" s="54" t="s">
        <v>498</v>
      </c>
      <c r="Q227" s="78" t="s">
        <v>0</v>
      </c>
      <c r="R227" s="44">
        <f t="shared" si="9"/>
        <v>37</v>
      </c>
      <c r="S227" s="44" t="e">
        <f t="shared" ca="1" si="10"/>
        <v>#N/A</v>
      </c>
      <c r="T227" s="44">
        <f t="shared" si="11"/>
        <v>224</v>
      </c>
      <c r="U227" s="44" t="str">
        <f>IF($T227&lt;=Z$4,INDEX(TypicalCriticalitiesMAHBarrier23[Barrier Family Description],MATCH($T227,TypicalCriticalitiesMAHBarrier23[Barrier Family ID],0)),"")</f>
        <v/>
      </c>
      <c r="V227" s="44" t="e">
        <f ca="1">IF($T227&lt;=AA$4,INDEX(TypicalCriticalitiesMAHBarrier23[Typical Components],MATCH($T227,TypicalCriticalitiesMAHBarrier23[Column2],0)),"")</f>
        <v>#N/A</v>
      </c>
      <c r="W227" s="2" t="e">
        <f ca="1">IF($T227&lt;=AA$4,INDEX(TypicalCriticalitiesMAHBarrier23[Typical Criticality],MATCH($T227,TypicalCriticalitiesMAHBarrier23[Column2],0)),"")</f>
        <v>#N/A</v>
      </c>
      <c r="AE227" s="44"/>
      <c r="AF227" s="44"/>
      <c r="AG227" s="44"/>
      <c r="AH227" s="44"/>
      <c r="AI227" s="44"/>
      <c r="AJ227" s="44"/>
    </row>
    <row r="228" spans="14:36">
      <c r="N228" s="54" t="s">
        <v>496</v>
      </c>
      <c r="O228" s="54" t="s">
        <v>497</v>
      </c>
      <c r="P228" s="54" t="s">
        <v>499</v>
      </c>
      <c r="Q228" s="78" t="s">
        <v>1</v>
      </c>
      <c r="R228" s="44">
        <f t="shared" si="9"/>
        <v>37</v>
      </c>
      <c r="S228" s="44" t="e">
        <f t="shared" ca="1" si="10"/>
        <v>#N/A</v>
      </c>
      <c r="T228" s="44">
        <f t="shared" si="11"/>
        <v>225</v>
      </c>
      <c r="U228" s="44" t="str">
        <f>IF($T228&lt;=Z$4,INDEX(TypicalCriticalitiesMAHBarrier23[Barrier Family Description],MATCH($T228,TypicalCriticalitiesMAHBarrier23[Barrier Family ID],0)),"")</f>
        <v/>
      </c>
      <c r="V228" s="44" t="e">
        <f ca="1">IF($T228&lt;=AA$4,INDEX(TypicalCriticalitiesMAHBarrier23[Typical Components],MATCH($T228,TypicalCriticalitiesMAHBarrier23[Column2],0)),"")</f>
        <v>#N/A</v>
      </c>
      <c r="W228" s="2" t="e">
        <f ca="1">IF($T228&lt;=AA$4,INDEX(TypicalCriticalitiesMAHBarrier23[Typical Criticality],MATCH($T228,TypicalCriticalitiesMAHBarrier23[Column2],0)),"")</f>
        <v>#N/A</v>
      </c>
      <c r="AE228" s="44"/>
      <c r="AF228" s="44"/>
      <c r="AG228" s="44"/>
      <c r="AH228" s="44"/>
      <c r="AI228" s="44"/>
      <c r="AJ228" s="44"/>
    </row>
    <row r="229" spans="14:36">
      <c r="N229" s="54" t="s">
        <v>496</v>
      </c>
      <c r="O229" s="54" t="s">
        <v>497</v>
      </c>
      <c r="P229" s="54" t="s">
        <v>500</v>
      </c>
      <c r="Q229" s="78" t="s">
        <v>0</v>
      </c>
      <c r="R229" s="44">
        <f t="shared" si="9"/>
        <v>37</v>
      </c>
      <c r="S229" s="44" t="e">
        <f t="shared" ca="1" si="10"/>
        <v>#N/A</v>
      </c>
      <c r="T229" s="44">
        <f t="shared" si="11"/>
        <v>226</v>
      </c>
      <c r="U229" s="44" t="str">
        <f>IF($T229&lt;=Z$4,INDEX(TypicalCriticalitiesMAHBarrier23[Barrier Family Description],MATCH($T229,TypicalCriticalitiesMAHBarrier23[Barrier Family ID],0)),"")</f>
        <v/>
      </c>
      <c r="V229" s="44" t="e">
        <f ca="1">IF($T229&lt;=AA$4,INDEX(TypicalCriticalitiesMAHBarrier23[Typical Components],MATCH($T229,TypicalCriticalitiesMAHBarrier23[Column2],0)),"")</f>
        <v>#N/A</v>
      </c>
      <c r="W229" s="2" t="e">
        <f ca="1">IF($T229&lt;=AA$4,INDEX(TypicalCriticalitiesMAHBarrier23[Typical Criticality],MATCH($T229,TypicalCriticalitiesMAHBarrier23[Column2],0)),"")</f>
        <v>#N/A</v>
      </c>
      <c r="AE229" s="44"/>
      <c r="AF229" s="44"/>
      <c r="AG229" s="44"/>
      <c r="AH229" s="44"/>
      <c r="AI229" s="44"/>
      <c r="AJ229" s="44"/>
    </row>
    <row r="230" spans="14:36">
      <c r="N230" s="54" t="s">
        <v>501</v>
      </c>
      <c r="O230" s="54" t="s">
        <v>502</v>
      </c>
      <c r="P230" s="54" t="s">
        <v>503</v>
      </c>
      <c r="Q230" s="78" t="s">
        <v>0</v>
      </c>
      <c r="R230" s="44">
        <f t="shared" si="9"/>
        <v>38</v>
      </c>
      <c r="S230" s="44" t="e">
        <f t="shared" ca="1" si="10"/>
        <v>#N/A</v>
      </c>
      <c r="T230" s="44">
        <f t="shared" si="11"/>
        <v>227</v>
      </c>
      <c r="U230" s="44" t="str">
        <f>IF($T230&lt;=Z$4,INDEX(TypicalCriticalitiesMAHBarrier23[Barrier Family Description],MATCH($T230,TypicalCriticalitiesMAHBarrier23[Barrier Family ID],0)),"")</f>
        <v/>
      </c>
      <c r="V230" s="44" t="e">
        <f ca="1">IF($T230&lt;=AA$4,INDEX(TypicalCriticalitiesMAHBarrier23[Typical Components],MATCH($T230,TypicalCriticalitiesMAHBarrier23[Column2],0)),"")</f>
        <v>#N/A</v>
      </c>
      <c r="W230" s="2" t="e">
        <f ca="1">IF($T230&lt;=AA$4,INDEX(TypicalCriticalitiesMAHBarrier23[Typical Criticality],MATCH($T230,TypicalCriticalitiesMAHBarrier23[Column2],0)),"")</f>
        <v>#N/A</v>
      </c>
      <c r="AE230" s="44"/>
      <c r="AF230" s="44"/>
      <c r="AG230" s="44"/>
      <c r="AH230" s="44"/>
      <c r="AI230" s="44"/>
      <c r="AJ230" s="44"/>
    </row>
    <row r="231" spans="14:36">
      <c r="N231" s="54" t="s">
        <v>501</v>
      </c>
      <c r="O231" s="54" t="s">
        <v>502</v>
      </c>
      <c r="P231" s="54" t="s">
        <v>504</v>
      </c>
      <c r="Q231" s="78" t="s">
        <v>1</v>
      </c>
      <c r="R231" s="44">
        <f t="shared" si="9"/>
        <v>38</v>
      </c>
      <c r="S231" s="44" t="e">
        <f t="shared" ca="1" si="10"/>
        <v>#N/A</v>
      </c>
      <c r="T231" s="44">
        <f t="shared" si="11"/>
        <v>228</v>
      </c>
      <c r="U231" s="44" t="str">
        <f>IF($T231&lt;=Z$4,INDEX(TypicalCriticalitiesMAHBarrier23[Barrier Family Description],MATCH($T231,TypicalCriticalitiesMAHBarrier23[Barrier Family ID],0)),"")</f>
        <v/>
      </c>
      <c r="V231" s="44" t="e">
        <f ca="1">IF($T231&lt;=AA$4,INDEX(TypicalCriticalitiesMAHBarrier23[Typical Components],MATCH($T231,TypicalCriticalitiesMAHBarrier23[Column2],0)),"")</f>
        <v>#N/A</v>
      </c>
      <c r="W231" s="2" t="e">
        <f ca="1">IF($T231&lt;=AA$4,INDEX(TypicalCriticalitiesMAHBarrier23[Typical Criticality],MATCH($T231,TypicalCriticalitiesMAHBarrier23[Column2],0)),"")</f>
        <v>#N/A</v>
      </c>
      <c r="AE231" s="44"/>
      <c r="AF231" s="44"/>
      <c r="AG231" s="44"/>
      <c r="AH231" s="44"/>
      <c r="AI231" s="44"/>
      <c r="AJ231" s="44"/>
    </row>
    <row r="232" spans="14:36">
      <c r="N232" s="54" t="s">
        <v>501</v>
      </c>
      <c r="O232" s="54" t="s">
        <v>502</v>
      </c>
      <c r="P232" s="54" t="s">
        <v>505</v>
      </c>
      <c r="Q232" s="78" t="s">
        <v>0</v>
      </c>
      <c r="R232" s="44">
        <f t="shared" si="9"/>
        <v>38</v>
      </c>
      <c r="S232" s="44" t="e">
        <f t="shared" ca="1" si="10"/>
        <v>#N/A</v>
      </c>
      <c r="T232" s="44">
        <f t="shared" si="11"/>
        <v>229</v>
      </c>
      <c r="U232" s="44" t="str">
        <f>IF($T232&lt;=Z$4,INDEX(TypicalCriticalitiesMAHBarrier23[Barrier Family Description],MATCH($T232,TypicalCriticalitiesMAHBarrier23[Barrier Family ID],0)),"")</f>
        <v/>
      </c>
      <c r="V232" s="44" t="e">
        <f ca="1">IF($T232&lt;=AA$4,INDEX(TypicalCriticalitiesMAHBarrier23[Typical Components],MATCH($T232,TypicalCriticalitiesMAHBarrier23[Column2],0)),"")</f>
        <v>#N/A</v>
      </c>
      <c r="W232" s="2" t="e">
        <f ca="1">IF($T232&lt;=AA$4,INDEX(TypicalCriticalitiesMAHBarrier23[Typical Criticality],MATCH($T232,TypicalCriticalitiesMAHBarrier23[Column2],0)),"")</f>
        <v>#N/A</v>
      </c>
      <c r="AE232" s="44"/>
      <c r="AF232" s="44"/>
      <c r="AG232" s="44"/>
      <c r="AH232" s="44"/>
      <c r="AI232" s="44"/>
      <c r="AJ232" s="44"/>
    </row>
    <row r="233" spans="14:36">
      <c r="N233" s="54" t="s">
        <v>501</v>
      </c>
      <c r="O233" s="54" t="s">
        <v>502</v>
      </c>
      <c r="P233" s="54" t="s">
        <v>506</v>
      </c>
      <c r="Q233" s="78" t="s">
        <v>1</v>
      </c>
      <c r="R233" s="44">
        <f t="shared" si="9"/>
        <v>38</v>
      </c>
      <c r="S233" s="44" t="e">
        <f t="shared" ca="1" si="10"/>
        <v>#N/A</v>
      </c>
      <c r="T233" s="44">
        <f t="shared" si="11"/>
        <v>230</v>
      </c>
      <c r="U233" s="44" t="str">
        <f>IF($T233&lt;=Z$4,INDEX(TypicalCriticalitiesMAHBarrier23[Barrier Family Description],MATCH($T233,TypicalCriticalitiesMAHBarrier23[Barrier Family ID],0)),"")</f>
        <v/>
      </c>
      <c r="V233" s="44" t="e">
        <f ca="1">IF($T233&lt;=AA$4,INDEX(TypicalCriticalitiesMAHBarrier23[Typical Components],MATCH($T233,TypicalCriticalitiesMAHBarrier23[Column2],0)),"")</f>
        <v>#N/A</v>
      </c>
      <c r="W233" s="2" t="e">
        <f ca="1">IF($T233&lt;=AA$4,INDEX(TypicalCriticalitiesMAHBarrier23[Typical Criticality],MATCH($T233,TypicalCriticalitiesMAHBarrier23[Column2],0)),"")</f>
        <v>#N/A</v>
      </c>
      <c r="AE233" s="44"/>
      <c r="AF233" s="44"/>
      <c r="AG233" s="44"/>
      <c r="AH233" s="44"/>
      <c r="AI233" s="44"/>
      <c r="AJ233" s="44"/>
    </row>
    <row r="234" spans="14:36">
      <c r="N234" s="54" t="s">
        <v>501</v>
      </c>
      <c r="O234" s="54" t="s">
        <v>502</v>
      </c>
      <c r="P234" s="54" t="s">
        <v>507</v>
      </c>
      <c r="Q234" s="78" t="s">
        <v>1</v>
      </c>
      <c r="R234" s="44">
        <f t="shared" si="9"/>
        <v>38</v>
      </c>
      <c r="S234" s="44" t="e">
        <f t="shared" ca="1" si="10"/>
        <v>#N/A</v>
      </c>
      <c r="T234" s="44">
        <f t="shared" si="11"/>
        <v>231</v>
      </c>
      <c r="U234" s="44" t="str">
        <f>IF($T234&lt;=Z$4,INDEX(TypicalCriticalitiesMAHBarrier23[Barrier Family Description],MATCH($T234,TypicalCriticalitiesMAHBarrier23[Barrier Family ID],0)),"")</f>
        <v/>
      </c>
      <c r="V234" s="44" t="e">
        <f ca="1">IF($T234&lt;=AA$4,INDEX(TypicalCriticalitiesMAHBarrier23[Typical Components],MATCH($T234,TypicalCriticalitiesMAHBarrier23[Column2],0)),"")</f>
        <v>#N/A</v>
      </c>
      <c r="W234" s="2" t="e">
        <f ca="1">IF($T234&lt;=AA$4,INDEX(TypicalCriticalitiesMAHBarrier23[Typical Criticality],MATCH($T234,TypicalCriticalitiesMAHBarrier23[Column2],0)),"")</f>
        <v>#N/A</v>
      </c>
      <c r="AE234" s="44"/>
      <c r="AF234" s="44"/>
      <c r="AG234" s="44"/>
      <c r="AH234" s="44"/>
      <c r="AI234" s="44"/>
      <c r="AJ234" s="44"/>
    </row>
    <row r="235" spans="14:36">
      <c r="N235" s="54" t="s">
        <v>501</v>
      </c>
      <c r="O235" s="54" t="s">
        <v>502</v>
      </c>
      <c r="P235" s="54" t="s">
        <v>508</v>
      </c>
      <c r="Q235" s="78" t="s">
        <v>1</v>
      </c>
      <c r="R235" s="44">
        <f t="shared" si="9"/>
        <v>38</v>
      </c>
      <c r="S235" s="44" t="e">
        <f t="shared" ca="1" si="10"/>
        <v>#N/A</v>
      </c>
      <c r="T235" s="44">
        <f t="shared" si="11"/>
        <v>232</v>
      </c>
      <c r="U235" s="44" t="str">
        <f>IF($T235&lt;=Z$4,INDEX(TypicalCriticalitiesMAHBarrier23[Barrier Family Description],MATCH($T235,TypicalCriticalitiesMAHBarrier23[Barrier Family ID],0)),"")</f>
        <v/>
      </c>
      <c r="V235" s="44" t="e">
        <f ca="1">IF($T235&lt;=AA$4,INDEX(TypicalCriticalitiesMAHBarrier23[Typical Components],MATCH($T235,TypicalCriticalitiesMAHBarrier23[Column2],0)),"")</f>
        <v>#N/A</v>
      </c>
      <c r="W235" s="2" t="e">
        <f ca="1">IF($T235&lt;=AA$4,INDEX(TypicalCriticalitiesMAHBarrier23[Typical Criticality],MATCH($T235,TypicalCriticalitiesMAHBarrier23[Column2],0)),"")</f>
        <v>#N/A</v>
      </c>
      <c r="AE235" s="44"/>
      <c r="AF235" s="44"/>
      <c r="AG235" s="44"/>
      <c r="AH235" s="44"/>
      <c r="AI235" s="44"/>
      <c r="AJ235" s="44"/>
    </row>
    <row r="236" spans="14:36">
      <c r="N236" s="54" t="s">
        <v>501</v>
      </c>
      <c r="O236" s="54" t="s">
        <v>502</v>
      </c>
      <c r="P236" s="54" t="s">
        <v>509</v>
      </c>
      <c r="Q236" s="78" t="s">
        <v>0</v>
      </c>
      <c r="R236" s="44">
        <f t="shared" si="9"/>
        <v>38</v>
      </c>
      <c r="S236" s="44" t="e">
        <f t="shared" ca="1" si="10"/>
        <v>#N/A</v>
      </c>
      <c r="T236" s="44">
        <f t="shared" si="11"/>
        <v>233</v>
      </c>
      <c r="U236" s="44" t="str">
        <f>IF($T236&lt;=Z$4,INDEX(TypicalCriticalitiesMAHBarrier23[Barrier Family Description],MATCH($T236,TypicalCriticalitiesMAHBarrier23[Barrier Family ID],0)),"")</f>
        <v/>
      </c>
      <c r="V236" s="44" t="e">
        <f ca="1">IF($T236&lt;=AA$4,INDEX(TypicalCriticalitiesMAHBarrier23[Typical Components],MATCH($T236,TypicalCriticalitiesMAHBarrier23[Column2],0)),"")</f>
        <v>#N/A</v>
      </c>
      <c r="W236" s="2" t="e">
        <f ca="1">IF($T236&lt;=AA$4,INDEX(TypicalCriticalitiesMAHBarrier23[Typical Criticality],MATCH($T236,TypicalCriticalitiesMAHBarrier23[Column2],0)),"")</f>
        <v>#N/A</v>
      </c>
      <c r="AE236" s="44"/>
      <c r="AF236" s="44"/>
      <c r="AG236" s="44"/>
      <c r="AH236" s="44"/>
      <c r="AI236" s="44"/>
      <c r="AJ236" s="44"/>
    </row>
    <row r="237" spans="14:36">
      <c r="N237" s="54" t="s">
        <v>501</v>
      </c>
      <c r="O237" s="54" t="s">
        <v>502</v>
      </c>
      <c r="P237" s="54" t="s">
        <v>510</v>
      </c>
      <c r="Q237" s="78" t="s">
        <v>1</v>
      </c>
      <c r="R237" s="44">
        <f t="shared" si="9"/>
        <v>38</v>
      </c>
      <c r="S237" s="44" t="e">
        <f t="shared" ca="1" si="10"/>
        <v>#N/A</v>
      </c>
      <c r="T237" s="44">
        <f t="shared" si="11"/>
        <v>234</v>
      </c>
      <c r="U237" s="44" t="str">
        <f>IF($T237&lt;=Z$4,INDEX(TypicalCriticalitiesMAHBarrier23[Barrier Family Description],MATCH($T237,TypicalCriticalitiesMAHBarrier23[Barrier Family ID],0)),"")</f>
        <v/>
      </c>
      <c r="V237" s="44" t="e">
        <f ca="1">IF($T237&lt;=AA$4,INDEX(TypicalCriticalitiesMAHBarrier23[Typical Components],MATCH($T237,TypicalCriticalitiesMAHBarrier23[Column2],0)),"")</f>
        <v>#N/A</v>
      </c>
      <c r="W237" s="2" t="e">
        <f ca="1">IF($T237&lt;=AA$4,INDEX(TypicalCriticalitiesMAHBarrier23[Typical Criticality],MATCH($T237,TypicalCriticalitiesMAHBarrier23[Column2],0)),"")</f>
        <v>#N/A</v>
      </c>
      <c r="AE237" s="44"/>
      <c r="AF237" s="44"/>
      <c r="AG237" s="44"/>
      <c r="AH237" s="44"/>
      <c r="AI237" s="44"/>
      <c r="AJ237" s="44"/>
    </row>
    <row r="238" spans="14:36">
      <c r="N238" s="54" t="s">
        <v>501</v>
      </c>
      <c r="O238" s="54" t="s">
        <v>502</v>
      </c>
      <c r="P238" s="54" t="s">
        <v>511</v>
      </c>
      <c r="Q238" s="78" t="s">
        <v>2</v>
      </c>
      <c r="R238" s="44">
        <f t="shared" si="9"/>
        <v>38</v>
      </c>
      <c r="S238" s="44" t="e">
        <f t="shared" ca="1" si="10"/>
        <v>#N/A</v>
      </c>
      <c r="T238" s="44">
        <f t="shared" si="11"/>
        <v>235</v>
      </c>
      <c r="U238" s="44" t="str">
        <f>IF($T238&lt;=Z$4,INDEX(TypicalCriticalitiesMAHBarrier23[Barrier Family Description],MATCH($T238,TypicalCriticalitiesMAHBarrier23[Barrier Family ID],0)),"")</f>
        <v/>
      </c>
      <c r="V238" s="44" t="e">
        <f ca="1">IF($T238&lt;=AA$4,INDEX(TypicalCriticalitiesMAHBarrier23[Typical Components],MATCH($T238,TypicalCriticalitiesMAHBarrier23[Column2],0)),"")</f>
        <v>#N/A</v>
      </c>
      <c r="W238" s="2" t="e">
        <f ca="1">IF($T238&lt;=AA$4,INDEX(TypicalCriticalitiesMAHBarrier23[Typical Criticality],MATCH($T238,TypicalCriticalitiesMAHBarrier23[Column2],0)),"")</f>
        <v>#N/A</v>
      </c>
      <c r="AE238" s="44"/>
      <c r="AF238" s="44"/>
      <c r="AG238" s="44"/>
      <c r="AH238" s="44"/>
      <c r="AI238" s="44"/>
      <c r="AJ238" s="44"/>
    </row>
    <row r="239" spans="14:36">
      <c r="N239" s="54" t="s">
        <v>512</v>
      </c>
      <c r="O239" s="54" t="s">
        <v>513</v>
      </c>
      <c r="P239" s="54" t="s">
        <v>514</v>
      </c>
      <c r="Q239" s="78" t="s">
        <v>1</v>
      </c>
      <c r="R239" s="44">
        <f t="shared" si="9"/>
        <v>39</v>
      </c>
      <c r="S239" s="44" t="e">
        <f t="shared" ca="1" si="10"/>
        <v>#N/A</v>
      </c>
      <c r="T239" s="44">
        <f t="shared" si="11"/>
        <v>236</v>
      </c>
      <c r="U239" s="44" t="str">
        <f>IF($T239&lt;=Z$4,INDEX(TypicalCriticalitiesMAHBarrier23[Barrier Family Description],MATCH($T239,TypicalCriticalitiesMAHBarrier23[Barrier Family ID],0)),"")</f>
        <v/>
      </c>
      <c r="V239" s="44" t="e">
        <f ca="1">IF($T239&lt;=AA$4,INDEX(TypicalCriticalitiesMAHBarrier23[Typical Components],MATCH($T239,TypicalCriticalitiesMAHBarrier23[Column2],0)),"")</f>
        <v>#N/A</v>
      </c>
      <c r="W239" s="2" t="e">
        <f ca="1">IF($T239&lt;=AA$4,INDEX(TypicalCriticalitiesMAHBarrier23[Typical Criticality],MATCH($T239,TypicalCriticalitiesMAHBarrier23[Column2],0)),"")</f>
        <v>#N/A</v>
      </c>
      <c r="AE239" s="44"/>
      <c r="AF239" s="44"/>
      <c r="AG239" s="44"/>
      <c r="AH239" s="44"/>
      <c r="AI239" s="44"/>
      <c r="AJ239" s="44"/>
    </row>
    <row r="240" spans="14:36">
      <c r="N240" s="54" t="s">
        <v>512</v>
      </c>
      <c r="O240" s="54" t="s">
        <v>513</v>
      </c>
      <c r="P240" s="54" t="s">
        <v>515</v>
      </c>
      <c r="Q240" s="78" t="s">
        <v>0</v>
      </c>
      <c r="R240" s="44">
        <f t="shared" si="9"/>
        <v>39</v>
      </c>
      <c r="S240" s="44" t="e">
        <f t="shared" ca="1" si="10"/>
        <v>#N/A</v>
      </c>
      <c r="T240" s="44">
        <f t="shared" si="11"/>
        <v>237</v>
      </c>
      <c r="U240" s="44" t="str">
        <f>IF($T240&lt;=Z$4,INDEX(TypicalCriticalitiesMAHBarrier23[Barrier Family Description],MATCH($T240,TypicalCriticalitiesMAHBarrier23[Barrier Family ID],0)),"")</f>
        <v/>
      </c>
      <c r="V240" s="44" t="e">
        <f ca="1">IF($T240&lt;=AA$4,INDEX(TypicalCriticalitiesMAHBarrier23[Typical Components],MATCH($T240,TypicalCriticalitiesMAHBarrier23[Column2],0)),"")</f>
        <v>#N/A</v>
      </c>
      <c r="W240" s="2" t="e">
        <f ca="1">IF($T240&lt;=AA$4,INDEX(TypicalCriticalitiesMAHBarrier23[Typical Criticality],MATCH($T240,TypicalCriticalitiesMAHBarrier23[Column2],0)),"")</f>
        <v>#N/A</v>
      </c>
      <c r="AE240" s="44"/>
      <c r="AF240" s="44"/>
      <c r="AG240" s="44"/>
      <c r="AH240" s="44"/>
      <c r="AI240" s="44"/>
      <c r="AJ240" s="44"/>
    </row>
    <row r="241" spans="14:36">
      <c r="N241" s="54" t="s">
        <v>512</v>
      </c>
      <c r="O241" s="54" t="s">
        <v>513</v>
      </c>
      <c r="P241" s="54" t="s">
        <v>516</v>
      </c>
      <c r="Q241" s="78" t="s">
        <v>0</v>
      </c>
      <c r="R241" s="44">
        <f t="shared" si="9"/>
        <v>39</v>
      </c>
      <c r="S241" s="44" t="e">
        <f t="shared" ca="1" si="10"/>
        <v>#N/A</v>
      </c>
      <c r="T241" s="44">
        <f t="shared" si="11"/>
        <v>238</v>
      </c>
      <c r="U241" s="44" t="str">
        <f>IF($T241&lt;=Z$4,INDEX(TypicalCriticalitiesMAHBarrier23[Barrier Family Description],MATCH($T241,TypicalCriticalitiesMAHBarrier23[Barrier Family ID],0)),"")</f>
        <v/>
      </c>
      <c r="V241" s="44" t="e">
        <f ca="1">IF($T241&lt;=AA$4,INDEX(TypicalCriticalitiesMAHBarrier23[Typical Components],MATCH($T241,TypicalCriticalitiesMAHBarrier23[Column2],0)),"")</f>
        <v>#N/A</v>
      </c>
      <c r="W241" s="2" t="e">
        <f ca="1">IF($T241&lt;=AA$4,INDEX(TypicalCriticalitiesMAHBarrier23[Typical Criticality],MATCH($T241,TypicalCriticalitiesMAHBarrier23[Column2],0)),"")</f>
        <v>#N/A</v>
      </c>
      <c r="AE241" s="44"/>
      <c r="AF241" s="44"/>
      <c r="AG241" s="44"/>
      <c r="AH241" s="44"/>
      <c r="AI241" s="44"/>
      <c r="AJ241" s="44"/>
    </row>
    <row r="242" spans="14:36">
      <c r="N242" s="54" t="s">
        <v>512</v>
      </c>
      <c r="O242" s="54" t="s">
        <v>513</v>
      </c>
      <c r="P242" s="54" t="s">
        <v>517</v>
      </c>
      <c r="Q242" s="78" t="s">
        <v>0</v>
      </c>
      <c r="R242" s="44">
        <f t="shared" si="9"/>
        <v>39</v>
      </c>
      <c r="S242" s="44" t="e">
        <f t="shared" ca="1" si="10"/>
        <v>#N/A</v>
      </c>
      <c r="T242" s="44">
        <f t="shared" si="11"/>
        <v>239</v>
      </c>
      <c r="U242" s="44" t="str">
        <f>IF($T242&lt;=Z$4,INDEX(TypicalCriticalitiesMAHBarrier23[Barrier Family Description],MATCH($T242,TypicalCriticalitiesMAHBarrier23[Barrier Family ID],0)),"")</f>
        <v/>
      </c>
      <c r="V242" s="44" t="e">
        <f ca="1">IF($T242&lt;=AA$4,INDEX(TypicalCriticalitiesMAHBarrier23[Typical Components],MATCH($T242,TypicalCriticalitiesMAHBarrier23[Column2],0)),"")</f>
        <v>#N/A</v>
      </c>
      <c r="W242" s="2" t="e">
        <f ca="1">IF($T242&lt;=AA$4,INDEX(TypicalCriticalitiesMAHBarrier23[Typical Criticality],MATCH($T242,TypicalCriticalitiesMAHBarrier23[Column2],0)),"")</f>
        <v>#N/A</v>
      </c>
      <c r="AE242" s="44"/>
      <c r="AF242" s="44"/>
      <c r="AG242" s="44"/>
      <c r="AH242" s="44"/>
      <c r="AI242" s="44"/>
      <c r="AJ242" s="44"/>
    </row>
    <row r="243" spans="14:36">
      <c r="N243" s="54" t="s">
        <v>512</v>
      </c>
      <c r="O243" s="54" t="s">
        <v>513</v>
      </c>
      <c r="P243" s="54" t="s">
        <v>518</v>
      </c>
      <c r="Q243" s="78" t="s">
        <v>0</v>
      </c>
      <c r="R243" s="44">
        <f t="shared" si="9"/>
        <v>39</v>
      </c>
      <c r="S243" s="44" t="e">
        <f t="shared" ca="1" si="10"/>
        <v>#N/A</v>
      </c>
      <c r="T243" s="44">
        <f t="shared" si="11"/>
        <v>240</v>
      </c>
      <c r="U243" s="44" t="str">
        <f>IF($T243&lt;=Z$4,INDEX(TypicalCriticalitiesMAHBarrier23[Barrier Family Description],MATCH($T243,TypicalCriticalitiesMAHBarrier23[Barrier Family ID],0)),"")</f>
        <v/>
      </c>
      <c r="V243" s="44" t="e">
        <f ca="1">IF($T243&lt;=AA$4,INDEX(TypicalCriticalitiesMAHBarrier23[Typical Components],MATCH($T243,TypicalCriticalitiesMAHBarrier23[Column2],0)),"")</f>
        <v>#N/A</v>
      </c>
      <c r="W243" s="2" t="e">
        <f ca="1">IF($T243&lt;=AA$4,INDEX(TypicalCriticalitiesMAHBarrier23[Typical Criticality],MATCH($T243,TypicalCriticalitiesMAHBarrier23[Column2],0)),"")</f>
        <v>#N/A</v>
      </c>
      <c r="AE243" s="44"/>
      <c r="AF243" s="44"/>
      <c r="AG243" s="44"/>
      <c r="AH243" s="44"/>
      <c r="AI243" s="44"/>
      <c r="AJ243" s="44"/>
    </row>
    <row r="244" spans="14:36">
      <c r="N244" s="54" t="s">
        <v>512</v>
      </c>
      <c r="O244" s="54" t="s">
        <v>513</v>
      </c>
      <c r="P244" s="54" t="s">
        <v>519</v>
      </c>
      <c r="Q244" s="78" t="s">
        <v>0</v>
      </c>
      <c r="R244" s="44">
        <f t="shared" si="9"/>
        <v>39</v>
      </c>
      <c r="S244" s="44" t="e">
        <f t="shared" ca="1" si="10"/>
        <v>#N/A</v>
      </c>
      <c r="T244" s="44">
        <f t="shared" si="11"/>
        <v>241</v>
      </c>
      <c r="U244" s="44" t="str">
        <f>IF($T244&lt;=Z$4,INDEX(TypicalCriticalitiesMAHBarrier23[Barrier Family Description],MATCH($T244,TypicalCriticalitiesMAHBarrier23[Barrier Family ID],0)),"")</f>
        <v/>
      </c>
      <c r="V244" s="44" t="e">
        <f ca="1">IF($T244&lt;=AA$4,INDEX(TypicalCriticalitiesMAHBarrier23[Typical Components],MATCH($T244,TypicalCriticalitiesMAHBarrier23[Column2],0)),"")</f>
        <v>#N/A</v>
      </c>
      <c r="W244" s="2" t="e">
        <f ca="1">IF($T244&lt;=AA$4,INDEX(TypicalCriticalitiesMAHBarrier23[Typical Criticality],MATCH($T244,TypicalCriticalitiesMAHBarrier23[Column2],0)),"")</f>
        <v>#N/A</v>
      </c>
      <c r="AE244" s="44"/>
      <c r="AF244" s="44"/>
      <c r="AG244" s="44"/>
      <c r="AH244" s="44"/>
      <c r="AI244" s="44"/>
      <c r="AJ244" s="44"/>
    </row>
    <row r="245" spans="14:36">
      <c r="N245" s="54" t="s">
        <v>512</v>
      </c>
      <c r="O245" s="54" t="s">
        <v>513</v>
      </c>
      <c r="P245" s="54" t="s">
        <v>520</v>
      </c>
      <c r="Q245" s="78" t="s">
        <v>1</v>
      </c>
      <c r="R245" s="44">
        <f t="shared" si="9"/>
        <v>39</v>
      </c>
      <c r="S245" s="44" t="e">
        <f t="shared" ca="1" si="10"/>
        <v>#N/A</v>
      </c>
      <c r="T245" s="44">
        <f t="shared" si="11"/>
        <v>242</v>
      </c>
      <c r="U245" s="44" t="str">
        <f>IF($T245&lt;=Z$4,INDEX(TypicalCriticalitiesMAHBarrier23[Barrier Family Description],MATCH($T245,TypicalCriticalitiesMAHBarrier23[Barrier Family ID],0)),"")</f>
        <v/>
      </c>
      <c r="V245" s="44" t="e">
        <f ca="1">IF($T245&lt;=AA$4,INDEX(TypicalCriticalitiesMAHBarrier23[Typical Components],MATCH($T245,TypicalCriticalitiesMAHBarrier23[Column2],0)),"")</f>
        <v>#N/A</v>
      </c>
      <c r="W245" s="2" t="e">
        <f ca="1">IF($T245&lt;=AA$4,INDEX(TypicalCriticalitiesMAHBarrier23[Typical Criticality],MATCH($T245,TypicalCriticalitiesMAHBarrier23[Column2],0)),"")</f>
        <v>#N/A</v>
      </c>
      <c r="AE245" s="44"/>
      <c r="AF245" s="44"/>
      <c r="AG245" s="44"/>
      <c r="AH245" s="44"/>
      <c r="AI245" s="44"/>
      <c r="AJ245" s="44"/>
    </row>
    <row r="246" spans="14:36">
      <c r="N246" s="54" t="s">
        <v>521</v>
      </c>
      <c r="O246" s="54" t="s">
        <v>522</v>
      </c>
      <c r="P246" s="54" t="s">
        <v>523</v>
      </c>
      <c r="Q246" s="78" t="s">
        <v>0</v>
      </c>
      <c r="R246" s="44">
        <f t="shared" si="9"/>
        <v>40</v>
      </c>
      <c r="S246" s="44" t="e">
        <f t="shared" ca="1" si="10"/>
        <v>#N/A</v>
      </c>
      <c r="T246" s="44">
        <f t="shared" si="11"/>
        <v>243</v>
      </c>
      <c r="U246" s="44" t="str">
        <f>IF($T246&lt;=Z$4,INDEX(TypicalCriticalitiesMAHBarrier23[Barrier Family Description],MATCH($T246,TypicalCriticalitiesMAHBarrier23[Barrier Family ID],0)),"")</f>
        <v/>
      </c>
      <c r="V246" s="44" t="e">
        <f ca="1">IF($T246&lt;=AA$4,INDEX(TypicalCriticalitiesMAHBarrier23[Typical Components],MATCH($T246,TypicalCriticalitiesMAHBarrier23[Column2],0)),"")</f>
        <v>#N/A</v>
      </c>
      <c r="W246" s="2" t="e">
        <f ca="1">IF($T246&lt;=AA$4,INDEX(TypicalCriticalitiesMAHBarrier23[Typical Criticality],MATCH($T246,TypicalCriticalitiesMAHBarrier23[Column2],0)),"")</f>
        <v>#N/A</v>
      </c>
      <c r="AE246" s="44"/>
      <c r="AF246" s="44"/>
      <c r="AG246" s="44"/>
      <c r="AH246" s="44"/>
      <c r="AI246" s="44"/>
      <c r="AJ246" s="44"/>
    </row>
    <row r="247" spans="14:36">
      <c r="N247" s="54" t="s">
        <v>521</v>
      </c>
      <c r="O247" s="54" t="s">
        <v>522</v>
      </c>
      <c r="P247" s="54" t="s">
        <v>524</v>
      </c>
      <c r="Q247" s="78" t="s">
        <v>0</v>
      </c>
      <c r="R247" s="44">
        <f t="shared" si="9"/>
        <v>40</v>
      </c>
      <c r="S247" s="44" t="e">
        <f t="shared" ca="1" si="10"/>
        <v>#N/A</v>
      </c>
      <c r="T247" s="44">
        <f t="shared" si="11"/>
        <v>244</v>
      </c>
      <c r="U247" s="44" t="str">
        <f>IF($T247&lt;=Z$4,INDEX(TypicalCriticalitiesMAHBarrier23[Barrier Family Description],MATCH($T247,TypicalCriticalitiesMAHBarrier23[Barrier Family ID],0)),"")</f>
        <v/>
      </c>
      <c r="V247" s="44" t="e">
        <f ca="1">IF($T247&lt;=AA$4,INDEX(TypicalCriticalitiesMAHBarrier23[Typical Components],MATCH($T247,TypicalCriticalitiesMAHBarrier23[Column2],0)),"")</f>
        <v>#N/A</v>
      </c>
      <c r="W247" s="2" t="e">
        <f ca="1">IF($T247&lt;=AA$4,INDEX(TypicalCriticalitiesMAHBarrier23[Typical Criticality],MATCH($T247,TypicalCriticalitiesMAHBarrier23[Column2],0)),"")</f>
        <v>#N/A</v>
      </c>
      <c r="AE247" s="44"/>
      <c r="AF247" s="44"/>
      <c r="AG247" s="44"/>
      <c r="AH247" s="44"/>
      <c r="AI247" s="44"/>
      <c r="AJ247" s="44"/>
    </row>
    <row r="248" spans="14:36">
      <c r="N248" s="54" t="s">
        <v>521</v>
      </c>
      <c r="O248" s="54" t="s">
        <v>522</v>
      </c>
      <c r="P248" s="54" t="s">
        <v>525</v>
      </c>
      <c r="Q248" s="78" t="s">
        <v>0</v>
      </c>
      <c r="R248" s="44">
        <f t="shared" si="9"/>
        <v>40</v>
      </c>
      <c r="S248" s="44" t="e">
        <f t="shared" ca="1" si="10"/>
        <v>#N/A</v>
      </c>
      <c r="T248" s="44">
        <f t="shared" si="11"/>
        <v>245</v>
      </c>
      <c r="U248" s="44" t="str">
        <f>IF($T248&lt;=Z$4,INDEX(TypicalCriticalitiesMAHBarrier23[Barrier Family Description],MATCH($T248,TypicalCriticalitiesMAHBarrier23[Barrier Family ID],0)),"")</f>
        <v/>
      </c>
      <c r="V248" s="44" t="e">
        <f ca="1">IF($T248&lt;=AA$4,INDEX(TypicalCriticalitiesMAHBarrier23[Typical Components],MATCH($T248,TypicalCriticalitiesMAHBarrier23[Column2],0)),"")</f>
        <v>#N/A</v>
      </c>
      <c r="W248" s="2" t="e">
        <f ca="1">IF($T248&lt;=AA$4,INDEX(TypicalCriticalitiesMAHBarrier23[Typical Criticality],MATCH($T248,TypicalCriticalitiesMAHBarrier23[Column2],0)),"")</f>
        <v>#N/A</v>
      </c>
      <c r="AE248" s="44"/>
      <c r="AF248" s="44"/>
      <c r="AG248" s="44"/>
      <c r="AH248" s="44"/>
      <c r="AI248" s="44"/>
      <c r="AJ248" s="44"/>
    </row>
    <row r="249" spans="14:36">
      <c r="N249" s="54" t="s">
        <v>521</v>
      </c>
      <c r="O249" s="54" t="s">
        <v>522</v>
      </c>
      <c r="P249" s="54" t="s">
        <v>526</v>
      </c>
      <c r="Q249" s="78" t="s">
        <v>0</v>
      </c>
      <c r="R249" s="44">
        <f t="shared" si="9"/>
        <v>40</v>
      </c>
      <c r="S249" s="44" t="e">
        <f t="shared" ca="1" si="10"/>
        <v>#N/A</v>
      </c>
      <c r="T249" s="44">
        <f t="shared" si="11"/>
        <v>246</v>
      </c>
      <c r="U249" s="44" t="str">
        <f>IF($T249&lt;=Z$4,INDEX(TypicalCriticalitiesMAHBarrier23[Barrier Family Description],MATCH($T249,TypicalCriticalitiesMAHBarrier23[Barrier Family ID],0)),"")</f>
        <v/>
      </c>
      <c r="V249" s="44" t="e">
        <f ca="1">IF($T249&lt;=AA$4,INDEX(TypicalCriticalitiesMAHBarrier23[Typical Components],MATCH($T249,TypicalCriticalitiesMAHBarrier23[Column2],0)),"")</f>
        <v>#N/A</v>
      </c>
      <c r="W249" s="2" t="e">
        <f ca="1">IF($T249&lt;=AA$4,INDEX(TypicalCriticalitiesMAHBarrier23[Typical Criticality],MATCH($T249,TypicalCriticalitiesMAHBarrier23[Column2],0)),"")</f>
        <v>#N/A</v>
      </c>
      <c r="AE249" s="44"/>
      <c r="AF249" s="44"/>
      <c r="AG249" s="44"/>
      <c r="AH249" s="44"/>
      <c r="AI249" s="44"/>
      <c r="AJ249" s="44"/>
    </row>
    <row r="250" spans="14:36">
      <c r="N250" s="54" t="s">
        <v>521</v>
      </c>
      <c r="O250" s="54" t="s">
        <v>522</v>
      </c>
      <c r="P250" s="54" t="s">
        <v>527</v>
      </c>
      <c r="Q250" s="78" t="s">
        <v>0</v>
      </c>
      <c r="R250" s="44">
        <f t="shared" si="9"/>
        <v>40</v>
      </c>
      <c r="S250" s="44" t="e">
        <f t="shared" ca="1" si="10"/>
        <v>#N/A</v>
      </c>
      <c r="T250" s="44">
        <f t="shared" si="11"/>
        <v>247</v>
      </c>
      <c r="U250" s="44" t="str">
        <f>IF($T250&lt;=Z$4,INDEX(TypicalCriticalitiesMAHBarrier23[Barrier Family Description],MATCH($T250,TypicalCriticalitiesMAHBarrier23[Barrier Family ID],0)),"")</f>
        <v/>
      </c>
      <c r="V250" s="44" t="e">
        <f ca="1">IF($T250&lt;=AA$4,INDEX(TypicalCriticalitiesMAHBarrier23[Typical Components],MATCH($T250,TypicalCriticalitiesMAHBarrier23[Column2],0)),"")</f>
        <v>#N/A</v>
      </c>
      <c r="W250" s="2" t="e">
        <f ca="1">IF($T250&lt;=AA$4,INDEX(TypicalCriticalitiesMAHBarrier23[Typical Criticality],MATCH($T250,TypicalCriticalitiesMAHBarrier23[Column2],0)),"")</f>
        <v>#N/A</v>
      </c>
      <c r="AE250" s="44"/>
      <c r="AF250" s="44"/>
      <c r="AG250" s="44"/>
      <c r="AH250" s="44"/>
      <c r="AI250" s="44"/>
      <c r="AJ250" s="44"/>
    </row>
    <row r="251" spans="14:36">
      <c r="N251" s="54" t="s">
        <v>521</v>
      </c>
      <c r="O251" s="54" t="s">
        <v>522</v>
      </c>
      <c r="P251" s="54" t="s">
        <v>528</v>
      </c>
      <c r="Q251" s="78" t="s">
        <v>0</v>
      </c>
      <c r="R251" s="44">
        <f t="shared" si="9"/>
        <v>40</v>
      </c>
      <c r="S251" s="44" t="e">
        <f t="shared" ca="1" si="10"/>
        <v>#N/A</v>
      </c>
      <c r="T251" s="44">
        <f t="shared" si="11"/>
        <v>248</v>
      </c>
      <c r="U251" s="44" t="str">
        <f>IF($T251&lt;=Z$4,INDEX(TypicalCriticalitiesMAHBarrier23[Barrier Family Description],MATCH($T251,TypicalCriticalitiesMAHBarrier23[Barrier Family ID],0)),"")</f>
        <v/>
      </c>
      <c r="V251" s="44" t="e">
        <f ca="1">IF($T251&lt;=AA$4,INDEX(TypicalCriticalitiesMAHBarrier23[Typical Components],MATCH($T251,TypicalCriticalitiesMAHBarrier23[Column2],0)),"")</f>
        <v>#N/A</v>
      </c>
      <c r="W251" s="2" t="e">
        <f ca="1">IF($T251&lt;=AA$4,INDEX(TypicalCriticalitiesMAHBarrier23[Typical Criticality],MATCH($T251,TypicalCriticalitiesMAHBarrier23[Column2],0)),"")</f>
        <v>#N/A</v>
      </c>
      <c r="AE251" s="44"/>
      <c r="AF251" s="44"/>
      <c r="AG251" s="44"/>
      <c r="AH251" s="44"/>
      <c r="AI251" s="44"/>
      <c r="AJ251" s="44"/>
    </row>
    <row r="252" spans="14:36">
      <c r="N252" s="54" t="s">
        <v>529</v>
      </c>
      <c r="O252" s="54" t="s">
        <v>530</v>
      </c>
      <c r="P252" s="54" t="s">
        <v>531</v>
      </c>
      <c r="Q252" s="78" t="s">
        <v>0</v>
      </c>
      <c r="R252" s="44">
        <f t="shared" si="9"/>
        <v>41</v>
      </c>
      <c r="S252" s="44" t="e">
        <f t="shared" ca="1" si="10"/>
        <v>#N/A</v>
      </c>
      <c r="T252" s="44">
        <f t="shared" si="11"/>
        <v>249</v>
      </c>
      <c r="U252" s="44" t="str">
        <f>IF($T252&lt;=Z$4,INDEX(TypicalCriticalitiesMAHBarrier23[Barrier Family Description],MATCH($T252,TypicalCriticalitiesMAHBarrier23[Barrier Family ID],0)),"")</f>
        <v/>
      </c>
      <c r="V252" s="44" t="e">
        <f ca="1">IF($T252&lt;=AA$4,INDEX(TypicalCriticalitiesMAHBarrier23[Typical Components],MATCH($T252,TypicalCriticalitiesMAHBarrier23[Column2],0)),"")</f>
        <v>#N/A</v>
      </c>
      <c r="W252" s="2" t="e">
        <f ca="1">IF($T252&lt;=AA$4,INDEX(TypicalCriticalitiesMAHBarrier23[Typical Criticality],MATCH($T252,TypicalCriticalitiesMAHBarrier23[Column2],0)),"")</f>
        <v>#N/A</v>
      </c>
      <c r="AE252" s="44"/>
      <c r="AF252" s="44"/>
      <c r="AG252" s="44"/>
      <c r="AH252" s="44"/>
      <c r="AI252" s="44"/>
      <c r="AJ252" s="44"/>
    </row>
    <row r="253" spans="14:36">
      <c r="N253" s="54" t="s">
        <v>529</v>
      </c>
      <c r="O253" s="54" t="s">
        <v>530</v>
      </c>
      <c r="P253" s="54" t="s">
        <v>532</v>
      </c>
      <c r="Q253" s="78" t="s">
        <v>0</v>
      </c>
      <c r="R253" s="44">
        <f t="shared" si="9"/>
        <v>41</v>
      </c>
      <c r="S253" s="44" t="e">
        <f t="shared" ca="1" si="10"/>
        <v>#N/A</v>
      </c>
      <c r="T253" s="44">
        <f t="shared" si="11"/>
        <v>250</v>
      </c>
      <c r="U253" s="44" t="str">
        <f>IF($T253&lt;=Z$4,INDEX(TypicalCriticalitiesMAHBarrier23[Barrier Family Description],MATCH($T253,TypicalCriticalitiesMAHBarrier23[Barrier Family ID],0)),"")</f>
        <v/>
      </c>
      <c r="V253" s="44" t="e">
        <f ca="1">IF($T253&lt;=AA$4,INDEX(TypicalCriticalitiesMAHBarrier23[Typical Components],MATCH($T253,TypicalCriticalitiesMAHBarrier23[Column2],0)),"")</f>
        <v>#N/A</v>
      </c>
      <c r="W253" s="2" t="e">
        <f ca="1">IF($T253&lt;=AA$4,INDEX(TypicalCriticalitiesMAHBarrier23[Typical Criticality],MATCH($T253,TypicalCriticalitiesMAHBarrier23[Column2],0)),"")</f>
        <v>#N/A</v>
      </c>
      <c r="AE253" s="44"/>
      <c r="AF253" s="44"/>
      <c r="AG253" s="44"/>
      <c r="AH253" s="44"/>
      <c r="AI253" s="44"/>
      <c r="AJ253" s="44"/>
    </row>
    <row r="254" spans="14:36">
      <c r="N254" s="54" t="s">
        <v>529</v>
      </c>
      <c r="O254" s="54" t="s">
        <v>530</v>
      </c>
      <c r="P254" s="54" t="s">
        <v>533</v>
      </c>
      <c r="Q254" s="78" t="s">
        <v>0</v>
      </c>
      <c r="R254" s="44">
        <f t="shared" si="9"/>
        <v>41</v>
      </c>
      <c r="S254" s="44" t="e">
        <f t="shared" ca="1" si="10"/>
        <v>#N/A</v>
      </c>
      <c r="T254" s="44">
        <f t="shared" si="11"/>
        <v>251</v>
      </c>
      <c r="U254" s="44" t="str">
        <f>IF($T254&lt;=Z$4,INDEX(TypicalCriticalitiesMAHBarrier23[Barrier Family Description],MATCH($T254,TypicalCriticalitiesMAHBarrier23[Barrier Family ID],0)),"")</f>
        <v/>
      </c>
      <c r="V254" s="44" t="e">
        <f ca="1">IF($T254&lt;=AA$4,INDEX(TypicalCriticalitiesMAHBarrier23[Typical Components],MATCH($T254,TypicalCriticalitiesMAHBarrier23[Column2],0)),"")</f>
        <v>#N/A</v>
      </c>
      <c r="W254" s="2" t="e">
        <f ca="1">IF($T254&lt;=AA$4,INDEX(TypicalCriticalitiesMAHBarrier23[Typical Criticality],MATCH($T254,TypicalCriticalitiesMAHBarrier23[Column2],0)),"")</f>
        <v>#N/A</v>
      </c>
      <c r="AE254" s="44"/>
      <c r="AF254" s="44"/>
      <c r="AG254" s="44"/>
      <c r="AH254" s="44"/>
      <c r="AI254" s="44"/>
      <c r="AJ254" s="44"/>
    </row>
    <row r="255" spans="14:36">
      <c r="N255" s="54" t="s">
        <v>534</v>
      </c>
      <c r="O255" s="54" t="s">
        <v>535</v>
      </c>
      <c r="P255" s="54" t="s">
        <v>536</v>
      </c>
      <c r="Q255" s="78" t="s">
        <v>2</v>
      </c>
      <c r="R255" s="44">
        <f t="shared" si="9"/>
        <v>42</v>
      </c>
      <c r="S255" s="44" t="e">
        <f t="shared" ca="1" si="10"/>
        <v>#N/A</v>
      </c>
      <c r="T255" s="44">
        <f t="shared" si="11"/>
        <v>252</v>
      </c>
      <c r="U255" s="44" t="str">
        <f>IF($T255&lt;=Z$4,INDEX(TypicalCriticalitiesMAHBarrier23[Barrier Family Description],MATCH($T255,TypicalCriticalitiesMAHBarrier23[Barrier Family ID],0)),"")</f>
        <v/>
      </c>
      <c r="V255" s="44" t="e">
        <f ca="1">IF($T255&lt;=AA$4,INDEX(TypicalCriticalitiesMAHBarrier23[Typical Components],MATCH($T255,TypicalCriticalitiesMAHBarrier23[Column2],0)),"")</f>
        <v>#N/A</v>
      </c>
      <c r="W255" s="2" t="e">
        <f ca="1">IF($T255&lt;=AA$4,INDEX(TypicalCriticalitiesMAHBarrier23[Typical Criticality],MATCH($T255,TypicalCriticalitiesMAHBarrier23[Column2],0)),"")</f>
        <v>#N/A</v>
      </c>
      <c r="AE255" s="44"/>
      <c r="AF255" s="44"/>
      <c r="AG255" s="44"/>
      <c r="AH255" s="44"/>
      <c r="AI255" s="44"/>
      <c r="AJ255" s="44"/>
    </row>
    <row r="256" spans="14:36">
      <c r="N256" s="54" t="s">
        <v>534</v>
      </c>
      <c r="O256" s="54" t="s">
        <v>535</v>
      </c>
      <c r="P256" s="54" t="s">
        <v>537</v>
      </c>
      <c r="Q256" s="78" t="s">
        <v>1</v>
      </c>
      <c r="R256" s="44">
        <f t="shared" si="9"/>
        <v>42</v>
      </c>
      <c r="S256" s="44" t="e">
        <f t="shared" ca="1" si="10"/>
        <v>#N/A</v>
      </c>
      <c r="T256" s="44">
        <f t="shared" si="11"/>
        <v>253</v>
      </c>
      <c r="U256" s="44" t="str">
        <f>IF($T256&lt;=Z$4,INDEX(TypicalCriticalitiesMAHBarrier23[Barrier Family Description],MATCH($T256,TypicalCriticalitiesMAHBarrier23[Barrier Family ID],0)),"")</f>
        <v/>
      </c>
      <c r="V256" s="44" t="e">
        <f ca="1">IF($T256&lt;=AA$4,INDEX(TypicalCriticalitiesMAHBarrier23[Typical Components],MATCH($T256,TypicalCriticalitiesMAHBarrier23[Column2],0)),"")</f>
        <v>#N/A</v>
      </c>
      <c r="W256" s="2" t="e">
        <f ca="1">IF($T256&lt;=AA$4,INDEX(TypicalCriticalitiesMAHBarrier23[Typical Criticality],MATCH($T256,TypicalCriticalitiesMAHBarrier23[Column2],0)),"")</f>
        <v>#N/A</v>
      </c>
      <c r="AE256" s="44"/>
      <c r="AF256" s="44"/>
      <c r="AG256" s="44"/>
      <c r="AH256" s="44"/>
      <c r="AI256" s="44"/>
      <c r="AJ256" s="44"/>
    </row>
    <row r="257" spans="14:36">
      <c r="N257" s="54" t="s">
        <v>534</v>
      </c>
      <c r="O257" s="54" t="s">
        <v>535</v>
      </c>
      <c r="P257" s="54" t="s">
        <v>538</v>
      </c>
      <c r="Q257" s="78" t="s">
        <v>0</v>
      </c>
      <c r="R257" s="44">
        <f t="shared" si="9"/>
        <v>42</v>
      </c>
      <c r="S257" s="44" t="e">
        <f t="shared" ca="1" si="10"/>
        <v>#N/A</v>
      </c>
      <c r="T257" s="44">
        <f t="shared" si="11"/>
        <v>254</v>
      </c>
      <c r="U257" s="44" t="str">
        <f>IF($T257&lt;=Z$4,INDEX(TypicalCriticalitiesMAHBarrier23[Barrier Family Description],MATCH($T257,TypicalCriticalitiesMAHBarrier23[Barrier Family ID],0)),"")</f>
        <v/>
      </c>
      <c r="V257" s="44" t="e">
        <f ca="1">IF($T257&lt;=AA$4,INDEX(TypicalCriticalitiesMAHBarrier23[Typical Components],MATCH($T257,TypicalCriticalitiesMAHBarrier23[Column2],0)),"")</f>
        <v>#N/A</v>
      </c>
      <c r="W257" s="2" t="e">
        <f ca="1">IF($T257&lt;=AA$4,INDEX(TypicalCriticalitiesMAHBarrier23[Typical Criticality],MATCH($T257,TypicalCriticalitiesMAHBarrier23[Column2],0)),"")</f>
        <v>#N/A</v>
      </c>
      <c r="AE257" s="44"/>
      <c r="AF257" s="44"/>
      <c r="AG257" s="44"/>
      <c r="AH257" s="44"/>
      <c r="AI257" s="44"/>
      <c r="AJ257" s="44"/>
    </row>
    <row r="258" spans="14:36">
      <c r="N258" s="54" t="s">
        <v>534</v>
      </c>
      <c r="O258" s="54" t="s">
        <v>535</v>
      </c>
      <c r="P258" s="54" t="s">
        <v>539</v>
      </c>
      <c r="Q258" s="78" t="s">
        <v>0</v>
      </c>
      <c r="R258" s="44">
        <f t="shared" si="9"/>
        <v>42</v>
      </c>
      <c r="S258" s="44" t="e">
        <f t="shared" ca="1" si="10"/>
        <v>#N/A</v>
      </c>
      <c r="T258" s="44">
        <f t="shared" si="11"/>
        <v>255</v>
      </c>
      <c r="U258" s="44" t="str">
        <f>IF($T258&lt;=Z$4,INDEX(TypicalCriticalitiesMAHBarrier23[Barrier Family Description],MATCH($T258,TypicalCriticalitiesMAHBarrier23[Barrier Family ID],0)),"")</f>
        <v/>
      </c>
      <c r="V258" s="44" t="e">
        <f ca="1">IF($T258&lt;=AA$4,INDEX(TypicalCriticalitiesMAHBarrier23[Typical Components],MATCH($T258,TypicalCriticalitiesMAHBarrier23[Column2],0)),"")</f>
        <v>#N/A</v>
      </c>
      <c r="W258" s="2" t="e">
        <f ca="1">IF($T258&lt;=AA$4,INDEX(TypicalCriticalitiesMAHBarrier23[Typical Criticality],MATCH($T258,TypicalCriticalitiesMAHBarrier23[Column2],0)),"")</f>
        <v>#N/A</v>
      </c>
      <c r="AE258" s="44"/>
      <c r="AF258" s="44"/>
      <c r="AG258" s="44"/>
      <c r="AH258" s="44"/>
      <c r="AI258" s="44"/>
      <c r="AJ258" s="44"/>
    </row>
    <row r="259" spans="14:36">
      <c r="N259" s="54" t="s">
        <v>534</v>
      </c>
      <c r="O259" s="54" t="s">
        <v>535</v>
      </c>
      <c r="P259" s="54" t="s">
        <v>540</v>
      </c>
      <c r="Q259" s="78" t="s">
        <v>0</v>
      </c>
      <c r="R259" s="44">
        <f t="shared" si="9"/>
        <v>42</v>
      </c>
      <c r="S259" s="44" t="e">
        <f t="shared" ca="1" si="10"/>
        <v>#N/A</v>
      </c>
      <c r="T259" s="44">
        <f t="shared" si="11"/>
        <v>256</v>
      </c>
      <c r="U259" s="44" t="str">
        <f>IF($T259&lt;=Z$4,INDEX(TypicalCriticalitiesMAHBarrier23[Barrier Family Description],MATCH($T259,TypicalCriticalitiesMAHBarrier23[Barrier Family ID],0)),"")</f>
        <v/>
      </c>
      <c r="V259" s="44" t="e">
        <f ca="1">IF($T259&lt;=AA$4,INDEX(TypicalCriticalitiesMAHBarrier23[Typical Components],MATCH($T259,TypicalCriticalitiesMAHBarrier23[Column2],0)),"")</f>
        <v>#N/A</v>
      </c>
      <c r="W259" s="2" t="e">
        <f ca="1">IF($T259&lt;=AA$4,INDEX(TypicalCriticalitiesMAHBarrier23[Typical Criticality],MATCH($T259,TypicalCriticalitiesMAHBarrier23[Column2],0)),"")</f>
        <v>#N/A</v>
      </c>
      <c r="AE259" s="44"/>
      <c r="AF259" s="44"/>
      <c r="AG259" s="44"/>
      <c r="AH259" s="44"/>
      <c r="AI259" s="44"/>
      <c r="AJ259" s="44"/>
    </row>
    <row r="260" spans="14:36">
      <c r="N260" s="54" t="s">
        <v>534</v>
      </c>
      <c r="O260" s="54" t="s">
        <v>535</v>
      </c>
      <c r="P260" s="54" t="s">
        <v>541</v>
      </c>
      <c r="Q260" s="78" t="s">
        <v>2</v>
      </c>
      <c r="R260" s="44">
        <f t="shared" si="9"/>
        <v>42</v>
      </c>
      <c r="S260" s="44" t="e">
        <f t="shared" ca="1" si="10"/>
        <v>#N/A</v>
      </c>
      <c r="T260" s="44">
        <f t="shared" si="11"/>
        <v>257</v>
      </c>
      <c r="U260" s="44" t="str">
        <f>IF($T260&lt;=Z$4,INDEX(TypicalCriticalitiesMAHBarrier23[Barrier Family Description],MATCH($T260,TypicalCriticalitiesMAHBarrier23[Barrier Family ID],0)),"")</f>
        <v/>
      </c>
      <c r="V260" s="44" t="e">
        <f ca="1">IF($T260&lt;=AA$4,INDEX(TypicalCriticalitiesMAHBarrier23[Typical Components],MATCH($T260,TypicalCriticalitiesMAHBarrier23[Column2],0)),"")</f>
        <v>#N/A</v>
      </c>
      <c r="W260" s="2" t="e">
        <f ca="1">IF($T260&lt;=AA$4,INDEX(TypicalCriticalitiesMAHBarrier23[Typical Criticality],MATCH($T260,TypicalCriticalitiesMAHBarrier23[Column2],0)),"")</f>
        <v>#N/A</v>
      </c>
      <c r="AE260" s="44"/>
      <c r="AF260" s="44"/>
      <c r="AG260" s="44"/>
      <c r="AH260" s="44"/>
      <c r="AI260" s="44"/>
      <c r="AJ260" s="44"/>
    </row>
    <row r="261" spans="14:36">
      <c r="N261" s="54" t="s">
        <v>534</v>
      </c>
      <c r="O261" s="54" t="s">
        <v>535</v>
      </c>
      <c r="P261" s="54" t="s">
        <v>542</v>
      </c>
      <c r="Q261" s="78" t="s">
        <v>1</v>
      </c>
      <c r="R261" s="44">
        <f t="shared" ref="R261:R305" si="13">IF(AND(O261&lt;&gt;O260,O261&lt;&gt;""),R260+1,R260)</f>
        <v>42</v>
      </c>
      <c r="S261" s="44" t="e">
        <f t="shared" ref="S261:S305" ca="1" si="14">IF(R261=$Z$5,IF(AND(P261&lt;&gt;P260,P261&lt;&gt;""),S260+1,S260),S260)</f>
        <v>#N/A</v>
      </c>
      <c r="T261" s="44">
        <f t="shared" ref="T261:T305" si="15">T260+1</f>
        <v>258</v>
      </c>
      <c r="U261" s="44" t="str">
        <f>IF($T261&lt;=Z$4,INDEX(TypicalCriticalitiesMAHBarrier23[Barrier Family Description],MATCH($T261,TypicalCriticalitiesMAHBarrier23[Barrier Family ID],0)),"")</f>
        <v/>
      </c>
      <c r="V261" s="44" t="e">
        <f ca="1">IF($T261&lt;=AA$4,INDEX(TypicalCriticalitiesMAHBarrier23[Typical Components],MATCH($T261,TypicalCriticalitiesMAHBarrier23[Column2],0)),"")</f>
        <v>#N/A</v>
      </c>
      <c r="W261" s="2" t="e">
        <f ca="1">IF($T261&lt;=AA$4,INDEX(TypicalCriticalitiesMAHBarrier23[Typical Criticality],MATCH($T261,TypicalCriticalitiesMAHBarrier23[Column2],0)),"")</f>
        <v>#N/A</v>
      </c>
      <c r="AE261" s="44"/>
      <c r="AF261" s="44"/>
      <c r="AG261" s="44"/>
      <c r="AH261" s="44"/>
      <c r="AI261" s="44"/>
      <c r="AJ261" s="44"/>
    </row>
    <row r="262" spans="14:36">
      <c r="N262" s="54" t="s">
        <v>534</v>
      </c>
      <c r="O262" s="54" t="s">
        <v>535</v>
      </c>
      <c r="P262" s="54" t="s">
        <v>543</v>
      </c>
      <c r="Q262" s="78" t="s">
        <v>2</v>
      </c>
      <c r="R262" s="44">
        <f t="shared" si="13"/>
        <v>42</v>
      </c>
      <c r="S262" s="44" t="e">
        <f t="shared" ca="1" si="14"/>
        <v>#N/A</v>
      </c>
      <c r="T262" s="44">
        <f t="shared" si="15"/>
        <v>259</v>
      </c>
      <c r="U262" s="44" t="str">
        <f>IF($T262&lt;=Z$4,INDEX(TypicalCriticalitiesMAHBarrier23[Barrier Family Description],MATCH($T262,TypicalCriticalitiesMAHBarrier23[Barrier Family ID],0)),"")</f>
        <v/>
      </c>
      <c r="V262" s="44" t="e">
        <f ca="1">IF($T262&lt;=AA$4,INDEX(TypicalCriticalitiesMAHBarrier23[Typical Components],MATCH($T262,TypicalCriticalitiesMAHBarrier23[Column2],0)),"")</f>
        <v>#N/A</v>
      </c>
      <c r="W262" s="2" t="e">
        <f ca="1">IF($T262&lt;=AA$4,INDEX(TypicalCriticalitiesMAHBarrier23[Typical Criticality],MATCH($T262,TypicalCriticalitiesMAHBarrier23[Column2],0)),"")</f>
        <v>#N/A</v>
      </c>
      <c r="AE262" s="44"/>
      <c r="AF262" s="44"/>
      <c r="AG262" s="44"/>
      <c r="AH262" s="44"/>
      <c r="AI262" s="44"/>
      <c r="AJ262" s="44"/>
    </row>
    <row r="263" spans="14:36">
      <c r="N263" s="54" t="s">
        <v>544</v>
      </c>
      <c r="O263" s="54" t="s">
        <v>545</v>
      </c>
      <c r="P263" s="54" t="s">
        <v>546</v>
      </c>
      <c r="Q263" s="78" t="s">
        <v>1</v>
      </c>
      <c r="R263" s="44">
        <f t="shared" si="13"/>
        <v>43</v>
      </c>
      <c r="S263" s="44" t="e">
        <f t="shared" ca="1" si="14"/>
        <v>#N/A</v>
      </c>
      <c r="T263" s="44">
        <f t="shared" si="15"/>
        <v>260</v>
      </c>
      <c r="U263" s="44" t="str">
        <f>IF($T263&lt;=Z$4,INDEX(TypicalCriticalitiesMAHBarrier23[Barrier Family Description],MATCH($T263,TypicalCriticalitiesMAHBarrier23[Barrier Family ID],0)),"")</f>
        <v/>
      </c>
      <c r="V263" s="44" t="e">
        <f ca="1">IF($T263&lt;=AA$4,INDEX(TypicalCriticalitiesMAHBarrier23[Typical Components],MATCH($T263,TypicalCriticalitiesMAHBarrier23[Column2],0)),"")</f>
        <v>#N/A</v>
      </c>
      <c r="W263" s="2" t="e">
        <f ca="1">IF($T263&lt;=AA$4,INDEX(TypicalCriticalitiesMAHBarrier23[Typical Criticality],MATCH($T263,TypicalCriticalitiesMAHBarrier23[Column2],0)),"")</f>
        <v>#N/A</v>
      </c>
      <c r="AE263" s="44"/>
      <c r="AF263" s="44"/>
      <c r="AG263" s="44"/>
      <c r="AH263" s="44"/>
      <c r="AI263" s="44"/>
      <c r="AJ263" s="44"/>
    </row>
    <row r="264" spans="14:36">
      <c r="N264" s="54" t="s">
        <v>544</v>
      </c>
      <c r="O264" s="54" t="s">
        <v>545</v>
      </c>
      <c r="P264" s="54" t="s">
        <v>547</v>
      </c>
      <c r="Q264" s="78" t="s">
        <v>1</v>
      </c>
      <c r="R264" s="44">
        <f t="shared" si="13"/>
        <v>43</v>
      </c>
      <c r="S264" s="44" t="e">
        <f t="shared" ca="1" si="14"/>
        <v>#N/A</v>
      </c>
      <c r="T264" s="44">
        <f t="shared" si="15"/>
        <v>261</v>
      </c>
      <c r="U264" s="44" t="str">
        <f>IF($T264&lt;=Z$4,INDEX(TypicalCriticalitiesMAHBarrier23[Barrier Family Description],MATCH($T264,TypicalCriticalitiesMAHBarrier23[Barrier Family ID],0)),"")</f>
        <v/>
      </c>
      <c r="V264" s="44" t="e">
        <f ca="1">IF($T264&lt;=AA$4,INDEX(TypicalCriticalitiesMAHBarrier23[Typical Components],MATCH($T264,TypicalCriticalitiesMAHBarrier23[Column2],0)),"")</f>
        <v>#N/A</v>
      </c>
      <c r="W264" s="2" t="e">
        <f ca="1">IF($T264&lt;=AA$4,INDEX(TypicalCriticalitiesMAHBarrier23[Typical Criticality],MATCH($T264,TypicalCriticalitiesMAHBarrier23[Column2],0)),"")</f>
        <v>#N/A</v>
      </c>
      <c r="AE264" s="44"/>
      <c r="AF264" s="44"/>
      <c r="AG264" s="44"/>
      <c r="AH264" s="44"/>
      <c r="AI264" s="44"/>
      <c r="AJ264" s="44"/>
    </row>
    <row r="265" spans="14:36">
      <c r="N265" s="54" t="s">
        <v>544</v>
      </c>
      <c r="O265" s="54" t="s">
        <v>545</v>
      </c>
      <c r="P265" s="54" t="s">
        <v>548</v>
      </c>
      <c r="Q265" s="78" t="s">
        <v>1</v>
      </c>
      <c r="R265" s="44">
        <f t="shared" si="13"/>
        <v>43</v>
      </c>
      <c r="S265" s="44" t="e">
        <f t="shared" ca="1" si="14"/>
        <v>#N/A</v>
      </c>
      <c r="T265" s="44">
        <f t="shared" si="15"/>
        <v>262</v>
      </c>
      <c r="U265" s="44" t="str">
        <f>IF($T265&lt;=Z$4,INDEX(TypicalCriticalitiesMAHBarrier23[Barrier Family Description],MATCH($T265,TypicalCriticalitiesMAHBarrier23[Barrier Family ID],0)),"")</f>
        <v/>
      </c>
      <c r="V265" s="44" t="e">
        <f ca="1">IF($T265&lt;=AA$4,INDEX(TypicalCriticalitiesMAHBarrier23[Typical Components],MATCH($T265,TypicalCriticalitiesMAHBarrier23[Column2],0)),"")</f>
        <v>#N/A</v>
      </c>
      <c r="W265" s="2" t="e">
        <f ca="1">IF($T265&lt;=AA$4,INDEX(TypicalCriticalitiesMAHBarrier23[Typical Criticality],MATCH($T265,TypicalCriticalitiesMAHBarrier23[Column2],0)),"")</f>
        <v>#N/A</v>
      </c>
      <c r="AE265" s="44"/>
      <c r="AF265" s="44"/>
      <c r="AG265" s="44"/>
      <c r="AH265" s="44"/>
      <c r="AI265" s="44"/>
      <c r="AJ265" s="44"/>
    </row>
    <row r="266" spans="14:36">
      <c r="N266" s="54" t="s">
        <v>549</v>
      </c>
      <c r="O266" s="54" t="s">
        <v>550</v>
      </c>
      <c r="P266" s="54" t="s">
        <v>551</v>
      </c>
      <c r="Q266" s="78" t="s">
        <v>0</v>
      </c>
      <c r="R266" s="44">
        <f t="shared" si="13"/>
        <v>44</v>
      </c>
      <c r="S266" s="44" t="e">
        <f t="shared" ca="1" si="14"/>
        <v>#N/A</v>
      </c>
      <c r="T266" s="44">
        <f t="shared" si="15"/>
        <v>263</v>
      </c>
      <c r="U266" s="44" t="str">
        <f>IF($T266&lt;=Z$4,INDEX(TypicalCriticalitiesMAHBarrier23[Barrier Family Description],MATCH($T266,TypicalCriticalitiesMAHBarrier23[Barrier Family ID],0)),"")</f>
        <v/>
      </c>
      <c r="V266" s="44" t="e">
        <f ca="1">IF($T266&lt;=AA$4,INDEX(TypicalCriticalitiesMAHBarrier23[Typical Components],MATCH($T266,TypicalCriticalitiesMAHBarrier23[Column2],0)),"")</f>
        <v>#N/A</v>
      </c>
      <c r="W266" s="2" t="e">
        <f ca="1">IF($T266&lt;=AA$4,INDEX(TypicalCriticalitiesMAHBarrier23[Typical Criticality],MATCH($T266,TypicalCriticalitiesMAHBarrier23[Column2],0)),"")</f>
        <v>#N/A</v>
      </c>
      <c r="AE266" s="44"/>
      <c r="AF266" s="44"/>
      <c r="AG266" s="44"/>
      <c r="AH266" s="44"/>
      <c r="AI266" s="44"/>
      <c r="AJ266" s="44"/>
    </row>
    <row r="267" spans="14:36">
      <c r="N267" s="54" t="s">
        <v>549</v>
      </c>
      <c r="O267" s="54" t="s">
        <v>550</v>
      </c>
      <c r="P267" s="54" t="s">
        <v>552</v>
      </c>
      <c r="Q267" s="78" t="s">
        <v>0</v>
      </c>
      <c r="R267" s="44">
        <f t="shared" si="13"/>
        <v>44</v>
      </c>
      <c r="S267" s="44" t="e">
        <f t="shared" ca="1" si="14"/>
        <v>#N/A</v>
      </c>
      <c r="T267" s="44">
        <f t="shared" si="15"/>
        <v>264</v>
      </c>
      <c r="U267" s="44" t="str">
        <f>IF($T267&lt;=Z$4,INDEX(TypicalCriticalitiesMAHBarrier23[Barrier Family Description],MATCH($T267,TypicalCriticalitiesMAHBarrier23[Barrier Family ID],0)),"")</f>
        <v/>
      </c>
      <c r="V267" s="44" t="e">
        <f ca="1">IF($T267&lt;=AA$4,INDEX(TypicalCriticalitiesMAHBarrier23[Typical Components],MATCH($T267,TypicalCriticalitiesMAHBarrier23[Column2],0)),"")</f>
        <v>#N/A</v>
      </c>
      <c r="W267" s="2" t="e">
        <f ca="1">IF($T267&lt;=AA$4,INDEX(TypicalCriticalitiesMAHBarrier23[Typical Criticality],MATCH($T267,TypicalCriticalitiesMAHBarrier23[Column2],0)),"")</f>
        <v>#N/A</v>
      </c>
      <c r="AE267" s="44"/>
      <c r="AF267" s="44"/>
      <c r="AG267" s="44"/>
      <c r="AH267" s="44"/>
      <c r="AI267" s="44"/>
      <c r="AJ267" s="44"/>
    </row>
    <row r="268" spans="14:36">
      <c r="N268" s="54" t="s">
        <v>549</v>
      </c>
      <c r="O268" s="54" t="s">
        <v>550</v>
      </c>
      <c r="P268" s="54" t="s">
        <v>553</v>
      </c>
      <c r="Q268" s="78" t="s">
        <v>0</v>
      </c>
      <c r="R268" s="44">
        <f t="shared" si="13"/>
        <v>44</v>
      </c>
      <c r="S268" s="44" t="e">
        <f t="shared" ca="1" si="14"/>
        <v>#N/A</v>
      </c>
      <c r="T268" s="44">
        <f t="shared" si="15"/>
        <v>265</v>
      </c>
      <c r="U268" s="44" t="str">
        <f>IF($T268&lt;=Z$4,INDEX(TypicalCriticalitiesMAHBarrier23[Barrier Family Description],MATCH($T268,TypicalCriticalitiesMAHBarrier23[Barrier Family ID],0)),"")</f>
        <v/>
      </c>
      <c r="V268" s="44" t="e">
        <f ca="1">IF($T268&lt;=AA$4,INDEX(TypicalCriticalitiesMAHBarrier23[Typical Components],MATCH($T268,TypicalCriticalitiesMAHBarrier23[Column2],0)),"")</f>
        <v>#N/A</v>
      </c>
      <c r="W268" s="2" t="e">
        <f ca="1">IF($T268&lt;=AA$4,INDEX(TypicalCriticalitiesMAHBarrier23[Typical Criticality],MATCH($T268,TypicalCriticalitiesMAHBarrier23[Column2],0)),"")</f>
        <v>#N/A</v>
      </c>
      <c r="AE268" s="44"/>
      <c r="AF268" s="44"/>
      <c r="AG268" s="44"/>
      <c r="AH268" s="44"/>
      <c r="AI268" s="44"/>
      <c r="AJ268" s="44"/>
    </row>
    <row r="269" spans="14:36">
      <c r="N269" s="54" t="s">
        <v>549</v>
      </c>
      <c r="O269" s="54" t="s">
        <v>550</v>
      </c>
      <c r="P269" s="54" t="s">
        <v>554</v>
      </c>
      <c r="Q269" s="78" t="s">
        <v>0</v>
      </c>
      <c r="R269" s="44">
        <f t="shared" si="13"/>
        <v>44</v>
      </c>
      <c r="S269" s="44" t="e">
        <f t="shared" ca="1" si="14"/>
        <v>#N/A</v>
      </c>
      <c r="T269" s="44">
        <f t="shared" si="15"/>
        <v>266</v>
      </c>
      <c r="U269" s="44" t="str">
        <f>IF($T269&lt;=Z$4,INDEX(TypicalCriticalitiesMAHBarrier23[Barrier Family Description],MATCH($T269,TypicalCriticalitiesMAHBarrier23[Barrier Family ID],0)),"")</f>
        <v/>
      </c>
      <c r="V269" s="44" t="e">
        <f ca="1">IF($T269&lt;=AA$4,INDEX(TypicalCriticalitiesMAHBarrier23[Typical Components],MATCH($T269,TypicalCriticalitiesMAHBarrier23[Column2],0)),"")</f>
        <v>#N/A</v>
      </c>
      <c r="W269" s="2" t="e">
        <f ca="1">IF($T269&lt;=AA$4,INDEX(TypicalCriticalitiesMAHBarrier23[Typical Criticality],MATCH($T269,TypicalCriticalitiesMAHBarrier23[Column2],0)),"")</f>
        <v>#N/A</v>
      </c>
      <c r="AE269" s="44"/>
      <c r="AF269" s="44"/>
      <c r="AG269" s="44"/>
      <c r="AH269" s="44"/>
      <c r="AI269" s="44"/>
      <c r="AJ269" s="44"/>
    </row>
    <row r="270" spans="14:36">
      <c r="N270" s="54" t="s">
        <v>549</v>
      </c>
      <c r="O270" s="54" t="s">
        <v>550</v>
      </c>
      <c r="P270" s="54" t="s">
        <v>555</v>
      </c>
      <c r="Q270" s="78" t="s">
        <v>1</v>
      </c>
      <c r="R270" s="44">
        <f t="shared" si="13"/>
        <v>44</v>
      </c>
      <c r="S270" s="44" t="e">
        <f t="shared" ca="1" si="14"/>
        <v>#N/A</v>
      </c>
      <c r="T270" s="44">
        <f t="shared" si="15"/>
        <v>267</v>
      </c>
      <c r="U270" s="44" t="str">
        <f>IF($T270&lt;=Z$4,INDEX(TypicalCriticalitiesMAHBarrier23[Barrier Family Description],MATCH($T270,TypicalCriticalitiesMAHBarrier23[Barrier Family ID],0)),"")</f>
        <v/>
      </c>
      <c r="V270" s="44" t="e">
        <f ca="1">IF($T270&lt;=AA$4,INDEX(TypicalCriticalitiesMAHBarrier23[Typical Components],MATCH($T270,TypicalCriticalitiesMAHBarrier23[Column2],0)),"")</f>
        <v>#N/A</v>
      </c>
      <c r="W270" s="2" t="e">
        <f ca="1">IF($T270&lt;=AA$4,INDEX(TypicalCriticalitiesMAHBarrier23[Typical Criticality],MATCH($T270,TypicalCriticalitiesMAHBarrier23[Column2],0)),"")</f>
        <v>#N/A</v>
      </c>
      <c r="AE270" s="44"/>
      <c r="AF270" s="44"/>
      <c r="AG270" s="44"/>
      <c r="AH270" s="44"/>
      <c r="AI270" s="44"/>
      <c r="AJ270" s="44"/>
    </row>
    <row r="271" spans="14:36">
      <c r="N271" s="54" t="s">
        <v>549</v>
      </c>
      <c r="O271" s="54" t="s">
        <v>550</v>
      </c>
      <c r="P271" s="54" t="s">
        <v>556</v>
      </c>
      <c r="Q271" s="78" t="s">
        <v>1</v>
      </c>
      <c r="R271" s="44">
        <f t="shared" si="13"/>
        <v>44</v>
      </c>
      <c r="S271" s="44" t="e">
        <f t="shared" ca="1" si="14"/>
        <v>#N/A</v>
      </c>
      <c r="T271" s="44">
        <f t="shared" si="15"/>
        <v>268</v>
      </c>
      <c r="U271" s="44" t="str">
        <f>IF($T271&lt;=Z$4,INDEX(TypicalCriticalitiesMAHBarrier23[Barrier Family Description],MATCH($T271,TypicalCriticalitiesMAHBarrier23[Barrier Family ID],0)),"")</f>
        <v/>
      </c>
      <c r="V271" s="44" t="e">
        <f ca="1">IF($T271&lt;=AA$4,INDEX(TypicalCriticalitiesMAHBarrier23[Typical Components],MATCH($T271,TypicalCriticalitiesMAHBarrier23[Column2],0)),"")</f>
        <v>#N/A</v>
      </c>
      <c r="W271" s="2" t="e">
        <f ca="1">IF($T271&lt;=AA$4,INDEX(TypicalCriticalitiesMAHBarrier23[Typical Criticality],MATCH($T271,TypicalCriticalitiesMAHBarrier23[Column2],0)),"")</f>
        <v>#N/A</v>
      </c>
      <c r="AE271" s="44"/>
      <c r="AF271" s="44"/>
      <c r="AG271" s="44"/>
      <c r="AH271" s="44"/>
      <c r="AI271" s="44"/>
      <c r="AJ271" s="44"/>
    </row>
    <row r="272" spans="14:36">
      <c r="N272" s="54" t="s">
        <v>549</v>
      </c>
      <c r="O272" s="54" t="s">
        <v>550</v>
      </c>
      <c r="P272" s="54" t="s">
        <v>557</v>
      </c>
      <c r="Q272" s="78" t="s">
        <v>1</v>
      </c>
      <c r="R272" s="44">
        <f t="shared" si="13"/>
        <v>44</v>
      </c>
      <c r="S272" s="44" t="e">
        <f t="shared" ca="1" si="14"/>
        <v>#N/A</v>
      </c>
      <c r="T272" s="44">
        <f t="shared" si="15"/>
        <v>269</v>
      </c>
      <c r="U272" s="44" t="str">
        <f>IF($T272&lt;=Z$4,INDEX(TypicalCriticalitiesMAHBarrier23[Barrier Family Description],MATCH($T272,TypicalCriticalitiesMAHBarrier23[Barrier Family ID],0)),"")</f>
        <v/>
      </c>
      <c r="V272" s="44" t="e">
        <f ca="1">IF($T272&lt;=AA$4,INDEX(TypicalCriticalitiesMAHBarrier23[Typical Components],MATCH($T272,TypicalCriticalitiesMAHBarrier23[Column2],0)),"")</f>
        <v>#N/A</v>
      </c>
      <c r="W272" s="2" t="e">
        <f ca="1">IF($T272&lt;=AA$4,INDEX(TypicalCriticalitiesMAHBarrier23[Typical Criticality],MATCH($T272,TypicalCriticalitiesMAHBarrier23[Column2],0)),"")</f>
        <v>#N/A</v>
      </c>
      <c r="AE272" s="44"/>
      <c r="AF272" s="44"/>
      <c r="AG272" s="44"/>
      <c r="AH272" s="44"/>
      <c r="AI272" s="44"/>
      <c r="AJ272" s="44"/>
    </row>
    <row r="273" spans="14:36">
      <c r="N273" s="54" t="s">
        <v>549</v>
      </c>
      <c r="O273" s="54" t="s">
        <v>550</v>
      </c>
      <c r="P273" s="54" t="s">
        <v>558</v>
      </c>
      <c r="Q273" s="78" t="s">
        <v>0</v>
      </c>
      <c r="R273" s="44">
        <f t="shared" si="13"/>
        <v>44</v>
      </c>
      <c r="S273" s="44" t="e">
        <f t="shared" ca="1" si="14"/>
        <v>#N/A</v>
      </c>
      <c r="T273" s="44">
        <f t="shared" si="15"/>
        <v>270</v>
      </c>
      <c r="U273" s="44" t="str">
        <f>IF($T273&lt;=Z$4,INDEX(TypicalCriticalitiesMAHBarrier23[Barrier Family Description],MATCH($T273,TypicalCriticalitiesMAHBarrier23[Barrier Family ID],0)),"")</f>
        <v/>
      </c>
      <c r="V273" s="44" t="e">
        <f ca="1">IF($T273&lt;=AA$4,INDEX(TypicalCriticalitiesMAHBarrier23[Typical Components],MATCH($T273,TypicalCriticalitiesMAHBarrier23[Column2],0)),"")</f>
        <v>#N/A</v>
      </c>
      <c r="W273" s="2" t="e">
        <f ca="1">IF($T273&lt;=AA$4,INDEX(TypicalCriticalitiesMAHBarrier23[Typical Criticality],MATCH($T273,TypicalCriticalitiesMAHBarrier23[Column2],0)),"")</f>
        <v>#N/A</v>
      </c>
      <c r="AE273" s="44"/>
      <c r="AF273" s="44"/>
      <c r="AG273" s="44"/>
      <c r="AH273" s="44"/>
      <c r="AI273" s="44"/>
      <c r="AJ273" s="44"/>
    </row>
    <row r="274" spans="14:36">
      <c r="N274" s="54" t="s">
        <v>549</v>
      </c>
      <c r="O274" s="54" t="s">
        <v>550</v>
      </c>
      <c r="P274" s="54" t="s">
        <v>559</v>
      </c>
      <c r="Q274" s="78" t="s">
        <v>2</v>
      </c>
      <c r="R274" s="44">
        <f t="shared" si="13"/>
        <v>44</v>
      </c>
      <c r="S274" s="44" t="e">
        <f t="shared" ca="1" si="14"/>
        <v>#N/A</v>
      </c>
      <c r="T274" s="44">
        <f t="shared" si="15"/>
        <v>271</v>
      </c>
      <c r="U274" s="44" t="str">
        <f>IF($T274&lt;=Z$4,INDEX(TypicalCriticalitiesMAHBarrier23[Barrier Family Description],MATCH($T274,TypicalCriticalitiesMAHBarrier23[Barrier Family ID],0)),"")</f>
        <v/>
      </c>
      <c r="V274" s="44" t="e">
        <f ca="1">IF($T274&lt;=AA$4,INDEX(TypicalCriticalitiesMAHBarrier23[Typical Components],MATCH($T274,TypicalCriticalitiesMAHBarrier23[Column2],0)),"")</f>
        <v>#N/A</v>
      </c>
      <c r="W274" s="2" t="e">
        <f ca="1">IF($T274&lt;=AA$4,INDEX(TypicalCriticalitiesMAHBarrier23[Typical Criticality],MATCH($T274,TypicalCriticalitiesMAHBarrier23[Column2],0)),"")</f>
        <v>#N/A</v>
      </c>
      <c r="AE274" s="44"/>
      <c r="AF274" s="44"/>
      <c r="AG274" s="44"/>
      <c r="AH274" s="44"/>
      <c r="AI274" s="44"/>
      <c r="AJ274" s="44"/>
    </row>
    <row r="275" spans="14:36">
      <c r="N275" s="54" t="s">
        <v>549</v>
      </c>
      <c r="O275" s="54" t="s">
        <v>560</v>
      </c>
      <c r="P275" s="54" t="s">
        <v>561</v>
      </c>
      <c r="Q275" s="78" t="s">
        <v>0</v>
      </c>
      <c r="R275" s="44">
        <f t="shared" si="13"/>
        <v>45</v>
      </c>
      <c r="S275" s="44" t="e">
        <f t="shared" ca="1" si="14"/>
        <v>#N/A</v>
      </c>
      <c r="T275" s="44">
        <f t="shared" si="15"/>
        <v>272</v>
      </c>
      <c r="U275" s="44" t="str">
        <f>IF($T275&lt;=Z$4,INDEX(TypicalCriticalitiesMAHBarrier23[Barrier Family Description],MATCH($T275,TypicalCriticalitiesMAHBarrier23[Barrier Family ID],0)),"")</f>
        <v/>
      </c>
      <c r="V275" s="44" t="e">
        <f ca="1">IF($T275&lt;=AA$4,INDEX(TypicalCriticalitiesMAHBarrier23[Typical Components],MATCH($T275,TypicalCriticalitiesMAHBarrier23[Column2],0)),"")</f>
        <v>#N/A</v>
      </c>
      <c r="W275" s="2" t="e">
        <f ca="1">IF($T275&lt;=AA$4,INDEX(TypicalCriticalitiesMAHBarrier23[Typical Criticality],MATCH($T275,TypicalCriticalitiesMAHBarrier23[Column2],0)),"")</f>
        <v>#N/A</v>
      </c>
      <c r="AE275" s="44"/>
      <c r="AF275" s="44"/>
      <c r="AG275" s="44"/>
      <c r="AH275" s="44"/>
      <c r="AI275" s="44"/>
      <c r="AJ275" s="44"/>
    </row>
    <row r="276" spans="14:36">
      <c r="N276" s="54" t="s">
        <v>549</v>
      </c>
      <c r="O276" s="54" t="s">
        <v>560</v>
      </c>
      <c r="P276" s="54" t="s">
        <v>562</v>
      </c>
      <c r="Q276" s="78" t="s">
        <v>0</v>
      </c>
      <c r="R276" s="44">
        <f t="shared" si="13"/>
        <v>45</v>
      </c>
      <c r="S276" s="44" t="e">
        <f t="shared" ca="1" si="14"/>
        <v>#N/A</v>
      </c>
      <c r="T276" s="44">
        <f t="shared" si="15"/>
        <v>273</v>
      </c>
      <c r="U276" s="44" t="str">
        <f>IF($T276&lt;=Z$4,INDEX(TypicalCriticalitiesMAHBarrier23[Barrier Family Description],MATCH($T276,TypicalCriticalitiesMAHBarrier23[Barrier Family ID],0)),"")</f>
        <v/>
      </c>
      <c r="V276" s="44" t="e">
        <f ca="1">IF($T276&lt;=AA$4,INDEX(TypicalCriticalitiesMAHBarrier23[Typical Components],MATCH($T276,TypicalCriticalitiesMAHBarrier23[Column2],0)),"")</f>
        <v>#N/A</v>
      </c>
      <c r="W276" s="2" t="e">
        <f ca="1">IF($T276&lt;=AA$4,INDEX(TypicalCriticalitiesMAHBarrier23[Typical Criticality],MATCH($T276,TypicalCriticalitiesMAHBarrier23[Column2],0)),"")</f>
        <v>#N/A</v>
      </c>
      <c r="AE276" s="44"/>
      <c r="AF276" s="44"/>
      <c r="AG276" s="44"/>
      <c r="AH276" s="44"/>
      <c r="AI276" s="44"/>
      <c r="AJ276" s="44"/>
    </row>
    <row r="277" spans="14:36">
      <c r="N277" s="54" t="s">
        <v>549</v>
      </c>
      <c r="O277" s="54" t="s">
        <v>560</v>
      </c>
      <c r="P277" s="54" t="s">
        <v>563</v>
      </c>
      <c r="Q277" s="78" t="s">
        <v>0</v>
      </c>
      <c r="R277" s="44">
        <f t="shared" si="13"/>
        <v>45</v>
      </c>
      <c r="S277" s="44" t="e">
        <f t="shared" ca="1" si="14"/>
        <v>#N/A</v>
      </c>
      <c r="T277" s="44">
        <f t="shared" si="15"/>
        <v>274</v>
      </c>
      <c r="U277" s="44" t="str">
        <f>IF($T277&lt;=Z$4,INDEX(TypicalCriticalitiesMAHBarrier23[Barrier Family Description],MATCH($T277,TypicalCriticalitiesMAHBarrier23[Barrier Family ID],0)),"")</f>
        <v/>
      </c>
      <c r="V277" s="44" t="e">
        <f ca="1">IF($T277&lt;=AA$4,INDEX(TypicalCriticalitiesMAHBarrier23[Typical Components],MATCH($T277,TypicalCriticalitiesMAHBarrier23[Column2],0)),"")</f>
        <v>#N/A</v>
      </c>
      <c r="W277" s="2" t="e">
        <f ca="1">IF($T277&lt;=AA$4,INDEX(TypicalCriticalitiesMAHBarrier23[Typical Criticality],MATCH($T277,TypicalCriticalitiesMAHBarrier23[Column2],0)),"")</f>
        <v>#N/A</v>
      </c>
      <c r="AE277" s="44"/>
      <c r="AF277" s="44"/>
      <c r="AG277" s="44"/>
      <c r="AH277" s="44"/>
      <c r="AI277" s="44"/>
      <c r="AJ277" s="44"/>
    </row>
    <row r="278" spans="14:36">
      <c r="N278" s="54" t="s">
        <v>549</v>
      </c>
      <c r="O278" s="54" t="s">
        <v>560</v>
      </c>
      <c r="P278" s="54" t="s">
        <v>564</v>
      </c>
      <c r="Q278" s="78" t="s">
        <v>0</v>
      </c>
      <c r="R278" s="44">
        <f t="shared" si="13"/>
        <v>45</v>
      </c>
      <c r="S278" s="44" t="e">
        <f t="shared" ca="1" si="14"/>
        <v>#N/A</v>
      </c>
      <c r="T278" s="44">
        <f t="shared" si="15"/>
        <v>275</v>
      </c>
      <c r="U278" s="44" t="str">
        <f>IF($T278&lt;=Z$4,INDEX(TypicalCriticalitiesMAHBarrier23[Barrier Family Description],MATCH($T278,TypicalCriticalitiesMAHBarrier23[Barrier Family ID],0)),"")</f>
        <v/>
      </c>
      <c r="V278" s="44" t="e">
        <f ca="1">IF($T278&lt;=AA$4,INDEX(TypicalCriticalitiesMAHBarrier23[Typical Components],MATCH($T278,TypicalCriticalitiesMAHBarrier23[Column2],0)),"")</f>
        <v>#N/A</v>
      </c>
      <c r="W278" s="2" t="e">
        <f ca="1">IF($T278&lt;=AA$4,INDEX(TypicalCriticalitiesMAHBarrier23[Typical Criticality],MATCH($T278,TypicalCriticalitiesMAHBarrier23[Column2],0)),"")</f>
        <v>#N/A</v>
      </c>
      <c r="AE278" s="44"/>
      <c r="AF278" s="44"/>
      <c r="AG278" s="44"/>
      <c r="AH278" s="44"/>
      <c r="AI278" s="44"/>
      <c r="AJ278" s="44"/>
    </row>
    <row r="279" spans="14:36">
      <c r="N279" s="54" t="s">
        <v>549</v>
      </c>
      <c r="O279" s="54" t="s">
        <v>560</v>
      </c>
      <c r="P279" s="54" t="s">
        <v>565</v>
      </c>
      <c r="Q279" s="78" t="s">
        <v>1</v>
      </c>
      <c r="R279" s="44">
        <f t="shared" si="13"/>
        <v>45</v>
      </c>
      <c r="S279" s="44" t="e">
        <f t="shared" ca="1" si="14"/>
        <v>#N/A</v>
      </c>
      <c r="T279" s="44">
        <f t="shared" si="15"/>
        <v>276</v>
      </c>
      <c r="U279" s="44" t="str">
        <f>IF($T279&lt;=Z$4,INDEX(TypicalCriticalitiesMAHBarrier23[Barrier Family Description],MATCH($T279,TypicalCriticalitiesMAHBarrier23[Barrier Family ID],0)),"")</f>
        <v/>
      </c>
      <c r="V279" s="44" t="e">
        <f ca="1">IF($T279&lt;=AA$4,INDEX(TypicalCriticalitiesMAHBarrier23[Typical Components],MATCH($T279,TypicalCriticalitiesMAHBarrier23[Column2],0)),"")</f>
        <v>#N/A</v>
      </c>
      <c r="W279" s="2" t="e">
        <f ca="1">IF($T279&lt;=AA$4,INDEX(TypicalCriticalitiesMAHBarrier23[Typical Criticality],MATCH($T279,TypicalCriticalitiesMAHBarrier23[Column2],0)),"")</f>
        <v>#N/A</v>
      </c>
      <c r="AE279" s="44"/>
      <c r="AF279" s="44"/>
      <c r="AG279" s="44"/>
      <c r="AH279" s="44"/>
      <c r="AI279" s="44"/>
      <c r="AJ279" s="44"/>
    </row>
    <row r="280" spans="14:36">
      <c r="N280" s="54" t="s">
        <v>549</v>
      </c>
      <c r="O280" s="54" t="s">
        <v>560</v>
      </c>
      <c r="P280" s="54" t="s">
        <v>566</v>
      </c>
      <c r="Q280" s="78" t="s">
        <v>0</v>
      </c>
      <c r="R280" s="44">
        <f t="shared" si="13"/>
        <v>45</v>
      </c>
      <c r="S280" s="44" t="e">
        <f t="shared" ca="1" si="14"/>
        <v>#N/A</v>
      </c>
      <c r="T280" s="44">
        <f t="shared" si="15"/>
        <v>277</v>
      </c>
      <c r="U280" s="44" t="str">
        <f>IF($T280&lt;=Z$4,INDEX(TypicalCriticalitiesMAHBarrier23[Barrier Family Description],MATCH($T280,TypicalCriticalitiesMAHBarrier23[Barrier Family ID],0)),"")</f>
        <v/>
      </c>
      <c r="V280" s="44" t="e">
        <f ca="1">IF($T280&lt;=AA$4,INDEX(TypicalCriticalitiesMAHBarrier23[Typical Components],MATCH($T280,TypicalCriticalitiesMAHBarrier23[Column2],0)),"")</f>
        <v>#N/A</v>
      </c>
      <c r="W280" s="2" t="e">
        <f ca="1">IF($T280&lt;=AA$4,INDEX(TypicalCriticalitiesMAHBarrier23[Typical Criticality],MATCH($T280,TypicalCriticalitiesMAHBarrier23[Column2],0)),"")</f>
        <v>#N/A</v>
      </c>
      <c r="AE280" s="44"/>
      <c r="AF280" s="44"/>
      <c r="AG280" s="44"/>
      <c r="AH280" s="44"/>
      <c r="AI280" s="44"/>
      <c r="AJ280" s="44"/>
    </row>
    <row r="281" spans="14:36">
      <c r="N281" s="54" t="s">
        <v>549</v>
      </c>
      <c r="O281" s="54" t="s">
        <v>560</v>
      </c>
      <c r="P281" s="54" t="s">
        <v>567</v>
      </c>
      <c r="Q281" s="78" t="s">
        <v>1</v>
      </c>
      <c r="R281" s="44">
        <f t="shared" si="13"/>
        <v>45</v>
      </c>
      <c r="S281" s="44" t="e">
        <f t="shared" ca="1" si="14"/>
        <v>#N/A</v>
      </c>
      <c r="T281" s="44">
        <f t="shared" si="15"/>
        <v>278</v>
      </c>
      <c r="U281" s="44" t="str">
        <f>IF($T281&lt;=Z$4,INDEX(TypicalCriticalitiesMAHBarrier23[Barrier Family Description],MATCH($T281,TypicalCriticalitiesMAHBarrier23[Barrier Family ID],0)),"")</f>
        <v/>
      </c>
      <c r="V281" s="44" t="e">
        <f ca="1">IF($T281&lt;=AA$4,INDEX(TypicalCriticalitiesMAHBarrier23[Typical Components],MATCH($T281,TypicalCriticalitiesMAHBarrier23[Column2],0)),"")</f>
        <v>#N/A</v>
      </c>
      <c r="W281" s="2" t="e">
        <f ca="1">IF($T281&lt;=AA$4,INDEX(TypicalCriticalitiesMAHBarrier23[Typical Criticality],MATCH($T281,TypicalCriticalitiesMAHBarrier23[Column2],0)),"")</f>
        <v>#N/A</v>
      </c>
      <c r="AE281" s="44"/>
      <c r="AF281" s="44"/>
      <c r="AG281" s="44"/>
      <c r="AH281" s="44"/>
      <c r="AI281" s="44"/>
      <c r="AJ281" s="44"/>
    </row>
    <row r="282" spans="14:36">
      <c r="N282" s="54" t="s">
        <v>568</v>
      </c>
      <c r="O282" s="54" t="s">
        <v>569</v>
      </c>
      <c r="P282" s="54" t="s">
        <v>570</v>
      </c>
      <c r="Q282" s="78" t="s">
        <v>0</v>
      </c>
      <c r="R282" s="44">
        <f t="shared" si="13"/>
        <v>46</v>
      </c>
      <c r="S282" s="44" t="e">
        <f t="shared" ca="1" si="14"/>
        <v>#N/A</v>
      </c>
      <c r="T282" s="44">
        <f t="shared" si="15"/>
        <v>279</v>
      </c>
      <c r="U282" s="44" t="str">
        <f>IF($T282&lt;=Z$4,INDEX(TypicalCriticalitiesMAHBarrier23[Barrier Family Description],MATCH($T282,TypicalCriticalitiesMAHBarrier23[Barrier Family ID],0)),"")</f>
        <v/>
      </c>
      <c r="V282" s="44" t="e">
        <f ca="1">IF($T282&lt;=AA$4,INDEX(TypicalCriticalitiesMAHBarrier23[Typical Components],MATCH($T282,TypicalCriticalitiesMAHBarrier23[Column2],0)),"")</f>
        <v>#N/A</v>
      </c>
      <c r="W282" s="2" t="e">
        <f ca="1">IF($T282&lt;=AA$4,INDEX(TypicalCriticalitiesMAHBarrier23[Typical Criticality],MATCH($T282,TypicalCriticalitiesMAHBarrier23[Column2],0)),"")</f>
        <v>#N/A</v>
      </c>
      <c r="AE282" s="44"/>
      <c r="AF282" s="44"/>
      <c r="AG282" s="44"/>
      <c r="AH282" s="44"/>
      <c r="AI282" s="44"/>
      <c r="AJ282" s="44"/>
    </row>
    <row r="283" spans="14:36">
      <c r="N283" s="54" t="s">
        <v>568</v>
      </c>
      <c r="O283" s="54" t="s">
        <v>569</v>
      </c>
      <c r="P283" s="54" t="s">
        <v>571</v>
      </c>
      <c r="Q283" s="78" t="s">
        <v>0</v>
      </c>
      <c r="R283" s="44">
        <f t="shared" si="13"/>
        <v>46</v>
      </c>
      <c r="S283" s="44" t="e">
        <f t="shared" ca="1" si="14"/>
        <v>#N/A</v>
      </c>
      <c r="T283" s="44">
        <f t="shared" si="15"/>
        <v>280</v>
      </c>
      <c r="U283" s="44" t="str">
        <f>IF($T283&lt;=Z$4,INDEX(TypicalCriticalitiesMAHBarrier23[Barrier Family Description],MATCH($T283,TypicalCriticalitiesMAHBarrier23[Barrier Family ID],0)),"")</f>
        <v/>
      </c>
      <c r="V283" s="44" t="e">
        <f ca="1">IF($T283&lt;=AA$4,INDEX(TypicalCriticalitiesMAHBarrier23[Typical Components],MATCH($T283,TypicalCriticalitiesMAHBarrier23[Column2],0)),"")</f>
        <v>#N/A</v>
      </c>
      <c r="W283" s="2" t="e">
        <f ca="1">IF($T283&lt;=AA$4,INDEX(TypicalCriticalitiesMAHBarrier23[Typical Criticality],MATCH($T283,TypicalCriticalitiesMAHBarrier23[Column2],0)),"")</f>
        <v>#N/A</v>
      </c>
      <c r="AE283" s="44"/>
      <c r="AF283" s="44"/>
      <c r="AG283" s="44"/>
      <c r="AH283" s="44"/>
      <c r="AI283" s="44"/>
      <c r="AJ283" s="44"/>
    </row>
    <row r="284" spans="14:36">
      <c r="N284" s="54" t="s">
        <v>572</v>
      </c>
      <c r="O284" s="54" t="s">
        <v>573</v>
      </c>
      <c r="P284" s="54" t="s">
        <v>574</v>
      </c>
      <c r="Q284" s="78" t="s">
        <v>0</v>
      </c>
      <c r="R284" s="44">
        <f t="shared" si="13"/>
        <v>47</v>
      </c>
      <c r="S284" s="44" t="e">
        <f t="shared" ca="1" si="14"/>
        <v>#N/A</v>
      </c>
      <c r="T284" s="44">
        <f t="shared" si="15"/>
        <v>281</v>
      </c>
      <c r="U284" s="44" t="str">
        <f>IF($T284&lt;=Z$4,INDEX(TypicalCriticalitiesMAHBarrier23[Barrier Family Description],MATCH($T284,TypicalCriticalitiesMAHBarrier23[Barrier Family ID],0)),"")</f>
        <v/>
      </c>
      <c r="V284" s="44" t="e">
        <f ca="1">IF($T284&lt;=AA$4,INDEX(TypicalCriticalitiesMAHBarrier23[Typical Components],MATCH($T284,TypicalCriticalitiesMAHBarrier23[Column2],0)),"")</f>
        <v>#N/A</v>
      </c>
      <c r="W284" s="2" t="e">
        <f ca="1">IF($T284&lt;=AA$4,INDEX(TypicalCriticalitiesMAHBarrier23[Typical Criticality],MATCH($T284,TypicalCriticalitiesMAHBarrier23[Column2],0)),"")</f>
        <v>#N/A</v>
      </c>
      <c r="AE284" s="44"/>
      <c r="AF284" s="44"/>
      <c r="AG284" s="44"/>
      <c r="AH284" s="44"/>
      <c r="AI284" s="44"/>
      <c r="AJ284" s="44"/>
    </row>
    <row r="285" spans="14:36">
      <c r="N285" s="54" t="s">
        <v>575</v>
      </c>
      <c r="O285" s="54" t="s">
        <v>576</v>
      </c>
      <c r="P285" s="54" t="s">
        <v>577</v>
      </c>
      <c r="Q285" s="78" t="s">
        <v>0</v>
      </c>
      <c r="R285" s="44">
        <f t="shared" si="13"/>
        <v>48</v>
      </c>
      <c r="S285" s="44" t="e">
        <f t="shared" ca="1" si="14"/>
        <v>#N/A</v>
      </c>
      <c r="T285" s="44">
        <f t="shared" si="15"/>
        <v>282</v>
      </c>
      <c r="U285" s="44" t="str">
        <f>IF($T285&lt;=Z$4,INDEX(TypicalCriticalitiesMAHBarrier23[Barrier Family Description],MATCH($T285,TypicalCriticalitiesMAHBarrier23[Barrier Family ID],0)),"")</f>
        <v/>
      </c>
      <c r="V285" s="44" t="e">
        <f ca="1">IF($T285&lt;=AA$4,INDEX(TypicalCriticalitiesMAHBarrier23[Typical Components],MATCH($T285,TypicalCriticalitiesMAHBarrier23[Column2],0)),"")</f>
        <v>#N/A</v>
      </c>
      <c r="W285" s="2" t="e">
        <f ca="1">IF($T285&lt;=AA$4,INDEX(TypicalCriticalitiesMAHBarrier23[Typical Criticality],MATCH($T285,TypicalCriticalitiesMAHBarrier23[Column2],0)),"")</f>
        <v>#N/A</v>
      </c>
      <c r="AE285" s="44"/>
      <c r="AF285" s="44"/>
      <c r="AG285" s="44"/>
      <c r="AH285" s="44"/>
      <c r="AI285" s="44"/>
      <c r="AJ285" s="44"/>
    </row>
    <row r="286" spans="14:36">
      <c r="N286" s="54" t="s">
        <v>575</v>
      </c>
      <c r="O286" s="54" t="s">
        <v>576</v>
      </c>
      <c r="P286" s="54" t="s">
        <v>578</v>
      </c>
      <c r="Q286" s="78" t="s">
        <v>0</v>
      </c>
      <c r="R286" s="44">
        <f t="shared" si="13"/>
        <v>48</v>
      </c>
      <c r="S286" s="44" t="e">
        <f t="shared" ca="1" si="14"/>
        <v>#N/A</v>
      </c>
      <c r="T286" s="44">
        <f t="shared" si="15"/>
        <v>283</v>
      </c>
      <c r="U286" s="44" t="str">
        <f>IF($T286&lt;=Z$4,INDEX(TypicalCriticalitiesMAHBarrier23[Barrier Family Description],MATCH($T286,TypicalCriticalitiesMAHBarrier23[Barrier Family ID],0)),"")</f>
        <v/>
      </c>
      <c r="V286" s="44" t="e">
        <f ca="1">IF($T286&lt;=AA$4,INDEX(TypicalCriticalitiesMAHBarrier23[Typical Components],MATCH($T286,TypicalCriticalitiesMAHBarrier23[Column2],0)),"")</f>
        <v>#N/A</v>
      </c>
      <c r="W286" s="2" t="e">
        <f ca="1">IF($T286&lt;=AA$4,INDEX(TypicalCriticalitiesMAHBarrier23[Typical Criticality],MATCH($T286,TypicalCriticalitiesMAHBarrier23[Column2],0)),"")</f>
        <v>#N/A</v>
      </c>
      <c r="AE286" s="44"/>
      <c r="AF286" s="44"/>
      <c r="AG286" s="44"/>
      <c r="AH286" s="44"/>
      <c r="AI286" s="44"/>
      <c r="AJ286" s="44"/>
    </row>
    <row r="287" spans="14:36">
      <c r="N287" s="54" t="s">
        <v>575</v>
      </c>
      <c r="O287" s="54" t="s">
        <v>576</v>
      </c>
      <c r="P287" s="54" t="s">
        <v>579</v>
      </c>
      <c r="Q287" s="78" t="s">
        <v>0</v>
      </c>
      <c r="R287" s="44">
        <f t="shared" si="13"/>
        <v>48</v>
      </c>
      <c r="S287" s="44" t="e">
        <f t="shared" ca="1" si="14"/>
        <v>#N/A</v>
      </c>
      <c r="T287" s="44">
        <f t="shared" si="15"/>
        <v>284</v>
      </c>
      <c r="U287" s="44" t="str">
        <f>IF($T287&lt;=Z$4,INDEX(TypicalCriticalitiesMAHBarrier23[Barrier Family Description],MATCH($T287,TypicalCriticalitiesMAHBarrier23[Barrier Family ID],0)),"")</f>
        <v/>
      </c>
      <c r="V287" s="44" t="e">
        <f ca="1">IF($T287&lt;=AA$4,INDEX(TypicalCriticalitiesMAHBarrier23[Typical Components],MATCH($T287,TypicalCriticalitiesMAHBarrier23[Column2],0)),"")</f>
        <v>#N/A</v>
      </c>
      <c r="W287" s="2" t="e">
        <f ca="1">IF($T287&lt;=AA$4,INDEX(TypicalCriticalitiesMAHBarrier23[Typical Criticality],MATCH($T287,TypicalCriticalitiesMAHBarrier23[Column2],0)),"")</f>
        <v>#N/A</v>
      </c>
      <c r="AE287" s="44"/>
      <c r="AF287" s="44"/>
      <c r="AG287" s="44"/>
      <c r="AH287" s="44"/>
      <c r="AI287" s="44"/>
      <c r="AJ287" s="44"/>
    </row>
    <row r="288" spans="14:36">
      <c r="N288" s="54" t="s">
        <v>580</v>
      </c>
      <c r="O288" s="54" t="s">
        <v>581</v>
      </c>
      <c r="P288" s="54" t="s">
        <v>582</v>
      </c>
      <c r="Q288" s="78" t="s">
        <v>0</v>
      </c>
      <c r="R288" s="44">
        <f t="shared" si="13"/>
        <v>49</v>
      </c>
      <c r="S288" s="44" t="e">
        <f t="shared" ca="1" si="14"/>
        <v>#N/A</v>
      </c>
      <c r="T288" s="44">
        <f t="shared" si="15"/>
        <v>285</v>
      </c>
      <c r="U288" s="44" t="str">
        <f>IF($T288&lt;=Z$4,INDEX(TypicalCriticalitiesMAHBarrier23[Barrier Family Description],MATCH($T288,TypicalCriticalitiesMAHBarrier23[Barrier Family ID],0)),"")</f>
        <v/>
      </c>
      <c r="V288" s="44" t="e">
        <f ca="1">IF($T288&lt;=AA$4,INDEX(TypicalCriticalitiesMAHBarrier23[Typical Components],MATCH($T288,TypicalCriticalitiesMAHBarrier23[Column2],0)),"")</f>
        <v>#N/A</v>
      </c>
      <c r="W288" s="2" t="e">
        <f ca="1">IF($T288&lt;=AA$4,INDEX(TypicalCriticalitiesMAHBarrier23[Typical Criticality],MATCH($T288,TypicalCriticalitiesMAHBarrier23[Column2],0)),"")</f>
        <v>#N/A</v>
      </c>
      <c r="AE288" s="44"/>
      <c r="AF288" s="44"/>
      <c r="AG288" s="44"/>
      <c r="AH288" s="44"/>
      <c r="AI288" s="44"/>
      <c r="AJ288" s="44"/>
    </row>
    <row r="289" spans="14:36">
      <c r="N289" s="54" t="s">
        <v>580</v>
      </c>
      <c r="O289" s="54" t="s">
        <v>581</v>
      </c>
      <c r="P289" s="54" t="s">
        <v>583</v>
      </c>
      <c r="Q289" s="78" t="s">
        <v>1</v>
      </c>
      <c r="R289" s="44">
        <f t="shared" si="13"/>
        <v>49</v>
      </c>
      <c r="S289" s="44" t="e">
        <f t="shared" ca="1" si="14"/>
        <v>#N/A</v>
      </c>
      <c r="T289" s="44">
        <f t="shared" si="15"/>
        <v>286</v>
      </c>
      <c r="U289" s="44" t="str">
        <f>IF($T289&lt;=Z$4,INDEX(TypicalCriticalitiesMAHBarrier23[Barrier Family Description],MATCH($T289,TypicalCriticalitiesMAHBarrier23[Barrier Family ID],0)),"")</f>
        <v/>
      </c>
      <c r="V289" s="44" t="e">
        <f ca="1">IF($T289&lt;=AA$4,INDEX(TypicalCriticalitiesMAHBarrier23[Typical Components],MATCH($T289,TypicalCriticalitiesMAHBarrier23[Column2],0)),"")</f>
        <v>#N/A</v>
      </c>
      <c r="W289" s="2" t="e">
        <f ca="1">IF($T289&lt;=AA$4,INDEX(TypicalCriticalitiesMAHBarrier23[Typical Criticality],MATCH($T289,TypicalCriticalitiesMAHBarrier23[Column2],0)),"")</f>
        <v>#N/A</v>
      </c>
      <c r="AE289" s="44"/>
      <c r="AF289" s="44"/>
      <c r="AG289" s="44"/>
      <c r="AH289" s="44"/>
      <c r="AI289" s="44"/>
      <c r="AJ289" s="44"/>
    </row>
    <row r="290" spans="14:36">
      <c r="N290" s="54" t="s">
        <v>580</v>
      </c>
      <c r="O290" s="54" t="s">
        <v>581</v>
      </c>
      <c r="P290" s="54" t="s">
        <v>584</v>
      </c>
      <c r="Q290" s="78" t="s">
        <v>0</v>
      </c>
      <c r="R290" s="44">
        <f t="shared" si="13"/>
        <v>49</v>
      </c>
      <c r="S290" s="44" t="e">
        <f t="shared" ca="1" si="14"/>
        <v>#N/A</v>
      </c>
      <c r="T290" s="44">
        <f t="shared" si="15"/>
        <v>287</v>
      </c>
      <c r="U290" s="44" t="str">
        <f>IF($T290&lt;=Z$4,INDEX(TypicalCriticalitiesMAHBarrier23[Barrier Family Description],MATCH($T290,TypicalCriticalitiesMAHBarrier23[Barrier Family ID],0)),"")</f>
        <v/>
      </c>
      <c r="V290" s="44" t="e">
        <f ca="1">IF($T290&lt;=AA$4,INDEX(TypicalCriticalitiesMAHBarrier23[Typical Components],MATCH($T290,TypicalCriticalitiesMAHBarrier23[Column2],0)),"")</f>
        <v>#N/A</v>
      </c>
      <c r="W290" s="2" t="e">
        <f ca="1">IF($T290&lt;=AA$4,INDEX(TypicalCriticalitiesMAHBarrier23[Typical Criticality],MATCH($T290,TypicalCriticalitiesMAHBarrier23[Column2],0)),"")</f>
        <v>#N/A</v>
      </c>
      <c r="AE290" s="44"/>
      <c r="AF290" s="44"/>
      <c r="AG290" s="44"/>
      <c r="AH290" s="44"/>
      <c r="AI290" s="44"/>
      <c r="AJ290" s="44"/>
    </row>
    <row r="291" spans="14:36">
      <c r="N291" s="54" t="s">
        <v>580</v>
      </c>
      <c r="O291" s="54" t="s">
        <v>581</v>
      </c>
      <c r="P291" s="54" t="s">
        <v>585</v>
      </c>
      <c r="Q291" s="78" t="s">
        <v>0</v>
      </c>
      <c r="R291" s="44">
        <f t="shared" si="13"/>
        <v>49</v>
      </c>
      <c r="S291" s="44" t="e">
        <f t="shared" ca="1" si="14"/>
        <v>#N/A</v>
      </c>
      <c r="T291" s="44">
        <f t="shared" si="15"/>
        <v>288</v>
      </c>
      <c r="U291" s="44" t="str">
        <f>IF($T291&lt;=Z$4,INDEX(TypicalCriticalitiesMAHBarrier23[Barrier Family Description],MATCH($T291,TypicalCriticalitiesMAHBarrier23[Barrier Family ID],0)),"")</f>
        <v/>
      </c>
      <c r="V291" s="44" t="e">
        <f ca="1">IF($T291&lt;=AA$4,INDEX(TypicalCriticalitiesMAHBarrier23[Typical Components],MATCH($T291,TypicalCriticalitiesMAHBarrier23[Column2],0)),"")</f>
        <v>#N/A</v>
      </c>
      <c r="W291" s="2" t="e">
        <f ca="1">IF($T291&lt;=AA$4,INDEX(TypicalCriticalitiesMAHBarrier23[Typical Criticality],MATCH($T291,TypicalCriticalitiesMAHBarrier23[Column2],0)),"")</f>
        <v>#N/A</v>
      </c>
      <c r="AE291" s="44"/>
      <c r="AF291" s="44"/>
      <c r="AG291" s="44"/>
      <c r="AH291" s="44"/>
      <c r="AI291" s="44"/>
      <c r="AJ291" s="44"/>
    </row>
    <row r="292" spans="14:36">
      <c r="N292" s="54" t="s">
        <v>580</v>
      </c>
      <c r="O292" s="54" t="s">
        <v>581</v>
      </c>
      <c r="P292" s="54" t="s">
        <v>586</v>
      </c>
      <c r="Q292" s="78" t="s">
        <v>1</v>
      </c>
      <c r="R292" s="44">
        <f t="shared" si="13"/>
        <v>49</v>
      </c>
      <c r="S292" s="44" t="e">
        <f t="shared" ca="1" si="14"/>
        <v>#N/A</v>
      </c>
      <c r="T292" s="44">
        <f t="shared" si="15"/>
        <v>289</v>
      </c>
      <c r="U292" s="44" t="str">
        <f>IF($T292&lt;=Z$4,INDEX(TypicalCriticalitiesMAHBarrier23[Barrier Family Description],MATCH($T292,TypicalCriticalitiesMAHBarrier23[Barrier Family ID],0)),"")</f>
        <v/>
      </c>
      <c r="V292" s="44" t="e">
        <f ca="1">IF($T292&lt;=AA$4,INDEX(TypicalCriticalitiesMAHBarrier23[Typical Components],MATCH($T292,TypicalCriticalitiesMAHBarrier23[Column2],0)),"")</f>
        <v>#N/A</v>
      </c>
      <c r="W292" s="2" t="e">
        <f ca="1">IF($T292&lt;=AA$4,INDEX(TypicalCriticalitiesMAHBarrier23[Typical Criticality],MATCH($T292,TypicalCriticalitiesMAHBarrier23[Column2],0)),"")</f>
        <v>#N/A</v>
      </c>
      <c r="AE292" s="44"/>
      <c r="AF292" s="44"/>
      <c r="AG292" s="44"/>
      <c r="AH292" s="44"/>
      <c r="AI292" s="44"/>
      <c r="AJ292" s="44"/>
    </row>
    <row r="293" spans="14:36">
      <c r="N293" s="54" t="s">
        <v>580</v>
      </c>
      <c r="O293" s="54" t="s">
        <v>581</v>
      </c>
      <c r="P293" s="54" t="s">
        <v>587</v>
      </c>
      <c r="Q293" s="78" t="s">
        <v>0</v>
      </c>
      <c r="R293" s="44">
        <f t="shared" si="13"/>
        <v>49</v>
      </c>
      <c r="S293" s="44" t="e">
        <f t="shared" ca="1" si="14"/>
        <v>#N/A</v>
      </c>
      <c r="T293" s="44">
        <f t="shared" si="15"/>
        <v>290</v>
      </c>
      <c r="U293" s="44" t="str">
        <f>IF($T293&lt;=Z$4,INDEX(TypicalCriticalitiesMAHBarrier23[Barrier Family Description],MATCH($T293,TypicalCriticalitiesMAHBarrier23[Barrier Family ID],0)),"")</f>
        <v/>
      </c>
      <c r="V293" s="44" t="e">
        <f ca="1">IF($T293&lt;=AA$4,INDEX(TypicalCriticalitiesMAHBarrier23[Typical Components],MATCH($T293,TypicalCriticalitiesMAHBarrier23[Column2],0)),"")</f>
        <v>#N/A</v>
      </c>
      <c r="W293" s="2" t="e">
        <f ca="1">IF($T293&lt;=AA$4,INDEX(TypicalCriticalitiesMAHBarrier23[Typical Criticality],MATCH($T293,TypicalCriticalitiesMAHBarrier23[Column2],0)),"")</f>
        <v>#N/A</v>
      </c>
      <c r="AE293" s="44"/>
      <c r="AF293" s="44"/>
      <c r="AG293" s="44"/>
      <c r="AH293" s="44"/>
      <c r="AI293" s="44"/>
      <c r="AJ293" s="44"/>
    </row>
    <row r="294" spans="14:36">
      <c r="N294" s="54" t="s">
        <v>580</v>
      </c>
      <c r="O294" s="54" t="s">
        <v>581</v>
      </c>
      <c r="P294" s="54" t="s">
        <v>588</v>
      </c>
      <c r="Q294" s="78" t="s">
        <v>0</v>
      </c>
      <c r="R294" s="44">
        <f t="shared" si="13"/>
        <v>49</v>
      </c>
      <c r="S294" s="44" t="e">
        <f t="shared" ca="1" si="14"/>
        <v>#N/A</v>
      </c>
      <c r="T294" s="44">
        <f t="shared" si="15"/>
        <v>291</v>
      </c>
      <c r="U294" s="44" t="str">
        <f>IF($T294&lt;=Z$4,INDEX(TypicalCriticalitiesMAHBarrier23[Barrier Family Description],MATCH($T294,TypicalCriticalitiesMAHBarrier23[Barrier Family ID],0)),"")</f>
        <v/>
      </c>
      <c r="V294" s="44" t="e">
        <f ca="1">IF($T294&lt;=AA$4,INDEX(TypicalCriticalitiesMAHBarrier23[Typical Components],MATCH($T294,TypicalCriticalitiesMAHBarrier23[Column2],0)),"")</f>
        <v>#N/A</v>
      </c>
      <c r="W294" s="2" t="e">
        <f ca="1">IF($T294&lt;=AA$4,INDEX(TypicalCriticalitiesMAHBarrier23[Typical Criticality],MATCH($T294,TypicalCriticalitiesMAHBarrier23[Column2],0)),"")</f>
        <v>#N/A</v>
      </c>
      <c r="AE294" s="44"/>
      <c r="AF294" s="44"/>
      <c r="AG294" s="44"/>
      <c r="AH294" s="44"/>
      <c r="AI294" s="44"/>
      <c r="AJ294" s="44"/>
    </row>
    <row r="295" spans="14:36">
      <c r="N295" s="54" t="s">
        <v>580</v>
      </c>
      <c r="O295" s="54" t="s">
        <v>581</v>
      </c>
      <c r="P295" s="54" t="s">
        <v>589</v>
      </c>
      <c r="Q295" s="78" t="s">
        <v>0</v>
      </c>
      <c r="R295" s="44">
        <f t="shared" si="13"/>
        <v>49</v>
      </c>
      <c r="S295" s="44" t="e">
        <f t="shared" ca="1" si="14"/>
        <v>#N/A</v>
      </c>
      <c r="T295" s="44">
        <f t="shared" si="15"/>
        <v>292</v>
      </c>
      <c r="U295" s="44" t="str">
        <f>IF($T295&lt;=Z$4,INDEX(TypicalCriticalitiesMAHBarrier23[Barrier Family Description],MATCH($T295,TypicalCriticalitiesMAHBarrier23[Barrier Family ID],0)),"")</f>
        <v/>
      </c>
      <c r="V295" s="44" t="e">
        <f ca="1">IF($T295&lt;=AA$4,INDEX(TypicalCriticalitiesMAHBarrier23[Typical Components],MATCH($T295,TypicalCriticalitiesMAHBarrier23[Column2],0)),"")</f>
        <v>#N/A</v>
      </c>
      <c r="W295" s="2" t="e">
        <f ca="1">IF($T295&lt;=AA$4,INDEX(TypicalCriticalitiesMAHBarrier23[Typical Criticality],MATCH($T295,TypicalCriticalitiesMAHBarrier23[Column2],0)),"")</f>
        <v>#N/A</v>
      </c>
      <c r="AE295" s="44"/>
      <c r="AF295" s="44"/>
      <c r="AG295" s="44"/>
      <c r="AH295" s="44"/>
      <c r="AI295" s="44"/>
      <c r="AJ295" s="44"/>
    </row>
    <row r="296" spans="14:36">
      <c r="N296" s="54" t="s">
        <v>580</v>
      </c>
      <c r="O296" s="54" t="s">
        <v>581</v>
      </c>
      <c r="P296" s="54" t="s">
        <v>590</v>
      </c>
      <c r="Q296" s="78" t="s">
        <v>0</v>
      </c>
      <c r="R296" s="44">
        <f t="shared" si="13"/>
        <v>49</v>
      </c>
      <c r="S296" s="44" t="e">
        <f t="shared" ca="1" si="14"/>
        <v>#N/A</v>
      </c>
      <c r="T296" s="44">
        <f t="shared" si="15"/>
        <v>293</v>
      </c>
      <c r="U296" s="44" t="str">
        <f>IF($T296&lt;=Z$4,INDEX(TypicalCriticalitiesMAHBarrier23[Barrier Family Description],MATCH($T296,TypicalCriticalitiesMAHBarrier23[Barrier Family ID],0)),"")</f>
        <v/>
      </c>
      <c r="V296" s="44" t="e">
        <f ca="1">IF($T296&lt;=AA$4,INDEX(TypicalCriticalitiesMAHBarrier23[Typical Components],MATCH($T296,TypicalCriticalitiesMAHBarrier23[Column2],0)),"")</f>
        <v>#N/A</v>
      </c>
      <c r="W296" s="2" t="e">
        <f ca="1">IF($T296&lt;=AA$4,INDEX(TypicalCriticalitiesMAHBarrier23[Typical Criticality],MATCH($T296,TypicalCriticalitiesMAHBarrier23[Column2],0)),"")</f>
        <v>#N/A</v>
      </c>
      <c r="AE296" s="44"/>
      <c r="AF296" s="44"/>
      <c r="AG296" s="44"/>
      <c r="AH296" s="44"/>
      <c r="AI296" s="44"/>
      <c r="AJ296" s="44"/>
    </row>
    <row r="297" spans="14:36">
      <c r="N297" s="54" t="s">
        <v>580</v>
      </c>
      <c r="O297" s="54" t="s">
        <v>581</v>
      </c>
      <c r="P297" s="54" t="s">
        <v>591</v>
      </c>
      <c r="Q297" s="78" t="s">
        <v>0</v>
      </c>
      <c r="R297" s="44">
        <f t="shared" si="13"/>
        <v>49</v>
      </c>
      <c r="S297" s="44" t="e">
        <f t="shared" ca="1" si="14"/>
        <v>#N/A</v>
      </c>
      <c r="T297" s="44">
        <f t="shared" si="15"/>
        <v>294</v>
      </c>
      <c r="U297" s="44" t="str">
        <f>IF($T297&lt;=Z$4,INDEX(TypicalCriticalitiesMAHBarrier23[Barrier Family Description],MATCH($T297,TypicalCriticalitiesMAHBarrier23[Barrier Family ID],0)),"")</f>
        <v/>
      </c>
      <c r="V297" s="44" t="e">
        <f ca="1">IF($T297&lt;=AA$4,INDEX(TypicalCriticalitiesMAHBarrier23[Typical Components],MATCH($T297,TypicalCriticalitiesMAHBarrier23[Column2],0)),"")</f>
        <v>#N/A</v>
      </c>
      <c r="W297" s="2" t="e">
        <f ca="1">IF($T297&lt;=AA$4,INDEX(TypicalCriticalitiesMAHBarrier23[Typical Criticality],MATCH($T297,TypicalCriticalitiesMAHBarrier23[Column2],0)),"")</f>
        <v>#N/A</v>
      </c>
      <c r="AE297" s="44"/>
      <c r="AF297" s="44"/>
      <c r="AG297" s="44"/>
      <c r="AH297" s="44"/>
      <c r="AI297" s="44"/>
      <c r="AJ297" s="44"/>
    </row>
    <row r="298" spans="14:36">
      <c r="N298" s="54" t="s">
        <v>580</v>
      </c>
      <c r="O298" s="54" t="s">
        <v>581</v>
      </c>
      <c r="P298" s="54" t="s">
        <v>592</v>
      </c>
      <c r="Q298" s="78" t="s">
        <v>1</v>
      </c>
      <c r="R298" s="44">
        <f t="shared" si="13"/>
        <v>49</v>
      </c>
      <c r="S298" s="44" t="e">
        <f t="shared" ca="1" si="14"/>
        <v>#N/A</v>
      </c>
      <c r="T298" s="44">
        <f t="shared" si="15"/>
        <v>295</v>
      </c>
      <c r="U298" s="44" t="str">
        <f>IF($T298&lt;=Z$4,INDEX(TypicalCriticalitiesMAHBarrier23[Barrier Family Description],MATCH($T298,TypicalCriticalitiesMAHBarrier23[Barrier Family ID],0)),"")</f>
        <v/>
      </c>
      <c r="V298" s="44" t="e">
        <f ca="1">IF($T298&lt;=AA$4,INDEX(TypicalCriticalitiesMAHBarrier23[Typical Components],MATCH($T298,TypicalCriticalitiesMAHBarrier23[Column2],0)),"")</f>
        <v>#N/A</v>
      </c>
      <c r="W298" s="2" t="e">
        <f ca="1">IF($T298&lt;=AA$4,INDEX(TypicalCriticalitiesMAHBarrier23[Typical Criticality],MATCH($T298,TypicalCriticalitiesMAHBarrier23[Column2],0)),"")</f>
        <v>#N/A</v>
      </c>
      <c r="AE298" s="44"/>
      <c r="AF298" s="44"/>
      <c r="AG298" s="44"/>
      <c r="AH298" s="44"/>
      <c r="AI298" s="44"/>
      <c r="AJ298" s="44"/>
    </row>
    <row r="299" spans="14:36">
      <c r="N299" s="54" t="s">
        <v>580</v>
      </c>
      <c r="O299" s="54" t="s">
        <v>581</v>
      </c>
      <c r="P299" s="54" t="s">
        <v>593</v>
      </c>
      <c r="Q299" s="78" t="s">
        <v>1</v>
      </c>
      <c r="R299" s="44">
        <f t="shared" si="13"/>
        <v>49</v>
      </c>
      <c r="S299" s="44" t="e">
        <f t="shared" ca="1" si="14"/>
        <v>#N/A</v>
      </c>
      <c r="T299" s="44">
        <f t="shared" si="15"/>
        <v>296</v>
      </c>
      <c r="U299" s="44" t="str">
        <f>IF($T299&lt;=Z$4,INDEX(TypicalCriticalitiesMAHBarrier23[Barrier Family Description],MATCH($T299,TypicalCriticalitiesMAHBarrier23[Barrier Family ID],0)),"")</f>
        <v/>
      </c>
      <c r="V299" s="44" t="e">
        <f ca="1">IF($T299&lt;=AA$4,INDEX(TypicalCriticalitiesMAHBarrier23[Typical Components],MATCH($T299,TypicalCriticalitiesMAHBarrier23[Column2],0)),"")</f>
        <v>#N/A</v>
      </c>
      <c r="W299" s="2" t="e">
        <f ca="1">IF($T299&lt;=AA$4,INDEX(TypicalCriticalitiesMAHBarrier23[Typical Criticality],MATCH($T299,TypicalCriticalitiesMAHBarrier23[Column2],0)),"")</f>
        <v>#N/A</v>
      </c>
      <c r="AE299" s="44"/>
      <c r="AF299" s="44"/>
      <c r="AG299" s="44"/>
      <c r="AH299" s="44"/>
      <c r="AI299" s="44"/>
      <c r="AJ299" s="44"/>
    </row>
    <row r="300" spans="14:36">
      <c r="N300" s="54" t="s">
        <v>580</v>
      </c>
      <c r="O300" s="54" t="s">
        <v>581</v>
      </c>
      <c r="P300" s="54" t="s">
        <v>594</v>
      </c>
      <c r="Q300" s="78" t="s">
        <v>0</v>
      </c>
      <c r="R300" s="44">
        <f t="shared" si="13"/>
        <v>49</v>
      </c>
      <c r="S300" s="44" t="e">
        <f t="shared" ca="1" si="14"/>
        <v>#N/A</v>
      </c>
      <c r="T300" s="44">
        <f t="shared" si="15"/>
        <v>297</v>
      </c>
      <c r="U300" s="44" t="str">
        <f>IF($T300&lt;=Z$4,INDEX(TypicalCriticalitiesMAHBarrier23[Barrier Family Description],MATCH($T300,TypicalCriticalitiesMAHBarrier23[Barrier Family ID],0)),"")</f>
        <v/>
      </c>
      <c r="V300" s="44" t="e">
        <f ca="1">IF($T300&lt;=AA$4,INDEX(TypicalCriticalitiesMAHBarrier23[Typical Components],MATCH($T300,TypicalCriticalitiesMAHBarrier23[Column2],0)),"")</f>
        <v>#N/A</v>
      </c>
      <c r="W300" s="2" t="e">
        <f ca="1">IF($T300&lt;=AA$4,INDEX(TypicalCriticalitiesMAHBarrier23[Typical Criticality],MATCH($T300,TypicalCriticalitiesMAHBarrier23[Column2],0)),"")</f>
        <v>#N/A</v>
      </c>
      <c r="AE300" s="44"/>
      <c r="AF300" s="44"/>
      <c r="AG300" s="44"/>
      <c r="AH300" s="44"/>
      <c r="AI300" s="44"/>
      <c r="AJ300" s="44"/>
    </row>
    <row r="301" spans="14:36">
      <c r="N301" s="54" t="s">
        <v>595</v>
      </c>
      <c r="O301" s="54" t="s">
        <v>596</v>
      </c>
      <c r="P301" s="54" t="s">
        <v>597</v>
      </c>
      <c r="Q301" s="78" t="s">
        <v>1</v>
      </c>
      <c r="R301" s="44">
        <f t="shared" si="13"/>
        <v>50</v>
      </c>
      <c r="S301" s="44" t="e">
        <f t="shared" ca="1" si="14"/>
        <v>#N/A</v>
      </c>
      <c r="T301" s="44">
        <f t="shared" si="15"/>
        <v>298</v>
      </c>
      <c r="U301" s="44" t="str">
        <f>IF($T301&lt;=Z$4,INDEX(TypicalCriticalitiesMAHBarrier23[Barrier Family Description],MATCH($T301,TypicalCriticalitiesMAHBarrier23[Barrier Family ID],0)),"")</f>
        <v/>
      </c>
      <c r="V301" s="44" t="e">
        <f ca="1">IF($T301&lt;=AA$4,INDEX(TypicalCriticalitiesMAHBarrier23[Typical Components],MATCH($T301,TypicalCriticalitiesMAHBarrier23[Column2],0)),"")</f>
        <v>#N/A</v>
      </c>
      <c r="W301" s="2" t="e">
        <f ca="1">IF($T301&lt;=AA$4,INDEX(TypicalCriticalitiesMAHBarrier23[Typical Criticality],MATCH($T301,TypicalCriticalitiesMAHBarrier23[Column2],0)),"")</f>
        <v>#N/A</v>
      </c>
      <c r="AE301" s="44"/>
      <c r="AF301" s="44"/>
      <c r="AG301" s="44"/>
      <c r="AH301" s="44"/>
      <c r="AI301" s="44"/>
      <c r="AJ301" s="44"/>
    </row>
    <row r="302" spans="14:36">
      <c r="N302" s="54" t="s">
        <v>595</v>
      </c>
      <c r="O302" s="54" t="s">
        <v>596</v>
      </c>
      <c r="P302" s="54" t="s">
        <v>598</v>
      </c>
      <c r="Q302" s="78" t="s">
        <v>1</v>
      </c>
      <c r="R302" s="44">
        <f t="shared" si="13"/>
        <v>50</v>
      </c>
      <c r="S302" s="44" t="e">
        <f t="shared" ca="1" si="14"/>
        <v>#N/A</v>
      </c>
      <c r="T302" s="44">
        <f t="shared" si="15"/>
        <v>299</v>
      </c>
      <c r="U302" s="44" t="str">
        <f>IF($T302&lt;=Z$4,INDEX(TypicalCriticalitiesMAHBarrier23[Barrier Family Description],MATCH($T302,TypicalCriticalitiesMAHBarrier23[Barrier Family ID],0)),"")</f>
        <v/>
      </c>
      <c r="V302" s="44" t="e">
        <f ca="1">IF($T302&lt;=AA$4,INDEX(TypicalCriticalitiesMAHBarrier23[Typical Components],MATCH($T302,TypicalCriticalitiesMAHBarrier23[Column2],0)),"")</f>
        <v>#N/A</v>
      </c>
      <c r="W302" s="2" t="e">
        <f ca="1">IF($T302&lt;=AA$4,INDEX(TypicalCriticalitiesMAHBarrier23[Typical Criticality],MATCH($T302,TypicalCriticalitiesMAHBarrier23[Column2],0)),"")</f>
        <v>#N/A</v>
      </c>
      <c r="AE302" s="44"/>
      <c r="AF302" s="44"/>
      <c r="AG302" s="44"/>
      <c r="AH302" s="44"/>
      <c r="AI302" s="44"/>
      <c r="AJ302" s="44"/>
    </row>
    <row r="303" spans="14:36">
      <c r="N303" s="54" t="s">
        <v>595</v>
      </c>
      <c r="O303" s="54" t="s">
        <v>596</v>
      </c>
      <c r="P303" s="54" t="s">
        <v>599</v>
      </c>
      <c r="Q303" s="78" t="s">
        <v>1</v>
      </c>
      <c r="R303" s="44">
        <f t="shared" si="13"/>
        <v>50</v>
      </c>
      <c r="S303" s="44" t="e">
        <f t="shared" ca="1" si="14"/>
        <v>#N/A</v>
      </c>
      <c r="T303" s="44">
        <f t="shared" si="15"/>
        <v>300</v>
      </c>
      <c r="U303" s="44" t="str">
        <f>IF($T303&lt;=Z$4,INDEX(TypicalCriticalitiesMAHBarrier23[Barrier Family Description],MATCH($T303,TypicalCriticalitiesMAHBarrier23[Barrier Family ID],0)),"")</f>
        <v/>
      </c>
      <c r="V303" s="44" t="e">
        <f ca="1">IF($T303&lt;=AA$4,INDEX(TypicalCriticalitiesMAHBarrier23[Typical Components],MATCH($T303,TypicalCriticalitiesMAHBarrier23[Column2],0)),"")</f>
        <v>#N/A</v>
      </c>
      <c r="W303" s="2" t="e">
        <f ca="1">IF($T303&lt;=AA$4,INDEX(TypicalCriticalitiesMAHBarrier23[Typical Criticality],MATCH($T303,TypicalCriticalitiesMAHBarrier23[Column2],0)),"")</f>
        <v>#N/A</v>
      </c>
      <c r="AE303" s="44"/>
      <c r="AF303" s="44"/>
      <c r="AG303" s="44"/>
      <c r="AH303" s="44"/>
      <c r="AI303" s="44"/>
      <c r="AJ303" s="44"/>
    </row>
    <row r="304" spans="14:36">
      <c r="N304" s="54" t="s">
        <v>595</v>
      </c>
      <c r="O304" s="54" t="s">
        <v>596</v>
      </c>
      <c r="P304" s="54" t="s">
        <v>600</v>
      </c>
      <c r="Q304" s="78" t="s">
        <v>0</v>
      </c>
      <c r="R304" s="44">
        <f t="shared" si="13"/>
        <v>50</v>
      </c>
      <c r="S304" s="44" t="e">
        <f t="shared" ca="1" si="14"/>
        <v>#N/A</v>
      </c>
      <c r="T304" s="44">
        <f t="shared" si="15"/>
        <v>301</v>
      </c>
      <c r="U304" s="44" t="str">
        <f>IF($T304&lt;=Z$4,INDEX(TypicalCriticalitiesMAHBarrier23[Barrier Family Description],MATCH($T304,TypicalCriticalitiesMAHBarrier23[Barrier Family ID],0)),"")</f>
        <v/>
      </c>
      <c r="V304" s="44" t="e">
        <f ca="1">IF($T304&lt;=AA$4,INDEX(TypicalCriticalitiesMAHBarrier23[Typical Components],MATCH($T304,TypicalCriticalitiesMAHBarrier23[Column2],0)),"")</f>
        <v>#N/A</v>
      </c>
      <c r="W304" s="2" t="e">
        <f ca="1">IF($T304&lt;=AA$4,INDEX(TypicalCriticalitiesMAHBarrier23[Typical Criticality],MATCH($T304,TypicalCriticalitiesMAHBarrier23[Column2],0)),"")</f>
        <v>#N/A</v>
      </c>
      <c r="AE304" s="44"/>
      <c r="AF304" s="44"/>
      <c r="AG304" s="44"/>
      <c r="AH304" s="44"/>
      <c r="AI304" s="44"/>
      <c r="AJ304" s="44"/>
    </row>
    <row r="305" spans="14:36">
      <c r="N305" s="76" t="s">
        <v>595</v>
      </c>
      <c r="O305" s="76" t="s">
        <v>596</v>
      </c>
      <c r="P305" s="76" t="s">
        <v>601</v>
      </c>
      <c r="Q305" s="79" t="s">
        <v>1</v>
      </c>
      <c r="R305" s="44">
        <f t="shared" si="13"/>
        <v>50</v>
      </c>
      <c r="S305" s="44" t="e">
        <f t="shared" ca="1" si="14"/>
        <v>#N/A</v>
      </c>
      <c r="T305" s="44">
        <f t="shared" si="15"/>
        <v>302</v>
      </c>
      <c r="U305" s="44" t="str">
        <f>IF($T305&lt;=Z$4,INDEX(TypicalCriticalitiesMAHBarrier23[Barrier Family Description],MATCH($T305,TypicalCriticalitiesMAHBarrier23[Barrier Family ID],0)),"")</f>
        <v/>
      </c>
      <c r="V305" s="44" t="e">
        <f ca="1">IF($T305&lt;=AA$4,INDEX(TypicalCriticalitiesMAHBarrier23[Typical Components],MATCH($T305,TypicalCriticalitiesMAHBarrier23[Column2],0)),"")</f>
        <v>#N/A</v>
      </c>
      <c r="W305" s="2" t="e">
        <f ca="1">IF($T305&lt;=AA$4,INDEX(TypicalCriticalitiesMAHBarrier23[Typical Criticality],MATCH($T305,TypicalCriticalitiesMAHBarrier23[Column2],0)),"")</f>
        <v>#N/A</v>
      </c>
      <c r="AE305" s="44"/>
      <c r="AF305" s="44"/>
      <c r="AG305" s="44"/>
      <c r="AH305" s="44"/>
      <c r="AI305" s="44"/>
      <c r="AJ305" s="44"/>
    </row>
  </sheetData>
  <sheetProtection insertRows="0" deleteRows="0" autoFilter="0"/>
  <dataConsolidate/>
  <mergeCells count="2">
    <mergeCell ref="A6:D6"/>
    <mergeCell ref="I7:K9"/>
  </mergeCells>
  <conditionalFormatting sqref="G5">
    <cfRule type="containsText" dxfId="48" priority="1" operator="containsText" text="YES">
      <formula>NOT(ISERROR(SEARCH("YES",G5)))</formula>
    </cfRule>
  </conditionalFormatting>
  <conditionalFormatting sqref="I7">
    <cfRule type="expression" dxfId="47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8">
      <formula1>"Yes,No"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'[WND Criticality Template.xlsx]DataTables'!#REF!</xm:f>
          </x14:formula1>
          <xm:sqref>C16:C19 C22:C24 C34:C38 C28:C31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2017-09-12T10:14:10Z</dcterms:modified>
</cp:coreProperties>
</file>