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5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queryTables/queryTable1.xml" ContentType="application/vnd.openxmlformats-officedocument.spreadsheetml.query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uglas.Crooke\OneDrive - add energy group\CriticalityVBA\"/>
    </mc:Choice>
  </mc:AlternateContent>
  <bookViews>
    <workbookView xWindow="18600" yWindow="0" windowWidth="3750" windowHeight="7215" firstSheet="13" activeTab="13"/>
  </bookViews>
  <sheets>
    <sheet name="RiskManagementMatrix" sheetId="1" r:id="rId1"/>
    <sheet name="ImpactCriticalityTable" sheetId="2" r:id="rId2"/>
    <sheet name="CriticalityToLocationPriority" sheetId="3" r:id="rId3"/>
    <sheet name="IsCritical" sheetId="4" r:id="rId4"/>
    <sheet name="LocationCriticality" sheetId="6" r:id="rId5"/>
    <sheet name="TestingData" sheetId="5" r:id="rId6"/>
    <sheet name="RuleSet" sheetId="7" r:id="rId7"/>
    <sheet name="TestTags" sheetId="13" r:id="rId8"/>
    <sheet name="TestDefaultCriticalities" sheetId="9" r:id="rId9"/>
    <sheet name="TestFailureCodeTemplate" sheetId="10" r:id="rId10"/>
    <sheet name="TestSystems" sheetId="12" r:id="rId11"/>
    <sheet name="TestDisciplines" sheetId="14" r:id="rId12"/>
    <sheet name="TestFullTags" sheetId="16" r:id="rId13"/>
    <sheet name="Output" sheetId="15" r:id="rId14"/>
  </sheets>
  <functionGroups builtInGroupCount="18"/>
  <externalReferences>
    <externalReference r:id="rId15"/>
    <externalReference r:id="rId16"/>
  </externalReferences>
  <definedNames>
    <definedName name="_xlnm._FilterDatabase" localSheetId="10" hidden="1">TestSystems!$A$1:$F$201</definedName>
    <definedName name="BarrierFamilies" localSheetId="9">OFFSET(TestFailureCodeTemplate!$U$3,1,0,TestFailureCodeTemplate!$Z$4,1)</definedName>
    <definedName name="BarrierFamilies">OFFSET(#REF!,1,0,#REF!,1)</definedName>
    <definedName name="ExternalData_1" localSheetId="6" hidden="1">RuleSet!$A$2:$M$122</definedName>
    <definedName name="ExternalData_1" localSheetId="11" hidden="1">TestDisciplines!$C$3:$C$15</definedName>
    <definedName name="Impact">[1]LookUp!$D$2:$D$16</definedName>
    <definedName name="TypicalComponents" localSheetId="9">OFFSET(TestFailureCodeTemplate!$V$3,1,0,TestFailureCodeTemplate!$AA$4,1)</definedName>
    <definedName name="TypicalComponents">OFFSET(#REF!,1,0,#REF!,1)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11" i="10" l="1"/>
  <c r="O202" i="10"/>
  <c r="O203" i="10" s="1"/>
  <c r="K37" i="10"/>
  <c r="J37" i="10"/>
  <c r="E36" i="10"/>
  <c r="D36" i="10"/>
  <c r="K35" i="10"/>
  <c r="E35" i="10"/>
  <c r="D35" i="10"/>
  <c r="E34" i="10"/>
  <c r="D34" i="10"/>
  <c r="E31" i="10"/>
  <c r="D31" i="10"/>
  <c r="E30" i="10"/>
  <c r="D30" i="10"/>
  <c r="E29" i="10"/>
  <c r="D29" i="10"/>
  <c r="E28" i="10"/>
  <c r="D28" i="10"/>
  <c r="E24" i="10"/>
  <c r="D24" i="10"/>
  <c r="E23" i="10"/>
  <c r="D23" i="10"/>
  <c r="E22" i="10"/>
  <c r="D22" i="10"/>
  <c r="E19" i="10"/>
  <c r="D19" i="10"/>
  <c r="E18" i="10"/>
  <c r="D18" i="10"/>
  <c r="E17" i="10"/>
  <c r="D17" i="10"/>
  <c r="E16" i="10"/>
  <c r="D16" i="10"/>
  <c r="R5" i="10"/>
  <c r="R6" i="10" s="1"/>
  <c r="R7" i="10" s="1"/>
  <c r="T4" i="10"/>
  <c r="B9" i="10" l="1"/>
  <c r="G10" i="10" s="1"/>
  <c r="B10" i="10"/>
  <c r="G11" i="10" s="1"/>
  <c r="B12" i="10"/>
  <c r="D12" i="10" s="1" a="1"/>
  <c r="D12" i="10" s="1"/>
  <c r="R8" i="10"/>
  <c r="T5" i="10"/>
  <c r="B11" i="10"/>
  <c r="O204" i="10"/>
  <c r="D10" i="10" l="1" a="1"/>
  <c r="D10" i="10" s="1"/>
  <c r="C10" i="10" a="1"/>
  <c r="C10" i="10" s="1"/>
  <c r="C9" i="10" a="1"/>
  <c r="C9" i="10" s="1"/>
  <c r="G6" i="10"/>
  <c r="D9" i="10" a="1"/>
  <c r="D9" i="10" s="1"/>
  <c r="C12" i="10" a="1"/>
  <c r="C12" i="10" s="1"/>
  <c r="J36" i="10" s="1"/>
  <c r="K36" i="10" s="1"/>
  <c r="G13" i="10"/>
  <c r="J30" i="10"/>
  <c r="J31" i="10"/>
  <c r="K31" i="10" s="1"/>
  <c r="J29" i="10"/>
  <c r="C11" i="10" a="1"/>
  <c r="C11" i="10" s="1"/>
  <c r="G12" i="10"/>
  <c r="D11" i="10" a="1"/>
  <c r="D11" i="10" s="1"/>
  <c r="T6" i="10"/>
  <c r="R9" i="10"/>
  <c r="O205" i="10"/>
  <c r="G8" i="10" l="1"/>
  <c r="K29" i="10"/>
  <c r="K30" i="10"/>
  <c r="T7" i="10"/>
  <c r="O206" i="10"/>
  <c r="R10" i="10"/>
  <c r="R11" i="10" l="1"/>
  <c r="T8" i="10"/>
  <c r="O207" i="10"/>
  <c r="O208" i="10" l="1"/>
  <c r="T9" i="10"/>
  <c r="R12" i="10"/>
  <c r="R13" i="10" l="1"/>
  <c r="T10" i="10"/>
  <c r="T11" i="10" l="1"/>
  <c r="R14" i="10"/>
  <c r="R15" i="10" l="1"/>
  <c r="T12" i="10"/>
  <c r="T13" i="10" l="1"/>
  <c r="R16" i="10"/>
  <c r="R17" i="10" l="1"/>
  <c r="T14" i="10"/>
  <c r="T15" i="10" l="1"/>
  <c r="R18" i="10"/>
  <c r="T16" i="10" l="1"/>
  <c r="R19" i="10"/>
  <c r="T17" i="10" l="1"/>
  <c r="R20" i="10"/>
  <c r="T18" i="10" l="1"/>
  <c r="R21" i="10"/>
  <c r="T19" i="10" l="1"/>
  <c r="R22" i="10"/>
  <c r="T20" i="10" l="1"/>
  <c r="R23" i="10"/>
  <c r="R24" i="10" l="1"/>
  <c r="T21" i="10"/>
  <c r="T22" i="10" l="1"/>
  <c r="R25" i="10"/>
  <c r="T23" i="10" l="1"/>
  <c r="R26" i="10"/>
  <c r="T24" i="10" l="1"/>
  <c r="R27" i="10"/>
  <c r="T25" i="10" l="1"/>
  <c r="R28" i="10"/>
  <c r="R29" i="10" l="1"/>
  <c r="T26" i="10"/>
  <c r="T27" i="10" l="1"/>
  <c r="R30" i="10"/>
  <c r="R31" i="10" l="1"/>
  <c r="T28" i="10"/>
  <c r="T29" i="10" l="1"/>
  <c r="R32" i="10"/>
  <c r="T30" i="10" l="1"/>
  <c r="R33" i="10"/>
  <c r="R34" i="10" l="1"/>
  <c r="T31" i="10"/>
  <c r="T32" i="10" l="1"/>
  <c r="R35" i="10"/>
  <c r="R36" i="10" l="1"/>
  <c r="T33" i="10"/>
  <c r="T34" i="10" l="1"/>
  <c r="R37" i="10"/>
  <c r="T35" i="10" l="1"/>
  <c r="R38" i="10"/>
  <c r="T36" i="10" l="1"/>
  <c r="R39" i="10"/>
  <c r="T37" i="10" l="1"/>
  <c r="R40" i="10"/>
  <c r="R41" i="10" l="1"/>
  <c r="T38" i="10"/>
  <c r="R42" i="10" l="1"/>
  <c r="T39" i="10"/>
  <c r="T40" i="10" l="1"/>
  <c r="R43" i="10"/>
  <c r="T41" i="10" l="1"/>
  <c r="R44" i="10"/>
  <c r="T42" i="10" l="1"/>
  <c r="R45" i="10"/>
  <c r="T43" i="10" l="1"/>
  <c r="R46" i="10"/>
  <c r="T44" i="10" l="1"/>
  <c r="R47" i="10"/>
  <c r="R48" i="10" l="1"/>
  <c r="T45" i="10"/>
  <c r="R49" i="10" l="1"/>
  <c r="T46" i="10"/>
  <c r="R50" i="10" l="1"/>
  <c r="T47" i="10"/>
  <c r="T48" i="10" l="1"/>
  <c r="R51" i="10"/>
  <c r="T49" i="10" l="1"/>
  <c r="R52" i="10"/>
  <c r="T50" i="10" l="1"/>
  <c r="R53" i="10"/>
  <c r="T51" i="10" l="1"/>
  <c r="R54" i="10"/>
  <c r="T52" i="10" l="1"/>
  <c r="R55" i="10"/>
  <c r="R56" i="10" l="1"/>
  <c r="T53" i="10"/>
  <c r="T54" i="10" l="1"/>
  <c r="R57" i="10"/>
  <c r="T55" i="10" l="1"/>
  <c r="R58" i="10"/>
  <c r="T56" i="10" l="1"/>
  <c r="R59" i="10"/>
  <c r="T57" i="10" l="1"/>
  <c r="R60" i="10"/>
  <c r="T58" i="10" l="1"/>
  <c r="R61" i="10"/>
  <c r="T59" i="10" l="1"/>
  <c r="R62" i="10"/>
  <c r="R63" i="10" l="1"/>
  <c r="T60" i="10"/>
  <c r="T61" i="10" l="1"/>
  <c r="R64" i="10"/>
  <c r="R65" i="10" l="1"/>
  <c r="T62" i="10"/>
  <c r="R66" i="10" l="1"/>
  <c r="T63" i="10"/>
  <c r="T64" i="10" l="1"/>
  <c r="R67" i="10"/>
  <c r="T65" i="10" l="1"/>
  <c r="R68" i="10"/>
  <c r="T66" i="10" l="1"/>
  <c r="R69" i="10"/>
  <c r="T67" i="10" l="1"/>
  <c r="R70" i="10"/>
  <c r="T68" i="10" l="1"/>
  <c r="R71" i="10"/>
  <c r="R72" i="10" l="1"/>
  <c r="T69" i="10"/>
  <c r="T70" i="10" l="1"/>
  <c r="R73" i="10"/>
  <c r="T71" i="10" l="1"/>
  <c r="R74" i="10"/>
  <c r="T72" i="10" l="1"/>
  <c r="R75" i="10"/>
  <c r="T73" i="10" l="1"/>
  <c r="R76" i="10"/>
  <c r="T74" i="10" l="1"/>
  <c r="R77" i="10"/>
  <c r="T75" i="10" l="1"/>
  <c r="R78" i="10"/>
  <c r="T76" i="10" l="1"/>
  <c r="R79" i="10"/>
  <c r="R80" i="10" l="1"/>
  <c r="T77" i="10"/>
  <c r="T78" i="10" l="1"/>
  <c r="R81" i="10"/>
  <c r="T79" i="10" l="1"/>
  <c r="R82" i="10"/>
  <c r="T80" i="10" l="1"/>
  <c r="R83" i="10"/>
  <c r="T81" i="10" l="1"/>
  <c r="R84" i="10"/>
  <c r="T82" i="10" l="1"/>
  <c r="R85" i="10"/>
  <c r="T83" i="10" l="1"/>
  <c r="R86" i="10"/>
  <c r="T84" i="10" l="1"/>
  <c r="R87" i="10"/>
  <c r="R88" i="10" l="1"/>
  <c r="T85" i="10"/>
  <c r="T86" i="10" l="1"/>
  <c r="R89" i="10"/>
  <c r="T87" i="10" l="1"/>
  <c r="R90" i="10"/>
  <c r="T88" i="10" l="1"/>
  <c r="R91" i="10"/>
  <c r="T89" i="10" l="1"/>
  <c r="R92" i="10"/>
  <c r="T90" i="10" l="1"/>
  <c r="R93" i="10"/>
  <c r="T91" i="10" l="1"/>
  <c r="R94" i="10"/>
  <c r="T92" i="10" l="1"/>
  <c r="R95" i="10"/>
  <c r="R96" i="10" l="1"/>
  <c r="T93" i="10"/>
  <c r="T94" i="10" l="1"/>
  <c r="R97" i="10"/>
  <c r="T95" i="10" l="1"/>
  <c r="R98" i="10"/>
  <c r="T96" i="10" l="1"/>
  <c r="R99" i="10"/>
  <c r="T97" i="10" l="1"/>
  <c r="R100" i="10"/>
  <c r="T98" i="10" l="1"/>
  <c r="R101" i="10"/>
  <c r="T99" i="10" l="1"/>
  <c r="R102" i="10"/>
  <c r="T100" i="10" l="1"/>
  <c r="R103" i="10"/>
  <c r="R104" i="10" l="1"/>
  <c r="T101" i="10"/>
  <c r="T102" i="10" l="1"/>
  <c r="R105" i="10"/>
  <c r="T103" i="10" l="1"/>
  <c r="R106" i="10"/>
  <c r="R107" i="10" l="1"/>
  <c r="T104" i="10"/>
  <c r="T105" i="10" l="1"/>
  <c r="R108" i="10"/>
  <c r="T106" i="10" l="1"/>
  <c r="R109" i="10"/>
  <c r="R110" i="10" l="1"/>
  <c r="T107" i="10"/>
  <c r="T108" i="10" l="1"/>
  <c r="R111" i="10"/>
  <c r="T109" i="10" l="1"/>
  <c r="R112" i="10"/>
  <c r="T110" i="10" l="1"/>
  <c r="R113" i="10"/>
  <c r="R114" i="10" l="1"/>
  <c r="T111" i="10"/>
  <c r="T112" i="10" l="1"/>
  <c r="R115" i="10"/>
  <c r="T113" i="10" l="1"/>
  <c r="R116" i="10"/>
  <c r="T114" i="10" l="1"/>
  <c r="R117" i="10"/>
  <c r="T115" i="10" l="1"/>
  <c r="R118" i="10"/>
  <c r="T116" i="10" l="1"/>
  <c r="R119" i="10"/>
  <c r="R120" i="10" l="1"/>
  <c r="T117" i="10"/>
  <c r="T118" i="10" l="1"/>
  <c r="R121" i="10"/>
  <c r="R122" i="10" l="1"/>
  <c r="T119" i="10"/>
  <c r="T120" i="10" l="1"/>
  <c r="R123" i="10"/>
  <c r="R124" i="10" l="1"/>
  <c r="T121" i="10"/>
  <c r="T122" i="10" l="1"/>
  <c r="R125" i="10"/>
  <c r="R126" i="10" l="1"/>
  <c r="T123" i="10"/>
  <c r="T124" i="10" l="1"/>
  <c r="R127" i="10"/>
  <c r="T125" i="10" l="1"/>
  <c r="R128" i="10"/>
  <c r="T126" i="10" l="1"/>
  <c r="R129" i="10"/>
  <c r="R130" i="10" l="1"/>
  <c r="T127" i="10"/>
  <c r="T128" i="10" l="1"/>
  <c r="R131" i="10"/>
  <c r="R132" i="10" l="1"/>
  <c r="T129" i="10"/>
  <c r="T130" i="10" l="1"/>
  <c r="R133" i="10"/>
  <c r="T131" i="10" l="1"/>
  <c r="R134" i="10"/>
  <c r="T132" i="10" l="1"/>
  <c r="R135" i="10"/>
  <c r="R136" i="10" l="1"/>
  <c r="T133" i="10"/>
  <c r="T134" i="10" l="1"/>
  <c r="R137" i="10"/>
  <c r="R138" i="10" l="1"/>
  <c r="T135" i="10"/>
  <c r="T136" i="10" l="1"/>
  <c r="R139" i="10"/>
  <c r="R140" i="10" l="1"/>
  <c r="T137" i="10"/>
  <c r="T138" i="10" l="1"/>
  <c r="R141" i="10"/>
  <c r="T139" i="10" l="1"/>
  <c r="R142" i="10"/>
  <c r="T140" i="10" l="1"/>
  <c r="R143" i="10"/>
  <c r="R144" i="10" l="1"/>
  <c r="T141" i="10"/>
  <c r="T142" i="10" l="1"/>
  <c r="R145" i="10"/>
  <c r="R146" i="10" l="1"/>
  <c r="T143" i="10"/>
  <c r="T144" i="10" l="1"/>
  <c r="R147" i="10"/>
  <c r="R148" i="10" l="1"/>
  <c r="T145" i="10"/>
  <c r="T146" i="10" l="1"/>
  <c r="R149" i="10"/>
  <c r="T147" i="10" l="1"/>
  <c r="R150" i="10"/>
  <c r="T148" i="10" l="1"/>
  <c r="R151" i="10"/>
  <c r="R152" i="10" l="1"/>
  <c r="T149" i="10"/>
  <c r="T150" i="10" l="1"/>
  <c r="R153" i="10"/>
  <c r="T151" i="10" l="1"/>
  <c r="R154" i="10"/>
  <c r="T152" i="10" l="1"/>
  <c r="R155" i="10"/>
  <c r="T153" i="10" l="1"/>
  <c r="R156" i="10"/>
  <c r="T154" i="10" l="1"/>
  <c r="R157" i="10"/>
  <c r="R158" i="10" l="1"/>
  <c r="T155" i="10"/>
  <c r="T156" i="10" l="1"/>
  <c r="R159" i="10"/>
  <c r="R160" i="10" l="1"/>
  <c r="T157" i="10"/>
  <c r="T158" i="10" l="1"/>
  <c r="R161" i="10"/>
  <c r="T159" i="10" l="1"/>
  <c r="R162" i="10"/>
  <c r="T160" i="10" l="1"/>
  <c r="R163" i="10"/>
  <c r="T161" i="10" l="1"/>
  <c r="R164" i="10"/>
  <c r="T162" i="10" l="1"/>
  <c r="R165" i="10"/>
  <c r="T163" i="10" l="1"/>
  <c r="R166" i="10"/>
  <c r="T164" i="10" l="1"/>
  <c r="R167" i="10"/>
  <c r="T165" i="10" l="1"/>
  <c r="R168" i="10"/>
  <c r="T166" i="10" l="1"/>
  <c r="R169" i="10"/>
  <c r="R170" i="10" l="1"/>
  <c r="T167" i="10"/>
  <c r="T168" i="10" l="1"/>
  <c r="R171" i="10"/>
  <c r="T169" i="10" l="1"/>
  <c r="R172" i="10"/>
  <c r="R173" i="10" l="1"/>
  <c r="T170" i="10"/>
  <c r="T171" i="10" l="1"/>
  <c r="R174" i="10"/>
  <c r="R175" i="10" l="1"/>
  <c r="T172" i="10"/>
  <c r="T173" i="10" l="1"/>
  <c r="R176" i="10"/>
  <c r="R177" i="10" l="1"/>
  <c r="T174" i="10"/>
  <c r="T175" i="10" l="1"/>
  <c r="R178" i="10"/>
  <c r="R179" i="10" l="1"/>
  <c r="T176" i="10"/>
  <c r="R180" i="10" l="1"/>
  <c r="T177" i="10"/>
  <c r="T178" i="10" l="1"/>
  <c r="R181" i="10"/>
  <c r="T179" i="10" l="1"/>
  <c r="R182" i="10"/>
  <c r="R183" i="10" l="1"/>
  <c r="T180" i="10"/>
  <c r="T181" i="10" l="1"/>
  <c r="R184" i="10"/>
  <c r="R185" i="10" l="1"/>
  <c r="T182" i="10"/>
  <c r="R186" i="10" l="1"/>
  <c r="T183" i="10"/>
  <c r="T184" i="10" l="1"/>
  <c r="R187" i="10"/>
  <c r="T185" i="10" l="1"/>
  <c r="R188" i="10"/>
  <c r="R189" i="10" l="1"/>
  <c r="T186" i="10"/>
  <c r="T187" i="10" l="1"/>
  <c r="R190" i="10"/>
  <c r="R191" i="10" l="1"/>
  <c r="T188" i="10"/>
  <c r="T189" i="10" l="1"/>
  <c r="R192" i="10"/>
  <c r="R193" i="10" l="1"/>
  <c r="T190" i="10"/>
  <c r="T191" i="10" l="1"/>
  <c r="R194" i="10"/>
  <c r="R195" i="10" l="1"/>
  <c r="T192" i="10"/>
  <c r="R196" i="10" l="1"/>
  <c r="T193" i="10"/>
  <c r="T194" i="10" l="1"/>
  <c r="R197" i="10"/>
  <c r="R198" i="10" l="1"/>
  <c r="T195" i="10"/>
  <c r="T196" i="10" l="1"/>
  <c r="R199" i="10"/>
  <c r="R200" i="10" l="1"/>
  <c r="T197" i="10"/>
  <c r="T198" i="10" l="1"/>
  <c r="R201" i="10"/>
  <c r="T199" i="10" l="1"/>
  <c r="R202" i="10"/>
  <c r="R203" i="10" l="1"/>
  <c r="T200" i="10"/>
  <c r="T201" i="10" l="1"/>
  <c r="R204" i="10"/>
  <c r="R205" i="10" l="1"/>
  <c r="T202" i="10"/>
  <c r="R206" i="10" l="1"/>
  <c r="T203" i="10"/>
  <c r="T204" i="10" l="1"/>
  <c r="R207" i="10"/>
  <c r="R208" i="10" l="1"/>
  <c r="T205" i="10"/>
  <c r="T206" i="10" l="1"/>
  <c r="R209" i="10"/>
  <c r="R210" i="10" l="1"/>
  <c r="T207" i="10"/>
  <c r="R211" i="10" l="1"/>
  <c r="T208" i="10"/>
  <c r="R212" i="10" l="1"/>
  <c r="T209" i="10"/>
  <c r="R213" i="10" l="1"/>
  <c r="T210" i="10"/>
  <c r="T211" i="10" l="1"/>
  <c r="R214" i="10"/>
  <c r="R215" i="10" l="1"/>
  <c r="T212" i="10"/>
  <c r="T213" i="10" l="1"/>
  <c r="R216" i="10"/>
  <c r="R217" i="10" s="1"/>
  <c r="R218" i="10" s="1"/>
  <c r="R219" i="10" s="1"/>
  <c r="R220" i="10" s="1"/>
  <c r="R221" i="10" s="1"/>
  <c r="R222" i="10" s="1"/>
  <c r="R223" i="10" s="1"/>
  <c r="R224" i="10" s="1"/>
  <c r="R225" i="10" s="1"/>
  <c r="R226" i="10" s="1"/>
  <c r="R227" i="10" s="1"/>
  <c r="R228" i="10" s="1"/>
  <c r="R229" i="10" s="1"/>
  <c r="R230" i="10" s="1"/>
  <c r="R231" i="10" s="1"/>
  <c r="R232" i="10" s="1"/>
  <c r="R233" i="10" s="1"/>
  <c r="R234" i="10" s="1"/>
  <c r="R235" i="10" s="1"/>
  <c r="R236" i="10" s="1"/>
  <c r="R237" i="10" s="1"/>
  <c r="R238" i="10" s="1"/>
  <c r="R239" i="10" s="1"/>
  <c r="R240" i="10" s="1"/>
  <c r="R241" i="10" s="1"/>
  <c r="R242" i="10" s="1"/>
  <c r="R243" i="10" s="1"/>
  <c r="R244" i="10" s="1"/>
  <c r="R245" i="10" s="1"/>
  <c r="R246" i="10" s="1"/>
  <c r="R247" i="10" s="1"/>
  <c r="R248" i="10" s="1"/>
  <c r="R249" i="10" s="1"/>
  <c r="R250" i="10" s="1"/>
  <c r="R251" i="10" s="1"/>
  <c r="R252" i="10" s="1"/>
  <c r="R253" i="10" s="1"/>
  <c r="R254" i="10" s="1"/>
  <c r="R255" i="10" s="1"/>
  <c r="R256" i="10" s="1"/>
  <c r="R257" i="10" s="1"/>
  <c r="R258" i="10" s="1"/>
  <c r="R259" i="10" s="1"/>
  <c r="R260" i="10" s="1"/>
  <c r="R261" i="10" s="1"/>
  <c r="R262" i="10" s="1"/>
  <c r="R263" i="10" s="1"/>
  <c r="R264" i="10" s="1"/>
  <c r="R265" i="10" s="1"/>
  <c r="R266" i="10" s="1"/>
  <c r="R267" i="10" s="1"/>
  <c r="R268" i="10" s="1"/>
  <c r="R269" i="10" s="1"/>
  <c r="R270" i="10" s="1"/>
  <c r="R271" i="10" s="1"/>
  <c r="R272" i="10" s="1"/>
  <c r="R273" i="10" s="1"/>
  <c r="R274" i="10" s="1"/>
  <c r="R275" i="10" s="1"/>
  <c r="R276" i="10" s="1"/>
  <c r="R277" i="10" s="1"/>
  <c r="R278" i="10" s="1"/>
  <c r="R279" i="10" s="1"/>
  <c r="R280" i="10" s="1"/>
  <c r="R281" i="10" s="1"/>
  <c r="R282" i="10" s="1"/>
  <c r="R283" i="10" s="1"/>
  <c r="R284" i="10" s="1"/>
  <c r="R285" i="10" s="1"/>
  <c r="R286" i="10" s="1"/>
  <c r="R287" i="10" s="1"/>
  <c r="R288" i="10" s="1"/>
  <c r="R289" i="10" s="1"/>
  <c r="R290" i="10" s="1"/>
  <c r="R291" i="10" s="1"/>
  <c r="R292" i="10" s="1"/>
  <c r="R293" i="10" s="1"/>
  <c r="R294" i="10" s="1"/>
  <c r="R295" i="10" s="1"/>
  <c r="R296" i="10" s="1"/>
  <c r="R297" i="10" s="1"/>
  <c r="R298" i="10" s="1"/>
  <c r="R299" i="10" s="1"/>
  <c r="R300" i="10" s="1"/>
  <c r="R301" i="10" s="1"/>
  <c r="R302" i="10" s="1"/>
  <c r="R303" i="10" s="1"/>
  <c r="R304" i="10" s="1"/>
  <c r="R305" i="10" s="1"/>
  <c r="R306" i="10" s="1"/>
  <c r="R307" i="10" s="1"/>
  <c r="R308" i="10" s="1"/>
  <c r="R309" i="10" s="1"/>
  <c r="T214" i="10" l="1"/>
  <c r="T215" i="10" l="1"/>
  <c r="T216" i="10" l="1"/>
  <c r="T217" i="10" s="1"/>
  <c r="T218" i="10" l="1"/>
  <c r="Z4" i="10"/>
  <c r="U217" i="10" s="1"/>
  <c r="T219" i="10" l="1"/>
  <c r="U218" i="10"/>
  <c r="Z8" i="10"/>
  <c r="U4" i="10"/>
  <c r="U5" i="10"/>
  <c r="U6" i="10"/>
  <c r="U7" i="10"/>
  <c r="U8" i="10"/>
  <c r="U9" i="10"/>
  <c r="U10" i="10"/>
  <c r="U11" i="10"/>
  <c r="U12" i="10"/>
  <c r="U13" i="10"/>
  <c r="U14" i="10"/>
  <c r="U15" i="10"/>
  <c r="U16" i="10"/>
  <c r="U17" i="10"/>
  <c r="U18" i="10"/>
  <c r="U19" i="10"/>
  <c r="U20" i="10"/>
  <c r="U21" i="10"/>
  <c r="U22" i="10"/>
  <c r="U23" i="10"/>
  <c r="U24" i="10"/>
  <c r="U25" i="10"/>
  <c r="U26" i="10"/>
  <c r="U27" i="10"/>
  <c r="U28" i="10"/>
  <c r="U29" i="10"/>
  <c r="U30" i="10"/>
  <c r="U31" i="10"/>
  <c r="U32" i="10"/>
  <c r="U33" i="10"/>
  <c r="U34" i="10"/>
  <c r="U35" i="10"/>
  <c r="U36" i="10"/>
  <c r="U37" i="10"/>
  <c r="U38" i="10"/>
  <c r="U39" i="10"/>
  <c r="U40" i="10"/>
  <c r="U41" i="10"/>
  <c r="U42" i="10"/>
  <c r="U43" i="10"/>
  <c r="U44" i="10"/>
  <c r="U45" i="10"/>
  <c r="U46" i="10"/>
  <c r="U47" i="10"/>
  <c r="U48" i="10"/>
  <c r="U49" i="10"/>
  <c r="U50" i="10"/>
  <c r="U51" i="10"/>
  <c r="U52" i="10"/>
  <c r="U53" i="10"/>
  <c r="U54" i="10"/>
  <c r="U55" i="10"/>
  <c r="U56" i="10"/>
  <c r="U57" i="10"/>
  <c r="U58" i="10"/>
  <c r="U59" i="10"/>
  <c r="U60" i="10"/>
  <c r="U61" i="10"/>
  <c r="U62" i="10"/>
  <c r="U63" i="10"/>
  <c r="U64" i="10"/>
  <c r="U65" i="10"/>
  <c r="U66" i="10"/>
  <c r="U67" i="10"/>
  <c r="U68" i="10"/>
  <c r="U69" i="10"/>
  <c r="U70" i="10"/>
  <c r="U71" i="10"/>
  <c r="U72" i="10"/>
  <c r="U73" i="10"/>
  <c r="U74" i="10"/>
  <c r="U75" i="10"/>
  <c r="U76" i="10"/>
  <c r="U77" i="10"/>
  <c r="U78" i="10"/>
  <c r="U79" i="10"/>
  <c r="U80" i="10"/>
  <c r="U81" i="10"/>
  <c r="U82" i="10"/>
  <c r="U83" i="10"/>
  <c r="U84" i="10"/>
  <c r="U85" i="10"/>
  <c r="U86" i="10"/>
  <c r="U87" i="10"/>
  <c r="U88" i="10"/>
  <c r="U89" i="10"/>
  <c r="U90" i="10"/>
  <c r="U91" i="10"/>
  <c r="U92" i="10"/>
  <c r="U93" i="10"/>
  <c r="U94" i="10"/>
  <c r="U95" i="10"/>
  <c r="U96" i="10"/>
  <c r="U97" i="10"/>
  <c r="U98" i="10"/>
  <c r="U99" i="10"/>
  <c r="U100" i="10"/>
  <c r="U101" i="10"/>
  <c r="U102" i="10"/>
  <c r="U103" i="10"/>
  <c r="U104" i="10"/>
  <c r="U105" i="10"/>
  <c r="U106" i="10"/>
  <c r="U107" i="10"/>
  <c r="U108" i="10"/>
  <c r="U109" i="10"/>
  <c r="U110" i="10"/>
  <c r="U111" i="10"/>
  <c r="U112" i="10"/>
  <c r="U113" i="10"/>
  <c r="U114" i="10"/>
  <c r="U115" i="10"/>
  <c r="U116" i="10"/>
  <c r="U117" i="10"/>
  <c r="U118" i="10"/>
  <c r="U119" i="10"/>
  <c r="U120" i="10"/>
  <c r="U121" i="10"/>
  <c r="U122" i="10"/>
  <c r="U123" i="10"/>
  <c r="U124" i="10"/>
  <c r="U125" i="10"/>
  <c r="U126" i="10"/>
  <c r="U127" i="10"/>
  <c r="U128" i="10"/>
  <c r="U129" i="10"/>
  <c r="U130" i="10"/>
  <c r="U131" i="10"/>
  <c r="U132" i="10"/>
  <c r="U133" i="10"/>
  <c r="U134" i="10"/>
  <c r="U135" i="10"/>
  <c r="U136" i="10"/>
  <c r="U137" i="10"/>
  <c r="U138" i="10"/>
  <c r="U139" i="10"/>
  <c r="U140" i="10"/>
  <c r="U141" i="10"/>
  <c r="U142" i="10"/>
  <c r="U143" i="10"/>
  <c r="U144" i="10"/>
  <c r="U145" i="10"/>
  <c r="U146" i="10"/>
  <c r="U147" i="10"/>
  <c r="U148" i="10"/>
  <c r="U149" i="10"/>
  <c r="U150" i="10"/>
  <c r="U151" i="10"/>
  <c r="U152" i="10"/>
  <c r="U153" i="10"/>
  <c r="U154" i="10"/>
  <c r="U155" i="10"/>
  <c r="U156" i="10"/>
  <c r="U157" i="10"/>
  <c r="U158" i="10"/>
  <c r="U159" i="10"/>
  <c r="U160" i="10"/>
  <c r="U161" i="10"/>
  <c r="U162" i="10"/>
  <c r="U163" i="10"/>
  <c r="U164" i="10"/>
  <c r="U165" i="10"/>
  <c r="U166" i="10"/>
  <c r="U167" i="10"/>
  <c r="U168" i="10"/>
  <c r="U169" i="10"/>
  <c r="U170" i="10"/>
  <c r="U171" i="10"/>
  <c r="U172" i="10"/>
  <c r="U173" i="10"/>
  <c r="U174" i="10"/>
  <c r="U175" i="10"/>
  <c r="U176" i="10"/>
  <c r="U177" i="10"/>
  <c r="U178" i="10"/>
  <c r="U179" i="10"/>
  <c r="U180" i="10"/>
  <c r="U181" i="10"/>
  <c r="U182" i="10"/>
  <c r="U183" i="10"/>
  <c r="U184" i="10"/>
  <c r="U185" i="10"/>
  <c r="U186" i="10"/>
  <c r="U187" i="10"/>
  <c r="U188" i="10"/>
  <c r="U189" i="10"/>
  <c r="U190" i="10"/>
  <c r="U191" i="10"/>
  <c r="U192" i="10"/>
  <c r="U193" i="10"/>
  <c r="U194" i="10"/>
  <c r="U195" i="10"/>
  <c r="U196" i="10"/>
  <c r="U197" i="10"/>
  <c r="U198" i="10"/>
  <c r="U199" i="10"/>
  <c r="U200" i="10"/>
  <c r="U201" i="10"/>
  <c r="U202" i="10"/>
  <c r="U203" i="10"/>
  <c r="U204" i="10"/>
  <c r="U205" i="10"/>
  <c r="U206" i="10"/>
  <c r="U207" i="10"/>
  <c r="U208" i="10"/>
  <c r="U209" i="10"/>
  <c r="U210" i="10"/>
  <c r="U211" i="10"/>
  <c r="U212" i="10"/>
  <c r="U213" i="10"/>
  <c r="U214" i="10"/>
  <c r="U215" i="10"/>
  <c r="U216" i="10"/>
  <c r="T220" i="10" l="1"/>
  <c r="U219" i="10"/>
  <c r="Z5" i="10"/>
  <c r="U220" i="10" l="1"/>
  <c r="T221" i="10"/>
  <c r="S5" i="10"/>
  <c r="S6" i="10" s="1"/>
  <c r="S7" i="10" s="1"/>
  <c r="S8" i="10" s="1"/>
  <c r="S9" i="10" s="1"/>
  <c r="S10" i="10" s="1"/>
  <c r="S11" i="10" s="1"/>
  <c r="S12" i="10" s="1"/>
  <c r="S13" i="10" s="1"/>
  <c r="S14" i="10" s="1"/>
  <c r="S15" i="10" s="1"/>
  <c r="S16" i="10" s="1"/>
  <c r="S17" i="10" s="1"/>
  <c r="S18" i="10" s="1"/>
  <c r="S19" i="10" s="1"/>
  <c r="S20" i="10" s="1"/>
  <c r="S21" i="10" s="1"/>
  <c r="S22" i="10" s="1"/>
  <c r="S23" i="10" s="1"/>
  <c r="S24" i="10" s="1"/>
  <c r="S25" i="10" s="1"/>
  <c r="S26" i="10" s="1"/>
  <c r="S27" i="10" s="1"/>
  <c r="S28" i="10" s="1"/>
  <c r="S29" i="10" s="1"/>
  <c r="S30" i="10" s="1"/>
  <c r="S31" i="10" s="1"/>
  <c r="S32" i="10" s="1"/>
  <c r="S33" i="10" s="1"/>
  <c r="S34" i="10" s="1"/>
  <c r="S35" i="10" s="1"/>
  <c r="S36" i="10" s="1"/>
  <c r="S37" i="10" s="1"/>
  <c r="S38" i="10" s="1"/>
  <c r="S39" i="10" s="1"/>
  <c r="S40" i="10" s="1"/>
  <c r="S41" i="10" s="1"/>
  <c r="S42" i="10" s="1"/>
  <c r="S43" i="10" s="1"/>
  <c r="S44" i="10" s="1"/>
  <c r="S45" i="10" s="1"/>
  <c r="S46" i="10" s="1"/>
  <c r="S47" i="10" s="1"/>
  <c r="S48" i="10" s="1"/>
  <c r="S49" i="10" s="1"/>
  <c r="S50" i="10" s="1"/>
  <c r="S51" i="10" s="1"/>
  <c r="S52" i="10" s="1"/>
  <c r="S53" i="10" s="1"/>
  <c r="S54" i="10" s="1"/>
  <c r="S55" i="10" s="1"/>
  <c r="S56" i="10" s="1"/>
  <c r="S57" i="10" s="1"/>
  <c r="S58" i="10" s="1"/>
  <c r="S59" i="10" s="1"/>
  <c r="S60" i="10" s="1"/>
  <c r="S61" i="10" s="1"/>
  <c r="S62" i="10" s="1"/>
  <c r="S63" i="10" s="1"/>
  <c r="S64" i="10" s="1"/>
  <c r="S65" i="10" s="1"/>
  <c r="S66" i="10" s="1"/>
  <c r="S67" i="10" s="1"/>
  <c r="S68" i="10" s="1"/>
  <c r="S69" i="10" s="1"/>
  <c r="S70" i="10" s="1"/>
  <c r="S71" i="10" s="1"/>
  <c r="S72" i="10" s="1"/>
  <c r="S73" i="10" s="1"/>
  <c r="S74" i="10" s="1"/>
  <c r="S75" i="10" s="1"/>
  <c r="S76" i="10" s="1"/>
  <c r="S77" i="10" s="1"/>
  <c r="S78" i="10" s="1"/>
  <c r="S79" i="10" s="1"/>
  <c r="S80" i="10" s="1"/>
  <c r="S81" i="10" s="1"/>
  <c r="S82" i="10" s="1"/>
  <c r="S83" i="10" s="1"/>
  <c r="S84" i="10" s="1"/>
  <c r="S85" i="10" s="1"/>
  <c r="S86" i="10" s="1"/>
  <c r="S87" i="10" s="1"/>
  <c r="S88" i="10" s="1"/>
  <c r="S89" i="10" s="1"/>
  <c r="S90" i="10" s="1"/>
  <c r="S91" i="10" s="1"/>
  <c r="S92" i="10" s="1"/>
  <c r="S93" i="10" s="1"/>
  <c r="S94" i="10" s="1"/>
  <c r="S95" i="10" s="1"/>
  <c r="S96" i="10" s="1"/>
  <c r="S97" i="10" s="1"/>
  <c r="S98" i="10" s="1"/>
  <c r="S99" i="10" s="1"/>
  <c r="S100" i="10" s="1"/>
  <c r="S101" i="10" s="1"/>
  <c r="S102" i="10" s="1"/>
  <c r="S103" i="10" s="1"/>
  <c r="S104" i="10" s="1"/>
  <c r="S105" i="10" s="1"/>
  <c r="S106" i="10" s="1"/>
  <c r="S107" i="10" s="1"/>
  <c r="S108" i="10" s="1"/>
  <c r="S109" i="10" s="1"/>
  <c r="S110" i="10" s="1"/>
  <c r="S111" i="10" s="1"/>
  <c r="S112" i="10" s="1"/>
  <c r="S113" i="10" s="1"/>
  <c r="S114" i="10" s="1"/>
  <c r="S115" i="10" s="1"/>
  <c r="S116" i="10" s="1"/>
  <c r="S117" i="10" s="1"/>
  <c r="S118" i="10" s="1"/>
  <c r="S119" i="10" s="1"/>
  <c r="S120" i="10" s="1"/>
  <c r="S121" i="10" s="1"/>
  <c r="S122" i="10" s="1"/>
  <c r="S123" i="10" s="1"/>
  <c r="S124" i="10" s="1"/>
  <c r="S125" i="10" s="1"/>
  <c r="S126" i="10" s="1"/>
  <c r="S127" i="10" s="1"/>
  <c r="S128" i="10" s="1"/>
  <c r="S129" i="10" s="1"/>
  <c r="S130" i="10" s="1"/>
  <c r="S131" i="10" s="1"/>
  <c r="S132" i="10" s="1"/>
  <c r="S133" i="10" s="1"/>
  <c r="S134" i="10" s="1"/>
  <c r="S135" i="10" s="1"/>
  <c r="S136" i="10" s="1"/>
  <c r="S137" i="10" s="1"/>
  <c r="S138" i="10" s="1"/>
  <c r="S139" i="10" s="1"/>
  <c r="S140" i="10" s="1"/>
  <c r="S141" i="10" s="1"/>
  <c r="S142" i="10" s="1"/>
  <c r="S143" i="10" s="1"/>
  <c r="S144" i="10" s="1"/>
  <c r="S145" i="10" s="1"/>
  <c r="S146" i="10" s="1"/>
  <c r="S147" i="10" s="1"/>
  <c r="S148" i="10" s="1"/>
  <c r="S149" i="10" s="1"/>
  <c r="S150" i="10" s="1"/>
  <c r="S151" i="10" s="1"/>
  <c r="S152" i="10" s="1"/>
  <c r="S153" i="10" s="1"/>
  <c r="S154" i="10" s="1"/>
  <c r="S155" i="10" s="1"/>
  <c r="S156" i="10" s="1"/>
  <c r="S157" i="10" s="1"/>
  <c r="S158" i="10" s="1"/>
  <c r="S159" i="10" s="1"/>
  <c r="S160" i="10" s="1"/>
  <c r="S161" i="10" s="1"/>
  <c r="S162" i="10" s="1"/>
  <c r="S163" i="10" s="1"/>
  <c r="S164" i="10" s="1"/>
  <c r="S165" i="10" s="1"/>
  <c r="S166" i="10" s="1"/>
  <c r="S167" i="10" s="1"/>
  <c r="S168" i="10" s="1"/>
  <c r="S169" i="10" s="1"/>
  <c r="S170" i="10" s="1"/>
  <c r="S171" i="10" s="1"/>
  <c r="S172" i="10" s="1"/>
  <c r="S173" i="10" s="1"/>
  <c r="S174" i="10" s="1"/>
  <c r="S175" i="10" s="1"/>
  <c r="S176" i="10" s="1"/>
  <c r="S177" i="10" s="1"/>
  <c r="S178" i="10" s="1"/>
  <c r="S179" i="10" s="1"/>
  <c r="S180" i="10" s="1"/>
  <c r="S181" i="10" s="1"/>
  <c r="S182" i="10" s="1"/>
  <c r="S183" i="10" s="1"/>
  <c r="S184" i="10" s="1"/>
  <c r="S185" i="10" s="1"/>
  <c r="S186" i="10" s="1"/>
  <c r="S187" i="10" s="1"/>
  <c r="S188" i="10" s="1"/>
  <c r="S189" i="10" s="1"/>
  <c r="S190" i="10" s="1"/>
  <c r="S191" i="10" s="1"/>
  <c r="S192" i="10" s="1"/>
  <c r="S193" i="10" s="1"/>
  <c r="S194" i="10" s="1"/>
  <c r="S195" i="10" s="1"/>
  <c r="S196" i="10" s="1"/>
  <c r="S197" i="10" s="1"/>
  <c r="S198" i="10" s="1"/>
  <c r="S199" i="10" s="1"/>
  <c r="S200" i="10" s="1"/>
  <c r="S201" i="10" s="1"/>
  <c r="S202" i="10" s="1"/>
  <c r="S203" i="10" s="1"/>
  <c r="S204" i="10" s="1"/>
  <c r="S205" i="10" s="1"/>
  <c r="S206" i="10" s="1"/>
  <c r="S207" i="10" s="1"/>
  <c r="S208" i="10" s="1"/>
  <c r="S209" i="10" s="1"/>
  <c r="S210" i="10" s="1"/>
  <c r="S211" i="10" s="1"/>
  <c r="S212" i="10" s="1"/>
  <c r="S213" i="10" s="1"/>
  <c r="S214" i="10" s="1"/>
  <c r="S215" i="10" s="1"/>
  <c r="S216" i="10" s="1"/>
  <c r="S217" i="10" s="1"/>
  <c r="S218" i="10" s="1"/>
  <c r="S219" i="10" s="1"/>
  <c r="S220" i="10" s="1"/>
  <c r="S221" i="10" s="1"/>
  <c r="S222" i="10" s="1"/>
  <c r="S223" i="10" s="1"/>
  <c r="S224" i="10" s="1"/>
  <c r="S225" i="10" s="1"/>
  <c r="S226" i="10" s="1"/>
  <c r="S227" i="10" s="1"/>
  <c r="S228" i="10" s="1"/>
  <c r="S229" i="10" s="1"/>
  <c r="S230" i="10" s="1"/>
  <c r="S231" i="10" s="1"/>
  <c r="S232" i="10" s="1"/>
  <c r="S233" i="10" s="1"/>
  <c r="S234" i="10" s="1"/>
  <c r="S235" i="10" s="1"/>
  <c r="S236" i="10" s="1"/>
  <c r="S237" i="10" s="1"/>
  <c r="S238" i="10" s="1"/>
  <c r="S239" i="10" s="1"/>
  <c r="S240" i="10" s="1"/>
  <c r="S241" i="10" s="1"/>
  <c r="S242" i="10" s="1"/>
  <c r="S243" i="10" s="1"/>
  <c r="S244" i="10" s="1"/>
  <c r="S245" i="10" s="1"/>
  <c r="S246" i="10" s="1"/>
  <c r="S247" i="10" s="1"/>
  <c r="S248" i="10" s="1"/>
  <c r="S249" i="10" s="1"/>
  <c r="S250" i="10" s="1"/>
  <c r="S251" i="10" s="1"/>
  <c r="S252" i="10" s="1"/>
  <c r="S253" i="10" s="1"/>
  <c r="S254" i="10" s="1"/>
  <c r="S255" i="10" s="1"/>
  <c r="S256" i="10" s="1"/>
  <c r="S257" i="10" s="1"/>
  <c r="S258" i="10" s="1"/>
  <c r="S259" i="10" s="1"/>
  <c r="S260" i="10" s="1"/>
  <c r="S261" i="10" s="1"/>
  <c r="S262" i="10" s="1"/>
  <c r="S263" i="10" s="1"/>
  <c r="S264" i="10" s="1"/>
  <c r="S265" i="10" s="1"/>
  <c r="S266" i="10" s="1"/>
  <c r="S267" i="10" s="1"/>
  <c r="S268" i="10" s="1"/>
  <c r="S269" i="10" s="1"/>
  <c r="S270" i="10" s="1"/>
  <c r="S271" i="10" s="1"/>
  <c r="S272" i="10" s="1"/>
  <c r="S273" i="10" s="1"/>
  <c r="S274" i="10" s="1"/>
  <c r="S275" i="10" s="1"/>
  <c r="S276" i="10" s="1"/>
  <c r="S277" i="10" s="1"/>
  <c r="S278" i="10" s="1"/>
  <c r="S279" i="10" s="1"/>
  <c r="S280" i="10" s="1"/>
  <c r="S281" i="10" s="1"/>
  <c r="S282" i="10" s="1"/>
  <c r="S283" i="10" s="1"/>
  <c r="S284" i="10" s="1"/>
  <c r="S285" i="10" s="1"/>
  <c r="S286" i="10" s="1"/>
  <c r="S287" i="10" s="1"/>
  <c r="S288" i="10" s="1"/>
  <c r="S289" i="10" s="1"/>
  <c r="S290" i="10" s="1"/>
  <c r="S291" i="10" s="1"/>
  <c r="S292" i="10" s="1"/>
  <c r="S293" i="10" s="1"/>
  <c r="S294" i="10" s="1"/>
  <c r="S295" i="10" s="1"/>
  <c r="S296" i="10" s="1"/>
  <c r="S297" i="10" s="1"/>
  <c r="S298" i="10" s="1"/>
  <c r="S299" i="10" s="1"/>
  <c r="S300" i="10" s="1"/>
  <c r="S301" i="10" s="1"/>
  <c r="S302" i="10" s="1"/>
  <c r="S303" i="10" s="1"/>
  <c r="S304" i="10" s="1"/>
  <c r="S305" i="10" s="1"/>
  <c r="S306" i="10" s="1"/>
  <c r="S307" i="10" s="1"/>
  <c r="S308" i="10" s="1"/>
  <c r="S309" i="10" s="1"/>
  <c r="T222" i="10" l="1"/>
  <c r="U221" i="10"/>
  <c r="AA4" i="10"/>
  <c r="W217" i="10" s="1"/>
  <c r="T40" i="1" a="1"/>
  <c r="T40" i="1" s="1"/>
  <c r="T41" i="1" s="1"/>
  <c r="S40" i="1" a="1"/>
  <c r="S40" i="1" s="1"/>
  <c r="S41" i="1" s="1"/>
  <c r="Q40" i="1" a="1"/>
  <c r="Q40" i="1" s="1"/>
  <c r="Q41" i="1" s="1"/>
  <c r="P40" i="1" a="1"/>
  <c r="P40" i="1" s="1"/>
  <c r="P41" i="1" s="1"/>
  <c r="O40" i="1" a="1"/>
  <c r="O40" i="1" s="1"/>
  <c r="O41" i="1" s="1"/>
  <c r="N40" i="1" a="1"/>
  <c r="N40" i="1" s="1"/>
  <c r="N41" i="1" s="1"/>
  <c r="M40" i="1" a="1"/>
  <c r="M40" i="1" s="1"/>
  <c r="M41" i="1" s="1"/>
  <c r="L40" i="1" a="1"/>
  <c r="L40" i="1" s="1"/>
  <c r="L41" i="1" s="1"/>
  <c r="Q37" i="1"/>
  <c r="Q38" i="1" s="1"/>
  <c r="P37" i="1"/>
  <c r="P38" i="1" s="1"/>
  <c r="O37" i="1"/>
  <c r="O38" i="1" s="1"/>
  <c r="N37" i="1"/>
  <c r="N38" i="1" s="1"/>
  <c r="M37" i="1"/>
  <c r="M38" i="1" s="1"/>
  <c r="L37" i="1"/>
  <c r="L38" i="1" s="1"/>
  <c r="T37" i="1"/>
  <c r="T38" i="1" s="1"/>
  <c r="S37" i="1"/>
  <c r="S38" i="1" s="1"/>
  <c r="T223" i="10" l="1"/>
  <c r="W223" i="10" s="1"/>
  <c r="U222" i="10"/>
  <c r="V42" i="10"/>
  <c r="W166" i="10"/>
  <c r="W200" i="10"/>
  <c r="V199" i="10"/>
  <c r="W185" i="10"/>
  <c r="V192" i="10"/>
  <c r="V98" i="10"/>
  <c r="V208" i="10"/>
  <c r="V138" i="10"/>
  <c r="V130" i="10"/>
  <c r="V216" i="10"/>
  <c r="W184" i="10"/>
  <c r="V176" i="10"/>
  <c r="W137" i="10"/>
  <c r="V40" i="10"/>
  <c r="V102" i="10"/>
  <c r="V20" i="10"/>
  <c r="V207" i="10"/>
  <c r="V162" i="10"/>
  <c r="V74" i="10"/>
  <c r="W154" i="10"/>
  <c r="V193" i="10"/>
  <c r="W214" i="10"/>
  <c r="W206" i="10"/>
  <c r="W198" i="10"/>
  <c r="W190" i="10"/>
  <c r="W182" i="10"/>
  <c r="W174" i="10"/>
  <c r="W165" i="10"/>
  <c r="V149" i="10"/>
  <c r="V133" i="10"/>
  <c r="W117" i="10"/>
  <c r="V96" i="10"/>
  <c r="V64" i="10"/>
  <c r="W32" i="10"/>
  <c r="W216" i="10"/>
  <c r="W208" i="10"/>
  <c r="V200" i="10"/>
  <c r="W192" i="10"/>
  <c r="W178" i="10"/>
  <c r="V152" i="10"/>
  <c r="V54" i="10"/>
  <c r="V187" i="10"/>
  <c r="W123" i="10"/>
  <c r="W158" i="10"/>
  <c r="W102" i="10"/>
  <c r="V99" i="10"/>
  <c r="W151" i="10"/>
  <c r="V33" i="10"/>
  <c r="W153" i="10"/>
  <c r="V104" i="10"/>
  <c r="W8" i="10"/>
  <c r="W194" i="10"/>
  <c r="W168" i="10"/>
  <c r="V197" i="10"/>
  <c r="V116" i="10"/>
  <c r="V65" i="10"/>
  <c r="W118" i="10"/>
  <c r="W34" i="10"/>
  <c r="W134" i="10"/>
  <c r="W183" i="10"/>
  <c r="W215" i="10"/>
  <c r="V181" i="10"/>
  <c r="V106" i="10"/>
  <c r="W169" i="10"/>
  <c r="W201" i="10"/>
  <c r="W212" i="10"/>
  <c r="V204" i="10"/>
  <c r="W196" i="10"/>
  <c r="W188" i="10"/>
  <c r="W180" i="10"/>
  <c r="W172" i="10"/>
  <c r="W161" i="10"/>
  <c r="V145" i="10"/>
  <c r="W129" i="10"/>
  <c r="W113" i="10"/>
  <c r="V88" i="10"/>
  <c r="V56" i="10"/>
  <c r="W24" i="10"/>
  <c r="V214" i="10"/>
  <c r="V206" i="10"/>
  <c r="V198" i="10"/>
  <c r="V188" i="10"/>
  <c r="V172" i="10"/>
  <c r="W144" i="10"/>
  <c r="V14" i="10"/>
  <c r="W177" i="10"/>
  <c r="W92" i="10"/>
  <c r="W146" i="10"/>
  <c r="W82" i="10"/>
  <c r="V69" i="10"/>
  <c r="W119" i="10"/>
  <c r="V203" i="10"/>
  <c r="V168" i="10"/>
  <c r="V121" i="10"/>
  <c r="V72" i="10"/>
  <c r="W210" i="10"/>
  <c r="V202" i="10"/>
  <c r="V180" i="10"/>
  <c r="V143" i="10"/>
  <c r="V12" i="10"/>
  <c r="W13" i="10"/>
  <c r="V175" i="10"/>
  <c r="V66" i="10"/>
  <c r="V150" i="10"/>
  <c r="V191" i="10"/>
  <c r="W58" i="10"/>
  <c r="V10" i="10"/>
  <c r="W122" i="10"/>
  <c r="V177" i="10"/>
  <c r="V209" i="10"/>
  <c r="V210" i="10"/>
  <c r="W202" i="10"/>
  <c r="V194" i="10"/>
  <c r="V186" i="10"/>
  <c r="V178" i="10"/>
  <c r="W170" i="10"/>
  <c r="W157" i="10"/>
  <c r="V141" i="10"/>
  <c r="W125" i="10"/>
  <c r="V109" i="10"/>
  <c r="V80" i="10"/>
  <c r="V48" i="10"/>
  <c r="V16" i="10"/>
  <c r="V212" i="10"/>
  <c r="W204" i="10"/>
  <c r="V196" i="10"/>
  <c r="V184" i="10"/>
  <c r="V170" i="10"/>
  <c r="V124" i="10"/>
  <c r="W209" i="10"/>
  <c r="W163" i="10"/>
  <c r="W52" i="10"/>
  <c r="V132" i="10"/>
  <c r="V52" i="10"/>
  <c r="V37" i="10"/>
  <c r="W95" i="10"/>
  <c r="W186" i="10"/>
  <c r="W176" i="10"/>
  <c r="V160" i="10"/>
  <c r="W140" i="10"/>
  <c r="W120" i="10"/>
  <c r="V86" i="10"/>
  <c r="W46" i="10"/>
  <c r="V6" i="10"/>
  <c r="V205" i="10"/>
  <c r="V195" i="10"/>
  <c r="V185" i="10"/>
  <c r="W173" i="10"/>
  <c r="W159" i="10"/>
  <c r="V139" i="10"/>
  <c r="V115" i="10"/>
  <c r="W84" i="10"/>
  <c r="W44" i="10"/>
  <c r="V166" i="10"/>
  <c r="V156" i="10"/>
  <c r="W142" i="10"/>
  <c r="V126" i="10"/>
  <c r="W114" i="10"/>
  <c r="W94" i="10"/>
  <c r="W74" i="10"/>
  <c r="W42" i="10"/>
  <c r="V18" i="10"/>
  <c r="V91" i="10"/>
  <c r="W59" i="10"/>
  <c r="V35" i="10"/>
  <c r="V5" i="10"/>
  <c r="W139" i="10"/>
  <c r="W115" i="10"/>
  <c r="W87" i="10"/>
  <c r="W55" i="10"/>
  <c r="V31" i="10"/>
  <c r="W156" i="10"/>
  <c r="W136" i="10"/>
  <c r="V112" i="10"/>
  <c r="V78" i="10"/>
  <c r="V38" i="10"/>
  <c r="W213" i="10"/>
  <c r="W203" i="10"/>
  <c r="W193" i="10"/>
  <c r="W181" i="10"/>
  <c r="V171" i="10"/>
  <c r="W155" i="10"/>
  <c r="V131" i="10"/>
  <c r="V111" i="10"/>
  <c r="W76" i="10"/>
  <c r="V28" i="10"/>
  <c r="W164" i="10"/>
  <c r="V154" i="10"/>
  <c r="W138" i="10"/>
  <c r="W124" i="10"/>
  <c r="V110" i="10"/>
  <c r="V92" i="10"/>
  <c r="W62" i="10"/>
  <c r="W38" i="10"/>
  <c r="W10" i="10"/>
  <c r="W81" i="10"/>
  <c r="W57" i="10"/>
  <c r="W27" i="10"/>
  <c r="V161" i="10"/>
  <c r="V137" i="10"/>
  <c r="W107" i="10"/>
  <c r="V75" i="10"/>
  <c r="W51" i="10"/>
  <c r="V23" i="10"/>
  <c r="W128" i="10"/>
  <c r="V108" i="10"/>
  <c r="V70" i="10"/>
  <c r="W22" i="10"/>
  <c r="V211" i="10"/>
  <c r="V201" i="10"/>
  <c r="W189" i="10"/>
  <c r="W179" i="10"/>
  <c r="V169" i="10"/>
  <c r="V147" i="10"/>
  <c r="V127" i="10"/>
  <c r="V107" i="10"/>
  <c r="V60" i="10"/>
  <c r="W20" i="10"/>
  <c r="W162" i="10"/>
  <c r="W148" i="10"/>
  <c r="V134" i="10"/>
  <c r="V122" i="10"/>
  <c r="W106" i="10"/>
  <c r="V84" i="10"/>
  <c r="W60" i="10"/>
  <c r="V30" i="10"/>
  <c r="V101" i="10"/>
  <c r="V77" i="10"/>
  <c r="W49" i="10"/>
  <c r="W17" i="10"/>
  <c r="V159" i="10"/>
  <c r="V129" i="10"/>
  <c r="V97" i="10"/>
  <c r="V73" i="10"/>
  <c r="V43" i="10"/>
  <c r="W171" i="10"/>
  <c r="W70" i="10"/>
  <c r="W50" i="10"/>
  <c r="W28" i="10"/>
  <c r="W6" i="10"/>
  <c r="W89" i="10"/>
  <c r="V67" i="10"/>
  <c r="W45" i="10"/>
  <c r="V25" i="10"/>
  <c r="AA8" i="10"/>
  <c r="W147" i="10"/>
  <c r="W127" i="10"/>
  <c r="W105" i="10"/>
  <c r="W83" i="10"/>
  <c r="W63" i="10"/>
  <c r="V41" i="10"/>
  <c r="W15" i="10"/>
  <c r="V100" i="10"/>
  <c r="W90" i="10"/>
  <c r="W78" i="10"/>
  <c r="W68" i="10"/>
  <c r="V58" i="10"/>
  <c r="V46" i="10"/>
  <c r="W36" i="10"/>
  <c r="V26" i="10"/>
  <c r="W14" i="10"/>
  <c r="W4" i="10"/>
  <c r="W97" i="10"/>
  <c r="V85" i="10"/>
  <c r="W75" i="10"/>
  <c r="W65" i="10"/>
  <c r="V53" i="10"/>
  <c r="W43" i="10"/>
  <c r="W33" i="10"/>
  <c r="W21" i="10"/>
  <c r="W11" i="10"/>
  <c r="V167" i="10"/>
  <c r="V155" i="10"/>
  <c r="W145" i="10"/>
  <c r="W135" i="10"/>
  <c r="V123" i="10"/>
  <c r="V113" i="10"/>
  <c r="V103" i="10"/>
  <c r="W91" i="10"/>
  <c r="V81" i="10"/>
  <c r="W71" i="10"/>
  <c r="V59" i="10"/>
  <c r="V49" i="10"/>
  <c r="W39" i="10"/>
  <c r="V27" i="10"/>
  <c r="V11" i="10"/>
  <c r="V114" i="10"/>
  <c r="W150" i="10"/>
  <c r="V140" i="10"/>
  <c r="W130" i="10"/>
  <c r="V118" i="10"/>
  <c r="W108" i="10"/>
  <c r="W98" i="10"/>
  <c r="W86" i="10"/>
  <c r="V76" i="10"/>
  <c r="W66" i="10"/>
  <c r="W54" i="10"/>
  <c r="V44" i="10"/>
  <c r="V34" i="10"/>
  <c r="V22" i="10"/>
  <c r="W12" i="10"/>
  <c r="V105" i="10"/>
  <c r="V93" i="10"/>
  <c r="V83" i="10"/>
  <c r="W73" i="10"/>
  <c r="W61" i="10"/>
  <c r="V51" i="10"/>
  <c r="W41" i="10"/>
  <c r="V29" i="10"/>
  <c r="W19" i="10"/>
  <c r="V9" i="10"/>
  <c r="V163" i="10"/>
  <c r="V153" i="10"/>
  <c r="W143" i="10"/>
  <c r="W131" i="10"/>
  <c r="W121" i="10"/>
  <c r="W111" i="10"/>
  <c r="W99" i="10"/>
  <c r="V89" i="10"/>
  <c r="W79" i="10"/>
  <c r="W67" i="10"/>
  <c r="V57" i="10"/>
  <c r="W47" i="10"/>
  <c r="W35" i="10"/>
  <c r="W25" i="10"/>
  <c r="V7" i="10"/>
  <c r="V190" i="10"/>
  <c r="V182" i="10"/>
  <c r="V174" i="10"/>
  <c r="V164" i="10"/>
  <c r="V148" i="10"/>
  <c r="W132" i="10"/>
  <c r="W116" i="10"/>
  <c r="V94" i="10"/>
  <c r="V62" i="10"/>
  <c r="W30" i="10"/>
  <c r="V215" i="10"/>
  <c r="W207" i="10"/>
  <c r="W199" i="10"/>
  <c r="W191" i="10"/>
  <c r="V183" i="10"/>
  <c r="W175" i="10"/>
  <c r="W167" i="10"/>
  <c r="V151" i="10"/>
  <c r="V135" i="10"/>
  <c r="V119" i="10"/>
  <c r="W100" i="10"/>
  <c r="V68" i="10"/>
  <c r="V36" i="10"/>
  <c r="V4" i="10"/>
  <c r="W160" i="10"/>
  <c r="W152" i="10"/>
  <c r="V144" i="10"/>
  <c r="V136" i="10"/>
  <c r="V128" i="10"/>
  <c r="V120" i="10"/>
  <c r="W112" i="10"/>
  <c r="W104" i="10"/>
  <c r="W96" i="10"/>
  <c r="W88" i="10"/>
  <c r="W80" i="10"/>
  <c r="W72" i="10"/>
  <c r="W64" i="10"/>
  <c r="W56" i="10"/>
  <c r="W48" i="10"/>
  <c r="W40" i="10"/>
  <c r="V32" i="10"/>
  <c r="V24" i="10"/>
  <c r="W16" i="10"/>
  <c r="V8" i="10"/>
  <c r="W103" i="10"/>
  <c r="V95" i="10"/>
  <c r="V87" i="10"/>
  <c r="V79" i="10"/>
  <c r="V71" i="10"/>
  <c r="V63" i="10"/>
  <c r="V55" i="10"/>
  <c r="V47" i="10"/>
  <c r="V39" i="10"/>
  <c r="W31" i="10"/>
  <c r="W23" i="10"/>
  <c r="V15" i="10"/>
  <c r="W7" i="10"/>
  <c r="V165" i="10"/>
  <c r="V157" i="10"/>
  <c r="W149" i="10"/>
  <c r="W141" i="10"/>
  <c r="W133" i="10"/>
  <c r="V125" i="10"/>
  <c r="V117" i="10"/>
  <c r="W109" i="10"/>
  <c r="W101" i="10"/>
  <c r="W93" i="10"/>
  <c r="W85" i="10"/>
  <c r="W77" i="10"/>
  <c r="W69" i="10"/>
  <c r="V61" i="10"/>
  <c r="W53" i="10"/>
  <c r="V45" i="10"/>
  <c r="W37" i="10"/>
  <c r="W29" i="10"/>
  <c r="V19" i="10"/>
  <c r="W110" i="10"/>
  <c r="W197" i="10"/>
  <c r="V218" i="10"/>
  <c r="V21" i="10"/>
  <c r="V13" i="10"/>
  <c r="W5" i="10"/>
  <c r="W126" i="10"/>
  <c r="V179" i="10"/>
  <c r="W211" i="10"/>
  <c r="V146" i="10"/>
  <c r="W205" i="10"/>
  <c r="V223" i="10"/>
  <c r="V50" i="10"/>
  <c r="V142" i="10"/>
  <c r="W187" i="10"/>
  <c r="W26" i="10"/>
  <c r="V173" i="10"/>
  <c r="V213" i="10"/>
  <c r="V219" i="10"/>
  <c r="V221" i="10"/>
  <c r="V17" i="10"/>
  <c r="W9" i="10"/>
  <c r="V82" i="10"/>
  <c r="V158" i="10"/>
  <c r="W195" i="10"/>
  <c r="V90" i="10"/>
  <c r="V189" i="10"/>
  <c r="V220" i="10"/>
  <c r="V222" i="10"/>
  <c r="W18" i="10"/>
  <c r="V217" i="10"/>
  <c r="W219" i="10"/>
  <c r="W222" i="10"/>
  <c r="W220" i="10"/>
  <c r="W218" i="10"/>
  <c r="W221" i="10"/>
  <c r="M7" i="6"/>
  <c r="T224" i="10" l="1"/>
  <c r="U223" i="10"/>
  <c r="L22" i="4"/>
  <c r="N22" i="4" s="1"/>
  <c r="L21" i="4"/>
  <c r="N21" i="4" s="1"/>
  <c r="L20" i="4"/>
  <c r="N20" i="4" s="1"/>
  <c r="L19" i="4"/>
  <c r="N19" i="4" s="1"/>
  <c r="L18" i="4"/>
  <c r="N18" i="4" s="1"/>
  <c r="P14" i="4"/>
  <c r="L16" i="4"/>
  <c r="N16" i="4" s="1"/>
  <c r="L7" i="4"/>
  <c r="N7" i="4" s="1"/>
  <c r="L15" i="4"/>
  <c r="N15" i="4" s="1"/>
  <c r="L14" i="4"/>
  <c r="N14" i="4" s="1"/>
  <c r="L13" i="4"/>
  <c r="N13" i="4" s="1"/>
  <c r="L12" i="4"/>
  <c r="N12" i="4" s="1"/>
  <c r="L11" i="4"/>
  <c r="N11" i="4" s="1"/>
  <c r="L10" i="4"/>
  <c r="N10" i="4" s="1"/>
  <c r="L9" i="4"/>
  <c r="N9" i="4" s="1"/>
  <c r="L8" i="4"/>
  <c r="N8" i="4" s="1"/>
  <c r="S13" i="6"/>
  <c r="R13" i="6"/>
  <c r="M13" i="6"/>
  <c r="O13" i="6" s="1"/>
  <c r="S25" i="6"/>
  <c r="R25" i="6"/>
  <c r="S24" i="6"/>
  <c r="R24" i="6"/>
  <c r="S23" i="6"/>
  <c r="R23" i="6"/>
  <c r="S22" i="6"/>
  <c r="R22" i="6"/>
  <c r="S21" i="6"/>
  <c r="R21" i="6"/>
  <c r="S20" i="6"/>
  <c r="R20" i="6"/>
  <c r="S19" i="6"/>
  <c r="R19" i="6"/>
  <c r="S18" i="6"/>
  <c r="R18" i="6"/>
  <c r="S17" i="6"/>
  <c r="R17" i="6"/>
  <c r="S16" i="6"/>
  <c r="R16" i="6"/>
  <c r="S12" i="6"/>
  <c r="R12" i="6"/>
  <c r="S11" i="6"/>
  <c r="R11" i="6"/>
  <c r="S10" i="6"/>
  <c r="R10" i="6"/>
  <c r="S9" i="6"/>
  <c r="R9" i="6"/>
  <c r="S8" i="6"/>
  <c r="R8" i="6"/>
  <c r="M25" i="6"/>
  <c r="O25" i="6" s="1"/>
  <c r="M24" i="6"/>
  <c r="O24" i="6" s="1"/>
  <c r="M23" i="6"/>
  <c r="O23" i="6" s="1"/>
  <c r="M22" i="6"/>
  <c r="O22" i="6" s="1"/>
  <c r="M21" i="6"/>
  <c r="O21" i="6" s="1"/>
  <c r="M20" i="6"/>
  <c r="O20" i="6" s="1"/>
  <c r="M19" i="6"/>
  <c r="O19" i="6" s="1"/>
  <c r="M18" i="6"/>
  <c r="O18" i="6" s="1"/>
  <c r="M17" i="6"/>
  <c r="O17" i="6" s="1"/>
  <c r="M16" i="6"/>
  <c r="O16" i="6" s="1"/>
  <c r="M12" i="6"/>
  <c r="M11" i="6"/>
  <c r="M10" i="6"/>
  <c r="M9" i="6"/>
  <c r="O9" i="6" s="1"/>
  <c r="M8" i="6"/>
  <c r="U3" i="6" a="1"/>
  <c r="W3" i="6" s="1"/>
  <c r="S7" i="6"/>
  <c r="R7" i="6"/>
  <c r="R3" i="6"/>
  <c r="O7" i="1"/>
  <c r="T19" i="6" l="1"/>
  <c r="T23" i="6"/>
  <c r="T25" i="6"/>
  <c r="T13" i="6"/>
  <c r="T8" i="6"/>
  <c r="W4" i="6"/>
  <c r="U4" i="6"/>
  <c r="T18" i="6"/>
  <c r="W5" i="6"/>
  <c r="V3" i="6"/>
  <c r="T9" i="6"/>
  <c r="T11" i="6"/>
  <c r="T16" i="6"/>
  <c r="V5" i="6"/>
  <c r="U3" i="6"/>
  <c r="T7" i="6"/>
  <c r="T10" i="6"/>
  <c r="T22" i="6"/>
  <c r="T225" i="10"/>
  <c r="U224" i="10"/>
  <c r="V224" i="10"/>
  <c r="W224" i="10"/>
  <c r="T21" i="6"/>
  <c r="T12" i="6"/>
  <c r="T17" i="6"/>
  <c r="Y4" i="6"/>
  <c r="Y3" i="6"/>
  <c r="X5" i="6"/>
  <c r="X4" i="6"/>
  <c r="X3" i="6"/>
  <c r="T20" i="6"/>
  <c r="T24" i="6"/>
  <c r="Y5" i="6"/>
  <c r="U5" i="6"/>
  <c r="V4" i="6"/>
  <c r="O12" i="6"/>
  <c r="O11" i="6"/>
  <c r="O10" i="6"/>
  <c r="O8" i="6"/>
  <c r="O7" i="6"/>
  <c r="Q12" i="3"/>
  <c r="Q11" i="3"/>
  <c r="Q10" i="3"/>
  <c r="Q9" i="3"/>
  <c r="Q8" i="3"/>
  <c r="Q7" i="3"/>
  <c r="Q16" i="3"/>
  <c r="R16" i="3" s="1"/>
  <c r="Q17" i="3"/>
  <c r="R17" i="3" s="1"/>
  <c r="Q18" i="3"/>
  <c r="R18" i="3" s="1"/>
  <c r="Q19" i="3"/>
  <c r="R19" i="3" s="1"/>
  <c r="Q20" i="3"/>
  <c r="R20" i="3" s="1"/>
  <c r="Q21" i="3"/>
  <c r="R21" i="3" s="1"/>
  <c r="Q22" i="3"/>
  <c r="R22" i="3" s="1"/>
  <c r="Q15" i="3"/>
  <c r="R15" i="3" s="1"/>
  <c r="O21" i="3"/>
  <c r="N21" i="3"/>
  <c r="J21" i="3"/>
  <c r="L21" i="3" s="1"/>
  <c r="O20" i="3"/>
  <c r="N20" i="3"/>
  <c r="J20" i="3"/>
  <c r="L20" i="3" s="1"/>
  <c r="O16" i="3"/>
  <c r="O17" i="3"/>
  <c r="O18" i="3"/>
  <c r="O19" i="3"/>
  <c r="O22" i="3"/>
  <c r="O15" i="3"/>
  <c r="N15" i="3"/>
  <c r="N22" i="3"/>
  <c r="N19" i="3"/>
  <c r="N18" i="3"/>
  <c r="N17" i="3"/>
  <c r="N16" i="3"/>
  <c r="J22" i="3"/>
  <c r="L22" i="3" s="1"/>
  <c r="J19" i="3"/>
  <c r="L19" i="3" s="1"/>
  <c r="J18" i="3"/>
  <c r="L18" i="3" s="1"/>
  <c r="J17" i="3"/>
  <c r="L17" i="3" s="1"/>
  <c r="J16" i="3"/>
  <c r="L16" i="3" s="1"/>
  <c r="J15" i="3"/>
  <c r="L15" i="3" s="1"/>
  <c r="N12" i="3"/>
  <c r="O12" i="3" s="1"/>
  <c r="N11" i="3"/>
  <c r="O11" i="3" s="1"/>
  <c r="N10" i="3"/>
  <c r="O10" i="3" s="1"/>
  <c r="N9" i="3"/>
  <c r="O9" i="3" s="1"/>
  <c r="N8" i="3"/>
  <c r="O8" i="3" s="1"/>
  <c r="N7" i="3"/>
  <c r="O7" i="3" s="1"/>
  <c r="J12" i="3"/>
  <c r="L12" i="3" s="1"/>
  <c r="J11" i="3"/>
  <c r="L11" i="3" s="1"/>
  <c r="J10" i="3"/>
  <c r="L10" i="3" s="1"/>
  <c r="J9" i="3"/>
  <c r="L9" i="3" s="1"/>
  <c r="J8" i="3"/>
  <c r="L8" i="3" s="1"/>
  <c r="J7" i="3"/>
  <c r="L7" i="3" s="1"/>
  <c r="S28" i="2"/>
  <c r="S27" i="2"/>
  <c r="R27" i="2"/>
  <c r="S26" i="2"/>
  <c r="R26" i="2"/>
  <c r="S25" i="2"/>
  <c r="R25" i="2"/>
  <c r="S24" i="2"/>
  <c r="R24" i="2"/>
  <c r="S23" i="2"/>
  <c r="R23" i="2"/>
  <c r="S22" i="2"/>
  <c r="R22" i="2"/>
  <c r="O23" i="2"/>
  <c r="P23" i="2"/>
  <c r="O24" i="2"/>
  <c r="P24" i="2"/>
  <c r="O25" i="2"/>
  <c r="P25" i="2"/>
  <c r="O26" i="2"/>
  <c r="P26" i="2"/>
  <c r="O27" i="2"/>
  <c r="P27" i="2"/>
  <c r="P28" i="2"/>
  <c r="P22" i="2"/>
  <c r="O22" i="2"/>
  <c r="R15" i="2"/>
  <c r="S15" i="2"/>
  <c r="R16" i="2"/>
  <c r="S16" i="2"/>
  <c r="R17" i="2"/>
  <c r="S17" i="2"/>
  <c r="R18" i="2"/>
  <c r="S18" i="2"/>
  <c r="R19" i="2"/>
  <c r="S19" i="2"/>
  <c r="R20" i="2"/>
  <c r="S20" i="2"/>
  <c r="O20" i="2"/>
  <c r="P20" i="2" s="1"/>
  <c r="O19" i="2"/>
  <c r="P19" i="2" s="1"/>
  <c r="O18" i="2"/>
  <c r="P18" i="2" s="1"/>
  <c r="O17" i="2"/>
  <c r="P17" i="2" s="1"/>
  <c r="O16" i="2"/>
  <c r="P16" i="2" s="1"/>
  <c r="O15" i="2"/>
  <c r="P15" i="2" s="1"/>
  <c r="O14" i="2"/>
  <c r="P14" i="2" s="1"/>
  <c r="O12" i="2"/>
  <c r="P12" i="2" s="1"/>
  <c r="O11" i="2"/>
  <c r="P11" i="2" s="1"/>
  <c r="O10" i="2"/>
  <c r="P10" i="2" s="1"/>
  <c r="O9" i="2"/>
  <c r="P9" i="2" s="1"/>
  <c r="O8" i="2"/>
  <c r="P8" i="2" s="1"/>
  <c r="O7" i="2"/>
  <c r="P7" i="2" s="1"/>
  <c r="S7" i="2"/>
  <c r="R7" i="2"/>
  <c r="S14" i="2"/>
  <c r="S12" i="2"/>
  <c r="S11" i="2"/>
  <c r="S10" i="2"/>
  <c r="S9" i="2"/>
  <c r="S8" i="2"/>
  <c r="R14" i="2"/>
  <c r="R13" i="2"/>
  <c r="R12" i="2"/>
  <c r="R11" i="2"/>
  <c r="R10" i="2"/>
  <c r="R9" i="2"/>
  <c r="R8" i="2"/>
  <c r="J13" i="2"/>
  <c r="K13" i="2" s="1"/>
  <c r="M13" i="2" s="1"/>
  <c r="K17" i="2"/>
  <c r="M17" i="2" s="1"/>
  <c r="I28" i="2"/>
  <c r="K28" i="2" s="1"/>
  <c r="M28" i="2" s="1"/>
  <c r="K18" i="2"/>
  <c r="M18" i="2" s="1"/>
  <c r="K16" i="2"/>
  <c r="M16" i="2" s="1"/>
  <c r="K27" i="2"/>
  <c r="M27" i="2" s="1"/>
  <c r="K26" i="2"/>
  <c r="M26" i="2" s="1"/>
  <c r="K25" i="2"/>
  <c r="M25" i="2" s="1"/>
  <c r="K15" i="2"/>
  <c r="M15" i="2" s="1"/>
  <c r="K24" i="2"/>
  <c r="M24" i="2" s="1"/>
  <c r="K23" i="2"/>
  <c r="M23" i="2" s="1"/>
  <c r="K22" i="2"/>
  <c r="M22" i="2" s="1"/>
  <c r="K8" i="2"/>
  <c r="M8" i="2" s="1"/>
  <c r="K9" i="2"/>
  <c r="M9" i="2" s="1"/>
  <c r="K10" i="2"/>
  <c r="M10" i="2" s="1"/>
  <c r="K11" i="2"/>
  <c r="M11" i="2" s="1"/>
  <c r="K12" i="2"/>
  <c r="M12" i="2" s="1"/>
  <c r="K14" i="2"/>
  <c r="M14" i="2" s="1"/>
  <c r="K19" i="2"/>
  <c r="M19" i="2" s="1"/>
  <c r="K20" i="2"/>
  <c r="M20" i="2" s="1"/>
  <c r="K7" i="2"/>
  <c r="M7" i="2" s="1"/>
  <c r="W15" i="1"/>
  <c r="W16" i="1"/>
  <c r="W17" i="1"/>
  <c r="W18" i="1"/>
  <c r="W19" i="1"/>
  <c r="W20" i="1"/>
  <c r="W21" i="1"/>
  <c r="W22" i="1"/>
  <c r="W23" i="1"/>
  <c r="W24" i="1"/>
  <c r="W10" i="1"/>
  <c r="S23" i="1"/>
  <c r="U23" i="1" s="1"/>
  <c r="T17" i="2" l="1"/>
  <c r="T20" i="2"/>
  <c r="T18" i="2"/>
  <c r="T24" i="2"/>
  <c r="T8" i="2"/>
  <c r="T12" i="2"/>
  <c r="R7" i="3"/>
  <c r="R12" i="3"/>
  <c r="R9" i="3"/>
  <c r="R8" i="3"/>
  <c r="T19" i="2"/>
  <c r="R11" i="3"/>
  <c r="T14" i="2"/>
  <c r="T226" i="10"/>
  <c r="U225" i="10"/>
  <c r="V225" i="10"/>
  <c r="W225" i="10"/>
  <c r="T26" i="2"/>
  <c r="T11" i="2"/>
  <c r="T16" i="2"/>
  <c r="R10" i="3"/>
  <c r="T7" i="2"/>
  <c r="O13" i="2"/>
  <c r="P13" i="2" s="1"/>
  <c r="T23" i="2"/>
  <c r="T9" i="2"/>
  <c r="S13" i="2"/>
  <c r="T13" i="2" s="1"/>
  <c r="T15" i="2"/>
  <c r="T25" i="2"/>
  <c r="T27" i="2"/>
  <c r="T10" i="2"/>
  <c r="O28" i="2"/>
  <c r="T22" i="2"/>
  <c r="R28" i="2"/>
  <c r="T28" i="2" s="1"/>
  <c r="X24" i="1"/>
  <c r="X23" i="1"/>
  <c r="X22" i="1"/>
  <c r="X21" i="1"/>
  <c r="X20" i="1"/>
  <c r="X19" i="1"/>
  <c r="X18" i="1"/>
  <c r="X17" i="1"/>
  <c r="X16" i="1"/>
  <c r="X15" i="1"/>
  <c r="X10" i="1"/>
  <c r="O16" i="1"/>
  <c r="Q16" i="1" s="1"/>
  <c r="O18" i="1"/>
  <c r="Q18" i="1" s="1"/>
  <c r="O20" i="1"/>
  <c r="Q20" i="1" s="1"/>
  <c r="S22" i="1"/>
  <c r="U22" i="1" s="1"/>
  <c r="O23" i="1"/>
  <c r="Q23" i="1" s="1"/>
  <c r="S24" i="1"/>
  <c r="U24" i="1" s="1"/>
  <c r="S12" i="1"/>
  <c r="U12" i="1" s="1"/>
  <c r="P12" i="1"/>
  <c r="P11" i="1"/>
  <c r="P10" i="1"/>
  <c r="P9" i="1"/>
  <c r="P8" i="1"/>
  <c r="P7" i="1"/>
  <c r="C11" i="1"/>
  <c r="C10" i="1" s="1"/>
  <c r="D12" i="1"/>
  <c r="E12" i="1" s="1"/>
  <c r="F12" i="1" s="1"/>
  <c r="G12" i="1" s="1"/>
  <c r="H12" i="1" s="1"/>
  <c r="I12" i="1" s="1"/>
  <c r="J12" i="1" s="1"/>
  <c r="T227" i="10" l="1"/>
  <c r="U226" i="10"/>
  <c r="W226" i="10"/>
  <c r="V226" i="10"/>
  <c r="C9" i="1"/>
  <c r="D9" i="1" s="1"/>
  <c r="E9" i="1" s="1"/>
  <c r="F9" i="1" s="1"/>
  <c r="G9" i="1" s="1"/>
  <c r="H9" i="1" s="1"/>
  <c r="I9" i="1" s="1"/>
  <c r="J9" i="1" s="1"/>
  <c r="W8" i="1"/>
  <c r="X8" i="1" s="1"/>
  <c r="O24" i="1"/>
  <c r="Q24" i="1" s="1"/>
  <c r="S10" i="1"/>
  <c r="U10" i="1" s="1"/>
  <c r="S8" i="1"/>
  <c r="U8" i="1" s="1"/>
  <c r="O21" i="1"/>
  <c r="Q21" i="1" s="1"/>
  <c r="S21" i="1"/>
  <c r="U21" i="1" s="1"/>
  <c r="O19" i="1"/>
  <c r="Q19" i="1" s="1"/>
  <c r="S19" i="1"/>
  <c r="U19" i="1" s="1"/>
  <c r="O17" i="1"/>
  <c r="Q17" i="1" s="1"/>
  <c r="S17" i="1"/>
  <c r="U17" i="1" s="1"/>
  <c r="O15" i="1"/>
  <c r="Q15" i="1" s="1"/>
  <c r="S15" i="1"/>
  <c r="U15" i="1" s="1"/>
  <c r="S11" i="1"/>
  <c r="U11" i="1" s="1"/>
  <c r="S9" i="1"/>
  <c r="U9" i="1" s="1"/>
  <c r="S7" i="1"/>
  <c r="U7" i="1" s="1"/>
  <c r="S20" i="1"/>
  <c r="U20" i="1" s="1"/>
  <c r="S18" i="1"/>
  <c r="U18" i="1" s="1"/>
  <c r="S16" i="1"/>
  <c r="U16" i="1" s="1"/>
  <c r="O22" i="1"/>
  <c r="Q22" i="1" s="1"/>
  <c r="O12" i="1"/>
  <c r="Q12" i="1" s="1"/>
  <c r="O10" i="1"/>
  <c r="Q10" i="1" s="1"/>
  <c r="O8" i="1"/>
  <c r="Q8" i="1" s="1"/>
  <c r="O11" i="1"/>
  <c r="Q11" i="1" s="1"/>
  <c r="O9" i="1"/>
  <c r="Q9" i="1" s="1"/>
  <c r="Q7" i="1"/>
  <c r="D11" i="1"/>
  <c r="E11" i="1" s="1"/>
  <c r="F11" i="1" s="1"/>
  <c r="G11" i="1" s="1"/>
  <c r="H11" i="1" s="1"/>
  <c r="I11" i="1" s="1"/>
  <c r="W12" i="1" s="1"/>
  <c r="D10" i="1"/>
  <c r="E10" i="1" s="1"/>
  <c r="F10" i="1" s="1"/>
  <c r="G10" i="1" s="1"/>
  <c r="H10" i="1" s="1"/>
  <c r="I10" i="1" s="1"/>
  <c r="J10" i="1" s="1"/>
  <c r="C8" i="1"/>
  <c r="T228" i="10" l="1"/>
  <c r="U227" i="10"/>
  <c r="W227" i="10"/>
  <c r="V227" i="10"/>
  <c r="J11" i="1"/>
  <c r="X12" i="1"/>
  <c r="D8" i="1"/>
  <c r="E8" i="1" s="1"/>
  <c r="F8" i="1" s="1"/>
  <c r="W9" i="1" s="1"/>
  <c r="C7" i="1"/>
  <c r="T229" i="10" l="1"/>
  <c r="U228" i="10"/>
  <c r="V228" i="10"/>
  <c r="W228" i="10"/>
  <c r="G8" i="1"/>
  <c r="H8" i="1" s="1"/>
  <c r="I8" i="1" s="1"/>
  <c r="J8" i="1" s="1"/>
  <c r="X9" i="1"/>
  <c r="D7" i="1"/>
  <c r="E7" i="1" s="1"/>
  <c r="F7" i="1" s="1"/>
  <c r="G7" i="1" s="1"/>
  <c r="H7" i="1" s="1"/>
  <c r="I7" i="1" s="1"/>
  <c r="J7" i="1" s="1"/>
  <c r="C6" i="1"/>
  <c r="T230" i="10" l="1"/>
  <c r="U229" i="10"/>
  <c r="W229" i="10"/>
  <c r="V229" i="10"/>
  <c r="C5" i="1"/>
  <c r="W11" i="1" s="1"/>
  <c r="D6" i="1"/>
  <c r="E6" i="1" s="1"/>
  <c r="F6" i="1" s="1"/>
  <c r="G6" i="1" s="1"/>
  <c r="H6" i="1" s="1"/>
  <c r="I6" i="1" s="1"/>
  <c r="J6" i="1" s="1"/>
  <c r="T231" i="10" l="1"/>
  <c r="U230" i="10"/>
  <c r="W230" i="10"/>
  <c r="V230" i="10"/>
  <c r="D5" i="1"/>
  <c r="E5" i="1" s="1"/>
  <c r="F5" i="1" s="1"/>
  <c r="G5" i="1" s="1"/>
  <c r="H5" i="1" s="1"/>
  <c r="I5" i="1" s="1"/>
  <c r="J5" i="1" s="1"/>
  <c r="X11" i="1"/>
  <c r="T232" i="10" l="1"/>
  <c r="U231" i="10"/>
  <c r="W231" i="10"/>
  <c r="V231" i="10"/>
  <c r="W7" i="1"/>
  <c r="X7" i="1" s="1"/>
  <c r="T233" i="10" l="1"/>
  <c r="U232" i="10"/>
  <c r="W232" i="10"/>
  <c r="V232" i="10"/>
  <c r="T234" i="10" l="1"/>
  <c r="U233" i="10"/>
  <c r="V233" i="10"/>
  <c r="W233" i="10"/>
  <c r="T235" i="10" l="1"/>
  <c r="U234" i="10"/>
  <c r="W234" i="10"/>
  <c r="V234" i="10"/>
  <c r="T236" i="10" l="1"/>
  <c r="U235" i="10"/>
  <c r="W235" i="10"/>
  <c r="V235" i="10"/>
  <c r="T237" i="10" l="1"/>
  <c r="U236" i="10"/>
  <c r="V236" i="10"/>
  <c r="W236" i="10"/>
  <c r="T238" i="10" l="1"/>
  <c r="U237" i="10"/>
  <c r="W237" i="10"/>
  <c r="V237" i="10"/>
  <c r="T239" i="10" l="1"/>
  <c r="U238" i="10"/>
  <c r="V238" i="10"/>
  <c r="W238" i="10"/>
  <c r="T240" i="10" l="1"/>
  <c r="U239" i="10"/>
  <c r="V239" i="10"/>
  <c r="W239" i="10"/>
  <c r="T241" i="10" l="1"/>
  <c r="U240" i="10"/>
  <c r="V240" i="10"/>
  <c r="W240" i="10"/>
  <c r="T242" i="10" l="1"/>
  <c r="U241" i="10"/>
  <c r="W241" i="10"/>
  <c r="V241" i="10"/>
  <c r="T243" i="10" l="1"/>
  <c r="U242" i="10"/>
  <c r="V242" i="10"/>
  <c r="W242" i="10"/>
  <c r="T244" i="10" l="1"/>
  <c r="U243" i="10"/>
  <c r="V243" i="10"/>
  <c r="W243" i="10"/>
  <c r="T245" i="10" l="1"/>
  <c r="U244" i="10"/>
  <c r="W244" i="10"/>
  <c r="V244" i="10"/>
  <c r="T246" i="10" l="1"/>
  <c r="U245" i="10"/>
  <c r="V245" i="10"/>
  <c r="W245" i="10"/>
  <c r="T247" i="10" l="1"/>
  <c r="U246" i="10"/>
  <c r="V246" i="10"/>
  <c r="W246" i="10"/>
  <c r="T248" i="10" l="1"/>
  <c r="U247" i="10"/>
  <c r="W247" i="10"/>
  <c r="V247" i="10"/>
  <c r="T249" i="10" l="1"/>
  <c r="U248" i="10"/>
  <c r="V248" i="10"/>
  <c r="W248" i="10"/>
  <c r="T250" i="10" l="1"/>
  <c r="U249" i="10"/>
  <c r="V249" i="10"/>
  <c r="W249" i="10"/>
  <c r="T251" i="10" l="1"/>
  <c r="U250" i="10"/>
  <c r="W250" i="10"/>
  <c r="V250" i="10"/>
  <c r="T252" i="10" l="1"/>
  <c r="U251" i="10"/>
  <c r="W251" i="10"/>
  <c r="V251" i="10"/>
  <c r="T253" i="10" l="1"/>
  <c r="U252" i="10"/>
  <c r="V252" i="10"/>
  <c r="W252" i="10"/>
  <c r="T254" i="10" l="1"/>
  <c r="U253" i="10"/>
  <c r="V253" i="10"/>
  <c r="W253" i="10"/>
  <c r="T255" i="10" l="1"/>
  <c r="U254" i="10"/>
  <c r="W254" i="10"/>
  <c r="V254" i="10"/>
  <c r="T256" i="10" l="1"/>
  <c r="U255" i="10"/>
  <c r="V255" i="10"/>
  <c r="W255" i="10"/>
  <c r="T257" i="10" l="1"/>
  <c r="U256" i="10"/>
  <c r="V256" i="10"/>
  <c r="W256" i="10"/>
  <c r="T258" i="10" l="1"/>
  <c r="U257" i="10"/>
  <c r="W257" i="10"/>
  <c r="V257" i="10"/>
  <c r="T259" i="10" l="1"/>
  <c r="U258" i="10"/>
  <c r="W258" i="10"/>
  <c r="V258" i="10"/>
  <c r="T260" i="10" l="1"/>
  <c r="U259" i="10"/>
  <c r="V259" i="10"/>
  <c r="W259" i="10"/>
  <c r="T261" i="10" l="1"/>
  <c r="U260" i="10"/>
  <c r="W260" i="10"/>
  <c r="V260" i="10"/>
  <c r="T262" i="10" l="1"/>
  <c r="U261" i="10"/>
  <c r="W261" i="10"/>
  <c r="V261" i="10"/>
  <c r="T263" i="10" l="1"/>
  <c r="U262" i="10"/>
  <c r="V262" i="10"/>
  <c r="W262" i="10"/>
  <c r="T264" i="10" l="1"/>
  <c r="U263" i="10"/>
  <c r="V263" i="10"/>
  <c r="W263" i="10"/>
  <c r="T265" i="10" l="1"/>
  <c r="U264" i="10"/>
  <c r="V264" i="10"/>
  <c r="W264" i="10"/>
  <c r="T266" i="10" l="1"/>
  <c r="U265" i="10"/>
  <c r="V265" i="10"/>
  <c r="W265" i="10"/>
  <c r="T267" i="10" l="1"/>
  <c r="U266" i="10"/>
  <c r="V266" i="10"/>
  <c r="W266" i="10"/>
  <c r="T268" i="10" l="1"/>
  <c r="U267" i="10"/>
  <c r="W267" i="10"/>
  <c r="V267" i="10"/>
  <c r="T269" i="10" l="1"/>
  <c r="U268" i="10"/>
  <c r="V268" i="10"/>
  <c r="W268" i="10"/>
  <c r="T270" i="10" l="1"/>
  <c r="U269" i="10"/>
  <c r="V269" i="10"/>
  <c r="W269" i="10"/>
  <c r="T271" i="10" l="1"/>
  <c r="U270" i="10"/>
  <c r="W270" i="10"/>
  <c r="V270" i="10"/>
  <c r="T272" i="10" l="1"/>
  <c r="U271" i="10"/>
  <c r="W271" i="10"/>
  <c r="V271" i="10"/>
  <c r="T273" i="10" l="1"/>
  <c r="U272" i="10"/>
  <c r="W272" i="10"/>
  <c r="V272" i="10"/>
  <c r="T274" i="10" l="1"/>
  <c r="U273" i="10"/>
  <c r="W273" i="10"/>
  <c r="V273" i="10"/>
  <c r="T275" i="10" l="1"/>
  <c r="U274" i="10"/>
  <c r="V274" i="10"/>
  <c r="W274" i="10"/>
  <c r="T276" i="10" l="1"/>
  <c r="U275" i="10"/>
  <c r="V275" i="10"/>
  <c r="W275" i="10"/>
  <c r="T277" i="10" l="1"/>
  <c r="U276" i="10"/>
  <c r="W276" i="10"/>
  <c r="V276" i="10"/>
  <c r="T278" i="10" l="1"/>
  <c r="U277" i="10"/>
  <c r="W277" i="10"/>
  <c r="V277" i="10"/>
  <c r="T279" i="10" l="1"/>
  <c r="U278" i="10"/>
  <c r="W278" i="10"/>
  <c r="V278" i="10"/>
  <c r="T280" i="10" l="1"/>
  <c r="U279" i="10"/>
  <c r="V279" i="10"/>
  <c r="W279" i="10"/>
  <c r="T281" i="10" l="1"/>
  <c r="U280" i="10"/>
  <c r="W280" i="10"/>
  <c r="V280" i="10"/>
  <c r="T282" i="10" l="1"/>
  <c r="U281" i="10"/>
  <c r="W281" i="10"/>
  <c r="V281" i="10"/>
  <c r="T283" i="10" l="1"/>
  <c r="U282" i="10"/>
  <c r="V282" i="10"/>
  <c r="W282" i="10"/>
  <c r="T284" i="10" l="1"/>
  <c r="U283" i="10"/>
  <c r="V283" i="10"/>
  <c r="W283" i="10"/>
  <c r="T285" i="10" l="1"/>
  <c r="U284" i="10"/>
  <c r="V284" i="10"/>
  <c r="W284" i="10"/>
  <c r="T286" i="10" l="1"/>
  <c r="U285" i="10"/>
  <c r="W285" i="10"/>
  <c r="V285" i="10"/>
  <c r="T287" i="10" l="1"/>
  <c r="U286" i="10"/>
  <c r="V286" i="10"/>
  <c r="W286" i="10"/>
  <c r="T288" i="10" l="1"/>
  <c r="U287" i="10"/>
  <c r="W287" i="10"/>
  <c r="V287" i="10"/>
  <c r="T289" i="10" l="1"/>
  <c r="U288" i="10"/>
  <c r="W288" i="10"/>
  <c r="V288" i="10"/>
  <c r="T290" i="10" l="1"/>
  <c r="U289" i="10"/>
  <c r="W289" i="10"/>
  <c r="V289" i="10"/>
  <c r="T291" i="10" l="1"/>
  <c r="U290" i="10"/>
  <c r="V290" i="10"/>
  <c r="W290" i="10"/>
  <c r="T292" i="10" l="1"/>
  <c r="U291" i="10"/>
  <c r="W291" i="10"/>
  <c r="V291" i="10"/>
  <c r="T293" i="10" l="1"/>
  <c r="U292" i="10"/>
  <c r="V292" i="10"/>
  <c r="W292" i="10"/>
  <c r="T294" i="10" l="1"/>
  <c r="U293" i="10"/>
  <c r="V293" i="10"/>
  <c r="W293" i="10"/>
  <c r="T295" i="10" l="1"/>
  <c r="U294" i="10"/>
  <c r="W294" i="10"/>
  <c r="V294" i="10"/>
  <c r="T296" i="10" l="1"/>
  <c r="U295" i="10"/>
  <c r="W295" i="10"/>
  <c r="V295" i="10"/>
  <c r="T297" i="10" l="1"/>
  <c r="U296" i="10"/>
  <c r="W296" i="10"/>
  <c r="V296" i="10"/>
  <c r="T298" i="10" l="1"/>
  <c r="U297" i="10"/>
  <c r="V297" i="10"/>
  <c r="W297" i="10"/>
  <c r="T299" i="10" l="1"/>
  <c r="U298" i="10"/>
  <c r="W298" i="10"/>
  <c r="V298" i="10"/>
  <c r="T300" i="10" l="1"/>
  <c r="U299" i="10"/>
  <c r="W299" i="10"/>
  <c r="V299" i="10"/>
  <c r="T301" i="10" l="1"/>
  <c r="U300" i="10"/>
  <c r="V300" i="10"/>
  <c r="W300" i="10"/>
  <c r="T302" i="10" l="1"/>
  <c r="U301" i="10"/>
  <c r="V301" i="10"/>
  <c r="W301" i="10"/>
  <c r="T303" i="10" l="1"/>
  <c r="U302" i="10"/>
  <c r="V302" i="10"/>
  <c r="W302" i="10"/>
  <c r="T304" i="10" l="1"/>
  <c r="U303" i="10"/>
  <c r="V303" i="10"/>
  <c r="W303" i="10"/>
  <c r="T305" i="10" l="1"/>
  <c r="U304" i="10"/>
  <c r="V304" i="10"/>
  <c r="W304" i="10"/>
  <c r="T306" i="10" l="1"/>
  <c r="U305" i="10"/>
  <c r="W305" i="10"/>
  <c r="V305" i="10"/>
  <c r="T307" i="10" l="1"/>
  <c r="U306" i="10"/>
  <c r="V306" i="10"/>
  <c r="W306" i="10"/>
  <c r="T308" i="10" l="1"/>
  <c r="U307" i="10"/>
  <c r="V307" i="10"/>
  <c r="W307" i="10"/>
  <c r="T309" i="10" l="1"/>
  <c r="U308" i="10"/>
  <c r="V308" i="10"/>
  <c r="W308" i="10"/>
  <c r="U309" i="10" l="1"/>
  <c r="W309" i="10"/>
  <c r="K17" i="10" s="1"/>
  <c r="V309" i="10"/>
  <c r="AA5" i="10" s="1"/>
  <c r="K10" i="10" l="1"/>
  <c r="K1" i="10" s="1"/>
  <c r="K6" i="10" s="1"/>
</calcChain>
</file>

<file path=xl/comments1.xml><?xml version="1.0" encoding="utf-8"?>
<comments xmlns="http://schemas.openxmlformats.org/spreadsheetml/2006/main">
  <authors>
    <author>Author</author>
  </authors>
  <commentList>
    <comment ref="J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0 / FALSE / "N" / blank = not spared
&gt;0 / TRUE / "Y" = spared
</t>
        </r>
      </text>
    </comment>
    <comment ref="R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Find index position of letter
</t>
        </r>
      </text>
    </comment>
    <comment ref="S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Decide if want row 1 (unspared, default) or row 2 in array literal</t>
        </r>
      </text>
    </comment>
    <comment ref="T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Lookup in array and return found criticality value
</t>
        </r>
      </text>
    </comment>
    <comment ref="I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Case insensitive comparisons in formula
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N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Index(array,0) is a special case - it is trying to return the whole lookup array, this is just the first element in the first available cell
</t>
        </r>
      </text>
    </comment>
    <comment ref="Q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FALSE to force exact match ony.  Note leaving blank after comma is the equivalent to this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C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i.e. where &gt;= threshold, it is Critical Equipment (not SCE, which is separate category)
</t>
        </r>
      </text>
    </comment>
    <comment ref="E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If D or above on H&amp;S then is classed as SCE</t>
        </r>
      </text>
    </comment>
  </commentList>
</comments>
</file>

<file path=xl/comments4.xml><?xml version="1.0" encoding="utf-8"?>
<comments xmlns="http://schemas.openxmlformats.org/spreadsheetml/2006/main">
  <authors>
    <author>Douglas Crooke</author>
  </authors>
  <commentList>
    <comment ref="C1" authorId="0" shapeId="0">
      <text>
        <r>
          <rPr>
            <b/>
            <sz val="9"/>
            <color indexed="81"/>
            <rFont val="Tahoma"/>
            <charset val="1"/>
          </rPr>
          <t>Douglas Crooke:</t>
        </r>
        <r>
          <rPr>
            <sz val="9"/>
            <color indexed="81"/>
            <rFont val="Tahoma"/>
            <charset val="1"/>
          </rPr>
          <t xml:space="preserve">
may need clarification - existing data or result of a previous rule?</t>
        </r>
      </text>
    </comment>
  </commentList>
</comments>
</file>

<file path=xl/comments5.xml><?xml version="1.0" encoding="utf-8"?>
<comments xmlns="http://schemas.openxmlformats.org/spreadsheetml/2006/main">
  <authors>
    <author>Author</author>
  </authors>
  <commentList>
    <comment ref="G1" authorId="0" shapeId="0">
      <text>
        <r>
          <rPr>
            <sz val="9"/>
            <color rgb="FF000000"/>
            <rFont val="Tahoma"/>
            <family val="2"/>
          </rPr>
          <t xml:space="preserve">Financial
</t>
        </r>
      </text>
    </comment>
    <comment ref="H1" authorId="0" shapeId="0">
      <text>
        <r>
          <rPr>
            <sz val="9"/>
            <color rgb="FF000000"/>
            <rFont val="Tahoma"/>
            <family val="2"/>
          </rPr>
          <t xml:space="preserve">Non-Financial
</t>
        </r>
      </text>
    </comment>
    <comment ref="K1" authorId="0" shapeId="0">
      <text>
        <r>
          <rPr>
            <sz val="9"/>
            <color rgb="FF000000"/>
            <rFont val="Tahoma"/>
            <family val="2"/>
          </rPr>
          <t xml:space="preserve">Financial
</t>
        </r>
      </text>
    </comment>
    <comment ref="L1" authorId="0" shapeId="0">
      <text>
        <r>
          <rPr>
            <sz val="9"/>
            <color rgb="FF000000"/>
            <rFont val="Tahoma"/>
            <family val="2"/>
          </rPr>
          <t xml:space="preserve">Non-Financial
</t>
        </r>
      </text>
    </comment>
  </commentList>
</comments>
</file>

<file path=xl/connections.xml><?xml version="1.0" encoding="utf-8"?>
<connections xmlns="http://schemas.openxmlformats.org/spreadsheetml/2006/main">
  <connection id="1" keepAlive="1" name="ModelConnection_ExternalData_1" description="Data Model" type="5" refreshedVersion="6" minRefreshableVersion="5" saveData="1">
    <dbPr connection="Data Model Connection" command="AssetRegisterTbl  2" commandType="3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<sst xmlns="http://schemas.openxmlformats.org/spreadsheetml/2006/main" count="3376" uniqueCount="1117">
  <si>
    <t>A</t>
  </si>
  <si>
    <t>B</t>
  </si>
  <si>
    <t>C</t>
  </si>
  <si>
    <t>D</t>
  </si>
  <si>
    <t>E</t>
  </si>
  <si>
    <t>F</t>
  </si>
  <si>
    <t>G</t>
  </si>
  <si>
    <t>H</t>
  </si>
  <si>
    <t>Impact</t>
  </si>
  <si>
    <t>1</t>
  </si>
  <si>
    <t>2</t>
  </si>
  <si>
    <t>3</t>
  </si>
  <si>
    <t>4</t>
  </si>
  <si>
    <t>5</t>
  </si>
  <si>
    <t>6</t>
  </si>
  <si>
    <t>7</t>
  </si>
  <si>
    <t>8</t>
  </si>
  <si>
    <t>Likelihood</t>
  </si>
  <si>
    <t>Expected</t>
  </si>
  <si>
    <t>Test</t>
  </si>
  <si>
    <t>Calc</t>
  </si>
  <si>
    <t xml:space="preserve">Formula = </t>
  </si>
  <si>
    <t>Z</t>
  </si>
  <si>
    <t>Desired</t>
  </si>
  <si>
    <t xml:space="preserve"> </t>
  </si>
  <si>
    <t>I</t>
  </si>
  <si>
    <t>Normal / Edge cases</t>
  </si>
  <si>
    <t>Should fail cases</t>
  </si>
  <si>
    <t>EE</t>
  </si>
  <si>
    <t xml:space="preserve">E </t>
  </si>
  <si>
    <t>G8</t>
  </si>
  <si>
    <t>Input2</t>
  </si>
  <si>
    <t>Input1</t>
  </si>
  <si>
    <t>Preferred</t>
  </si>
  <si>
    <t>Lookup formula in table</t>
  </si>
  <si>
    <t>=VLOOKUP(S2,Table1,T2+1,)</t>
  </si>
  <si>
    <t>=MATCH(S2,{"H","G","F","E","D","C","B","A"},0)+T2-1</t>
  </si>
  <si>
    <t>=MATCH(L2,{"H","G","F","E","D","C","B","A"},0)+MATCH(M2, {1,2,3,4,5,6,7,8}, 0) - 1</t>
  </si>
  <si>
    <t>Lookup</t>
  </si>
  <si>
    <t>Table coloured using conditional formatting (multiple levels)</t>
  </si>
  <si>
    <t>Criticality Unspared</t>
  </si>
  <si>
    <t>Impact Level</t>
  </si>
  <si>
    <t>Translation Table normalised to two columns</t>
  </si>
  <si>
    <t>Original format</t>
  </si>
  <si>
    <t>Criticality Rating of Equipment</t>
  </si>
  <si>
    <t>Inputs</t>
  </si>
  <si>
    <t>Spared?</t>
  </si>
  <si>
    <t>Result</t>
  </si>
  <si>
    <t>Y</t>
  </si>
  <si>
    <t>N</t>
  </si>
  <si>
    <t>y</t>
  </si>
  <si>
    <t>Failure cases</t>
  </si>
  <si>
    <t>Lookup formula</t>
  </si>
  <si>
    <t>Standalone formula</t>
  </si>
  <si>
    <t>Pass/Fail?</t>
  </si>
  <si>
    <t>AA</t>
  </si>
  <si>
    <t>A1</t>
  </si>
  <si>
    <t>Tests that should pass</t>
  </si>
  <si>
    <t>f</t>
  </si>
  <si>
    <t>n</t>
  </si>
  <si>
    <t>IF</t>
  </si>
  <si>
    <t>MATCH</t>
  </si>
  <si>
    <t>Formula components</t>
  </si>
  <si>
    <t>Index(arrayliteral, IF selected row, MATCHed column)</t>
  </si>
  <si>
    <t>Criticality Rating</t>
  </si>
  <si>
    <t>Criticality Level</t>
  </si>
  <si>
    <t>8 - 10</t>
  </si>
  <si>
    <t>4 - 7</t>
  </si>
  <si>
    <t>1 - 3</t>
  </si>
  <si>
    <t>High</t>
  </si>
  <si>
    <t>Medium</t>
  </si>
  <si>
    <t>Low</t>
  </si>
  <si>
    <t>Shorter but with issues</t>
  </si>
  <si>
    <t>Rating</t>
  </si>
  <si>
    <t>Standalone Formula</t>
  </si>
  <si>
    <t>Lookup formula,</t>
  </si>
  <si>
    <t xml:space="preserve"> references table on left to work</t>
  </si>
  <si>
    <t>does not need a table</t>
  </si>
  <si>
    <t>elements of final formula</t>
  </si>
  <si>
    <t>Copy formula(e) from Result column and check input references</t>
  </si>
  <si>
    <t>Tests that should fail</t>
  </si>
  <si>
    <t>1-2</t>
  </si>
  <si>
    <t>Rules for determining Critical Equipment</t>
  </si>
  <si>
    <t>Risk Category</t>
  </si>
  <si>
    <t>Impact Threshold</t>
  </si>
  <si>
    <t>Environmental</t>
  </si>
  <si>
    <t>Non-Financial</t>
  </si>
  <si>
    <t>Health &amp; Safety</t>
  </si>
  <si>
    <t>Financial</t>
  </si>
  <si>
    <t>E or above</t>
  </si>
  <si>
    <t>D or above</t>
  </si>
  <si>
    <t>Maximo threshold</t>
  </si>
  <si>
    <t>Business</t>
  </si>
  <si>
    <t>Safety</t>
  </si>
  <si>
    <t>Production</t>
  </si>
  <si>
    <t>Maximo Criticality type</t>
  </si>
  <si>
    <t>SCE Threshold</t>
  </si>
  <si>
    <t>FLASH GAS COMPRESSOR</t>
  </si>
  <si>
    <t>E-K-2421</t>
  </si>
  <si>
    <t>A TAG FOR TESTING</t>
  </si>
  <si>
    <t>AB12345A</t>
  </si>
  <si>
    <t>Description</t>
  </si>
  <si>
    <t>TagID</t>
  </si>
  <si>
    <t>Table as a formula</t>
  </si>
  <si>
    <t>Find Row</t>
  </si>
  <si>
    <t>Find Column</t>
  </si>
  <si>
    <t>Lookup in literal array</t>
  </si>
  <si>
    <t>Formula Components</t>
  </si>
  <si>
    <t>Table as array formula pasted as an array formula</t>
  </si>
  <si>
    <t>g</t>
  </si>
  <si>
    <t>z</t>
  </si>
  <si>
    <t>Env</t>
  </si>
  <si>
    <t>Non-F</t>
  </si>
  <si>
    <t>H&amp;S</t>
  </si>
  <si>
    <t>Fin</t>
  </si>
  <si>
    <t>Check</t>
  </si>
  <si>
    <t>A word</t>
  </si>
  <si>
    <t>IsCritical?</t>
  </si>
  <si>
    <t>(only looks at first character)</t>
  </si>
  <si>
    <t>Standalone Formula for Is Critical Equipment?</t>
  </si>
  <si>
    <t>does not need a table, treats blank as equivalent to A</t>
  </si>
  <si>
    <t>i</t>
  </si>
  <si>
    <t>Will say anything is critical unless all criteria provided in range A-z</t>
  </si>
  <si>
    <t>$</t>
  </si>
  <si>
    <t>SYSTEMID</t>
  </si>
  <si>
    <t>ABC</t>
  </si>
  <si>
    <t>Criticality</t>
  </si>
  <si>
    <t>Commercial Number</t>
  </si>
  <si>
    <t>Production Number</t>
  </si>
  <si>
    <t>Environment Number</t>
  </si>
  <si>
    <t>Safety Number</t>
  </si>
  <si>
    <t>Commercial Letter</t>
  </si>
  <si>
    <t>Production Letter</t>
  </si>
  <si>
    <t>Environmental Letter</t>
  </si>
  <si>
    <t>Safety Letter</t>
  </si>
  <si>
    <t>Column1</t>
  </si>
  <si>
    <t>Applies to</t>
  </si>
  <si>
    <t>Rule</t>
  </si>
  <si>
    <t>set criticality based on equipment sub-type and system</t>
  </si>
  <si>
    <t>FAILURECODEPLUS</t>
  </si>
  <si>
    <t>What to do with existing data</t>
  </si>
  <si>
    <t>overwrite?</t>
  </si>
  <si>
    <t>influences result</t>
  </si>
  <si>
    <t>Ignore all tags with deleted status</t>
  </si>
  <si>
    <t>STATUS</t>
  </si>
  <si>
    <t>Ignore</t>
  </si>
  <si>
    <t>Comments to add</t>
  </si>
  <si>
    <t>"Ignored due to status code"</t>
  </si>
  <si>
    <t>"Derived from SYSTEM"</t>
  </si>
  <si>
    <t>"Based on Equipment Code"</t>
  </si>
  <si>
    <t>Criticality If Redundancy</t>
  </si>
  <si>
    <t>Note - needs adjustement to absolute cell locations  in formulae if copied</t>
  </si>
  <si>
    <t>Will select blanks as 'highest' value</t>
  </si>
  <si>
    <t>Given multiple Letter impact codes, find the highest rated code</t>
  </si>
  <si>
    <t>BB</t>
  </si>
  <si>
    <t>Will select blanks as 'highest' value, better on unexpected input</t>
  </si>
  <si>
    <t>This is surprisingly tricky, these celle are some failed attempts</t>
  </si>
  <si>
    <t>to do this in a single formula, eventually decided to use an</t>
  </si>
  <si>
    <t xml:space="preserve">additional risk score column to cope with this in criticality </t>
  </si>
  <si>
    <t>spreadsheet</t>
  </si>
  <si>
    <t>set initial criticality based on system code  ***REDUNDANT, as Failure code will always overwrite?***</t>
  </si>
  <si>
    <t>Identify MAH Barriers from - System, parent, hierarchy level, type if available</t>
  </si>
  <si>
    <t>Any SIL loop components promote (to A)</t>
  </si>
  <si>
    <t>Use tag abbreviations to identify type and parent to determine if critical for production etc?</t>
  </si>
  <si>
    <t>Use rule to estimate components on a maintainable package to demote below parent priority</t>
  </si>
  <si>
    <t>Failure Code</t>
  </si>
  <si>
    <t>This table and supporting cells are used to populate dynamic dropdowns for typical component criticalities, copy and paste from here if selectors for safety impact overrides are not working</t>
  </si>
  <si>
    <t>Reviewed</t>
  </si>
  <si>
    <t>Barrier Family</t>
  </si>
  <si>
    <t>Barrier Family Description</t>
  </si>
  <si>
    <t>Typical Components</t>
  </si>
  <si>
    <t>Typical Criticality</t>
  </si>
  <si>
    <t>Barrier Family ID</t>
  </si>
  <si>
    <t>Column2</t>
  </si>
  <si>
    <t>Item No</t>
  </si>
  <si>
    <t>FamilyList</t>
  </si>
  <si>
    <t>ComponentList</t>
  </si>
  <si>
    <t>Code</t>
  </si>
  <si>
    <t>Components</t>
  </si>
  <si>
    <t>Agreed</t>
  </si>
  <si>
    <t>P2-A/B</t>
  </si>
  <si>
    <t>Structural Integrity</t>
  </si>
  <si>
    <t>Primary Structures - All Components</t>
  </si>
  <si>
    <t>Count</t>
  </si>
  <si>
    <t>Is the item SCE? (Safety impact D or greater)</t>
  </si>
  <si>
    <t>Secondary Structures - Single component failure results in hydrocarbon LOPC</t>
  </si>
  <si>
    <t>Selected ID</t>
  </si>
  <si>
    <r>
      <rPr>
        <b/>
        <sz val="11"/>
        <color theme="1"/>
        <rFont val="Calibri"/>
        <family val="2"/>
        <scheme val="minor"/>
      </rPr>
      <t>Highest Impact</t>
    </r>
    <r>
      <rPr>
        <sz val="11"/>
        <color theme="1"/>
        <rFont val="Calibri"/>
        <family val="2"/>
        <scheme val="minor"/>
      </rPr>
      <t xml:space="preserve"> Event with its likelihood is shown in each category (may not be highest risk score)</t>
    </r>
  </si>
  <si>
    <t>Secondary Structures - Single component failure results in object dropping &gt;3m</t>
  </si>
  <si>
    <t>This is used to feed the failure code criticalities</t>
  </si>
  <si>
    <t>Derived CMMS Location Priority</t>
  </si>
  <si>
    <t>Secondary Structures - Single component failure has no immediate consequence</t>
  </si>
  <si>
    <t>Category</t>
  </si>
  <si>
    <t>Redundancy applies?</t>
  </si>
  <si>
    <t>No</t>
  </si>
  <si>
    <t>Tertiary Structures - Failure may result in fall &gt;3m</t>
  </si>
  <si>
    <t>Elements contributing to CMMS Location Criticality rating</t>
  </si>
  <si>
    <t>Tertiary Structures - Failure may result in fall 1 - 3m</t>
  </si>
  <si>
    <t>Tertiary Structures - Failure may result in fall &lt;1m</t>
  </si>
  <si>
    <t>P3-A</t>
  </si>
  <si>
    <t>Stability loading control &amp; watertight integrity</t>
  </si>
  <si>
    <t>Ballast Pumps</t>
  </si>
  <si>
    <t xml:space="preserve">Derived SAP A/B/C = </t>
  </si>
  <si>
    <t>Sea Chest Valves</t>
  </si>
  <si>
    <t>Loading Computer</t>
  </si>
  <si>
    <t>Tank/Draft Monitoring systems</t>
  </si>
  <si>
    <t>Safety Scenarios</t>
  </si>
  <si>
    <t>Risk Score</t>
  </si>
  <si>
    <t>Code for Letter</t>
  </si>
  <si>
    <t>Justification / Comment2</t>
  </si>
  <si>
    <t>Safety Impact Overrides based on typical criticalities BP Guide 100041</t>
  </si>
  <si>
    <t>Ballast/Cargo/Slop tank Valve control monitoring system</t>
  </si>
  <si>
    <t>Loss of Function</t>
  </si>
  <si>
    <t>MAH Barrier family</t>
  </si>
  <si>
    <t>MAH barrier</t>
  </si>
  <si>
    <t>Bilge System Alarms CCR</t>
  </si>
  <si>
    <t>Ballast Pump Hydraulic Power</t>
  </si>
  <si>
    <t>Down-flooding Points</t>
  </si>
  <si>
    <t>Tank Hatches</t>
  </si>
  <si>
    <t>Cargo transfer/loading system</t>
  </si>
  <si>
    <t>Environmental Scenarios</t>
  </si>
  <si>
    <t>P3-B</t>
  </si>
  <si>
    <t>Station Keeping</t>
  </si>
  <si>
    <t>Chain Stoppers</t>
  </si>
  <si>
    <t>Mooring Chains (top chain, bottom chain, wire/polyester rope rope)</t>
  </si>
  <si>
    <t>Suction Piles</t>
  </si>
  <si>
    <t>P3-C</t>
  </si>
  <si>
    <t>Swivel Stack Assembly</t>
  </si>
  <si>
    <t>Utility, Production, LVSR (Low Voltage Slip Ring) Swivel Rings</t>
  </si>
  <si>
    <t>Swivel Seals (Primary and Secondary Seals)</t>
  </si>
  <si>
    <t xml:space="preserve">High likelihood threshold for business impacts: likelihood &gt; </t>
  </si>
  <si>
    <t>Fibre Optic Ring Joint</t>
  </si>
  <si>
    <t>Financial Scenarios</t>
  </si>
  <si>
    <t>Financial Impact Flowchart</t>
  </si>
  <si>
    <t>Swivel Fluid Barrier System</t>
  </si>
  <si>
    <t>HPU Reservoir</t>
  </si>
  <si>
    <t>Condition</t>
  </si>
  <si>
    <t>Output</t>
  </si>
  <si>
    <t>HPU Pumps, filters and automatic controls</t>
  </si>
  <si>
    <t>Failure of location &lt; E business impact?</t>
  </si>
  <si>
    <t>N2 hydraulic Accumulators</t>
  </si>
  <si>
    <t>Failure of location &lt; F business impact?</t>
  </si>
  <si>
    <t>Swivel/Turret Pipework</t>
  </si>
  <si>
    <t>Hard piping, PSVs, Valves, etc.</t>
  </si>
  <si>
    <t>Failure of location &lt;= G business impact?</t>
  </si>
  <si>
    <t>Flexible Hoses Required</t>
  </si>
  <si>
    <t>Turret Chain Table</t>
  </si>
  <si>
    <t>Anchor Mooring Leg</t>
  </si>
  <si>
    <t>Non-Financial Scenarios</t>
  </si>
  <si>
    <t>Non-financial flowchart</t>
  </si>
  <si>
    <t>Riser/Umbilical Installation and Maintenance System</t>
  </si>
  <si>
    <t>(hydraulic winch, wire rope, and HPU)</t>
  </si>
  <si>
    <t>Adjusting Mooring Chain Tension</t>
  </si>
  <si>
    <t>Non-financial impact &gt; E or regulatory req't &amp;&amp; Likelihood high</t>
  </si>
  <si>
    <t>Main Turret Bearing</t>
  </si>
  <si>
    <t>Grease Lubrication System (grease pump,</t>
  </si>
  <si>
    <t>Regulatory Requirement overrides?</t>
  </si>
  <si>
    <t>metering valves, injector divider valves, etc.)</t>
  </si>
  <si>
    <t>Main Bearing, Cover, Bearing Studs etc.</t>
  </si>
  <si>
    <t>P4-A</t>
  </si>
  <si>
    <t>Wellhead integrity</t>
  </si>
  <si>
    <t>Annulus Swab</t>
  </si>
  <si>
    <t>Annulus Master</t>
  </si>
  <si>
    <t>Crossover</t>
  </si>
  <si>
    <t>Production Swab</t>
  </si>
  <si>
    <t>Production Master</t>
  </si>
  <si>
    <t>Production Wing</t>
  </si>
  <si>
    <t>SCSSV</t>
  </si>
  <si>
    <t>P4-B</t>
  </si>
  <si>
    <t>Subsea Integrity</t>
  </si>
  <si>
    <t xml:space="preserve">Production Tree </t>
  </si>
  <si>
    <t xml:space="preserve">Gas Injection Tree </t>
  </si>
  <si>
    <t xml:space="preserve">Water Injection Tree </t>
  </si>
  <si>
    <t>Process Gas Pipeline</t>
  </si>
  <si>
    <t>Oil Production Pipeline</t>
  </si>
  <si>
    <t>Water Injection Pipeline</t>
  </si>
  <si>
    <t>Subsea Pig Launcher / Receiver</t>
  </si>
  <si>
    <t>Subsea Anchor Pile</t>
  </si>
  <si>
    <t>Subsea Buoyancy Tank</t>
  </si>
  <si>
    <t>Subsea Pipeline Crossing Support</t>
  </si>
  <si>
    <t>Subsea Electrical Flying Lead</t>
  </si>
  <si>
    <t>Subsea Electrical Junction Box</t>
  </si>
  <si>
    <t>Subsea Extension Umbilical</t>
  </si>
  <si>
    <t>Subsea Flowline Buckle Initiator</t>
  </si>
  <si>
    <t>Subsea Flowline Holdback Pile</t>
  </si>
  <si>
    <t>Subsea Production Flexible Riser</t>
  </si>
  <si>
    <t>Subsea Gas Injection Flexible Riser</t>
  </si>
  <si>
    <t>Subsea Water Injection Flexible Riser</t>
  </si>
  <si>
    <t>Subsea Service Flexible Riser</t>
  </si>
  <si>
    <t>Subsea Gas Injection Flexible Spur</t>
  </si>
  <si>
    <t>Subsea Water Injection Flexible Spur</t>
  </si>
  <si>
    <t>Subsea Production Flowline Termination Assembly</t>
  </si>
  <si>
    <t>Subsea Gas Injection Flowline Termination Assembly</t>
  </si>
  <si>
    <t>Subsea Water Injection Flowline Termination Assembly</t>
  </si>
  <si>
    <t>Subsea Service Flowline Termination Assembly</t>
  </si>
  <si>
    <t>Subsea Riser Gas Lift Module</t>
  </si>
  <si>
    <t>Subsea Distribution (Hydraulic Control) Unit</t>
  </si>
  <si>
    <t>Subsea Hydraulic/Chemical Flying Lead</t>
  </si>
  <si>
    <t>Subsea Main Umbilical</t>
  </si>
  <si>
    <t xml:space="preserve">Subsea Hydraulic Power Unit </t>
  </si>
  <si>
    <t xml:space="preserve">Subsea Control Panel </t>
  </si>
  <si>
    <t xml:space="preserve">Subsea Production Inline Tee Assembly </t>
  </si>
  <si>
    <t xml:space="preserve">Subsea Gas Injection Inline Tee Assembly </t>
  </si>
  <si>
    <t xml:space="preserve">Subsea Water Injection Inline Tee Assembly </t>
  </si>
  <si>
    <t xml:space="preserve">Subsea Service Inline Tee Assembly </t>
  </si>
  <si>
    <t>Subsea Infield Umbilical</t>
  </si>
  <si>
    <t>Subsea Master Control System</t>
  </si>
  <si>
    <t>Subsea Multiphase Flowmeter</t>
  </si>
  <si>
    <t xml:space="preserve">Subsea Manifold </t>
  </si>
  <si>
    <t>Subsea Anchor Pile (Manifold Support Structure)</t>
  </si>
  <si>
    <t>Subsea Manifold Support Structure</t>
  </si>
  <si>
    <t>Subsea Riser Tower Monitoring System</t>
  </si>
  <si>
    <t>Subsea Riser Tower</t>
  </si>
  <si>
    <t>Subsea Rigid Riser</t>
  </si>
  <si>
    <t>Subsea Riser Base</t>
  </si>
  <si>
    <t>Subsea Control Module</t>
  </si>
  <si>
    <t>Subsea Production Spool Piece</t>
  </si>
  <si>
    <t>Subsea Gas Injection Spool Piece</t>
  </si>
  <si>
    <t>Subsea Water Injection Spool Piece</t>
  </si>
  <si>
    <t>Subsea Service Spool Piece</t>
  </si>
  <si>
    <t>Subsea Umbilical</t>
  </si>
  <si>
    <t>Subsea Production Tree Jumper</t>
  </si>
  <si>
    <t>P4-C</t>
  </si>
  <si>
    <t>Process Containment Integrity</t>
  </si>
  <si>
    <t>All pressure retaining Equipment and pipework for service conditions greater than B16.5, Class 300</t>
  </si>
  <si>
    <t>All pressure retaining Equipment and pipework for highly toxic substances</t>
  </si>
  <si>
    <t>All pressure retaining Equipment and pipework with corrosion resistant linings</t>
  </si>
  <si>
    <t>All pressure retaining Equipment and pipework associated with fire water delivery systems</t>
  </si>
  <si>
    <t>Bilge and ballast pipework</t>
  </si>
  <si>
    <t>All other pressure Equipment and pipework</t>
  </si>
  <si>
    <t>Supports for criticality A pressure systems</t>
  </si>
  <si>
    <t>Insulation installed on criticality A pressure systems</t>
  </si>
  <si>
    <t>Painting on criticality A pressure systems</t>
  </si>
  <si>
    <t>Bolting on criticality A pressure systems</t>
  </si>
  <si>
    <t>All other supports, paint and bolting</t>
  </si>
  <si>
    <t>P4-D</t>
  </si>
  <si>
    <t>Gas Turbine Packages &amp; Hydrocarbon RE</t>
  </si>
  <si>
    <t>Gas Generator</t>
  </si>
  <si>
    <t>Alternators</t>
  </si>
  <si>
    <t>Power Turbine</t>
  </si>
  <si>
    <t>All  Casing joints, fittings and seals</t>
  </si>
  <si>
    <t>All Shaft Seals</t>
  </si>
  <si>
    <t>All coupling members</t>
  </si>
  <si>
    <t>Pressurized Enclosures</t>
  </si>
  <si>
    <t>Fire &amp; Gas System</t>
  </si>
  <si>
    <t>All Shaft Seals System Ancillaries</t>
  </si>
  <si>
    <t>Special Protection Systems (Surge Protection, Over Speed, Electrical Power Protection)</t>
  </si>
  <si>
    <t>All Protective Systems (Pressure, temperature, Vibration, NRV, PSVs)</t>
  </si>
  <si>
    <t>Auxiliaries like (cleaning system, control system, utilities)</t>
  </si>
  <si>
    <t>Non Hydrocarbon RE (air compressors, water and hydraulic pumps)</t>
  </si>
  <si>
    <t>Equipment and protective systems including all LOPC for fluid and power (mechanical destruction) (LOPC risk turquoise and below)</t>
  </si>
  <si>
    <t>Equipment and protective systems including all LOPC for fluid and power (mechanical destruction) (LOPC risk above turquoise)</t>
  </si>
  <si>
    <t>Diesel Driven Packages</t>
  </si>
  <si>
    <t>Diesel Engine</t>
  </si>
  <si>
    <t>All Fuel system Joints, Fittings and Seals</t>
  </si>
  <si>
    <t>All Safety Protective Systems (over speed, Mist Detection, Cooling Medium Temperature, etc.)</t>
  </si>
  <si>
    <t>All other Systems (governor, control, utilities, etc.)</t>
  </si>
  <si>
    <t>P4-E</t>
  </si>
  <si>
    <t>Oil Storage &amp; Offloading</t>
  </si>
  <si>
    <t>Export Booster Pumps</t>
  </si>
  <si>
    <t>Export Hose</t>
  </si>
  <si>
    <t>Marine Growth Prevention Equipment</t>
  </si>
  <si>
    <t>Cargo Tank Cleaning Systems</t>
  </si>
  <si>
    <t>Cargo &amp; Ballast Hydraulic Valve Control</t>
  </si>
  <si>
    <t>Marine Hydraulic systems (pumps, power units and storage tanks)</t>
  </si>
  <si>
    <t>Void Tank Gas Detection</t>
  </si>
  <si>
    <t>Void Tank Dehumidification systems</t>
  </si>
  <si>
    <t>Hydrocarbon Tanks</t>
  </si>
  <si>
    <t>Ballast Tanks</t>
  </si>
  <si>
    <t>Void Tanks</t>
  </si>
  <si>
    <t>P5-A</t>
  </si>
  <si>
    <t>Overpressure Protection</t>
  </si>
  <si>
    <t>PSV in hazardous or toxic duty</t>
  </si>
  <si>
    <t>PSV in non-hazardous, non-toxic service where pressure is above 50 barg</t>
  </si>
  <si>
    <t>PSV in non-hazardous, nontoxic service where fluid temperature is above 120 degrees Celsius</t>
  </si>
  <si>
    <t>PSV in non-hazardous, nontoxic service where inlet size 8” or above</t>
  </si>
  <si>
    <t>All other PSVs</t>
  </si>
  <si>
    <t>NRV credited in the sizing case for a PSV</t>
  </si>
  <si>
    <t>NRV that protects against any E+ severity event. For example, damage to Equipment</t>
  </si>
  <si>
    <t>NRVs where consequence/likelihood of failure combination leads to a turquoise risk</t>
  </si>
  <si>
    <t>All other NRVs</t>
  </si>
  <si>
    <t>ROs (or FOs) that restrict gas flow to flare</t>
  </si>
  <si>
    <t>ROs (or FOs) that restrict flow to a PSV</t>
  </si>
  <si>
    <t>ROs in pump recirculation lines</t>
  </si>
  <si>
    <t>Control valves credited in LOPA</t>
  </si>
  <si>
    <t>Bursting disks in hazardous or toxic duty</t>
  </si>
  <si>
    <t>Bursting disks protecting an HP/LP interface. For example, cases where a bursting disk is protecting the shell side of a heat exchanger in the event of tube rupture</t>
  </si>
  <si>
    <t>Bursting disk relieving directly to flare (i.e. no PSV downstream)</t>
  </si>
  <si>
    <t>Bursting disks located upstream of a PSV with the intent of protecting that PSV from fouling</t>
  </si>
  <si>
    <t>Same criticality as the PSV</t>
  </si>
  <si>
    <t>Other bursting disks</t>
  </si>
  <si>
    <t>Vacuum breakers that are part of barrier P4-E (Oil Storage and Offloading)</t>
  </si>
  <si>
    <t>Vacuum breakers in hazardous or toxic duty</t>
  </si>
  <si>
    <t>Other Vacuum breakers not covered by the descriptions above.</t>
  </si>
  <si>
    <t>Isolation valves where sealing integrity is essential to ensure planned maintenance of Equipment can be performed.</t>
  </si>
  <si>
    <t>Same criticality as Equipment being isolated.</t>
  </si>
  <si>
    <t>P5-B</t>
  </si>
  <si>
    <t>Blowdown vent and flare</t>
  </si>
  <si>
    <t>Blowdown valves in hazardous or toxic duty</t>
  </si>
  <si>
    <t>Blowdown valves in non-hazardous, nontoxic duty</t>
  </si>
  <si>
    <t>Bursting disks provided as an alternative means to relieve back pressure in the event of FOV failure. For example, bursting disks in flare XXV bypass lines</t>
  </si>
  <si>
    <t>FOVs in hazardous and non-toxic duty required to react within 2 seconds to prevent an overpressure ratio of &gt;=1.3</t>
  </si>
  <si>
    <t>All other FOVs</t>
  </si>
  <si>
    <t>HP Flare KO Drum</t>
  </si>
  <si>
    <t>HP Flare KO Drum Pumps (at a component level, align with P4-D)</t>
  </si>
  <si>
    <t>HP Flare KO Drum Heaters</t>
  </si>
  <si>
    <t>LP Flare KO Drum</t>
  </si>
  <si>
    <t>LP Flare KO Drum Pumps  (at a component level, align with P4-D)</t>
  </si>
  <si>
    <t>KO Drum systems that ensure that liquid droplets larger than 300 microns cannot carry to flare</t>
  </si>
  <si>
    <t>Flare tip ignition systems</t>
  </si>
  <si>
    <t>Flare system XXVs that are not covered under FOVs</t>
  </si>
  <si>
    <t>Flare tips</t>
  </si>
  <si>
    <t>Any Equipment that maintains the barrier between wet and dry fluids</t>
  </si>
  <si>
    <t>Vents in hazardous or toxic duty that are required to prevent overpressure ratio &gt;=1.3</t>
  </si>
  <si>
    <t>Other vents</t>
  </si>
  <si>
    <t>Equipment providing early indication of blockages within flare header</t>
  </si>
  <si>
    <t>Flare pipework and headers (align with barrier P4-C)</t>
  </si>
  <si>
    <t>P6-A</t>
  </si>
  <si>
    <t>Digital security</t>
  </si>
  <si>
    <t>Fire walls</t>
  </si>
  <si>
    <t>Remote access servers</t>
  </si>
  <si>
    <t>Architecture</t>
  </si>
  <si>
    <t>Staging servers for Anti-virus and OS patches</t>
  </si>
  <si>
    <t>Control systems - LoPs</t>
  </si>
  <si>
    <t>Transmitter, pressure and level switches, barrier, junction box, I/O card, controller card, communications card, Wiring Panels, system cable, motor/compressor/heater contactors and relays, control valves, Anti-surge valve, positioners, solenoids on control valves, ccc controller cards, network switches, HMI screens, UPS, Power cables, power supplies and power distribution.</t>
  </si>
  <si>
    <t xml:space="preserve">Control systems - non LoPs, LOPA initiating causes </t>
  </si>
  <si>
    <t>Transmitter, pressure and level switches, barrier, junction box, I/O card, controller card, communications card, Wiring Panels, system cable, control valves, positioners, network switches, HMI screens, UPS, Power cables, power supplies and power distribution.</t>
  </si>
  <si>
    <t>Control systems - all others</t>
  </si>
  <si>
    <t>P7-A</t>
  </si>
  <si>
    <t>SIS - LoP Components</t>
  </si>
  <si>
    <t>LoP Components:</t>
  </si>
  <si>
    <t>Transmitter, barrier, junction box, I/O card, communications card, logic solvers, system cable, motor/compressor contactors/heater and relays, shutdown valves, actuators, solenoids, XV valve HPU units, partial stroke testing Equipment, HMI screens, Wiring Panels, network switches, UPS, Power cables, power supplies and power distribution.</t>
  </si>
  <si>
    <t>Testing Equipment</t>
  </si>
  <si>
    <t>Shutdown Components: XXV valves, blow down valves, switches/push buttons</t>
  </si>
  <si>
    <t>SIS - Non LoP Components</t>
  </si>
  <si>
    <t>Transmitter, barrier, junction box, I/O card, communications card, logic solvers, system cable, motor/compressor contactors/heater and relays, shutdown valves, solenoids, XV valve HPU units, partial stroke testing Equipment, HMI screens, Wiring Panels, Shutdown switches, network switches, UPS, Power cables, power supplies and power distribution.</t>
  </si>
  <si>
    <t>P8</t>
  </si>
  <si>
    <t>Alarms &amp; operator response</t>
  </si>
  <si>
    <t>Transmitter, barrier, junction box, I/O card, controller card, system cable, network switches, VDU screens, Wiring Panels, UPS, power supplies and power distribution.</t>
  </si>
  <si>
    <t>P9-A</t>
  </si>
  <si>
    <t>Collision Prevention</t>
  </si>
  <si>
    <t>Nav Aids lights, sounders &amp; UPS systems</t>
  </si>
  <si>
    <t>P9-B</t>
  </si>
  <si>
    <t>Export tanker birthing and position monitoring</t>
  </si>
  <si>
    <t>Mooring Hawser and Load Monitoring</t>
  </si>
  <si>
    <t>Berthing System (TAOMS)</t>
  </si>
  <si>
    <t xml:space="preserve">M1-A </t>
  </si>
  <si>
    <t xml:space="preserve">Bunding, Open and Closed Hazardous Drains </t>
  </si>
  <si>
    <t xml:space="preserve">Tunn dishes / Drain Pans/Drip trays / Isolation valves / Bunds </t>
  </si>
  <si>
    <t xml:space="preserve">B </t>
  </si>
  <si>
    <t xml:space="preserve">Main Deck Coaming </t>
  </si>
  <si>
    <t xml:space="preserve">Open Hazardous Drains Water seals </t>
  </si>
  <si>
    <t xml:space="preserve">A </t>
  </si>
  <si>
    <t xml:space="preserve">Close drain Drum Alarms </t>
  </si>
  <si>
    <t xml:space="preserve">Close drain Drum heating system (heating Coil, instrumentation, insulation) </t>
  </si>
  <si>
    <t xml:space="preserve">Secondary containments </t>
  </si>
  <si>
    <t xml:space="preserve">Helideck Drainage </t>
  </si>
  <si>
    <t xml:space="preserve">Rodding </t>
  </si>
  <si>
    <t xml:space="preserve">M2-A </t>
  </si>
  <si>
    <t xml:space="preserve">Passive Fire Protection </t>
  </si>
  <si>
    <t xml:space="preserve">PFP where applied </t>
  </si>
  <si>
    <t xml:space="preserve">M2-B </t>
  </si>
  <si>
    <t xml:space="preserve">Blast Overpressure Protection </t>
  </si>
  <si>
    <t xml:space="preserve">Blast Walls </t>
  </si>
  <si>
    <t xml:space="preserve">Blast Doors </t>
  </si>
  <si>
    <t xml:space="preserve">M2-C </t>
  </si>
  <si>
    <t xml:space="preserve">Temporary refuge integrity </t>
  </si>
  <si>
    <t xml:space="preserve">External Temporary Refuge doors </t>
  </si>
  <si>
    <t xml:space="preserve">Internal Temporary Fire Refuge doors </t>
  </si>
  <si>
    <t xml:space="preserve">M3-A </t>
  </si>
  <si>
    <t xml:space="preserve">Alarm Annunciation System:  </t>
  </si>
  <si>
    <t xml:space="preserve">External Speakers 
Internal Speakers, 
Strobe Lights 
Indicator Lights
Alarm interface with Fire &amp; Gas 
Controllers </t>
  </si>
  <si>
    <t xml:space="preserve">Personnel Address (PA) System </t>
  </si>
  <si>
    <t xml:space="preserve">Amplifiers 
Controllers 
External Speakers 
Internal Speakers 
Beacons / Strobe Lights 
Indicator Lights </t>
  </si>
  <si>
    <t>M3-B</t>
  </si>
  <si>
    <t>Marine, Aircraft and Helicopter Radio System</t>
  </si>
  <si>
    <t>Antenna
Receiver/transmitter
Batteries Sat comms</t>
  </si>
  <si>
    <t>M3-C</t>
  </si>
  <si>
    <t>Emergency Power</t>
  </si>
  <si>
    <t xml:space="preserve">Emergency Generator </t>
  </si>
  <si>
    <t xml:space="preserve">Hull Generators </t>
  </si>
  <si>
    <t>Hull Generators (2 out of 3)</t>
  </si>
  <si>
    <t>UPS Systems</t>
  </si>
  <si>
    <t>M3-D</t>
  </si>
  <si>
    <t>Emergency Lighting</t>
  </si>
  <si>
    <t>Emergency Lighting - battery backed</t>
  </si>
  <si>
    <t>Emergency Lighting - supplied from Emergency Generator Switchboard</t>
  </si>
  <si>
    <t>Emergency Lighting - Emergency Hand Torches in switchgear rooms</t>
  </si>
  <si>
    <t>M4-A</t>
  </si>
  <si>
    <t>Ignition Prevention</t>
  </si>
  <si>
    <t>For Equipment in Zone 0 and Zone 1</t>
  </si>
  <si>
    <t>For Equipment in Zone 2</t>
  </si>
  <si>
    <t>Equipment that is required to remain energized in the event of an incident (e.g. Tannoy and beacon systems, emergency lighting, emergency generation etc).</t>
  </si>
  <si>
    <t>M4-B</t>
  </si>
  <si>
    <t>Inert Gas Blanketing</t>
  </si>
  <si>
    <t>IGG Generator</t>
  </si>
  <si>
    <t>IGG Generator Diesel Oil Supply Pumps</t>
  </si>
  <si>
    <t>Isolation valves on locked valve register</t>
  </si>
  <si>
    <t>M5-A</t>
  </si>
  <si>
    <t>Lifesaving Equipment</t>
  </si>
  <si>
    <t>Emergency escape breathing devices</t>
  </si>
  <si>
    <t>Grab bags and smoke hoods</t>
  </si>
  <si>
    <t>Lifejackets</t>
  </si>
  <si>
    <t>Lifebuoys</t>
  </si>
  <si>
    <t>Line-throwing Device</t>
  </si>
  <si>
    <t>Helicopter Crash Equipment</t>
  </si>
  <si>
    <t>Fireman Outfits</t>
  </si>
  <si>
    <t>Emergency Breathing Air Compressor</t>
  </si>
  <si>
    <t>Storage Containers</t>
  </si>
  <si>
    <t>M5-B</t>
  </si>
  <si>
    <t>Muster areas, escape and evacuation routes</t>
  </si>
  <si>
    <t>Station Bill</t>
  </si>
  <si>
    <t>Escape Routes</t>
  </si>
  <si>
    <t>Escape Route Doors</t>
  </si>
  <si>
    <t>Primary Muster Area</t>
  </si>
  <si>
    <t>Egress Routes</t>
  </si>
  <si>
    <t xml:space="preserve">Temporary Refuge Facilities - HVAC Equipment and Fire / Blast Dampers </t>
  </si>
  <si>
    <t>Alternative Muster Areas</t>
  </si>
  <si>
    <t>M5-C</t>
  </si>
  <si>
    <t>Lifeboats</t>
  </si>
  <si>
    <t>Hull, hatch seals, penetrations, shaft, shaft seals, cable glance or window seals, Structural and watertight integrity</t>
  </si>
  <si>
    <t>Clutch, steering, internal lighting, fuel tank, air bottles, emergency provisions and survival Equipment</t>
  </si>
  <si>
    <t>Release Mechanism</t>
  </si>
  <si>
    <t>Deluge, Engine</t>
  </si>
  <si>
    <t>VHF Radio</t>
  </si>
  <si>
    <t>Emergency Beacons</t>
  </si>
  <si>
    <t>M5-D</t>
  </si>
  <si>
    <t>Means of escape to sea</t>
  </si>
  <si>
    <t>Life-rafts</t>
  </si>
  <si>
    <t>Personal Davit Descent devices</t>
  </si>
  <si>
    <t>Embarkation Rope Ladders to Sea</t>
  </si>
  <si>
    <t>M5-E</t>
  </si>
  <si>
    <t>Helideck</t>
  </si>
  <si>
    <t>Helideck Landing Area Net  (as required)</t>
  </si>
  <si>
    <t>Perimeter Net - (Integrity inspections)</t>
  </si>
  <si>
    <t xml:space="preserve">Helideck Lights - Heliport Identification Lights (H) / Floodlights / Obstruction Lighting  </t>
  </si>
  <si>
    <t xml:space="preserve">Refueling Equipment - Aviation Fuel System &amp; Equipment (Heli-fuel transfer pumps /nozzles) / Fuel testing / inspections </t>
  </si>
  <si>
    <t>Firefighting Equipment (System) - including Foam  (as required)</t>
  </si>
  <si>
    <t>Helideck Equipment - Deck crew duties and helicopter Ops support</t>
  </si>
  <si>
    <t>Emergency Equipment - Helideck emergency response Equipment</t>
  </si>
  <si>
    <t>MET System (Meteorological Equipment) - On-board IMMS System</t>
  </si>
  <si>
    <t>M5-F</t>
  </si>
  <si>
    <t>Rescue &amp; Recovery Systems</t>
  </si>
  <si>
    <t>Place of Safety</t>
  </si>
  <si>
    <t>Man Overboard Alarm</t>
  </si>
  <si>
    <t>Fast Rescue craft</t>
  </si>
  <si>
    <t>M5-G</t>
  </si>
  <si>
    <t>Cranes</t>
  </si>
  <si>
    <t>Hoisting system</t>
  </si>
  <si>
    <t>Boom system</t>
  </si>
  <si>
    <t>Warning, recording &amp; measuring systems</t>
  </si>
  <si>
    <t>Structure</t>
  </si>
  <si>
    <t>Slewing system</t>
  </si>
  <si>
    <t>Hydraulic system</t>
  </si>
  <si>
    <t>Prime mover system</t>
  </si>
  <si>
    <t>Access &amp;  walkways</t>
  </si>
  <si>
    <t>Maintenance Equipment</t>
  </si>
  <si>
    <t>Lifting system</t>
  </si>
  <si>
    <t xml:space="preserve">Runway beams </t>
  </si>
  <si>
    <t xml:space="preserve">Gantry crane </t>
  </si>
  <si>
    <t>Lifeboat davit</t>
  </si>
  <si>
    <t>Life-raft davit</t>
  </si>
  <si>
    <t>General purpose/maintenance davit</t>
  </si>
  <si>
    <t>Winch (for lifting personnel)</t>
  </si>
  <si>
    <t>Winch (general purpose - not for lifting personnel)</t>
  </si>
  <si>
    <t>M6-A</t>
  </si>
  <si>
    <t xml:space="preserve"> Fire &amp; Gas systems</t>
  </si>
  <si>
    <t xml:space="preserve">Barrier, junction box, I/O card, communications card, logic solvers, system cable, shutdown valves,  solenoids, HMI screens, Wiring Panels, network switches, UPS, Power cables, power supplies and power distribution. </t>
  </si>
  <si>
    <t>Detectors: Flame, Flammable Gas, Heat, Oil Mist, Smoke, Personal Gas Detector
Manual call point
Testing Equipment
F&amp;G mimic panel</t>
  </si>
  <si>
    <t>M6-C</t>
  </si>
  <si>
    <t>Emergency Shutdown Systems</t>
  </si>
  <si>
    <t>XV/XXVs on emergency shutdown duty</t>
  </si>
  <si>
    <t>M6-D</t>
  </si>
  <si>
    <t>Riser ESDVs &amp; EIVs</t>
  </si>
  <si>
    <t>Export/Import/Injection Riser ESDVs (XXVs) &amp; actuators</t>
  </si>
  <si>
    <t>Umbilical emergency ESDVs (XXVs) &amp; actuators</t>
  </si>
  <si>
    <t>Injection Flowline EIVs (XV) &amp; actuators</t>
  </si>
  <si>
    <t xml:space="preserve">M7 </t>
  </si>
  <si>
    <t>Fire protection</t>
  </si>
  <si>
    <t>Firewater pumps (main and jockey), drivers, their controls and control panels</t>
  </si>
  <si>
    <t>Fixed firewater /foam monitors/hydrants/hose stations (supplementary fire-fighting system)</t>
  </si>
  <si>
    <t>Fixed firewater /foam monitors/hydrants/hose stations (primary fire-fighting system)</t>
  </si>
  <si>
    <t>Zone isolation valves</t>
  </si>
  <si>
    <r>
      <t>Sprinkler / Deluge Nozzle (</t>
    </r>
    <r>
      <rPr>
        <sz val="11"/>
        <color theme="1"/>
        <rFont val="Times New Roman"/>
        <family val="1"/>
      </rPr>
      <t>≥</t>
    </r>
    <r>
      <rPr>
        <sz val="11"/>
        <color theme="1"/>
        <rFont val="Calibri"/>
        <family val="2"/>
        <scheme val="minor"/>
      </rPr>
      <t>10 per zone)</t>
    </r>
  </si>
  <si>
    <t>Sprinkler / Deluge Nozzle (&lt;10 per zone)</t>
  </si>
  <si>
    <t>Pressure / level / flow instruments</t>
  </si>
  <si>
    <t>Control Valves</t>
  </si>
  <si>
    <t>Logic solvers</t>
  </si>
  <si>
    <t>Accommodation hydrants (main fire-fighting mechanism)</t>
  </si>
  <si>
    <t>Accommodation hydrants (if sprinkler system present)</t>
  </si>
  <si>
    <r>
      <t>Fusible plug / fusible loop (</t>
    </r>
    <r>
      <rPr>
        <sz val="11"/>
        <color theme="1"/>
        <rFont val="Times New Roman"/>
        <family val="1"/>
      </rPr>
      <t>≥</t>
    </r>
    <r>
      <rPr>
        <sz val="11"/>
        <color theme="1"/>
        <rFont val="Calibri"/>
        <family val="2"/>
        <scheme val="minor"/>
      </rPr>
      <t>3 per fire zone)</t>
    </r>
  </si>
  <si>
    <t>Fusible plug / fusible loop (&lt;3 per zone)</t>
  </si>
  <si>
    <t>M7-B</t>
  </si>
  <si>
    <t>Miscellaneous fire protection systems</t>
  </si>
  <si>
    <t>Hose reels, nozzles and portable fire monitors</t>
  </si>
  <si>
    <t>Mobile (wheeled) fire extinguishers</t>
  </si>
  <si>
    <t>Fixed CO2 Fire Extinguishing Systems</t>
  </si>
  <si>
    <t>Galley Fire Suppression System</t>
  </si>
  <si>
    <t>Water Mist Systems</t>
  </si>
  <si>
    <t>FailureCode</t>
  </si>
  <si>
    <t>Number found in ASSET-C WND</t>
  </si>
  <si>
    <t>SC_Impact</t>
  </si>
  <si>
    <t>EC_Impact</t>
  </si>
  <si>
    <t>PC_impact</t>
  </si>
  <si>
    <t>BC_Impact</t>
  </si>
  <si>
    <t>SC_Likelihood</t>
  </si>
  <si>
    <t>EC_Likelihood</t>
  </si>
  <si>
    <t>PC_Likelihood</t>
  </si>
  <si>
    <t>BC_Likelihood</t>
  </si>
  <si>
    <t>1-10</t>
  </si>
  <si>
    <t>Basis</t>
  </si>
  <si>
    <t>FA_CFBC</t>
  </si>
  <si>
    <t>CONTROL ROOM</t>
  </si>
  <si>
    <t>AGT</t>
  </si>
  <si>
    <t>FA_CFSGA</t>
  </si>
  <si>
    <t>ACCESS CONTROL GATE</t>
  </si>
  <si>
    <t>E08</t>
  </si>
  <si>
    <t>H02</t>
  </si>
  <si>
    <t>G04</t>
  </si>
  <si>
    <t>Final Criticality Code</t>
  </si>
  <si>
    <t>Calculation has been overriden?</t>
  </si>
  <si>
    <t>Replace this text with some comments if overriding the calculated code.  This cell is locked until the code is changed fromm the derived value below</t>
  </si>
  <si>
    <t>This can be manually overidden, by overwriting</t>
  </si>
  <si>
    <t>formula in K1, but comments to be supplied as justification</t>
  </si>
  <si>
    <t>Is this equipment an IPL in a LOPA?</t>
  </si>
  <si>
    <t xml:space="preserve">Telecommunications </t>
  </si>
  <si>
    <t xml:space="preserve">Class A Telecommunication UPS &amp; Shut down </t>
  </si>
  <si>
    <t xml:space="preserve">Electronic Muster System </t>
  </si>
  <si>
    <t>Locations sensors / badge readers 
Controllers &amp; Software
 Interconnecting cable plant and network 
Display screen and printers 
Personnel RFID badge devices</t>
  </si>
  <si>
    <t xml:space="preserve">Facility Emergency Telephone &amp; Hot line systems </t>
  </si>
  <si>
    <t xml:space="preserve">Facility radio system </t>
  </si>
  <si>
    <t xml:space="preserve">Telecommunication towers 
Hand held radios 
Base Stations 
Antennas 
Radio Repeaters 
System Controllers </t>
  </si>
  <si>
    <r>
      <t>All pressure retaining Equipment and pipework for hydrocarbons with flash point less than 52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C</t>
    </r>
  </si>
  <si>
    <r>
      <t>All pressure retaining Equipment and pipework operating at temperature greater than 120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C</t>
    </r>
  </si>
  <si>
    <t>a</t>
  </si>
  <si>
    <t>Number of Locations in failure code when defaults assigned:</t>
  </si>
  <si>
    <t>Comment on barrier selection</t>
  </si>
  <si>
    <t>Risk Matrix Assessment</t>
  </si>
  <si>
    <t>Criticality for CMMS Rules</t>
  </si>
  <si>
    <t>ABC Allocation Rules</t>
  </si>
  <si>
    <t>Risk Matrix Population Inputs</t>
  </si>
  <si>
    <t>Comment</t>
  </si>
  <si>
    <t>Functional location</t>
  </si>
  <si>
    <t>Function Location Description</t>
  </si>
  <si>
    <t>System No</t>
  </si>
  <si>
    <t>Tag Abbreviation</t>
  </si>
  <si>
    <t>Utilities System YorN</t>
  </si>
  <si>
    <t>E-SYSTEM-00</t>
  </si>
  <si>
    <t>GENERAL / NON SPECIFIC SYSTEM SYS 00</t>
  </si>
  <si>
    <t>00</t>
  </si>
  <si>
    <t>SYS</t>
  </si>
  <si>
    <t>E-SYSTEM-01</t>
  </si>
  <si>
    <t>RESERVED FOR SUBSEA USE</t>
  </si>
  <si>
    <t>01</t>
  </si>
  <si>
    <t>System Not in Use</t>
  </si>
  <si>
    <t>E-SYSTEM-02</t>
  </si>
  <si>
    <t>02</t>
  </si>
  <si>
    <t>E-SYSTEM-03</t>
  </si>
  <si>
    <t>03</t>
  </si>
  <si>
    <t>E-SYSTEM-04</t>
  </si>
  <si>
    <t>04</t>
  </si>
  <si>
    <t>E-SYSTEM-05</t>
  </si>
  <si>
    <t>CONTROL UMBILICALS AND HPU SYS 05</t>
  </si>
  <si>
    <t>05</t>
  </si>
  <si>
    <t>E-SYSTEM-06</t>
  </si>
  <si>
    <t>06</t>
  </si>
  <si>
    <t>E-SYSTEM-07</t>
  </si>
  <si>
    <t>07</t>
  </si>
  <si>
    <t>E-SYSTEM-08</t>
  </si>
  <si>
    <t>08</t>
  </si>
  <si>
    <t>E-SYSTEM-09</t>
  </si>
  <si>
    <t>09</t>
  </si>
  <si>
    <t>E-SYSTEM-10</t>
  </si>
  <si>
    <t>10</t>
  </si>
  <si>
    <t>E-SYSTEM-11</t>
  </si>
  <si>
    <t>11</t>
  </si>
  <si>
    <t>E-SYSTEM-12</t>
  </si>
  <si>
    <t>12</t>
  </si>
  <si>
    <t>E-SYSTEM-13</t>
  </si>
  <si>
    <t>SUBSEA - WELLHEAD AND TEST SEPARATOR</t>
  </si>
  <si>
    <t>13</t>
  </si>
  <si>
    <t>E-SYSTEM-14</t>
  </si>
  <si>
    <t>14</t>
  </si>
  <si>
    <t>E-SYSTEM-15</t>
  </si>
  <si>
    <t>15</t>
  </si>
  <si>
    <t>E-SYSTEM-16</t>
  </si>
  <si>
    <t>16</t>
  </si>
  <si>
    <t>E-SYSTEM-17</t>
  </si>
  <si>
    <t>17</t>
  </si>
  <si>
    <t>E-SYSTEM-18</t>
  </si>
  <si>
    <t>18</t>
  </si>
  <si>
    <t>E-SYSTEM-19</t>
  </si>
  <si>
    <t>19</t>
  </si>
  <si>
    <t>E-SYSTEM-20</t>
  </si>
  <si>
    <t>PROCESS SEPARATION SYS 20</t>
  </si>
  <si>
    <t>20</t>
  </si>
  <si>
    <t>E-SYSTEM-21</t>
  </si>
  <si>
    <t>PROCESS CONDENSATE HANDLING SYS 21</t>
  </si>
  <si>
    <t>21</t>
  </si>
  <si>
    <t>E-SYSTEM-22</t>
  </si>
  <si>
    <t>PROCESS RECEPTION SYS 22</t>
  </si>
  <si>
    <t>22</t>
  </si>
  <si>
    <t>E-SYSTEM-23</t>
  </si>
  <si>
    <t>PROCESS COMPRESSION MAIN</t>
  </si>
  <si>
    <t>23</t>
  </si>
  <si>
    <t>E-SYSTEM-24</t>
  </si>
  <si>
    <t>FLASH GAS COMPRESSION SYS 24</t>
  </si>
  <si>
    <t>24</t>
  </si>
  <si>
    <t>E-SYSTEM-25</t>
  </si>
  <si>
    <t>GAS TREATMENT SYS 25</t>
  </si>
  <si>
    <t>25</t>
  </si>
  <si>
    <t>E-SYSTEM-26</t>
  </si>
  <si>
    <t>RESERVED FOR ONSHORE USE</t>
  </si>
  <si>
    <t>26</t>
  </si>
  <si>
    <t>E-SYSTEM-27</t>
  </si>
  <si>
    <t>GAS EXPORT SYS 27</t>
  </si>
  <si>
    <t>27</t>
  </si>
  <si>
    <t>E-SYSTEM-28</t>
  </si>
  <si>
    <t>RICH MEG SYS 28</t>
  </si>
  <si>
    <t>28</t>
  </si>
  <si>
    <t>E-SYSTEM-29</t>
  </si>
  <si>
    <t>LEAN MEG SYS 29</t>
  </si>
  <si>
    <t>29</t>
  </si>
  <si>
    <t>E-SYSTEM-30</t>
  </si>
  <si>
    <t>MEG REGENERATION SYS 30</t>
  </si>
  <si>
    <t>30</t>
  </si>
  <si>
    <t>E-SYSTEM-31</t>
  </si>
  <si>
    <t>31</t>
  </si>
  <si>
    <t>E-SYSTEM-32</t>
  </si>
  <si>
    <t>32</t>
  </si>
  <si>
    <t>E-SYSTEM-33</t>
  </si>
  <si>
    <t>33</t>
  </si>
  <si>
    <t>E-SYSTEM-34</t>
  </si>
  <si>
    <t>34</t>
  </si>
  <si>
    <t>E-SYSTEM-35</t>
  </si>
  <si>
    <t>35</t>
  </si>
  <si>
    <t>E-SYSTEM-36</t>
  </si>
  <si>
    <t>36</t>
  </si>
  <si>
    <t>E-SYSTEM-37</t>
  </si>
  <si>
    <t>37</t>
  </si>
  <si>
    <t>E-SYSTEM-38</t>
  </si>
  <si>
    <t>38</t>
  </si>
  <si>
    <t>E-SYSTEM-39</t>
  </si>
  <si>
    <t>39</t>
  </si>
  <si>
    <t>E-SYSTEM-40</t>
  </si>
  <si>
    <t>LP FUEL GAS SYS 40</t>
  </si>
  <si>
    <t>40</t>
  </si>
  <si>
    <t>E-SYSTEM-41</t>
  </si>
  <si>
    <t>PROCESS - HP WET FLARE</t>
  </si>
  <si>
    <t>41</t>
  </si>
  <si>
    <t>E-SYSTEM-42</t>
  </si>
  <si>
    <t>PROCESS - HP FLARE</t>
  </si>
  <si>
    <t>42</t>
  </si>
  <si>
    <t>E-SYSTEM-43</t>
  </si>
  <si>
    <t>PROCESS - VENT AND BLOW DOWN</t>
  </si>
  <si>
    <t>43</t>
  </si>
  <si>
    <t>E-SYSTEM-44</t>
  </si>
  <si>
    <t>PROCESS - LP FLARE</t>
  </si>
  <si>
    <t>44</t>
  </si>
  <si>
    <t>E-SYSTEM-45</t>
  </si>
  <si>
    <t>UTILITIES - FUEL GAS</t>
  </si>
  <si>
    <t>45</t>
  </si>
  <si>
    <t>E-SYSTEM-46</t>
  </si>
  <si>
    <t>UTILITIES - FUEL GAS HP</t>
  </si>
  <si>
    <t>46</t>
  </si>
  <si>
    <t>E-SYSTEM-47</t>
  </si>
  <si>
    <t>CHEMICALS - METHANOL INJECTION</t>
  </si>
  <si>
    <t>47</t>
  </si>
  <si>
    <t>E-SYSTEM-48</t>
  </si>
  <si>
    <t>CHEMICALS - CORROSION INHIBITOR INJECTION</t>
  </si>
  <si>
    <t>48</t>
  </si>
  <si>
    <t>E-SYSTEM-49</t>
  </si>
  <si>
    <t>CHEMICALS - KINETIC INHIBITOR INJECTION</t>
  </si>
  <si>
    <t>49</t>
  </si>
  <si>
    <t>E-SYSTEM-50</t>
  </si>
  <si>
    <t>CHEMICALS - REVERSE EMULSION BREAKER</t>
  </si>
  <si>
    <t>50</t>
  </si>
  <si>
    <t>E-SYSTEM-51</t>
  </si>
  <si>
    <t>CHEMICAL INJECTION SYS 51</t>
  </si>
  <si>
    <t>51</t>
  </si>
  <si>
    <t>E-SYSTEM-52</t>
  </si>
  <si>
    <t>MEG CHEMICAL INJECTION SYS 52</t>
  </si>
  <si>
    <t>52</t>
  </si>
  <si>
    <t>E-SYSTEM-53</t>
  </si>
  <si>
    <t>POTABLE WATER SYS 53</t>
  </si>
  <si>
    <t>53</t>
  </si>
  <si>
    <t>E-SYSTEM-54</t>
  </si>
  <si>
    <t>UTILITY WATER SYS 54</t>
  </si>
  <si>
    <t>54</t>
  </si>
  <si>
    <t>E-SYSTEM-55</t>
  </si>
  <si>
    <t>CHEMICALS - MISCELLANEOUS</t>
  </si>
  <si>
    <t>55</t>
  </si>
  <si>
    <t>E-SYSTEM-56</t>
  </si>
  <si>
    <t>DRAINS - HAZARDOUS OPEN SYS 56</t>
  </si>
  <si>
    <t>56</t>
  </si>
  <si>
    <t>E-SYSTEM-57</t>
  </si>
  <si>
    <t>CLOSED DRAINS SYS 57</t>
  </si>
  <si>
    <t>57</t>
  </si>
  <si>
    <t>E-SYSTEM-58</t>
  </si>
  <si>
    <t>NON-HAZARDOUS OPEN DRAINS SYS 58</t>
  </si>
  <si>
    <t>58</t>
  </si>
  <si>
    <t>E-SYSTEM-59</t>
  </si>
  <si>
    <t>SANITARY WATER SYS 59</t>
  </si>
  <si>
    <t>59</t>
  </si>
  <si>
    <t>E-SYSTEM-60</t>
  </si>
  <si>
    <t>HOT OIL SYS 60</t>
  </si>
  <si>
    <t>60</t>
  </si>
  <si>
    <t>E-SYSTEM-61</t>
  </si>
  <si>
    <t>OXYGEN SCAVENGER SYS 61</t>
  </si>
  <si>
    <t>61</t>
  </si>
  <si>
    <t>E-SYSTEM-62</t>
  </si>
  <si>
    <t>DIESEL SYS 62</t>
  </si>
  <si>
    <t>62</t>
  </si>
  <si>
    <t>E-SYSTEM-63</t>
  </si>
  <si>
    <t>INSTRUMENT AIR SYS 63</t>
  </si>
  <si>
    <t>63</t>
  </si>
  <si>
    <t>E-SYSTEM-64</t>
  </si>
  <si>
    <t>INERT GAS SYS 64</t>
  </si>
  <si>
    <t>64</t>
  </si>
  <si>
    <t>E-SYSTEM-65</t>
  </si>
  <si>
    <t>PLANT/UTILITY AIR SYS 65</t>
  </si>
  <si>
    <t>65</t>
  </si>
  <si>
    <t>E-SYSTEM-66</t>
  </si>
  <si>
    <t>THERMAL OXIDIZER SYS 66</t>
  </si>
  <si>
    <t>66</t>
  </si>
  <si>
    <t>E-SYSTEM-67</t>
  </si>
  <si>
    <t>PRODUCED WATER SYS 67</t>
  </si>
  <si>
    <t>67</t>
  </si>
  <si>
    <t>E-SYSTEM-68</t>
  </si>
  <si>
    <t>68</t>
  </si>
  <si>
    <t>E-SYSTEM-69</t>
  </si>
  <si>
    <t>69</t>
  </si>
  <si>
    <t>E-SYSTEM-70</t>
  </si>
  <si>
    <t>70</t>
  </si>
  <si>
    <t>E-SYSTEM-71</t>
  </si>
  <si>
    <t>71</t>
  </si>
  <si>
    <t>E-SYSTEM-72</t>
  </si>
  <si>
    <t>72</t>
  </si>
  <si>
    <t>E-SYSTEM-73</t>
  </si>
  <si>
    <t>73</t>
  </si>
  <si>
    <t>E-SYSTEM-74</t>
  </si>
  <si>
    <t>74</t>
  </si>
  <si>
    <t>E-SYSTEM-75</t>
  </si>
  <si>
    <t>75</t>
  </si>
  <si>
    <t>E-SYSTEM-76</t>
  </si>
  <si>
    <t>ICSS - PROCESS AUTOMATION SYSTEM</t>
  </si>
  <si>
    <t>76</t>
  </si>
  <si>
    <t>E-SYSTEM-77</t>
  </si>
  <si>
    <t>ICSS - SAFETY INSTRUMENTED SYSTEM ESD</t>
  </si>
  <si>
    <t>77</t>
  </si>
  <si>
    <t>E-SYSTEM-78</t>
  </si>
  <si>
    <t>FIRE AND GAS DETECTION</t>
  </si>
  <si>
    <t>78</t>
  </si>
  <si>
    <t>E-SYSTEM-79</t>
  </si>
  <si>
    <t>SAFETY - FIRE FIGHTING</t>
  </si>
  <si>
    <t>79</t>
  </si>
  <si>
    <t>E-SYSTEM-80</t>
  </si>
  <si>
    <t>NORMAL POWER</t>
  </si>
  <si>
    <t>80</t>
  </si>
  <si>
    <t>E-SYSTEM-81</t>
  </si>
  <si>
    <t>FIRE WATER SYS 81</t>
  </si>
  <si>
    <t>81</t>
  </si>
  <si>
    <t>E-SYSTEM-82</t>
  </si>
  <si>
    <t>UTILITIES - SEWAGE SYSTEM</t>
  </si>
  <si>
    <t>82</t>
  </si>
  <si>
    <t>E-SYSTEM-83</t>
  </si>
  <si>
    <t>TELECOMS (GENERAL)</t>
  </si>
  <si>
    <t>83</t>
  </si>
  <si>
    <t>E-SYSTEM-84</t>
  </si>
  <si>
    <t>ESSENTIAL POWER</t>
  </si>
  <si>
    <t>84</t>
  </si>
  <si>
    <t>E-SYSTEM-85</t>
  </si>
  <si>
    <t>ESSENTIAL LIGTING AND SMALL POWER</t>
  </si>
  <si>
    <t>85</t>
  </si>
  <si>
    <t>E-SYSTEM-86</t>
  </si>
  <si>
    <t>TRACE HEATING</t>
  </si>
  <si>
    <t>86</t>
  </si>
  <si>
    <t>E-SYSTEM-87</t>
  </si>
  <si>
    <t>EMERGENCY POWER</t>
  </si>
  <si>
    <t>87</t>
  </si>
  <si>
    <t>E-SYSTEM-88</t>
  </si>
  <si>
    <t>UPS POWER</t>
  </si>
  <si>
    <t>88</t>
  </si>
  <si>
    <t>E-SYSTEM-89</t>
  </si>
  <si>
    <t>NORMAL LIGHTING AND SMALL POWER</t>
  </si>
  <si>
    <t>89</t>
  </si>
  <si>
    <t>E-SYSTEM-90</t>
  </si>
  <si>
    <t>EARTHING AND LIGHTING PROTECTION</t>
  </si>
  <si>
    <t>90</t>
  </si>
  <si>
    <t>E-SYSTEM-91</t>
  </si>
  <si>
    <t>POWER - MAIN GENERATION SYS 91</t>
  </si>
  <si>
    <t>91</t>
  </si>
  <si>
    <t>E-SYSTEM-92</t>
  </si>
  <si>
    <t>CATHODIC PROTECTION</t>
  </si>
  <si>
    <t>92</t>
  </si>
  <si>
    <t>E-SYSTEM-93</t>
  </si>
  <si>
    <t>POWER MANAGEMENT SYSTEM</t>
  </si>
  <si>
    <t>93</t>
  </si>
  <si>
    <t>E-SYSTEM-94</t>
  </si>
  <si>
    <t>UTILITIES - HVAC</t>
  </si>
  <si>
    <t>94</t>
  </si>
  <si>
    <t>E-SYSTEM-95</t>
  </si>
  <si>
    <t>ACCESS CONTROL</t>
  </si>
  <si>
    <t>95</t>
  </si>
  <si>
    <t>E-SYSTEM-96</t>
  </si>
  <si>
    <t>CCTV - SECURITY</t>
  </si>
  <si>
    <t>96</t>
  </si>
  <si>
    <t>E-SYSTEM-97</t>
  </si>
  <si>
    <t>LAN - VOIP</t>
  </si>
  <si>
    <t>97</t>
  </si>
  <si>
    <t>E-SYSTEM-98</t>
  </si>
  <si>
    <t>PAGA</t>
  </si>
  <si>
    <t>98</t>
  </si>
  <si>
    <t>E-SYSTEM-99</t>
  </si>
  <si>
    <t>RADIO SYSTEMS (INCLUDING SAT COM)</t>
  </si>
  <si>
    <t>99</t>
  </si>
  <si>
    <t>R-SYSTEM-00</t>
  </si>
  <si>
    <t>R-SYSTEM-01</t>
  </si>
  <si>
    <t>R-SYSTEM-02</t>
  </si>
  <si>
    <t>R-SYSTEM-03</t>
  </si>
  <si>
    <t>R-SYSTEM-04</t>
  </si>
  <si>
    <t>R-SYSTEM-05</t>
  </si>
  <si>
    <t>R-SYSTEM-06</t>
  </si>
  <si>
    <t>R-SYSTEM-07</t>
  </si>
  <si>
    <t>R-SYSTEM-08</t>
  </si>
  <si>
    <t>R-SYSTEM-09</t>
  </si>
  <si>
    <t>9</t>
  </si>
  <si>
    <t>R-SYSTEM-10</t>
  </si>
  <si>
    <t>R-SYSTEM-11</t>
  </si>
  <si>
    <t>R-SYSTEM-12</t>
  </si>
  <si>
    <t>R-SYSTEM-13</t>
  </si>
  <si>
    <t>R-SYSTEM-14</t>
  </si>
  <si>
    <t>R-SYSTEM-15</t>
  </si>
  <si>
    <t>R-SYSTEM-16</t>
  </si>
  <si>
    <t>R-SYSTEM-17</t>
  </si>
  <si>
    <t>R-SYSTEM-18</t>
  </si>
  <si>
    <t>R-SYSTEM-19</t>
  </si>
  <si>
    <t>R-SYSTEM-20</t>
  </si>
  <si>
    <t>R-SYSTEM-21</t>
  </si>
  <si>
    <t>R-SYSTEM-22</t>
  </si>
  <si>
    <t>R-SYSTEM-23</t>
  </si>
  <si>
    <t>R-SYSTEM-24</t>
  </si>
  <si>
    <t>R-SYSTEM-25</t>
  </si>
  <si>
    <t>R-SYSTEM-26</t>
  </si>
  <si>
    <t>R-SYSTEM-27</t>
  </si>
  <si>
    <t>R-SYSTEM-28</t>
  </si>
  <si>
    <t>R-SYSTEM-29</t>
  </si>
  <si>
    <t>R-SYSTEM-30</t>
  </si>
  <si>
    <t>R-SYSTEM-31</t>
  </si>
  <si>
    <t>R-SYSTEM-32</t>
  </si>
  <si>
    <t>R-SYSTEM-33</t>
  </si>
  <si>
    <t>R-SYSTEM-34</t>
  </si>
  <si>
    <t>R-SYSTEM-35</t>
  </si>
  <si>
    <t>R-SYSTEM-36</t>
  </si>
  <si>
    <t>R-SYSTEM-37</t>
  </si>
  <si>
    <t>R-SYSTEM-38</t>
  </si>
  <si>
    <t>R-SYSTEM-39</t>
  </si>
  <si>
    <t>R-SYSTEM-40</t>
  </si>
  <si>
    <t>R-SYSTEM-41</t>
  </si>
  <si>
    <t>R-SYSTEM-42</t>
  </si>
  <si>
    <t>R-SYSTEM-43</t>
  </si>
  <si>
    <t>R-SYSTEM-44</t>
  </si>
  <si>
    <t>R-SYSTEM-45</t>
  </si>
  <si>
    <t>R-SYSTEM-46</t>
  </si>
  <si>
    <t>R-SYSTEM-47</t>
  </si>
  <si>
    <t>R-SYSTEM-48</t>
  </si>
  <si>
    <t>R-SYSTEM-49</t>
  </si>
  <si>
    <t>R-SYSTEM-50</t>
  </si>
  <si>
    <t>R-SYSTEM-51</t>
  </si>
  <si>
    <t>R-SYSTEM-52</t>
  </si>
  <si>
    <t>R-SYSTEM-53</t>
  </si>
  <si>
    <t>R-SYSTEM-54</t>
  </si>
  <si>
    <t>R-SYSTEM-55</t>
  </si>
  <si>
    <t>R-SYSTEM-56</t>
  </si>
  <si>
    <t>R-SYSTEM-57</t>
  </si>
  <si>
    <t>R-SYSTEM-58</t>
  </si>
  <si>
    <t>R-SYSTEM-59</t>
  </si>
  <si>
    <t>R-SYSTEM-60</t>
  </si>
  <si>
    <t>R-SYSTEM-61</t>
  </si>
  <si>
    <t>R-SYSTEM-62</t>
  </si>
  <si>
    <t>R-SYSTEM-63</t>
  </si>
  <si>
    <t>R-SYSTEM-64</t>
  </si>
  <si>
    <t>R-SYSTEM-65</t>
  </si>
  <si>
    <t>R-SYSTEM-66</t>
  </si>
  <si>
    <t>R-SYSTEM-67</t>
  </si>
  <si>
    <t>R-SYSTEM-68</t>
  </si>
  <si>
    <t>R-SYSTEM-69</t>
  </si>
  <si>
    <t>R-SYSTEM-70</t>
  </si>
  <si>
    <t>R-SYSTEM-71</t>
  </si>
  <si>
    <t>R-SYSTEM-72</t>
  </si>
  <si>
    <t>R-SYSTEM-73</t>
  </si>
  <si>
    <t>R-SYSTEM-74</t>
  </si>
  <si>
    <t>R-SYSTEM-75</t>
  </si>
  <si>
    <t>R-SYSTEM-76</t>
  </si>
  <si>
    <t>R-SYSTEM-77</t>
  </si>
  <si>
    <t>R-SYSTEM-78</t>
  </si>
  <si>
    <t>R-SYSTEM-79</t>
  </si>
  <si>
    <t>R-SYSTEM-80</t>
  </si>
  <si>
    <t>R-SYSTEM-81</t>
  </si>
  <si>
    <t>R-SYSTEM-82</t>
  </si>
  <si>
    <t>R-SYSTEM-83</t>
  </si>
  <si>
    <t>R-SYSTEM-84</t>
  </si>
  <si>
    <t>R-SYSTEM-85</t>
  </si>
  <si>
    <t>R-SYSTEM-86</t>
  </si>
  <si>
    <t>R-SYSTEM-87</t>
  </si>
  <si>
    <t>R-SYSTEM-88</t>
  </si>
  <si>
    <t>R-SYSTEM-89</t>
  </si>
  <si>
    <t>R-SYSTEM-90</t>
  </si>
  <si>
    <t>R-SYSTEM-91</t>
  </si>
  <si>
    <t>R-SYSTEM-92</t>
  </si>
  <si>
    <t>R-SYSTEM-93</t>
  </si>
  <si>
    <t>R-SYSTEM-94</t>
  </si>
  <si>
    <t>R-SYSTEM-95</t>
  </si>
  <si>
    <t>R-SYSTEM-96</t>
  </si>
  <si>
    <t>R-SYSTEM-97</t>
  </si>
  <si>
    <t>R-SYSTEM-98</t>
  </si>
  <si>
    <t>R-SYSTEM-99</t>
  </si>
  <si>
    <t>Object type2</t>
  </si>
  <si>
    <t>UMCL PLUS</t>
  </si>
  <si>
    <t>ISO CODE</t>
  </si>
  <si>
    <t>SIL Input</t>
  </si>
  <si>
    <t>SIL Output</t>
  </si>
  <si>
    <t>SIS Tag Abbreviation</t>
  </si>
  <si>
    <t>Discipline</t>
  </si>
  <si>
    <t>E-VG-29-069</t>
  </si>
  <si>
    <t>RELIEF</t>
  </si>
  <si>
    <t>FA_PEG</t>
  </si>
  <si>
    <t>VALID</t>
  </si>
  <si>
    <t>2114</t>
  </si>
  <si>
    <t>PICA</t>
  </si>
  <si>
    <t>PIPING</t>
  </si>
  <si>
    <t>R-27-HV-1458</t>
  </si>
  <si>
    <t>16IN BALL VALVE PROCESS CONDENSATE FOR PRESSURE DIFFERENTIAL TRANSMITTER BRIDLE R27PDT110A FROM A2721A ONSHORE GAS COMP AIR COOLER TO SUCTION DISCHARGE INTERCHANGER E2721</t>
  </si>
  <si>
    <t>FA_PEVB</t>
  </si>
  <si>
    <t>1722</t>
  </si>
  <si>
    <t>VABA</t>
  </si>
  <si>
    <t>MECH</t>
  </si>
  <si>
    <t>R-27-HV-1462</t>
  </si>
  <si>
    <t>E-VG-29-005</t>
  </si>
  <si>
    <t>E47XZV055</t>
  </si>
  <si>
    <t>2IN SIS ON-OFF VALVE WITH DVC METHANOL FROM OFFSHORE METHANOL INJECTION PUMPS P-4703A/B ON OFFSHORE METHANOL INJECTION PACKAGE E-X-4703 TO GIZA-FAYOUM UMBILICAL TERMINATION UNIT</t>
  </si>
  <si>
    <t>1731</t>
  </si>
  <si>
    <t>VCGN</t>
  </si>
  <si>
    <t>X</t>
  </si>
  <si>
    <t>INST</t>
  </si>
  <si>
    <t>E21TZT083</t>
  </si>
  <si>
    <t>TEMPERATURE SAFETY TRANSMITTER HYDROCARBON GAS FROM CONDENSATE STABILISER COLUMN E-V-2103 TO LP FLASH GAS COMPRESSOR SUCTION DRUM E-V-2411/2</t>
  </si>
  <si>
    <t>FA_INDMT</t>
  </si>
  <si>
    <t>1905</t>
  </si>
  <si>
    <t>PSTT</t>
  </si>
  <si>
    <t>ELEC</t>
  </si>
  <si>
    <t>F&amp;G</t>
  </si>
  <si>
    <t>HVAC</t>
  </si>
  <si>
    <t>N/A</t>
  </si>
  <si>
    <t>SAFETY</t>
  </si>
  <si>
    <t>STRUCTURE</t>
  </si>
  <si>
    <t>TBC</t>
  </si>
  <si>
    <t>TELE</t>
  </si>
  <si>
    <t>Test table for loading disciplines</t>
  </si>
  <si>
    <t>GES only allows for high criticality control rooms.  Monthlycomfort check &amp; 4yrly inspection</t>
  </si>
  <si>
    <t>E-60-HV-6115</t>
  </si>
  <si>
    <t>2IN GATE VALVE HOT OIL FROM HOT OIL CIRCULATION PUMPS E-P-6002A AND HOT OIL START UP PUMP E-P-6001 TO HOT OIL UNDERGROUND DRAIN DRUM E-V-6003 (NC)</t>
  </si>
  <si>
    <t>FA_PEVG</t>
  </si>
  <si>
    <t>1729</t>
  </si>
  <si>
    <t>VAGA</t>
  </si>
  <si>
    <t>E24TT532A</t>
  </si>
  <si>
    <t>TEMPERATURE TRANSMITTER ON COMPRESSOR MOTOR WINDING W PHASE E-KM-2411 IN LP FLASH GAS COMPRESSOR PACKAGE TRAIN 1-COMPRESSOR AND ACCESSORY E-X-2411</t>
  </si>
  <si>
    <t>E24TT530A</t>
  </si>
  <si>
    <t>TEMPERATURE TRANSMITTER ON COMPRESSOR MOTOR WINDING V PHASE E-KM-2411 IN LP FLASH GAS COMPRESSOR PACKAGE TRAIN 1-COMPRESSOR AND ACCESSORY E-X-2411</t>
  </si>
  <si>
    <t>E24TT528A</t>
  </si>
  <si>
    <t>TEMPERATURE TRANSMITTER ON COMPRESSOR MOTOR WINDING U PHASE E-KM-2411 IN LP FLASH GAS COMPRESSOR PACKAGE TRAIN 1-COMPRESSOR AND ACCESSORY E-X-2411</t>
  </si>
  <si>
    <t>E24TT528B</t>
  </si>
  <si>
    <t>TEMPERATURE TRANSMITTER ON COMPRESSOR MOTOR WINDING U PHASE E-KM-2421 IN LP FLASH GAS COMPRESSOR PACKAGE TRAIN 2-COMPRESSOR AND ACCESSORY E-X-2421</t>
  </si>
  <si>
    <t>E-24-HV-6539-DUP1</t>
  </si>
  <si>
    <t>2IN BALL VALVE ON LEAKAGE TANK DRAIN AND VENT DISTANCE PIECE E-TK-2414 FOR LEVEL GAUGE E24LG222A IN FLASH GAS COMPRESSOR PACKAGE TRAIN 1-PURGE AND VENT GAS SYSTEM DISTANCE PIECE E-X-2411</t>
  </si>
  <si>
    <t>DUP</t>
  </si>
  <si>
    <t>E-24-HV-6539-DUP2</t>
  </si>
  <si>
    <t>2IN BALL VALVE ON LEAKAGE TANK DRAIN AND VENT DISTANCE PIECE E-TK-2424 FOR LEVEL GAUGE E24LG222A IN FLASH GAS COMPRESSOR PACKAGE TRAIN 2-PURGE AND VENT GAS SYSTEM DISTANCE PIECE E-X-2421</t>
  </si>
  <si>
    <t>E-24-HV-6538-DUP1</t>
  </si>
  <si>
    <t>E-24-HV-6538-DUP2</t>
  </si>
  <si>
    <t>E24PDT153B</t>
  </si>
  <si>
    <t>PRESSURE DIFFERENTIAL TRANSMITTER WITH MANIFOLD ON LUBE OIL FILTER E-FL-2421A/B IN LP FLASH GAS COMPRESSOR PACKAGE TRAIN 2-LUBE OIL SYSTEM E-X-2421</t>
  </si>
  <si>
    <t>PSPT</t>
  </si>
  <si>
    <t>R-27-HV-1279</t>
  </si>
  <si>
    <t>BALL VALVE HYDROCARBON GAS FROM ONSHORE GAS COMPRESSOR SUCTION DRUM V-2721B TO ONSHORE GAS COMPRESSOR AIR COOLER A-2721B FOR PRESSURE TRANSMITTER ISOLATION R27PT119B2 (LO)</t>
  </si>
  <si>
    <t>R-27-HV-1280</t>
  </si>
  <si>
    <t>BALL VALVE HYDROCARBON GAS FROM ONSHORE GAS COMPRESSOR SUCTION DRUM V-2721B TO ONSHORE GAS COMPRESSOR AIR COOLER A-2721B FOR PRESSURE TRANSMITTER ISOLATION R27PT119B3 (LO)</t>
  </si>
  <si>
    <t>E-VG-30-048</t>
  </si>
  <si>
    <t>E-DO-81-020</t>
  </si>
  <si>
    <t>DRAINS</t>
  </si>
  <si>
    <t>E-VG-30-049</t>
  </si>
  <si>
    <t>E46PV020B</t>
  </si>
  <si>
    <t>3IN PRESSURE CONTROL VALVE WITH FF POSITIONER FUEL GAS FROM RAVEN TREATED GAS FILTERS E-FL-2512A/B, E-FL-2522A/B, BUY BACK GAS SYSTEM TO HP FUEL GAS KO DRUM E-V-4601 (FLDO)</t>
  </si>
  <si>
    <t>FA_PEVL</t>
  </si>
  <si>
    <t>1730</t>
  </si>
  <si>
    <t>VAGL</t>
  </si>
  <si>
    <t>E21PZT084</t>
  </si>
  <si>
    <t>PRESSURE SAFETY TRANSMITTER HYDROCARBON GAS FROM CONDENSATE STABILISER COLUMN E-V-2103 TO LP FLASH GAS COMPRESSOR SUCTION DRUM E-V-2411/2</t>
  </si>
  <si>
    <t>TXGA</t>
  </si>
  <si>
    <t>E30TZT370</t>
  </si>
  <si>
    <t>TEMPERATURE SAFETY TRANSMITTER FROM MEG FLASH SEPARATOR CIRCULATION PUMP E-P-3005A/B TO MEG FLASH SEPARATOR HEATER E-HX-3002</t>
  </si>
  <si>
    <t>Functional Location</t>
  </si>
  <si>
    <t>Functional Loccation Description</t>
  </si>
  <si>
    <t>Status</t>
  </si>
  <si>
    <t>UMCLplus</t>
  </si>
  <si>
    <t>ISOcode</t>
  </si>
  <si>
    <t>isSIL</t>
  </si>
  <si>
    <t>isSIS</t>
  </si>
  <si>
    <t>discipline</t>
  </si>
  <si>
    <t>SystemID</t>
  </si>
  <si>
    <t>Risks(Safety)</t>
  </si>
  <si>
    <t>Risks(Environment)</t>
  </si>
  <si>
    <t>Risks(Production)</t>
  </si>
  <si>
    <t>Risks(Business)</t>
  </si>
  <si>
    <t>Justification</t>
  </si>
  <si>
    <t>TEST-TAG</t>
  </si>
  <si>
    <t>D5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</si>
</sst>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u/>
      <sz val="11"/>
      <color rgb="FF3F3F76"/>
      <name val="Calibri"/>
      <family val="2"/>
      <scheme val="minor"/>
    </font>
    <font>
      <b/>
      <u/>
      <sz val="11"/>
      <color rgb="FFFA7D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FA7D00"/>
      <name val="Calibri"/>
      <family val="2"/>
      <scheme val="minor"/>
    </font>
    <font>
      <b/>
      <sz val="16"/>
      <color rgb="FFFA7D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rgb="FFFFFFFF"/>
      <name val="Calibri"/>
      <family val="2"/>
    </font>
    <font>
      <b/>
      <sz val="8"/>
      <name val="Calibri"/>
      <family val="2"/>
    </font>
    <font>
      <sz val="11"/>
      <color theme="1"/>
      <name val="Calibri"/>
      <family val="2"/>
    </font>
    <font>
      <sz val="9"/>
      <color rgb="FF000000"/>
      <name val="Tahoma"/>
      <family val="2"/>
    </font>
    <font>
      <b/>
      <sz val="20"/>
      <color rgb="FFFA7D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0"/>
      <color indexed="8"/>
      <name val="Arial"/>
    </font>
    <font>
      <sz val="11"/>
      <color indexed="8"/>
      <name val="Calibri"/>
    </font>
    <font>
      <sz val="11"/>
      <name val="Calibri"/>
      <family val="2"/>
    </font>
    <font>
      <sz val="11"/>
      <name val="Calibri"/>
      <family val="2"/>
      <scheme val="minor"/>
    </font>
    <font>
      <sz val="11"/>
      <color indexed="8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CC"/>
      </patternFill>
    </fill>
    <fill>
      <patternFill patternType="solid">
        <fgColor theme="9"/>
      </patternFill>
    </fill>
    <fill>
      <patternFill patternType="solid">
        <fgColor theme="6"/>
        <bgColor theme="6"/>
      </patternFill>
    </fill>
    <fill>
      <patternFill patternType="solid">
        <fgColor theme="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5B9BD5"/>
        <bgColor rgb="FF5B9BD5"/>
      </patternFill>
    </fill>
    <fill>
      <patternFill patternType="solid">
        <fgColor rgb="FFD9D9D9"/>
        <bgColor rgb="FF000000"/>
      </patternFill>
    </fill>
    <fill>
      <patternFill patternType="solid">
        <fgColor rgb="FFDDEBF7"/>
        <bgColor rgb="FFDDEBF7"/>
      </patternFill>
    </fill>
    <fill>
      <patternFill patternType="solid">
        <fgColor indexed="22"/>
        <bgColor indexed="0"/>
      </patternFill>
    </fill>
  </fills>
  <borders count="4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6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/>
      <right style="thin">
        <color rgb="FF9BC2E6"/>
      </right>
      <top style="thin">
        <color rgb="FF9BC2E6"/>
      </top>
      <bottom style="thin">
        <color rgb="FF9BC2E6"/>
      </bottom>
      <diagonal/>
    </border>
    <border>
      <left/>
      <right/>
      <top style="thin">
        <color rgb="FF9BC2E6"/>
      </top>
      <bottom/>
      <diagonal/>
    </border>
    <border>
      <left/>
      <right style="thin">
        <color rgb="FF9BC2E6"/>
      </right>
      <top style="thin">
        <color rgb="FF9BC2E6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</borders>
  <cellStyleXfs count="1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6" fillId="6" borderId="1" applyNumberFormat="0" applyAlignment="0" applyProtection="0"/>
    <xf numFmtId="0" fontId="7" fillId="7" borderId="2" applyNumberFormat="0" applyAlignment="0" applyProtection="0"/>
    <xf numFmtId="0" fontId="1" fillId="8" borderId="0" applyNumberFormat="0" applyBorder="0" applyAlignment="0" applyProtection="0"/>
    <xf numFmtId="0" fontId="8" fillId="0" borderId="3" applyNumberFormat="0" applyFill="0" applyAlignment="0" applyProtection="0"/>
    <xf numFmtId="0" fontId="1" fillId="9" borderId="4" applyNumberFormat="0" applyFont="0" applyAlignment="0" applyProtection="0"/>
    <xf numFmtId="0" fontId="9" fillId="0" borderId="0" applyNumberFormat="0" applyFill="0" applyBorder="0" applyAlignment="0" applyProtection="0"/>
    <xf numFmtId="0" fontId="10" fillId="10" borderId="0" applyNumberFormat="0" applyBorder="0" applyAlignment="0" applyProtection="0"/>
    <xf numFmtId="0" fontId="18" fillId="0" borderId="11" applyNumberFormat="0" applyFill="0" applyAlignment="0" applyProtection="0"/>
    <xf numFmtId="0" fontId="19" fillId="0" borderId="12" applyNumberFormat="0" applyFill="0" applyAlignment="0" applyProtection="0"/>
    <xf numFmtId="0" fontId="33" fillId="0" borderId="0"/>
  </cellStyleXfs>
  <cellXfs count="137">
    <xf numFmtId="0" fontId="0" fillId="0" borderId="0" xfId="0"/>
    <xf numFmtId="0" fontId="7" fillId="7" borderId="2" xfId="6"/>
    <xf numFmtId="0" fontId="0" fillId="0" borderId="0" xfId="0" applyAlignment="1">
      <alignment horizontal="center" vertical="center"/>
    </xf>
    <xf numFmtId="0" fontId="3" fillId="3" borderId="0" xfId="2" applyAlignment="1">
      <alignment horizontal="center" vertical="center"/>
    </xf>
    <xf numFmtId="0" fontId="5" fillId="5" borderId="1" xfId="4" applyAlignment="1">
      <alignment horizontal="center" vertical="center"/>
    </xf>
    <xf numFmtId="0" fontId="1" fillId="8" borderId="0" xfId="7" applyAlignment="1">
      <alignment horizontal="center" vertical="center"/>
    </xf>
    <xf numFmtId="0" fontId="5" fillId="5" borderId="1" xfId="4"/>
    <xf numFmtId="0" fontId="6" fillId="6" borderId="1" xfId="5" applyAlignment="1">
      <alignment horizontal="center" vertical="center"/>
    </xf>
    <xf numFmtId="0" fontId="0" fillId="0" borderId="0" xfId="0" applyAlignment="1">
      <alignment horizontal="centerContinuous"/>
    </xf>
    <xf numFmtId="0" fontId="0" fillId="0" borderId="0" xfId="0" quotePrefix="1"/>
    <xf numFmtId="0" fontId="2" fillId="2" borderId="0" xfId="1" applyAlignment="1">
      <alignment horizontal="centerContinuous"/>
    </xf>
    <xf numFmtId="0" fontId="4" fillId="4" borderId="0" xfId="3" applyAlignment="1">
      <alignment horizontal="centerContinuous"/>
    </xf>
    <xf numFmtId="0" fontId="6" fillId="6" borderId="1" xfId="5" quotePrefix="1" applyAlignment="1">
      <alignment horizontal="center" vertical="center"/>
    </xf>
    <xf numFmtId="0" fontId="10" fillId="10" borderId="5" xfId="11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7" fillId="8" borderId="0" xfId="7" applyFont="1" applyFill="1" applyBorder="1" applyAlignment="1">
      <alignment horizontal="center" vertical="center"/>
    </xf>
    <xf numFmtId="0" fontId="10" fillId="12" borderId="5" xfId="11" applyFont="1" applyFill="1" applyBorder="1" applyAlignment="1">
      <alignment horizontal="center" vertical="center"/>
    </xf>
    <xf numFmtId="0" fontId="9" fillId="0" borderId="0" xfId="10"/>
    <xf numFmtId="0" fontId="0" fillId="0" borderId="0" xfId="0" applyAlignment="1">
      <alignment horizontal="center"/>
    </xf>
    <xf numFmtId="0" fontId="4" fillId="4" borderId="0" xfId="3"/>
    <xf numFmtId="0" fontId="2" fillId="2" borderId="0" xfId="1"/>
    <xf numFmtId="0" fontId="6" fillId="6" borderId="1" xfId="5"/>
    <xf numFmtId="0" fontId="6" fillId="6" borderId="1" xfId="5" applyAlignment="1">
      <alignment horizontal="center"/>
    </xf>
    <xf numFmtId="0" fontId="0" fillId="9" borderId="4" xfId="9" applyFont="1"/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7" fillId="13" borderId="7" xfId="0" applyFont="1" applyFill="1" applyBorder="1"/>
    <xf numFmtId="0" fontId="14" fillId="5" borderId="1" xfId="4" applyFont="1"/>
    <xf numFmtId="0" fontId="15" fillId="6" borderId="1" xfId="5" applyFont="1"/>
    <xf numFmtId="0" fontId="16" fillId="0" borderId="0" xfId="0" applyFont="1"/>
    <xf numFmtId="16" fontId="5" fillId="5" borderId="1" xfId="4" quotePrefix="1" applyNumberFormat="1"/>
    <xf numFmtId="0" fontId="7" fillId="13" borderId="6" xfId="0" applyFont="1" applyFill="1" applyBorder="1" applyAlignment="1"/>
    <xf numFmtId="0" fontId="8" fillId="0" borderId="3" xfId="8"/>
    <xf numFmtId="0" fontId="0" fillId="0" borderId="0" xfId="0" applyAlignment="1"/>
    <xf numFmtId="0" fontId="5" fillId="5" borderId="1" xfId="4" quotePrefix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/>
    </xf>
    <xf numFmtId="0" fontId="3" fillId="3" borderId="0" xfId="2"/>
    <xf numFmtId="0" fontId="22" fillId="0" borderId="0" xfId="0" applyFont="1" applyAlignment="1" applyProtection="1">
      <alignment wrapText="1"/>
      <protection locked="0"/>
    </xf>
    <xf numFmtId="0" fontId="18" fillId="0" borderId="11" xfId="12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vertical="center"/>
    </xf>
    <xf numFmtId="0" fontId="19" fillId="0" borderId="12" xfId="13" applyProtection="1">
      <protection locked="0"/>
    </xf>
    <xf numFmtId="0" fontId="0" fillId="0" borderId="0" xfId="0" applyAlignment="1" applyProtection="1">
      <alignment wrapText="1"/>
      <protection locked="0"/>
    </xf>
    <xf numFmtId="0" fontId="23" fillId="6" borderId="1" xfId="5" applyFont="1" applyAlignment="1">
      <alignment horizontal="center" vertical="center"/>
    </xf>
    <xf numFmtId="0" fontId="24" fillId="6" borderId="1" xfId="5" applyFont="1" applyAlignment="1">
      <alignment horizontal="center" vertical="center"/>
    </xf>
    <xf numFmtId="0" fontId="0" fillId="9" borderId="4" xfId="9" applyFont="1" applyAlignment="1">
      <alignment horizontal="right" vertical="center"/>
    </xf>
    <xf numFmtId="0" fontId="0" fillId="0" borderId="0" xfId="0" applyAlignment="1" applyProtection="1">
      <alignment vertical="center" wrapText="1"/>
      <protection locked="0"/>
    </xf>
    <xf numFmtId="0" fontId="6" fillId="6" borderId="1" xfId="5" applyFont="1" applyAlignment="1" applyProtection="1">
      <alignment horizontal="center" vertical="center"/>
    </xf>
    <xf numFmtId="0" fontId="6" fillId="6" borderId="1" xfId="5" applyAlignment="1" applyProtection="1">
      <alignment horizontal="center" vertical="center"/>
    </xf>
    <xf numFmtId="0" fontId="0" fillId="0" borderId="0" xfId="0" applyAlignment="1">
      <alignment horizontal="right"/>
    </xf>
    <xf numFmtId="0" fontId="20" fillId="6" borderId="1" xfId="5" applyFont="1" applyAlignment="1">
      <alignment horizontal="center" vertical="center"/>
    </xf>
    <xf numFmtId="0" fontId="21" fillId="0" borderId="0" xfId="0" applyFont="1" applyAlignment="1" applyProtection="1">
      <alignment horizontal="left" vertical="center"/>
      <protection locked="0"/>
    </xf>
    <xf numFmtId="0" fontId="21" fillId="0" borderId="0" xfId="0" applyFont="1"/>
    <xf numFmtId="0" fontId="5" fillId="5" borderId="1" xfId="4" applyAlignment="1">
      <alignment vertical="top" wrapText="1"/>
    </xf>
    <xf numFmtId="0" fontId="6" fillId="6" borderId="1" xfId="5" applyProtection="1">
      <protection locked="0"/>
    </xf>
    <xf numFmtId="0" fontId="0" fillId="0" borderId="0" xfId="0" applyAlignment="1" applyProtection="1">
      <alignment horizontal="left"/>
      <protection locked="0"/>
    </xf>
    <xf numFmtId="0" fontId="25" fillId="0" borderId="0" xfId="0" applyFont="1" applyAlignment="1">
      <alignment horizontal="center"/>
    </xf>
    <xf numFmtId="0" fontId="5" fillId="5" borderId="1" xfId="4" applyAlignment="1">
      <alignment horizontal="center"/>
    </xf>
    <xf numFmtId="0" fontId="21" fillId="0" borderId="0" xfId="0" applyFont="1" applyProtection="1">
      <protection locked="0"/>
    </xf>
    <xf numFmtId="0" fontId="25" fillId="0" borderId="0" xfId="0" applyFont="1"/>
    <xf numFmtId="0" fontId="6" fillId="6" borderId="1" xfId="5" applyAlignment="1" applyProtection="1">
      <alignment horizontal="center" vertical="center"/>
      <protection locked="0"/>
    </xf>
    <xf numFmtId="0" fontId="6" fillId="6" borderId="1" xfId="5" applyNumberFormat="1" applyProtection="1">
      <protection locked="0"/>
    </xf>
    <xf numFmtId="0" fontId="0" fillId="0" borderId="0" xfId="0" applyAlignment="1">
      <alignment horizontal="center" vertical="top" wrapText="1"/>
    </xf>
    <xf numFmtId="0" fontId="27" fillId="17" borderId="21" xfId="0" applyFont="1" applyFill="1" applyBorder="1"/>
    <xf numFmtId="0" fontId="27" fillId="17" borderId="22" xfId="0" applyFont="1" applyFill="1" applyBorder="1"/>
    <xf numFmtId="0" fontId="28" fillId="18" borderId="17" xfId="0" applyFont="1" applyFill="1" applyBorder="1" applyAlignment="1">
      <alignment horizontal="left" vertical="top" wrapText="1"/>
    </xf>
    <xf numFmtId="0" fontId="28" fillId="18" borderId="18" xfId="0" applyFont="1" applyFill="1" applyBorder="1" applyAlignment="1">
      <alignment horizontal="left" vertical="top" wrapText="1"/>
    </xf>
    <xf numFmtId="0" fontId="28" fillId="18" borderId="19" xfId="0" applyFont="1" applyFill="1" applyBorder="1" applyAlignment="1">
      <alignment horizontal="left" vertical="top" wrapText="1"/>
    </xf>
    <xf numFmtId="0" fontId="28" fillId="18" borderId="20" xfId="0" applyFont="1" applyFill="1" applyBorder="1" applyAlignment="1">
      <alignment horizontal="left" vertical="top" wrapText="1"/>
    </xf>
    <xf numFmtId="1" fontId="28" fillId="18" borderId="18" xfId="0" applyNumberFormat="1" applyFont="1" applyFill="1" applyBorder="1" applyAlignment="1">
      <alignment horizontal="right" vertical="top" wrapText="1"/>
    </xf>
    <xf numFmtId="1" fontId="28" fillId="18" borderId="19" xfId="0" applyNumberFormat="1" applyFont="1" applyFill="1" applyBorder="1" applyAlignment="1">
      <alignment horizontal="right" vertical="top" wrapText="1"/>
    </xf>
    <xf numFmtId="1" fontId="28" fillId="18" borderId="20" xfId="0" applyNumberFormat="1" applyFont="1" applyFill="1" applyBorder="1" applyAlignment="1">
      <alignment horizontal="right" vertical="top" wrapText="1"/>
    </xf>
    <xf numFmtId="1" fontId="28" fillId="18" borderId="16" xfId="0" quotePrefix="1" applyNumberFormat="1" applyFont="1" applyFill="1" applyBorder="1" applyAlignment="1">
      <alignment horizontal="right" vertical="top" wrapText="1"/>
    </xf>
    <xf numFmtId="16" fontId="28" fillId="18" borderId="13" xfId="0" quotePrefix="1" applyNumberFormat="1" applyFont="1" applyFill="1" applyBorder="1" applyAlignment="1">
      <alignment vertical="top" wrapText="1"/>
    </xf>
    <xf numFmtId="0" fontId="29" fillId="19" borderId="21" xfId="0" applyFont="1" applyFill="1" applyBorder="1"/>
    <xf numFmtId="0" fontId="29" fillId="19" borderId="22" xfId="0" applyFont="1" applyFill="1" applyBorder="1"/>
    <xf numFmtId="1" fontId="28" fillId="18" borderId="21" xfId="0" applyNumberFormat="1" applyFont="1" applyFill="1" applyBorder="1" applyAlignment="1">
      <alignment horizontal="right" vertical="top" wrapText="1"/>
    </xf>
    <xf numFmtId="0" fontId="29" fillId="0" borderId="23" xfId="0" applyFont="1" applyFill="1" applyBorder="1"/>
    <xf numFmtId="0" fontId="29" fillId="0" borderId="24" xfId="0" applyFont="1" applyFill="1" applyBorder="1"/>
    <xf numFmtId="0" fontId="31" fillId="6" borderId="1" xfId="5" applyFont="1" applyAlignment="1">
      <alignment horizontal="center" vertical="center"/>
    </xf>
    <xf numFmtId="0" fontId="5" fillId="5" borderId="14" xfId="4" applyBorder="1" applyAlignment="1">
      <alignment horizontal="left" vertical="top"/>
    </xf>
    <xf numFmtId="0" fontId="9" fillId="0" borderId="0" xfId="10" applyAlignment="1">
      <alignment horizontal="right" wrapText="1" indent="1"/>
    </xf>
    <xf numFmtId="0" fontId="19" fillId="0" borderId="12" xfId="13"/>
    <xf numFmtId="0" fontId="21" fillId="9" borderId="4" xfId="9" applyFont="1" applyAlignment="1">
      <alignment horizontal="right" vertical="center"/>
    </xf>
    <xf numFmtId="0" fontId="9" fillId="0" borderId="0" xfId="10" applyAlignment="1">
      <alignment horizontal="right" vertical="center"/>
    </xf>
    <xf numFmtId="0" fontId="5" fillId="5" borderId="15" xfId="4" applyBorder="1" applyAlignment="1">
      <alignment horizontal="left" vertical="top" wrapText="1"/>
    </xf>
    <xf numFmtId="0" fontId="0" fillId="9" borderId="4" xfId="9" applyFont="1" applyAlignment="1">
      <alignment horizontal="center" vertical="center"/>
    </xf>
    <xf numFmtId="0" fontId="34" fillId="0" borderId="13" xfId="14" applyFont="1" applyFill="1" applyBorder="1" applyAlignment="1">
      <alignment horizontal="left" vertical="top" wrapText="1"/>
    </xf>
    <xf numFmtId="0" fontId="35" fillId="0" borderId="13" xfId="14" applyFont="1" applyFill="1" applyBorder="1" applyAlignment="1">
      <alignment horizontal="left" vertical="top" wrapText="1"/>
    </xf>
    <xf numFmtId="0" fontId="36" fillId="0" borderId="0" xfId="0" applyFont="1"/>
    <xf numFmtId="0" fontId="37" fillId="0" borderId="13" xfId="14" applyFont="1" applyFill="1" applyBorder="1" applyAlignment="1">
      <alignment horizontal="left" vertical="top" wrapText="1"/>
    </xf>
    <xf numFmtId="0" fontId="34" fillId="0" borderId="0" xfId="14" applyFont="1" applyFill="1" applyBorder="1" applyAlignment="1">
      <alignment horizontal="left" vertical="top" wrapText="1"/>
    </xf>
    <xf numFmtId="0" fontId="34" fillId="0" borderId="36" xfId="14" applyFont="1" applyFill="1" applyBorder="1" applyAlignment="1">
      <alignment horizontal="left" vertical="top" wrapText="1"/>
    </xf>
    <xf numFmtId="0" fontId="35" fillId="0" borderId="36" xfId="14" applyFont="1" applyFill="1" applyBorder="1" applyAlignment="1">
      <alignment horizontal="left" vertical="top" wrapText="1"/>
    </xf>
    <xf numFmtId="0" fontId="0" fillId="0" borderId="16" xfId="0" applyBorder="1"/>
    <xf numFmtId="0" fontId="36" fillId="0" borderId="16" xfId="0" applyFont="1" applyBorder="1"/>
    <xf numFmtId="0" fontId="34" fillId="20" borderId="37" xfId="14" applyFont="1" applyFill="1" applyBorder="1" applyAlignment="1">
      <alignment horizontal="left" vertical="top"/>
    </xf>
    <xf numFmtId="0" fontId="34" fillId="20" borderId="38" xfId="14" applyFont="1" applyFill="1" applyBorder="1" applyAlignment="1">
      <alignment horizontal="left" vertical="top"/>
    </xf>
    <xf numFmtId="0" fontId="34" fillId="20" borderId="39" xfId="14" applyFont="1" applyFill="1" applyBorder="1" applyAlignment="1">
      <alignment horizontal="left" vertical="top"/>
    </xf>
    <xf numFmtId="0" fontId="34" fillId="0" borderId="40" xfId="14" applyFont="1" applyFill="1" applyBorder="1" applyAlignment="1">
      <alignment horizontal="left" vertical="top" wrapText="1"/>
    </xf>
    <xf numFmtId="0" fontId="34" fillId="0" borderId="41" xfId="14" applyFont="1" applyFill="1" applyBorder="1" applyAlignment="1">
      <alignment horizontal="left" vertical="top" wrapText="1"/>
    </xf>
    <xf numFmtId="0" fontId="0" fillId="0" borderId="42" xfId="0" applyBorder="1"/>
    <xf numFmtId="0" fontId="0" fillId="0" borderId="0" xfId="0" applyNumberFormat="1"/>
    <xf numFmtId="0" fontId="7" fillId="13" borderId="43" xfId="0" applyNumberFormat="1" applyFont="1" applyFill="1" applyBorder="1"/>
    <xf numFmtId="0" fontId="7" fillId="13" borderId="44" xfId="0" applyNumberFormat="1" applyFont="1" applyFill="1" applyBorder="1"/>
    <xf numFmtId="0" fontId="7" fillId="13" borderId="44" xfId="0" applyFont="1" applyFill="1" applyBorder="1"/>
    <xf numFmtId="0" fontId="7" fillId="13" borderId="45" xfId="0" applyFont="1" applyFill="1" applyBorder="1"/>
    <xf numFmtId="0" fontId="7" fillId="7" borderId="2" xfId="6" applyAlignment="1">
      <alignment horizontal="center" vertical="center" textRotation="90"/>
    </xf>
    <xf numFmtId="0" fontId="7" fillId="7" borderId="8" xfId="6" applyBorder="1" applyAlignment="1">
      <alignment horizontal="center" vertical="center" textRotation="90"/>
    </xf>
    <xf numFmtId="0" fontId="7" fillId="7" borderId="9" xfId="6" applyBorder="1" applyAlignment="1">
      <alignment horizontal="center" vertical="center" textRotation="90"/>
    </xf>
    <xf numFmtId="0" fontId="7" fillId="7" borderId="10" xfId="6" applyBorder="1" applyAlignment="1">
      <alignment horizontal="center" vertical="center" textRotation="90"/>
    </xf>
    <xf numFmtId="0" fontId="7" fillId="7" borderId="2" xfId="6" applyAlignment="1">
      <alignment horizontal="center" vertical="center" textRotation="90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textRotation="90" wrapText="1"/>
    </xf>
    <xf numFmtId="0" fontId="21" fillId="0" borderId="33" xfId="0" applyFont="1" applyBorder="1" applyAlignment="1">
      <alignment horizontal="center" wrapText="1"/>
    </xf>
    <xf numFmtId="0" fontId="21" fillId="0" borderId="34" xfId="0" applyFont="1" applyBorder="1" applyAlignment="1">
      <alignment horizontal="center" wrapText="1"/>
    </xf>
    <xf numFmtId="0" fontId="21" fillId="0" borderId="35" xfId="0" applyFont="1" applyBorder="1" applyAlignment="1">
      <alignment horizontal="center" wrapText="1"/>
    </xf>
    <xf numFmtId="0" fontId="0" fillId="0" borderId="0" xfId="0" applyAlignment="1" applyProtection="1">
      <alignment vertical="top" wrapText="1"/>
      <protection locked="0"/>
    </xf>
    <xf numFmtId="0" fontId="5" fillId="5" borderId="25" xfId="4" applyBorder="1" applyAlignment="1">
      <alignment vertical="top" wrapText="1"/>
    </xf>
    <xf numFmtId="0" fontId="5" fillId="5" borderId="26" xfId="4" applyBorder="1" applyAlignment="1">
      <alignment vertical="top" wrapText="1"/>
    </xf>
    <xf numFmtId="0" fontId="5" fillId="5" borderId="27" xfId="4" applyBorder="1" applyAlignment="1">
      <alignment vertical="top" wrapText="1"/>
    </xf>
    <xf numFmtId="0" fontId="5" fillId="5" borderId="28" xfId="4" applyBorder="1" applyAlignment="1">
      <alignment vertical="top" wrapText="1"/>
    </xf>
    <xf numFmtId="0" fontId="5" fillId="5" borderId="0" xfId="4" applyBorder="1" applyAlignment="1">
      <alignment vertical="top" wrapText="1"/>
    </xf>
    <xf numFmtId="0" fontId="5" fillId="5" borderId="29" xfId="4" applyBorder="1" applyAlignment="1">
      <alignment vertical="top" wrapText="1"/>
    </xf>
    <xf numFmtId="0" fontId="5" fillId="5" borderId="30" xfId="4" applyBorder="1" applyAlignment="1">
      <alignment vertical="top" wrapText="1"/>
    </xf>
    <xf numFmtId="0" fontId="5" fillId="5" borderId="31" xfId="4" applyBorder="1" applyAlignment="1">
      <alignment vertical="top" wrapText="1"/>
    </xf>
    <xf numFmtId="0" fontId="5" fillId="5" borderId="32" xfId="4" applyBorder="1" applyAlignment="1">
      <alignment vertical="top" wrapText="1"/>
    </xf>
    <xf numFmtId="0" fontId="21" fillId="0" borderId="33" xfId="0" applyFont="1" applyBorder="1" applyAlignment="1" applyProtection="1">
      <alignment horizontal="center" wrapText="1"/>
      <protection locked="0"/>
    </xf>
    <xf numFmtId="0" fontId="21" fillId="0" borderId="34" xfId="0" applyFont="1" applyBorder="1" applyAlignment="1" applyProtection="1">
      <alignment horizontal="center" wrapText="1"/>
      <protection locked="0"/>
    </xf>
    <xf numFmtId="0" fontId="21" fillId="0" borderId="35" xfId="0" applyFont="1" applyBorder="1" applyAlignment="1" applyProtection="1">
      <alignment horizontal="center" wrapText="1"/>
      <protection locked="0"/>
    </xf>
    <xf numFmtId="0" fontId="21" fillId="0" borderId="33" xfId="0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1" fillId="0" borderId="35" xfId="0" applyFont="1" applyBorder="1" applyAlignment="1">
      <alignment horizontal="center"/>
    </xf>
  </cellXfs>
  <cellStyles count="15">
    <cellStyle name="20% - Accent1" xfId="7" builtinId="30"/>
    <cellStyle name="Accent6" xfId="11" builtinId="49"/>
    <cellStyle name="Bad" xfId="2" builtinId="27"/>
    <cellStyle name="Calculation" xfId="5" builtinId="22"/>
    <cellStyle name="Check Cell" xfId="6" builtinId="23"/>
    <cellStyle name="Explanatory Text" xfId="10" builtinId="53"/>
    <cellStyle name="Good" xfId="1" builtinId="26"/>
    <cellStyle name="Heading 1" xfId="8" builtinId="16"/>
    <cellStyle name="Heading 2" xfId="12" builtinId="17"/>
    <cellStyle name="Heading 3" xfId="13" builtinId="18"/>
    <cellStyle name="Input" xfId="4" builtinId="20"/>
    <cellStyle name="Neutral" xfId="3" builtinId="28"/>
    <cellStyle name="Normal" xfId="0" builtinId="0"/>
    <cellStyle name="Normal_Sheet1" xfId="14"/>
    <cellStyle name="Note" xfId="9" builtinId="10"/>
  </cellStyles>
  <dxfs count="97">
    <dxf>
      <border outline="0">
        <top style="thin">
          <color theme="9" tint="0.39997558519241921"/>
        </top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numFmt numFmtId="0" formatCode="General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left style="thin">
          <color rgb="FF7F7F7F"/>
        </left>
        <right style="thin">
          <color rgb="FF7F7F7F"/>
        </right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outline="0">
        <left style="thin">
          <color rgb="FF7F7F7F"/>
        </left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outline="0">
        <left/>
        <right style="thin">
          <color rgb="FF7F7F7F"/>
        </right>
      </border>
      <protection locked="0" hidden="0"/>
    </dxf>
    <dxf>
      <font>
        <b/>
        <family val="2"/>
      </font>
      <numFmt numFmtId="0" formatCode="General"/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  <protection locked="0" hidden="0"/>
    </dxf>
    <dxf>
      <alignment horizontal="general" vertical="center" textRotation="0" wrapText="1" indent="0" justifyLastLine="0" shrinkToFit="0" readingOrder="0"/>
      <protection locked="0" hidden="0"/>
    </dxf>
    <dxf>
      <alignment vertical="center" textRotation="0" indent="0" justifyLastLine="0" shrinkToFit="0" readingOrder="0"/>
      <protection locked="0" hidden="0"/>
    </dxf>
    <dxf>
      <protection locked="0" hidden="0"/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left style="thin">
          <color rgb="FF9BC2E6"/>
        </left>
        <right style="thin">
          <color rgb="FF9BC2E6"/>
        </right>
        <bottom style="thin">
          <color rgb="FF9BC2E6"/>
        </bottom>
      </border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9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6"/>
        </top>
        <bottom/>
      </border>
    </dxf>
    <dxf>
      <border outline="0">
        <left style="thin">
          <color theme="6"/>
        </left>
        <top style="thin">
          <color theme="6"/>
        </top>
        <bottom style="thin">
          <color theme="6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Ongoing%20Projects\BP\Projects\West%20Nile%20Delta\UMCL%20Criticality%20Guid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ddenergygroup-my.sharepoint.com/personal/douglas_crooke_addenergy_no/Documents/CriticalityVBA/WND%20Criticality%20Templ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Methodology"/>
      <sheetName val="UMCL Criticality Guide"/>
      <sheetName val="LookUp"/>
      <sheetName val="AGT - Systems"/>
      <sheetName val="AGT - Rotating Eq."/>
      <sheetName val="AGT - SIF_SIL_Criticality"/>
      <sheetName val="UMCL Class Code Reference"/>
      <sheetName val="Class Code Like"/>
    </sheetNames>
    <sheetDataSet>
      <sheetData sheetId="0"/>
      <sheetData sheetId="1"/>
      <sheetData sheetId="2">
        <row r="3">
          <cell r="C3" t="str">
            <v>Class Code</v>
          </cell>
        </row>
      </sheetData>
      <sheetData sheetId="3">
        <row r="2">
          <cell r="D2" t="str">
            <v>A10</v>
          </cell>
        </row>
        <row r="3">
          <cell r="D3" t="str">
            <v>B10</v>
          </cell>
        </row>
        <row r="4">
          <cell r="D4" t="str">
            <v>C10</v>
          </cell>
        </row>
        <row r="5">
          <cell r="D5" t="str">
            <v>D10</v>
          </cell>
        </row>
        <row r="6">
          <cell r="D6" t="str">
            <v>D09</v>
          </cell>
        </row>
        <row r="7">
          <cell r="D7" t="str">
            <v>E08</v>
          </cell>
        </row>
        <row r="8">
          <cell r="D8" t="str">
            <v>E07</v>
          </cell>
        </row>
        <row r="9">
          <cell r="D9" t="str">
            <v>F06</v>
          </cell>
        </row>
        <row r="10">
          <cell r="D10" t="str">
            <v>F05</v>
          </cell>
        </row>
        <row r="11">
          <cell r="D11" t="str">
            <v>G04</v>
          </cell>
        </row>
        <row r="12">
          <cell r="D12" t="str">
            <v>G03</v>
          </cell>
        </row>
        <row r="13">
          <cell r="D13" t="str">
            <v>H02</v>
          </cell>
        </row>
        <row r="14">
          <cell r="D14" t="str">
            <v>H01</v>
          </cell>
        </row>
        <row r="15">
          <cell r="D15" t="str">
            <v>-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ilureCodes"/>
      <sheetName val="Sheet10"/>
      <sheetName val="SystemDiscCountsbyFCode"/>
      <sheetName val="FCodesBySystemDiscipline"/>
      <sheetName val="FailureCodeDefaultCriticality"/>
      <sheetName val="AssetRegisterDefaultCodeApplied"/>
      <sheetName val="MAHBarrierSetup"/>
      <sheetName val="MAHBarrierSetup (pass 2)"/>
      <sheetName val="MAHBarrierSetup (pass 1)"/>
      <sheetName val="FailureCodeTemplate"/>
      <sheetName val="DataTables"/>
      <sheetName val="SystemsUtilities"/>
      <sheetName val="Systems(Old)"/>
      <sheetName val="FA_CFBC"/>
      <sheetName val="FA_CFSGW"/>
      <sheetName val="FA_CFSSE"/>
      <sheetName val="FA_CFSSF"/>
      <sheetName val="FA_CFSST"/>
      <sheetName val="FA_EECF"/>
      <sheetName val="FA_EECH"/>
      <sheetName val="FA_EECMD"/>
      <sheetName val="FA_EECMI"/>
      <sheetName val="FA_EECMS"/>
      <sheetName val="FA_EECO"/>
      <sheetName val="FA_EECT"/>
      <sheetName val="FA_EEPBA"/>
      <sheetName val="FA_EEPBV"/>
      <sheetName val="FA_EEPCS"/>
      <sheetName val="FA_EEPNE"/>
      <sheetName val="FA_EEPNN"/>
      <sheetName val="FA_EEPS"/>
      <sheetName val="FA_EEPU"/>
      <sheetName val="FA_EETA"/>
      <sheetName val="FA_EETB"/>
      <sheetName val="FA_EETC"/>
      <sheetName val="FA_EETD"/>
      <sheetName val="FA_EETFW"/>
      <sheetName val="FA_EETGA"/>
      <sheetName val="FA_EETI"/>
      <sheetName val="FA_EETM"/>
      <sheetName val="FA_EETO"/>
      <sheetName val="FA_EETP"/>
      <sheetName val="FA_EETQ"/>
      <sheetName val="FA_EETR"/>
      <sheetName val="FA_EETW"/>
      <sheetName val="FA_EETY"/>
      <sheetName val="FA_INAM"/>
      <sheetName val="FA_INAP"/>
      <sheetName val="FA_INDC"/>
      <sheetName val="FA_INDFD"/>
      <sheetName val="FA_INDFS"/>
      <sheetName val="FA_INDI"/>
      <sheetName val="FA_INDMS"/>
      <sheetName val="FA_INDMT"/>
      <sheetName val="FA_INDS"/>
      <sheetName val="FA_INDT"/>
      <sheetName val="FA_INSC"/>
      <sheetName val="FA_INSD"/>
      <sheetName val="FA_INSJ"/>
      <sheetName val="FA_INSL"/>
      <sheetName val="FA_INSS"/>
      <sheetName val="FA_INST"/>
      <sheetName val="FA_INSY"/>
      <sheetName val="FA_PEA"/>
      <sheetName val="FA_PEG"/>
      <sheetName val="FA_PEL"/>
      <sheetName val="FA_PEM"/>
      <sheetName val="FA_PEO"/>
      <sheetName val="FA_PESC"/>
      <sheetName val="FA_PESR"/>
      <sheetName val="FA_PESV"/>
      <sheetName val="FA_PET"/>
      <sheetName val="FA_PEVB"/>
      <sheetName val="FA_PEVC"/>
      <sheetName val="FA_PEVD"/>
      <sheetName val="FA_PEVG"/>
      <sheetName val="FA_PEVL"/>
      <sheetName val="FA_PEVM"/>
      <sheetName val="FA_PEVN"/>
      <sheetName val="FA_PEVX"/>
      <sheetName val="FA_PEVY"/>
      <sheetName val="FA_REBC"/>
      <sheetName val="FA_REC"/>
      <sheetName val="FA_REDH"/>
      <sheetName val="FA_REDP"/>
      <sheetName val="FA_REEL"/>
      <sheetName val="FA_REFA"/>
      <sheetName val="FA_REFC"/>
      <sheetName val="FA_REMC"/>
      <sheetName val="FA_REMR"/>
      <sheetName val="FA_REMT"/>
      <sheetName val="FA_RENG"/>
      <sheetName val="FA_REPC"/>
      <sheetName val="FA_REPD"/>
      <sheetName val="FA_RER"/>
      <sheetName val="FA_RETG"/>
      <sheetName val="FA_RETP"/>
      <sheetName val="FA_REUC"/>
      <sheetName val="FA_SEC"/>
      <sheetName val="FA_SEE"/>
      <sheetName val="FA_SEFB"/>
      <sheetName val="FA_SEFE"/>
      <sheetName val="FA_SEFS"/>
      <sheetName val="FA_SEHF"/>
      <sheetName val="FA_SEHS"/>
      <sheetName val="FA_SEHT"/>
      <sheetName val="FA_SEL"/>
      <sheetName val="FA_SEM"/>
      <sheetName val="FA_SENF"/>
      <sheetName val="FA_SEPA"/>
      <sheetName val="FA_SEPC"/>
      <sheetName val="FA_SEPHC"/>
      <sheetName val="FA_SEPHS"/>
      <sheetName val="FA_SES"/>
      <sheetName val="FA_SETAC"/>
      <sheetName val="FA_SETAP"/>
      <sheetName val="FA_SETPC"/>
      <sheetName val="FA_SEZ"/>
      <sheetName val="FA_SQFC"/>
      <sheetName val="FA_SQFDF"/>
      <sheetName val="FA_SQFDG"/>
      <sheetName val="FA_SQFDS"/>
      <sheetName val="FA_SQFFD"/>
      <sheetName val="FA_SQFFH"/>
      <sheetName val="FA_SQFFM"/>
      <sheetName val="FA_SQFFY"/>
      <sheetName val="FA_SQFRA"/>
      <sheetName val="FA_SQFRE"/>
      <sheetName val="FA_SQMT"/>
      <sheetName val="FA_SQTA"/>
      <sheetName val="FA_SQTB"/>
      <sheetName val="FA_SQTE"/>
      <sheetName val="FA_SQTH"/>
      <sheetName val="FA_SQTL"/>
      <sheetName val="FA_SQTN"/>
      <sheetName val="FA_SQTOF"/>
      <sheetName val="FA_SQTP"/>
      <sheetName val="FA_SQTS"/>
      <sheetName val="FA_SQTV"/>
      <sheetName val="FA_SQTW"/>
      <sheetName val="FA_SQTY"/>
      <sheetName val="FA_SYLH"/>
      <sheetName val="FA_WECO"/>
      <sheetName val="FA_WEHY"/>
      <sheetName val="WND Criticality 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 refreshError="1"/>
    </sheetDataSet>
  </externalBook>
</externalLink>
</file>

<file path=xl/queryTables/queryTable1.xml><?xml version="1.0" encoding="utf-8"?>
<queryTable xmlns="http://schemas.openxmlformats.org/spreadsheetml/2006/main" name="ExternalData_1" backgroundRefresh="0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Discipline" tableColumnId="1"/>
    </queryTableFields>
  </queryTableRefresh>
  <extLst>
    <ext xmlns:x15="http://schemas.microsoft.com/office/spreadsheetml/2010/11/main" uri="{883FBD77-0823-4a55-B5E3-86C4891E6966}">
      <x15:queryTable sourceDataName=" "/>
    </ext>
  </extLst>
</queryTable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RiskManagementMatrix" displayName="RiskManagementMatrix" ref="B4:J12" totalsRowShown="0" headerRowDxfId="91" dataDxfId="90">
  <autoFilter ref="B4:J12"/>
  <tableColumns count="9">
    <tableColumn id="1" name="Impact" dataDxfId="89" dataCellStyle="Bad"/>
    <tableColumn id="2" name="1" dataDxfId="88"/>
    <tableColumn id="3" name="2" dataDxfId="87">
      <calculatedColumnFormula>C5+1</calculatedColumnFormula>
    </tableColumn>
    <tableColumn id="4" name="3" dataDxfId="86">
      <calculatedColumnFormula>D5+1</calculatedColumnFormula>
    </tableColumn>
    <tableColumn id="5" name="4" dataDxfId="85">
      <calculatedColumnFormula>E5+1</calculatedColumnFormula>
    </tableColumn>
    <tableColumn id="6" name="5" dataDxfId="84">
      <calculatedColumnFormula>F5+1</calculatedColumnFormula>
    </tableColumn>
    <tableColumn id="7" name="6" dataDxfId="83">
      <calculatedColumnFormula>G5+1</calculatedColumnFormula>
    </tableColumn>
    <tableColumn id="8" name="7" dataDxfId="82">
      <calculatedColumnFormula>H5+1</calculatedColumnFormula>
    </tableColumn>
    <tableColumn id="9" name="8" dataDxfId="81">
      <calculatedColumnFormula>I5+1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2" name="ImpacttoCriticality" displayName="ImpacttoCriticality" ref="D5:F13" totalsRowShown="0" headerRowDxfId="80" dataDxfId="79" headerRowCellStyle="Explanatory Text" dataCellStyle="Explanatory Text">
  <autoFilter ref="D5:F13"/>
  <tableColumns count="3">
    <tableColumn id="1" name="Impact Level" dataDxfId="78" dataCellStyle="Normal"/>
    <tableColumn id="2" name="Criticality Unspared" dataDxfId="77" dataCellStyle="Normal"/>
    <tableColumn id="3" name="Criticality If Redundancy" dataDxfId="76" dataCellStyle="Normal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3" name="RawImpactToCriticality" displayName="RawImpactToCriticality" ref="A5:B18" totalsRowShown="0" tableBorderDxfId="75">
  <autoFilter ref="A5:B18"/>
  <tableColumns count="2">
    <tableColumn id="1" name="Impact Level" dataDxfId="74" dataCellStyle="Accent6"/>
    <tableColumn id="2" name="Criticality Rating of Equipment" dataDxfId="73" dataCellStyle="Normal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5" name="RawCriticalityRatingToLevel" displayName="RawCriticalityRatingToLevel" ref="B6:C9" totalsRowShown="0" dataDxfId="69" headerRowCellStyle="Normal" dataCellStyle="Normal">
  <autoFilter ref="B6:C9"/>
  <tableColumns count="2">
    <tableColumn id="1" name="Criticality Rating" dataDxfId="68" dataCellStyle="Normal"/>
    <tableColumn id="2" name="Criticality Level" dataDxfId="67" dataCellStyle="Normal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id="6" name="CriticalityRatingToLevel" displayName="CriticalityRatingToLevel" ref="E6:F16" totalsRowShown="0" headerRowDxfId="66" dataDxfId="65" tableBorderDxfId="64">
  <autoFilter ref="E6:F16"/>
  <tableColumns count="2">
    <tableColumn id="1" name="Criticality Rating" dataDxfId="63"/>
    <tableColumn id="2" name="Criticality Level" dataDxfId="6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le7" displayName="Table7" ref="A3:E7" totalsRowShown="0">
  <autoFilter ref="A3:E7"/>
  <tableColumns count="5">
    <tableColumn id="1" name="Risk Category"/>
    <tableColumn id="2" name="Impact Threshold"/>
    <tableColumn id="3" name="Maximo threshold" dataDxfId="61"/>
    <tableColumn id="4" name="Maximo Criticality type"/>
    <tableColumn id="5" name="SCE Threshold" dataDxfId="60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B2:G6" totalsRowShown="0">
  <autoFilter ref="B2:G6"/>
  <tableColumns count="6">
    <tableColumn id="1" name="Impact"/>
    <tableColumn id="2" name="3"/>
    <tableColumn id="3" name="4"/>
    <tableColumn id="4" name="5"/>
    <tableColumn id="5" name="6"/>
    <tableColumn id="6" name="7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4" name="TagMinimal" displayName="TagMinimal" ref="A1:B3" totalsRowShown="0">
  <autoFilter ref="A1:B3"/>
  <tableColumns count="2">
    <tableColumn id="1" name="TagID"/>
    <tableColumn id="2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CriticalityRuleSet" displayName="CriticalityRuleSet" ref="A1:P8" totalsRowShown="0" headerRowDxfId="56">
  <autoFilter ref="A1:P8"/>
  <tableColumns count="16">
    <tableColumn id="1" name="Rule"/>
    <tableColumn id="2" name="Applies to"/>
    <tableColumn id="3" name="What to do with existing data" dataDxfId="55"/>
    <tableColumn id="4" name="Comments to add" dataDxfId="54"/>
    <tableColumn id="5" name="Column1"/>
    <tableColumn id="6" name="Safety Letter"/>
    <tableColumn id="7" name="Environmental Letter"/>
    <tableColumn id="8" name="Production Letter"/>
    <tableColumn id="9" name="Commercial Letter"/>
    <tableColumn id="10" name="Safety Number"/>
    <tableColumn id="11" name="Environment Number"/>
    <tableColumn id="12" name="Production Number"/>
    <tableColumn id="13" name="Commercial Number"/>
    <tableColumn id="14" name="Criticality"/>
    <tableColumn id="15" name="Likelihood"/>
    <tableColumn id="16" name="AB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2" name="TestTagsTable" displayName="TestTagsTable" ref="B2:L8" totalsRowShown="0" headerRowCellStyle="Normal" dataCellStyle="Normal">
  <autoFilter ref="B2:L8"/>
  <tableColumns count="11">
    <tableColumn id="1" name="Functional location" dataCellStyle="Normal"/>
    <tableColumn id="2" name="Function Location Description" dataCellStyle="Normal"/>
    <tableColumn id="3" name="Object type2" dataCellStyle="Normal"/>
    <tableColumn id="4" name="STATUS" dataCellStyle="Normal"/>
    <tableColumn id="5" name="UMCL PLUS" dataCellStyle="Normal"/>
    <tableColumn id="6" name="ISO CODE" dataCellStyle="Normal"/>
    <tableColumn id="7" name="SIL Input" dataCellStyle="Normal"/>
    <tableColumn id="8" name="SIL Output" dataCellStyle="Normal"/>
    <tableColumn id="9" name="SIS Tag Abbreviation" dataCellStyle="Normal"/>
    <tableColumn id="10" name="Discipline" dataCellStyle="Normal"/>
    <tableColumn id="11" name="SYSTEMID" dataCellStyle="Normal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6" name="TestFailureCodeDefaultCriticalitiesTable" displayName="TestFailureCodeDefaultCriticalitiesTable" ref="A1:O3" totalsRowShown="0" tableBorderDxfId="53">
  <autoFilter ref="A1:O3"/>
  <tableColumns count="15">
    <tableColumn id="1" name="FailureCode"/>
    <tableColumn id="2" name="Description"/>
    <tableColumn id="3" name="Number found in ASSET-C WND"/>
    <tableColumn id="4" name="Likelihood"/>
    <tableColumn id="5" name="SC_Impact"/>
    <tableColumn id="6" name="EC_Impact"/>
    <tableColumn id="7" name="PC_impact"/>
    <tableColumn id="8" name="BC_Impact"/>
    <tableColumn id="9" name="SC_Likelihood"/>
    <tableColumn id="10" name="EC_Likelihood"/>
    <tableColumn id="11" name="PC_Likelihood"/>
    <tableColumn id="12" name="BC_Likelihood"/>
    <tableColumn id="13" name="1-10"/>
    <tableColumn id="14" name="ABC"/>
    <tableColumn id="15" name="Basi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7" name="FAILURE_CODE_template18" displayName="FAILURE_CODE_template18" ref="A8:D12" totalsRowShown="0" headerRowDxfId="50" dataDxfId="49">
  <autoFilter ref="A8:D12"/>
  <tableColumns count="4">
    <tableColumn id="1" name="Category" dataDxfId="48"/>
    <tableColumn id="2" name="Impact" dataDxfId="47" dataCellStyle="Calculation">
      <calculatedColumnFormula>max</calculatedColumnFormula>
    </tableColumn>
    <tableColumn id="3" name="Likelihood" dataDxfId="46" dataCellStyle="Calculation">
      <calculatedColumnFormula array="1">MAX(IF([2]!FAILURE_CODE_Safety_scenarios[Impact]=FAILURE_CODE_template18[[#This Row],[Impact]],[2]!FAILURE_CODE_Safety_scenarios[Likelihood]))</calculatedColumnFormula>
    </tableColumn>
    <tableColumn id="4" name="Rating" dataDxfId="45" dataCellStyle="Calculation">
      <calculatedColumnFormula array="1">MAX(IF([2]!FAILURE_CODE_Non_Financial_scenarios[Impact]=FAILURE_CODE_template18[[#This Row],[Impact]],[2]!FAILURE_CODE_Non_Financial_scenarios[Risk Score]))</calculatedColumnFormula>
    </tableColumn>
  </tableColumns>
  <tableStyleInfo name="TableStyleLight14" showFirstColumn="0" showLastColumn="0" showRowStripes="1" showColumnStripes="0"/>
</table>
</file>

<file path=xl/tables/table13.xml><?xml version="1.0" encoding="utf-8"?>
<table xmlns="http://schemas.openxmlformats.org/spreadsheetml/2006/main" id="18" name="FAILURE_CODE_Safety_scenarios19" displayName="FAILURE_CODE_Safety_scenarios19" ref="A15:F19" totalsRowShown="0" headerRowDxfId="44">
  <autoFilter ref="A15:F19"/>
  <sortState ref="A16:F19">
    <sortCondition descending="1" ref="D15:D19"/>
  </sortState>
  <tableColumns count="6">
    <tableColumn id="1" name="Safety Scenarios" dataDxfId="43" dataCellStyle="Input"/>
    <tableColumn id="3" name="Impact" dataDxfId="42" dataCellStyle="Input"/>
    <tableColumn id="4" name="Likelihood" dataDxfId="41" dataCellStyle="Input"/>
    <tableColumn id="6" name="Risk Score" dataDxfId="40" dataCellStyle="Calculation">
      <calculatedColumnFormula>MATCH(B16,{"H","G","F","E","D","C","B","A"},0)+MATCH(C16, {1,2,3,4,5,6,7,8}, 0) - 1</calculatedColumnFormula>
    </tableColumn>
    <tableColumn id="5" name="Code for Letter" dataDxfId="39" dataCellStyle="Calculation">
      <calculatedColumnFormula>IF(ISERR(CODE(FAILURE_CODE_Safety_scenarios19[[#This Row],[Impact]])), "", CODE(FAILURE_CODE_Safety_scenarios19[[#This Row],[Impact]]))</calculatedColumnFormula>
    </tableColumn>
    <tableColumn id="2" name="Justification / Comment2" dataDxfId="38" dataCellStyle="Input"/>
  </tableColumns>
  <tableStyleInfo name="TableStyleLight10" showFirstColumn="0" showLastColumn="0" showRowStripes="1" showColumnStripes="0"/>
</table>
</file>

<file path=xl/tables/table14.xml><?xml version="1.0" encoding="utf-8"?>
<table xmlns="http://schemas.openxmlformats.org/spreadsheetml/2006/main" id="19" name="FAILURE_CODE_Environmetal_scenarios20" displayName="FAILURE_CODE_Environmetal_scenarios20" ref="A21:F24" totalsRowShown="0" headerRowDxfId="37">
  <autoFilter ref="A21:F24"/>
  <sortState ref="A22:F24">
    <sortCondition descending="1" ref="D21:D24"/>
  </sortState>
  <tableColumns count="6">
    <tableColumn id="1" name="Environmental Scenarios" dataDxfId="36" dataCellStyle="Input"/>
    <tableColumn id="2" name="Impact" dataDxfId="35" dataCellStyle="Input"/>
    <tableColumn id="3" name="Likelihood" dataDxfId="34" dataCellStyle="Input"/>
    <tableColumn id="4" name="Risk Score" dataDxfId="33" dataCellStyle="Calculation">
      <calculatedColumnFormula>MATCH(B22,{"H","G","F","E","D","C","B","A"},0)+MATCH(C22, {1,2,3,4,5,6,7,8}, 0) - 1</calculatedColumnFormula>
    </tableColumn>
    <tableColumn id="5" name="Code for Letter" dataDxfId="32" dataCellStyle="Calculation">
      <calculatedColumnFormula>IF(ISERR(CODE(FAILURE_CODE_Environmetal_scenarios20[Impact])), "", CODE(FAILURE_CODE_Environmetal_scenarios20[Impact]))</calculatedColumnFormula>
    </tableColumn>
    <tableColumn id="6" name="Justification / Comment2" dataDxfId="31" dataCellStyle="Input"/>
  </tableColumns>
  <tableStyleInfo name="TableStyleLight14" showFirstColumn="0" showLastColumn="0" showRowStripes="1" showColumnStripes="0"/>
</table>
</file>

<file path=xl/tables/table15.xml><?xml version="1.0" encoding="utf-8"?>
<table xmlns="http://schemas.openxmlformats.org/spreadsheetml/2006/main" id="20" name="FAILURE_CODE_Financial_scenarios21" displayName="FAILURE_CODE_Financial_scenarios21" ref="A27:F31" totalsRowShown="0" headerRowDxfId="30">
  <autoFilter ref="A27:F31"/>
  <sortState ref="A28:F31">
    <sortCondition descending="1" ref="D27:D31"/>
  </sortState>
  <tableColumns count="6">
    <tableColumn id="1" name="Financial Scenarios" dataDxfId="29" dataCellStyle="Input"/>
    <tableColumn id="2" name="Impact" dataDxfId="28" dataCellStyle="Input"/>
    <tableColumn id="3" name="Likelihood" dataDxfId="27" dataCellStyle="Input"/>
    <tableColumn id="4" name="Risk Score" dataDxfId="26" dataCellStyle="Calculation">
      <calculatedColumnFormula>MATCH(B28,{"H","G","F","E","D","C","B","A"},0)+MATCH(C28, {1,2,3,4,5,6,7,8}, 0) - 1</calculatedColumnFormula>
    </tableColumn>
    <tableColumn id="5" name="Code for Letter" dataDxfId="25" dataCellStyle="Calculation">
      <calculatedColumnFormula>IF(ISERR(CODE(FAILURE_CODE_Financial_scenarios21[Impact])), "", CODE(FAILURE_CODE_Financial_scenarios21[Impact]))</calculatedColumnFormula>
    </tableColumn>
    <tableColumn id="6" name="Justification / Comment2" dataDxfId="24" dataCellStyle="Input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id="21" name="FAILURE_CODE_Non_Financial_scenarios22" displayName="FAILURE_CODE_Non_Financial_scenarios22" ref="A33:F36" totalsRowShown="0" headerRowDxfId="23">
  <autoFilter ref="A33:F36"/>
  <sortState ref="A34:F36">
    <sortCondition descending="1" ref="D33:D36"/>
  </sortState>
  <tableColumns count="6">
    <tableColumn id="1" name="Non-Financial Scenarios" dataDxfId="22" dataCellStyle="Input"/>
    <tableColumn id="2" name="Impact" dataDxfId="21" dataCellStyle="Input"/>
    <tableColumn id="3" name="Likelihood" dataDxfId="20" dataCellStyle="Input"/>
    <tableColumn id="4" name="Risk Score" dataDxfId="19" dataCellStyle="Calculation">
      <calculatedColumnFormula>MATCH(B34,{"H","G","F","E","D","C","B","A"},0)+MATCH(C34, {1,2,3,4,5,6,7,8}, 0) - 1</calculatedColumnFormula>
    </tableColumn>
    <tableColumn id="5" name="Code for Letter" dataDxfId="18" dataCellStyle="Calculation">
      <calculatedColumnFormula>IF(ISERR(CODE(FAILURE_CODE_Non_Financial_scenarios22[Impact])), "", CODE(FAILURE_CODE_Non_Financial_scenarios22[Impact]))</calculatedColumnFormula>
    </tableColumn>
    <tableColumn id="6" name="Justification / Comment2" dataDxfId="17" dataCellStyle="Input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22" name="TypicalCriticalitiesMAHBarrier" displayName="TypicalCriticalitiesMAHBarrier" ref="N3:W309" totalsRowShown="0" headerRowBorderDxfId="16" tableBorderDxfId="15" headerRowCellStyle="Normal" dataCellStyle="Normal">
  <autoFilter ref="N3:W309"/>
  <tableColumns count="10">
    <tableColumn id="1" name="Barrier Family" dataCellStyle="Normal"/>
    <tableColumn id="2" name="Barrier Family Description" dataCellStyle="Normal"/>
    <tableColumn id="3" name="Typical Components" dataCellStyle="Normal"/>
    <tableColumn id="4" name="Typical Criticality" dataCellStyle="Normal"/>
    <tableColumn id="5" name="Barrier Family ID" dataCellStyle="Normal"/>
    <tableColumn id="8" name="Column2" dataCellStyle="Normal"/>
    <tableColumn id="6" name="Item No" dataCellStyle="Normal"/>
    <tableColumn id="7" name="FamilyList" dataCellStyle="Normal">
      <calculatedColumnFormula>IF($T4&lt;=Z$4,INDEX(TypicalCriticalitiesMAHBarrier[Barrier Family Description],MATCH($T4,TypicalCriticalitiesMAHBarrier[Barrier Family ID],0)),"")</calculatedColumnFormula>
    </tableColumn>
    <tableColumn id="9" name="ComponentList" dataCellStyle="Normal">
      <calculatedColumnFormula>IF($T4&lt;=AA$4,INDEX(TypicalCriticalitiesMAHBarrier[Typical Components],MATCH($T4,TypicalCriticalitiesMAHBarrier[Column2],0)),"")</calculatedColumnFormula>
    </tableColumn>
    <tableColumn id="10" name="Code" dataCellStyle="Normal">
      <calculatedColumnFormula>IF($T4&lt;=AA$4,INDEX(TypicalCriticalitiesMAHBarrier[Typical Criticality],MATCH($T4,TypicalCriticalitiesMAHBarrier[Column2],0)),"")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1" name="TestSystemsList" displayName="TestSystemsList" ref="A1:F201" totalsRowShown="0" headerRowDxfId="14" dataDxfId="12" headerRowBorderDxfId="13" tableBorderDxfId="11" totalsRowBorderDxfId="10" headerRowCellStyle="Normal_Sheet1" dataCellStyle="Normal_Sheet1">
  <autoFilter ref="A1:F201"/>
  <tableColumns count="6">
    <tableColumn id="1" name="Functional location" dataDxfId="9" dataCellStyle="Normal_Sheet1"/>
    <tableColumn id="2" name="Function Location Description" dataDxfId="8" dataCellStyle="Normal_Sheet1"/>
    <tableColumn id="3" name="System No" dataDxfId="7" dataCellStyle="Normal_Sheet1"/>
    <tableColumn id="4" name="Tag Abbreviation" dataDxfId="6" dataCellStyle="Normal_Sheet1"/>
    <tableColumn id="5" name="Utilities System YorN" dataDxfId="5" dataCellStyle="Normal_Sheet1"/>
    <tableColumn id="6" name="Comment" dataDxfId="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0" name="DisciplinesList" displayName="DisciplinesList" ref="C3:C15" tableType="queryTable" totalsRowShown="0">
  <autoFilter ref="C3:C15"/>
  <tableColumns count="1">
    <tableColumn id="1" uniqueName="1" name="Discipline" queryTableFieldId="1" dataDxfId="3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id="13" name="TestFullTags" displayName="TestFullTags" ref="C2:M25" totalsRowShown="0" headerRowDxfId="2" headerRowBorderDxfId="1" tableBorderDxfId="0">
  <autoFilter ref="C2:M25"/>
  <tableColumns count="11">
    <tableColumn id="1" name="Functional location"/>
    <tableColumn id="2" name="Function Location Description"/>
    <tableColumn id="3" name="Object type2"/>
    <tableColumn id="4" name="STATUS"/>
    <tableColumn id="5" name="UMCL PLUS"/>
    <tableColumn id="6" name="ISO CODE"/>
    <tableColumn id="7" name="SIL Input"/>
    <tableColumn id="8" name="SIL Output"/>
    <tableColumn id="9" name="SIS Tag Abbreviation"/>
    <tableColumn id="10" name="Discipline"/>
    <tableColumn id="11" name="SYSTEM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11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X56"/>
  <sheetViews>
    <sheetView workbookViewId="0">
      <selection activeCell="B15" sqref="B15"/>
    </sheetView>
  </sheetViews>
  <sheetFormatPr defaultRowHeight="15" x14ac:dyDescent="0.25"/>
  <cols>
    <col min="2" max="2" width="11" customWidth="1"/>
    <col min="3" max="10" width="6.28515625" customWidth="1"/>
    <col min="11" max="11" width="5" customWidth="1"/>
    <col min="12" max="12" width="10.140625" bestFit="1" customWidth="1"/>
  </cols>
  <sheetData>
    <row r="3" spans="2:24" x14ac:dyDescent="0.25">
      <c r="C3" s="8" t="s">
        <v>17</v>
      </c>
      <c r="D3" s="8"/>
      <c r="E3" s="8"/>
      <c r="F3" s="8"/>
      <c r="G3" s="8"/>
      <c r="H3" s="8"/>
      <c r="I3" s="8"/>
      <c r="J3" s="8"/>
      <c r="L3" s="10" t="s">
        <v>33</v>
      </c>
      <c r="M3" s="10"/>
      <c r="N3" s="10"/>
      <c r="O3" s="10"/>
      <c r="S3" s="11" t="s">
        <v>72</v>
      </c>
      <c r="T3" s="11"/>
      <c r="W3" s="11" t="s">
        <v>34</v>
      </c>
      <c r="X3" s="11"/>
    </row>
    <row r="4" spans="2:24" x14ac:dyDescent="0.25">
      <c r="B4" s="2" t="s">
        <v>8</v>
      </c>
      <c r="C4" s="5" t="s">
        <v>9</v>
      </c>
      <c r="D4" s="5" t="s">
        <v>10</v>
      </c>
      <c r="E4" s="5" t="s">
        <v>11</v>
      </c>
      <c r="F4" s="5" t="s">
        <v>12</v>
      </c>
      <c r="G4" s="5" t="s">
        <v>13</v>
      </c>
      <c r="H4" s="5" t="s">
        <v>14</v>
      </c>
      <c r="I4" s="5" t="s">
        <v>15</v>
      </c>
      <c r="J4" s="5" t="s">
        <v>16</v>
      </c>
      <c r="L4" s="7" t="s">
        <v>21</v>
      </c>
      <c r="M4" s="6" t="s">
        <v>32</v>
      </c>
      <c r="N4" s="6" t="s">
        <v>31</v>
      </c>
      <c r="O4" s="9" t="s">
        <v>37</v>
      </c>
      <c r="S4" s="7" t="s">
        <v>21</v>
      </c>
      <c r="T4" s="9" t="s">
        <v>36</v>
      </c>
      <c r="W4" s="9" t="s">
        <v>35</v>
      </c>
    </row>
    <row r="5" spans="2:24" ht="27" customHeight="1" x14ac:dyDescent="0.25">
      <c r="B5" s="3" t="s">
        <v>0</v>
      </c>
      <c r="C5" s="2">
        <f t="shared" ref="C5:C10" si="0">C6+1</f>
        <v>8</v>
      </c>
      <c r="D5" s="2">
        <f t="shared" ref="D5:J5" si="1">C5+1</f>
        <v>9</v>
      </c>
      <c r="E5" s="2">
        <f t="shared" si="1"/>
        <v>10</v>
      </c>
      <c r="F5" s="2">
        <f t="shared" si="1"/>
        <v>11</v>
      </c>
      <c r="G5" s="2">
        <f t="shared" si="1"/>
        <v>12</v>
      </c>
      <c r="H5" s="2">
        <f t="shared" si="1"/>
        <v>13</v>
      </c>
      <c r="I5" s="2">
        <f t="shared" si="1"/>
        <v>14</v>
      </c>
      <c r="J5" s="2">
        <f t="shared" si="1"/>
        <v>15</v>
      </c>
    </row>
    <row r="6" spans="2:24" ht="27" customHeight="1" thickBot="1" x14ac:dyDescent="0.3">
      <c r="B6" s="3" t="s">
        <v>1</v>
      </c>
      <c r="C6" s="2">
        <f t="shared" si="0"/>
        <v>7</v>
      </c>
      <c r="D6" s="2">
        <f t="shared" ref="D6:J6" si="2">C6+1</f>
        <v>8</v>
      </c>
      <c r="E6" s="2">
        <f t="shared" si="2"/>
        <v>9</v>
      </c>
      <c r="F6" s="2">
        <f t="shared" si="2"/>
        <v>10</v>
      </c>
      <c r="G6" s="2">
        <f t="shared" si="2"/>
        <v>11</v>
      </c>
      <c r="H6" s="2">
        <f t="shared" si="2"/>
        <v>12</v>
      </c>
      <c r="I6" s="2">
        <f t="shared" si="2"/>
        <v>13</v>
      </c>
      <c r="J6" s="2">
        <f t="shared" si="2"/>
        <v>14</v>
      </c>
      <c r="M6" t="s">
        <v>8</v>
      </c>
      <c r="N6" t="s">
        <v>17</v>
      </c>
      <c r="O6" t="s">
        <v>20</v>
      </c>
      <c r="P6" t="s">
        <v>18</v>
      </c>
      <c r="Q6" t="s">
        <v>19</v>
      </c>
      <c r="S6" t="s">
        <v>20</v>
      </c>
      <c r="T6" t="s">
        <v>18</v>
      </c>
      <c r="U6" t="s">
        <v>19</v>
      </c>
      <c r="W6" t="s">
        <v>38</v>
      </c>
      <c r="X6" t="s">
        <v>19</v>
      </c>
    </row>
    <row r="7" spans="2:24" ht="27" customHeight="1" thickTop="1" thickBot="1" x14ac:dyDescent="0.3">
      <c r="B7" s="3" t="s">
        <v>2</v>
      </c>
      <c r="C7" s="2">
        <f t="shared" si="0"/>
        <v>6</v>
      </c>
      <c r="D7" s="2">
        <f t="shared" ref="D7:J7" si="3">C7+1</f>
        <v>7</v>
      </c>
      <c r="E7" s="2">
        <f t="shared" si="3"/>
        <v>8</v>
      </c>
      <c r="F7" s="2">
        <f t="shared" si="3"/>
        <v>9</v>
      </c>
      <c r="G7" s="2">
        <f t="shared" si="3"/>
        <v>10</v>
      </c>
      <c r="H7" s="2">
        <f t="shared" si="3"/>
        <v>11</v>
      </c>
      <c r="I7" s="2">
        <f t="shared" si="3"/>
        <v>12</v>
      </c>
      <c r="J7" s="2">
        <f t="shared" si="3"/>
        <v>13</v>
      </c>
      <c r="L7" s="111" t="s">
        <v>26</v>
      </c>
      <c r="M7" s="4" t="s">
        <v>0</v>
      </c>
      <c r="N7" s="4">
        <v>8</v>
      </c>
      <c r="O7" s="7">
        <f>MATCH(M7,{"H","G","F","E","D","C","B","A"},0)+MATCH(N7, {1,2,3,4,5,6,7,8}, 0) - 1</f>
        <v>15</v>
      </c>
      <c r="P7">
        <f t="shared" ref="P7:P12" si="4">T7</f>
        <v>15</v>
      </c>
      <c r="Q7" s="1" t="str">
        <f t="shared" ref="Q7:Q12" si="5">IF(P7=O7,"pass","fail")</f>
        <v>pass</v>
      </c>
      <c r="S7" s="7">
        <f>MATCH(M7,{"H","G","F","E","D","C","B","A"},0)+N7-1</f>
        <v>15</v>
      </c>
      <c r="T7">
        <v>15</v>
      </c>
      <c r="U7" s="1" t="str">
        <f t="shared" ref="U7:U12" si="6">IF(T7=S7,"pass","fail")</f>
        <v>pass</v>
      </c>
      <c r="W7" s="12">
        <f>VLOOKUP(M7,RiskManagementMatrix[],N7+1,)</f>
        <v>15</v>
      </c>
      <c r="X7" s="1" t="str">
        <f t="shared" ref="X7:X12" si="7">IF(W7=T7,"pass","fail")</f>
        <v>pass</v>
      </c>
    </row>
    <row r="8" spans="2:24" ht="27" customHeight="1" thickTop="1" thickBot="1" x14ac:dyDescent="0.3">
      <c r="B8" s="3" t="s">
        <v>3</v>
      </c>
      <c r="C8" s="2">
        <f t="shared" si="0"/>
        <v>5</v>
      </c>
      <c r="D8" s="2">
        <f t="shared" ref="D8:J8" si="8">C8+1</f>
        <v>6</v>
      </c>
      <c r="E8" s="2">
        <f t="shared" si="8"/>
        <v>7</v>
      </c>
      <c r="F8" s="2">
        <f t="shared" si="8"/>
        <v>8</v>
      </c>
      <c r="G8" s="2">
        <f t="shared" si="8"/>
        <v>9</v>
      </c>
      <c r="H8" s="2">
        <f t="shared" si="8"/>
        <v>10</v>
      </c>
      <c r="I8" s="2">
        <f t="shared" si="8"/>
        <v>11</v>
      </c>
      <c r="J8" s="2">
        <f t="shared" si="8"/>
        <v>12</v>
      </c>
      <c r="L8" s="111"/>
      <c r="M8" s="4" t="s">
        <v>5</v>
      </c>
      <c r="N8" s="4">
        <v>1</v>
      </c>
      <c r="O8" s="7">
        <f>MATCH(M8,{"H","G","F","E","D","C","B","A"},0)+MATCH(N8, {1,2,3,4,5,6,7,8}, 0) - 1</f>
        <v>3</v>
      </c>
      <c r="P8">
        <f t="shared" si="4"/>
        <v>3</v>
      </c>
      <c r="Q8" s="1" t="str">
        <f t="shared" si="5"/>
        <v>pass</v>
      </c>
      <c r="S8" s="7">
        <f>MATCH(M8,{"H","G","F","E","D","C","B","A"},0)+N8-1</f>
        <v>3</v>
      </c>
      <c r="T8">
        <v>3</v>
      </c>
      <c r="U8" s="1" t="str">
        <f t="shared" si="6"/>
        <v>pass</v>
      </c>
      <c r="W8" s="12">
        <f>VLOOKUP(M8,RiskManagementMatrix[],N8+1,)</f>
        <v>3</v>
      </c>
      <c r="X8" s="1" t="str">
        <f t="shared" si="7"/>
        <v>pass</v>
      </c>
    </row>
    <row r="9" spans="2:24" ht="27" customHeight="1" thickTop="1" thickBot="1" x14ac:dyDescent="0.3">
      <c r="B9" s="3" t="s">
        <v>4</v>
      </c>
      <c r="C9" s="2">
        <f t="shared" si="0"/>
        <v>4</v>
      </c>
      <c r="D9" s="2">
        <f t="shared" ref="D9:J9" si="9">C9+1</f>
        <v>5</v>
      </c>
      <c r="E9" s="2">
        <f t="shared" si="9"/>
        <v>6</v>
      </c>
      <c r="F9" s="2">
        <f t="shared" si="9"/>
        <v>7</v>
      </c>
      <c r="G9" s="2">
        <f t="shared" si="9"/>
        <v>8</v>
      </c>
      <c r="H9" s="2">
        <f t="shared" si="9"/>
        <v>9</v>
      </c>
      <c r="I9" s="2">
        <f t="shared" si="9"/>
        <v>10</v>
      </c>
      <c r="J9" s="2">
        <f t="shared" si="9"/>
        <v>11</v>
      </c>
      <c r="L9" s="111"/>
      <c r="M9" s="4" t="s">
        <v>3</v>
      </c>
      <c r="N9" s="4">
        <v>4</v>
      </c>
      <c r="O9" s="7">
        <f>MATCH(M9,{"H","G","F","E","D","C","B","A"},0)+MATCH(N9, {1,2,3,4,5,6,7,8}, 0) - 1</f>
        <v>8</v>
      </c>
      <c r="P9">
        <f t="shared" si="4"/>
        <v>8</v>
      </c>
      <c r="Q9" s="1" t="str">
        <f t="shared" si="5"/>
        <v>pass</v>
      </c>
      <c r="S9" s="7">
        <f>MATCH(M9,{"H","G","F","E","D","C","B","A"},0)+N9-1</f>
        <v>8</v>
      </c>
      <c r="T9">
        <v>8</v>
      </c>
      <c r="U9" s="1" t="str">
        <f t="shared" si="6"/>
        <v>pass</v>
      </c>
      <c r="W9" s="12">
        <f>VLOOKUP(M9,RiskManagementMatrix[],N9+1,)</f>
        <v>8</v>
      </c>
      <c r="X9" s="1" t="str">
        <f t="shared" si="7"/>
        <v>pass</v>
      </c>
    </row>
    <row r="10" spans="2:24" ht="27" customHeight="1" thickTop="1" thickBot="1" x14ac:dyDescent="0.3">
      <c r="B10" s="3" t="s">
        <v>5</v>
      </c>
      <c r="C10" s="2">
        <f t="shared" si="0"/>
        <v>3</v>
      </c>
      <c r="D10" s="2">
        <f t="shared" ref="D10:J10" si="10">C10+1</f>
        <v>4</v>
      </c>
      <c r="E10" s="2">
        <f t="shared" si="10"/>
        <v>5</v>
      </c>
      <c r="F10" s="2">
        <f t="shared" si="10"/>
        <v>6</v>
      </c>
      <c r="G10" s="2">
        <f t="shared" si="10"/>
        <v>7</v>
      </c>
      <c r="H10" s="2">
        <f t="shared" si="10"/>
        <v>8</v>
      </c>
      <c r="I10" s="2">
        <f t="shared" si="10"/>
        <v>9</v>
      </c>
      <c r="J10" s="2">
        <f t="shared" si="10"/>
        <v>10</v>
      </c>
      <c r="L10" s="111"/>
      <c r="M10" s="4" t="s">
        <v>7</v>
      </c>
      <c r="N10" s="4">
        <v>1</v>
      </c>
      <c r="O10" s="7">
        <f>MATCH(M10,{"H","G","F","E","D","C","B","A"},0)+MATCH(N10, {1,2,3,4,5,6,7,8}, 0) - 1</f>
        <v>1</v>
      </c>
      <c r="P10">
        <f t="shared" si="4"/>
        <v>1</v>
      </c>
      <c r="Q10" s="1" t="str">
        <f t="shared" si="5"/>
        <v>pass</v>
      </c>
      <c r="S10" s="7">
        <f>MATCH(M10,{"H","G","F","E","D","C","B","A"},0)+N10-1</f>
        <v>1</v>
      </c>
      <c r="T10">
        <v>1</v>
      </c>
      <c r="U10" s="1" t="str">
        <f t="shared" si="6"/>
        <v>pass</v>
      </c>
      <c r="W10" s="12">
        <f>VLOOKUP(M10,RiskManagementMatrix[],N10+1,)</f>
        <v>1</v>
      </c>
      <c r="X10" s="1" t="str">
        <f t="shared" si="7"/>
        <v>pass</v>
      </c>
    </row>
    <row r="11" spans="2:24" ht="27" customHeight="1" thickTop="1" thickBot="1" x14ac:dyDescent="0.3">
      <c r="B11" s="3" t="s">
        <v>6</v>
      </c>
      <c r="C11" s="2">
        <f>C12+1</f>
        <v>2</v>
      </c>
      <c r="D11" s="2">
        <f t="shared" ref="D11:J11" si="11">C11+1</f>
        <v>3</v>
      </c>
      <c r="E11" s="2">
        <f t="shared" si="11"/>
        <v>4</v>
      </c>
      <c r="F11" s="2">
        <f t="shared" si="11"/>
        <v>5</v>
      </c>
      <c r="G11" s="2">
        <f t="shared" si="11"/>
        <v>6</v>
      </c>
      <c r="H11" s="2">
        <f t="shared" si="11"/>
        <v>7</v>
      </c>
      <c r="I11" s="2">
        <f t="shared" si="11"/>
        <v>8</v>
      </c>
      <c r="J11" s="2">
        <f t="shared" si="11"/>
        <v>9</v>
      </c>
      <c r="L11" s="111"/>
      <c r="M11" s="4" t="s">
        <v>634</v>
      </c>
      <c r="N11" s="4">
        <v>1</v>
      </c>
      <c r="O11" s="7">
        <f>MATCH(M11,{"H","G","F","E","D","C","B","A"},0)+MATCH(N11, {1,2,3,4,5,6,7,8}, 0) - 1</f>
        <v>8</v>
      </c>
      <c r="P11">
        <f t="shared" si="4"/>
        <v>8</v>
      </c>
      <c r="Q11" s="1" t="str">
        <f t="shared" si="5"/>
        <v>pass</v>
      </c>
      <c r="S11" s="7">
        <f>MATCH(M11,{"H","G","F","E","D","C","B","A"},0)+N11-1</f>
        <v>8</v>
      </c>
      <c r="T11">
        <v>8</v>
      </c>
      <c r="U11" s="1" t="str">
        <f t="shared" si="6"/>
        <v>pass</v>
      </c>
      <c r="W11" s="12">
        <f>VLOOKUP(M11,RiskManagementMatrix[],N11+1,)</f>
        <v>8</v>
      </c>
      <c r="X11" s="1" t="str">
        <f t="shared" si="7"/>
        <v>pass</v>
      </c>
    </row>
    <row r="12" spans="2:24" ht="27" customHeight="1" thickTop="1" thickBot="1" x14ac:dyDescent="0.3">
      <c r="B12" s="3" t="s">
        <v>7</v>
      </c>
      <c r="C12" s="2">
        <v>1</v>
      </c>
      <c r="D12" s="2">
        <f>C12+1</f>
        <v>2</v>
      </c>
      <c r="E12" s="2">
        <f t="shared" ref="E12:J12" si="12">D12+1</f>
        <v>3</v>
      </c>
      <c r="F12" s="2">
        <f t="shared" si="12"/>
        <v>4</v>
      </c>
      <c r="G12" s="2">
        <f t="shared" si="12"/>
        <v>5</v>
      </c>
      <c r="H12" s="2">
        <f t="shared" si="12"/>
        <v>6</v>
      </c>
      <c r="I12" s="2">
        <f t="shared" si="12"/>
        <v>7</v>
      </c>
      <c r="J12" s="2">
        <f t="shared" si="12"/>
        <v>8</v>
      </c>
      <c r="L12" s="111"/>
      <c r="M12" s="4" t="s">
        <v>109</v>
      </c>
      <c r="N12" s="4">
        <v>7</v>
      </c>
      <c r="O12" s="7">
        <f>MATCH(M12,{"H","G","F","E","D","C","B","A"},0)+MATCH(N12, {1,2,3,4,5,6,7,8}, 0) - 1</f>
        <v>8</v>
      </c>
      <c r="P12">
        <f t="shared" si="4"/>
        <v>8</v>
      </c>
      <c r="Q12" s="1" t="str">
        <f t="shared" si="5"/>
        <v>pass</v>
      </c>
      <c r="S12" s="7">
        <f>MATCH(M12,{"H","G","F","E","D","C","B","A"},0)+N12-1</f>
        <v>8</v>
      </c>
      <c r="T12">
        <v>8</v>
      </c>
      <c r="U12" s="1" t="str">
        <f t="shared" si="6"/>
        <v>pass</v>
      </c>
      <c r="W12" s="12">
        <f>VLOOKUP(M12,RiskManagementMatrix[],N12+1,)</f>
        <v>8</v>
      </c>
      <c r="X12" s="1" t="str">
        <f t="shared" si="7"/>
        <v>pass</v>
      </c>
    </row>
    <row r="13" spans="2:24" ht="15.75" thickTop="1" x14ac:dyDescent="0.25">
      <c r="L13" t="s">
        <v>24</v>
      </c>
    </row>
    <row r="14" spans="2:24" ht="15.75" thickBot="1" x14ac:dyDescent="0.3">
      <c r="B14" t="s">
        <v>39</v>
      </c>
      <c r="P14" t="s">
        <v>23</v>
      </c>
      <c r="T14" t="s">
        <v>23</v>
      </c>
    </row>
    <row r="15" spans="2:24" ht="16.5" thickTop="1" thickBot="1" x14ac:dyDescent="0.3">
      <c r="B15" t="s">
        <v>151</v>
      </c>
      <c r="L15" s="111" t="s">
        <v>27</v>
      </c>
      <c r="M15" s="4" t="s">
        <v>0</v>
      </c>
      <c r="N15" s="4">
        <v>9</v>
      </c>
      <c r="O15" s="7" t="e">
        <f>MATCH(M15,{"H","G","F","E","D","C","B","A"},0)+MATCH(N15, {1,2,3,4,5,6,7,8}, 0) - 1</f>
        <v>#N/A</v>
      </c>
      <c r="P15" t="e">
        <v>#N/A</v>
      </c>
      <c r="Q15" s="1" t="str">
        <f>IF(ISNA(O15), "OK", "error")</f>
        <v>OK</v>
      </c>
      <c r="S15" s="7">
        <f>MATCH(M15,{"H","G","F","E","D","C","B","A"},0)+N15-1</f>
        <v>16</v>
      </c>
      <c r="T15" t="e">
        <v>#N/A</v>
      </c>
      <c r="U15" s="1" t="str">
        <f>IF(ISNA(S15), "OK", "error")</f>
        <v>error</v>
      </c>
      <c r="W15" s="12" t="e">
        <f>VLOOKUP(M15,RiskManagementMatrix[],N15+1,)</f>
        <v>#REF!</v>
      </c>
      <c r="X15" s="1" t="str">
        <f>IF(ISNA(W15), "OK", "error")</f>
        <v>error</v>
      </c>
    </row>
    <row r="16" spans="2:24" ht="16.5" thickTop="1" thickBot="1" x14ac:dyDescent="0.3">
      <c r="L16" s="111"/>
      <c r="M16" s="4" t="s">
        <v>22</v>
      </c>
      <c r="N16" s="4">
        <v>1</v>
      </c>
      <c r="O16" s="7" t="e">
        <f>MATCH(M16,{"H","G","F","E","D","C","B","A"},0)+MATCH(N16, {1,2,3,4,5,6,7,8}, 0) - 1</f>
        <v>#N/A</v>
      </c>
      <c r="P16" t="e">
        <v>#N/A</v>
      </c>
      <c r="Q16" s="1" t="str">
        <f t="shared" ref="Q16:Q24" si="13">IF(ISNA(O16), "OK", "error")</f>
        <v>OK</v>
      </c>
      <c r="S16" s="7" t="e">
        <f>MATCH(M16,{"H","G","F","E","D","C","B","A"},0)+N16-1</f>
        <v>#N/A</v>
      </c>
      <c r="T16" t="e">
        <v>#N/A</v>
      </c>
      <c r="U16" s="1" t="str">
        <f t="shared" ref="U16:U24" si="14">IF(ISNA(S16), "OK", "error")</f>
        <v>OK</v>
      </c>
      <c r="W16" s="12" t="e">
        <f>VLOOKUP(M16,RiskManagementMatrix[],N16+1,)</f>
        <v>#N/A</v>
      </c>
      <c r="X16" s="1" t="str">
        <f t="shared" ref="X16:X24" si="15">IF(ISNA(W16), "OK", "error")</f>
        <v>OK</v>
      </c>
    </row>
    <row r="17" spans="2:24" ht="16.5" thickTop="1" thickBot="1" x14ac:dyDescent="0.3">
      <c r="L17" s="111"/>
      <c r="M17" s="4" t="s">
        <v>6</v>
      </c>
      <c r="N17" s="4">
        <v>0</v>
      </c>
      <c r="O17" s="7" t="e">
        <f>MATCH(M17,{"H","G","F","E","D","C","B","A"},0)+MATCH(N17, {1,2,3,4,5,6,7,8}, 0) - 1</f>
        <v>#N/A</v>
      </c>
      <c r="P17" t="e">
        <v>#N/A</v>
      </c>
      <c r="Q17" s="1" t="str">
        <f t="shared" si="13"/>
        <v>OK</v>
      </c>
      <c r="S17" s="7">
        <f>MATCH(M17,{"H","G","F","E","D","C","B","A"},0)+N17-1</f>
        <v>1</v>
      </c>
      <c r="T17" t="e">
        <v>#N/A</v>
      </c>
      <c r="U17" s="1" t="str">
        <f t="shared" si="14"/>
        <v>error</v>
      </c>
      <c r="W17" s="12" t="str">
        <f>VLOOKUP(M17,RiskManagementMatrix[],N17+1,)</f>
        <v>G</v>
      </c>
      <c r="X17" s="1" t="str">
        <f t="shared" si="15"/>
        <v>error</v>
      </c>
    </row>
    <row r="18" spans="2:24" ht="16.5" thickTop="1" thickBot="1" x14ac:dyDescent="0.3">
      <c r="L18" s="111"/>
      <c r="M18" s="4" t="s">
        <v>25</v>
      </c>
      <c r="N18" s="4">
        <v>8</v>
      </c>
      <c r="O18" s="7" t="e">
        <f>MATCH(M18,{"H","G","F","E","D","C","B","A"},0)+MATCH(N18, {1,2,3,4,5,6,7,8}, 0) - 1</f>
        <v>#N/A</v>
      </c>
      <c r="P18" t="e">
        <v>#N/A</v>
      </c>
      <c r="Q18" s="1" t="str">
        <f t="shared" si="13"/>
        <v>OK</v>
      </c>
      <c r="S18" s="7" t="e">
        <f>MATCH(M18,{"H","G","F","E","D","C","B","A"},0)+N18-1</f>
        <v>#N/A</v>
      </c>
      <c r="T18" t="e">
        <v>#N/A</v>
      </c>
      <c r="U18" s="1" t="str">
        <f t="shared" si="14"/>
        <v>OK</v>
      </c>
      <c r="W18" s="12" t="e">
        <f>VLOOKUP(M18,RiskManagementMatrix[],N18+1,)</f>
        <v>#N/A</v>
      </c>
      <c r="X18" s="1" t="str">
        <f t="shared" si="15"/>
        <v>OK</v>
      </c>
    </row>
    <row r="19" spans="2:24" ht="16.5" thickTop="1" thickBot="1" x14ac:dyDescent="0.3">
      <c r="L19" s="111"/>
      <c r="M19" s="4">
        <v>4</v>
      </c>
      <c r="N19" s="4" t="s">
        <v>2</v>
      </c>
      <c r="O19" s="7" t="e">
        <f>MATCH(M19,{"H","G","F","E","D","C","B","A"},0)+MATCH(N19, {1,2,3,4,5,6,7,8}, 0) - 1</f>
        <v>#N/A</v>
      </c>
      <c r="P19" t="e">
        <v>#N/A</v>
      </c>
      <c r="Q19" s="1" t="str">
        <f t="shared" si="13"/>
        <v>OK</v>
      </c>
      <c r="S19" s="7" t="e">
        <f>MATCH(M19,{"H","G","F","E","D","C","B","A"},0)+N19-1</f>
        <v>#N/A</v>
      </c>
      <c r="T19" t="e">
        <v>#N/A</v>
      </c>
      <c r="U19" s="1" t="str">
        <f t="shared" si="14"/>
        <v>OK</v>
      </c>
      <c r="W19" s="12" t="e">
        <f>VLOOKUP(M19,RiskManagementMatrix[],N19+1,)</f>
        <v>#VALUE!</v>
      </c>
      <c r="X19" s="1" t="str">
        <f t="shared" si="15"/>
        <v>error</v>
      </c>
    </row>
    <row r="20" spans="2:24" ht="16.5" thickTop="1" thickBot="1" x14ac:dyDescent="0.3">
      <c r="L20" s="111"/>
      <c r="M20" s="4" t="s">
        <v>28</v>
      </c>
      <c r="N20" s="4">
        <v>5</v>
      </c>
      <c r="O20" s="7" t="e">
        <f>MATCH(M20,{"H","G","F","E","D","C","B","A"},0)+MATCH(N20, {1,2,3,4,5,6,7,8}, 0) - 1</f>
        <v>#N/A</v>
      </c>
      <c r="P20" t="e">
        <v>#N/A</v>
      </c>
      <c r="Q20" s="1" t="str">
        <f t="shared" si="13"/>
        <v>OK</v>
      </c>
      <c r="S20" s="7" t="e">
        <f>MATCH(M20,{"H","G","F","E","D","C","B","A"},0)+N20-1</f>
        <v>#N/A</v>
      </c>
      <c r="T20" t="e">
        <v>#N/A</v>
      </c>
      <c r="U20" s="1" t="str">
        <f t="shared" si="14"/>
        <v>OK</v>
      </c>
      <c r="W20" s="12" t="e">
        <f>VLOOKUP(M20,RiskManagementMatrix[],N20+1,)</f>
        <v>#N/A</v>
      </c>
      <c r="X20" s="1" t="str">
        <f t="shared" si="15"/>
        <v>OK</v>
      </c>
    </row>
    <row r="21" spans="2:24" ht="16.5" thickTop="1" thickBot="1" x14ac:dyDescent="0.3">
      <c r="L21" s="111"/>
      <c r="M21" s="4" t="s">
        <v>29</v>
      </c>
      <c r="N21" s="4">
        <v>0.1</v>
      </c>
      <c r="O21" s="7" t="e">
        <f>MATCH(M21,{"H","G","F","E","D","C","B","A"},0)+MATCH(N21, {1,2,3,4,5,6,7,8}, 0) - 1</f>
        <v>#N/A</v>
      </c>
      <c r="P21" t="e">
        <v>#N/A</v>
      </c>
      <c r="Q21" s="1" t="str">
        <f t="shared" si="13"/>
        <v>OK</v>
      </c>
      <c r="S21" s="7" t="e">
        <f>MATCH(M21,{"H","G","F","E","D","C","B","A"},0)+N21-1</f>
        <v>#N/A</v>
      </c>
      <c r="T21" t="e">
        <v>#N/A</v>
      </c>
      <c r="U21" s="1" t="str">
        <f t="shared" si="14"/>
        <v>OK</v>
      </c>
      <c r="W21" s="12" t="e">
        <f>VLOOKUP(M21,RiskManagementMatrix[],N21+1,)</f>
        <v>#N/A</v>
      </c>
      <c r="X21" s="1" t="str">
        <f t="shared" si="15"/>
        <v>OK</v>
      </c>
    </row>
    <row r="22" spans="2:24" ht="16.5" thickTop="1" thickBot="1" x14ac:dyDescent="0.3">
      <c r="L22" s="111"/>
      <c r="M22" s="4"/>
      <c r="N22" s="4">
        <v>2</v>
      </c>
      <c r="O22" s="7" t="e">
        <f>MATCH(M22,{"H","G","F","E","D","C","B","A"},0)+MATCH(N22, {1,2,3,4,5,6,7,8}, 0) - 1</f>
        <v>#N/A</v>
      </c>
      <c r="P22" t="e">
        <v>#N/A</v>
      </c>
      <c r="Q22" s="1" t="str">
        <f t="shared" si="13"/>
        <v>OK</v>
      </c>
      <c r="S22" s="7" t="e">
        <f>MATCH(M22,{"H","G","F","E","D","C","B","A"},0)+N22-1</f>
        <v>#N/A</v>
      </c>
      <c r="T22" t="e">
        <v>#N/A</v>
      </c>
      <c r="U22" s="1" t="str">
        <f t="shared" si="14"/>
        <v>OK</v>
      </c>
      <c r="W22" s="12" t="e">
        <f>VLOOKUP(M22,RiskManagementMatrix[],N22+1,)</f>
        <v>#N/A</v>
      </c>
      <c r="X22" s="1" t="str">
        <f t="shared" si="15"/>
        <v>OK</v>
      </c>
    </row>
    <row r="23" spans="2:24" ht="16.5" thickTop="1" thickBot="1" x14ac:dyDescent="0.3">
      <c r="L23" s="111"/>
      <c r="M23" s="4"/>
      <c r="N23" s="4"/>
      <c r="O23" s="7" t="e">
        <f>MATCH(M23,{"H","G","F","E","D","C","B","A"},0)+MATCH(N23, {1,2,3,4,5,6,7,8}, 0) - 1</f>
        <v>#N/A</v>
      </c>
      <c r="P23" t="e">
        <v>#N/A</v>
      </c>
      <c r="Q23" s="1" t="str">
        <f t="shared" si="13"/>
        <v>OK</v>
      </c>
      <c r="S23" s="7" t="e">
        <f>MATCH(M23,{"H","G","F","E","D","C","B","A"},0)+N23-1</f>
        <v>#N/A</v>
      </c>
      <c r="T23" t="e">
        <v>#N/A</v>
      </c>
      <c r="U23" s="1" t="str">
        <f t="shared" si="14"/>
        <v>OK</v>
      </c>
      <c r="W23" s="12" t="e">
        <f>VLOOKUP(M23,RiskManagementMatrix[],N23+1,)</f>
        <v>#N/A</v>
      </c>
      <c r="X23" s="1" t="str">
        <f t="shared" si="15"/>
        <v>OK</v>
      </c>
    </row>
    <row r="24" spans="2:24" ht="16.5" thickTop="1" thickBot="1" x14ac:dyDescent="0.3">
      <c r="L24" s="111"/>
      <c r="M24" s="4" t="s">
        <v>30</v>
      </c>
      <c r="N24" s="4"/>
      <c r="O24" s="7" t="e">
        <f>MATCH(M24,{"H","G","F","E","D","C","B","A"},0)+MATCH(N24, {1,2,3,4,5,6,7,8}, 0) - 1</f>
        <v>#N/A</v>
      </c>
      <c r="P24" t="e">
        <v>#N/A</v>
      </c>
      <c r="Q24" s="1" t="str">
        <f t="shared" si="13"/>
        <v>OK</v>
      </c>
      <c r="S24" s="7" t="e">
        <f>MATCH(M24,{"H","G","F","E","D","C","B","A"},0)+N24-1</f>
        <v>#N/A</v>
      </c>
      <c r="T24" t="e">
        <v>#N/A</v>
      </c>
      <c r="U24" s="1" t="str">
        <f t="shared" si="14"/>
        <v>OK</v>
      </c>
      <c r="W24" s="12" t="e">
        <f>VLOOKUP(M24,RiskManagementMatrix[],N24+1,)</f>
        <v>#N/A</v>
      </c>
      <c r="X24" s="1" t="str">
        <f t="shared" si="15"/>
        <v>OK</v>
      </c>
    </row>
    <row r="25" spans="2:24" ht="15.75" thickTop="1" x14ac:dyDescent="0.25"/>
    <row r="30" spans="2:24" x14ac:dyDescent="0.25">
      <c r="B30" t="s">
        <v>153</v>
      </c>
      <c r="L30" s="4" t="s">
        <v>45</v>
      </c>
      <c r="M30" s="4" t="s">
        <v>45</v>
      </c>
      <c r="N30" s="4" t="s">
        <v>45</v>
      </c>
      <c r="O30" s="4" t="s">
        <v>45</v>
      </c>
      <c r="P30" s="4" t="s">
        <v>45</v>
      </c>
      <c r="Q30" s="4" t="s">
        <v>45</v>
      </c>
      <c r="S30" s="4" t="s">
        <v>45</v>
      </c>
      <c r="T30" s="4" t="s">
        <v>45</v>
      </c>
    </row>
    <row r="31" spans="2:24" x14ac:dyDescent="0.25">
      <c r="B31" t="s">
        <v>156</v>
      </c>
      <c r="D31" s="2"/>
      <c r="E31" s="2"/>
      <c r="F31" s="2"/>
      <c r="G31" s="2"/>
      <c r="H31" s="2"/>
      <c r="I31" s="2"/>
      <c r="J31" s="2"/>
      <c r="L31" s="4" t="s">
        <v>1</v>
      </c>
      <c r="M31" s="4" t="s">
        <v>1</v>
      </c>
      <c r="N31" s="4" t="s">
        <v>1</v>
      </c>
      <c r="O31" s="4" t="s">
        <v>1</v>
      </c>
      <c r="P31" s="4" t="s">
        <v>24</v>
      </c>
      <c r="Q31" s="4"/>
      <c r="S31" s="4">
        <v>1</v>
      </c>
      <c r="T31" s="4" t="s">
        <v>55</v>
      </c>
    </row>
    <row r="32" spans="2:24" x14ac:dyDescent="0.25">
      <c r="B32" t="s">
        <v>157</v>
      </c>
      <c r="D32" s="2"/>
      <c r="E32" s="2"/>
      <c r="F32" s="2"/>
      <c r="G32" s="2"/>
      <c r="H32" s="2"/>
      <c r="I32" s="2"/>
      <c r="J32" s="2"/>
      <c r="L32" s="4" t="s">
        <v>3</v>
      </c>
      <c r="M32" s="4" t="s">
        <v>0</v>
      </c>
      <c r="N32" s="4" t="s">
        <v>3</v>
      </c>
      <c r="O32" s="4" t="s">
        <v>3</v>
      </c>
      <c r="P32" s="4"/>
      <c r="Q32" s="4"/>
      <c r="S32" s="4">
        <v>2</v>
      </c>
      <c r="T32" s="4" t="s">
        <v>154</v>
      </c>
    </row>
    <row r="33" spans="2:20" x14ac:dyDescent="0.25">
      <c r="B33" t="s">
        <v>158</v>
      </c>
      <c r="D33" s="2"/>
      <c r="E33" s="2"/>
      <c r="F33" s="2"/>
      <c r="G33" s="2"/>
      <c r="H33" s="2"/>
      <c r="I33" s="2"/>
      <c r="J33" s="2"/>
      <c r="L33" s="4" t="s">
        <v>1</v>
      </c>
      <c r="M33" s="4" t="s">
        <v>1</v>
      </c>
      <c r="N33" s="4" t="s">
        <v>1</v>
      </c>
      <c r="O33" s="4" t="s">
        <v>1</v>
      </c>
      <c r="P33" s="4" t="s">
        <v>1</v>
      </c>
      <c r="Q33" s="4" t="s">
        <v>24</v>
      </c>
      <c r="S33" s="4">
        <v>3</v>
      </c>
      <c r="T33" s="4" t="s">
        <v>1</v>
      </c>
    </row>
    <row r="34" spans="2:20" x14ac:dyDescent="0.25">
      <c r="B34" t="s">
        <v>159</v>
      </c>
      <c r="D34" s="2"/>
      <c r="E34" s="2"/>
      <c r="F34" s="2"/>
      <c r="G34" s="2"/>
      <c r="H34" s="2"/>
      <c r="I34" s="2"/>
      <c r="J34" s="2"/>
      <c r="L34" s="4" t="s">
        <v>2</v>
      </c>
      <c r="M34" s="4" t="s">
        <v>2</v>
      </c>
      <c r="N34" s="4" t="s">
        <v>0</v>
      </c>
      <c r="O34" s="4" t="s">
        <v>0</v>
      </c>
      <c r="P34" s="4" t="s">
        <v>2</v>
      </c>
      <c r="Q34" s="4" t="s">
        <v>24</v>
      </c>
      <c r="S34" s="4">
        <v>4</v>
      </c>
      <c r="T34" s="4" t="s">
        <v>2</v>
      </c>
    </row>
    <row r="35" spans="2:20" x14ac:dyDescent="0.25">
      <c r="D35" s="2"/>
      <c r="E35" s="2"/>
      <c r="F35" s="2"/>
      <c r="G35" s="2"/>
      <c r="H35" s="2"/>
      <c r="J35" s="38" t="s">
        <v>18</v>
      </c>
      <c r="L35" s="2" t="s">
        <v>1</v>
      </c>
      <c r="M35" s="2" t="s">
        <v>0</v>
      </c>
      <c r="N35" s="2" t="s">
        <v>0</v>
      </c>
      <c r="O35" s="2" t="s">
        <v>0</v>
      </c>
      <c r="P35" s="2" t="s">
        <v>1</v>
      </c>
      <c r="Q35" s="2" t="s">
        <v>24</v>
      </c>
      <c r="R35" s="2"/>
      <c r="S35" s="2" t="e">
        <v>#N/A</v>
      </c>
      <c r="T35" s="2" t="e">
        <v>#N/A</v>
      </c>
    </row>
    <row r="36" spans="2:20" x14ac:dyDescent="0.25">
      <c r="F36" s="2"/>
      <c r="G36" s="2"/>
      <c r="H36" s="2"/>
    </row>
    <row r="37" spans="2:20" ht="15.75" thickBot="1" x14ac:dyDescent="0.3">
      <c r="B37" s="39" t="s">
        <v>152</v>
      </c>
      <c r="C37" s="39"/>
      <c r="D37" s="3"/>
      <c r="E37" s="3"/>
      <c r="F37" s="2"/>
      <c r="G37" s="2"/>
      <c r="H37" s="2"/>
      <c r="I37" s="2"/>
      <c r="J37" t="s">
        <v>47</v>
      </c>
      <c r="L37" s="7" t="str">
        <f t="shared" ref="L37:Q37" si="16">LOOKUP(2,1/((COUNTIF(L31:L34,"&lt;" &amp; L31:L34)=0)),L31:L34)</f>
        <v>B</v>
      </c>
      <c r="M37" s="7" t="str">
        <f t="shared" si="16"/>
        <v>A</v>
      </c>
      <c r="N37" s="7" t="str">
        <f t="shared" si="16"/>
        <v>A</v>
      </c>
      <c r="O37" s="7" t="str">
        <f t="shared" si="16"/>
        <v>A</v>
      </c>
      <c r="P37" s="7">
        <f t="shared" si="16"/>
        <v>0</v>
      </c>
      <c r="Q37" s="7" t="str">
        <f t="shared" si="16"/>
        <v xml:space="preserve"> </v>
      </c>
      <c r="S37" s="7">
        <f>LOOKUP(2,1/((COUNTIF(S31:S34,"&lt;"&amp;S31:S34)=0)),S31:S34)</f>
        <v>1</v>
      </c>
      <c r="T37" s="7" t="str">
        <f>LOOKUP(2,1/((COUNTIF(T31:T34,"&lt;"&amp;T31:T34)=0)),T31:T34)</f>
        <v>AA</v>
      </c>
    </row>
    <row r="38" spans="2:20" ht="16.5" thickTop="1" thickBot="1" x14ac:dyDescent="0.3">
      <c r="I38" s="2"/>
      <c r="J38" s="2"/>
      <c r="L38" s="1" t="str">
        <f t="shared" ref="L38:Q38" si="17">IF(L35=L37,"pass", "fail")</f>
        <v>pass</v>
      </c>
      <c r="M38" s="1" t="str">
        <f t="shared" si="17"/>
        <v>pass</v>
      </c>
      <c r="N38" s="1" t="str">
        <f t="shared" si="17"/>
        <v>pass</v>
      </c>
      <c r="O38" s="1" t="str">
        <f t="shared" si="17"/>
        <v>pass</v>
      </c>
      <c r="P38" s="1" t="str">
        <f t="shared" si="17"/>
        <v>fail</v>
      </c>
      <c r="Q38" s="1" t="str">
        <f t="shared" si="17"/>
        <v>pass</v>
      </c>
      <c r="S38" s="1" t="str">
        <f>IF(ISNA(S37),"OK","error")</f>
        <v>error</v>
      </c>
      <c r="T38" s="1" t="str">
        <f>IF(ISNA(T37),"OK","error")</f>
        <v>error</v>
      </c>
    </row>
    <row r="39" spans="2:20" ht="15.75" thickTop="1" x14ac:dyDescent="0.25"/>
    <row r="40" spans="2:20" ht="15.75" thickBot="1" x14ac:dyDescent="0.3">
      <c r="B40" s="39" t="s">
        <v>155</v>
      </c>
      <c r="L40" s="22" t="str">
        <f t="array" ref="L40">CHAR(MIN(IF(L31:L34&lt;&gt;"",CODE(UPPER(L31:L34)))))</f>
        <v>B</v>
      </c>
      <c r="M40" s="22" t="str">
        <f t="array" ref="M40">CHAR(MIN(IF(M31:M34&lt;&gt;"",CODE(UPPER(M31:M34)))))</f>
        <v>A</v>
      </c>
      <c r="N40" s="22" t="str">
        <f t="array" ref="N40">CHAR(MIN(IF(N31:N34&lt;&gt;"",CODE(UPPER(N31:N34)))))</f>
        <v>A</v>
      </c>
      <c r="O40" s="22" t="str">
        <f t="array" ref="O40">CHAR(MIN(IF(O31:O34&lt;&gt;"",CODE(UPPER(O31:O34)))))</f>
        <v>A</v>
      </c>
      <c r="P40" s="22" t="str">
        <f t="array" ref="P40">CHAR(MIN(IF(P31:P34&lt;&gt;"",CODE(UPPER(P31:P34)))))</f>
        <v xml:space="preserve"> </v>
      </c>
      <c r="Q40" s="22" t="str">
        <f t="array" ref="Q40">CHAR(MIN(IF(Q31:Q34&lt;&gt;"",CODE(UPPER(Q31:Q34)))))</f>
        <v xml:space="preserve"> </v>
      </c>
      <c r="S40" s="21" t="str">
        <f t="array" ref="S40">CHAR(MIN(IF(S31:S34&lt;&gt;"",CODE(UPPER(S31:S34)))))</f>
        <v>1</v>
      </c>
      <c r="T40" s="21" t="str">
        <f t="array" ref="T40">CHAR(MIN(IF(T31:T34&lt;&gt;"",CODE(UPPER(T31:T34)))))</f>
        <v>A</v>
      </c>
    </row>
    <row r="41" spans="2:20" ht="16.5" thickTop="1" thickBot="1" x14ac:dyDescent="0.3">
      <c r="L41" s="1" t="str">
        <f t="shared" ref="L41:Q41" si="18">IF(L$35=L40,"pass", "fail")</f>
        <v>pass</v>
      </c>
      <c r="M41" s="1" t="str">
        <f t="shared" si="18"/>
        <v>pass</v>
      </c>
      <c r="N41" s="1" t="str">
        <f t="shared" si="18"/>
        <v>pass</v>
      </c>
      <c r="O41" s="1" t="str">
        <f t="shared" si="18"/>
        <v>pass</v>
      </c>
      <c r="P41" s="1" t="str">
        <f t="shared" si="18"/>
        <v>fail</v>
      </c>
      <c r="Q41" s="1" t="str">
        <f t="shared" si="18"/>
        <v>pass</v>
      </c>
      <c r="S41" s="1" t="str">
        <f>IF(ISNA(S40),"OK","error")</f>
        <v>error</v>
      </c>
      <c r="T41" s="1" t="str">
        <f>IF(ISNA(T40),"OK","error")</f>
        <v>error</v>
      </c>
    </row>
    <row r="42" spans="2:20" ht="15.75" thickTop="1" x14ac:dyDescent="0.25"/>
    <row r="56" spans="12:19" x14ac:dyDescent="0.25">
      <c r="L56" s="17"/>
      <c r="M56" s="17"/>
      <c r="N56" s="17"/>
      <c r="O56" s="17"/>
      <c r="P56" s="17"/>
      <c r="Q56" s="17"/>
      <c r="R56" s="17"/>
      <c r="S56" s="17"/>
    </row>
  </sheetData>
  <mergeCells count="2">
    <mergeCell ref="L7:L12"/>
    <mergeCell ref="L15:L24"/>
  </mergeCells>
  <conditionalFormatting sqref="C5:J12 F37:H37 I38:J38">
    <cfRule type="expression" dxfId="96" priority="6">
      <formula>AND(C5&gt;9,ROW(C5)-ROW(C$5)=3)</formula>
    </cfRule>
    <cfRule type="expression" dxfId="95" priority="7">
      <formula>AND((C5&gt;8),ROW(C5)-ROW(C$5)&lt;3)</formula>
    </cfRule>
    <cfRule type="expression" dxfId="94" priority="8">
      <formula>AND(ROW(C5)-ROW($C$5)&gt;4,C5&gt;6)</formula>
    </cfRule>
    <cfRule type="expression" dxfId="93" priority="10">
      <formula>AND(C5&gt;6,ROW(C5)-ROW(C$5)&lt;5)</formula>
    </cfRule>
    <cfRule type="expression" dxfId="92" priority="11">
      <formula>ROW(C5)-ROW(C$5)=2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9"/>
  <sheetViews>
    <sheetView topLeftCell="C1" workbookViewId="0">
      <selection activeCell="O7" sqref="O7"/>
    </sheetView>
  </sheetViews>
  <sheetFormatPr defaultRowHeight="15" x14ac:dyDescent="0.25"/>
  <cols>
    <col min="1" max="1" width="14.5703125" bestFit="1" customWidth="1"/>
    <col min="2" max="2" width="20.5703125" customWidth="1"/>
    <col min="4" max="4" width="16.7109375" bestFit="1" customWidth="1"/>
    <col min="5" max="5" width="23.28515625" bestFit="1" customWidth="1"/>
    <col min="6" max="6" width="22.5703125" bestFit="1" customWidth="1"/>
    <col min="7" max="7" width="3.140625" customWidth="1"/>
    <col min="14" max="14" width="3.85546875" customWidth="1"/>
  </cols>
  <sheetData>
    <row r="1" spans="1:20" x14ac:dyDescent="0.25">
      <c r="A1" t="s">
        <v>43</v>
      </c>
      <c r="D1" t="s">
        <v>42</v>
      </c>
      <c r="I1" s="20" t="s">
        <v>75</v>
      </c>
      <c r="J1" s="20"/>
      <c r="K1" s="20"/>
      <c r="O1" s="20" t="s">
        <v>53</v>
      </c>
      <c r="P1" s="20"/>
      <c r="R1" s="23" t="s">
        <v>62</v>
      </c>
      <c r="S1" s="23"/>
      <c r="T1" s="23"/>
    </row>
    <row r="2" spans="1:20" x14ac:dyDescent="0.25">
      <c r="I2" s="17" t="s">
        <v>76</v>
      </c>
      <c r="O2" s="17" t="s">
        <v>77</v>
      </c>
      <c r="R2" s="17" t="s">
        <v>78</v>
      </c>
    </row>
    <row r="4" spans="1:20" ht="15.75" thickBot="1" x14ac:dyDescent="0.3">
      <c r="I4" s="17" t="s">
        <v>79</v>
      </c>
    </row>
    <row r="5" spans="1:20" ht="16.5" thickTop="1" thickBot="1" x14ac:dyDescent="0.3">
      <c r="A5" s="14" t="s">
        <v>41</v>
      </c>
      <c r="B5" s="15" t="s">
        <v>44</v>
      </c>
      <c r="D5" s="2" t="s">
        <v>41</v>
      </c>
      <c r="E5" s="2" t="s">
        <v>40</v>
      </c>
      <c r="F5" s="2" t="s">
        <v>150</v>
      </c>
      <c r="G5" s="2"/>
      <c r="I5" s="28" t="s">
        <v>45</v>
      </c>
      <c r="J5" s="28"/>
      <c r="K5" s="29" t="s">
        <v>47</v>
      </c>
      <c r="L5" s="30" t="s">
        <v>18</v>
      </c>
      <c r="O5" s="29" t="s">
        <v>47</v>
      </c>
      <c r="P5" s="1" t="s">
        <v>54</v>
      </c>
    </row>
    <row r="6" spans="1:20" ht="16.5" thickTop="1" thickBot="1" x14ac:dyDescent="0.3">
      <c r="A6" s="13" t="s">
        <v>0</v>
      </c>
      <c r="B6" s="2">
        <v>10</v>
      </c>
      <c r="D6" s="2" t="s">
        <v>0</v>
      </c>
      <c r="E6" s="2">
        <v>10</v>
      </c>
      <c r="F6" s="2">
        <v>10</v>
      </c>
      <c r="G6" s="2"/>
      <c r="I6" s="28" t="s">
        <v>8</v>
      </c>
      <c r="J6" s="28" t="s">
        <v>46</v>
      </c>
      <c r="K6" s="30"/>
      <c r="L6" s="30"/>
      <c r="R6" t="s">
        <v>61</v>
      </c>
      <c r="S6" t="s">
        <v>60</v>
      </c>
      <c r="T6" t="s">
        <v>63</v>
      </c>
    </row>
    <row r="7" spans="1:20" ht="15" customHeight="1" thickTop="1" thickBot="1" x14ac:dyDescent="0.3">
      <c r="A7" s="13" t="s">
        <v>1</v>
      </c>
      <c r="B7" s="2">
        <v>10</v>
      </c>
      <c r="D7" s="2" t="s">
        <v>1</v>
      </c>
      <c r="E7" s="2">
        <v>10</v>
      </c>
      <c r="F7" s="2">
        <v>10</v>
      </c>
      <c r="G7" s="2"/>
      <c r="H7" s="112" t="s">
        <v>57</v>
      </c>
      <c r="I7" s="6" t="s">
        <v>0</v>
      </c>
      <c r="J7" s="4">
        <v>1</v>
      </c>
      <c r="K7" s="7">
        <f>INDEX(ImpacttoCriticality[[Criticality Unspared]:[Criticality If Redundancy]],
                MATCH(I7,ImpacttoCriticality[Impact Level],0),
                IF(OR(J7="SPARED",J7="Y",J7="yes",J7),2,1))</f>
        <v>10</v>
      </c>
      <c r="L7" s="2">
        <v>10</v>
      </c>
      <c r="M7" s="1" t="str">
        <f>IF(L7=K7,"pass","fail")</f>
        <v>pass</v>
      </c>
      <c r="O7" s="7">
        <f>INDEX({10,10,10,10,8,6,4,2;10,10,10,9,7,5,3,1},
               IF(OR(J7="SPARED",J7="Y",J7="yes",J7),2,1),
               MATCH(I7,{"A","B","C","D","E","F","G","H"},0)
)</f>
        <v>10</v>
      </c>
      <c r="P7" s="1" t="str">
        <f>IF(O7=L7,"pass","fail")</f>
        <v>pass</v>
      </c>
      <c r="R7" s="7">
        <f>MATCH(I7,{"A","B","C","D","E","F","G","H"},0)</f>
        <v>1</v>
      </c>
      <c r="S7" s="7">
        <f t="shared" ref="S7:S20" si="0">IF(OR(J7="SPARED",J7="Y",J7="yes",J7),2,1)</f>
        <v>2</v>
      </c>
      <c r="T7" s="21">
        <f>INDEX({10,10,10,10,8,6,4,2;10,10,10,9,7,5,3,1},S7,R7)</f>
        <v>10</v>
      </c>
    </row>
    <row r="8" spans="1:20" ht="16.5" thickTop="1" thickBot="1" x14ac:dyDescent="0.3">
      <c r="A8" s="13" t="s">
        <v>2</v>
      </c>
      <c r="B8" s="2">
        <v>10</v>
      </c>
      <c r="D8" s="2" t="s">
        <v>2</v>
      </c>
      <c r="E8" s="2">
        <v>10</v>
      </c>
      <c r="F8" s="2">
        <v>10</v>
      </c>
      <c r="G8" s="2"/>
      <c r="H8" s="113"/>
      <c r="I8" s="6" t="s">
        <v>0</v>
      </c>
      <c r="J8" s="4" t="s">
        <v>48</v>
      </c>
      <c r="K8" s="7">
        <f>INDEX(ImpacttoCriticality[[Criticality Unspared]:[Criticality If Redundancy]],
                MATCH(I8,ImpacttoCriticality[Impact Level],0),
                IF(OR(J8="SPARED",J8="Y",J8="yes",J8),2,1))</f>
        <v>10</v>
      </c>
      <c r="L8" s="2">
        <v>10</v>
      </c>
      <c r="M8" s="1" t="str">
        <f t="shared" ref="M8:M20" si="1">IF(L8=K8,"pass","fail")</f>
        <v>pass</v>
      </c>
      <c r="O8" s="7">
        <f>INDEX({10,10,10,10,8,6,4,2;10,10,10,9,7,5,3,1},
               IF(OR(J8="SPARED",J8="Y",J8="yes",J8),2,1),
               MATCH(I8,{"A","B","C","D","E","F","G","H"},0)
)</f>
        <v>10</v>
      </c>
      <c r="P8" s="1" t="str">
        <f t="shared" ref="P8:P20" si="2">IF(O8=L8,"pass","fail")</f>
        <v>pass</v>
      </c>
      <c r="R8" s="7">
        <f>MATCH(I8,{"A","B","C","D","E","F","G","H"},0)</f>
        <v>1</v>
      </c>
      <c r="S8" s="7">
        <f t="shared" si="0"/>
        <v>2</v>
      </c>
      <c r="T8" s="21">
        <f>INDEX({10,10,10,10,8,6,4,2;10,10,10,9,7,5,3,1},S8,R8)</f>
        <v>10</v>
      </c>
    </row>
    <row r="9" spans="1:20" ht="16.5" thickTop="1" thickBot="1" x14ac:dyDescent="0.3">
      <c r="A9" s="13" t="s">
        <v>3</v>
      </c>
      <c r="B9" s="2">
        <v>10</v>
      </c>
      <c r="D9" s="2" t="s">
        <v>3</v>
      </c>
      <c r="E9" s="2">
        <v>10</v>
      </c>
      <c r="F9" s="2">
        <v>9</v>
      </c>
      <c r="G9" s="2"/>
      <c r="H9" s="113"/>
      <c r="I9" s="6" t="s">
        <v>0</v>
      </c>
      <c r="J9" s="4" t="s">
        <v>49</v>
      </c>
      <c r="K9" s="7">
        <f>INDEX(ImpacttoCriticality[[Criticality Unspared]:[Criticality If Redundancy]],
                MATCH(I9,ImpacttoCriticality[Impact Level],0),
                IF(OR(J9="SPARED",J9="Y",J9="yes",J9),2,1))</f>
        <v>10</v>
      </c>
      <c r="L9" s="2">
        <v>10</v>
      </c>
      <c r="M9" s="1" t="str">
        <f t="shared" si="1"/>
        <v>pass</v>
      </c>
      <c r="O9" s="7">
        <f>INDEX({10,10,10,10,8,6,4,2;10,10,10,9,7,5,3,1},
               IF(OR(J9="SPARED",J9="Y",J9="yes",J9),2,1),
               MATCH(I9,{"A","B","C","D","E","F","G","H"},0)
)</f>
        <v>10</v>
      </c>
      <c r="P9" s="1" t="str">
        <f t="shared" si="2"/>
        <v>pass</v>
      </c>
      <c r="R9" s="7">
        <f>MATCH(I9,{"A","B","C","D","E","F","G","H"},0)</f>
        <v>1</v>
      </c>
      <c r="S9" s="7">
        <f t="shared" si="0"/>
        <v>1</v>
      </c>
      <c r="T9" s="21">
        <f>INDEX({10,10,10,10,8,6,4,2;10,10,10,9,7,5,3,1},S9,R9)</f>
        <v>10</v>
      </c>
    </row>
    <row r="10" spans="1:20" ht="16.5" thickTop="1" thickBot="1" x14ac:dyDescent="0.3">
      <c r="A10" s="16" t="s">
        <v>3</v>
      </c>
      <c r="B10" s="2">
        <v>9</v>
      </c>
      <c r="D10" s="2" t="s">
        <v>4</v>
      </c>
      <c r="E10" s="2">
        <v>8</v>
      </c>
      <c r="F10" s="2">
        <v>7</v>
      </c>
      <c r="G10" s="2"/>
      <c r="H10" s="113"/>
      <c r="I10" s="6" t="s">
        <v>3</v>
      </c>
      <c r="J10" s="4"/>
      <c r="K10" s="7">
        <f>INDEX(ImpacttoCriticality[[Criticality Unspared]:[Criticality If Redundancy]],
                MATCH(I10,ImpacttoCriticality[Impact Level],0),
                IF(OR(J10="SPARED",J10="Y",J10="yes",J10),2,1))</f>
        <v>10</v>
      </c>
      <c r="L10" s="2">
        <v>10</v>
      </c>
      <c r="M10" s="1" t="str">
        <f t="shared" si="1"/>
        <v>pass</v>
      </c>
      <c r="O10" s="7">
        <f>INDEX({10,10,10,10,8,6,4,2;10,10,10,9,7,5,3,1},
               IF(OR(J10="SPARED",J10="Y",J10="yes",J10),2,1),
               MATCH(I10,{"A","B","C","D","E","F","G","H"},0)
)</f>
        <v>10</v>
      </c>
      <c r="P10" s="1" t="str">
        <f t="shared" si="2"/>
        <v>pass</v>
      </c>
      <c r="R10" s="7">
        <f>MATCH(I10,{"A","B","C","D","E","F","G","H"},0)</f>
        <v>4</v>
      </c>
      <c r="S10" s="7">
        <f t="shared" si="0"/>
        <v>1</v>
      </c>
      <c r="T10" s="21">
        <f>INDEX({10,10,10,10,8,6,4,2;10,10,10,9,7,5,3,1},S10,R10)</f>
        <v>10</v>
      </c>
    </row>
    <row r="11" spans="1:20" ht="16.5" thickTop="1" thickBot="1" x14ac:dyDescent="0.3">
      <c r="A11" s="13" t="s">
        <v>4</v>
      </c>
      <c r="B11" s="2">
        <v>8</v>
      </c>
      <c r="D11" s="2" t="s">
        <v>5</v>
      </c>
      <c r="E11" s="2">
        <v>6</v>
      </c>
      <c r="F11" s="2">
        <v>5</v>
      </c>
      <c r="G11" s="2"/>
      <c r="H11" s="113"/>
      <c r="I11" s="6" t="s">
        <v>3</v>
      </c>
      <c r="J11" s="4" t="s">
        <v>48</v>
      </c>
      <c r="K11" s="7">
        <f>INDEX(ImpacttoCriticality[[Criticality Unspared]:[Criticality If Redundancy]],
                MATCH(I11,ImpacttoCriticality[Impact Level],0),
                IF(OR(J11="SPARED",J11="Y",J11="yes",J11),2,1))</f>
        <v>9</v>
      </c>
      <c r="L11" s="2">
        <v>9</v>
      </c>
      <c r="M11" s="1" t="str">
        <f t="shared" si="1"/>
        <v>pass</v>
      </c>
      <c r="O11" s="7">
        <f>INDEX({10,10,10,10,8,6,4,2;10,10,10,9,7,5,3,1},
               IF(OR(J11="SPARED",J11="Y",J11="yes",J11),2,1),
               MATCH(I11,{"A","B","C","D","E","F","G","H"},0)
)</f>
        <v>9</v>
      </c>
      <c r="P11" s="1" t="str">
        <f t="shared" si="2"/>
        <v>pass</v>
      </c>
      <c r="R11" s="7">
        <f>MATCH(I11,{"A","B","C","D","E","F","G","H"},0)</f>
        <v>4</v>
      </c>
      <c r="S11" s="7">
        <f t="shared" si="0"/>
        <v>2</v>
      </c>
      <c r="T11" s="21">
        <f>INDEX({10,10,10,10,8,6,4,2;10,10,10,9,7,5,3,1},S11,R11)</f>
        <v>9</v>
      </c>
    </row>
    <row r="12" spans="1:20" ht="16.5" thickTop="1" thickBot="1" x14ac:dyDescent="0.3">
      <c r="A12" s="16" t="s">
        <v>4</v>
      </c>
      <c r="B12" s="2">
        <v>7</v>
      </c>
      <c r="D12" s="2" t="s">
        <v>6</v>
      </c>
      <c r="E12" s="2">
        <v>4</v>
      </c>
      <c r="F12" s="2">
        <v>3</v>
      </c>
      <c r="G12" s="2"/>
      <c r="H12" s="113"/>
      <c r="I12" s="6" t="s">
        <v>3</v>
      </c>
      <c r="J12" s="4" t="s">
        <v>59</v>
      </c>
      <c r="K12" s="7">
        <f>INDEX(ImpacttoCriticality[[Criticality Unspared]:[Criticality If Redundancy]],
                MATCH(I12,ImpacttoCriticality[Impact Level],0),
                IF(OR(J12="SPARED",J12="Y",J12="yes",J12),2,1))</f>
        <v>10</v>
      </c>
      <c r="L12" s="2">
        <v>10</v>
      </c>
      <c r="M12" s="1" t="str">
        <f t="shared" si="1"/>
        <v>pass</v>
      </c>
      <c r="O12" s="7">
        <f>INDEX({10,10,10,10,8,6,4,2;10,10,10,9,7,5,3,1},
               IF(OR(J12="SPARED",J12="Y",J12="yes",J12),2,1),
               MATCH(I12,{"A","B","C","D","E","F","G","H"},0)
)</f>
        <v>10</v>
      </c>
      <c r="P12" s="1" t="str">
        <f t="shared" si="2"/>
        <v>pass</v>
      </c>
      <c r="R12" s="7">
        <f>MATCH(I12,{"A","B","C","D","E","F","G","H"},0)</f>
        <v>4</v>
      </c>
      <c r="S12" s="7">
        <f t="shared" si="0"/>
        <v>1</v>
      </c>
      <c r="T12" s="21">
        <f>INDEX({10,10,10,10,8,6,4,2;10,10,10,9,7,5,3,1},S12,R12)</f>
        <v>10</v>
      </c>
    </row>
    <row r="13" spans="1:20" ht="16.5" thickTop="1" thickBot="1" x14ac:dyDescent="0.3">
      <c r="A13" s="13" t="s">
        <v>5</v>
      </c>
      <c r="B13" s="2">
        <v>6</v>
      </c>
      <c r="D13" s="2" t="s">
        <v>7</v>
      </c>
      <c r="E13" s="2">
        <v>2</v>
      </c>
      <c r="F13" s="2">
        <v>1</v>
      </c>
      <c r="G13" s="2"/>
      <c r="H13" s="113"/>
      <c r="I13" s="6" t="s">
        <v>5</v>
      </c>
      <c r="J13" s="4" t="str">
        <f>" "</f>
        <v xml:space="preserve"> </v>
      </c>
      <c r="K13" s="7">
        <f>INDEX(ImpacttoCriticality[[Criticality Unspared]:[Criticality If Redundancy]],
                MATCH(I13,ImpacttoCriticality[Impact Level],0),
                IF(OR(J13="SPARED",J13="Y",J13="yes",J13),2,1))</f>
        <v>6</v>
      </c>
      <c r="L13" s="2">
        <v>6</v>
      </c>
      <c r="M13" s="1" t="str">
        <f t="shared" si="1"/>
        <v>pass</v>
      </c>
      <c r="O13" s="7">
        <f>INDEX({10,10,10,10,8,6,4,2;10,10,10,9,7,5,3,1},
               IF(OR(J13="SPARED",J13="Y",J13="yes",J13),2,1),
               MATCH(I13,{"A","B","C","D","E","F","G","H"},0)
)</f>
        <v>6</v>
      </c>
      <c r="P13" s="1" t="str">
        <f t="shared" si="2"/>
        <v>pass</v>
      </c>
      <c r="R13" s="7">
        <f>MATCH(I13,{"A","B","C","D","E","F","G","H"},0)</f>
        <v>6</v>
      </c>
      <c r="S13" s="7">
        <f t="shared" si="0"/>
        <v>1</v>
      </c>
      <c r="T13" s="21">
        <f>INDEX({10,10,10,10,8,6,4,2;10,10,10,9,7,5,3,1},S13,R13)</f>
        <v>6</v>
      </c>
    </row>
    <row r="14" spans="1:20" ht="16.5" thickTop="1" thickBot="1" x14ac:dyDescent="0.3">
      <c r="A14" s="16" t="s">
        <v>5</v>
      </c>
      <c r="B14" s="2">
        <v>5</v>
      </c>
      <c r="H14" s="113"/>
      <c r="I14" s="6" t="s">
        <v>5</v>
      </c>
      <c r="J14" s="4" t="s">
        <v>50</v>
      </c>
      <c r="K14" s="7">
        <f>INDEX(ImpacttoCriticality[[Criticality Unspared]:[Criticality If Redundancy]],
                MATCH(I14,ImpacttoCriticality[Impact Level],0),
                IF(OR(J14="SPARED",J14="Y",J14="yes",J14),2,1))</f>
        <v>5</v>
      </c>
      <c r="L14" s="2">
        <v>5</v>
      </c>
      <c r="M14" s="1" t="str">
        <f t="shared" si="1"/>
        <v>pass</v>
      </c>
      <c r="O14" s="7">
        <f>INDEX({10,10,10,10,8,6,4,2;10,10,10,9,7,5,3,1},
               IF(OR(J14="SPARED",J14="Y",J14="yes",J14),2,1),
               MATCH(I14,{"A","B","C","D","E","F","G","H"},0)
)</f>
        <v>5</v>
      </c>
      <c r="P14" s="1" t="str">
        <f t="shared" si="2"/>
        <v>pass</v>
      </c>
      <c r="R14" s="7">
        <f>MATCH(I14,{"A","B","C","D","E","F","G","H"},0)</f>
        <v>6</v>
      </c>
      <c r="S14" s="7">
        <f t="shared" si="0"/>
        <v>2</v>
      </c>
      <c r="T14" s="21">
        <f>INDEX({10,10,10,10,8,6,4,2;10,10,10,9,7,5,3,1},S14,R14)</f>
        <v>5</v>
      </c>
    </row>
    <row r="15" spans="1:20" ht="16.5" thickTop="1" thickBot="1" x14ac:dyDescent="0.3">
      <c r="A15" s="13" t="s">
        <v>6</v>
      </c>
      <c r="B15" s="2">
        <v>4</v>
      </c>
      <c r="H15" s="113"/>
      <c r="I15" s="6" t="s">
        <v>5</v>
      </c>
      <c r="J15" s="4">
        <v>0</v>
      </c>
      <c r="K15" s="7">
        <f>INDEX(ImpacttoCriticality[[Criticality Unspared]:[Criticality If Redundancy]],
                MATCH(I15,ImpacttoCriticality[Impact Level],0),
                IF(OR(J15="SPARED",J15="Y",J15="yes",J15),2,1))</f>
        <v>6</v>
      </c>
      <c r="L15" s="2">
        <v>6</v>
      </c>
      <c r="M15" s="1" t="str">
        <f t="shared" si="1"/>
        <v>pass</v>
      </c>
      <c r="O15" s="7">
        <f>INDEX({10,10,10,10,8,6,4,2;10,10,10,9,7,5,3,1},
               IF(OR(J15="SPARED",J15="Y",J15="yes",J15),2,1),
               MATCH(I15,{"A","B","C","D","E","F","G","H"},0)
)</f>
        <v>6</v>
      </c>
      <c r="P15" s="1" t="str">
        <f t="shared" si="2"/>
        <v>pass</v>
      </c>
      <c r="R15" s="7">
        <f>MATCH(I15,{"A","B","C","D","E","F","G","H"},0)</f>
        <v>6</v>
      </c>
      <c r="S15" s="7">
        <f t="shared" si="0"/>
        <v>1</v>
      </c>
      <c r="T15" s="21">
        <f>INDEX({10,10,10,10,8,6,4,2;10,10,10,9,7,5,3,1},S15,R15)</f>
        <v>6</v>
      </c>
    </row>
    <row r="16" spans="1:20" ht="16.5" thickTop="1" thickBot="1" x14ac:dyDescent="0.3">
      <c r="A16" s="16" t="s">
        <v>6</v>
      </c>
      <c r="B16" s="2">
        <v>3</v>
      </c>
      <c r="H16" s="113"/>
      <c r="I16" s="6" t="s">
        <v>5</v>
      </c>
      <c r="J16" s="4">
        <v>1</v>
      </c>
      <c r="K16" s="7">
        <f>INDEX(ImpacttoCriticality[[Criticality Unspared]:[Criticality If Redundancy]],
                MATCH(I16,ImpacttoCriticality[Impact Level],0),
                IF(OR(J16="SPARED",J16="Y",J16="yes",J16),2,1))</f>
        <v>5</v>
      </c>
      <c r="L16" s="2">
        <v>5</v>
      </c>
      <c r="M16" s="1" t="str">
        <f>IF(L16=K16,"pass","fail")</f>
        <v>pass</v>
      </c>
      <c r="O16" s="7">
        <f>INDEX({10,10,10,10,8,6,4,2;10,10,10,9,7,5,3,1},
               IF(OR(J16="SPARED",J16="Y",J16="yes",J16),2,1),
               MATCH(I16,{"A","B","C","D","E","F","G","H"},0)
)</f>
        <v>5</v>
      </c>
      <c r="P16" s="1" t="str">
        <f t="shared" si="2"/>
        <v>pass</v>
      </c>
      <c r="R16" s="7">
        <f>MATCH(I16,{"A","B","C","D","E","F","G","H"},0)</f>
        <v>6</v>
      </c>
      <c r="S16" s="7">
        <f t="shared" si="0"/>
        <v>2</v>
      </c>
      <c r="T16" s="21">
        <f>INDEX({10,10,10,10,8,6,4,2;10,10,10,9,7,5,3,1},S16,R16)</f>
        <v>5</v>
      </c>
    </row>
    <row r="17" spans="1:20" ht="16.5" thickTop="1" thickBot="1" x14ac:dyDescent="0.3">
      <c r="A17" s="13" t="s">
        <v>7</v>
      </c>
      <c r="B17" s="2">
        <v>2</v>
      </c>
      <c r="H17" s="113"/>
      <c r="I17" s="6" t="s">
        <v>5</v>
      </c>
      <c r="J17" s="4" t="b">
        <v>1</v>
      </c>
      <c r="K17" s="7">
        <f>INDEX(ImpacttoCriticality[[Criticality Unspared]:[Criticality If Redundancy]],
                MATCH(I17,ImpacttoCriticality[Impact Level],0),
                IF(OR(J17="SPARED",J17="Y",J17="yes",J17),2,1))</f>
        <v>5</v>
      </c>
      <c r="L17" s="2">
        <v>5</v>
      </c>
      <c r="M17" s="1" t="str">
        <f>IF(L17=K17,"pass","fail")</f>
        <v>pass</v>
      </c>
      <c r="O17" s="7">
        <f>INDEX({10,10,10,10,8,6,4,2;10,10,10,9,7,5,3,1},
               IF(OR(J17="SPARED",J17="Y",J17="yes",J17),2,1),
               MATCH(I17,{"A","B","C","D","E","F","G","H"},0)
)</f>
        <v>5</v>
      </c>
      <c r="P17" s="1" t="str">
        <f t="shared" si="2"/>
        <v>pass</v>
      </c>
      <c r="R17" s="7">
        <f>MATCH(I17,{"A","B","C","D","E","F","G","H"},0)</f>
        <v>6</v>
      </c>
      <c r="S17" s="7">
        <f t="shared" si="0"/>
        <v>2</v>
      </c>
      <c r="T17" s="21">
        <f>INDEX({10,10,10,10,8,6,4,2;10,10,10,9,7,5,3,1},S17,R17)</f>
        <v>5</v>
      </c>
    </row>
    <row r="18" spans="1:20" ht="16.5" thickTop="1" thickBot="1" x14ac:dyDescent="0.3">
      <c r="A18" s="13" t="s">
        <v>7</v>
      </c>
      <c r="B18" s="2">
        <v>1</v>
      </c>
      <c r="H18" s="113"/>
      <c r="I18" s="6" t="s">
        <v>58</v>
      </c>
      <c r="J18" s="4"/>
      <c r="K18" s="7">
        <f>INDEX(ImpacttoCriticality[[Criticality Unspared]:[Criticality If Redundancy]],
                MATCH(I18,ImpacttoCriticality[Impact Level],0),
                IF(OR(J18="SPARED",J18="Y",J18="yes",J18),2,1))</f>
        <v>6</v>
      </c>
      <c r="L18" s="2">
        <v>6</v>
      </c>
      <c r="M18" s="1" t="str">
        <f>IF(L18=K18,"pass","fail")</f>
        <v>pass</v>
      </c>
      <c r="O18" s="7">
        <f>INDEX({10,10,10,10,8,6,4,2;10,10,10,9,7,5,3,1},
               IF(OR(J18="SPARED",J18="Y",J18="yes",J18),2,1),
               MATCH(I18,{"A","B","C","D","E","F","G","H"},0)
)</f>
        <v>6</v>
      </c>
      <c r="P18" s="1" t="str">
        <f t="shared" si="2"/>
        <v>pass</v>
      </c>
      <c r="R18" s="7">
        <f>MATCH(I18,{"A","B","C","D","E","F","G","H"},0)</f>
        <v>6</v>
      </c>
      <c r="S18" s="7">
        <f t="shared" si="0"/>
        <v>1</v>
      </c>
      <c r="T18" s="21">
        <f>INDEX({10,10,10,10,8,6,4,2;10,10,10,9,7,5,3,1},S18,R18)</f>
        <v>6</v>
      </c>
    </row>
    <row r="19" spans="1:20" ht="16.5" thickTop="1" thickBot="1" x14ac:dyDescent="0.3">
      <c r="H19" s="113"/>
      <c r="I19" s="6" t="s">
        <v>7</v>
      </c>
      <c r="J19" s="4" t="s">
        <v>50</v>
      </c>
      <c r="K19" s="7">
        <f>INDEX(ImpacttoCriticality[[Criticality Unspared]:[Criticality If Redundancy]],
                MATCH(I19,ImpacttoCriticality[Impact Level],0),
                IF(OR(J19="SPARED",J19="Y",J19="yes",J19),2,1))</f>
        <v>1</v>
      </c>
      <c r="L19" s="2">
        <v>1</v>
      </c>
      <c r="M19" s="1" t="str">
        <f t="shared" si="1"/>
        <v>pass</v>
      </c>
      <c r="O19" s="7">
        <f>INDEX({10,10,10,10,8,6,4,2;10,10,10,9,7,5,3,1},
               IF(OR(J19="SPARED",J19="Y",J19="yes",J19),2,1),
               MATCH(I19,{"A","B","C","D","E","F","G","H"},0)
)</f>
        <v>1</v>
      </c>
      <c r="P19" s="1" t="str">
        <f t="shared" si="2"/>
        <v>pass</v>
      </c>
      <c r="R19" s="7">
        <f>MATCH(I19,{"A","B","C","D","E","F","G","H"},0)</f>
        <v>8</v>
      </c>
      <c r="S19" s="7">
        <f t="shared" si="0"/>
        <v>2</v>
      </c>
      <c r="T19" s="21">
        <f>INDEX({10,10,10,10,8,6,4,2;10,10,10,9,7,5,3,1},S19,R19)</f>
        <v>1</v>
      </c>
    </row>
    <row r="20" spans="1:20" ht="16.5" thickTop="1" thickBot="1" x14ac:dyDescent="0.3">
      <c r="H20" s="114"/>
      <c r="I20" s="6" t="s">
        <v>7</v>
      </c>
      <c r="J20" s="4" t="b">
        <v>0</v>
      </c>
      <c r="K20" s="7">
        <f>INDEX(ImpacttoCriticality[[Criticality Unspared]:[Criticality If Redundancy]],
                MATCH(I20,ImpacttoCriticality[Impact Level],0),
                IF(OR(J20="SPARED",J20="Y",J20="yes",J20),2,1))</f>
        <v>2</v>
      </c>
      <c r="L20" s="2">
        <v>2</v>
      </c>
      <c r="M20" s="1" t="str">
        <f t="shared" si="1"/>
        <v>pass</v>
      </c>
      <c r="O20" s="7">
        <f>INDEX({10,10,10,10,8,6,4,2;10,10,10,9,7,5,3,1},
               IF(OR(J20="SPARED",J20="Y",J20="yes",J20),2,1),
               MATCH(I20,{"A","B","C","D","E","F","G","H"},0)
)</f>
        <v>2</v>
      </c>
      <c r="P20" s="1" t="str">
        <f t="shared" si="2"/>
        <v>pass</v>
      </c>
      <c r="R20" s="7">
        <f>MATCH(I20,{"A","B","C","D","E","F","G","H"},0)</f>
        <v>8</v>
      </c>
      <c r="S20" s="7">
        <f t="shared" si="0"/>
        <v>1</v>
      </c>
      <c r="T20" s="21">
        <f>INDEX({10,10,10,10,8,6,4,2;10,10,10,9,7,5,3,1},S20,R20)</f>
        <v>2</v>
      </c>
    </row>
    <row r="21" spans="1:20" ht="16.5" thickTop="1" thickBot="1" x14ac:dyDescent="0.3"/>
    <row r="22" spans="1:20" ht="15" customHeight="1" thickTop="1" thickBot="1" x14ac:dyDescent="0.3">
      <c r="H22" s="111" t="s">
        <v>51</v>
      </c>
      <c r="I22" s="6" t="s">
        <v>25</v>
      </c>
      <c r="J22" s="4">
        <v>2</v>
      </c>
      <c r="K22" s="7" t="e">
        <f>INDEX(ImpacttoCriticality[[Criticality Unspared]:[Criticality If Redundancy]],
                MATCH(I22,ImpacttoCriticality[Impact Level],0),
                IF(OR(J22="SPARED",J22="Y",J22="yes",J22),2,1))</f>
        <v>#N/A</v>
      </c>
      <c r="L22" s="2" t="e">
        <v>#N/A</v>
      </c>
      <c r="M22" s="1" t="str">
        <f t="shared" ref="M22:M28" si="3">IF(ISNA(K22),"pass","fail")</f>
        <v>pass</v>
      </c>
      <c r="O22" s="7" t="e">
        <f>INDEX({10,10,10,10,8,6,4,2;10,10,10,9,7,5,3,1},
               IF(OR(J22="SPARED",J22="Y",J22="yes",J22),2,1),
               MATCH(I22,{"A","B","C","D","E","F","G","H"},0)
)</f>
        <v>#N/A</v>
      </c>
      <c r="P22" s="1" t="str">
        <f>IF(ISNA(L22),"pass","fail")</f>
        <v>pass</v>
      </c>
      <c r="R22" s="7" t="e">
        <f>MATCH(I22,{"A","B","C","D","E","F","G","H"},0)</f>
        <v>#N/A</v>
      </c>
      <c r="S22" s="7">
        <f t="shared" ref="S22:S28" si="4">IF(OR(J22="SPARED",J22="Y",J22="yes",J22),2,1)</f>
        <v>2</v>
      </c>
      <c r="T22" s="21" t="e">
        <f>INDEX({10,10,10,10,8,6,4,2;10,10,10,9,7,5,3,1},S22,R22)</f>
        <v>#N/A</v>
      </c>
    </row>
    <row r="23" spans="1:20" ht="16.5" thickTop="1" thickBot="1" x14ac:dyDescent="0.3">
      <c r="H23" s="111"/>
      <c r="I23" s="6" t="s">
        <v>25</v>
      </c>
      <c r="J23" s="4"/>
      <c r="K23" s="7" t="e">
        <f>INDEX(ImpacttoCriticality[[Criticality Unspared]:[Criticality If Redundancy]],
                MATCH(I23,ImpacttoCriticality[Impact Level],0),
                IF(OR(J23="SPARED",J23="Y",J23="yes",J23),2,1))</f>
        <v>#N/A</v>
      </c>
      <c r="L23" s="2" t="e">
        <v>#N/A</v>
      </c>
      <c r="M23" s="1" t="str">
        <f t="shared" si="3"/>
        <v>pass</v>
      </c>
      <c r="O23" s="7" t="e">
        <f>INDEX({10,10,10,10,8,6,4,2;10,10,10,9,7,5,3,1},
               IF(OR(J23="SPARED",J23="Y",J23="yes",J23),2,1),
               MATCH(I23,{"A","B","C","D","E","F","G","H"},0)
)</f>
        <v>#N/A</v>
      </c>
      <c r="P23" s="1" t="str">
        <f t="shared" ref="P23:P28" si="5">IF(ISNA(L23),"pass","fail")</f>
        <v>pass</v>
      </c>
      <c r="R23" s="7" t="e">
        <f>MATCH(I23,{"A","B","C","D","E","F","G","H"},0)</f>
        <v>#N/A</v>
      </c>
      <c r="S23" s="7">
        <f t="shared" si="4"/>
        <v>1</v>
      </c>
      <c r="T23" s="21" t="e">
        <f>INDEX({10,10,10,10,8,6,4,2;10,10,10,9,7,5,3,1},S23,R23)</f>
        <v>#N/A</v>
      </c>
    </row>
    <row r="24" spans="1:20" ht="16.5" thickTop="1" thickBot="1" x14ac:dyDescent="0.3">
      <c r="H24" s="111"/>
      <c r="I24" s="6" t="s">
        <v>25</v>
      </c>
      <c r="J24" s="4">
        <v>1</v>
      </c>
      <c r="K24" s="7" t="e">
        <f>INDEX(ImpacttoCriticality[[Criticality Unspared]:[Criticality If Redundancy]],
                MATCH(I24,ImpacttoCriticality[Impact Level],0),
                IF(OR(J24="SPARED",J24="Y",J24="yes",J24),2,1))</f>
        <v>#N/A</v>
      </c>
      <c r="L24" s="2" t="e">
        <v>#N/A</v>
      </c>
      <c r="M24" s="1" t="str">
        <f t="shared" si="3"/>
        <v>pass</v>
      </c>
      <c r="O24" s="7" t="e">
        <f>INDEX({10,10,10,10,8,6,4,2;10,10,10,9,7,5,3,1},
               IF(OR(J24="SPARED",J24="Y",J24="yes",J24),2,1),
               MATCH(I24,{"A","B","C","D","E","F","G","H"},0)
)</f>
        <v>#N/A</v>
      </c>
      <c r="P24" s="1" t="str">
        <f t="shared" si="5"/>
        <v>pass</v>
      </c>
      <c r="R24" s="7" t="e">
        <f>MATCH(I24,{"A","B","C","D","E","F","G","H"},0)</f>
        <v>#N/A</v>
      </c>
      <c r="S24" s="7">
        <f t="shared" si="4"/>
        <v>2</v>
      </c>
      <c r="T24" s="21" t="e">
        <f>INDEX({10,10,10,10,8,6,4,2;10,10,10,9,7,5,3,1},S24,R24)</f>
        <v>#N/A</v>
      </c>
    </row>
    <row r="25" spans="1:20" ht="16.5" thickTop="1" thickBot="1" x14ac:dyDescent="0.3">
      <c r="H25" s="111"/>
      <c r="I25" s="6" t="s">
        <v>55</v>
      </c>
      <c r="J25" s="4">
        <v>1</v>
      </c>
      <c r="K25" s="7" t="e">
        <f>INDEX(ImpacttoCriticality[[Criticality Unspared]:[Criticality If Redundancy]],
                MATCH(I25,ImpacttoCriticality[Impact Level],0),
                IF(OR(J25="SPARED",J25="Y",J25="yes",J25),2,1))</f>
        <v>#N/A</v>
      </c>
      <c r="L25" s="2" t="e">
        <v>#N/A</v>
      </c>
      <c r="M25" s="1" t="str">
        <f t="shared" si="3"/>
        <v>pass</v>
      </c>
      <c r="O25" s="7" t="e">
        <f>INDEX({10,10,10,10,8,6,4,2;10,10,10,9,7,5,3,1},
               IF(OR(J25="SPARED",J25="Y",J25="yes",J25),2,1),
               MATCH(I25,{"A","B","C","D","E","F","G","H"},0)
)</f>
        <v>#N/A</v>
      </c>
      <c r="P25" s="1" t="str">
        <f t="shared" si="5"/>
        <v>pass</v>
      </c>
      <c r="R25" s="7" t="e">
        <f>MATCH(I25,{"A","B","C","D","E","F","G","H"},0)</f>
        <v>#N/A</v>
      </c>
      <c r="S25" s="7">
        <f t="shared" si="4"/>
        <v>2</v>
      </c>
      <c r="T25" s="21" t="e">
        <f>INDEX({10,10,10,10,8,6,4,2;10,10,10,9,7,5,3,1},S25,R25)</f>
        <v>#N/A</v>
      </c>
    </row>
    <row r="26" spans="1:20" ht="16.5" thickTop="1" thickBot="1" x14ac:dyDescent="0.3">
      <c r="H26" s="111"/>
      <c r="I26" s="6" t="s">
        <v>56</v>
      </c>
      <c r="J26" s="4">
        <v>1</v>
      </c>
      <c r="K26" s="7" t="e">
        <f>INDEX(ImpacttoCriticality[[Criticality Unspared]:[Criticality If Redundancy]],
                MATCH(I26,ImpacttoCriticality[Impact Level],0),
                IF(OR(J26="SPARED",J26="Y",J26="yes",J26),2,1))</f>
        <v>#N/A</v>
      </c>
      <c r="L26" s="2" t="e">
        <v>#N/A</v>
      </c>
      <c r="M26" s="1" t="str">
        <f t="shared" si="3"/>
        <v>pass</v>
      </c>
      <c r="O26" s="7" t="e">
        <f>INDEX({10,10,10,10,8,6,4,2;10,10,10,9,7,5,3,1},
               IF(OR(J26="SPARED",J26="Y",J26="yes",J26),2,1),
               MATCH(I26,{"A","B","C","D","E","F","G","H"},0)
)</f>
        <v>#N/A</v>
      </c>
      <c r="P26" s="1" t="str">
        <f t="shared" si="5"/>
        <v>pass</v>
      </c>
      <c r="R26" s="7" t="e">
        <f>MATCH(I26,{"A","B","C","D","E","F","G","H"},0)</f>
        <v>#N/A</v>
      </c>
      <c r="S26" s="7">
        <f t="shared" si="4"/>
        <v>2</v>
      </c>
      <c r="T26" s="21" t="e">
        <f>INDEX({10,10,10,10,8,6,4,2;10,10,10,9,7,5,3,1},S26,R26)</f>
        <v>#N/A</v>
      </c>
    </row>
    <row r="27" spans="1:20" ht="16.5" thickTop="1" thickBot="1" x14ac:dyDescent="0.3">
      <c r="H27" s="111"/>
      <c r="I27" s="6">
        <v>1</v>
      </c>
      <c r="J27" s="4"/>
      <c r="K27" s="7" t="e">
        <f>INDEX(ImpacttoCriticality[[Criticality Unspared]:[Criticality If Redundancy]],
                MATCH(I27,ImpacttoCriticality[Impact Level],0),
                IF(OR(J27="SPARED",J27="Y",J27="yes",J27),2,1))</f>
        <v>#N/A</v>
      </c>
      <c r="L27" s="2" t="e">
        <v>#N/A</v>
      </c>
      <c r="M27" s="1" t="str">
        <f t="shared" si="3"/>
        <v>pass</v>
      </c>
      <c r="O27" s="7" t="e">
        <f>INDEX({10,10,10,10,8,6,4,2;10,10,10,9,7,5,3,1},
               IF(OR(J27="SPARED",J27="Y",J27="yes",J27),2,1),
               MATCH(I27,{"A","B","C","D","E","F","G","H"},0)
)</f>
        <v>#N/A</v>
      </c>
      <c r="P27" s="1" t="str">
        <f t="shared" si="5"/>
        <v>pass</v>
      </c>
      <c r="R27" s="7" t="e">
        <f>MATCH(I27,{"A","B","C","D","E","F","G","H"},0)</f>
        <v>#N/A</v>
      </c>
      <c r="S27" s="7">
        <f t="shared" si="4"/>
        <v>1</v>
      </c>
      <c r="T27" s="21" t="e">
        <f>INDEX({10,10,10,10,8,6,4,2;10,10,10,9,7,5,3,1},S27,R27)</f>
        <v>#N/A</v>
      </c>
    </row>
    <row r="28" spans="1:20" ht="16.5" thickTop="1" thickBot="1" x14ac:dyDescent="0.3">
      <c r="H28" s="111"/>
      <c r="I28" s="6" t="str">
        <f>" "</f>
        <v xml:space="preserve"> </v>
      </c>
      <c r="J28" s="4" t="s">
        <v>50</v>
      </c>
      <c r="K28" s="7" t="e">
        <f>INDEX(ImpacttoCriticality[[Criticality Unspared]:[Criticality If Redundancy]],
                MATCH(I28,ImpacttoCriticality[Impact Level],0),
                IF(OR(J28="SPARED",J28="Y",J28="yes",J28),2,1))</f>
        <v>#N/A</v>
      </c>
      <c r="L28" s="2" t="e">
        <v>#N/A</v>
      </c>
      <c r="M28" s="1" t="str">
        <f t="shared" si="3"/>
        <v>pass</v>
      </c>
      <c r="O28" s="7" t="e">
        <f>INDEX({10,10,10,10,8,6,4,2;10,10,10,9,7,5,3,1},
               IF(OR(J28="SPARED",J28="Y",J28="yes",J28),2,1),
               MATCH(I28,{"A","B","C","D","E","F","G","H"},0)
)</f>
        <v>#N/A</v>
      </c>
      <c r="P28" s="1" t="str">
        <f t="shared" si="5"/>
        <v>pass</v>
      </c>
      <c r="R28" s="7" t="e">
        <f>MATCH(I28,{"A","B","C","D","E","F","G","H"},0)</f>
        <v>#N/A</v>
      </c>
      <c r="S28" s="7">
        <f t="shared" si="4"/>
        <v>2</v>
      </c>
      <c r="T28" s="21" t="e">
        <f>INDEX({10,10,10,10,8,6,4,2;10,10,10,9,7,5,3,1},S28,R28)</f>
        <v>#N/A</v>
      </c>
    </row>
    <row r="29" spans="1:20" ht="15.75" thickTop="1" x14ac:dyDescent="0.25"/>
  </sheetData>
  <mergeCells count="2">
    <mergeCell ref="H7:H20"/>
    <mergeCell ref="H22:H28"/>
  </mergeCell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R23"/>
  <sheetViews>
    <sheetView workbookViewId="0">
      <selection activeCell="M31" sqref="M31"/>
    </sheetView>
  </sheetViews>
  <sheetFormatPr defaultRowHeight="15" x14ac:dyDescent="0.25"/>
  <cols>
    <col min="2" max="2" width="17.5703125" customWidth="1"/>
    <col min="3" max="3" width="16.7109375" customWidth="1"/>
    <col min="5" max="5" width="17.5703125" customWidth="1"/>
    <col min="6" max="6" width="16.7109375" customWidth="1"/>
    <col min="7" max="7" width="5.5703125" customWidth="1"/>
  </cols>
  <sheetData>
    <row r="1" spans="2:18" x14ac:dyDescent="0.25">
      <c r="I1" s="20" t="s">
        <v>52</v>
      </c>
      <c r="J1" s="20"/>
      <c r="K1" s="20"/>
      <c r="L1" s="20"/>
      <c r="N1" s="19" t="s">
        <v>74</v>
      </c>
      <c r="O1" s="19"/>
      <c r="Q1" s="20" t="s">
        <v>74</v>
      </c>
    </row>
    <row r="2" spans="2:18" x14ac:dyDescent="0.25">
      <c r="I2" s="17" t="s">
        <v>76</v>
      </c>
      <c r="N2" s="17" t="s">
        <v>77</v>
      </c>
      <c r="Q2" s="17" t="s">
        <v>77</v>
      </c>
    </row>
    <row r="4" spans="2:18" x14ac:dyDescent="0.25">
      <c r="I4" s="17" t="s">
        <v>79</v>
      </c>
    </row>
    <row r="5" spans="2:18" x14ac:dyDescent="0.25">
      <c r="I5" t="s">
        <v>45</v>
      </c>
    </row>
    <row r="6" spans="2:18" ht="15.75" thickBot="1" x14ac:dyDescent="0.3">
      <c r="B6" t="s">
        <v>64</v>
      </c>
      <c r="C6" t="s">
        <v>65</v>
      </c>
      <c r="E6" s="32" t="s">
        <v>64</v>
      </c>
      <c r="F6" s="27" t="s">
        <v>65</v>
      </c>
      <c r="I6" t="s">
        <v>73</v>
      </c>
      <c r="J6" t="s">
        <v>47</v>
      </c>
      <c r="K6" t="s">
        <v>18</v>
      </c>
    </row>
    <row r="7" spans="2:18" ht="16.5" customHeight="1" thickTop="1" thickBot="1" x14ac:dyDescent="0.3">
      <c r="B7" s="2" t="s">
        <v>66</v>
      </c>
      <c r="C7" s="24" t="s">
        <v>69</v>
      </c>
      <c r="E7" s="2">
        <v>10</v>
      </c>
      <c r="F7" s="2" t="s">
        <v>69</v>
      </c>
      <c r="H7" s="115" t="s">
        <v>57</v>
      </c>
      <c r="I7" s="6">
        <v>10</v>
      </c>
      <c r="J7" s="7" t="str">
        <f>INDEX(CriticalityRatingToLevel[],
                MATCH(I7,CriticalityRatingToLevel[Criticality Rating],0),
                2)</f>
        <v>High</v>
      </c>
      <c r="K7" s="2" t="s">
        <v>69</v>
      </c>
      <c r="L7" s="1" t="str">
        <f t="shared" ref="L7:L12" si="0">IF(K7=J7,"pass","fail")</f>
        <v>pass</v>
      </c>
      <c r="N7" s="22" t="str">
        <f>INDEX({"Low","Low,","Low","Medium","Medium","Medium","Medium","High","High","High"},I7)</f>
        <v>High</v>
      </c>
      <c r="O7" s="1" t="str">
        <f t="shared" ref="O7:O12" si="1">IF(N7=K7,"pass","fail")</f>
        <v>pass</v>
      </c>
      <c r="Q7" s="22" t="str">
        <f>HLOOKUP(I7,{1,2,3,4,5,6,7,8,9,10;"Low","Low,","Low","Medium","Medium","Medium","Medium","High","High","High"},2,FALSE)</f>
        <v>High</v>
      </c>
      <c r="R7" s="1" t="str">
        <f t="shared" ref="R7:R12" si="2">IF(Q7=N7,"pass","fail")</f>
        <v>pass</v>
      </c>
    </row>
    <row r="8" spans="2:18" ht="16.5" thickTop="1" thickBot="1" x14ac:dyDescent="0.3">
      <c r="B8" s="2" t="s">
        <v>67</v>
      </c>
      <c r="C8" s="25" t="s">
        <v>70</v>
      </c>
      <c r="E8" s="2">
        <v>9</v>
      </c>
      <c r="F8" s="2" t="s">
        <v>69</v>
      </c>
      <c r="H8" s="115"/>
      <c r="I8" s="6">
        <v>8</v>
      </c>
      <c r="J8" s="7" t="str">
        <f>INDEX(CriticalityRatingToLevel[],
                MATCH(I8,CriticalityRatingToLevel[Criticality Rating],0),
                2)</f>
        <v>High</v>
      </c>
      <c r="K8" s="2" t="s">
        <v>69</v>
      </c>
      <c r="L8" s="1" t="str">
        <f t="shared" si="0"/>
        <v>pass</v>
      </c>
      <c r="N8" s="22" t="str">
        <f>INDEX({"Low","Low,","Low","Medium","Medium","Medium","Medium","High","High","High"},I8)</f>
        <v>High</v>
      </c>
      <c r="O8" s="1" t="str">
        <f t="shared" si="1"/>
        <v>pass</v>
      </c>
      <c r="Q8" s="22" t="str">
        <f>HLOOKUP(I8,{1,2,3,4,5,6,7,8,9,10;"Low","Low,","Low","Medium","Medium","Medium","Medium","High","High","High"},2,FALSE)</f>
        <v>High</v>
      </c>
      <c r="R8" s="1" t="str">
        <f t="shared" si="2"/>
        <v>pass</v>
      </c>
    </row>
    <row r="9" spans="2:18" ht="16.5" thickTop="1" thickBot="1" x14ac:dyDescent="0.3">
      <c r="B9" s="2" t="s">
        <v>68</v>
      </c>
      <c r="C9" s="26" t="s">
        <v>71</v>
      </c>
      <c r="E9" s="2">
        <v>8</v>
      </c>
      <c r="F9" s="2" t="s">
        <v>69</v>
      </c>
      <c r="H9" s="115"/>
      <c r="I9" s="6">
        <v>7</v>
      </c>
      <c r="J9" s="7" t="str">
        <f>INDEX(CriticalityRatingToLevel[],
                MATCH(I9,CriticalityRatingToLevel[Criticality Rating],0),
                2)</f>
        <v>Medium</v>
      </c>
      <c r="K9" s="2" t="s">
        <v>70</v>
      </c>
      <c r="L9" s="1" t="str">
        <f t="shared" si="0"/>
        <v>pass</v>
      </c>
      <c r="N9" s="22" t="str">
        <f>INDEX({"Low","Low,","Low","Medium","Medium","Medium","Medium","High","High","High"},I9)</f>
        <v>Medium</v>
      </c>
      <c r="O9" s="1" t="str">
        <f t="shared" si="1"/>
        <v>pass</v>
      </c>
      <c r="Q9" s="22" t="str">
        <f>HLOOKUP(I9,{1,2,3,4,5,6,7,8,9,10;"Low","Low,","Low","Medium","Medium","Medium","Medium","High","High","High"},2,FALSE)</f>
        <v>Medium</v>
      </c>
      <c r="R9" s="1" t="str">
        <f t="shared" si="2"/>
        <v>pass</v>
      </c>
    </row>
    <row r="10" spans="2:18" ht="16.5" thickTop="1" thickBot="1" x14ac:dyDescent="0.3">
      <c r="E10" s="2">
        <v>7</v>
      </c>
      <c r="F10" s="2" t="s">
        <v>70</v>
      </c>
      <c r="H10" s="115"/>
      <c r="I10" s="6">
        <v>4</v>
      </c>
      <c r="J10" s="7" t="str">
        <f>INDEX(CriticalityRatingToLevel[],
                MATCH(I10,CriticalityRatingToLevel[Criticality Rating],0),
                2)</f>
        <v>Medium</v>
      </c>
      <c r="K10" s="2" t="s">
        <v>70</v>
      </c>
      <c r="L10" s="1" t="str">
        <f t="shared" si="0"/>
        <v>pass</v>
      </c>
      <c r="N10" s="22" t="str">
        <f>INDEX({"Low","Low,","Low","Medium","Medium","Medium","Medium","High","High","High"},I10)</f>
        <v>Medium</v>
      </c>
      <c r="O10" s="1" t="str">
        <f t="shared" si="1"/>
        <v>pass</v>
      </c>
      <c r="Q10" s="22" t="str">
        <f>HLOOKUP(I10,{1,2,3,4,5,6,7,8,9,10;"Low","Low,","Low","Medium","Medium","Medium","Medium","High","High","High"},2,FALSE)</f>
        <v>Medium</v>
      </c>
      <c r="R10" s="1" t="str">
        <f t="shared" si="2"/>
        <v>pass</v>
      </c>
    </row>
    <row r="11" spans="2:18" ht="16.5" thickTop="1" thickBot="1" x14ac:dyDescent="0.3">
      <c r="E11" s="2">
        <v>6</v>
      </c>
      <c r="F11" s="2" t="s">
        <v>70</v>
      </c>
      <c r="H11" s="115"/>
      <c r="I11" s="6">
        <v>3</v>
      </c>
      <c r="J11" s="7" t="str">
        <f>INDEX(CriticalityRatingToLevel[],
                MATCH(I11,CriticalityRatingToLevel[Criticality Rating],0),
                2)</f>
        <v>Low</v>
      </c>
      <c r="K11" s="2" t="s">
        <v>71</v>
      </c>
      <c r="L11" s="1" t="str">
        <f t="shared" si="0"/>
        <v>pass</v>
      </c>
      <c r="N11" s="22" t="str">
        <f>INDEX({"Low","Low,","Low","Medium","Medium","Medium","Medium","High","High","High"},I11)</f>
        <v>Low</v>
      </c>
      <c r="O11" s="1" t="str">
        <f t="shared" si="1"/>
        <v>pass</v>
      </c>
      <c r="Q11" s="22" t="str">
        <f>HLOOKUP(I11,{1,2,3,4,5,6,7,8,9,10;"Low","Low,","Low","Medium","Medium","Medium","Medium","High","High","High"},2,FALSE)</f>
        <v>Low</v>
      </c>
      <c r="R11" s="1" t="str">
        <f t="shared" si="2"/>
        <v>pass</v>
      </c>
    </row>
    <row r="12" spans="2:18" ht="16.5" thickTop="1" thickBot="1" x14ac:dyDescent="0.3">
      <c r="E12" s="2">
        <v>5</v>
      </c>
      <c r="F12" s="2" t="s">
        <v>70</v>
      </c>
      <c r="H12" s="115"/>
      <c r="I12" s="6">
        <v>1</v>
      </c>
      <c r="J12" s="7" t="str">
        <f>INDEX(CriticalityRatingToLevel[],
                MATCH(I12,CriticalityRatingToLevel[Criticality Rating],0),
                2)</f>
        <v>Low</v>
      </c>
      <c r="K12" s="2" t="s">
        <v>71</v>
      </c>
      <c r="L12" s="1" t="str">
        <f t="shared" si="0"/>
        <v>pass</v>
      </c>
      <c r="N12" s="22" t="str">
        <f>INDEX({"Low","Low,","Low","Medium","Medium","Medium","Medium","High","High","High"},I12)</f>
        <v>Low</v>
      </c>
      <c r="O12" s="1" t="str">
        <f t="shared" si="1"/>
        <v>pass</v>
      </c>
      <c r="Q12" s="22" t="str">
        <f>HLOOKUP(I12,{1,2,3,4,5,6,7,8,9,10;"Low","Low,","Low","Medium","Medium","Medium","Medium","High","High","High"},2,FALSE)</f>
        <v>Low</v>
      </c>
      <c r="R12" s="1" t="str">
        <f t="shared" si="2"/>
        <v>pass</v>
      </c>
    </row>
    <row r="13" spans="2:18" ht="15.75" thickTop="1" x14ac:dyDescent="0.25">
      <c r="E13" s="2">
        <v>4</v>
      </c>
      <c r="F13" s="2" t="s">
        <v>70</v>
      </c>
    </row>
    <row r="14" spans="2:18" ht="15.75" thickBot="1" x14ac:dyDescent="0.3">
      <c r="E14" s="2">
        <v>3</v>
      </c>
      <c r="F14" s="2" t="s">
        <v>71</v>
      </c>
    </row>
    <row r="15" spans="2:18" ht="16.5" thickTop="1" thickBot="1" x14ac:dyDescent="0.3">
      <c r="E15" s="2">
        <v>2</v>
      </c>
      <c r="F15" s="2" t="s">
        <v>71</v>
      </c>
      <c r="H15" s="115" t="s">
        <v>80</v>
      </c>
      <c r="I15" s="6">
        <v>0</v>
      </c>
      <c r="J15" s="7" t="e">
        <f>INDEX(CriticalityRatingToLevel[],
                MATCH(I15,CriticalityRatingToLevel[Criticality Rating],0),
                2)</f>
        <v>#N/A</v>
      </c>
      <c r="K15" s="2" t="e">
        <v>#N/A</v>
      </c>
      <c r="L15" s="1" t="str">
        <f>IF(ISNA(J15),"pass","fail")</f>
        <v>pass</v>
      </c>
      <c r="N15" s="22" t="str">
        <f>INDEX({"Low","Low,","Low","Medium","Medium","Medium","Medium","High","High","High"},I15)</f>
        <v>Low</v>
      </c>
      <c r="O15" s="1" t="str">
        <f>IF(ISNA(I15),"pass","fail")</f>
        <v>fail</v>
      </c>
      <c r="Q15" s="22" t="e">
        <f>HLOOKUP(I15,{1,2,3,4,5,6,7,8,9,10;"Low","Low,","Low","Medium","Medium","Medium","Medium","High","High","High"},2,FALSE)</f>
        <v>#N/A</v>
      </c>
      <c r="R15" s="1" t="str">
        <f>IF(ISNA(Q15),"pass","fail")</f>
        <v>pass</v>
      </c>
    </row>
    <row r="16" spans="2:18" ht="16.5" thickTop="1" thickBot="1" x14ac:dyDescent="0.3">
      <c r="E16" s="2">
        <v>1</v>
      </c>
      <c r="F16" s="2" t="s">
        <v>71</v>
      </c>
      <c r="H16" s="115"/>
      <c r="I16" s="6">
        <v>-1</v>
      </c>
      <c r="J16" s="7" t="e">
        <f>INDEX(CriticalityRatingToLevel[],
                MATCH(I16,CriticalityRatingToLevel[Criticality Rating],0),
                2)</f>
        <v>#N/A</v>
      </c>
      <c r="K16" s="2" t="e">
        <v>#N/A</v>
      </c>
      <c r="L16" s="1" t="str">
        <f t="shared" ref="L16:L22" si="3">IF(ISNA(J16),"pass","fail")</f>
        <v>pass</v>
      </c>
      <c r="N16" s="22" t="e">
        <f>INDEX({"Low","Low,","Low","Medium","Medium","Medium","Medium","High","High","High"},I16)</f>
        <v>#VALUE!</v>
      </c>
      <c r="O16" s="1" t="str">
        <f t="shared" ref="O16:O22" si="4">IF(ISNA(I16),"pass","fail")</f>
        <v>fail</v>
      </c>
      <c r="Q16" s="22" t="e">
        <f>HLOOKUP(I16,{1,2,3,4,5,6,7,8,9,10;"Low","Low,","Low","Medium","Medium","Medium","Medium","High","High","High"},2,FALSE)</f>
        <v>#N/A</v>
      </c>
      <c r="R16" s="1" t="str">
        <f t="shared" ref="R16:R22" si="5">IF(ISNA(Q16),"pass","fail")</f>
        <v>pass</v>
      </c>
    </row>
    <row r="17" spans="8:18" ht="16.5" thickTop="1" thickBot="1" x14ac:dyDescent="0.3">
      <c r="H17" s="115"/>
      <c r="I17" s="6">
        <v>5.5</v>
      </c>
      <c r="J17" s="7" t="e">
        <f>INDEX(CriticalityRatingToLevel[],
                MATCH(I17,CriticalityRatingToLevel[Criticality Rating],0),
                2)</f>
        <v>#N/A</v>
      </c>
      <c r="K17" s="2" t="e">
        <v>#N/A</v>
      </c>
      <c r="L17" s="1" t="str">
        <f t="shared" si="3"/>
        <v>pass</v>
      </c>
      <c r="N17" s="22" t="str">
        <f>INDEX({"Low","Low,","Low","Medium","Medium","Medium","Medium","High","High","High"},I17)</f>
        <v>Medium</v>
      </c>
      <c r="O17" s="1" t="str">
        <f t="shared" si="4"/>
        <v>fail</v>
      </c>
      <c r="Q17" s="22" t="e">
        <f>HLOOKUP(I17,{1,2,3,4,5,6,7,8,9,10;"Low","Low,","Low","Medium","Medium","Medium","Medium","High","High","High"},2,FALSE)</f>
        <v>#N/A</v>
      </c>
      <c r="R17" s="1" t="str">
        <f t="shared" si="5"/>
        <v>pass</v>
      </c>
    </row>
    <row r="18" spans="8:18" ht="16.5" thickTop="1" thickBot="1" x14ac:dyDescent="0.3">
      <c r="H18" s="115"/>
      <c r="I18" s="6">
        <v>11</v>
      </c>
      <c r="J18" s="7" t="e">
        <f>INDEX(CriticalityRatingToLevel[],
                MATCH(I18,CriticalityRatingToLevel[Criticality Rating],0),
                2)</f>
        <v>#N/A</v>
      </c>
      <c r="K18" s="2" t="e">
        <v>#N/A</v>
      </c>
      <c r="L18" s="1" t="str">
        <f t="shared" si="3"/>
        <v>pass</v>
      </c>
      <c r="N18" s="22" t="e">
        <f>INDEX({"Low","Low,","Low","Medium","Medium","Medium","Medium","High","High","High"},I18)</f>
        <v>#REF!</v>
      </c>
      <c r="O18" s="1" t="str">
        <f t="shared" si="4"/>
        <v>fail</v>
      </c>
      <c r="Q18" s="22" t="e">
        <f>HLOOKUP(I18,{1,2,3,4,5,6,7,8,9,10;"Low","Low,","Low","Medium","Medium","Medium","Medium","High","High","High"},2,FALSE)</f>
        <v>#N/A</v>
      </c>
      <c r="R18" s="1" t="str">
        <f t="shared" si="5"/>
        <v>pass</v>
      </c>
    </row>
    <row r="19" spans="8:18" ht="16.5" thickTop="1" thickBot="1" x14ac:dyDescent="0.3">
      <c r="H19" s="115"/>
      <c r="I19" s="6" t="s">
        <v>0</v>
      </c>
      <c r="J19" s="7" t="e">
        <f>INDEX(CriticalityRatingToLevel[],
                MATCH(I19,CriticalityRatingToLevel[Criticality Rating],0),
                2)</f>
        <v>#N/A</v>
      </c>
      <c r="K19" s="2" t="e">
        <v>#N/A</v>
      </c>
      <c r="L19" s="1" t="str">
        <f t="shared" si="3"/>
        <v>pass</v>
      </c>
      <c r="N19" s="22" t="e">
        <f>INDEX({"Low","Low,","Low","Medium","Medium","Medium","Medium","High","High","High"},I19)</f>
        <v>#VALUE!</v>
      </c>
      <c r="O19" s="1" t="str">
        <f t="shared" si="4"/>
        <v>fail</v>
      </c>
      <c r="Q19" s="22" t="e">
        <f>HLOOKUP(I19,{1,2,3,4,5,6,7,8,9,10;"Low","Low,","Low","Medium","Medium","Medium","Medium","High","High","High"},2,FALSE)</f>
        <v>#N/A</v>
      </c>
      <c r="R19" s="1" t="str">
        <f t="shared" si="5"/>
        <v>pass</v>
      </c>
    </row>
    <row r="20" spans="8:18" ht="16.5" thickTop="1" thickBot="1" x14ac:dyDescent="0.3">
      <c r="H20" s="115"/>
      <c r="I20" s="6">
        <v>3.9998999999999998</v>
      </c>
      <c r="J20" s="7" t="e">
        <f>INDEX(CriticalityRatingToLevel[],
                MATCH(I20,CriticalityRatingToLevel[Criticality Rating],0),
                2)</f>
        <v>#N/A</v>
      </c>
      <c r="K20" s="2" t="e">
        <v>#N/A</v>
      </c>
      <c r="L20" s="1" t="str">
        <f>IF(ISNA(J20),"pass","fail")</f>
        <v>pass</v>
      </c>
      <c r="N20" s="22" t="str">
        <f>INDEX({"Low","Low,","Low","Medium","Medium","Medium","Medium","High","High","High"},I20)</f>
        <v>Low</v>
      </c>
      <c r="O20" s="1" t="str">
        <f>IF(ISNA(I20),"pass","fail")</f>
        <v>fail</v>
      </c>
      <c r="Q20" s="22" t="e">
        <f>HLOOKUP(I20,{1,2,3,4,5,6,7,8,9,10;"Low","Low,","Low","Medium","Medium","Medium","Medium","High","High","High"},2,FALSE)</f>
        <v>#N/A</v>
      </c>
      <c r="R20" s="1" t="str">
        <f t="shared" si="5"/>
        <v>pass</v>
      </c>
    </row>
    <row r="21" spans="8:18" ht="16.5" thickTop="1" thickBot="1" x14ac:dyDescent="0.3">
      <c r="H21" s="115"/>
      <c r="I21" s="6">
        <v>4.0010000000000003</v>
      </c>
      <c r="J21" s="7" t="e">
        <f>INDEX(CriticalityRatingToLevel[],
                MATCH(I21,CriticalityRatingToLevel[Criticality Rating],0),
                2)</f>
        <v>#N/A</v>
      </c>
      <c r="K21" s="2" t="e">
        <v>#N/A</v>
      </c>
      <c r="L21" s="1" t="str">
        <f>IF(ISNA(J21),"pass","fail")</f>
        <v>pass</v>
      </c>
      <c r="N21" s="22" t="str">
        <f>INDEX({"Low","Low,","Low","Medium","Medium","Medium","Medium","High","High","High"},I21)</f>
        <v>Medium</v>
      </c>
      <c r="O21" s="1" t="str">
        <f>IF(ISNA(I21),"pass","fail")</f>
        <v>fail</v>
      </c>
      <c r="Q21" s="22" t="e">
        <f>HLOOKUP(I21,{1,2,3,4,5,6,7,8,9,10;"Low","Low,","Low","Medium","Medium","Medium","Medium","High","High","High"},2,FALSE)</f>
        <v>#N/A</v>
      </c>
      <c r="R21" s="1" t="str">
        <f t="shared" si="5"/>
        <v>pass</v>
      </c>
    </row>
    <row r="22" spans="8:18" ht="16.5" thickTop="1" thickBot="1" x14ac:dyDescent="0.3">
      <c r="H22" s="115"/>
      <c r="I22" s="31" t="s">
        <v>81</v>
      </c>
      <c r="J22" s="7" t="e">
        <f>INDEX(CriticalityRatingToLevel[],
                MATCH(I22,CriticalityRatingToLevel[Criticality Rating],0),
                2)</f>
        <v>#N/A</v>
      </c>
      <c r="K22" s="2" t="e">
        <v>#N/A</v>
      </c>
      <c r="L22" s="1" t="str">
        <f t="shared" si="3"/>
        <v>pass</v>
      </c>
      <c r="N22" s="22" t="e">
        <f>INDEX({"Low","Low,","Low","Medium","Medium","Medium","Medium","High","High","High"},I22)</f>
        <v>#REF!</v>
      </c>
      <c r="O22" s="1" t="str">
        <f t="shared" si="4"/>
        <v>fail</v>
      </c>
      <c r="Q22" s="22" t="e">
        <f>HLOOKUP(I22,{1,2,3,4,5,6,7,8,9,10;"Low","Low,","Low","Medium","Medium","Medium","Medium","High","High","High"},2,FALSE)</f>
        <v>#N/A</v>
      </c>
      <c r="R22" s="1" t="str">
        <f t="shared" si="5"/>
        <v>pass</v>
      </c>
    </row>
    <row r="23" spans="8:18" ht="15.75" thickTop="1" x14ac:dyDescent="0.25"/>
  </sheetData>
  <mergeCells count="2">
    <mergeCell ref="H7:H12"/>
    <mergeCell ref="H15:H22"/>
  </mergeCells>
  <conditionalFormatting sqref="F7:F16">
    <cfRule type="cellIs" dxfId="72" priority="1" operator="equal">
      <formula>"Low"</formula>
    </cfRule>
    <cfRule type="cellIs" dxfId="71" priority="2" operator="equal">
      <formula>"High"</formula>
    </cfRule>
    <cfRule type="cellIs" dxfId="70" priority="3" operator="equal">
      <formula>"Medium"</formula>
    </cfRule>
  </conditionalFormatting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23"/>
  <sheetViews>
    <sheetView workbookViewId="0">
      <selection activeCell="C29" sqref="C29"/>
    </sheetView>
  </sheetViews>
  <sheetFormatPr defaultRowHeight="15" x14ac:dyDescent="0.25"/>
  <cols>
    <col min="1" max="1" width="15" customWidth="1"/>
    <col min="2" max="2" width="18.42578125" customWidth="1"/>
    <col min="3" max="3" width="19.42578125" customWidth="1"/>
    <col min="4" max="4" width="23.7109375" customWidth="1"/>
    <col min="5" max="5" width="15.5703125" style="18" customWidth="1"/>
  </cols>
  <sheetData>
    <row r="1" spans="1:16" ht="20.25" thickBot="1" x14ac:dyDescent="0.35">
      <c r="A1" s="33" t="s">
        <v>82</v>
      </c>
      <c r="H1" s="19" t="s">
        <v>119</v>
      </c>
      <c r="I1" s="19"/>
      <c r="J1" s="19"/>
      <c r="K1" s="19"/>
      <c r="L1" s="19"/>
    </row>
    <row r="2" spans="1:16" ht="15.75" thickTop="1" x14ac:dyDescent="0.25">
      <c r="H2" s="17" t="s">
        <v>120</v>
      </c>
    </row>
    <row r="3" spans="1:16" x14ac:dyDescent="0.25">
      <c r="A3" t="s">
        <v>83</v>
      </c>
      <c r="B3" t="s">
        <v>84</v>
      </c>
      <c r="C3" t="s">
        <v>91</v>
      </c>
      <c r="D3" t="s">
        <v>95</v>
      </c>
      <c r="E3" s="18" t="s">
        <v>96</v>
      </c>
      <c r="H3" s="17" t="s">
        <v>122</v>
      </c>
    </row>
    <row r="4" spans="1:16" x14ac:dyDescent="0.25">
      <c r="A4" t="s">
        <v>85</v>
      </c>
      <c r="B4" t="s">
        <v>89</v>
      </c>
      <c r="C4" s="2">
        <v>7</v>
      </c>
      <c r="D4" t="s">
        <v>85</v>
      </c>
    </row>
    <row r="5" spans="1:16" x14ac:dyDescent="0.25">
      <c r="A5" t="s">
        <v>86</v>
      </c>
      <c r="B5" t="s">
        <v>90</v>
      </c>
      <c r="C5" s="2">
        <v>9</v>
      </c>
      <c r="D5" t="s">
        <v>92</v>
      </c>
      <c r="H5" t="s">
        <v>45</v>
      </c>
      <c r="I5" s="17" t="s">
        <v>118</v>
      </c>
    </row>
    <row r="6" spans="1:16" ht="15.75" thickBot="1" x14ac:dyDescent="0.3">
      <c r="A6" t="s">
        <v>87</v>
      </c>
      <c r="B6" t="s">
        <v>89</v>
      </c>
      <c r="C6" s="2">
        <v>7</v>
      </c>
      <c r="D6" t="s">
        <v>93</v>
      </c>
      <c r="E6" s="18" t="s">
        <v>90</v>
      </c>
      <c r="H6" t="s">
        <v>111</v>
      </c>
      <c r="I6" t="s">
        <v>112</v>
      </c>
      <c r="J6" t="s">
        <v>113</v>
      </c>
      <c r="K6" t="s">
        <v>114</v>
      </c>
      <c r="L6" t="s">
        <v>117</v>
      </c>
      <c r="M6" t="s">
        <v>18</v>
      </c>
      <c r="N6" t="s">
        <v>115</v>
      </c>
    </row>
    <row r="7" spans="1:16" ht="16.5" thickTop="1" thickBot="1" x14ac:dyDescent="0.3">
      <c r="A7" t="s">
        <v>88</v>
      </c>
      <c r="B7" t="s">
        <v>90</v>
      </c>
      <c r="C7" s="2">
        <v>9</v>
      </c>
      <c r="D7" t="s">
        <v>94</v>
      </c>
      <c r="H7" s="6" t="s">
        <v>0</v>
      </c>
      <c r="I7" s="6" t="s">
        <v>0</v>
      </c>
      <c r="J7" s="6" t="s">
        <v>0</v>
      </c>
      <c r="K7" s="6" t="s">
        <v>0</v>
      </c>
      <c r="L7" s="21" t="b">
        <f>OR(MID(H7,1,1)&lt;="E",MID(I7,1,1)&lt;="D",MID(J7,1,1)&lt;="E",MID(K7,1,1)&lt;="D")</f>
        <v>1</v>
      </c>
      <c r="M7" t="b">
        <v>1</v>
      </c>
      <c r="N7" s="1" t="str">
        <f t="shared" ref="N7:N16" si="0">IF(M7=L7, "pass", "fail")</f>
        <v>pass</v>
      </c>
    </row>
    <row r="8" spans="1:16" ht="16.5" thickTop="1" thickBot="1" x14ac:dyDescent="0.3">
      <c r="H8" s="6" t="s">
        <v>5</v>
      </c>
      <c r="I8" s="6" t="s">
        <v>5</v>
      </c>
      <c r="J8" s="6" t="s">
        <v>5</v>
      </c>
      <c r="K8" s="6" t="s">
        <v>5</v>
      </c>
      <c r="L8" s="21" t="b">
        <f t="shared" ref="L8:L13" si="1">OR(MID(H8,1,1)&lt;="E",MID(I8,1,1)&lt;="D",MID(J8,1,1)&lt;="E",MID(K8,1,1)&lt;="D")</f>
        <v>0</v>
      </c>
      <c r="M8" t="b">
        <v>0</v>
      </c>
      <c r="N8" s="1" t="str">
        <f t="shared" si="0"/>
        <v>pass</v>
      </c>
    </row>
    <row r="9" spans="1:16" ht="16.5" thickTop="1" thickBot="1" x14ac:dyDescent="0.3">
      <c r="H9" s="6" t="s">
        <v>7</v>
      </c>
      <c r="I9" s="6" t="s">
        <v>7</v>
      </c>
      <c r="J9" s="6" t="s">
        <v>7</v>
      </c>
      <c r="K9" s="6" t="s">
        <v>7</v>
      </c>
      <c r="L9" s="21" t="b">
        <f t="shared" si="1"/>
        <v>0</v>
      </c>
      <c r="M9" t="b">
        <v>0</v>
      </c>
      <c r="N9" s="1" t="str">
        <f t="shared" si="0"/>
        <v>pass</v>
      </c>
    </row>
    <row r="10" spans="1:16" ht="16.5" thickTop="1" thickBot="1" x14ac:dyDescent="0.3">
      <c r="H10" s="6" t="s">
        <v>116</v>
      </c>
      <c r="I10" s="6" t="s">
        <v>7</v>
      </c>
      <c r="J10" s="6" t="s">
        <v>7</v>
      </c>
      <c r="K10" s="6" t="s">
        <v>7</v>
      </c>
      <c r="L10" s="21" t="b">
        <f t="shared" si="1"/>
        <v>1</v>
      </c>
      <c r="M10" t="b">
        <v>1</v>
      </c>
      <c r="N10" s="1" t="str">
        <f t="shared" si="0"/>
        <v>pass</v>
      </c>
    </row>
    <row r="11" spans="1:16" ht="16.5" thickTop="1" thickBot="1" x14ac:dyDescent="0.3">
      <c r="H11" s="6" t="s">
        <v>4</v>
      </c>
      <c r="I11" s="6" t="s">
        <v>7</v>
      </c>
      <c r="J11" s="6" t="s">
        <v>7</v>
      </c>
      <c r="K11" s="6" t="s">
        <v>7</v>
      </c>
      <c r="L11" s="21" t="b">
        <f t="shared" si="1"/>
        <v>1</v>
      </c>
      <c r="M11" t="b">
        <v>1</v>
      </c>
      <c r="N11" s="1" t="str">
        <f t="shared" si="0"/>
        <v>pass</v>
      </c>
    </row>
    <row r="12" spans="1:16" ht="16.5" thickTop="1" thickBot="1" x14ac:dyDescent="0.3">
      <c r="H12" s="6" t="s">
        <v>7</v>
      </c>
      <c r="I12" s="6" t="s">
        <v>3</v>
      </c>
      <c r="J12" s="6" t="s">
        <v>7</v>
      </c>
      <c r="K12" s="6" t="s">
        <v>7</v>
      </c>
      <c r="L12" s="21" t="b">
        <f t="shared" si="1"/>
        <v>1</v>
      </c>
      <c r="M12" t="b">
        <v>1</v>
      </c>
      <c r="N12" s="1" t="str">
        <f t="shared" si="0"/>
        <v>pass</v>
      </c>
    </row>
    <row r="13" spans="1:16" ht="16.5" thickTop="1" thickBot="1" x14ac:dyDescent="0.3">
      <c r="H13" s="6" t="s">
        <v>6</v>
      </c>
      <c r="I13" s="6" t="s">
        <v>7</v>
      </c>
      <c r="J13" s="6" t="s">
        <v>4</v>
      </c>
      <c r="K13" s="6" t="s">
        <v>7</v>
      </c>
      <c r="L13" s="21" t="b">
        <f t="shared" si="1"/>
        <v>1</v>
      </c>
      <c r="M13" t="b">
        <v>1</v>
      </c>
      <c r="N13" s="1" t="str">
        <f t="shared" si="0"/>
        <v>pass</v>
      </c>
    </row>
    <row r="14" spans="1:16" ht="16.5" thickTop="1" thickBot="1" x14ac:dyDescent="0.3">
      <c r="H14" s="6" t="s">
        <v>6</v>
      </c>
      <c r="I14" s="6" t="s">
        <v>7</v>
      </c>
      <c r="J14" s="6" t="s">
        <v>7</v>
      </c>
      <c r="K14" s="6" t="s">
        <v>3</v>
      </c>
      <c r="L14" s="21" t="b">
        <f>OR(MID(H14,1,1)&lt;="E",MID(I14,1,1)&lt;="D",MID(J14,1,1)&lt;="E",MID(K14,1,1)&lt;="D")</f>
        <v>1</v>
      </c>
      <c r="M14" t="b">
        <v>1</v>
      </c>
      <c r="N14" s="1" t="str">
        <f t="shared" si="0"/>
        <v>pass</v>
      </c>
      <c r="P14" t="str">
        <f>MID(K16,1,1)</f>
        <v/>
      </c>
    </row>
    <row r="15" spans="1:16" ht="16.5" thickTop="1" thickBot="1" x14ac:dyDescent="0.3">
      <c r="H15" s="6" t="s">
        <v>5</v>
      </c>
      <c r="I15" s="6" t="s">
        <v>4</v>
      </c>
      <c r="J15" s="6" t="s">
        <v>5</v>
      </c>
      <c r="K15" s="6" t="s">
        <v>4</v>
      </c>
      <c r="L15" s="21" t="b">
        <f>OR(MID(H15,1,1)&lt;="E",MID(I15,1,1)&lt;="D",MID(J15,1,1)&lt;="E",MID(K15,1,1)&lt;="D")</f>
        <v>0</v>
      </c>
      <c r="M15" t="b">
        <v>0</v>
      </c>
      <c r="N15" s="1" t="str">
        <f t="shared" si="0"/>
        <v>pass</v>
      </c>
    </row>
    <row r="16" spans="1:16" ht="16.5" thickTop="1" thickBot="1" x14ac:dyDescent="0.3">
      <c r="H16" s="35"/>
      <c r="I16" s="35"/>
      <c r="J16" s="35"/>
      <c r="K16" s="35"/>
      <c r="L16" s="21" t="b">
        <f>OR(MID(H16,1,1)&lt;="E",MID(I16,1,1)&lt;="D",MID(J16,1,1)&lt;="E",MID(K16,1,1)&lt;="D")</f>
        <v>1</v>
      </c>
      <c r="M16" t="b">
        <v>1</v>
      </c>
      <c r="N16" s="1" t="str">
        <f t="shared" si="0"/>
        <v>pass</v>
      </c>
    </row>
    <row r="17" spans="8:14" ht="16.5" thickTop="1" thickBot="1" x14ac:dyDescent="0.3"/>
    <row r="18" spans="8:14" ht="16.5" thickTop="1" thickBot="1" x14ac:dyDescent="0.3">
      <c r="H18" s="35" t="s">
        <v>110</v>
      </c>
      <c r="I18" s="35" t="s">
        <v>110</v>
      </c>
      <c r="J18" s="35" t="s">
        <v>110</v>
      </c>
      <c r="K18" s="35" t="s">
        <v>110</v>
      </c>
      <c r="L18" s="21" t="b">
        <f>OR(MID(H18,1,1)&lt;="E",MID(I18,1,1)&lt;="D",MID(J18,1,1)&lt;="E",MID(K18,1,1)&lt;="D")</f>
        <v>0</v>
      </c>
      <c r="M18" t="e">
        <v>#N/A</v>
      </c>
      <c r="N18" s="1" t="str">
        <f>IF(ISNA(L18), "pass", "fail")</f>
        <v>fail</v>
      </c>
    </row>
    <row r="19" spans="8:14" ht="16.5" thickTop="1" thickBot="1" x14ac:dyDescent="0.3">
      <c r="H19" s="35" t="s">
        <v>121</v>
      </c>
      <c r="I19" s="35" t="s">
        <v>121</v>
      </c>
      <c r="J19" s="35" t="s">
        <v>121</v>
      </c>
      <c r="K19" s="35" t="s">
        <v>121</v>
      </c>
      <c r="L19" s="21" t="b">
        <f>OR(MID(H19,1,1)&lt;="E",MID(I19,1,1)&lt;="D",MID(J19,1,1)&lt;="E",MID(K19,1,1)&lt;="D")</f>
        <v>0</v>
      </c>
      <c r="M19" t="e">
        <v>#N/A</v>
      </c>
      <c r="N19" s="1" t="str">
        <f>IF(ISNA(L19), "pass", "fail")</f>
        <v>fail</v>
      </c>
    </row>
    <row r="20" spans="8:14" ht="16.5" thickTop="1" thickBot="1" x14ac:dyDescent="0.3">
      <c r="H20" s="35">
        <v>1</v>
      </c>
      <c r="I20" s="35">
        <v>2</v>
      </c>
      <c r="J20" s="35">
        <v>3</v>
      </c>
      <c r="K20" s="35">
        <v>4</v>
      </c>
      <c r="L20" s="21" t="b">
        <f>OR(MID(H20,1,1)&lt;="E",MID(I20,1,1)&lt;="D",MID(J20,1,1)&lt;="E",MID(K20,1,1)&lt;="D")</f>
        <v>1</v>
      </c>
      <c r="M20" t="e">
        <v>#N/A</v>
      </c>
      <c r="N20" s="1" t="str">
        <f>IF(ISNA(L20), "pass", "fail")</f>
        <v>fail</v>
      </c>
    </row>
    <row r="21" spans="8:14" ht="16.5" thickTop="1" thickBot="1" x14ac:dyDescent="0.3">
      <c r="H21" s="35">
        <v>0</v>
      </c>
      <c r="I21" s="35">
        <v>0</v>
      </c>
      <c r="J21" s="35">
        <v>0</v>
      </c>
      <c r="K21" s="35">
        <v>0</v>
      </c>
      <c r="L21" s="21" t="b">
        <f>OR(MID(H21,1,1)&lt;="E",MID(I21,1,1)&lt;="D",MID(J21,1,1)&lt;="E",MID(K21,1,1)&lt;="D")</f>
        <v>1</v>
      </c>
      <c r="M21" t="e">
        <v>#N/A</v>
      </c>
      <c r="N21" s="1" t="str">
        <f>IF(ISNA(L21), "pass", "fail")</f>
        <v>fail</v>
      </c>
    </row>
    <row r="22" spans="8:14" ht="16.5" thickTop="1" thickBot="1" x14ac:dyDescent="0.3">
      <c r="H22" s="35" t="s">
        <v>123</v>
      </c>
      <c r="I22" s="35" t="s">
        <v>123</v>
      </c>
      <c r="J22" s="35" t="s">
        <v>123</v>
      </c>
      <c r="K22" s="35" t="s">
        <v>123</v>
      </c>
      <c r="L22" s="21" t="b">
        <f>OR(MID(H22,1,1)&lt;="E",MID(I22,1,1)&lt;="D",MID(J22,1,1)&lt;="E",MID(K22,1,1)&lt;="D")</f>
        <v>1</v>
      </c>
      <c r="M22" t="e">
        <v>#N/A</v>
      </c>
      <c r="N22" s="1" t="str">
        <f>IF(ISNA(L22), "pass", "fail")</f>
        <v>fail</v>
      </c>
    </row>
    <row r="23" spans="8:14" ht="15.75" thickTop="1" x14ac:dyDescent="0.25"/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6"/>
  <sheetViews>
    <sheetView workbookViewId="0">
      <selection activeCell="M7" sqref="M7"/>
    </sheetView>
  </sheetViews>
  <sheetFormatPr defaultRowHeight="15" x14ac:dyDescent="0.25"/>
  <cols>
    <col min="2" max="2" width="11" customWidth="1"/>
  </cols>
  <sheetData>
    <row r="1" spans="1:25" x14ac:dyDescent="0.25">
      <c r="C1" s="116" t="s">
        <v>17</v>
      </c>
      <c r="D1" s="116"/>
      <c r="E1" s="116"/>
      <c r="F1" s="116"/>
      <c r="G1" s="116"/>
      <c r="R1" s="17" t="s">
        <v>107</v>
      </c>
    </row>
    <row r="2" spans="1:25" x14ac:dyDescent="0.25">
      <c r="B2" t="s">
        <v>8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R2" s="17" t="s">
        <v>103</v>
      </c>
      <c r="U2" s="17" t="s">
        <v>108</v>
      </c>
    </row>
    <row r="3" spans="1:25" x14ac:dyDescent="0.25">
      <c r="A3" s="117" t="s">
        <v>8</v>
      </c>
      <c r="B3" t="s">
        <v>4</v>
      </c>
      <c r="C3" t="s">
        <v>1</v>
      </c>
      <c r="D3" t="s">
        <v>1</v>
      </c>
      <c r="E3" t="s">
        <v>0</v>
      </c>
      <c r="F3" t="s">
        <v>0</v>
      </c>
      <c r="G3" t="s">
        <v>0</v>
      </c>
      <c r="J3" s="10" t="s">
        <v>33</v>
      </c>
      <c r="K3" s="10"/>
      <c r="L3" s="10"/>
      <c r="M3" s="10"/>
      <c r="R3" s="34" t="str">
        <f>{"B","B","A","A","A";"C","B","B","B","A";"C","C","C","B","B";"C","C","C","C","C"}</f>
        <v>B</v>
      </c>
      <c r="U3" s="34" t="str">
        <f t="array" ref="U3:Y5">{"B","B","A","A","A";"C","B","B","B","A";"C","C","C","B","B";"C","C","C","C","C"}</f>
        <v>B</v>
      </c>
      <c r="V3" s="34" t="str">
        <v>B</v>
      </c>
      <c r="W3" s="34" t="str">
        <v>A</v>
      </c>
      <c r="X3" s="34" t="str">
        <v>A</v>
      </c>
      <c r="Y3" s="34" t="str">
        <v>A</v>
      </c>
    </row>
    <row r="4" spans="1:25" x14ac:dyDescent="0.25">
      <c r="A4" s="117"/>
      <c r="B4" t="s">
        <v>5</v>
      </c>
      <c r="C4" t="s">
        <v>2</v>
      </c>
      <c r="D4" t="s">
        <v>1</v>
      </c>
      <c r="E4" t="s">
        <v>1</v>
      </c>
      <c r="F4" t="s">
        <v>1</v>
      </c>
      <c r="G4" t="s">
        <v>0</v>
      </c>
      <c r="J4" s="7" t="s">
        <v>21</v>
      </c>
      <c r="K4" s="6" t="s">
        <v>32</v>
      </c>
      <c r="L4" s="6" t="s">
        <v>31</v>
      </c>
      <c r="M4" s="9"/>
      <c r="U4" s="34" t="str">
        <v>C</v>
      </c>
      <c r="V4" s="34" t="str">
        <v>B</v>
      </c>
      <c r="W4" s="34" t="str">
        <v>B</v>
      </c>
      <c r="X4" s="34" t="str">
        <v>B</v>
      </c>
      <c r="Y4" s="34" t="str">
        <v>A</v>
      </c>
    </row>
    <row r="5" spans="1:25" x14ac:dyDescent="0.25">
      <c r="A5" s="117"/>
      <c r="B5" t="s">
        <v>6</v>
      </c>
      <c r="C5" t="s">
        <v>2</v>
      </c>
      <c r="D5" t="s">
        <v>2</v>
      </c>
      <c r="E5" t="s">
        <v>2</v>
      </c>
      <c r="F5" t="s">
        <v>1</v>
      </c>
      <c r="G5" t="s">
        <v>1</v>
      </c>
      <c r="U5" s="34" t="str">
        <v>C</v>
      </c>
      <c r="V5" s="34" t="str">
        <v>C</v>
      </c>
      <c r="W5" s="34" t="str">
        <v>C</v>
      </c>
      <c r="X5" s="34" t="str">
        <v>B</v>
      </c>
      <c r="Y5" s="34" t="str">
        <v>B</v>
      </c>
    </row>
    <row r="6" spans="1:25" ht="15.75" thickBot="1" x14ac:dyDescent="0.3">
      <c r="A6" s="117"/>
      <c r="B6" t="s">
        <v>7</v>
      </c>
      <c r="C6" t="s">
        <v>2</v>
      </c>
      <c r="D6" t="s">
        <v>2</v>
      </c>
      <c r="E6" t="s">
        <v>2</v>
      </c>
      <c r="F6" t="s">
        <v>2</v>
      </c>
      <c r="G6" t="s">
        <v>2</v>
      </c>
      <c r="K6" t="s">
        <v>8</v>
      </c>
      <c r="L6" t="s">
        <v>17</v>
      </c>
      <c r="M6" t="s">
        <v>20</v>
      </c>
      <c r="N6" t="s">
        <v>18</v>
      </c>
      <c r="O6" t="s">
        <v>19</v>
      </c>
      <c r="R6" s="17" t="s">
        <v>104</v>
      </c>
      <c r="S6" s="17" t="s">
        <v>105</v>
      </c>
      <c r="T6" s="17" t="s">
        <v>106</v>
      </c>
    </row>
    <row r="7" spans="1:25" ht="16.5" customHeight="1" thickTop="1" thickBot="1" x14ac:dyDescent="0.3">
      <c r="J7" s="112" t="s">
        <v>26</v>
      </c>
      <c r="K7" s="4" t="s">
        <v>4</v>
      </c>
      <c r="L7" s="4">
        <v>3</v>
      </c>
      <c r="M7" s="7" t="str">
        <f>INDEX({"B","B","A","A","A";"C","B","B","B","A";"C","C","C","B","B";"C","C","C","C","C"},MATCH(K7,{"E","F","G","H"},0),MATCH(L7,{3,4,5,6,7},0))</f>
        <v>B</v>
      </c>
      <c r="N7" s="2" t="s">
        <v>1</v>
      </c>
      <c r="O7" s="1" t="str">
        <f t="shared" ref="O7:O13" si="0">IF(N7=M7,"pass","fail")</f>
        <v>pass</v>
      </c>
      <c r="R7">
        <f>MATCH(K7,{"E","F","G","H"},0)</f>
        <v>1</v>
      </c>
      <c r="S7">
        <f>MATCH(L7,{3,4,5,6,7},0)</f>
        <v>1</v>
      </c>
      <c r="T7" t="str">
        <f>INDEX({"B","B","A","A","A";"C","B","B","B","A";"C","C","C","B","B";"C","C","C","C","C"},R7,S7)</f>
        <v>B</v>
      </c>
    </row>
    <row r="8" spans="1:25" ht="16.5" thickTop="1" thickBot="1" x14ac:dyDescent="0.3">
      <c r="J8" s="113"/>
      <c r="K8" s="4" t="s">
        <v>7</v>
      </c>
      <c r="L8" s="4">
        <v>7</v>
      </c>
      <c r="M8" s="7" t="str">
        <f>INDEX({"B","B","A","A","A";"C","B","B","B","A";"C","C","C","B","B";"C","C","C","C","C"},MATCH(K8,{"E","F","G","H"},0),MATCH(L8,{3,4,5,6,7},0))</f>
        <v>C</v>
      </c>
      <c r="N8" s="2" t="s">
        <v>2</v>
      </c>
      <c r="O8" s="1" t="str">
        <f t="shared" si="0"/>
        <v>pass</v>
      </c>
      <c r="R8">
        <f>MATCH(K8,{"E","F","G","H"},0)</f>
        <v>4</v>
      </c>
      <c r="S8">
        <f>MATCH(L8,{3,4,5,6,7},0)</f>
        <v>5</v>
      </c>
      <c r="T8" t="str">
        <f>INDEX({"B","B","A","A","A";"C","B","B","B","A";"C","C","C","B","B";"C","C","C","C","C"},R8,S8)</f>
        <v>C</v>
      </c>
    </row>
    <row r="9" spans="1:25" ht="16.5" thickTop="1" thickBot="1" x14ac:dyDescent="0.3">
      <c r="J9" s="113"/>
      <c r="K9" s="4" t="s">
        <v>5</v>
      </c>
      <c r="L9" s="4">
        <v>3</v>
      </c>
      <c r="M9" s="7" t="str">
        <f>INDEX({"B","B","A","A","A";"C","B","B","B","A";"C","C","C","B","B";"C","C","C","C","C"},MATCH(K9,{"E","F","G","H"},0),MATCH(L9,{3,4,5,6,7},0))</f>
        <v>C</v>
      </c>
      <c r="N9" s="2" t="s">
        <v>2</v>
      </c>
      <c r="O9" s="1" t="str">
        <f t="shared" si="0"/>
        <v>pass</v>
      </c>
      <c r="R9">
        <f>MATCH(K9,{"E","F","G","H"},0)</f>
        <v>2</v>
      </c>
      <c r="S9">
        <f>MATCH(L9,{3,4,5,6,7},0)</f>
        <v>1</v>
      </c>
      <c r="T9" t="str">
        <f>INDEX({"B","B","A","A","A";"C","B","B","B","A";"C","C","C","B","B";"C","C","C","C","C"},R9,S9)</f>
        <v>C</v>
      </c>
    </row>
    <row r="10" spans="1:25" ht="16.5" thickTop="1" thickBot="1" x14ac:dyDescent="0.3">
      <c r="J10" s="113"/>
      <c r="K10" s="4" t="s">
        <v>5</v>
      </c>
      <c r="L10" s="4">
        <v>4</v>
      </c>
      <c r="M10" s="7" t="str">
        <f>INDEX({"B","B","A","A","A";"C","B","B","B","A";"C","C","C","B","B";"C","C","C","C","C"},MATCH(K10,{"E","F","G","H"},0),MATCH(L10,{3,4,5,6,7},0))</f>
        <v>B</v>
      </c>
      <c r="N10" s="2" t="s">
        <v>1</v>
      </c>
      <c r="O10" s="1" t="str">
        <f t="shared" si="0"/>
        <v>pass</v>
      </c>
      <c r="R10">
        <f>MATCH(K10,{"E","F","G","H"},0)</f>
        <v>2</v>
      </c>
      <c r="S10">
        <f>MATCH(L10,{3,4,5,6,7},0)</f>
        <v>2</v>
      </c>
      <c r="T10" t="str">
        <f>INDEX({"B","B","A","A","A";"C","B","B","B","A";"C","C","C","B","B";"C","C","C","C","C"},R10,S10)</f>
        <v>B</v>
      </c>
    </row>
    <row r="11" spans="1:25" ht="16.5" thickTop="1" thickBot="1" x14ac:dyDescent="0.3">
      <c r="J11" s="113"/>
      <c r="K11" s="4" t="s">
        <v>6</v>
      </c>
      <c r="L11" s="4">
        <v>5</v>
      </c>
      <c r="M11" s="7" t="str">
        <f>INDEX({"B","B","A","A","A";"C","B","B","B","A";"C","C","C","B","B";"C","C","C","C","C"},MATCH(K11,{"E","F","G","H"},0),MATCH(L11,{3,4,5,6,7},0))</f>
        <v>C</v>
      </c>
      <c r="N11" s="2" t="s">
        <v>2</v>
      </c>
      <c r="O11" s="1" t="str">
        <f t="shared" si="0"/>
        <v>pass</v>
      </c>
      <c r="R11">
        <f>MATCH(K11,{"E","F","G","H"},0)</f>
        <v>3</v>
      </c>
      <c r="S11">
        <f>MATCH(L11,{3,4,5,6,7},0)</f>
        <v>3</v>
      </c>
      <c r="T11" t="str">
        <f>INDEX({"B","B","A","A","A";"C","B","B","B","A";"C","C","C","B","B";"C","C","C","C","C"},R11,S11)</f>
        <v>C</v>
      </c>
    </row>
    <row r="12" spans="1:25" ht="16.5" thickTop="1" thickBot="1" x14ac:dyDescent="0.3">
      <c r="J12" s="113"/>
      <c r="K12" s="4" t="s">
        <v>6</v>
      </c>
      <c r="L12" s="4">
        <v>6</v>
      </c>
      <c r="M12" s="7" t="str">
        <f>INDEX({"B","B","A","A","A";"C","B","B","B","A";"C","C","C","B","B";"C","C","C","C","C"},MATCH(K12,{"E","F","G","H"},0),MATCH(L12,{3,4,5,6,7},0))</f>
        <v>B</v>
      </c>
      <c r="N12" s="2" t="s">
        <v>1</v>
      </c>
      <c r="O12" s="1" t="str">
        <f t="shared" si="0"/>
        <v>pass</v>
      </c>
      <c r="R12">
        <f>MATCH(K12,{"E","F","G","H"},0)</f>
        <v>3</v>
      </c>
      <c r="S12">
        <f>MATCH(L12,{3,4,5,6,7},0)</f>
        <v>4</v>
      </c>
      <c r="T12" t="str">
        <f>INDEX({"B","B","A","A","A";"C","B","B","B","A";"C","C","C","B","B";"C","C","C","C","C"},R12,S12)</f>
        <v>B</v>
      </c>
    </row>
    <row r="13" spans="1:25" ht="16.5" thickTop="1" thickBot="1" x14ac:dyDescent="0.3">
      <c r="J13" s="114"/>
      <c r="K13" s="4" t="s">
        <v>109</v>
      </c>
      <c r="L13" s="4">
        <v>6</v>
      </c>
      <c r="M13" s="7" t="str">
        <f>INDEX({"B","B","A","A","A";"C","B","B","B","A";"C","C","C","B","B";"C","C","C","C","C"},MATCH(K13,{"E","F","G","H"},0),MATCH(L13,{3,4,5,6,7},0))</f>
        <v>B</v>
      </c>
      <c r="N13" s="2" t="s">
        <v>1</v>
      </c>
      <c r="O13" s="1" t="str">
        <f t="shared" si="0"/>
        <v>pass</v>
      </c>
      <c r="R13">
        <f>MATCH(K13,{"E","F","G","H"},0)</f>
        <v>3</v>
      </c>
      <c r="S13">
        <f>MATCH(L13,{3,4,5,6,7},0)</f>
        <v>4</v>
      </c>
      <c r="T13" t="str">
        <f>INDEX({"B","B","A","A","A";"C","B","B","B","A";"C","C","C","B","B";"C","C","C","C","C"},R13,S13)</f>
        <v>B</v>
      </c>
    </row>
    <row r="14" spans="1:25" ht="15.75" thickTop="1" x14ac:dyDescent="0.25">
      <c r="J14" t="s">
        <v>24</v>
      </c>
    </row>
    <row r="15" spans="1:25" ht="15.75" thickBot="1" x14ac:dyDescent="0.3">
      <c r="N15" t="s">
        <v>23</v>
      </c>
    </row>
    <row r="16" spans="1:25" ht="16.5" thickTop="1" thickBot="1" x14ac:dyDescent="0.3">
      <c r="J16" s="111" t="s">
        <v>27</v>
      </c>
      <c r="K16" s="4" t="s">
        <v>0</v>
      </c>
      <c r="L16" s="4">
        <v>9</v>
      </c>
      <c r="M16" s="7" t="e">
        <f>INDEX({"B","B","A","A","A";"C","B","B","B","A";"C","C","C","B","B";"C","C","C","C","C"},MATCH(K16,{"E","F","G","H"},0),MATCH(L16,{3,4,5,6,7},0))</f>
        <v>#N/A</v>
      </c>
      <c r="N16" t="e">
        <v>#N/A</v>
      </c>
      <c r="O16" s="1" t="str">
        <f>IF(ISNA(M16), "OK", "error")</f>
        <v>OK</v>
      </c>
      <c r="R16" t="e">
        <f>MATCH(K16,{"E","F","G","H"},0)</f>
        <v>#N/A</v>
      </c>
      <c r="S16" t="e">
        <f>MATCH(L16,{3,4,5,6,7},0)</f>
        <v>#N/A</v>
      </c>
      <c r="T16" t="e">
        <f>INDEX({"B","B","A","A","A";"C","B","B","B","A";"C","C","C","B","B";"C","C","C","C","C"},R16,S16)</f>
        <v>#N/A</v>
      </c>
    </row>
    <row r="17" spans="10:20" ht="16.5" thickTop="1" thickBot="1" x14ac:dyDescent="0.3">
      <c r="J17" s="111"/>
      <c r="K17" s="4" t="s">
        <v>110</v>
      </c>
      <c r="L17" s="4">
        <v>1</v>
      </c>
      <c r="M17" s="7" t="e">
        <f>INDEX({"B","B","A","A","A";"C","B","B","B","A";"C","C","C","B","B";"C","C","C","C","C"},MATCH(K17,{"E","F","G","H"},0),MATCH(L17,{3,4,5,6,7},0))</f>
        <v>#N/A</v>
      </c>
      <c r="N17" t="e">
        <v>#N/A</v>
      </c>
      <c r="O17" s="1" t="str">
        <f t="shared" ref="O17:O25" si="1">IF(ISNA(M17), "OK", "error")</f>
        <v>OK</v>
      </c>
      <c r="R17" t="e">
        <f>MATCH(K17,{"E","F","G","H"},0)</f>
        <v>#N/A</v>
      </c>
      <c r="S17" t="e">
        <f>MATCH(L17,{3,4,5,6,7},0)</f>
        <v>#N/A</v>
      </c>
      <c r="T17" t="e">
        <f>INDEX({"B","B","A","A","A";"C","B","B","B","A";"C","C","C","B","B";"C","C","C","C","C"},R17,S17)</f>
        <v>#N/A</v>
      </c>
    </row>
    <row r="18" spans="10:20" ht="16.5" thickTop="1" thickBot="1" x14ac:dyDescent="0.3">
      <c r="J18" s="111"/>
      <c r="K18" s="4" t="s">
        <v>6</v>
      </c>
      <c r="L18" s="4">
        <v>0</v>
      </c>
      <c r="M18" s="7" t="e">
        <f>INDEX({"B","B","A","A","A";"C","B","B","B","A";"C","C","C","B","B";"C","C","C","C","C"},MATCH(K18,{"E","F","G","H"},0),MATCH(L18,{3,4,5,6,7},0))</f>
        <v>#N/A</v>
      </c>
      <c r="N18" t="e">
        <v>#N/A</v>
      </c>
      <c r="O18" s="1" t="str">
        <f t="shared" si="1"/>
        <v>OK</v>
      </c>
      <c r="R18">
        <f>MATCH(K18,{"E","F","G","H"},0)</f>
        <v>3</v>
      </c>
      <c r="S18" t="e">
        <f>MATCH(L18,{3,4,5,6,7},0)</f>
        <v>#N/A</v>
      </c>
      <c r="T18" t="e">
        <f>INDEX({"B","B","A","A","A";"C","B","B","B","A";"C","C","C","B","B";"C","C","C","C","C"},R18,S18)</f>
        <v>#N/A</v>
      </c>
    </row>
    <row r="19" spans="10:20" ht="16.5" thickTop="1" thickBot="1" x14ac:dyDescent="0.3">
      <c r="J19" s="111"/>
      <c r="K19" s="4" t="s">
        <v>25</v>
      </c>
      <c r="L19" s="4">
        <v>8</v>
      </c>
      <c r="M19" s="7" t="e">
        <f>INDEX({"B","B","A","A","A";"C","B","B","B","A";"C","C","C","B","B";"C","C","C","C","C"},MATCH(K19,{"E","F","G","H"},0),MATCH(L19,{3,4,5,6,7},0))</f>
        <v>#N/A</v>
      </c>
      <c r="N19" t="e">
        <v>#N/A</v>
      </c>
      <c r="O19" s="1" t="str">
        <f t="shared" si="1"/>
        <v>OK</v>
      </c>
      <c r="R19" t="e">
        <f>MATCH(K19,{"E","F","G","H"},0)</f>
        <v>#N/A</v>
      </c>
      <c r="S19" t="e">
        <f>MATCH(L19,{3,4,5,6,7},0)</f>
        <v>#N/A</v>
      </c>
      <c r="T19" t="e">
        <f>INDEX({"B","B","A","A","A";"C","B","B","B","A";"C","C","C","B","B";"C","C","C","C","C"},R19,S19)</f>
        <v>#N/A</v>
      </c>
    </row>
    <row r="20" spans="10:20" ht="16.5" thickTop="1" thickBot="1" x14ac:dyDescent="0.3">
      <c r="J20" s="111"/>
      <c r="K20" s="4">
        <v>4</v>
      </c>
      <c r="L20" s="4" t="s">
        <v>2</v>
      </c>
      <c r="M20" s="7" t="e">
        <f>INDEX({"B","B","A","A","A";"C","B","B","B","A";"C","C","C","B","B";"C","C","C","C","C"},MATCH(K20,{"E","F","G","H"},0),MATCH(L20,{3,4,5,6,7},0))</f>
        <v>#N/A</v>
      </c>
      <c r="N20" t="e">
        <v>#N/A</v>
      </c>
      <c r="O20" s="1" t="str">
        <f t="shared" si="1"/>
        <v>OK</v>
      </c>
      <c r="R20" t="e">
        <f>MATCH(K20,{"E","F","G","H"},0)</f>
        <v>#N/A</v>
      </c>
      <c r="S20" t="e">
        <f>MATCH(L20,{3,4,5,6,7},0)</f>
        <v>#N/A</v>
      </c>
      <c r="T20" t="e">
        <f>INDEX({"B","B","A","A","A";"C","B","B","B","A";"C","C","C","B","B";"C","C","C","C","C"},R20,S20)</f>
        <v>#N/A</v>
      </c>
    </row>
    <row r="21" spans="10:20" ht="16.5" thickTop="1" thickBot="1" x14ac:dyDescent="0.3">
      <c r="J21" s="111"/>
      <c r="K21" s="4" t="s">
        <v>28</v>
      </c>
      <c r="L21" s="4">
        <v>5</v>
      </c>
      <c r="M21" s="7" t="e">
        <f>INDEX({"B","B","A","A","A";"C","B","B","B","A";"C","C","C","B","B";"C","C","C","C","C"},MATCH(K21,{"E","F","G","H"},0),MATCH(L21,{3,4,5,6,7},0))</f>
        <v>#N/A</v>
      </c>
      <c r="N21" t="e">
        <v>#N/A</v>
      </c>
      <c r="O21" s="1" t="str">
        <f t="shared" si="1"/>
        <v>OK</v>
      </c>
      <c r="R21" t="e">
        <f>MATCH(K21,{"E","F","G","H"},0)</f>
        <v>#N/A</v>
      </c>
      <c r="S21">
        <f>MATCH(L21,{3,4,5,6,7},0)</f>
        <v>3</v>
      </c>
      <c r="T21" t="e">
        <f>INDEX({"B","B","A","A","A";"C","B","B","B","A";"C","C","C","B","B";"C","C","C","C","C"},R21,S21)</f>
        <v>#N/A</v>
      </c>
    </row>
    <row r="22" spans="10:20" ht="16.5" thickTop="1" thickBot="1" x14ac:dyDescent="0.3">
      <c r="J22" s="111"/>
      <c r="K22" s="4" t="s">
        <v>29</v>
      </c>
      <c r="L22" s="4">
        <v>3.1</v>
      </c>
      <c r="M22" s="7" t="e">
        <f>INDEX({"B","B","A","A","A";"C","B","B","B","A";"C","C","C","B","B";"C","C","C","C","C"},MATCH(K22,{"E","F","G","H"},0),MATCH(L22,{3,4,5,6,7},0))</f>
        <v>#N/A</v>
      </c>
      <c r="N22" t="e">
        <v>#N/A</v>
      </c>
      <c r="O22" s="1" t="str">
        <f t="shared" si="1"/>
        <v>OK</v>
      </c>
      <c r="R22" t="e">
        <f>MATCH(K22,{"E","F","G","H"},0)</f>
        <v>#N/A</v>
      </c>
      <c r="S22" t="e">
        <f>MATCH(L22,{3,4,5,6,7},0)</f>
        <v>#N/A</v>
      </c>
      <c r="T22" t="e">
        <f>INDEX({"B","B","A","A","A";"C","B","B","B","A";"C","C","C","B","B";"C","C","C","C","C"},R22,S22)</f>
        <v>#N/A</v>
      </c>
    </row>
    <row r="23" spans="10:20" ht="16.5" thickTop="1" thickBot="1" x14ac:dyDescent="0.3">
      <c r="J23" s="111"/>
      <c r="K23" s="4"/>
      <c r="L23" s="4">
        <v>2</v>
      </c>
      <c r="M23" s="7" t="e">
        <f>INDEX({"B","B","A","A","A";"C","B","B","B","A";"C","C","C","B","B";"C","C","C","C","C"},MATCH(K23,{"E","F","G","H"},0),MATCH(L23,{3,4,5,6,7},0))</f>
        <v>#N/A</v>
      </c>
      <c r="N23" t="e">
        <v>#N/A</v>
      </c>
      <c r="O23" s="1" t="str">
        <f t="shared" si="1"/>
        <v>OK</v>
      </c>
      <c r="R23" t="e">
        <f>MATCH(K23,{"E","F","G","H"},0)</f>
        <v>#N/A</v>
      </c>
      <c r="S23" t="e">
        <f>MATCH(L23,{3,4,5,6,7},0)</f>
        <v>#N/A</v>
      </c>
      <c r="T23" t="e">
        <f>INDEX({"B","B","A","A","A";"C","B","B","B","A";"C","C","C","B","B";"C","C","C","C","C"},R23,S23)</f>
        <v>#N/A</v>
      </c>
    </row>
    <row r="24" spans="10:20" ht="16.5" thickTop="1" thickBot="1" x14ac:dyDescent="0.3">
      <c r="J24" s="111"/>
      <c r="K24" s="4"/>
      <c r="L24" s="4"/>
      <c r="M24" s="7" t="e">
        <f>INDEX({"B","B","A","A","A";"C","B","B","B","A";"C","C","C","B","B";"C","C","C","C","C"},MATCH(K24,{"E","F","G","H"},0),MATCH(L24,{3,4,5,6,7},0))</f>
        <v>#N/A</v>
      </c>
      <c r="N24" t="e">
        <v>#N/A</v>
      </c>
      <c r="O24" s="1" t="str">
        <f t="shared" si="1"/>
        <v>OK</v>
      </c>
      <c r="R24" t="e">
        <f>MATCH(K24,{"E","F","G","H"},0)</f>
        <v>#N/A</v>
      </c>
      <c r="S24" t="e">
        <f>MATCH(L24,{3,4,5,6,7},0)</f>
        <v>#N/A</v>
      </c>
      <c r="T24" t="e">
        <f>INDEX({"B","B","A","A","A";"C","B","B","B","A";"C","C","C","B","B";"C","C","C","C","C"},R24,S24)</f>
        <v>#N/A</v>
      </c>
    </row>
    <row r="25" spans="10:20" ht="16.5" thickTop="1" thickBot="1" x14ac:dyDescent="0.3">
      <c r="J25" s="111"/>
      <c r="K25" s="4" t="s">
        <v>30</v>
      </c>
      <c r="L25" s="4"/>
      <c r="M25" s="7" t="e">
        <f>INDEX({"B","B","A","A","A";"C","B","B","B","A";"C","C","C","B","B";"C","C","C","C","C"},MATCH(K25,{"E","F","G","H"},0),MATCH(L25,{3,4,5,6,7},0))</f>
        <v>#N/A</v>
      </c>
      <c r="N25" t="e">
        <v>#N/A</v>
      </c>
      <c r="O25" s="1" t="str">
        <f t="shared" si="1"/>
        <v>OK</v>
      </c>
      <c r="R25" t="e">
        <f>MATCH(K25,{"E","F","G","H"},0)</f>
        <v>#N/A</v>
      </c>
      <c r="S25" t="e">
        <f>MATCH(L25,{3,4,5,6,7},0)</f>
        <v>#N/A</v>
      </c>
      <c r="T25" t="e">
        <f>INDEX({"B","B","A","A","A";"C","B","B","B","A";"C","C","C","B","B";"C","C","C","C","C"},R25,S25)</f>
        <v>#N/A</v>
      </c>
    </row>
    <row r="26" spans="10:20" ht="15.75" thickTop="1" x14ac:dyDescent="0.25"/>
  </sheetData>
  <mergeCells count="4">
    <mergeCell ref="C1:G1"/>
    <mergeCell ref="A3:A6"/>
    <mergeCell ref="J16:J25"/>
    <mergeCell ref="J7:J13"/>
  </mergeCells>
  <conditionalFormatting sqref="C3:G6">
    <cfRule type="cellIs" dxfId="59" priority="1" operator="equal">
      <formula>"B"</formula>
    </cfRule>
    <cfRule type="cellIs" dxfId="58" priority="2" operator="equal">
      <formula>"C"</formula>
    </cfRule>
    <cfRule type="cellIs" dxfId="57" priority="3" operator="equal">
      <formula>"A"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3"/>
  <sheetViews>
    <sheetView workbookViewId="0">
      <selection activeCell="E2" sqref="E2"/>
    </sheetView>
  </sheetViews>
  <sheetFormatPr defaultRowHeight="15" x14ac:dyDescent="0.25"/>
  <cols>
    <col min="1" max="1" width="9.7109375" bestFit="1" customWidth="1"/>
    <col min="2" max="2" width="23.42578125" bestFit="1" customWidth="1"/>
  </cols>
  <sheetData>
    <row r="1" spans="1:2" x14ac:dyDescent="0.25">
      <c r="A1" t="s">
        <v>102</v>
      </c>
      <c r="B1" t="s">
        <v>101</v>
      </c>
    </row>
    <row r="2" spans="1:2" x14ac:dyDescent="0.25">
      <c r="A2" t="s">
        <v>100</v>
      </c>
      <c r="B2" t="s">
        <v>99</v>
      </c>
    </row>
    <row r="3" spans="1:2" x14ac:dyDescent="0.25">
      <c r="A3" t="s">
        <v>98</v>
      </c>
      <c r="B3" t="s">
        <v>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8"/>
  <sheetViews>
    <sheetView workbookViewId="0">
      <selection activeCell="A37" sqref="A37"/>
    </sheetView>
  </sheetViews>
  <sheetFormatPr defaultRowHeight="15" x14ac:dyDescent="0.25"/>
  <cols>
    <col min="1" max="1" width="51.140625" bestFit="1" customWidth="1"/>
    <col min="2" max="2" width="17.42578125" customWidth="1"/>
    <col min="3" max="3" width="14.7109375" style="36" customWidth="1"/>
    <col min="4" max="4" width="27.5703125" style="36" customWidth="1"/>
    <col min="5" max="5" width="11" customWidth="1"/>
    <col min="6" max="6" width="14.42578125" customWidth="1"/>
    <col min="7" max="7" width="21.85546875" customWidth="1"/>
    <col min="8" max="8" width="18.5703125" customWidth="1"/>
    <col min="9" max="9" width="19.42578125" customWidth="1"/>
    <col min="10" max="10" width="16.42578125" customWidth="1"/>
    <col min="11" max="11" width="22.28515625" customWidth="1"/>
    <col min="12" max="12" width="20.5703125" customWidth="1"/>
    <col min="13" max="13" width="21.42578125" customWidth="1"/>
    <col min="14" max="14" width="12" customWidth="1"/>
    <col min="15" max="15" width="12.42578125" customWidth="1"/>
    <col min="16" max="16" width="12" customWidth="1"/>
  </cols>
  <sheetData>
    <row r="1" spans="1:16" s="37" customFormat="1" ht="45" x14ac:dyDescent="0.25">
      <c r="A1" s="37" t="s">
        <v>137</v>
      </c>
      <c r="B1" s="37" t="s">
        <v>136</v>
      </c>
      <c r="C1" s="37" t="s">
        <v>140</v>
      </c>
      <c r="D1" s="37" t="s">
        <v>146</v>
      </c>
      <c r="E1" s="37" t="s">
        <v>135</v>
      </c>
      <c r="F1" s="37" t="s">
        <v>134</v>
      </c>
      <c r="G1" s="37" t="s">
        <v>133</v>
      </c>
      <c r="H1" s="37" t="s">
        <v>132</v>
      </c>
      <c r="I1" s="37" t="s">
        <v>131</v>
      </c>
      <c r="J1" s="37" t="s">
        <v>130</v>
      </c>
      <c r="K1" s="37" t="s">
        <v>129</v>
      </c>
      <c r="L1" s="37" t="s">
        <v>128</v>
      </c>
      <c r="M1" s="37" t="s">
        <v>127</v>
      </c>
      <c r="N1" s="37" t="s">
        <v>126</v>
      </c>
      <c r="O1" s="37" t="s">
        <v>17</v>
      </c>
      <c r="P1" s="37" t="s">
        <v>125</v>
      </c>
    </row>
    <row r="2" spans="1:16" x14ac:dyDescent="0.25">
      <c r="A2" s="37" t="s">
        <v>143</v>
      </c>
      <c r="B2" s="37" t="s">
        <v>144</v>
      </c>
      <c r="C2" s="37" t="s">
        <v>145</v>
      </c>
      <c r="D2" s="37" t="s">
        <v>147</v>
      </c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</row>
    <row r="3" spans="1:16" x14ac:dyDescent="0.25">
      <c r="A3" t="s">
        <v>160</v>
      </c>
      <c r="B3" t="s">
        <v>124</v>
      </c>
      <c r="C3" s="36" t="s">
        <v>141</v>
      </c>
      <c r="D3" s="36" t="s">
        <v>148</v>
      </c>
      <c r="N3" t="s">
        <v>0</v>
      </c>
      <c r="O3">
        <v>8</v>
      </c>
    </row>
    <row r="4" spans="1:16" ht="30" x14ac:dyDescent="0.25">
      <c r="A4" t="s">
        <v>138</v>
      </c>
      <c r="B4" t="s">
        <v>139</v>
      </c>
      <c r="C4" s="36" t="s">
        <v>142</v>
      </c>
      <c r="D4" s="36" t="s">
        <v>149</v>
      </c>
    </row>
    <row r="5" spans="1:16" x14ac:dyDescent="0.25">
      <c r="A5" t="s">
        <v>161</v>
      </c>
    </row>
    <row r="6" spans="1:16" x14ac:dyDescent="0.25">
      <c r="A6" t="s">
        <v>162</v>
      </c>
    </row>
    <row r="7" spans="1:16" x14ac:dyDescent="0.25">
      <c r="A7" t="s">
        <v>163</v>
      </c>
    </row>
    <row r="8" spans="1:16" x14ac:dyDescent="0.25">
      <c r="A8" t="s">
        <v>164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L8"/>
  <sheetViews>
    <sheetView workbookViewId="0">
      <selection activeCell="C14" sqref="C14"/>
    </sheetView>
  </sheetViews>
  <sheetFormatPr defaultRowHeight="15" x14ac:dyDescent="0.25"/>
  <cols>
    <col min="2" max="2" width="22.5703125" customWidth="1"/>
    <col min="3" max="3" width="81.140625" customWidth="1"/>
    <col min="4" max="4" width="14.5703125" customWidth="1"/>
    <col min="5" max="5" width="10" customWidth="1"/>
    <col min="6" max="6" width="13.42578125" customWidth="1"/>
    <col min="7" max="7" width="11.5703125" customWidth="1"/>
    <col min="8" max="8" width="10.85546875" customWidth="1"/>
    <col min="9" max="9" width="12.42578125" customWidth="1"/>
    <col min="10" max="10" width="21.5703125" customWidth="1"/>
    <col min="11" max="11" width="12" customWidth="1"/>
    <col min="12" max="12" width="12.140625" customWidth="1"/>
  </cols>
  <sheetData>
    <row r="2" spans="2:12" x14ac:dyDescent="0.25">
      <c r="B2" t="s">
        <v>642</v>
      </c>
      <c r="C2" t="s">
        <v>643</v>
      </c>
      <c r="D2" t="s">
        <v>1017</v>
      </c>
      <c r="E2" t="s">
        <v>144</v>
      </c>
      <c r="F2" t="s">
        <v>1018</v>
      </c>
      <c r="G2" t="s">
        <v>1019</v>
      </c>
      <c r="H2" t="s">
        <v>1020</v>
      </c>
      <c r="I2" t="s">
        <v>1021</v>
      </c>
      <c r="J2" t="s">
        <v>1022</v>
      </c>
      <c r="K2" t="s">
        <v>1023</v>
      </c>
      <c r="L2" t="s">
        <v>124</v>
      </c>
    </row>
    <row r="3" spans="2:12" x14ac:dyDescent="0.25">
      <c r="B3" t="s">
        <v>1024</v>
      </c>
      <c r="C3" t="s">
        <v>1025</v>
      </c>
      <c r="D3" t="s">
        <v>1026</v>
      </c>
      <c r="E3" t="s">
        <v>1027</v>
      </c>
      <c r="F3" t="s">
        <v>1028</v>
      </c>
      <c r="G3" t="s">
        <v>1029</v>
      </c>
      <c r="H3" t="s">
        <v>49</v>
      </c>
      <c r="I3" t="s">
        <v>49</v>
      </c>
      <c r="K3" t="s">
        <v>1030</v>
      </c>
      <c r="L3" t="s">
        <v>722</v>
      </c>
    </row>
    <row r="4" spans="2:12" x14ac:dyDescent="0.25">
      <c r="B4" t="s">
        <v>1031</v>
      </c>
      <c r="C4" t="s">
        <v>1032</v>
      </c>
      <c r="D4" t="s">
        <v>1033</v>
      </c>
      <c r="E4" t="s">
        <v>1027</v>
      </c>
      <c r="F4" t="s">
        <v>1034</v>
      </c>
      <c r="G4" t="s">
        <v>1035</v>
      </c>
      <c r="H4" t="s">
        <v>49</v>
      </c>
      <c r="I4" t="s">
        <v>49</v>
      </c>
      <c r="K4" t="s">
        <v>1036</v>
      </c>
      <c r="L4" t="s">
        <v>716</v>
      </c>
    </row>
    <row r="5" spans="2:12" x14ac:dyDescent="0.25">
      <c r="B5" t="s">
        <v>1037</v>
      </c>
      <c r="C5" t="s">
        <v>1032</v>
      </c>
      <c r="D5" t="s">
        <v>1033</v>
      </c>
      <c r="E5" t="s">
        <v>1027</v>
      </c>
      <c r="F5" t="s">
        <v>1034</v>
      </c>
      <c r="G5" t="s">
        <v>1035</v>
      </c>
      <c r="H5" t="s">
        <v>49</v>
      </c>
      <c r="I5" t="s">
        <v>49</v>
      </c>
      <c r="K5" t="s">
        <v>1036</v>
      </c>
      <c r="L5" t="s">
        <v>716</v>
      </c>
    </row>
    <row r="6" spans="2:12" x14ac:dyDescent="0.25">
      <c r="B6" t="s">
        <v>1038</v>
      </c>
      <c r="C6" t="s">
        <v>1025</v>
      </c>
      <c r="D6" t="s">
        <v>1026</v>
      </c>
      <c r="E6" t="s">
        <v>1027</v>
      </c>
      <c r="F6" t="s">
        <v>1028</v>
      </c>
      <c r="G6" t="s">
        <v>1029</v>
      </c>
      <c r="H6" t="s">
        <v>49</v>
      </c>
      <c r="I6" t="s">
        <v>49</v>
      </c>
      <c r="K6" t="s">
        <v>1030</v>
      </c>
      <c r="L6" t="s">
        <v>722</v>
      </c>
    </row>
    <row r="7" spans="2:12" x14ac:dyDescent="0.25">
      <c r="B7" t="s">
        <v>1039</v>
      </c>
      <c r="C7" t="s">
        <v>1040</v>
      </c>
      <c r="D7" t="s">
        <v>1033</v>
      </c>
      <c r="E7" t="s">
        <v>1027</v>
      </c>
      <c r="F7" t="s">
        <v>1041</v>
      </c>
      <c r="G7" t="s">
        <v>1042</v>
      </c>
      <c r="H7" t="s">
        <v>49</v>
      </c>
      <c r="I7" t="s">
        <v>49</v>
      </c>
      <c r="J7" t="s">
        <v>1043</v>
      </c>
      <c r="K7" t="s">
        <v>1044</v>
      </c>
      <c r="L7" t="s">
        <v>767</v>
      </c>
    </row>
    <row r="8" spans="2:12" x14ac:dyDescent="0.25">
      <c r="B8" t="s">
        <v>1045</v>
      </c>
      <c r="C8" t="s">
        <v>1046</v>
      </c>
      <c r="D8" t="s">
        <v>1047</v>
      </c>
      <c r="E8" t="s">
        <v>1027</v>
      </c>
      <c r="F8" t="s">
        <v>1048</v>
      </c>
      <c r="G8" t="s">
        <v>1049</v>
      </c>
      <c r="H8" t="s">
        <v>48</v>
      </c>
      <c r="I8" t="s">
        <v>48</v>
      </c>
      <c r="J8" t="s">
        <v>1043</v>
      </c>
      <c r="K8" t="s">
        <v>1044</v>
      </c>
      <c r="L8" t="s">
        <v>698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O3"/>
  <sheetViews>
    <sheetView workbookViewId="0">
      <selection activeCell="B2" sqref="B2"/>
    </sheetView>
  </sheetViews>
  <sheetFormatPr defaultRowHeight="15" x14ac:dyDescent="0.25"/>
  <cols>
    <col min="1" max="1" width="13.85546875" customWidth="1"/>
    <col min="2" max="2" width="21.85546875" bestFit="1" customWidth="1"/>
    <col min="3" max="3" width="31" customWidth="1"/>
    <col min="4" max="4" width="10.140625" customWidth="1"/>
    <col min="5" max="6" width="10" customWidth="1"/>
    <col min="7" max="8" width="10.140625" customWidth="1"/>
    <col min="9" max="10" width="12.42578125" customWidth="1"/>
    <col min="11" max="12" width="12.5703125" customWidth="1"/>
  </cols>
  <sheetData>
    <row r="1" spans="1:15" x14ac:dyDescent="0.25">
      <c r="A1" s="67" t="s">
        <v>599</v>
      </c>
      <c r="B1" s="67" t="s">
        <v>101</v>
      </c>
      <c r="C1" s="68" t="s">
        <v>600</v>
      </c>
      <c r="D1" s="69" t="s">
        <v>17</v>
      </c>
      <c r="E1" s="70" t="s">
        <v>601</v>
      </c>
      <c r="F1" s="71" t="s">
        <v>602</v>
      </c>
      <c r="G1" s="71" t="s">
        <v>603</v>
      </c>
      <c r="H1" s="72" t="s">
        <v>604</v>
      </c>
      <c r="I1" s="73" t="s">
        <v>605</v>
      </c>
      <c r="J1" s="74" t="s">
        <v>606</v>
      </c>
      <c r="K1" s="74" t="s">
        <v>607</v>
      </c>
      <c r="L1" s="75" t="s">
        <v>608</v>
      </c>
      <c r="M1" s="76" t="s">
        <v>609</v>
      </c>
      <c r="N1" s="77" t="s">
        <v>125</v>
      </c>
      <c r="O1" s="80" t="s">
        <v>610</v>
      </c>
    </row>
    <row r="2" spans="1:15" x14ac:dyDescent="0.25">
      <c r="A2" s="78" t="s">
        <v>611</v>
      </c>
      <c r="B2" s="78" t="s">
        <v>612</v>
      </c>
      <c r="C2" s="79">
        <v>4</v>
      </c>
      <c r="D2" s="78">
        <v>3</v>
      </c>
      <c r="E2" s="78" t="s">
        <v>616</v>
      </c>
      <c r="F2" s="78" t="s">
        <v>617</v>
      </c>
      <c r="G2" s="78" t="s">
        <v>617</v>
      </c>
      <c r="H2" s="78" t="s">
        <v>617</v>
      </c>
      <c r="I2" s="78">
        <v>8</v>
      </c>
      <c r="J2" s="78">
        <v>2</v>
      </c>
      <c r="K2" s="78">
        <v>2</v>
      </c>
      <c r="L2" s="78">
        <v>2</v>
      </c>
      <c r="M2" s="78">
        <v>8</v>
      </c>
      <c r="N2" s="78" t="s">
        <v>0</v>
      </c>
      <c r="O2" s="78" t="s">
        <v>613</v>
      </c>
    </row>
    <row r="3" spans="1:15" x14ac:dyDescent="0.25">
      <c r="A3" s="81" t="s">
        <v>614</v>
      </c>
      <c r="B3" s="81" t="s">
        <v>615</v>
      </c>
      <c r="C3" s="82">
        <v>37</v>
      </c>
      <c r="D3" s="81">
        <v>7</v>
      </c>
      <c r="E3" s="81" t="s">
        <v>618</v>
      </c>
      <c r="F3" s="81" t="s">
        <v>617</v>
      </c>
      <c r="G3" s="81" t="s">
        <v>617</v>
      </c>
      <c r="H3" s="81" t="s">
        <v>617</v>
      </c>
      <c r="I3" s="81">
        <v>4</v>
      </c>
      <c r="J3" s="81">
        <v>2</v>
      </c>
      <c r="K3" s="81">
        <v>2</v>
      </c>
      <c r="L3" s="81">
        <v>2</v>
      </c>
      <c r="M3" s="81">
        <v>4</v>
      </c>
      <c r="N3" s="81" t="s">
        <v>1</v>
      </c>
      <c r="O3" s="81" t="s">
        <v>613</v>
      </c>
    </row>
  </sheetData>
  <dataValidations count="1">
    <dataValidation type="list" allowBlank="1" showInputMessage="1" showErrorMessage="1" sqref="E1:H1">
      <formula1>Impact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J309"/>
  <sheetViews>
    <sheetView zoomScaleNormal="100" workbookViewId="0"/>
  </sheetViews>
  <sheetFormatPr defaultRowHeight="15" x14ac:dyDescent="0.25"/>
  <cols>
    <col min="1" max="1" width="25" style="36" customWidth="1"/>
    <col min="2" max="2" width="14.140625" customWidth="1"/>
    <col min="3" max="3" width="13.140625" style="2" customWidth="1"/>
    <col min="4" max="4" width="12.42578125" style="42" customWidth="1"/>
    <col min="5" max="5" width="9.5703125" style="43" hidden="1" customWidth="1"/>
    <col min="6" max="6" width="77" style="36" customWidth="1"/>
    <col min="8" max="9" width="28.85546875" customWidth="1"/>
    <col min="10" max="10" width="7.28515625" customWidth="1"/>
    <col min="11" max="11" width="11.5703125" customWidth="1"/>
    <col min="13" max="13" width="41" customWidth="1"/>
    <col min="14" max="14" width="13.42578125" customWidth="1"/>
    <col min="15" max="15" width="15.28515625" customWidth="1"/>
    <col min="16" max="16" width="67.28515625" customWidth="1"/>
    <col min="17" max="17" width="11.7109375" customWidth="1"/>
    <col min="18" max="21" width="9.140625" customWidth="1"/>
    <col min="22" max="22" width="32.140625" customWidth="1"/>
    <col min="23" max="25" width="9.140625" customWidth="1"/>
    <col min="26" max="26" width="11.140625" customWidth="1"/>
    <col min="27" max="27" width="11.42578125" customWidth="1"/>
    <col min="28" max="28" width="9.140625" customWidth="1"/>
  </cols>
  <sheetData>
    <row r="1" spans="1:36" ht="27" thickBot="1" x14ac:dyDescent="0.35">
      <c r="A1" s="40" t="s">
        <v>165</v>
      </c>
      <c r="B1" s="41" t="s">
        <v>611</v>
      </c>
      <c r="C1" s="42"/>
      <c r="F1" s="85" t="s">
        <v>635</v>
      </c>
      <c r="G1" s="90">
        <v>4</v>
      </c>
      <c r="I1" s="33" t="s">
        <v>619</v>
      </c>
      <c r="K1" s="83" t="str">
        <f ca="1">K10</f>
        <v>A</v>
      </c>
      <c r="N1" t="s">
        <v>166</v>
      </c>
      <c r="X1" s="33"/>
      <c r="Y1" s="33"/>
      <c r="Z1" s="33"/>
      <c r="AA1" s="33"/>
      <c r="AE1" s="44"/>
      <c r="AF1" s="44"/>
      <c r="AG1" s="44"/>
      <c r="AH1" s="44"/>
      <c r="AI1" s="44"/>
      <c r="AJ1" s="44"/>
    </row>
    <row r="2" spans="1:36" ht="17.25" thickTop="1" thickBot="1" x14ac:dyDescent="0.3">
      <c r="A2" s="40" t="s">
        <v>101</v>
      </c>
      <c r="B2" s="45" t="s">
        <v>612</v>
      </c>
      <c r="C2" s="42"/>
      <c r="AE2" s="44"/>
      <c r="AF2" s="44"/>
      <c r="AG2" s="44"/>
      <c r="AH2" s="44"/>
      <c r="AI2" s="44"/>
      <c r="AJ2" s="44"/>
    </row>
    <row r="3" spans="1:36" ht="23.25" customHeight="1" x14ac:dyDescent="0.25">
      <c r="A3" s="46" t="s">
        <v>167</v>
      </c>
      <c r="B3" s="43"/>
      <c r="C3" s="42"/>
      <c r="N3" t="s">
        <v>168</v>
      </c>
      <c r="O3" t="s">
        <v>169</v>
      </c>
      <c r="P3" t="s">
        <v>170</v>
      </c>
      <c r="Q3" t="s">
        <v>171</v>
      </c>
      <c r="R3" t="s">
        <v>172</v>
      </c>
      <c r="S3" t="s">
        <v>173</v>
      </c>
      <c r="T3" t="s">
        <v>174</v>
      </c>
      <c r="U3" t="s">
        <v>175</v>
      </c>
      <c r="V3" t="s">
        <v>176</v>
      </c>
      <c r="W3" t="s">
        <v>177</v>
      </c>
      <c r="Z3" t="s">
        <v>168</v>
      </c>
      <c r="AA3" t="s">
        <v>178</v>
      </c>
      <c r="AE3" s="44"/>
      <c r="AF3" s="44"/>
      <c r="AG3" s="44"/>
      <c r="AH3" s="44"/>
      <c r="AI3" s="44"/>
      <c r="AJ3" s="44"/>
    </row>
    <row r="4" spans="1:36" ht="15.75" thickBot="1" x14ac:dyDescent="0.3">
      <c r="A4" s="46" t="s">
        <v>179</v>
      </c>
      <c r="B4" s="43"/>
      <c r="C4" s="42"/>
      <c r="N4" t="s">
        <v>180</v>
      </c>
      <c r="O4" t="s">
        <v>181</v>
      </c>
      <c r="P4" t="s">
        <v>182</v>
      </c>
      <c r="Q4" t="s">
        <v>0</v>
      </c>
      <c r="R4">
        <v>1</v>
      </c>
      <c r="S4">
        <v>0</v>
      </c>
      <c r="T4">
        <f>1</f>
        <v>1</v>
      </c>
      <c r="U4" t="str">
        <f>IF($T4&lt;=Z$4,INDEX(TypicalCriticalitiesMAHBarrier[Barrier Family Description],MATCH($T4,TypicalCriticalitiesMAHBarrier[Barrier Family ID],0)),"")</f>
        <v>Structural Integrity</v>
      </c>
      <c r="V4" t="str">
        <f ca="1">IF($T4&lt;=AA$4,INDEX(TypicalCriticalitiesMAHBarrier[Typical Components],MATCH($T4,TypicalCriticalitiesMAHBarrier[Column2],0)),"")</f>
        <v xml:space="preserve">Amplifiers 
Controllers 
External Speakers 
Internal Speakers 
Beacons / Strobe Lights 
Indicator Lights </v>
      </c>
      <c r="W4" t="str">
        <f ca="1">IF($T4&lt;=AA$4,INDEX(TypicalCriticalitiesMAHBarrier[Typical Criticality],MATCH($T4,TypicalCriticalitiesMAHBarrier[Column2],0)),"")</f>
        <v xml:space="preserve">A </v>
      </c>
      <c r="Y4" t="s">
        <v>183</v>
      </c>
      <c r="Z4">
        <f>MAX(TypicalCriticalitiesMAHBarrier[Barrier Family ID])</f>
        <v>54</v>
      </c>
      <c r="AA4">
        <f ca="1">MAX(TypicalCriticalitiesMAHBarrier[Column2])</f>
        <v>1</v>
      </c>
      <c r="AE4" s="44"/>
      <c r="AF4" s="44"/>
      <c r="AG4" s="44"/>
      <c r="AH4" s="44"/>
      <c r="AI4" s="44"/>
      <c r="AJ4" s="44"/>
    </row>
    <row r="5" spans="1:36" ht="16.5" thickTop="1" thickBot="1" x14ac:dyDescent="0.3">
      <c r="A5" s="131" t="s">
        <v>637</v>
      </c>
      <c r="B5" s="132"/>
      <c r="C5" s="132"/>
      <c r="D5" s="133"/>
      <c r="F5" s="118" t="s">
        <v>638</v>
      </c>
      <c r="G5" s="120"/>
      <c r="H5" s="134" t="s">
        <v>639</v>
      </c>
      <c r="I5" s="135"/>
      <c r="J5" s="135"/>
      <c r="K5" s="136"/>
      <c r="N5" t="s">
        <v>180</v>
      </c>
      <c r="O5" t="s">
        <v>181</v>
      </c>
      <c r="P5" t="s">
        <v>185</v>
      </c>
      <c r="Q5" t="s">
        <v>0</v>
      </c>
      <c r="R5">
        <f t="shared" ref="R5:R68" si="0">IF(AND(O5&lt;&gt;O4,O5&lt;&gt;""),R4+1,R4)</f>
        <v>1</v>
      </c>
      <c r="S5">
        <f t="shared" ref="S5:S68" ca="1" si="1">IF(R5=$Z$5,IF(AND(P5&lt;&gt;P4,P5&lt;&gt;""),S4+1,S4),S4)</f>
        <v>0</v>
      </c>
      <c r="T5">
        <f t="shared" ref="T5:T68" si="2">T4+1</f>
        <v>2</v>
      </c>
      <c r="U5" t="str">
        <f>IF($T5&lt;=Z$4,INDEX(TypicalCriticalitiesMAHBarrier[Barrier Family Description],MATCH($T5,TypicalCriticalitiesMAHBarrier[Barrier Family ID],0)),"")</f>
        <v>Stability loading control &amp; watertight integrity</v>
      </c>
      <c r="V5" t="str">
        <f ca="1">IF($T5&lt;=AA$4,INDEX(TypicalCriticalitiesMAHBarrier[Typical Components],MATCH($T5,TypicalCriticalitiesMAHBarrier[Column2],0)),"")</f>
        <v/>
      </c>
      <c r="W5" t="str">
        <f ca="1">IF($T5&lt;=AA$4,INDEX(TypicalCriticalitiesMAHBarrier[Typical Criticality],MATCH($T5,TypicalCriticalitiesMAHBarrier[Column2],0)),"")</f>
        <v/>
      </c>
      <c r="Y5" t="s">
        <v>186</v>
      </c>
      <c r="Z5">
        <f ca="1">MATCH(H17,BarrierFamilies,0)</f>
        <v>32</v>
      </c>
      <c r="AA5">
        <f ca="1">MATCH(I17,TypicalCriticalitiesMAHBarrier[ComponentList],0)</f>
        <v>1</v>
      </c>
      <c r="AE5" s="44"/>
      <c r="AF5" s="44"/>
      <c r="AG5" s="44"/>
      <c r="AH5" s="44"/>
      <c r="AI5" s="44"/>
      <c r="AJ5" s="44"/>
    </row>
    <row r="6" spans="1:36" ht="29.25" customHeight="1" thickTop="1" x14ac:dyDescent="0.25">
      <c r="A6" s="121" t="s">
        <v>187</v>
      </c>
      <c r="B6" s="121"/>
      <c r="C6" s="121"/>
      <c r="D6" s="121"/>
      <c r="F6" s="38" t="s">
        <v>184</v>
      </c>
      <c r="G6" s="47" t="str">
        <f>_xlfn.SWITCH(B9, "A", "YES","B", "YES","C", "YES","D", "YES","E", "NO","F", "NO","G", "NO","H", "NO","", "YES")</f>
        <v>NO</v>
      </c>
      <c r="I6" s="17"/>
      <c r="J6" s="88" t="s">
        <v>620</v>
      </c>
      <c r="K6" s="7" t="b">
        <f ca="1">K10&lt;&gt;K1</f>
        <v>0</v>
      </c>
      <c r="N6" t="s">
        <v>180</v>
      </c>
      <c r="O6" t="s">
        <v>181</v>
      </c>
      <c r="P6" t="s">
        <v>188</v>
      </c>
      <c r="Q6" t="s">
        <v>0</v>
      </c>
      <c r="R6">
        <f t="shared" si="0"/>
        <v>1</v>
      </c>
      <c r="S6">
        <f t="shared" ca="1" si="1"/>
        <v>0</v>
      </c>
      <c r="T6">
        <f t="shared" si="2"/>
        <v>3</v>
      </c>
      <c r="U6" t="str">
        <f>IF($T6&lt;=Z$4,INDEX(TypicalCriticalitiesMAHBarrier[Barrier Family Description],MATCH($T6,TypicalCriticalitiesMAHBarrier[Barrier Family ID],0)),"")</f>
        <v>Station Keeping</v>
      </c>
      <c r="V6" t="str">
        <f ca="1">IF($T6&lt;=AA$4,INDEX(TypicalCriticalitiesMAHBarrier[Typical Components],MATCH($T6,TypicalCriticalitiesMAHBarrier[Column2],0)),"")</f>
        <v/>
      </c>
      <c r="W6" t="str">
        <f ca="1">IF($T6&lt;=AA$4,INDEX(TypicalCriticalitiesMAHBarrier[Typical Criticality],MATCH($T6,TypicalCriticalitiesMAHBarrier[Column2],0)),"")</f>
        <v/>
      </c>
      <c r="AE6" s="44"/>
      <c r="AF6" s="44"/>
      <c r="AG6" s="44"/>
      <c r="AH6" s="44"/>
      <c r="AI6" s="44"/>
      <c r="AJ6" s="44"/>
    </row>
    <row r="7" spans="1:36" x14ac:dyDescent="0.25">
      <c r="A7" s="34" t="s">
        <v>189</v>
      </c>
      <c r="B7" s="42"/>
      <c r="C7" s="42"/>
      <c r="I7" s="122" t="s">
        <v>621</v>
      </c>
      <c r="J7" s="123"/>
      <c r="K7" s="124"/>
      <c r="N7" t="s">
        <v>180</v>
      </c>
      <c r="O7" t="s">
        <v>181</v>
      </c>
      <c r="P7" t="s">
        <v>191</v>
      </c>
      <c r="Q7" t="s">
        <v>2</v>
      </c>
      <c r="R7">
        <f t="shared" si="0"/>
        <v>1</v>
      </c>
      <c r="S7">
        <f t="shared" ca="1" si="1"/>
        <v>0</v>
      </c>
      <c r="T7">
        <f t="shared" si="2"/>
        <v>4</v>
      </c>
      <c r="U7" t="str">
        <f>IF($T7&lt;=Z$4,INDEX(TypicalCriticalitiesMAHBarrier[Barrier Family Description],MATCH($T7,TypicalCriticalitiesMAHBarrier[Barrier Family ID],0)),"")</f>
        <v>Swivel Stack Assembly</v>
      </c>
      <c r="V7" t="str">
        <f ca="1">IF($T7&lt;=AA$4,INDEX(TypicalCriticalitiesMAHBarrier[Typical Components],MATCH($T7,TypicalCriticalitiesMAHBarrier[Column2],0)),"")</f>
        <v/>
      </c>
      <c r="W7" t="str">
        <f ca="1">IF($T7&lt;=AA$4,INDEX(TypicalCriticalitiesMAHBarrier[Typical Criticality],MATCH($T7,TypicalCriticalitiesMAHBarrier[Column2],0)),"")</f>
        <v/>
      </c>
      <c r="AE7" s="44"/>
      <c r="AF7" s="44"/>
      <c r="AG7" s="44"/>
      <c r="AH7" s="44"/>
      <c r="AI7" s="44"/>
      <c r="AJ7" s="44"/>
    </row>
    <row r="8" spans="1:36" ht="21" x14ac:dyDescent="0.25">
      <c r="A8" s="46" t="s">
        <v>192</v>
      </c>
      <c r="B8" s="42" t="s">
        <v>8</v>
      </c>
      <c r="C8" s="42" t="s">
        <v>17</v>
      </c>
      <c r="D8" s="42" t="s">
        <v>73</v>
      </c>
      <c r="F8" s="87" t="s">
        <v>190</v>
      </c>
      <c r="G8" s="48">
        <f>MAX(G10:G13)</f>
        <v>8</v>
      </c>
      <c r="I8" s="125"/>
      <c r="J8" s="126"/>
      <c r="K8" s="127"/>
      <c r="N8" t="s">
        <v>180</v>
      </c>
      <c r="O8" t="s">
        <v>181</v>
      </c>
      <c r="P8" t="s">
        <v>195</v>
      </c>
      <c r="Q8" t="s">
        <v>0</v>
      </c>
      <c r="R8">
        <f t="shared" si="0"/>
        <v>1</v>
      </c>
      <c r="S8">
        <f t="shared" ca="1" si="1"/>
        <v>0</v>
      </c>
      <c r="T8">
        <f t="shared" si="2"/>
        <v>5</v>
      </c>
      <c r="U8" t="str">
        <f>IF($T8&lt;=Z$4,INDEX(TypicalCriticalitiesMAHBarrier[Barrier Family Description],MATCH($T8,TypicalCriticalitiesMAHBarrier[Barrier Family ID],0)),"")</f>
        <v>Swivel Fluid Barrier System</v>
      </c>
      <c r="V8" t="str">
        <f ca="1">IF($T8&lt;=AA$4,INDEX(TypicalCriticalitiesMAHBarrier[Typical Components],MATCH($T8,TypicalCriticalitiesMAHBarrier[Column2],0)),"")</f>
        <v/>
      </c>
      <c r="W8" t="str">
        <f ca="1">IF($T8&lt;=AA$4,INDEX(TypicalCriticalitiesMAHBarrier[Typical Criticality],MATCH($T8,TypicalCriticalitiesMAHBarrier[Column2],0)),"")</f>
        <v/>
      </c>
      <c r="Z8">
        <f ca="1">ROWS(BarrierFamilies)</f>
        <v>54</v>
      </c>
      <c r="AA8">
        <f ca="1">ROWS(TypicalComponents)</f>
        <v>1</v>
      </c>
      <c r="AE8" s="44"/>
      <c r="AF8" s="44"/>
      <c r="AG8" s="44"/>
      <c r="AH8" s="44"/>
      <c r="AI8" s="44"/>
      <c r="AJ8" s="44"/>
    </row>
    <row r="9" spans="1:36" x14ac:dyDescent="0.25">
      <c r="A9" s="50" t="s">
        <v>93</v>
      </c>
      <c r="B9" s="51" t="str">
        <f>CHAR(MIN(FAILURE_CODE_Safety_scenarios19[Code for Letter]))</f>
        <v>E</v>
      </c>
      <c r="C9" s="52">
        <f t="array" ref="C9">MAX(IF(FAILURE_CODE_Safety_scenarios19[Impact]=FAILURE_CODE_template18[[#This Row],[Impact]],FAILURE_CODE_Safety_scenarios19[Likelihood]))</f>
        <v>8</v>
      </c>
      <c r="D9" s="52">
        <f t="array" ref="D9">MAX(IF(FAILURE_CODE_Safety_scenarios19[Impact]=FAILURE_CODE_template18[[#This Row],[Impact]],FAILURE_CODE_Safety_scenarios19[Risk Score]))</f>
        <v>11</v>
      </c>
      <c r="F9" s="49" t="s">
        <v>193</v>
      </c>
      <c r="G9" s="4" t="s">
        <v>194</v>
      </c>
      <c r="I9" s="128"/>
      <c r="J9" s="129"/>
      <c r="K9" s="130"/>
      <c r="N9" t="s">
        <v>180</v>
      </c>
      <c r="O9" t="s">
        <v>181</v>
      </c>
      <c r="P9" t="s">
        <v>197</v>
      </c>
      <c r="Q9" t="s">
        <v>1</v>
      </c>
      <c r="R9">
        <f t="shared" si="0"/>
        <v>1</v>
      </c>
      <c r="S9">
        <f t="shared" ca="1" si="1"/>
        <v>0</v>
      </c>
      <c r="T9">
        <f t="shared" si="2"/>
        <v>6</v>
      </c>
      <c r="U9" t="str">
        <f>IF($T9&lt;=Z$4,INDEX(TypicalCriticalitiesMAHBarrier[Barrier Family Description],MATCH($T9,TypicalCriticalitiesMAHBarrier[Barrier Family ID],0)),"")</f>
        <v>Swivel/Turret Pipework</v>
      </c>
      <c r="V9" t="str">
        <f ca="1">IF($T9&lt;=AA$4,INDEX(TypicalCriticalitiesMAHBarrier[Typical Components],MATCH($T9,TypicalCriticalitiesMAHBarrier[Column2],0)),"")</f>
        <v/>
      </c>
      <c r="W9" t="str">
        <f ca="1">IF($T9&lt;=AA$4,INDEX(TypicalCriticalitiesMAHBarrier[Typical Criticality],MATCH($T9,TypicalCriticalitiesMAHBarrier[Column2],0)),"")</f>
        <v/>
      </c>
      <c r="AE9" s="44"/>
      <c r="AF9" s="44"/>
      <c r="AG9" s="44"/>
      <c r="AH9" s="44"/>
      <c r="AI9" s="44"/>
      <c r="AJ9" s="44"/>
    </row>
    <row r="10" spans="1:36" ht="18.75" x14ac:dyDescent="0.25">
      <c r="A10" s="50" t="s">
        <v>85</v>
      </c>
      <c r="B10" s="51" t="str">
        <f>CHAR(MIN(FAILURE_CODE_Environmetal_scenarios20[Code for Letter]))</f>
        <v>H</v>
      </c>
      <c r="C10" s="52">
        <f t="array" ref="C10">MAX(IF(FAILURE_CODE_Environmetal_scenarios20[Impact]=FAILURE_CODE_template18[[#This Row],[Impact]],FAILURE_CODE_Environmetal_scenarios20[Likelihood]))</f>
        <v>2</v>
      </c>
      <c r="D10" s="52">
        <f t="array" ref="D10">MAX(IF(FAILURE_CODE_Environmetal_scenarios20[Impact]=FAILURE_CODE_template18[[#This Row],[Impact]],FAILURE_CODE_Environmetal_scenarios20[Risk Score]))</f>
        <v>2</v>
      </c>
      <c r="F10" s="53" t="s">
        <v>196</v>
      </c>
      <c r="G10" s="54">
        <f>INDEX({10,10,10,10,8,6,4,2;10,10,10,9,7,5,3,1},
               IF(OR(G$9="SPARED",G$9="Y",G$9="yes",G$9),2,1),
               MATCH($B9,{"A","B","C","D","E","F","G","H"},0)
)</f>
        <v>8</v>
      </c>
      <c r="I10" s="55" t="s">
        <v>202</v>
      </c>
      <c r="K10" s="47" t="str">
        <f ca="1">IF(ISERR(SEARCH("A", K17 &amp; K29 &amp; K30 &amp; K31 &amp; K35 &amp; K36 &amp; K37)),
       IF(ISERR(SEARCH("B", K17 &amp; K29 &amp; K30 &amp; K31 &amp; K35 &amp; K36 &amp; K37)),"C","B"),
"A")</f>
        <v>A</v>
      </c>
      <c r="N10" t="s">
        <v>180</v>
      </c>
      <c r="O10" t="s">
        <v>181</v>
      </c>
      <c r="P10" t="s">
        <v>198</v>
      </c>
      <c r="Q10" t="s">
        <v>2</v>
      </c>
      <c r="R10">
        <f t="shared" si="0"/>
        <v>1</v>
      </c>
      <c r="S10">
        <f t="shared" ca="1" si="1"/>
        <v>0</v>
      </c>
      <c r="T10">
        <f t="shared" si="2"/>
        <v>7</v>
      </c>
      <c r="U10" t="str">
        <f>IF($T10&lt;=Z$4,INDEX(TypicalCriticalitiesMAHBarrier[Barrier Family Description],MATCH($T10,TypicalCriticalitiesMAHBarrier[Barrier Family ID],0)),"")</f>
        <v>Turret Chain Table</v>
      </c>
      <c r="V10" t="str">
        <f ca="1">IF($T10&lt;=AA$4,INDEX(TypicalCriticalitiesMAHBarrier[Typical Components],MATCH($T10,TypicalCriticalitiesMAHBarrier[Column2],0)),"")</f>
        <v/>
      </c>
      <c r="W10" t="str">
        <f ca="1">IF($T10&lt;=AA$4,INDEX(TypicalCriticalitiesMAHBarrier[Typical Criticality],MATCH($T10,TypicalCriticalitiesMAHBarrier[Column2],0)),"")</f>
        <v/>
      </c>
      <c r="AE10" s="44"/>
      <c r="AF10" s="44"/>
      <c r="AG10" s="44"/>
      <c r="AH10" s="44"/>
      <c r="AI10" s="44"/>
      <c r="AJ10" s="44"/>
    </row>
    <row r="11" spans="1:36" x14ac:dyDescent="0.25">
      <c r="A11" s="50" t="s">
        <v>94</v>
      </c>
      <c r="B11" s="51" t="str">
        <f>CHAR(MIN(FAILURE_CODE_Financial_scenarios21[Code for Letter]))</f>
        <v>H</v>
      </c>
      <c r="C11" s="52">
        <f t="array" ref="C11">MAX(IF(FAILURE_CODE_Financial_scenarios21[Impact]=FAILURE_CODE_template18[[#This Row],[Impact]],FAILURE_CODE_Financial_scenarios21[Likelihood]))</f>
        <v>2</v>
      </c>
      <c r="D11" s="52">
        <f t="array" ref="D11">MAX(IF(FAILURE_CODE_Financial_scenarios21[Impact]=FAILURE_CODE_template18[[#This Row],[Impact]],FAILURE_CODE_Financial_scenarios21[Risk Score]))</f>
        <v>2</v>
      </c>
      <c r="F11"/>
      <c r="G11" s="54">
        <f>INDEX({10,10,10,10,8,6,4,2;10,10,10,9,7,5,3,1},
               IF(OR(G$9="SPARED",G$9="Y",G$9="yes",G$9),2,1),
               MATCH($B10,{"A","B","C","D","E","F","G","H"},0)
)</f>
        <v>2</v>
      </c>
      <c r="I11" s="17" t="s">
        <v>622</v>
      </c>
      <c r="J11" s="43"/>
      <c r="N11" t="s">
        <v>199</v>
      </c>
      <c r="O11" t="s">
        <v>200</v>
      </c>
      <c r="P11" t="s">
        <v>201</v>
      </c>
      <c r="Q11" t="s">
        <v>0</v>
      </c>
      <c r="R11">
        <f t="shared" si="0"/>
        <v>2</v>
      </c>
      <c r="S11">
        <f t="shared" ca="1" si="1"/>
        <v>0</v>
      </c>
      <c r="T11">
        <f t="shared" si="2"/>
        <v>8</v>
      </c>
      <c r="U11" t="str">
        <f>IF($T11&lt;=Z$4,INDEX(TypicalCriticalitiesMAHBarrier[Barrier Family Description],MATCH($T11,TypicalCriticalitiesMAHBarrier[Barrier Family ID],0)),"")</f>
        <v>Main Turret Bearing</v>
      </c>
      <c r="V11" t="str">
        <f ca="1">IF($T11&lt;=AA$4,INDEX(TypicalCriticalitiesMAHBarrier[Typical Components],MATCH($T11,TypicalCriticalitiesMAHBarrier[Column2],0)),"")</f>
        <v/>
      </c>
      <c r="W11" t="str">
        <f ca="1">IF($T11&lt;=AA$4,INDEX(TypicalCriticalitiesMAHBarrier[Typical Criticality],MATCH($T11,TypicalCriticalitiesMAHBarrier[Column2],0)),"")</f>
        <v/>
      </c>
      <c r="AE11" s="44"/>
      <c r="AF11" s="44"/>
      <c r="AG11" s="44"/>
      <c r="AH11" s="44"/>
      <c r="AI11" s="44"/>
      <c r="AJ11" s="44"/>
    </row>
    <row r="12" spans="1:36" x14ac:dyDescent="0.25">
      <c r="A12" s="50" t="s">
        <v>92</v>
      </c>
      <c r="B12" s="51" t="str">
        <f>CHAR(MIN(FAILURE_CODE_Non_Financial_scenarios22[Code for Letter]))</f>
        <v>H</v>
      </c>
      <c r="C12" s="52">
        <f t="array" ref="C12">MAX(IF(FAILURE_CODE_Non_Financial_scenarios22[Impact]=FAILURE_CODE_template18[[#This Row],[Impact]],FAILURE_CODE_Non_Financial_scenarios22[Likelihood]))</f>
        <v>2</v>
      </c>
      <c r="D12" s="52">
        <f t="array" ref="D12">MAX(IF(FAILURE_CODE_Non_Financial_scenarios22[Impact]=FAILURE_CODE_template18[[#This Row],[Impact]],FAILURE_CODE_Non_Financial_scenarios22[Risk Score]))</f>
        <v>2</v>
      </c>
      <c r="F12"/>
      <c r="G12" s="54">
        <f>INDEX({10,10,10,10,8,6,4,2;10,10,10,9,7,5,3,1},
               IF(OR(G$9="SPARED",G$9="Y",G$9="yes",G$9),2,1),
               MATCH($B11,{"A","B","C","D","E","F","G","H"},0)
)</f>
        <v>2</v>
      </c>
      <c r="I12" s="17" t="s">
        <v>623</v>
      </c>
      <c r="N12" t="s">
        <v>199</v>
      </c>
      <c r="O12" t="s">
        <v>200</v>
      </c>
      <c r="P12" t="s">
        <v>203</v>
      </c>
      <c r="Q12" t="s">
        <v>0</v>
      </c>
      <c r="R12">
        <f t="shared" si="0"/>
        <v>2</v>
      </c>
      <c r="S12">
        <f t="shared" ca="1" si="1"/>
        <v>0</v>
      </c>
      <c r="T12">
        <f t="shared" si="2"/>
        <v>9</v>
      </c>
      <c r="U12" t="str">
        <f>IF($T12&lt;=Z$4,INDEX(TypicalCriticalitiesMAHBarrier[Barrier Family Description],MATCH($T12,TypicalCriticalitiesMAHBarrier[Barrier Family ID],0)),"")</f>
        <v>Wellhead integrity</v>
      </c>
      <c r="V12" t="str">
        <f ca="1">IF($T12&lt;=AA$4,INDEX(TypicalCriticalitiesMAHBarrier[Typical Components],MATCH($T12,TypicalCriticalitiesMAHBarrier[Column2],0)),"")</f>
        <v/>
      </c>
      <c r="W12" t="str">
        <f ca="1">IF($T12&lt;=AA$4,INDEX(TypicalCriticalitiesMAHBarrier[Typical Criticality],MATCH($T12,TypicalCriticalitiesMAHBarrier[Column2],0)),"")</f>
        <v/>
      </c>
      <c r="AE12" s="44"/>
      <c r="AF12" s="44"/>
      <c r="AG12" s="44"/>
      <c r="AH12" s="44"/>
      <c r="AI12" s="44"/>
      <c r="AJ12" s="44"/>
    </row>
    <row r="13" spans="1:36" ht="15.75" thickBot="1" x14ac:dyDescent="0.3">
      <c r="F13"/>
      <c r="G13" s="54">
        <f>INDEX({10,10,10,10,8,6,4,2;10,10,10,9,7,5,3,1},
               IF(OR(G$9="SPARED",G$9="Y",G$9="yes",G$9),2,1),
               MATCH($B12,{"A","B","C","D","E","F","G","H"},0)
)</f>
        <v>2</v>
      </c>
      <c r="N13" t="s">
        <v>199</v>
      </c>
      <c r="O13" t="s">
        <v>200</v>
      </c>
      <c r="P13" t="s">
        <v>204</v>
      </c>
      <c r="Q13" t="s">
        <v>0</v>
      </c>
      <c r="R13">
        <f t="shared" si="0"/>
        <v>2</v>
      </c>
      <c r="S13">
        <f t="shared" ca="1" si="1"/>
        <v>0</v>
      </c>
      <c r="T13">
        <f t="shared" si="2"/>
        <v>10</v>
      </c>
      <c r="U13" t="str">
        <f>IF($T13&lt;=Z$4,INDEX(TypicalCriticalitiesMAHBarrier[Barrier Family Description],MATCH($T13,TypicalCriticalitiesMAHBarrier[Barrier Family ID],0)),"")</f>
        <v>Subsea Integrity</v>
      </c>
      <c r="V13" t="str">
        <f ca="1">IF($T13&lt;=AA$4,INDEX(TypicalCriticalitiesMAHBarrier[Typical Components],MATCH($T13,TypicalCriticalitiesMAHBarrier[Column2],0)),"")</f>
        <v/>
      </c>
      <c r="W13" t="str">
        <f ca="1">IF($T13&lt;=AA$4,INDEX(TypicalCriticalitiesMAHBarrier[Typical Criticality],MATCH($T13,TypicalCriticalitiesMAHBarrier[Column2],0)),"")</f>
        <v/>
      </c>
      <c r="AE13" s="44"/>
      <c r="AF13" s="44"/>
      <c r="AG13" s="44"/>
      <c r="AH13" s="44"/>
      <c r="AI13" s="44"/>
      <c r="AJ13" s="44"/>
    </row>
    <row r="14" spans="1:36" ht="16.5" thickTop="1" thickBot="1" x14ac:dyDescent="0.3">
      <c r="A14" s="118" t="s">
        <v>640</v>
      </c>
      <c r="B14" s="119"/>
      <c r="C14" s="119"/>
      <c r="D14" s="119"/>
      <c r="E14" s="119"/>
      <c r="F14" s="120"/>
      <c r="N14" t="s">
        <v>199</v>
      </c>
      <c r="O14" t="s">
        <v>200</v>
      </c>
      <c r="P14" t="s">
        <v>205</v>
      </c>
      <c r="Q14" t="s">
        <v>1</v>
      </c>
      <c r="R14">
        <f t="shared" si="0"/>
        <v>2</v>
      </c>
      <c r="S14">
        <f t="shared" ca="1" si="1"/>
        <v>0</v>
      </c>
      <c r="T14">
        <f t="shared" si="2"/>
        <v>11</v>
      </c>
      <c r="U14" t="str">
        <f>IF($T14&lt;=Z$4,INDEX(TypicalCriticalitiesMAHBarrier[Barrier Family Description],MATCH($T14,TypicalCriticalitiesMAHBarrier[Barrier Family ID],0)),"")</f>
        <v>Process Containment Integrity</v>
      </c>
      <c r="V14" t="str">
        <f ca="1">IF($T14&lt;=AA$4,INDEX(TypicalCriticalitiesMAHBarrier[Typical Components],MATCH($T14,TypicalCriticalitiesMAHBarrier[Column2],0)),"")</f>
        <v/>
      </c>
      <c r="W14" t="str">
        <f ca="1">IF($T14&lt;=AA$4,INDEX(TypicalCriticalitiesMAHBarrier[Typical Criticality],MATCH($T14,TypicalCriticalitiesMAHBarrier[Column2],0)),"")</f>
        <v/>
      </c>
      <c r="AE14" s="44"/>
      <c r="AF14" s="44"/>
      <c r="AG14" s="44"/>
      <c r="AH14" s="44"/>
      <c r="AI14" s="44"/>
      <c r="AJ14" s="44"/>
    </row>
    <row r="15" spans="1:36" s="43" customFormat="1" ht="15.75" thickTop="1" x14ac:dyDescent="0.25">
      <c r="A15" s="46" t="s">
        <v>206</v>
      </c>
      <c r="B15" s="42" t="s">
        <v>8</v>
      </c>
      <c r="C15" s="42" t="s">
        <v>17</v>
      </c>
      <c r="D15" s="43" t="s">
        <v>207</v>
      </c>
      <c r="E15" s="43" t="s">
        <v>208</v>
      </c>
      <c r="F15" s="46" t="s">
        <v>209</v>
      </c>
      <c r="H15" s="56" t="s">
        <v>210</v>
      </c>
      <c r="I15"/>
      <c r="J15"/>
      <c r="K15"/>
      <c r="N15" t="s">
        <v>199</v>
      </c>
      <c r="O15" t="s">
        <v>200</v>
      </c>
      <c r="P15" t="s">
        <v>211</v>
      </c>
      <c r="Q15" t="s">
        <v>0</v>
      </c>
      <c r="R15">
        <f t="shared" si="0"/>
        <v>2</v>
      </c>
      <c r="S15">
        <f t="shared" ca="1" si="1"/>
        <v>0</v>
      </c>
      <c r="T15">
        <f t="shared" si="2"/>
        <v>12</v>
      </c>
      <c r="U15" t="str">
        <f>IF($T15&lt;=Z$4,INDEX(TypicalCriticalitiesMAHBarrier[Barrier Family Description],MATCH($T15,TypicalCriticalitiesMAHBarrier[Barrier Family ID],0)),"")</f>
        <v>Gas Turbine Packages &amp; Hydrocarbon RE</v>
      </c>
      <c r="V15" t="str">
        <f ca="1">IF($T15&lt;=AA$4,INDEX(TypicalCriticalitiesMAHBarrier[Typical Components],MATCH($T15,TypicalCriticalitiesMAHBarrier[Column2],0)),"")</f>
        <v/>
      </c>
      <c r="W15" t="str">
        <f ca="1">IF($T15&lt;=AA$4,INDEX(TypicalCriticalitiesMAHBarrier[Typical Criticality],MATCH($T15,TypicalCriticalitiesMAHBarrier[Column2],0)),"")</f>
        <v/>
      </c>
      <c r="X15"/>
      <c r="Y15"/>
      <c r="Z15"/>
      <c r="AA15"/>
      <c r="AB15"/>
      <c r="AC15"/>
      <c r="AD15"/>
      <c r="AE15" s="44"/>
      <c r="AF15" s="44"/>
      <c r="AG15" s="44"/>
      <c r="AH15" s="44"/>
      <c r="AI15" s="44"/>
      <c r="AJ15" s="44"/>
    </row>
    <row r="16" spans="1:36" x14ac:dyDescent="0.25">
      <c r="A16" s="57" t="s">
        <v>212</v>
      </c>
      <c r="B16" s="4" t="s">
        <v>4</v>
      </c>
      <c r="C16" s="4">
        <v>8</v>
      </c>
      <c r="D16" s="52">
        <f>MATCH(B16,{"H","G","F","E","D","C","B","A"},0)+MATCH(C16, {1,2,3,4,5,6,7,8}, 0) - 1</f>
        <v>11</v>
      </c>
      <c r="E16" s="58">
        <f>IF(ISERR(CODE(FAILURE_CODE_Safety_scenarios19[[#This Row],[Impact]])), "", CODE(FAILURE_CODE_Safety_scenarios19[[#This Row],[Impact]]))</f>
        <v>69</v>
      </c>
      <c r="F16" s="57" t="s">
        <v>613</v>
      </c>
      <c r="H16" s="59" t="s">
        <v>213</v>
      </c>
      <c r="I16" s="59" t="s">
        <v>214</v>
      </c>
      <c r="J16" s="43"/>
      <c r="K16" s="60" t="s">
        <v>125</v>
      </c>
      <c r="N16" t="s">
        <v>199</v>
      </c>
      <c r="O16" t="s">
        <v>200</v>
      </c>
      <c r="P16" t="s">
        <v>215</v>
      </c>
      <c r="Q16" t="s">
        <v>0</v>
      </c>
      <c r="R16">
        <f t="shared" si="0"/>
        <v>2</v>
      </c>
      <c r="S16">
        <f t="shared" ca="1" si="1"/>
        <v>0</v>
      </c>
      <c r="T16">
        <f t="shared" si="2"/>
        <v>13</v>
      </c>
      <c r="U16" t="str">
        <f>IF($T16&lt;=Z$4,INDEX(TypicalCriticalitiesMAHBarrier[Barrier Family Description],MATCH($T16,TypicalCriticalitiesMAHBarrier[Barrier Family ID],0)),"")</f>
        <v>Non Hydrocarbon RE (air compressors, water and hydraulic pumps)</v>
      </c>
      <c r="V16" t="str">
        <f ca="1">IF($T16&lt;=AA$4,INDEX(TypicalCriticalitiesMAHBarrier[Typical Components],MATCH($T16,TypicalCriticalitiesMAHBarrier[Column2],0)),"")</f>
        <v/>
      </c>
      <c r="W16" t="str">
        <f ca="1">IF($T16&lt;=AA$4,INDEX(TypicalCriticalitiesMAHBarrier[Typical Criticality],MATCH($T16,TypicalCriticalitiesMAHBarrier[Column2],0)),"")</f>
        <v/>
      </c>
      <c r="AE16" s="44"/>
      <c r="AF16" s="44"/>
      <c r="AG16" s="44"/>
      <c r="AH16" s="44"/>
      <c r="AI16" s="44"/>
      <c r="AJ16" s="44"/>
    </row>
    <row r="17" spans="1:36" ht="90" x14ac:dyDescent="0.25">
      <c r="A17" s="57"/>
      <c r="B17" s="4"/>
      <c r="C17" s="4"/>
      <c r="D17" s="52" t="e">
        <f>MATCH(B17,{"H","G","F","E","D","C","B","A"},0)+MATCH(C17, {1,2,3,4,5,6,7,8}, 0) - 1</f>
        <v>#N/A</v>
      </c>
      <c r="E17" s="58" t="str">
        <f>IF(ISERR(CODE(FAILURE_CODE_Safety_scenarios19[[#This Row],[Impact]])), "", CODE(FAILURE_CODE_Safety_scenarios19[[#This Row],[Impact]]))</f>
        <v/>
      </c>
      <c r="F17" s="57"/>
      <c r="H17" s="84" t="s">
        <v>472</v>
      </c>
      <c r="I17" s="89" t="s">
        <v>473</v>
      </c>
      <c r="K17" s="7" t="str">
        <f ca="1">IF(ISNA(I17),"C",
    IF(ISBLANK(I17),"C",VLOOKUP(I17,TypicalCriticalitiesMAHBarrier[[ComponentList]:[Code]],2,FALSE)))</f>
        <v xml:space="preserve">A </v>
      </c>
      <c r="N17" t="s">
        <v>199</v>
      </c>
      <c r="O17" t="s">
        <v>200</v>
      </c>
      <c r="P17" t="s">
        <v>216</v>
      </c>
      <c r="Q17" t="s">
        <v>0</v>
      </c>
      <c r="R17">
        <f t="shared" si="0"/>
        <v>2</v>
      </c>
      <c r="S17">
        <f t="shared" ca="1" si="1"/>
        <v>0</v>
      </c>
      <c r="T17">
        <f t="shared" si="2"/>
        <v>14</v>
      </c>
      <c r="U17" t="str">
        <f>IF($T17&lt;=Z$4,INDEX(TypicalCriticalitiesMAHBarrier[Barrier Family Description],MATCH($T17,TypicalCriticalitiesMAHBarrier[Barrier Family ID],0)),"")</f>
        <v>Diesel Driven Packages</v>
      </c>
      <c r="V17" t="str">
        <f ca="1">IF($T17&lt;=AA$4,INDEX(TypicalCriticalitiesMAHBarrier[Typical Components],MATCH($T17,TypicalCriticalitiesMAHBarrier[Column2],0)),"")</f>
        <v/>
      </c>
      <c r="W17" t="str">
        <f ca="1">IF($T17&lt;=AA$4,INDEX(TypicalCriticalitiesMAHBarrier[Typical Criticality],MATCH($T17,TypicalCriticalitiesMAHBarrier[Column2],0)),"")</f>
        <v/>
      </c>
      <c r="AE17" s="44"/>
      <c r="AF17" s="44"/>
      <c r="AG17" s="44"/>
      <c r="AH17" s="44"/>
      <c r="AI17" s="44"/>
      <c r="AJ17" s="44"/>
    </row>
    <row r="18" spans="1:36" x14ac:dyDescent="0.25">
      <c r="A18" s="57"/>
      <c r="B18" s="4"/>
      <c r="C18" s="4"/>
      <c r="D18" s="52" t="e">
        <f>MATCH(B18,{"H","G","F","E","D","C","B","A"},0)+MATCH(C18, {1,2,3,4,5,6,7,8}, 0) - 1</f>
        <v>#N/A</v>
      </c>
      <c r="E18" s="58" t="str">
        <f>IF(ISERR(CODE(FAILURE_CODE_Safety_scenarios19[[#This Row],[Impact]])), "", CODE(FAILURE_CODE_Safety_scenarios19[[#This Row],[Impact]]))</f>
        <v/>
      </c>
      <c r="F18" s="57"/>
      <c r="N18" t="s">
        <v>199</v>
      </c>
      <c r="O18" t="s">
        <v>200</v>
      </c>
      <c r="P18" t="s">
        <v>217</v>
      </c>
      <c r="Q18" t="s">
        <v>0</v>
      </c>
      <c r="R18">
        <f t="shared" si="0"/>
        <v>2</v>
      </c>
      <c r="S18">
        <f t="shared" ca="1" si="1"/>
        <v>0</v>
      </c>
      <c r="T18">
        <f t="shared" si="2"/>
        <v>15</v>
      </c>
      <c r="U18" t="str">
        <f>IF($T18&lt;=Z$4,INDEX(TypicalCriticalitiesMAHBarrier[Barrier Family Description],MATCH($T18,TypicalCriticalitiesMAHBarrier[Barrier Family ID],0)),"")</f>
        <v>Oil Storage &amp; Offloading</v>
      </c>
      <c r="V18" t="str">
        <f ca="1">IF($T18&lt;=AA$4,INDEX(TypicalCriticalitiesMAHBarrier[Typical Components],MATCH($T18,TypicalCriticalitiesMAHBarrier[Column2],0)),"")</f>
        <v/>
      </c>
      <c r="W18" t="str">
        <f ca="1">IF($T18&lt;=AA$4,INDEX(TypicalCriticalitiesMAHBarrier[Typical Criticality],MATCH($T18,TypicalCriticalitiesMAHBarrier[Column2],0)),"")</f>
        <v/>
      </c>
      <c r="AE18" s="44"/>
      <c r="AF18" s="44"/>
      <c r="AG18" s="44"/>
      <c r="AH18" s="44"/>
      <c r="AI18" s="44"/>
      <c r="AJ18" s="44"/>
    </row>
    <row r="19" spans="1:36" ht="15.75" thickBot="1" x14ac:dyDescent="0.3">
      <c r="A19" s="57"/>
      <c r="B19" s="4"/>
      <c r="C19" s="4"/>
      <c r="D19" s="52" t="e">
        <f>MATCH(B19,{"H","G","F","E","D","C","B","A"},0)+MATCH(C19, {1,2,3,4,5,6,7,8}, 0) - 1</f>
        <v>#N/A</v>
      </c>
      <c r="E19" s="58" t="str">
        <f>IF(ISERR(CODE(FAILURE_CODE_Safety_scenarios19[[#This Row],[Impact]])), "", CODE(FAILURE_CODE_Safety_scenarios19[[#This Row],[Impact]]))</f>
        <v/>
      </c>
      <c r="F19" s="57"/>
      <c r="H19" s="86" t="s">
        <v>636</v>
      </c>
      <c r="I19" t="s">
        <v>1059</v>
      </c>
      <c r="N19" t="s">
        <v>199</v>
      </c>
      <c r="O19" t="s">
        <v>200</v>
      </c>
      <c r="P19" t="s">
        <v>218</v>
      </c>
      <c r="Q19" t="s">
        <v>1</v>
      </c>
      <c r="R19">
        <f t="shared" si="0"/>
        <v>2</v>
      </c>
      <c r="S19">
        <f t="shared" ca="1" si="1"/>
        <v>0</v>
      </c>
      <c r="T19">
        <f t="shared" si="2"/>
        <v>16</v>
      </c>
      <c r="U19" t="str">
        <f>IF($T19&lt;=Z$4,INDEX(TypicalCriticalitiesMAHBarrier[Barrier Family Description],MATCH($T19,TypicalCriticalitiesMAHBarrier[Barrier Family ID],0)),"")</f>
        <v>Overpressure Protection</v>
      </c>
      <c r="V19" t="str">
        <f ca="1">IF($T19&lt;=AA$4,INDEX(TypicalCriticalitiesMAHBarrier[Typical Components],MATCH($T19,TypicalCriticalitiesMAHBarrier[Column2],0)),"")</f>
        <v/>
      </c>
      <c r="W19" t="str">
        <f ca="1">IF($T19&lt;=AA$4,INDEX(TypicalCriticalitiesMAHBarrier[Typical Criticality],MATCH($T19,TypicalCriticalitiesMAHBarrier[Column2],0)),"")</f>
        <v/>
      </c>
      <c r="AE19" s="44"/>
      <c r="AF19" s="44"/>
      <c r="AG19" s="44"/>
      <c r="AH19" s="44"/>
      <c r="AI19" s="44"/>
      <c r="AJ19" s="44"/>
    </row>
    <row r="20" spans="1:36" x14ac:dyDescent="0.25">
      <c r="N20" t="s">
        <v>199</v>
      </c>
      <c r="O20" t="s">
        <v>200</v>
      </c>
      <c r="P20" t="s">
        <v>219</v>
      </c>
      <c r="Q20" t="s">
        <v>0</v>
      </c>
      <c r="R20">
        <f t="shared" si="0"/>
        <v>2</v>
      </c>
      <c r="S20">
        <f t="shared" ca="1" si="1"/>
        <v>0</v>
      </c>
      <c r="T20">
        <f t="shared" si="2"/>
        <v>17</v>
      </c>
      <c r="U20" t="str">
        <f>IF($T20&lt;=Z$4,INDEX(TypicalCriticalitiesMAHBarrier[Barrier Family Description],MATCH($T20,TypicalCriticalitiesMAHBarrier[Barrier Family ID],0)),"")</f>
        <v>Blowdown vent and flare</v>
      </c>
      <c r="V20" t="str">
        <f ca="1">IF($T20&lt;=AA$4,INDEX(TypicalCriticalitiesMAHBarrier[Typical Components],MATCH($T20,TypicalCriticalitiesMAHBarrier[Column2],0)),"")</f>
        <v/>
      </c>
      <c r="W20" t="str">
        <f ca="1">IF($T20&lt;=AA$4,INDEX(TypicalCriticalitiesMAHBarrier[Typical Criticality],MATCH($T20,TypicalCriticalitiesMAHBarrier[Column2],0)),"")</f>
        <v/>
      </c>
      <c r="AE20" s="44"/>
      <c r="AF20" s="44"/>
      <c r="AG20" s="44"/>
      <c r="AH20" s="44"/>
      <c r="AI20" s="44"/>
      <c r="AJ20" s="44"/>
    </row>
    <row r="21" spans="1:36" s="43" customFormat="1" x14ac:dyDescent="0.25">
      <c r="A21" s="46" t="s">
        <v>220</v>
      </c>
      <c r="B21" s="42" t="s">
        <v>8</v>
      </c>
      <c r="C21" s="42" t="s">
        <v>17</v>
      </c>
      <c r="D21" s="43" t="s">
        <v>207</v>
      </c>
      <c r="E21" s="43" t="s">
        <v>208</v>
      </c>
      <c r="F21" s="46" t="s">
        <v>209</v>
      </c>
      <c r="N21" t="s">
        <v>221</v>
      </c>
      <c r="O21" t="s">
        <v>222</v>
      </c>
      <c r="P21" t="s">
        <v>223</v>
      </c>
      <c r="Q21" t="s">
        <v>0</v>
      </c>
      <c r="R21">
        <f t="shared" si="0"/>
        <v>3</v>
      </c>
      <c r="S21">
        <f t="shared" ca="1" si="1"/>
        <v>0</v>
      </c>
      <c r="T21">
        <f t="shared" si="2"/>
        <v>18</v>
      </c>
      <c r="U21" t="str">
        <f>IF($T21&lt;=Z$4,INDEX(TypicalCriticalitiesMAHBarrier[Barrier Family Description],MATCH($T21,TypicalCriticalitiesMAHBarrier[Barrier Family ID],0)),"")</f>
        <v>Digital security</v>
      </c>
      <c r="V21" t="str">
        <f ca="1">IF($T21&lt;=AA$4,INDEX(TypicalCriticalitiesMAHBarrier[Typical Components],MATCH($T21,TypicalCriticalitiesMAHBarrier[Column2],0)),"")</f>
        <v/>
      </c>
      <c r="W21" t="str">
        <f ca="1">IF($T21&lt;=AA$4,INDEX(TypicalCriticalitiesMAHBarrier[Typical Criticality],MATCH($T21,TypicalCriticalitiesMAHBarrier[Column2],0)),"")</f>
        <v/>
      </c>
      <c r="X21"/>
      <c r="Y21"/>
      <c r="Z21"/>
      <c r="AA21"/>
      <c r="AB21"/>
      <c r="AC21"/>
      <c r="AD21"/>
      <c r="AE21" s="44"/>
      <c r="AF21" s="44"/>
      <c r="AG21" s="44"/>
      <c r="AH21" s="44"/>
      <c r="AI21" s="44"/>
      <c r="AJ21" s="44"/>
    </row>
    <row r="22" spans="1:36" ht="15" customHeight="1" x14ac:dyDescent="0.25">
      <c r="A22" s="57" t="s">
        <v>212</v>
      </c>
      <c r="B22" s="4" t="s">
        <v>7</v>
      </c>
      <c r="C22" s="4">
        <v>2</v>
      </c>
      <c r="D22" s="52">
        <f>MATCH(B22,{"H","G","F","E","D","C","B","A"},0)+MATCH(C22, {1,2,3,4,5,6,7,8}, 0) - 1</f>
        <v>2</v>
      </c>
      <c r="E22" s="58">
        <f>IF(ISERR(CODE(FAILURE_CODE_Environmetal_scenarios20[Impact])), "", CODE(FAILURE_CODE_Environmetal_scenarios20[Impact]))</f>
        <v>72</v>
      </c>
      <c r="F22" s="57" t="s">
        <v>613</v>
      </c>
      <c r="N22" t="s">
        <v>221</v>
      </c>
      <c r="O22" t="s">
        <v>222</v>
      </c>
      <c r="P22" t="s">
        <v>224</v>
      </c>
      <c r="Q22" t="s">
        <v>0</v>
      </c>
      <c r="R22">
        <f t="shared" si="0"/>
        <v>3</v>
      </c>
      <c r="S22">
        <f t="shared" ca="1" si="1"/>
        <v>0</v>
      </c>
      <c r="T22">
        <f t="shared" si="2"/>
        <v>19</v>
      </c>
      <c r="U22" t="str">
        <f>IF($T22&lt;=Z$4,INDEX(TypicalCriticalitiesMAHBarrier[Barrier Family Description],MATCH($T22,TypicalCriticalitiesMAHBarrier[Barrier Family ID],0)),"")</f>
        <v>Control systems - LoPs</v>
      </c>
      <c r="V22" t="str">
        <f ca="1">IF($T22&lt;=AA$4,INDEX(TypicalCriticalitiesMAHBarrier[Typical Components],MATCH($T22,TypicalCriticalitiesMAHBarrier[Column2],0)),"")</f>
        <v/>
      </c>
      <c r="W22" t="str">
        <f ca="1">IF($T22&lt;=AA$4,INDEX(TypicalCriticalitiesMAHBarrier[Typical Criticality],MATCH($T22,TypicalCriticalitiesMAHBarrier[Column2],0)),"")</f>
        <v/>
      </c>
      <c r="AE22" s="44"/>
      <c r="AF22" s="44"/>
      <c r="AG22" s="44"/>
      <c r="AH22" s="44"/>
      <c r="AI22" s="44"/>
      <c r="AJ22" s="44"/>
    </row>
    <row r="23" spans="1:36" x14ac:dyDescent="0.25">
      <c r="A23" s="57"/>
      <c r="B23" s="4"/>
      <c r="C23" s="4"/>
      <c r="D23" s="52" t="e">
        <f>MATCH(B23,{"H","G","F","E","D","C","B","A"},0)+MATCH(C23, {1,2,3,4,5,6,7,8}, 0) - 1</f>
        <v>#N/A</v>
      </c>
      <c r="E23" s="58" t="str">
        <f>IF(ISERR(CODE(FAILURE_CODE_Environmetal_scenarios20[Impact])), "", CODE(FAILURE_CODE_Environmetal_scenarios20[Impact]))</f>
        <v/>
      </c>
      <c r="F23" s="57"/>
      <c r="N23" t="s">
        <v>221</v>
      </c>
      <c r="O23" t="s">
        <v>222</v>
      </c>
      <c r="P23" t="s">
        <v>225</v>
      </c>
      <c r="Q23" t="s">
        <v>0</v>
      </c>
      <c r="R23">
        <f t="shared" si="0"/>
        <v>3</v>
      </c>
      <c r="S23">
        <f t="shared" ca="1" si="1"/>
        <v>0</v>
      </c>
      <c r="T23">
        <f t="shared" si="2"/>
        <v>20</v>
      </c>
      <c r="U23" t="str">
        <f>IF($T23&lt;=Z$4,INDEX(TypicalCriticalitiesMAHBarrier[Barrier Family Description],MATCH($T23,TypicalCriticalitiesMAHBarrier[Barrier Family ID],0)),"")</f>
        <v xml:space="preserve">Control systems - non LoPs, LOPA initiating causes </v>
      </c>
      <c r="V23" t="str">
        <f ca="1">IF($T23&lt;=AA$4,INDEX(TypicalCriticalitiesMAHBarrier[Typical Components],MATCH($T23,TypicalCriticalitiesMAHBarrier[Column2],0)),"")</f>
        <v/>
      </c>
      <c r="W23" t="str">
        <f ca="1">IF($T23&lt;=AA$4,INDEX(TypicalCriticalitiesMAHBarrier[Typical Criticality],MATCH($T23,TypicalCriticalitiesMAHBarrier[Column2],0)),"")</f>
        <v/>
      </c>
      <c r="AE23" s="44"/>
      <c r="AF23" s="44"/>
      <c r="AG23" s="44"/>
      <c r="AH23" s="44"/>
      <c r="AI23" s="44"/>
      <c r="AJ23" s="44"/>
    </row>
    <row r="24" spans="1:36" x14ac:dyDescent="0.25">
      <c r="A24" s="57"/>
      <c r="B24" s="4"/>
      <c r="C24" s="4"/>
      <c r="D24" s="52" t="e">
        <f>MATCH(B24,{"H","G","F","E","D","C","B","A"},0)+MATCH(C24, {1,2,3,4,5,6,7,8}, 0) - 1</f>
        <v>#N/A</v>
      </c>
      <c r="E24" s="58" t="str">
        <f>IF(ISERR(CODE(FAILURE_CODE_Environmetal_scenarios20[Impact])), "", CODE(FAILURE_CODE_Environmetal_scenarios20[Impact]))</f>
        <v/>
      </c>
      <c r="F24" s="57"/>
      <c r="N24" t="s">
        <v>226</v>
      </c>
      <c r="O24" t="s">
        <v>227</v>
      </c>
      <c r="P24" t="s">
        <v>228</v>
      </c>
      <c r="Q24" t="s">
        <v>0</v>
      </c>
      <c r="R24">
        <f t="shared" si="0"/>
        <v>4</v>
      </c>
      <c r="S24">
        <f t="shared" ca="1" si="1"/>
        <v>0</v>
      </c>
      <c r="T24">
        <f t="shared" si="2"/>
        <v>21</v>
      </c>
      <c r="U24" t="str">
        <f>IF($T24&lt;=Z$4,INDEX(TypicalCriticalitiesMAHBarrier[Barrier Family Description],MATCH($T24,TypicalCriticalitiesMAHBarrier[Barrier Family ID],0)),"")</f>
        <v>Control systems - all others</v>
      </c>
      <c r="V24" t="str">
        <f ca="1">IF($T24&lt;=AA$4,INDEX(TypicalCriticalitiesMAHBarrier[Typical Components],MATCH($T24,TypicalCriticalitiesMAHBarrier[Column2],0)),"")</f>
        <v/>
      </c>
      <c r="W24" t="str">
        <f ca="1">IF($T24&lt;=AA$4,INDEX(TypicalCriticalitiesMAHBarrier[Typical Criticality],MATCH($T24,TypicalCriticalitiesMAHBarrier[Column2],0)),"")</f>
        <v/>
      </c>
      <c r="AE24" s="44"/>
      <c r="AF24" s="44"/>
      <c r="AG24" s="44"/>
      <c r="AH24" s="44"/>
      <c r="AI24" s="44"/>
      <c r="AJ24" s="44"/>
    </row>
    <row r="25" spans="1:36" x14ac:dyDescent="0.25">
      <c r="B25" s="2"/>
      <c r="D25" s="43"/>
      <c r="N25" t="s">
        <v>226</v>
      </c>
      <c r="O25" t="s">
        <v>227</v>
      </c>
      <c r="P25" t="s">
        <v>229</v>
      </c>
      <c r="Q25" t="s">
        <v>0</v>
      </c>
      <c r="R25">
        <f t="shared" si="0"/>
        <v>4</v>
      </c>
      <c r="S25">
        <f t="shared" ca="1" si="1"/>
        <v>0</v>
      </c>
      <c r="T25">
        <f t="shared" si="2"/>
        <v>22</v>
      </c>
      <c r="U25" t="str">
        <f>IF($T25&lt;=Z$4,INDEX(TypicalCriticalitiesMAHBarrier[Barrier Family Description],MATCH($T25,TypicalCriticalitiesMAHBarrier[Barrier Family ID],0)),"")</f>
        <v>SIS - LoP Components</v>
      </c>
      <c r="V25" t="str">
        <f ca="1">IF($T25&lt;=AA$4,INDEX(TypicalCriticalitiesMAHBarrier[Typical Components],MATCH($T25,TypicalCriticalitiesMAHBarrier[Column2],0)),"")</f>
        <v/>
      </c>
      <c r="W25" t="str">
        <f ca="1">IF($T25&lt;=AA$4,INDEX(TypicalCriticalitiesMAHBarrier[Typical Criticality],MATCH($T25,TypicalCriticalitiesMAHBarrier[Column2],0)),"")</f>
        <v/>
      </c>
      <c r="AE25" s="44"/>
      <c r="AF25" s="44"/>
      <c r="AG25" s="44"/>
      <c r="AH25" s="44"/>
      <c r="AI25" s="44"/>
      <c r="AJ25" s="44"/>
    </row>
    <row r="26" spans="1:36" x14ac:dyDescent="0.25">
      <c r="B26" s="2"/>
      <c r="D26" s="43"/>
      <c r="H26" t="s">
        <v>230</v>
      </c>
      <c r="J26" s="61">
        <v>5</v>
      </c>
      <c r="N26" t="s">
        <v>226</v>
      </c>
      <c r="O26" t="s">
        <v>227</v>
      </c>
      <c r="P26" t="s">
        <v>231</v>
      </c>
      <c r="Q26" t="s">
        <v>0</v>
      </c>
      <c r="R26">
        <f t="shared" si="0"/>
        <v>4</v>
      </c>
      <c r="S26">
        <f t="shared" ca="1" si="1"/>
        <v>0</v>
      </c>
      <c r="T26">
        <f t="shared" si="2"/>
        <v>23</v>
      </c>
      <c r="U26" t="str">
        <f>IF($T26&lt;=Z$4,INDEX(TypicalCriticalitiesMAHBarrier[Barrier Family Description],MATCH($T26,TypicalCriticalitiesMAHBarrier[Barrier Family ID],0)),"")</f>
        <v>SIS - Non LoP Components</v>
      </c>
      <c r="V26" t="str">
        <f ca="1">IF($T26&lt;=AA$4,INDEX(TypicalCriticalitiesMAHBarrier[Typical Components],MATCH($T26,TypicalCriticalitiesMAHBarrier[Column2],0)),"")</f>
        <v/>
      </c>
      <c r="W26" t="str">
        <f ca="1">IF($T26&lt;=AA$4,INDEX(TypicalCriticalitiesMAHBarrier[Typical Criticality],MATCH($T26,TypicalCriticalitiesMAHBarrier[Column2],0)),"")</f>
        <v/>
      </c>
      <c r="AE26" s="44"/>
      <c r="AF26" s="44"/>
      <c r="AG26" s="44"/>
      <c r="AH26" s="44"/>
      <c r="AI26" s="44"/>
      <c r="AJ26" s="44"/>
    </row>
    <row r="27" spans="1:36" s="43" customFormat="1" x14ac:dyDescent="0.25">
      <c r="A27" s="46" t="s">
        <v>232</v>
      </c>
      <c r="B27" s="43" t="s">
        <v>8</v>
      </c>
      <c r="C27" s="43" t="s">
        <v>17</v>
      </c>
      <c r="D27" s="43" t="s">
        <v>207</v>
      </c>
      <c r="E27" s="43" t="s">
        <v>208</v>
      </c>
      <c r="F27" s="46" t="s">
        <v>209</v>
      </c>
      <c r="H27" s="62" t="s">
        <v>233</v>
      </c>
      <c r="N27" t="s">
        <v>226</v>
      </c>
      <c r="O27" t="s">
        <v>234</v>
      </c>
      <c r="P27" t="s">
        <v>235</v>
      </c>
      <c r="Q27" t="s">
        <v>0</v>
      </c>
      <c r="R27">
        <f t="shared" si="0"/>
        <v>5</v>
      </c>
      <c r="S27">
        <f t="shared" ca="1" si="1"/>
        <v>0</v>
      </c>
      <c r="T27">
        <f t="shared" si="2"/>
        <v>24</v>
      </c>
      <c r="U27" t="str">
        <f>IF($T27&lt;=Z$4,INDEX(TypicalCriticalitiesMAHBarrier[Barrier Family Description],MATCH($T27,TypicalCriticalitiesMAHBarrier[Barrier Family ID],0)),"")</f>
        <v>Alarms &amp; operator response</v>
      </c>
      <c r="V27" t="str">
        <f ca="1">IF($T27&lt;=AA$4,INDEX(TypicalCriticalitiesMAHBarrier[Typical Components],MATCH($T27,TypicalCriticalitiesMAHBarrier[Column2],0)),"")</f>
        <v/>
      </c>
      <c r="W27" t="str">
        <f ca="1">IF($T27&lt;=AA$4,INDEX(TypicalCriticalitiesMAHBarrier[Typical Criticality],MATCH($T27,TypicalCriticalitiesMAHBarrier[Column2],0)),"")</f>
        <v/>
      </c>
      <c r="X27"/>
      <c r="Y27"/>
      <c r="Z27"/>
      <c r="AA27"/>
      <c r="AB27"/>
      <c r="AC27"/>
      <c r="AD27"/>
      <c r="AE27" s="44"/>
      <c r="AF27" s="44"/>
      <c r="AG27" s="44"/>
      <c r="AH27" s="44"/>
      <c r="AI27" s="44"/>
      <c r="AJ27" s="44"/>
    </row>
    <row r="28" spans="1:36" x14ac:dyDescent="0.25">
      <c r="A28" s="57" t="s">
        <v>212</v>
      </c>
      <c r="B28" s="4" t="s">
        <v>7</v>
      </c>
      <c r="C28" s="4">
        <v>2</v>
      </c>
      <c r="D28" s="52">
        <f>MATCH(B28,{"H","G","F","E","D","C","B","A"},0)+MATCH(C28, {1,2,3,4,5,6,7,8}, 0) - 1</f>
        <v>2</v>
      </c>
      <c r="E28" s="58">
        <f>IF(ISERR(CODE(FAILURE_CODE_Financial_scenarios21[Impact])), "", CODE(FAILURE_CODE_Financial_scenarios21[Impact]))</f>
        <v>72</v>
      </c>
      <c r="F28" s="57" t="s">
        <v>613</v>
      </c>
      <c r="H28" s="63" t="s">
        <v>236</v>
      </c>
      <c r="I28" s="63"/>
      <c r="J28" s="63" t="s">
        <v>237</v>
      </c>
      <c r="K28" s="60" t="s">
        <v>125</v>
      </c>
      <c r="N28" t="s">
        <v>226</v>
      </c>
      <c r="O28" t="s">
        <v>234</v>
      </c>
      <c r="P28" t="s">
        <v>238</v>
      </c>
      <c r="Q28" t="s">
        <v>0</v>
      </c>
      <c r="R28">
        <f t="shared" si="0"/>
        <v>5</v>
      </c>
      <c r="S28">
        <f t="shared" ca="1" si="1"/>
        <v>0</v>
      </c>
      <c r="T28">
        <f t="shared" si="2"/>
        <v>25</v>
      </c>
      <c r="U28" t="str">
        <f>IF($T28&lt;=Z$4,INDEX(TypicalCriticalitiesMAHBarrier[Barrier Family Description],MATCH($T28,TypicalCriticalitiesMAHBarrier[Barrier Family ID],0)),"")</f>
        <v>Collision Prevention</v>
      </c>
      <c r="V28" t="str">
        <f ca="1">IF($T28&lt;=AA$4,INDEX(TypicalCriticalitiesMAHBarrier[Typical Components],MATCH($T28,TypicalCriticalitiesMAHBarrier[Column2],0)),"")</f>
        <v/>
      </c>
      <c r="W28" t="str">
        <f ca="1">IF($T28&lt;=AA$4,INDEX(TypicalCriticalitiesMAHBarrier[Typical Criticality],MATCH($T28,TypicalCriticalitiesMAHBarrier[Column2],0)),"")</f>
        <v/>
      </c>
      <c r="AE28" s="44"/>
      <c r="AF28" s="44"/>
      <c r="AG28" s="44"/>
      <c r="AH28" s="44"/>
      <c r="AI28" s="44"/>
      <c r="AJ28" s="44"/>
    </row>
    <row r="29" spans="1:36" x14ac:dyDescent="0.25">
      <c r="A29" s="57"/>
      <c r="B29" s="4"/>
      <c r="C29" s="4"/>
      <c r="D29" s="52" t="e">
        <f>MATCH(B29,{"H","G","F","E","D","C","B","A"},0)+MATCH(C29, {1,2,3,4,5,6,7,8}, 0) - 1</f>
        <v>#N/A</v>
      </c>
      <c r="E29" s="58" t="str">
        <f>IF(ISERR(CODE(FAILURE_CODE_Financial_scenarios21[Impact])), "", CODE(FAILURE_CODE_Financial_scenarios21[Impact]))</f>
        <v/>
      </c>
      <c r="F29" s="57"/>
      <c r="H29" t="s">
        <v>239</v>
      </c>
      <c r="J29" s="21" t="str">
        <f>IF(CODE(B11) &gt; CODE("E"),"Yes", "No")</f>
        <v>Yes</v>
      </c>
      <c r="K29" s="22" t="str">
        <f>IF(J29="Yes","C",
      IF(C10&gt;J26, "A", "B")
)</f>
        <v>C</v>
      </c>
      <c r="N29" t="s">
        <v>226</v>
      </c>
      <c r="O29" t="s">
        <v>234</v>
      </c>
      <c r="P29" t="s">
        <v>240</v>
      </c>
      <c r="Q29" t="s">
        <v>0</v>
      </c>
      <c r="R29">
        <f t="shared" si="0"/>
        <v>5</v>
      </c>
      <c r="S29">
        <f t="shared" ca="1" si="1"/>
        <v>0</v>
      </c>
      <c r="T29">
        <f t="shared" si="2"/>
        <v>26</v>
      </c>
      <c r="U29" t="str">
        <f>IF($T29&lt;=Z$4,INDEX(TypicalCriticalitiesMAHBarrier[Barrier Family Description],MATCH($T29,TypicalCriticalitiesMAHBarrier[Barrier Family ID],0)),"")</f>
        <v>Export tanker birthing and position monitoring</v>
      </c>
      <c r="V29" t="str">
        <f ca="1">IF($T29&lt;=AA$4,INDEX(TypicalCriticalitiesMAHBarrier[Typical Components],MATCH($T29,TypicalCriticalitiesMAHBarrier[Column2],0)),"")</f>
        <v/>
      </c>
      <c r="W29" t="str">
        <f ca="1">IF($T29&lt;=AA$4,INDEX(TypicalCriticalitiesMAHBarrier[Typical Criticality],MATCH($T29,TypicalCriticalitiesMAHBarrier[Column2],0)),"")</f>
        <v/>
      </c>
      <c r="AE29" s="44"/>
      <c r="AF29" s="44"/>
      <c r="AG29" s="44"/>
      <c r="AH29" s="44"/>
      <c r="AI29" s="44"/>
      <c r="AJ29" s="44"/>
    </row>
    <row r="30" spans="1:36" x14ac:dyDescent="0.25">
      <c r="A30" s="57"/>
      <c r="B30" s="4"/>
      <c r="C30" s="4"/>
      <c r="D30" s="64" t="e">
        <f>MATCH(B30,{"H","G","F","E","D","C","B","A"},0)+MATCH(C30, {1,2,3,4,5,6,7,8}, 0) - 1</f>
        <v>#N/A</v>
      </c>
      <c r="E30" s="65" t="str">
        <f>IF(ISERR(CODE(FAILURE_CODE_Financial_scenarios21[Impact])), "", CODE(FAILURE_CODE_Financial_scenarios21[Impact]))</f>
        <v/>
      </c>
      <c r="F30" s="57"/>
      <c r="H30" t="s">
        <v>241</v>
      </c>
      <c r="J30" s="21" t="str">
        <f>IF(CODE(B11) &gt; CODE("F"),"Yes", "No")</f>
        <v>Yes</v>
      </c>
      <c r="K30" s="22" t="str">
        <f>IF(J30="Yes","C",
    IF(C11&gt;J26,"B", "C")
)</f>
        <v>C</v>
      </c>
      <c r="N30" t="s">
        <v>226</v>
      </c>
      <c r="O30" t="s">
        <v>242</v>
      </c>
      <c r="P30" t="s">
        <v>243</v>
      </c>
      <c r="Q30" t="s">
        <v>0</v>
      </c>
      <c r="R30">
        <f t="shared" si="0"/>
        <v>6</v>
      </c>
      <c r="S30">
        <f t="shared" ca="1" si="1"/>
        <v>0</v>
      </c>
      <c r="T30">
        <f t="shared" si="2"/>
        <v>27</v>
      </c>
      <c r="U30" t="str">
        <f>IF($T30&lt;=Z$4,INDEX(TypicalCriticalitiesMAHBarrier[Barrier Family Description],MATCH($T30,TypicalCriticalitiesMAHBarrier[Barrier Family ID],0)),"")</f>
        <v xml:space="preserve">Bunding, Open and Closed Hazardous Drains </v>
      </c>
      <c r="V30" t="str">
        <f ca="1">IF($T30&lt;=AA$4,INDEX(TypicalCriticalitiesMAHBarrier[Typical Components],MATCH($T30,TypicalCriticalitiesMAHBarrier[Column2],0)),"")</f>
        <v/>
      </c>
      <c r="W30" t="str">
        <f ca="1">IF($T30&lt;=AA$4,INDEX(TypicalCriticalitiesMAHBarrier[Typical Criticality],MATCH($T30,TypicalCriticalitiesMAHBarrier[Column2],0)),"")</f>
        <v/>
      </c>
      <c r="AE30" s="44"/>
      <c r="AF30" s="44"/>
      <c r="AG30" s="44"/>
      <c r="AH30" s="44"/>
      <c r="AI30" s="44"/>
      <c r="AJ30" s="44"/>
    </row>
    <row r="31" spans="1:36" x14ac:dyDescent="0.25">
      <c r="A31" s="57"/>
      <c r="B31" s="4"/>
      <c r="C31" s="4"/>
      <c r="D31" s="52" t="e">
        <f>MATCH(B31,{"H","G","F","E","D","C","B","A"},0)+MATCH(C31, {1,2,3,4,5,6,7,8}, 0) - 1</f>
        <v>#N/A</v>
      </c>
      <c r="E31" s="58" t="str">
        <f>IF(ISERR(CODE(FAILURE_CODE_Financial_scenarios21[Impact])), "", CODE(FAILURE_CODE_Financial_scenarios21[Impact]))</f>
        <v/>
      </c>
      <c r="F31" s="57"/>
      <c r="H31" t="s">
        <v>244</v>
      </c>
      <c r="J31" s="21" t="str">
        <f>IF(CODE(B11) &gt;= CODE("G"),"Yes", "No")</f>
        <v>Yes</v>
      </c>
      <c r="K31" s="22" t="str">
        <f>IF(J31="Yes","C","")</f>
        <v>C</v>
      </c>
      <c r="N31" t="s">
        <v>226</v>
      </c>
      <c r="O31" t="s">
        <v>242</v>
      </c>
      <c r="P31" t="s">
        <v>245</v>
      </c>
      <c r="Q31" t="s">
        <v>0</v>
      </c>
      <c r="R31">
        <f t="shared" si="0"/>
        <v>6</v>
      </c>
      <c r="S31">
        <f t="shared" ca="1" si="1"/>
        <v>0</v>
      </c>
      <c r="T31">
        <f t="shared" si="2"/>
        <v>28</v>
      </c>
      <c r="U31" t="str">
        <f>IF($T31&lt;=Z$4,INDEX(TypicalCriticalitiesMAHBarrier[Barrier Family Description],MATCH($T31,TypicalCriticalitiesMAHBarrier[Barrier Family ID],0)),"")</f>
        <v xml:space="preserve">Passive Fire Protection </v>
      </c>
      <c r="V31" t="str">
        <f ca="1">IF($T31&lt;=AA$4,INDEX(TypicalCriticalitiesMAHBarrier[Typical Components],MATCH($T31,TypicalCriticalitiesMAHBarrier[Column2],0)),"")</f>
        <v/>
      </c>
      <c r="W31" t="str">
        <f ca="1">IF($T31&lt;=AA$4,INDEX(TypicalCriticalitiesMAHBarrier[Typical Criticality],MATCH($T31,TypicalCriticalitiesMAHBarrier[Column2],0)),"")</f>
        <v/>
      </c>
      <c r="AE31" s="44"/>
      <c r="AF31" s="44"/>
      <c r="AG31" s="44"/>
      <c r="AH31" s="44"/>
      <c r="AI31" s="44"/>
      <c r="AJ31" s="44"/>
    </row>
    <row r="32" spans="1:36" s="43" customFormat="1" x14ac:dyDescent="0.25">
      <c r="A32" s="36"/>
      <c r="B32"/>
      <c r="C32"/>
      <c r="F32" s="36"/>
      <c r="H32"/>
      <c r="I32"/>
      <c r="J32"/>
      <c r="K32"/>
      <c r="N32" t="s">
        <v>226</v>
      </c>
      <c r="O32" t="s">
        <v>246</v>
      </c>
      <c r="P32" t="s">
        <v>247</v>
      </c>
      <c r="Q32" t="s">
        <v>0</v>
      </c>
      <c r="R32">
        <f t="shared" si="0"/>
        <v>7</v>
      </c>
      <c r="S32">
        <f t="shared" ca="1" si="1"/>
        <v>0</v>
      </c>
      <c r="T32">
        <f t="shared" si="2"/>
        <v>29</v>
      </c>
      <c r="U32" t="str">
        <f>IF($T32&lt;=Z$4,INDEX(TypicalCriticalitiesMAHBarrier[Barrier Family Description],MATCH($T32,TypicalCriticalitiesMAHBarrier[Barrier Family ID],0)),"")</f>
        <v xml:space="preserve">Blast Overpressure Protection </v>
      </c>
      <c r="V32" t="str">
        <f ca="1">IF($T32&lt;=AA$4,INDEX(TypicalCriticalitiesMAHBarrier[Typical Components],MATCH($T32,TypicalCriticalitiesMAHBarrier[Column2],0)),"")</f>
        <v/>
      </c>
      <c r="W32" t="str">
        <f ca="1">IF($T32&lt;=AA$4,INDEX(TypicalCriticalitiesMAHBarrier[Typical Criticality],MATCH($T32,TypicalCriticalitiesMAHBarrier[Column2],0)),"")</f>
        <v/>
      </c>
      <c r="X32"/>
      <c r="Y32"/>
      <c r="Z32"/>
      <c r="AA32"/>
      <c r="AB32"/>
      <c r="AC32"/>
      <c r="AD32"/>
      <c r="AE32" s="44"/>
      <c r="AF32" s="44"/>
      <c r="AG32" s="44"/>
      <c r="AH32" s="44"/>
      <c r="AI32" s="44"/>
      <c r="AJ32" s="44"/>
    </row>
    <row r="33" spans="1:36" ht="15" customHeight="1" x14ac:dyDescent="0.25">
      <c r="A33" s="46" t="s">
        <v>248</v>
      </c>
      <c r="B33" s="43" t="s">
        <v>8</v>
      </c>
      <c r="C33" s="43" t="s">
        <v>17</v>
      </c>
      <c r="D33" s="43" t="s">
        <v>207</v>
      </c>
      <c r="E33" s="43" t="s">
        <v>208</v>
      </c>
      <c r="F33" s="46" t="s">
        <v>209</v>
      </c>
      <c r="H33" s="56" t="s">
        <v>249</v>
      </c>
      <c r="N33" t="s">
        <v>226</v>
      </c>
      <c r="O33" t="s">
        <v>246</v>
      </c>
      <c r="P33" t="s">
        <v>250</v>
      </c>
      <c r="Q33" t="s">
        <v>0</v>
      </c>
      <c r="R33">
        <f t="shared" si="0"/>
        <v>7</v>
      </c>
      <c r="S33">
        <f t="shared" ca="1" si="1"/>
        <v>0</v>
      </c>
      <c r="T33">
        <f t="shared" si="2"/>
        <v>30</v>
      </c>
      <c r="U33" t="str">
        <f>IF($T33&lt;=Z$4,INDEX(TypicalCriticalitiesMAHBarrier[Barrier Family Description],MATCH($T33,TypicalCriticalitiesMAHBarrier[Barrier Family ID],0)),"")</f>
        <v xml:space="preserve">Temporary refuge integrity </v>
      </c>
      <c r="V33" t="str">
        <f ca="1">IF($T33&lt;=AA$4,INDEX(TypicalCriticalitiesMAHBarrier[Typical Components],MATCH($T33,TypicalCriticalitiesMAHBarrier[Column2],0)),"")</f>
        <v/>
      </c>
      <c r="W33" t="str">
        <f ca="1">IF($T33&lt;=AA$4,INDEX(TypicalCriticalitiesMAHBarrier[Typical Criticality],MATCH($T33,TypicalCriticalitiesMAHBarrier[Column2],0)),"")</f>
        <v/>
      </c>
      <c r="AE33" s="44"/>
      <c r="AF33" s="44"/>
      <c r="AG33" s="44"/>
      <c r="AH33" s="44"/>
      <c r="AI33" s="44"/>
      <c r="AJ33" s="44"/>
    </row>
    <row r="34" spans="1:36" x14ac:dyDescent="0.25">
      <c r="A34" s="57" t="s">
        <v>212</v>
      </c>
      <c r="B34" s="4" t="s">
        <v>7</v>
      </c>
      <c r="C34" s="4">
        <v>2</v>
      </c>
      <c r="D34" s="52">
        <f>MATCH(B34,{"H","G","F","E","D","C","B","A"},0)+MATCH(C34, {1,2,3,4,5,6,7,8}, 0) - 1</f>
        <v>2</v>
      </c>
      <c r="E34" s="58">
        <f>IF(ISERR(CODE(FAILURE_CODE_Non_Financial_scenarios22[Impact])), "", CODE(FAILURE_CODE_Non_Financial_scenarios22[Impact]))</f>
        <v>72</v>
      </c>
      <c r="F34" s="57" t="s">
        <v>613</v>
      </c>
      <c r="H34" s="63" t="s">
        <v>236</v>
      </c>
      <c r="I34" s="63"/>
      <c r="J34" s="63" t="s">
        <v>237</v>
      </c>
      <c r="K34" s="60" t="s">
        <v>125</v>
      </c>
      <c r="N34" t="s">
        <v>226</v>
      </c>
      <c r="O34" t="s">
        <v>246</v>
      </c>
      <c r="P34" t="s">
        <v>251</v>
      </c>
      <c r="Q34" t="s">
        <v>0</v>
      </c>
      <c r="R34">
        <f t="shared" si="0"/>
        <v>7</v>
      </c>
      <c r="S34">
        <f t="shared" ca="1" si="1"/>
        <v>0</v>
      </c>
      <c r="T34">
        <f t="shared" si="2"/>
        <v>31</v>
      </c>
      <c r="U34" t="str">
        <f>IF($T34&lt;=Z$4,INDEX(TypicalCriticalitiesMAHBarrier[Barrier Family Description],MATCH($T34,TypicalCriticalitiesMAHBarrier[Barrier Family ID],0)),"")</f>
        <v xml:space="preserve">Alarm Annunciation System:  </v>
      </c>
      <c r="V34" t="str">
        <f ca="1">IF($T34&lt;=AA$4,INDEX(TypicalCriticalitiesMAHBarrier[Typical Components],MATCH($T34,TypicalCriticalitiesMAHBarrier[Column2],0)),"")</f>
        <v/>
      </c>
      <c r="W34" t="str">
        <f ca="1">IF($T34&lt;=AA$4,INDEX(TypicalCriticalitiesMAHBarrier[Typical Criticality],MATCH($T34,TypicalCriticalitiesMAHBarrier[Column2],0)),"")</f>
        <v/>
      </c>
      <c r="AE34" s="44"/>
      <c r="AF34" s="44"/>
      <c r="AG34" s="44"/>
      <c r="AH34" s="44"/>
      <c r="AI34" s="44"/>
      <c r="AJ34" s="44"/>
    </row>
    <row r="35" spans="1:36" x14ac:dyDescent="0.25">
      <c r="A35" s="57"/>
      <c r="B35" s="4"/>
      <c r="C35" s="4"/>
      <c r="D35" s="52" t="e">
        <f>MATCH(B35,{"H","G","F","E","D","C","B","A"},0)+MATCH(C35, {1,2,3,4,5,6,7,8}, 0) - 1</f>
        <v>#N/A</v>
      </c>
      <c r="E35" s="58" t="str">
        <f>IF(ISERR(CODE(FAILURE_CODE_Non_Financial_scenarios22[Impact])), "", CODE(FAILURE_CODE_Non_Financial_scenarios22[Impact]))</f>
        <v/>
      </c>
      <c r="F35" s="57"/>
      <c r="H35" t="s">
        <v>624</v>
      </c>
      <c r="J35" s="6" t="s">
        <v>194</v>
      </c>
      <c r="K35" s="22" t="str">
        <f>IF(J35="yes", "A", "C")</f>
        <v>C</v>
      </c>
      <c r="N35" t="s">
        <v>226</v>
      </c>
      <c r="O35" t="s">
        <v>246</v>
      </c>
      <c r="P35" t="s">
        <v>252</v>
      </c>
      <c r="Q35" t="s">
        <v>0</v>
      </c>
      <c r="R35">
        <f t="shared" si="0"/>
        <v>7</v>
      </c>
      <c r="S35">
        <f t="shared" ca="1" si="1"/>
        <v>0</v>
      </c>
      <c r="T35">
        <f t="shared" si="2"/>
        <v>32</v>
      </c>
      <c r="U35" t="str">
        <f>IF($T35&lt;=Z$4,INDEX(TypicalCriticalitiesMAHBarrier[Barrier Family Description],MATCH($T35,TypicalCriticalitiesMAHBarrier[Barrier Family ID],0)),"")</f>
        <v xml:space="preserve">Personnel Address (PA) System </v>
      </c>
      <c r="V35" t="str">
        <f ca="1">IF($T35&lt;=AA$4,INDEX(TypicalCriticalitiesMAHBarrier[Typical Components],MATCH($T35,TypicalCriticalitiesMAHBarrier[Column2],0)),"")</f>
        <v/>
      </c>
      <c r="W35" t="str">
        <f ca="1">IF($T35&lt;=AA$4,INDEX(TypicalCriticalitiesMAHBarrier[Typical Criticality],MATCH($T35,TypicalCriticalitiesMAHBarrier[Column2],0)),"")</f>
        <v/>
      </c>
      <c r="AE35" s="44"/>
      <c r="AF35" s="44"/>
      <c r="AG35" s="44"/>
      <c r="AH35" s="44"/>
      <c r="AI35" s="44"/>
      <c r="AJ35" s="44"/>
    </row>
    <row r="36" spans="1:36" x14ac:dyDescent="0.25">
      <c r="A36" s="57"/>
      <c r="B36" s="4"/>
      <c r="C36" s="4"/>
      <c r="D36" s="52" t="e">
        <f>MATCH(B36,{"H","G","F","E","D","C","B","A"},0)+MATCH(C36, {1,2,3,4,5,6,7,8}, 0) - 1</f>
        <v>#N/A</v>
      </c>
      <c r="E36" s="58" t="str">
        <f>IF(ISERR(CODE(FAILURE_CODE_Non_Financial_scenarios22[Impact])), "", CODE(FAILURE_CODE_Non_Financial_scenarios22[Impact]))</f>
        <v/>
      </c>
      <c r="F36" s="57"/>
      <c r="H36" t="s">
        <v>253</v>
      </c>
      <c r="J36" s="21" t="str">
        <f>IF(AND(CODE(B12)&lt;CODE("E"), C12&gt;$J$26),"Yes","No")</f>
        <v>No</v>
      </c>
      <c r="K36" s="22" t="str">
        <f>IF(J36="yes", "A", "C")</f>
        <v>C</v>
      </c>
      <c r="N36" t="s">
        <v>226</v>
      </c>
      <c r="O36" t="s">
        <v>254</v>
      </c>
      <c r="P36" t="s">
        <v>255</v>
      </c>
      <c r="Q36" t="s">
        <v>0</v>
      </c>
      <c r="R36">
        <f t="shared" si="0"/>
        <v>8</v>
      </c>
      <c r="S36">
        <f t="shared" ca="1" si="1"/>
        <v>0</v>
      </c>
      <c r="T36">
        <f t="shared" si="2"/>
        <v>33</v>
      </c>
      <c r="U36" t="str">
        <f>IF($T36&lt;=Z$4,INDEX(TypicalCriticalitiesMAHBarrier[Barrier Family Description],MATCH($T36,TypicalCriticalitiesMAHBarrier[Barrier Family ID],0)),"")</f>
        <v>Marine, Aircraft and Helicopter Radio System</v>
      </c>
      <c r="V36" t="str">
        <f ca="1">IF($T36&lt;=AA$4,INDEX(TypicalCriticalitiesMAHBarrier[Typical Components],MATCH($T36,TypicalCriticalitiesMAHBarrier[Column2],0)),"")</f>
        <v/>
      </c>
      <c r="W36" t="str">
        <f ca="1">IF($T36&lt;=AA$4,INDEX(TypicalCriticalitiesMAHBarrier[Typical Criticality],MATCH($T36,TypicalCriticalitiesMAHBarrier[Column2],0)),"")</f>
        <v/>
      </c>
      <c r="AE36" s="44"/>
      <c r="AF36" s="44"/>
      <c r="AG36" s="44"/>
      <c r="AH36" s="44"/>
      <c r="AI36" s="44"/>
      <c r="AJ36" s="44"/>
    </row>
    <row r="37" spans="1:36" ht="30" x14ac:dyDescent="0.25">
      <c r="A37"/>
      <c r="C37"/>
      <c r="D37"/>
      <c r="E37"/>
      <c r="F37"/>
      <c r="H37" s="36" t="s">
        <v>256</v>
      </c>
      <c r="I37" s="4" t="s">
        <v>194</v>
      </c>
      <c r="J37" s="21" t="str">
        <f>IF(I37="Yes","Yes", "No")</f>
        <v>No</v>
      </c>
      <c r="K37" s="22" t="str">
        <f>IF(I37="yes", "A", "C")</f>
        <v>C</v>
      </c>
      <c r="N37" t="s">
        <v>226</v>
      </c>
      <c r="O37" t="s">
        <v>254</v>
      </c>
      <c r="P37" t="s">
        <v>257</v>
      </c>
      <c r="Q37" t="s">
        <v>0</v>
      </c>
      <c r="R37">
        <f t="shared" si="0"/>
        <v>8</v>
      </c>
      <c r="S37">
        <f t="shared" ca="1" si="1"/>
        <v>0</v>
      </c>
      <c r="T37">
        <f t="shared" si="2"/>
        <v>34</v>
      </c>
      <c r="U37" t="str">
        <f>IF($T37&lt;=Z$4,INDEX(TypicalCriticalitiesMAHBarrier[Barrier Family Description],MATCH($T37,TypicalCriticalitiesMAHBarrier[Barrier Family ID],0)),"")</f>
        <v xml:space="preserve">Telecommunications </v>
      </c>
      <c r="V37" t="str">
        <f ca="1">IF($T37&lt;=AA$4,INDEX(TypicalCriticalitiesMAHBarrier[Typical Components],MATCH($T37,TypicalCriticalitiesMAHBarrier[Column2],0)),"")</f>
        <v/>
      </c>
      <c r="W37" t="str">
        <f ca="1">IF($T37&lt;=AA$4,INDEX(TypicalCriticalitiesMAHBarrier[Typical Criticality],MATCH($T37,TypicalCriticalitiesMAHBarrier[Column2],0)),"")</f>
        <v/>
      </c>
      <c r="AE37" s="44"/>
      <c r="AF37" s="44"/>
      <c r="AG37" s="44"/>
      <c r="AH37" s="44"/>
      <c r="AI37" s="44"/>
      <c r="AJ37" s="44"/>
    </row>
    <row r="38" spans="1:36" x14ac:dyDescent="0.25">
      <c r="A38"/>
      <c r="C38"/>
      <c r="D38"/>
      <c r="E38"/>
      <c r="F38"/>
      <c r="H38" s="66"/>
      <c r="I38" s="66"/>
      <c r="N38" t="s">
        <v>226</v>
      </c>
      <c r="O38" t="s">
        <v>254</v>
      </c>
      <c r="P38" t="s">
        <v>258</v>
      </c>
      <c r="Q38" t="s">
        <v>0</v>
      </c>
      <c r="R38">
        <f t="shared" si="0"/>
        <v>8</v>
      </c>
      <c r="S38">
        <f t="shared" ca="1" si="1"/>
        <v>0</v>
      </c>
      <c r="T38">
        <f t="shared" si="2"/>
        <v>35</v>
      </c>
      <c r="U38" t="str">
        <f>IF($T38&lt;=Z$4,INDEX(TypicalCriticalitiesMAHBarrier[Barrier Family Description],MATCH($T38,TypicalCriticalitiesMAHBarrier[Barrier Family ID],0)),"")</f>
        <v xml:space="preserve">Electronic Muster System </v>
      </c>
      <c r="V38" t="str">
        <f ca="1">IF($T38&lt;=AA$4,INDEX(TypicalCriticalitiesMAHBarrier[Typical Components],MATCH($T38,TypicalCriticalitiesMAHBarrier[Column2],0)),"")</f>
        <v/>
      </c>
      <c r="W38" t="str">
        <f ca="1">IF($T38&lt;=AA$4,INDEX(TypicalCriticalitiesMAHBarrier[Typical Criticality],MATCH($T38,TypicalCriticalitiesMAHBarrier[Column2],0)),"")</f>
        <v/>
      </c>
      <c r="AE38" s="44"/>
      <c r="AF38" s="44"/>
      <c r="AG38" s="44"/>
      <c r="AH38" s="44"/>
      <c r="AI38" s="44"/>
      <c r="AJ38" s="44"/>
    </row>
    <row r="39" spans="1:36" x14ac:dyDescent="0.25">
      <c r="N39" t="s">
        <v>259</v>
      </c>
      <c r="O39" t="s">
        <v>260</v>
      </c>
      <c r="P39" t="s">
        <v>261</v>
      </c>
      <c r="Q39" t="s">
        <v>1</v>
      </c>
      <c r="R39">
        <f t="shared" si="0"/>
        <v>9</v>
      </c>
      <c r="S39">
        <f t="shared" ca="1" si="1"/>
        <v>0</v>
      </c>
      <c r="T39">
        <f t="shared" si="2"/>
        <v>36</v>
      </c>
      <c r="U39" t="str">
        <f>IF($T39&lt;=Z$4,INDEX(TypicalCriticalitiesMAHBarrier[Barrier Family Description],MATCH($T39,TypicalCriticalitiesMAHBarrier[Barrier Family ID],0)),"")</f>
        <v xml:space="preserve">Facility Emergency Telephone &amp; Hot line systems </v>
      </c>
      <c r="V39" t="str">
        <f ca="1">IF($T39&lt;=AA$4,INDEX(TypicalCriticalitiesMAHBarrier[Typical Components],MATCH($T39,TypicalCriticalitiesMAHBarrier[Column2],0)),"")</f>
        <v/>
      </c>
      <c r="W39" t="str">
        <f ca="1">IF($T39&lt;=AA$4,INDEX(TypicalCriticalitiesMAHBarrier[Typical Criticality],MATCH($T39,TypicalCriticalitiesMAHBarrier[Column2],0)),"")</f>
        <v/>
      </c>
      <c r="AE39" s="44"/>
      <c r="AF39" s="44"/>
      <c r="AG39" s="44"/>
      <c r="AH39" s="44"/>
      <c r="AI39" s="44"/>
      <c r="AJ39" s="44"/>
    </row>
    <row r="40" spans="1:36" x14ac:dyDescent="0.25">
      <c r="N40" t="s">
        <v>259</v>
      </c>
      <c r="O40" t="s">
        <v>260</v>
      </c>
      <c r="P40" t="s">
        <v>262</v>
      </c>
      <c r="Q40" t="s">
        <v>1</v>
      </c>
      <c r="R40">
        <f t="shared" si="0"/>
        <v>9</v>
      </c>
      <c r="S40">
        <f t="shared" ca="1" si="1"/>
        <v>0</v>
      </c>
      <c r="T40">
        <f t="shared" si="2"/>
        <v>37</v>
      </c>
      <c r="U40" t="str">
        <f>IF($T40&lt;=Z$4,INDEX(TypicalCriticalitiesMAHBarrier[Barrier Family Description],MATCH($T40,TypicalCriticalitiesMAHBarrier[Barrier Family ID],0)),"")</f>
        <v xml:space="preserve">Facility radio system </v>
      </c>
      <c r="V40" t="str">
        <f ca="1">IF($T40&lt;=AA$4,INDEX(TypicalCriticalitiesMAHBarrier[Typical Components],MATCH($T40,TypicalCriticalitiesMAHBarrier[Column2],0)),"")</f>
        <v/>
      </c>
      <c r="W40" t="str">
        <f ca="1">IF($T40&lt;=AA$4,INDEX(TypicalCriticalitiesMAHBarrier[Typical Criticality],MATCH($T40,TypicalCriticalitiesMAHBarrier[Column2],0)),"")</f>
        <v/>
      </c>
      <c r="AE40" s="44"/>
      <c r="AF40" s="44"/>
      <c r="AG40" s="44"/>
      <c r="AH40" s="44"/>
      <c r="AI40" s="44"/>
      <c r="AJ40" s="44"/>
    </row>
    <row r="41" spans="1:36" x14ac:dyDescent="0.25">
      <c r="N41" t="s">
        <v>259</v>
      </c>
      <c r="O41" t="s">
        <v>260</v>
      </c>
      <c r="P41" t="s">
        <v>263</v>
      </c>
      <c r="Q41" t="s">
        <v>1</v>
      </c>
      <c r="R41">
        <f t="shared" si="0"/>
        <v>9</v>
      </c>
      <c r="S41">
        <f t="shared" ca="1" si="1"/>
        <v>0</v>
      </c>
      <c r="T41">
        <f t="shared" si="2"/>
        <v>38</v>
      </c>
      <c r="U41" t="str">
        <f>IF($T41&lt;=Z$4,INDEX(TypicalCriticalitiesMAHBarrier[Barrier Family Description],MATCH($T41,TypicalCriticalitiesMAHBarrier[Barrier Family ID],0)),"")</f>
        <v>Emergency Power</v>
      </c>
      <c r="V41" t="str">
        <f ca="1">IF($T41&lt;=AA$4,INDEX(TypicalCriticalitiesMAHBarrier[Typical Components],MATCH($T41,TypicalCriticalitiesMAHBarrier[Column2],0)),"")</f>
        <v/>
      </c>
      <c r="W41" t="str">
        <f ca="1">IF($T41&lt;=AA$4,INDEX(TypicalCriticalitiesMAHBarrier[Typical Criticality],MATCH($T41,TypicalCriticalitiesMAHBarrier[Column2],0)),"")</f>
        <v/>
      </c>
      <c r="AE41" s="44"/>
      <c r="AF41" s="44"/>
      <c r="AG41" s="44"/>
      <c r="AH41" s="44"/>
      <c r="AI41" s="44"/>
      <c r="AJ41" s="44"/>
    </row>
    <row r="42" spans="1:36" x14ac:dyDescent="0.25">
      <c r="N42" t="s">
        <v>259</v>
      </c>
      <c r="O42" t="s">
        <v>260</v>
      </c>
      <c r="P42" t="s">
        <v>264</v>
      </c>
      <c r="Q42" t="s">
        <v>1</v>
      </c>
      <c r="R42">
        <f t="shared" si="0"/>
        <v>9</v>
      </c>
      <c r="S42">
        <f t="shared" ca="1" si="1"/>
        <v>0</v>
      </c>
      <c r="T42">
        <f t="shared" si="2"/>
        <v>39</v>
      </c>
      <c r="U42" t="str">
        <f>IF($T42&lt;=Z$4,INDEX(TypicalCriticalitiesMAHBarrier[Barrier Family Description],MATCH($T42,TypicalCriticalitiesMAHBarrier[Barrier Family ID],0)),"")</f>
        <v>Emergency Lighting</v>
      </c>
      <c r="V42" t="str">
        <f ca="1">IF($T42&lt;=AA$4,INDEX(TypicalCriticalitiesMAHBarrier[Typical Components],MATCH($T42,TypicalCriticalitiesMAHBarrier[Column2],0)),"")</f>
        <v/>
      </c>
      <c r="W42" t="str">
        <f ca="1">IF($T42&lt;=AA$4,INDEX(TypicalCriticalitiesMAHBarrier[Typical Criticality],MATCH($T42,TypicalCriticalitiesMAHBarrier[Column2],0)),"")</f>
        <v/>
      </c>
      <c r="AE42" s="44"/>
      <c r="AF42" s="44"/>
      <c r="AG42" s="44"/>
      <c r="AH42" s="44"/>
      <c r="AI42" s="44"/>
      <c r="AJ42" s="44"/>
    </row>
    <row r="43" spans="1:36" x14ac:dyDescent="0.25">
      <c r="N43" t="s">
        <v>259</v>
      </c>
      <c r="O43" t="s">
        <v>260</v>
      </c>
      <c r="P43" t="s">
        <v>265</v>
      </c>
      <c r="Q43" t="s">
        <v>1</v>
      </c>
      <c r="R43">
        <f t="shared" si="0"/>
        <v>9</v>
      </c>
      <c r="S43">
        <f t="shared" ca="1" si="1"/>
        <v>0</v>
      </c>
      <c r="T43">
        <f t="shared" si="2"/>
        <v>40</v>
      </c>
      <c r="U43" t="str">
        <f>IF($T43&lt;=Z$4,INDEX(TypicalCriticalitiesMAHBarrier[Barrier Family Description],MATCH($T43,TypicalCriticalitiesMAHBarrier[Barrier Family ID],0)),"")</f>
        <v>Ignition Prevention</v>
      </c>
      <c r="V43" t="str">
        <f ca="1">IF($T43&lt;=AA$4,INDEX(TypicalCriticalitiesMAHBarrier[Typical Components],MATCH($T43,TypicalCriticalitiesMAHBarrier[Column2],0)),"")</f>
        <v/>
      </c>
      <c r="W43" t="str">
        <f ca="1">IF($T43&lt;=AA$4,INDEX(TypicalCriticalitiesMAHBarrier[Typical Criticality],MATCH($T43,TypicalCriticalitiesMAHBarrier[Column2],0)),"")</f>
        <v/>
      </c>
      <c r="AE43" s="44"/>
      <c r="AF43" s="44"/>
      <c r="AG43" s="44"/>
      <c r="AH43" s="44"/>
      <c r="AI43" s="44"/>
      <c r="AJ43" s="44"/>
    </row>
    <row r="44" spans="1:36" x14ac:dyDescent="0.25">
      <c r="N44" t="s">
        <v>259</v>
      </c>
      <c r="O44" t="s">
        <v>260</v>
      </c>
      <c r="P44" t="s">
        <v>266</v>
      </c>
      <c r="Q44" t="s">
        <v>1</v>
      </c>
      <c r="R44">
        <f t="shared" si="0"/>
        <v>9</v>
      </c>
      <c r="S44">
        <f t="shared" ca="1" si="1"/>
        <v>0</v>
      </c>
      <c r="T44">
        <f t="shared" si="2"/>
        <v>41</v>
      </c>
      <c r="U44" t="str">
        <f>IF($T44&lt;=Z$4,INDEX(TypicalCriticalitiesMAHBarrier[Barrier Family Description],MATCH($T44,TypicalCriticalitiesMAHBarrier[Barrier Family ID],0)),"")</f>
        <v>Inert Gas Blanketing</v>
      </c>
      <c r="V44" t="str">
        <f ca="1">IF($T44&lt;=AA$4,INDEX(TypicalCriticalitiesMAHBarrier[Typical Components],MATCH($T44,TypicalCriticalitiesMAHBarrier[Column2],0)),"")</f>
        <v/>
      </c>
      <c r="W44" t="str">
        <f ca="1">IF($T44&lt;=AA$4,INDEX(TypicalCriticalitiesMAHBarrier[Typical Criticality],MATCH($T44,TypicalCriticalitiesMAHBarrier[Column2],0)),"")</f>
        <v/>
      </c>
      <c r="AE44" s="44"/>
      <c r="AF44" s="44"/>
      <c r="AG44" s="44"/>
      <c r="AH44" s="44"/>
      <c r="AI44" s="44"/>
      <c r="AJ44" s="44"/>
    </row>
    <row r="45" spans="1:36" x14ac:dyDescent="0.25">
      <c r="N45" t="s">
        <v>259</v>
      </c>
      <c r="O45" t="s">
        <v>260</v>
      </c>
      <c r="P45" t="s">
        <v>267</v>
      </c>
      <c r="Q45" t="s">
        <v>0</v>
      </c>
      <c r="R45">
        <f t="shared" si="0"/>
        <v>9</v>
      </c>
      <c r="S45">
        <f t="shared" ca="1" si="1"/>
        <v>0</v>
      </c>
      <c r="T45">
        <f t="shared" si="2"/>
        <v>42</v>
      </c>
      <c r="U45" t="str">
        <f>IF($T45&lt;=Z$4,INDEX(TypicalCriticalitiesMAHBarrier[Barrier Family Description],MATCH($T45,TypicalCriticalitiesMAHBarrier[Barrier Family ID],0)),"")</f>
        <v>Lifesaving Equipment</v>
      </c>
      <c r="V45" t="str">
        <f ca="1">IF($T45&lt;=AA$4,INDEX(TypicalCriticalitiesMAHBarrier[Typical Components],MATCH($T45,TypicalCriticalitiesMAHBarrier[Column2],0)),"")</f>
        <v/>
      </c>
      <c r="W45" t="str">
        <f ca="1">IF($T45&lt;=AA$4,INDEX(TypicalCriticalitiesMAHBarrier[Typical Criticality],MATCH($T45,TypicalCriticalitiesMAHBarrier[Column2],0)),"")</f>
        <v/>
      </c>
      <c r="AE45" s="44"/>
      <c r="AF45" s="44"/>
      <c r="AG45" s="44"/>
      <c r="AH45" s="44"/>
      <c r="AI45" s="44"/>
      <c r="AJ45" s="44"/>
    </row>
    <row r="46" spans="1:36" x14ac:dyDescent="0.25">
      <c r="N46" t="s">
        <v>268</v>
      </c>
      <c r="O46" t="s">
        <v>269</v>
      </c>
      <c r="P46" t="s">
        <v>270</v>
      </c>
      <c r="Q46" t="s">
        <v>0</v>
      </c>
      <c r="R46">
        <f t="shared" si="0"/>
        <v>10</v>
      </c>
      <c r="S46">
        <f t="shared" ca="1" si="1"/>
        <v>0</v>
      </c>
      <c r="T46">
        <f t="shared" si="2"/>
        <v>43</v>
      </c>
      <c r="U46" t="str">
        <f>IF($T46&lt;=Z$4,INDEX(TypicalCriticalitiesMAHBarrier[Barrier Family Description],MATCH($T46,TypicalCriticalitiesMAHBarrier[Barrier Family ID],0)),"")</f>
        <v>Muster areas, escape and evacuation routes</v>
      </c>
      <c r="V46" t="str">
        <f ca="1">IF($T46&lt;=AA$4,INDEX(TypicalCriticalitiesMAHBarrier[Typical Components],MATCH($T46,TypicalCriticalitiesMAHBarrier[Column2],0)),"")</f>
        <v/>
      </c>
      <c r="W46" t="str">
        <f ca="1">IF($T46&lt;=AA$4,INDEX(TypicalCriticalitiesMAHBarrier[Typical Criticality],MATCH($T46,TypicalCriticalitiesMAHBarrier[Column2],0)),"")</f>
        <v/>
      </c>
      <c r="AE46" s="44"/>
      <c r="AF46" s="44"/>
      <c r="AG46" s="44"/>
      <c r="AH46" s="44"/>
      <c r="AI46" s="44"/>
      <c r="AJ46" s="44"/>
    </row>
    <row r="47" spans="1:36" x14ac:dyDescent="0.25">
      <c r="N47" t="s">
        <v>268</v>
      </c>
      <c r="O47" t="s">
        <v>269</v>
      </c>
      <c r="P47" t="s">
        <v>271</v>
      </c>
      <c r="Q47" t="s">
        <v>0</v>
      </c>
      <c r="R47">
        <f t="shared" si="0"/>
        <v>10</v>
      </c>
      <c r="S47">
        <f t="shared" ca="1" si="1"/>
        <v>0</v>
      </c>
      <c r="T47">
        <f t="shared" si="2"/>
        <v>44</v>
      </c>
      <c r="U47" t="str">
        <f>IF($T47&lt;=Z$4,INDEX(TypicalCriticalitiesMAHBarrier[Barrier Family Description],MATCH($T47,TypicalCriticalitiesMAHBarrier[Barrier Family ID],0)),"")</f>
        <v>Lifeboats</v>
      </c>
      <c r="V47" t="str">
        <f ca="1">IF($T47&lt;=AA$4,INDEX(TypicalCriticalitiesMAHBarrier[Typical Components],MATCH($T47,TypicalCriticalitiesMAHBarrier[Column2],0)),"")</f>
        <v/>
      </c>
      <c r="W47" t="str">
        <f ca="1">IF($T47&lt;=AA$4,INDEX(TypicalCriticalitiesMAHBarrier[Typical Criticality],MATCH($T47,TypicalCriticalitiesMAHBarrier[Column2],0)),"")</f>
        <v/>
      </c>
      <c r="AE47" s="44"/>
      <c r="AF47" s="44"/>
      <c r="AG47" s="44"/>
      <c r="AH47" s="44"/>
      <c r="AI47" s="44"/>
      <c r="AJ47" s="44"/>
    </row>
    <row r="48" spans="1:36" x14ac:dyDescent="0.25">
      <c r="N48" t="s">
        <v>268</v>
      </c>
      <c r="O48" t="s">
        <v>269</v>
      </c>
      <c r="P48" t="s">
        <v>272</v>
      </c>
      <c r="Q48" t="s">
        <v>0</v>
      </c>
      <c r="R48">
        <f t="shared" si="0"/>
        <v>10</v>
      </c>
      <c r="S48">
        <f t="shared" ca="1" si="1"/>
        <v>0</v>
      </c>
      <c r="T48">
        <f t="shared" si="2"/>
        <v>45</v>
      </c>
      <c r="U48" t="str">
        <f>IF($T48&lt;=Z$4,INDEX(TypicalCriticalitiesMAHBarrier[Barrier Family Description],MATCH($T48,TypicalCriticalitiesMAHBarrier[Barrier Family ID],0)),"")</f>
        <v>Means of escape to sea</v>
      </c>
      <c r="V48" t="str">
        <f ca="1">IF($T48&lt;=AA$4,INDEX(TypicalCriticalitiesMAHBarrier[Typical Components],MATCH($T48,TypicalCriticalitiesMAHBarrier[Column2],0)),"")</f>
        <v/>
      </c>
      <c r="W48" t="str">
        <f ca="1">IF($T48&lt;=AA$4,INDEX(TypicalCriticalitiesMAHBarrier[Typical Criticality],MATCH($T48,TypicalCriticalitiesMAHBarrier[Column2],0)),"")</f>
        <v/>
      </c>
      <c r="AE48" s="44"/>
      <c r="AF48" s="44"/>
      <c r="AG48" s="44"/>
      <c r="AH48" s="44"/>
      <c r="AI48" s="44"/>
      <c r="AJ48" s="44"/>
    </row>
    <row r="49" spans="14:36" x14ac:dyDescent="0.25">
      <c r="N49" t="s">
        <v>268</v>
      </c>
      <c r="O49" t="s">
        <v>269</v>
      </c>
      <c r="P49" t="s">
        <v>273</v>
      </c>
      <c r="Q49" t="s">
        <v>0</v>
      </c>
      <c r="R49">
        <f t="shared" si="0"/>
        <v>10</v>
      </c>
      <c r="S49">
        <f t="shared" ca="1" si="1"/>
        <v>0</v>
      </c>
      <c r="T49">
        <f t="shared" si="2"/>
        <v>46</v>
      </c>
      <c r="U49" t="str">
        <f>IF($T49&lt;=Z$4,INDEX(TypicalCriticalitiesMAHBarrier[Barrier Family Description],MATCH($T49,TypicalCriticalitiesMAHBarrier[Barrier Family ID],0)),"")</f>
        <v>Helideck</v>
      </c>
      <c r="V49" t="str">
        <f ca="1">IF($T49&lt;=AA$4,INDEX(TypicalCriticalitiesMAHBarrier[Typical Components],MATCH($T49,TypicalCriticalitiesMAHBarrier[Column2],0)),"")</f>
        <v/>
      </c>
      <c r="W49" t="str">
        <f ca="1">IF($T49&lt;=AA$4,INDEX(TypicalCriticalitiesMAHBarrier[Typical Criticality],MATCH($T49,TypicalCriticalitiesMAHBarrier[Column2],0)),"")</f>
        <v/>
      </c>
      <c r="AE49" s="44"/>
      <c r="AF49" s="44"/>
      <c r="AG49" s="44"/>
      <c r="AH49" s="44"/>
      <c r="AI49" s="44"/>
      <c r="AJ49" s="44"/>
    </row>
    <row r="50" spans="14:36" x14ac:dyDescent="0.25">
      <c r="N50" t="s">
        <v>268</v>
      </c>
      <c r="O50" t="s">
        <v>269</v>
      </c>
      <c r="P50" t="s">
        <v>274</v>
      </c>
      <c r="Q50" t="s">
        <v>0</v>
      </c>
      <c r="R50">
        <f t="shared" si="0"/>
        <v>10</v>
      </c>
      <c r="S50">
        <f t="shared" ca="1" si="1"/>
        <v>0</v>
      </c>
      <c r="T50">
        <f t="shared" si="2"/>
        <v>47</v>
      </c>
      <c r="U50" t="str">
        <f>IF($T50&lt;=Z$4,INDEX(TypicalCriticalitiesMAHBarrier[Barrier Family Description],MATCH($T50,TypicalCriticalitiesMAHBarrier[Barrier Family ID],0)),"")</f>
        <v>Rescue &amp; Recovery Systems</v>
      </c>
      <c r="V50" t="str">
        <f ca="1">IF($T50&lt;=AA$4,INDEX(TypicalCriticalitiesMAHBarrier[Typical Components],MATCH($T50,TypicalCriticalitiesMAHBarrier[Column2],0)),"")</f>
        <v/>
      </c>
      <c r="W50" t="str">
        <f ca="1">IF($T50&lt;=AA$4,INDEX(TypicalCriticalitiesMAHBarrier[Typical Criticality],MATCH($T50,TypicalCriticalitiesMAHBarrier[Column2],0)),"")</f>
        <v/>
      </c>
      <c r="AE50" s="44"/>
      <c r="AF50" s="44"/>
      <c r="AG50" s="44"/>
      <c r="AH50" s="44"/>
      <c r="AI50" s="44"/>
      <c r="AJ50" s="44"/>
    </row>
    <row r="51" spans="14:36" x14ac:dyDescent="0.25">
      <c r="N51" t="s">
        <v>268</v>
      </c>
      <c r="O51" t="s">
        <v>269</v>
      </c>
      <c r="P51" t="s">
        <v>275</v>
      </c>
      <c r="Q51" t="s">
        <v>1</v>
      </c>
      <c r="R51">
        <f t="shared" si="0"/>
        <v>10</v>
      </c>
      <c r="S51">
        <f t="shared" ca="1" si="1"/>
        <v>0</v>
      </c>
      <c r="T51">
        <f t="shared" si="2"/>
        <v>48</v>
      </c>
      <c r="U51" t="str">
        <f>IF($T51&lt;=Z$4,INDEX(TypicalCriticalitiesMAHBarrier[Barrier Family Description],MATCH($T51,TypicalCriticalitiesMAHBarrier[Barrier Family ID],0)),"")</f>
        <v>Cranes</v>
      </c>
      <c r="V51" t="str">
        <f ca="1">IF($T51&lt;=AA$4,INDEX(TypicalCriticalitiesMAHBarrier[Typical Components],MATCH($T51,TypicalCriticalitiesMAHBarrier[Column2],0)),"")</f>
        <v/>
      </c>
      <c r="W51" t="str">
        <f ca="1">IF($T51&lt;=AA$4,INDEX(TypicalCriticalitiesMAHBarrier[Typical Criticality],MATCH($T51,TypicalCriticalitiesMAHBarrier[Column2],0)),"")</f>
        <v/>
      </c>
      <c r="AE51" s="44"/>
      <c r="AF51" s="44"/>
      <c r="AG51" s="44"/>
      <c r="AH51" s="44"/>
      <c r="AI51" s="44"/>
      <c r="AJ51" s="44"/>
    </row>
    <row r="52" spans="14:36" x14ac:dyDescent="0.25">
      <c r="N52" t="s">
        <v>268</v>
      </c>
      <c r="O52" t="s">
        <v>269</v>
      </c>
      <c r="P52" t="s">
        <v>276</v>
      </c>
      <c r="Q52" t="s">
        <v>0</v>
      </c>
      <c r="R52">
        <f t="shared" si="0"/>
        <v>10</v>
      </c>
      <c r="S52">
        <f t="shared" ca="1" si="1"/>
        <v>0</v>
      </c>
      <c r="T52">
        <f t="shared" si="2"/>
        <v>49</v>
      </c>
      <c r="U52" t="str">
        <f>IF($T52&lt;=Z$4,INDEX(TypicalCriticalitiesMAHBarrier[Barrier Family Description],MATCH($T52,TypicalCriticalitiesMAHBarrier[Barrier Family ID],0)),"")</f>
        <v>Lifting system</v>
      </c>
      <c r="V52" t="str">
        <f ca="1">IF($T52&lt;=AA$4,INDEX(TypicalCriticalitiesMAHBarrier[Typical Components],MATCH($T52,TypicalCriticalitiesMAHBarrier[Column2],0)),"")</f>
        <v/>
      </c>
      <c r="W52" t="str">
        <f ca="1">IF($T52&lt;=AA$4,INDEX(TypicalCriticalitiesMAHBarrier[Typical Criticality],MATCH($T52,TypicalCriticalitiesMAHBarrier[Column2],0)),"")</f>
        <v/>
      </c>
      <c r="AE52" s="44"/>
      <c r="AF52" s="44"/>
      <c r="AG52" s="44"/>
      <c r="AH52" s="44"/>
      <c r="AI52" s="44"/>
      <c r="AJ52" s="44"/>
    </row>
    <row r="53" spans="14:36" x14ac:dyDescent="0.25">
      <c r="N53" t="s">
        <v>268</v>
      </c>
      <c r="O53" t="s">
        <v>269</v>
      </c>
      <c r="P53" t="s">
        <v>277</v>
      </c>
      <c r="Q53" t="s">
        <v>0</v>
      </c>
      <c r="R53">
        <f t="shared" si="0"/>
        <v>10</v>
      </c>
      <c r="S53">
        <f t="shared" ca="1" si="1"/>
        <v>0</v>
      </c>
      <c r="T53">
        <f t="shared" si="2"/>
        <v>50</v>
      </c>
      <c r="U53" t="str">
        <f>IF($T53&lt;=Z$4,INDEX(TypicalCriticalitiesMAHBarrier[Barrier Family Description],MATCH($T53,TypicalCriticalitiesMAHBarrier[Barrier Family ID],0)),"")</f>
        <v xml:space="preserve"> Fire &amp; Gas systems</v>
      </c>
      <c r="V53" t="str">
        <f ca="1">IF($T53&lt;=AA$4,INDEX(TypicalCriticalitiesMAHBarrier[Typical Components],MATCH($T53,TypicalCriticalitiesMAHBarrier[Column2],0)),"")</f>
        <v/>
      </c>
      <c r="W53" t="str">
        <f ca="1">IF($T53&lt;=AA$4,INDEX(TypicalCriticalitiesMAHBarrier[Typical Criticality],MATCH($T53,TypicalCriticalitiesMAHBarrier[Column2],0)),"")</f>
        <v/>
      </c>
      <c r="AE53" s="44"/>
      <c r="AF53" s="44"/>
      <c r="AG53" s="44"/>
      <c r="AH53" s="44"/>
      <c r="AI53" s="44"/>
      <c r="AJ53" s="44"/>
    </row>
    <row r="54" spans="14:36" x14ac:dyDescent="0.25">
      <c r="N54" t="s">
        <v>268</v>
      </c>
      <c r="O54" t="s">
        <v>269</v>
      </c>
      <c r="P54" t="s">
        <v>278</v>
      </c>
      <c r="Q54" t="s">
        <v>0</v>
      </c>
      <c r="R54">
        <f t="shared" si="0"/>
        <v>10</v>
      </c>
      <c r="S54">
        <f t="shared" ca="1" si="1"/>
        <v>0</v>
      </c>
      <c r="T54">
        <f t="shared" si="2"/>
        <v>51</v>
      </c>
      <c r="U54" t="str">
        <f>IF($T54&lt;=Z$4,INDEX(TypicalCriticalitiesMAHBarrier[Barrier Family Description],MATCH($T54,TypicalCriticalitiesMAHBarrier[Barrier Family ID],0)),"")</f>
        <v>Emergency Shutdown Systems</v>
      </c>
      <c r="V54" t="str">
        <f ca="1">IF($T54&lt;=AA$4,INDEX(TypicalCriticalitiesMAHBarrier[Typical Components],MATCH($T54,TypicalCriticalitiesMAHBarrier[Column2],0)),"")</f>
        <v/>
      </c>
      <c r="W54" t="str">
        <f ca="1">IF($T54&lt;=AA$4,INDEX(TypicalCriticalitiesMAHBarrier[Typical Criticality],MATCH($T54,TypicalCriticalitiesMAHBarrier[Column2],0)),"")</f>
        <v/>
      </c>
      <c r="AE54" s="44"/>
      <c r="AF54" s="44"/>
      <c r="AG54" s="44"/>
      <c r="AH54" s="44"/>
      <c r="AI54" s="44"/>
      <c r="AJ54" s="44"/>
    </row>
    <row r="55" spans="14:36" x14ac:dyDescent="0.25">
      <c r="N55" t="s">
        <v>268</v>
      </c>
      <c r="O55" t="s">
        <v>269</v>
      </c>
      <c r="P55" t="s">
        <v>279</v>
      </c>
      <c r="Q55" t="s">
        <v>1</v>
      </c>
      <c r="R55">
        <f t="shared" si="0"/>
        <v>10</v>
      </c>
      <c r="S55">
        <f t="shared" ca="1" si="1"/>
        <v>0</v>
      </c>
      <c r="T55">
        <f t="shared" si="2"/>
        <v>52</v>
      </c>
      <c r="U55" t="str">
        <f>IF($T55&lt;=Z$4,INDEX(TypicalCriticalitiesMAHBarrier[Barrier Family Description],MATCH($T55,TypicalCriticalitiesMAHBarrier[Barrier Family ID],0)),"")</f>
        <v>Riser ESDVs &amp; EIVs</v>
      </c>
      <c r="V55" t="str">
        <f ca="1">IF($T55&lt;=AA$4,INDEX(TypicalCriticalitiesMAHBarrier[Typical Components],MATCH($T55,TypicalCriticalitiesMAHBarrier[Column2],0)),"")</f>
        <v/>
      </c>
      <c r="W55" t="str">
        <f ca="1">IF($T55&lt;=AA$4,INDEX(TypicalCriticalitiesMAHBarrier[Typical Criticality],MATCH($T55,TypicalCriticalitiesMAHBarrier[Column2],0)),"")</f>
        <v/>
      </c>
      <c r="AE55" s="44"/>
      <c r="AF55" s="44"/>
      <c r="AG55" s="44"/>
      <c r="AH55" s="44"/>
      <c r="AI55" s="44"/>
      <c r="AJ55" s="44"/>
    </row>
    <row r="56" spans="14:36" x14ac:dyDescent="0.25">
      <c r="N56" t="s">
        <v>268</v>
      </c>
      <c r="O56" t="s">
        <v>269</v>
      </c>
      <c r="P56" t="s">
        <v>280</v>
      </c>
      <c r="Q56" t="s">
        <v>1</v>
      </c>
      <c r="R56">
        <f t="shared" si="0"/>
        <v>10</v>
      </c>
      <c r="S56">
        <f t="shared" ca="1" si="1"/>
        <v>0</v>
      </c>
      <c r="T56">
        <f t="shared" si="2"/>
        <v>53</v>
      </c>
      <c r="U56" t="str">
        <f>IF($T56&lt;=Z$4,INDEX(TypicalCriticalitiesMAHBarrier[Barrier Family Description],MATCH($T56,TypicalCriticalitiesMAHBarrier[Barrier Family ID],0)),"")</f>
        <v>Fire protection</v>
      </c>
      <c r="V56" t="str">
        <f ca="1">IF($T56&lt;=AA$4,INDEX(TypicalCriticalitiesMAHBarrier[Typical Components],MATCH($T56,TypicalCriticalitiesMAHBarrier[Column2],0)),"")</f>
        <v/>
      </c>
      <c r="W56" t="str">
        <f ca="1">IF($T56&lt;=AA$4,INDEX(TypicalCriticalitiesMAHBarrier[Typical Criticality],MATCH($T56,TypicalCriticalitiesMAHBarrier[Column2],0)),"")</f>
        <v/>
      </c>
      <c r="AE56" s="44"/>
      <c r="AF56" s="44"/>
      <c r="AG56" s="44"/>
      <c r="AH56" s="44"/>
      <c r="AI56" s="44"/>
      <c r="AJ56" s="44"/>
    </row>
    <row r="57" spans="14:36" x14ac:dyDescent="0.25">
      <c r="N57" t="s">
        <v>268</v>
      </c>
      <c r="O57" t="s">
        <v>269</v>
      </c>
      <c r="P57" t="s">
        <v>281</v>
      </c>
      <c r="Q57" t="s">
        <v>1</v>
      </c>
      <c r="R57">
        <f t="shared" si="0"/>
        <v>10</v>
      </c>
      <c r="S57">
        <f t="shared" ca="1" si="1"/>
        <v>0</v>
      </c>
      <c r="T57">
        <f t="shared" si="2"/>
        <v>54</v>
      </c>
      <c r="U57" t="str">
        <f>IF($T57&lt;=Z$4,INDEX(TypicalCriticalitiesMAHBarrier[Barrier Family Description],MATCH($T57,TypicalCriticalitiesMAHBarrier[Barrier Family ID],0)),"")</f>
        <v>Miscellaneous fire protection systems</v>
      </c>
      <c r="V57" t="str">
        <f ca="1">IF($T57&lt;=AA$4,INDEX(TypicalCriticalitiesMAHBarrier[Typical Components],MATCH($T57,TypicalCriticalitiesMAHBarrier[Column2],0)),"")</f>
        <v/>
      </c>
      <c r="W57" t="str">
        <f ca="1">IF($T57&lt;=AA$4,INDEX(TypicalCriticalitiesMAHBarrier[Typical Criticality],MATCH($T57,TypicalCriticalitiesMAHBarrier[Column2],0)),"")</f>
        <v/>
      </c>
      <c r="AE57" s="44"/>
      <c r="AF57" s="44"/>
      <c r="AG57" s="44"/>
      <c r="AH57" s="44"/>
      <c r="AI57" s="44"/>
      <c r="AJ57" s="44"/>
    </row>
    <row r="58" spans="14:36" x14ac:dyDescent="0.25">
      <c r="N58" t="s">
        <v>268</v>
      </c>
      <c r="O58" t="s">
        <v>269</v>
      </c>
      <c r="P58" t="s">
        <v>282</v>
      </c>
      <c r="Q58" t="s">
        <v>1</v>
      </c>
      <c r="R58">
        <f t="shared" si="0"/>
        <v>10</v>
      </c>
      <c r="S58">
        <f t="shared" ca="1" si="1"/>
        <v>0</v>
      </c>
      <c r="T58">
        <f t="shared" si="2"/>
        <v>55</v>
      </c>
      <c r="U58" t="str">
        <f>IF($T58&lt;=Z$4,INDEX(TypicalCriticalitiesMAHBarrier[Barrier Family Description],MATCH($T58,TypicalCriticalitiesMAHBarrier[Barrier Family ID],0)),"")</f>
        <v/>
      </c>
      <c r="V58" t="str">
        <f ca="1">IF($T58&lt;=AA$4,INDEX(TypicalCriticalitiesMAHBarrier[Typical Components],MATCH($T58,TypicalCriticalitiesMAHBarrier[Column2],0)),"")</f>
        <v/>
      </c>
      <c r="W58" t="str">
        <f ca="1">IF($T58&lt;=AA$4,INDEX(TypicalCriticalitiesMAHBarrier[Typical Criticality],MATCH($T58,TypicalCriticalitiesMAHBarrier[Column2],0)),"")</f>
        <v/>
      </c>
      <c r="AE58" s="44"/>
      <c r="AF58" s="44"/>
      <c r="AG58" s="44"/>
      <c r="AH58" s="44"/>
      <c r="AI58" s="44"/>
      <c r="AJ58" s="44"/>
    </row>
    <row r="59" spans="14:36" x14ac:dyDescent="0.25">
      <c r="N59" t="s">
        <v>268</v>
      </c>
      <c r="O59" t="s">
        <v>269</v>
      </c>
      <c r="P59" t="s">
        <v>283</v>
      </c>
      <c r="Q59" t="s">
        <v>1</v>
      </c>
      <c r="R59">
        <f t="shared" si="0"/>
        <v>10</v>
      </c>
      <c r="S59">
        <f t="shared" ca="1" si="1"/>
        <v>0</v>
      </c>
      <c r="T59">
        <f t="shared" si="2"/>
        <v>56</v>
      </c>
      <c r="U59" t="str">
        <f>IF($T59&lt;=Z$4,INDEX(TypicalCriticalitiesMAHBarrier[Barrier Family Description],MATCH($T59,TypicalCriticalitiesMAHBarrier[Barrier Family ID],0)),"")</f>
        <v/>
      </c>
      <c r="V59" t="str">
        <f ca="1">IF($T59&lt;=AA$4,INDEX(TypicalCriticalitiesMAHBarrier[Typical Components],MATCH($T59,TypicalCriticalitiesMAHBarrier[Column2],0)),"")</f>
        <v/>
      </c>
      <c r="W59" t="str">
        <f ca="1">IF($T59&lt;=AA$4,INDEX(TypicalCriticalitiesMAHBarrier[Typical Criticality],MATCH($T59,TypicalCriticalitiesMAHBarrier[Column2],0)),"")</f>
        <v/>
      </c>
      <c r="AE59" s="44"/>
      <c r="AF59" s="44"/>
      <c r="AG59" s="44"/>
      <c r="AH59" s="44"/>
      <c r="AI59" s="44"/>
      <c r="AJ59" s="44"/>
    </row>
    <row r="60" spans="14:36" x14ac:dyDescent="0.25">
      <c r="N60" t="s">
        <v>268</v>
      </c>
      <c r="O60" t="s">
        <v>269</v>
      </c>
      <c r="P60" t="s">
        <v>284</v>
      </c>
      <c r="Q60" t="s">
        <v>0</v>
      </c>
      <c r="R60">
        <f t="shared" si="0"/>
        <v>10</v>
      </c>
      <c r="S60">
        <f t="shared" ca="1" si="1"/>
        <v>0</v>
      </c>
      <c r="T60">
        <f t="shared" si="2"/>
        <v>57</v>
      </c>
      <c r="U60" t="str">
        <f>IF($T60&lt;=Z$4,INDEX(TypicalCriticalitiesMAHBarrier[Barrier Family Description],MATCH($T60,TypicalCriticalitiesMAHBarrier[Barrier Family ID],0)),"")</f>
        <v/>
      </c>
      <c r="V60" t="str">
        <f ca="1">IF($T60&lt;=AA$4,INDEX(TypicalCriticalitiesMAHBarrier[Typical Components],MATCH($T60,TypicalCriticalitiesMAHBarrier[Column2],0)),"")</f>
        <v/>
      </c>
      <c r="W60" t="str">
        <f ca="1">IF($T60&lt;=AA$4,INDEX(TypicalCriticalitiesMAHBarrier[Typical Criticality],MATCH($T60,TypicalCriticalitiesMAHBarrier[Column2],0)),"")</f>
        <v/>
      </c>
      <c r="AE60" s="44"/>
      <c r="AF60" s="44"/>
      <c r="AG60" s="44"/>
      <c r="AH60" s="44"/>
      <c r="AI60" s="44"/>
      <c r="AJ60" s="44"/>
    </row>
    <row r="61" spans="14:36" x14ac:dyDescent="0.25">
      <c r="N61" t="s">
        <v>268</v>
      </c>
      <c r="O61" t="s">
        <v>269</v>
      </c>
      <c r="P61" t="s">
        <v>285</v>
      </c>
      <c r="Q61" t="s">
        <v>0</v>
      </c>
      <c r="R61">
        <f t="shared" si="0"/>
        <v>10</v>
      </c>
      <c r="S61">
        <f t="shared" ca="1" si="1"/>
        <v>0</v>
      </c>
      <c r="T61">
        <f t="shared" si="2"/>
        <v>58</v>
      </c>
      <c r="U61" t="str">
        <f>IF($T61&lt;=Z$4,INDEX(TypicalCriticalitiesMAHBarrier[Barrier Family Description],MATCH($T61,TypicalCriticalitiesMAHBarrier[Barrier Family ID],0)),"")</f>
        <v/>
      </c>
      <c r="V61" t="str">
        <f ca="1">IF($T61&lt;=AA$4,INDEX(TypicalCriticalitiesMAHBarrier[Typical Components],MATCH($T61,TypicalCriticalitiesMAHBarrier[Column2],0)),"")</f>
        <v/>
      </c>
      <c r="W61" t="str">
        <f ca="1">IF($T61&lt;=AA$4,INDEX(TypicalCriticalitiesMAHBarrier[Typical Criticality],MATCH($T61,TypicalCriticalitiesMAHBarrier[Column2],0)),"")</f>
        <v/>
      </c>
      <c r="AE61" s="44"/>
      <c r="AF61" s="44"/>
      <c r="AG61" s="44"/>
      <c r="AH61" s="44"/>
      <c r="AI61" s="44"/>
      <c r="AJ61" s="44"/>
    </row>
    <row r="62" spans="14:36" x14ac:dyDescent="0.25">
      <c r="N62" t="s">
        <v>268</v>
      </c>
      <c r="O62" t="s">
        <v>269</v>
      </c>
      <c r="P62" t="s">
        <v>286</v>
      </c>
      <c r="Q62" t="s">
        <v>0</v>
      </c>
      <c r="R62">
        <f t="shared" si="0"/>
        <v>10</v>
      </c>
      <c r="S62">
        <f t="shared" ca="1" si="1"/>
        <v>0</v>
      </c>
      <c r="T62">
        <f t="shared" si="2"/>
        <v>59</v>
      </c>
      <c r="U62" t="str">
        <f>IF($T62&lt;=Z$4,INDEX(TypicalCriticalitiesMAHBarrier[Barrier Family Description],MATCH($T62,TypicalCriticalitiesMAHBarrier[Barrier Family ID],0)),"")</f>
        <v/>
      </c>
      <c r="V62" t="str">
        <f ca="1">IF($T62&lt;=AA$4,INDEX(TypicalCriticalitiesMAHBarrier[Typical Components],MATCH($T62,TypicalCriticalitiesMAHBarrier[Column2],0)),"")</f>
        <v/>
      </c>
      <c r="W62" t="str">
        <f ca="1">IF($T62&lt;=AA$4,INDEX(TypicalCriticalitiesMAHBarrier[Typical Criticality],MATCH($T62,TypicalCriticalitiesMAHBarrier[Column2],0)),"")</f>
        <v/>
      </c>
      <c r="AE62" s="44"/>
      <c r="AF62" s="44"/>
      <c r="AG62" s="44"/>
      <c r="AH62" s="44"/>
      <c r="AI62" s="44"/>
      <c r="AJ62" s="44"/>
    </row>
    <row r="63" spans="14:36" x14ac:dyDescent="0.25">
      <c r="N63" t="s">
        <v>268</v>
      </c>
      <c r="O63" t="s">
        <v>269</v>
      </c>
      <c r="P63" t="s">
        <v>287</v>
      </c>
      <c r="Q63" t="s">
        <v>0</v>
      </c>
      <c r="R63">
        <f t="shared" si="0"/>
        <v>10</v>
      </c>
      <c r="S63">
        <f t="shared" ca="1" si="1"/>
        <v>0</v>
      </c>
      <c r="T63">
        <f t="shared" si="2"/>
        <v>60</v>
      </c>
      <c r="U63" t="str">
        <f>IF($T63&lt;=Z$4,INDEX(TypicalCriticalitiesMAHBarrier[Barrier Family Description],MATCH($T63,TypicalCriticalitiesMAHBarrier[Barrier Family ID],0)),"")</f>
        <v/>
      </c>
      <c r="V63" t="str">
        <f ca="1">IF($T63&lt;=AA$4,INDEX(TypicalCriticalitiesMAHBarrier[Typical Components],MATCH($T63,TypicalCriticalitiesMAHBarrier[Column2],0)),"")</f>
        <v/>
      </c>
      <c r="W63" t="str">
        <f ca="1">IF($T63&lt;=AA$4,INDEX(TypicalCriticalitiesMAHBarrier[Typical Criticality],MATCH($T63,TypicalCriticalitiesMAHBarrier[Column2],0)),"")</f>
        <v/>
      </c>
      <c r="AE63" s="44"/>
      <c r="AF63" s="44"/>
      <c r="AG63" s="44"/>
      <c r="AH63" s="44"/>
      <c r="AI63" s="44"/>
      <c r="AJ63" s="44"/>
    </row>
    <row r="64" spans="14:36" x14ac:dyDescent="0.25">
      <c r="N64" t="s">
        <v>268</v>
      </c>
      <c r="O64" t="s">
        <v>269</v>
      </c>
      <c r="P64" t="s">
        <v>288</v>
      </c>
      <c r="Q64" t="s">
        <v>0</v>
      </c>
      <c r="R64">
        <f t="shared" si="0"/>
        <v>10</v>
      </c>
      <c r="S64">
        <f t="shared" ca="1" si="1"/>
        <v>0</v>
      </c>
      <c r="T64">
        <f t="shared" si="2"/>
        <v>61</v>
      </c>
      <c r="U64" t="str">
        <f>IF($T64&lt;=Z$4,INDEX(TypicalCriticalitiesMAHBarrier[Barrier Family Description],MATCH($T64,TypicalCriticalitiesMAHBarrier[Barrier Family ID],0)),"")</f>
        <v/>
      </c>
      <c r="V64" t="str">
        <f ca="1">IF($T64&lt;=AA$4,INDEX(TypicalCriticalitiesMAHBarrier[Typical Components],MATCH($T64,TypicalCriticalitiesMAHBarrier[Column2],0)),"")</f>
        <v/>
      </c>
      <c r="W64" t="str">
        <f ca="1">IF($T64&lt;=AA$4,INDEX(TypicalCriticalitiesMAHBarrier[Typical Criticality],MATCH($T64,TypicalCriticalitiesMAHBarrier[Column2],0)),"")</f>
        <v/>
      </c>
      <c r="AE64" s="44"/>
      <c r="AF64" s="44"/>
      <c r="AG64" s="44"/>
      <c r="AH64" s="44"/>
      <c r="AI64" s="44"/>
      <c r="AJ64" s="44"/>
    </row>
    <row r="65" spans="14:36" x14ac:dyDescent="0.25">
      <c r="N65" t="s">
        <v>268</v>
      </c>
      <c r="O65" t="s">
        <v>269</v>
      </c>
      <c r="P65" t="s">
        <v>289</v>
      </c>
      <c r="Q65" t="s">
        <v>0</v>
      </c>
      <c r="R65">
        <f t="shared" si="0"/>
        <v>10</v>
      </c>
      <c r="S65">
        <f t="shared" ca="1" si="1"/>
        <v>0</v>
      </c>
      <c r="T65">
        <f t="shared" si="2"/>
        <v>62</v>
      </c>
      <c r="U65" t="str">
        <f>IF($T65&lt;=Z$4,INDEX(TypicalCriticalitiesMAHBarrier[Barrier Family Description],MATCH($T65,TypicalCriticalitiesMAHBarrier[Barrier Family ID],0)),"")</f>
        <v/>
      </c>
      <c r="V65" t="str">
        <f ca="1">IF($T65&lt;=AA$4,INDEX(TypicalCriticalitiesMAHBarrier[Typical Components],MATCH($T65,TypicalCriticalitiesMAHBarrier[Column2],0)),"")</f>
        <v/>
      </c>
      <c r="W65" t="str">
        <f ca="1">IF($T65&lt;=AA$4,INDEX(TypicalCriticalitiesMAHBarrier[Typical Criticality],MATCH($T65,TypicalCriticalitiesMAHBarrier[Column2],0)),"")</f>
        <v/>
      </c>
      <c r="AE65" s="44"/>
      <c r="AF65" s="44"/>
      <c r="AG65" s="44"/>
      <c r="AH65" s="44"/>
      <c r="AI65" s="44"/>
      <c r="AJ65" s="44"/>
    </row>
    <row r="66" spans="14:36" x14ac:dyDescent="0.25">
      <c r="N66" t="s">
        <v>268</v>
      </c>
      <c r="O66" t="s">
        <v>269</v>
      </c>
      <c r="P66" t="s">
        <v>290</v>
      </c>
      <c r="Q66" t="s">
        <v>1</v>
      </c>
      <c r="R66">
        <f t="shared" si="0"/>
        <v>10</v>
      </c>
      <c r="S66">
        <f t="shared" ca="1" si="1"/>
        <v>0</v>
      </c>
      <c r="T66">
        <f t="shared" si="2"/>
        <v>63</v>
      </c>
      <c r="U66" t="str">
        <f>IF($T66&lt;=Z$4,INDEX(TypicalCriticalitiesMAHBarrier[Barrier Family Description],MATCH($T66,TypicalCriticalitiesMAHBarrier[Barrier Family ID],0)),"")</f>
        <v/>
      </c>
      <c r="V66" t="str">
        <f ca="1">IF($T66&lt;=AA$4,INDEX(TypicalCriticalitiesMAHBarrier[Typical Components],MATCH($T66,TypicalCriticalitiesMAHBarrier[Column2],0)),"")</f>
        <v/>
      </c>
      <c r="W66" t="str">
        <f ca="1">IF($T66&lt;=AA$4,INDEX(TypicalCriticalitiesMAHBarrier[Typical Criticality],MATCH($T66,TypicalCriticalitiesMAHBarrier[Column2],0)),"")</f>
        <v/>
      </c>
      <c r="AE66" s="44"/>
      <c r="AF66" s="44"/>
      <c r="AG66" s="44"/>
      <c r="AH66" s="44"/>
      <c r="AI66" s="44"/>
      <c r="AJ66" s="44"/>
    </row>
    <row r="67" spans="14:36" x14ac:dyDescent="0.25">
      <c r="N67" t="s">
        <v>268</v>
      </c>
      <c r="O67" t="s">
        <v>269</v>
      </c>
      <c r="P67" t="s">
        <v>291</v>
      </c>
      <c r="Q67" t="s">
        <v>0</v>
      </c>
      <c r="R67">
        <f t="shared" si="0"/>
        <v>10</v>
      </c>
      <c r="S67">
        <f t="shared" ca="1" si="1"/>
        <v>0</v>
      </c>
      <c r="T67">
        <f t="shared" si="2"/>
        <v>64</v>
      </c>
      <c r="U67" t="str">
        <f>IF($T67&lt;=Z$4,INDEX(TypicalCriticalitiesMAHBarrier[Barrier Family Description],MATCH($T67,TypicalCriticalitiesMAHBarrier[Barrier Family ID],0)),"")</f>
        <v/>
      </c>
      <c r="V67" t="str">
        <f ca="1">IF($T67&lt;=AA$4,INDEX(TypicalCriticalitiesMAHBarrier[Typical Components],MATCH($T67,TypicalCriticalitiesMAHBarrier[Column2],0)),"")</f>
        <v/>
      </c>
      <c r="W67" t="str">
        <f ca="1">IF($T67&lt;=AA$4,INDEX(TypicalCriticalitiesMAHBarrier[Typical Criticality],MATCH($T67,TypicalCriticalitiesMAHBarrier[Column2],0)),"")</f>
        <v/>
      </c>
      <c r="AE67" s="44"/>
      <c r="AF67" s="44"/>
      <c r="AG67" s="44"/>
      <c r="AH67" s="44"/>
      <c r="AI67" s="44"/>
      <c r="AJ67" s="44"/>
    </row>
    <row r="68" spans="14:36" x14ac:dyDescent="0.25">
      <c r="N68" t="s">
        <v>268</v>
      </c>
      <c r="O68" t="s">
        <v>269</v>
      </c>
      <c r="P68" t="s">
        <v>292</v>
      </c>
      <c r="Q68" t="s">
        <v>0</v>
      </c>
      <c r="R68">
        <f t="shared" si="0"/>
        <v>10</v>
      </c>
      <c r="S68">
        <f t="shared" ca="1" si="1"/>
        <v>0</v>
      </c>
      <c r="T68">
        <f t="shared" si="2"/>
        <v>65</v>
      </c>
      <c r="U68" t="str">
        <f>IF($T68&lt;=Z$4,INDEX(TypicalCriticalitiesMAHBarrier[Barrier Family Description],MATCH($T68,TypicalCriticalitiesMAHBarrier[Barrier Family ID],0)),"")</f>
        <v/>
      </c>
      <c r="V68" t="str">
        <f ca="1">IF($T68&lt;=AA$4,INDEX(TypicalCriticalitiesMAHBarrier[Typical Components],MATCH($T68,TypicalCriticalitiesMAHBarrier[Column2],0)),"")</f>
        <v/>
      </c>
      <c r="W68" t="str">
        <f ca="1">IF($T68&lt;=AA$4,INDEX(TypicalCriticalitiesMAHBarrier[Typical Criticality],MATCH($T68,TypicalCriticalitiesMAHBarrier[Column2],0)),"")</f>
        <v/>
      </c>
      <c r="AE68" s="44"/>
      <c r="AF68" s="44"/>
      <c r="AG68" s="44"/>
      <c r="AH68" s="44"/>
      <c r="AI68" s="44"/>
      <c r="AJ68" s="44"/>
    </row>
    <row r="69" spans="14:36" x14ac:dyDescent="0.25">
      <c r="N69" t="s">
        <v>268</v>
      </c>
      <c r="O69" t="s">
        <v>269</v>
      </c>
      <c r="P69" t="s">
        <v>293</v>
      </c>
      <c r="Q69" t="s">
        <v>1</v>
      </c>
      <c r="R69">
        <f t="shared" ref="R69:R132" si="3">IF(AND(O69&lt;&gt;O68,O69&lt;&gt;""),R68+1,R68)</f>
        <v>10</v>
      </c>
      <c r="S69">
        <f t="shared" ref="S69:S132" ca="1" si="4">IF(R69=$Z$5,IF(AND(P69&lt;&gt;P68,P69&lt;&gt;""),S68+1,S68),S68)</f>
        <v>0</v>
      </c>
      <c r="T69">
        <f t="shared" ref="T69:T132" si="5">T68+1</f>
        <v>66</v>
      </c>
      <c r="U69" t="str">
        <f>IF($T69&lt;=Z$4,INDEX(TypicalCriticalitiesMAHBarrier[Barrier Family Description],MATCH($T69,TypicalCriticalitiesMAHBarrier[Barrier Family ID],0)),"")</f>
        <v/>
      </c>
      <c r="V69" t="str">
        <f ca="1">IF($T69&lt;=AA$4,INDEX(TypicalCriticalitiesMAHBarrier[Typical Components],MATCH($T69,TypicalCriticalitiesMAHBarrier[Column2],0)),"")</f>
        <v/>
      </c>
      <c r="W69" t="str">
        <f ca="1">IF($T69&lt;=AA$4,INDEX(TypicalCriticalitiesMAHBarrier[Typical Criticality],MATCH($T69,TypicalCriticalitiesMAHBarrier[Column2],0)),"")</f>
        <v/>
      </c>
      <c r="AE69" s="44"/>
      <c r="AF69" s="44"/>
      <c r="AG69" s="44"/>
      <c r="AH69" s="44"/>
      <c r="AI69" s="44"/>
      <c r="AJ69" s="44"/>
    </row>
    <row r="70" spans="14:36" x14ac:dyDescent="0.25">
      <c r="N70" t="s">
        <v>268</v>
      </c>
      <c r="O70" t="s">
        <v>269</v>
      </c>
      <c r="P70" t="s">
        <v>294</v>
      </c>
      <c r="Q70" t="s">
        <v>1</v>
      </c>
      <c r="R70">
        <f t="shared" si="3"/>
        <v>10</v>
      </c>
      <c r="S70">
        <f t="shared" ca="1" si="4"/>
        <v>0</v>
      </c>
      <c r="T70">
        <f t="shared" si="5"/>
        <v>67</v>
      </c>
      <c r="U70" t="str">
        <f>IF($T70&lt;=Z$4,INDEX(TypicalCriticalitiesMAHBarrier[Barrier Family Description],MATCH($T70,TypicalCriticalitiesMAHBarrier[Barrier Family ID],0)),"")</f>
        <v/>
      </c>
      <c r="V70" t="str">
        <f ca="1">IF($T70&lt;=AA$4,INDEX(TypicalCriticalitiesMAHBarrier[Typical Components],MATCH($T70,TypicalCriticalitiesMAHBarrier[Column2],0)),"")</f>
        <v/>
      </c>
      <c r="W70" t="str">
        <f ca="1">IF($T70&lt;=AA$4,INDEX(TypicalCriticalitiesMAHBarrier[Typical Criticality],MATCH($T70,TypicalCriticalitiesMAHBarrier[Column2],0)),"")</f>
        <v/>
      </c>
      <c r="AE70" s="44"/>
      <c r="AF70" s="44"/>
      <c r="AG70" s="44"/>
      <c r="AH70" s="44"/>
      <c r="AI70" s="44"/>
      <c r="AJ70" s="44"/>
    </row>
    <row r="71" spans="14:36" x14ac:dyDescent="0.25">
      <c r="N71" t="s">
        <v>268</v>
      </c>
      <c r="O71" t="s">
        <v>269</v>
      </c>
      <c r="P71" t="s">
        <v>295</v>
      </c>
      <c r="Q71" t="s">
        <v>0</v>
      </c>
      <c r="R71">
        <f t="shared" si="3"/>
        <v>10</v>
      </c>
      <c r="S71">
        <f t="shared" ca="1" si="4"/>
        <v>0</v>
      </c>
      <c r="T71">
        <f t="shared" si="5"/>
        <v>68</v>
      </c>
      <c r="U71" t="str">
        <f>IF($T71&lt;=Z$4,INDEX(TypicalCriticalitiesMAHBarrier[Barrier Family Description],MATCH($T71,TypicalCriticalitiesMAHBarrier[Barrier Family ID],0)),"")</f>
        <v/>
      </c>
      <c r="V71" t="str">
        <f ca="1">IF($T71&lt;=AA$4,INDEX(TypicalCriticalitiesMAHBarrier[Typical Components],MATCH($T71,TypicalCriticalitiesMAHBarrier[Column2],0)),"")</f>
        <v/>
      </c>
      <c r="W71" t="str">
        <f ca="1">IF($T71&lt;=AA$4,INDEX(TypicalCriticalitiesMAHBarrier[Typical Criticality],MATCH($T71,TypicalCriticalitiesMAHBarrier[Column2],0)),"")</f>
        <v/>
      </c>
      <c r="AE71" s="44"/>
      <c r="AF71" s="44"/>
      <c r="AG71" s="44"/>
      <c r="AH71" s="44"/>
      <c r="AI71" s="44"/>
      <c r="AJ71" s="44"/>
    </row>
    <row r="72" spans="14:36" x14ac:dyDescent="0.25">
      <c r="N72" t="s">
        <v>268</v>
      </c>
      <c r="O72" t="s">
        <v>269</v>
      </c>
      <c r="P72" t="s">
        <v>296</v>
      </c>
      <c r="Q72" t="s">
        <v>1</v>
      </c>
      <c r="R72">
        <f t="shared" si="3"/>
        <v>10</v>
      </c>
      <c r="S72">
        <f t="shared" ca="1" si="4"/>
        <v>0</v>
      </c>
      <c r="T72">
        <f t="shared" si="5"/>
        <v>69</v>
      </c>
      <c r="U72" t="str">
        <f>IF($T72&lt;=Z$4,INDEX(TypicalCriticalitiesMAHBarrier[Barrier Family Description],MATCH($T72,TypicalCriticalitiesMAHBarrier[Barrier Family ID],0)),"")</f>
        <v/>
      </c>
      <c r="V72" t="str">
        <f ca="1">IF($T72&lt;=AA$4,INDEX(TypicalCriticalitiesMAHBarrier[Typical Components],MATCH($T72,TypicalCriticalitiesMAHBarrier[Column2],0)),"")</f>
        <v/>
      </c>
      <c r="W72" t="str">
        <f ca="1">IF($T72&lt;=AA$4,INDEX(TypicalCriticalitiesMAHBarrier[Typical Criticality],MATCH($T72,TypicalCriticalitiesMAHBarrier[Column2],0)),"")</f>
        <v/>
      </c>
      <c r="AE72" s="44"/>
      <c r="AF72" s="44"/>
      <c r="AG72" s="44"/>
      <c r="AH72" s="44"/>
      <c r="AI72" s="44"/>
      <c r="AJ72" s="44"/>
    </row>
    <row r="73" spans="14:36" x14ac:dyDescent="0.25">
      <c r="N73" t="s">
        <v>268</v>
      </c>
      <c r="O73" t="s">
        <v>269</v>
      </c>
      <c r="P73" t="s">
        <v>297</v>
      </c>
      <c r="Q73" t="s">
        <v>1</v>
      </c>
      <c r="R73">
        <f t="shared" si="3"/>
        <v>10</v>
      </c>
      <c r="S73">
        <f t="shared" ca="1" si="4"/>
        <v>0</v>
      </c>
      <c r="T73">
        <f t="shared" si="5"/>
        <v>70</v>
      </c>
      <c r="U73" t="str">
        <f>IF($T73&lt;=Z$4,INDEX(TypicalCriticalitiesMAHBarrier[Barrier Family Description],MATCH($T73,TypicalCriticalitiesMAHBarrier[Barrier Family ID],0)),"")</f>
        <v/>
      </c>
      <c r="V73" t="str">
        <f ca="1">IF($T73&lt;=AA$4,INDEX(TypicalCriticalitiesMAHBarrier[Typical Components],MATCH($T73,TypicalCriticalitiesMAHBarrier[Column2],0)),"")</f>
        <v/>
      </c>
      <c r="W73" t="str">
        <f ca="1">IF($T73&lt;=AA$4,INDEX(TypicalCriticalitiesMAHBarrier[Typical Criticality],MATCH($T73,TypicalCriticalitiesMAHBarrier[Column2],0)),"")</f>
        <v/>
      </c>
      <c r="AE73" s="44"/>
      <c r="AF73" s="44"/>
      <c r="AG73" s="44"/>
      <c r="AH73" s="44"/>
      <c r="AI73" s="44"/>
      <c r="AJ73" s="44"/>
    </row>
    <row r="74" spans="14:36" x14ac:dyDescent="0.25">
      <c r="N74" t="s">
        <v>268</v>
      </c>
      <c r="O74" t="s">
        <v>269</v>
      </c>
      <c r="P74" t="s">
        <v>298</v>
      </c>
      <c r="Q74" t="s">
        <v>1</v>
      </c>
      <c r="R74">
        <f t="shared" si="3"/>
        <v>10</v>
      </c>
      <c r="S74">
        <f t="shared" ca="1" si="4"/>
        <v>0</v>
      </c>
      <c r="T74">
        <f t="shared" si="5"/>
        <v>71</v>
      </c>
      <c r="U74" t="str">
        <f>IF($T74&lt;=Z$4,INDEX(TypicalCriticalitiesMAHBarrier[Barrier Family Description],MATCH($T74,TypicalCriticalitiesMAHBarrier[Barrier Family ID],0)),"")</f>
        <v/>
      </c>
      <c r="V74" t="str">
        <f ca="1">IF($T74&lt;=AA$4,INDEX(TypicalCriticalitiesMAHBarrier[Typical Components],MATCH($T74,TypicalCriticalitiesMAHBarrier[Column2],0)),"")</f>
        <v/>
      </c>
      <c r="W74" t="str">
        <f ca="1">IF($T74&lt;=AA$4,INDEX(TypicalCriticalitiesMAHBarrier[Typical Criticality],MATCH($T74,TypicalCriticalitiesMAHBarrier[Column2],0)),"")</f>
        <v/>
      </c>
      <c r="AE74" s="44"/>
      <c r="AF74" s="44"/>
      <c r="AG74" s="44"/>
      <c r="AH74" s="44"/>
      <c r="AI74" s="44"/>
      <c r="AJ74" s="44"/>
    </row>
    <row r="75" spans="14:36" x14ac:dyDescent="0.25">
      <c r="N75" t="s">
        <v>268</v>
      </c>
      <c r="O75" t="s">
        <v>269</v>
      </c>
      <c r="P75" t="s">
        <v>299</v>
      </c>
      <c r="Q75" t="s">
        <v>0</v>
      </c>
      <c r="R75">
        <f t="shared" si="3"/>
        <v>10</v>
      </c>
      <c r="S75">
        <f t="shared" ca="1" si="4"/>
        <v>0</v>
      </c>
      <c r="T75">
        <f t="shared" si="5"/>
        <v>72</v>
      </c>
      <c r="U75" t="str">
        <f>IF($T75&lt;=Z$4,INDEX(TypicalCriticalitiesMAHBarrier[Barrier Family Description],MATCH($T75,TypicalCriticalitiesMAHBarrier[Barrier Family ID],0)),"")</f>
        <v/>
      </c>
      <c r="V75" t="str">
        <f ca="1">IF($T75&lt;=AA$4,INDEX(TypicalCriticalitiesMAHBarrier[Typical Components],MATCH($T75,TypicalCriticalitiesMAHBarrier[Column2],0)),"")</f>
        <v/>
      </c>
      <c r="W75" t="str">
        <f ca="1">IF($T75&lt;=AA$4,INDEX(TypicalCriticalitiesMAHBarrier[Typical Criticality],MATCH($T75,TypicalCriticalitiesMAHBarrier[Column2],0)),"")</f>
        <v/>
      </c>
      <c r="AE75" s="44"/>
      <c r="AF75" s="44"/>
      <c r="AG75" s="44"/>
      <c r="AH75" s="44"/>
      <c r="AI75" s="44"/>
      <c r="AJ75" s="44"/>
    </row>
    <row r="76" spans="14:36" x14ac:dyDescent="0.25">
      <c r="N76" t="s">
        <v>268</v>
      </c>
      <c r="O76" t="s">
        <v>269</v>
      </c>
      <c r="P76" t="s">
        <v>300</v>
      </c>
      <c r="Q76" t="s">
        <v>1</v>
      </c>
      <c r="R76">
        <f t="shared" si="3"/>
        <v>10</v>
      </c>
      <c r="S76">
        <f t="shared" ca="1" si="4"/>
        <v>0</v>
      </c>
      <c r="T76">
        <f t="shared" si="5"/>
        <v>73</v>
      </c>
      <c r="U76" t="str">
        <f>IF($T76&lt;=Z$4,INDEX(TypicalCriticalitiesMAHBarrier[Barrier Family Description],MATCH($T76,TypicalCriticalitiesMAHBarrier[Barrier Family ID],0)),"")</f>
        <v/>
      </c>
      <c r="V76" t="str">
        <f ca="1">IF($T76&lt;=AA$4,INDEX(TypicalCriticalitiesMAHBarrier[Typical Components],MATCH($T76,TypicalCriticalitiesMAHBarrier[Column2],0)),"")</f>
        <v/>
      </c>
      <c r="W76" t="str">
        <f ca="1">IF($T76&lt;=AA$4,INDEX(TypicalCriticalitiesMAHBarrier[Typical Criticality],MATCH($T76,TypicalCriticalitiesMAHBarrier[Column2],0)),"")</f>
        <v/>
      </c>
      <c r="AE76" s="44"/>
      <c r="AF76" s="44"/>
      <c r="AG76" s="44"/>
      <c r="AH76" s="44"/>
      <c r="AI76" s="44"/>
      <c r="AJ76" s="44"/>
    </row>
    <row r="77" spans="14:36" x14ac:dyDescent="0.25">
      <c r="N77" t="s">
        <v>268</v>
      </c>
      <c r="O77" t="s">
        <v>269</v>
      </c>
      <c r="P77" t="s">
        <v>301</v>
      </c>
      <c r="Q77" t="s">
        <v>0</v>
      </c>
      <c r="R77">
        <f t="shared" si="3"/>
        <v>10</v>
      </c>
      <c r="S77">
        <f t="shared" ca="1" si="4"/>
        <v>0</v>
      </c>
      <c r="T77">
        <f t="shared" si="5"/>
        <v>74</v>
      </c>
      <c r="U77" t="str">
        <f>IF($T77&lt;=Z$4,INDEX(TypicalCriticalitiesMAHBarrier[Barrier Family Description],MATCH($T77,TypicalCriticalitiesMAHBarrier[Barrier Family ID],0)),"")</f>
        <v/>
      </c>
      <c r="V77" t="str">
        <f ca="1">IF($T77&lt;=AA$4,INDEX(TypicalCriticalitiesMAHBarrier[Typical Components],MATCH($T77,TypicalCriticalitiesMAHBarrier[Column2],0)),"")</f>
        <v/>
      </c>
      <c r="W77" t="str">
        <f ca="1">IF($T77&lt;=AA$4,INDEX(TypicalCriticalitiesMAHBarrier[Typical Criticality],MATCH($T77,TypicalCriticalitiesMAHBarrier[Column2],0)),"")</f>
        <v/>
      </c>
      <c r="AE77" s="44"/>
      <c r="AF77" s="44"/>
      <c r="AG77" s="44"/>
      <c r="AH77" s="44"/>
      <c r="AI77" s="44"/>
      <c r="AJ77" s="44"/>
    </row>
    <row r="78" spans="14:36" x14ac:dyDescent="0.25">
      <c r="N78" t="s">
        <v>268</v>
      </c>
      <c r="O78" t="s">
        <v>269</v>
      </c>
      <c r="P78" t="s">
        <v>302</v>
      </c>
      <c r="Q78" t="s">
        <v>0</v>
      </c>
      <c r="R78">
        <f t="shared" si="3"/>
        <v>10</v>
      </c>
      <c r="S78">
        <f t="shared" ca="1" si="4"/>
        <v>0</v>
      </c>
      <c r="T78">
        <f t="shared" si="5"/>
        <v>75</v>
      </c>
      <c r="U78" t="str">
        <f>IF($T78&lt;=Z$4,INDEX(TypicalCriticalitiesMAHBarrier[Barrier Family Description],MATCH($T78,TypicalCriticalitiesMAHBarrier[Barrier Family ID],0)),"")</f>
        <v/>
      </c>
      <c r="V78" t="str">
        <f ca="1">IF($T78&lt;=AA$4,INDEX(TypicalCriticalitiesMAHBarrier[Typical Components],MATCH($T78,TypicalCriticalitiesMAHBarrier[Column2],0)),"")</f>
        <v/>
      </c>
      <c r="W78" t="str">
        <f ca="1">IF($T78&lt;=AA$4,INDEX(TypicalCriticalitiesMAHBarrier[Typical Criticality],MATCH($T78,TypicalCriticalitiesMAHBarrier[Column2],0)),"")</f>
        <v/>
      </c>
      <c r="AE78" s="44"/>
      <c r="AF78" s="44"/>
      <c r="AG78" s="44"/>
      <c r="AH78" s="44"/>
      <c r="AI78" s="44"/>
      <c r="AJ78" s="44"/>
    </row>
    <row r="79" spans="14:36" x14ac:dyDescent="0.25">
      <c r="N79" t="s">
        <v>268</v>
      </c>
      <c r="O79" t="s">
        <v>269</v>
      </c>
      <c r="P79" t="s">
        <v>303</v>
      </c>
      <c r="Q79" t="s">
        <v>1</v>
      </c>
      <c r="R79">
        <f t="shared" si="3"/>
        <v>10</v>
      </c>
      <c r="S79">
        <f t="shared" ca="1" si="4"/>
        <v>0</v>
      </c>
      <c r="T79">
        <f t="shared" si="5"/>
        <v>76</v>
      </c>
      <c r="U79" t="str">
        <f>IF($T79&lt;=Z$4,INDEX(TypicalCriticalitiesMAHBarrier[Barrier Family Description],MATCH($T79,TypicalCriticalitiesMAHBarrier[Barrier Family ID],0)),"")</f>
        <v/>
      </c>
      <c r="V79" t="str">
        <f ca="1">IF($T79&lt;=AA$4,INDEX(TypicalCriticalitiesMAHBarrier[Typical Components],MATCH($T79,TypicalCriticalitiesMAHBarrier[Column2],0)),"")</f>
        <v/>
      </c>
      <c r="W79" t="str">
        <f ca="1">IF($T79&lt;=AA$4,INDEX(TypicalCriticalitiesMAHBarrier[Typical Criticality],MATCH($T79,TypicalCriticalitiesMAHBarrier[Column2],0)),"")</f>
        <v/>
      </c>
      <c r="AE79" s="44"/>
      <c r="AF79" s="44"/>
      <c r="AG79" s="44"/>
      <c r="AH79" s="44"/>
      <c r="AI79" s="44"/>
      <c r="AJ79" s="44"/>
    </row>
    <row r="80" spans="14:36" x14ac:dyDescent="0.25">
      <c r="N80" t="s">
        <v>268</v>
      </c>
      <c r="O80" t="s">
        <v>269</v>
      </c>
      <c r="P80" t="s">
        <v>304</v>
      </c>
      <c r="Q80" t="s">
        <v>1</v>
      </c>
      <c r="R80">
        <f t="shared" si="3"/>
        <v>10</v>
      </c>
      <c r="S80">
        <f t="shared" ca="1" si="4"/>
        <v>0</v>
      </c>
      <c r="T80">
        <f t="shared" si="5"/>
        <v>77</v>
      </c>
      <c r="U80" t="str">
        <f>IF($T80&lt;=Z$4,INDEX(TypicalCriticalitiesMAHBarrier[Barrier Family Description],MATCH($T80,TypicalCriticalitiesMAHBarrier[Barrier Family ID],0)),"")</f>
        <v/>
      </c>
      <c r="V80" t="str">
        <f ca="1">IF($T80&lt;=AA$4,INDEX(TypicalCriticalitiesMAHBarrier[Typical Components],MATCH($T80,TypicalCriticalitiesMAHBarrier[Column2],0)),"")</f>
        <v/>
      </c>
      <c r="W80" t="str">
        <f ca="1">IF($T80&lt;=AA$4,INDEX(TypicalCriticalitiesMAHBarrier[Typical Criticality],MATCH($T80,TypicalCriticalitiesMAHBarrier[Column2],0)),"")</f>
        <v/>
      </c>
      <c r="AE80" s="44"/>
      <c r="AF80" s="44"/>
      <c r="AG80" s="44"/>
      <c r="AH80" s="44"/>
      <c r="AI80" s="44"/>
      <c r="AJ80" s="44"/>
    </row>
    <row r="81" spans="14:36" x14ac:dyDescent="0.25">
      <c r="N81" t="s">
        <v>268</v>
      </c>
      <c r="O81" t="s">
        <v>269</v>
      </c>
      <c r="P81" t="s">
        <v>305</v>
      </c>
      <c r="Q81" t="s">
        <v>1</v>
      </c>
      <c r="R81">
        <f t="shared" si="3"/>
        <v>10</v>
      </c>
      <c r="S81">
        <f t="shared" ca="1" si="4"/>
        <v>0</v>
      </c>
      <c r="T81">
        <f t="shared" si="5"/>
        <v>78</v>
      </c>
      <c r="U81" t="str">
        <f>IF($T81&lt;=Z$4,INDEX(TypicalCriticalitiesMAHBarrier[Barrier Family Description],MATCH($T81,TypicalCriticalitiesMAHBarrier[Barrier Family ID],0)),"")</f>
        <v/>
      </c>
      <c r="V81" t="str">
        <f ca="1">IF($T81&lt;=AA$4,INDEX(TypicalCriticalitiesMAHBarrier[Typical Components],MATCH($T81,TypicalCriticalitiesMAHBarrier[Column2],0)),"")</f>
        <v/>
      </c>
      <c r="W81" t="str">
        <f ca="1">IF($T81&lt;=AA$4,INDEX(TypicalCriticalitiesMAHBarrier[Typical Criticality],MATCH($T81,TypicalCriticalitiesMAHBarrier[Column2],0)),"")</f>
        <v/>
      </c>
      <c r="AE81" s="44"/>
      <c r="AF81" s="44"/>
      <c r="AG81" s="44"/>
      <c r="AH81" s="44"/>
      <c r="AI81" s="44"/>
      <c r="AJ81" s="44"/>
    </row>
    <row r="82" spans="14:36" x14ac:dyDescent="0.25">
      <c r="N82" t="s">
        <v>268</v>
      </c>
      <c r="O82" t="s">
        <v>269</v>
      </c>
      <c r="P82" t="s">
        <v>306</v>
      </c>
      <c r="Q82" t="s">
        <v>0</v>
      </c>
      <c r="R82">
        <f t="shared" si="3"/>
        <v>10</v>
      </c>
      <c r="S82">
        <f t="shared" ca="1" si="4"/>
        <v>0</v>
      </c>
      <c r="T82">
        <f t="shared" si="5"/>
        <v>79</v>
      </c>
      <c r="U82" t="str">
        <f>IF($T82&lt;=Z$4,INDEX(TypicalCriticalitiesMAHBarrier[Barrier Family Description],MATCH($T82,TypicalCriticalitiesMAHBarrier[Barrier Family ID],0)),"")</f>
        <v/>
      </c>
      <c r="V82" t="str">
        <f ca="1">IF($T82&lt;=AA$4,INDEX(TypicalCriticalitiesMAHBarrier[Typical Components],MATCH($T82,TypicalCriticalitiesMAHBarrier[Column2],0)),"")</f>
        <v/>
      </c>
      <c r="W82" t="str">
        <f ca="1">IF($T82&lt;=AA$4,INDEX(TypicalCriticalitiesMAHBarrier[Typical Criticality],MATCH($T82,TypicalCriticalitiesMAHBarrier[Column2],0)),"")</f>
        <v/>
      </c>
      <c r="AE82" s="44"/>
      <c r="AF82" s="44"/>
      <c r="AG82" s="44"/>
      <c r="AH82" s="44"/>
      <c r="AI82" s="44"/>
      <c r="AJ82" s="44"/>
    </row>
    <row r="83" spans="14:36" x14ac:dyDescent="0.25">
      <c r="N83" t="s">
        <v>268</v>
      </c>
      <c r="O83" t="s">
        <v>269</v>
      </c>
      <c r="P83" t="s">
        <v>307</v>
      </c>
      <c r="Q83" t="s">
        <v>1</v>
      </c>
      <c r="R83">
        <f t="shared" si="3"/>
        <v>10</v>
      </c>
      <c r="S83">
        <f t="shared" ca="1" si="4"/>
        <v>0</v>
      </c>
      <c r="T83">
        <f t="shared" si="5"/>
        <v>80</v>
      </c>
      <c r="U83" t="str">
        <f>IF($T83&lt;=Z$4,INDEX(TypicalCriticalitiesMAHBarrier[Barrier Family Description],MATCH($T83,TypicalCriticalitiesMAHBarrier[Barrier Family ID],0)),"")</f>
        <v/>
      </c>
      <c r="V83" t="str">
        <f ca="1">IF($T83&lt;=AA$4,INDEX(TypicalCriticalitiesMAHBarrier[Typical Components],MATCH($T83,TypicalCriticalitiesMAHBarrier[Column2],0)),"")</f>
        <v/>
      </c>
      <c r="W83" t="str">
        <f ca="1">IF($T83&lt;=AA$4,INDEX(TypicalCriticalitiesMAHBarrier[Typical Criticality],MATCH($T83,TypicalCriticalitiesMAHBarrier[Column2],0)),"")</f>
        <v/>
      </c>
      <c r="AE83" s="44"/>
      <c r="AF83" s="44"/>
      <c r="AG83" s="44"/>
      <c r="AH83" s="44"/>
      <c r="AI83" s="44"/>
      <c r="AJ83" s="44"/>
    </row>
    <row r="84" spans="14:36" x14ac:dyDescent="0.25">
      <c r="N84" t="s">
        <v>268</v>
      </c>
      <c r="O84" t="s">
        <v>269</v>
      </c>
      <c r="P84" t="s">
        <v>308</v>
      </c>
      <c r="Q84" t="s">
        <v>0</v>
      </c>
      <c r="R84">
        <f t="shared" si="3"/>
        <v>10</v>
      </c>
      <c r="S84">
        <f t="shared" ca="1" si="4"/>
        <v>0</v>
      </c>
      <c r="T84">
        <f t="shared" si="5"/>
        <v>81</v>
      </c>
      <c r="U84" t="str">
        <f>IF($T84&lt;=Z$4,INDEX(TypicalCriticalitiesMAHBarrier[Barrier Family Description],MATCH($T84,TypicalCriticalitiesMAHBarrier[Barrier Family ID],0)),"")</f>
        <v/>
      </c>
      <c r="V84" t="str">
        <f ca="1">IF($T84&lt;=AA$4,INDEX(TypicalCriticalitiesMAHBarrier[Typical Components],MATCH($T84,TypicalCriticalitiesMAHBarrier[Column2],0)),"")</f>
        <v/>
      </c>
      <c r="W84" t="str">
        <f ca="1">IF($T84&lt;=AA$4,INDEX(TypicalCriticalitiesMAHBarrier[Typical Criticality],MATCH($T84,TypicalCriticalitiesMAHBarrier[Column2],0)),"")</f>
        <v/>
      </c>
      <c r="AE84" s="44"/>
      <c r="AF84" s="44"/>
      <c r="AG84" s="44"/>
      <c r="AH84" s="44"/>
      <c r="AI84" s="44"/>
      <c r="AJ84" s="44"/>
    </row>
    <row r="85" spans="14:36" x14ac:dyDescent="0.25">
      <c r="N85" t="s">
        <v>268</v>
      </c>
      <c r="O85" t="s">
        <v>269</v>
      </c>
      <c r="P85" t="s">
        <v>309</v>
      </c>
      <c r="Q85" t="s">
        <v>1</v>
      </c>
      <c r="R85">
        <f t="shared" si="3"/>
        <v>10</v>
      </c>
      <c r="S85">
        <f t="shared" ca="1" si="4"/>
        <v>0</v>
      </c>
      <c r="T85">
        <f t="shared" si="5"/>
        <v>82</v>
      </c>
      <c r="U85" t="str">
        <f>IF($T85&lt;=Z$4,INDEX(TypicalCriticalitiesMAHBarrier[Barrier Family Description],MATCH($T85,TypicalCriticalitiesMAHBarrier[Barrier Family ID],0)),"")</f>
        <v/>
      </c>
      <c r="V85" t="str">
        <f ca="1">IF($T85&lt;=AA$4,INDEX(TypicalCriticalitiesMAHBarrier[Typical Components],MATCH($T85,TypicalCriticalitiesMAHBarrier[Column2],0)),"")</f>
        <v/>
      </c>
      <c r="W85" t="str">
        <f ca="1">IF($T85&lt;=AA$4,INDEX(TypicalCriticalitiesMAHBarrier[Typical Criticality],MATCH($T85,TypicalCriticalitiesMAHBarrier[Column2],0)),"")</f>
        <v/>
      </c>
      <c r="AE85" s="44"/>
      <c r="AF85" s="44"/>
      <c r="AG85" s="44"/>
      <c r="AH85" s="44"/>
      <c r="AI85" s="44"/>
      <c r="AJ85" s="44"/>
    </row>
    <row r="86" spans="14:36" x14ac:dyDescent="0.25">
      <c r="N86" t="s">
        <v>268</v>
      </c>
      <c r="O86" t="s">
        <v>269</v>
      </c>
      <c r="P86" t="s">
        <v>310</v>
      </c>
      <c r="Q86" t="s">
        <v>1</v>
      </c>
      <c r="R86">
        <f t="shared" si="3"/>
        <v>10</v>
      </c>
      <c r="S86">
        <f t="shared" ca="1" si="4"/>
        <v>0</v>
      </c>
      <c r="T86">
        <f t="shared" si="5"/>
        <v>83</v>
      </c>
      <c r="U86" t="str">
        <f>IF($T86&lt;=Z$4,INDEX(TypicalCriticalitiesMAHBarrier[Barrier Family Description],MATCH($T86,TypicalCriticalitiesMAHBarrier[Barrier Family ID],0)),"")</f>
        <v/>
      </c>
      <c r="V86" t="str">
        <f ca="1">IF($T86&lt;=AA$4,INDEX(TypicalCriticalitiesMAHBarrier[Typical Components],MATCH($T86,TypicalCriticalitiesMAHBarrier[Column2],0)),"")</f>
        <v/>
      </c>
      <c r="W86" t="str">
        <f ca="1">IF($T86&lt;=AA$4,INDEX(TypicalCriticalitiesMAHBarrier[Typical Criticality],MATCH($T86,TypicalCriticalitiesMAHBarrier[Column2],0)),"")</f>
        <v/>
      </c>
      <c r="AE86" s="44"/>
      <c r="AF86" s="44"/>
      <c r="AG86" s="44"/>
      <c r="AH86" s="44"/>
      <c r="AI86" s="44"/>
      <c r="AJ86" s="44"/>
    </row>
    <row r="87" spans="14:36" x14ac:dyDescent="0.25">
      <c r="N87" t="s">
        <v>268</v>
      </c>
      <c r="O87" t="s">
        <v>269</v>
      </c>
      <c r="P87" t="s">
        <v>311</v>
      </c>
      <c r="Q87" t="s">
        <v>1</v>
      </c>
      <c r="R87">
        <f t="shared" si="3"/>
        <v>10</v>
      </c>
      <c r="S87">
        <f t="shared" ca="1" si="4"/>
        <v>0</v>
      </c>
      <c r="T87">
        <f t="shared" si="5"/>
        <v>84</v>
      </c>
      <c r="U87" t="str">
        <f>IF($T87&lt;=Z$4,INDEX(TypicalCriticalitiesMAHBarrier[Barrier Family Description],MATCH($T87,TypicalCriticalitiesMAHBarrier[Barrier Family ID],0)),"")</f>
        <v/>
      </c>
      <c r="V87" t="str">
        <f ca="1">IF($T87&lt;=AA$4,INDEX(TypicalCriticalitiesMAHBarrier[Typical Components],MATCH($T87,TypicalCriticalitiesMAHBarrier[Column2],0)),"")</f>
        <v/>
      </c>
      <c r="W87" t="str">
        <f ca="1">IF($T87&lt;=AA$4,INDEX(TypicalCriticalitiesMAHBarrier[Typical Criticality],MATCH($T87,TypicalCriticalitiesMAHBarrier[Column2],0)),"")</f>
        <v/>
      </c>
      <c r="AE87" s="44"/>
      <c r="AF87" s="44"/>
      <c r="AG87" s="44"/>
      <c r="AH87" s="44"/>
      <c r="AI87" s="44"/>
      <c r="AJ87" s="44"/>
    </row>
    <row r="88" spans="14:36" x14ac:dyDescent="0.25">
      <c r="N88" t="s">
        <v>268</v>
      </c>
      <c r="O88" t="s">
        <v>269</v>
      </c>
      <c r="P88" t="s">
        <v>312</v>
      </c>
      <c r="Q88" t="s">
        <v>0</v>
      </c>
      <c r="R88">
        <f t="shared" si="3"/>
        <v>10</v>
      </c>
      <c r="S88">
        <f t="shared" ca="1" si="4"/>
        <v>0</v>
      </c>
      <c r="T88">
        <f t="shared" si="5"/>
        <v>85</v>
      </c>
      <c r="U88" t="str">
        <f>IF($T88&lt;=Z$4,INDEX(TypicalCriticalitiesMAHBarrier[Barrier Family Description],MATCH($T88,TypicalCriticalitiesMAHBarrier[Barrier Family ID],0)),"")</f>
        <v/>
      </c>
      <c r="V88" t="str">
        <f ca="1">IF($T88&lt;=AA$4,INDEX(TypicalCriticalitiesMAHBarrier[Typical Components],MATCH($T88,TypicalCriticalitiesMAHBarrier[Column2],0)),"")</f>
        <v/>
      </c>
      <c r="W88" t="str">
        <f ca="1">IF($T88&lt;=AA$4,INDEX(TypicalCriticalitiesMAHBarrier[Typical Criticality],MATCH($T88,TypicalCriticalitiesMAHBarrier[Column2],0)),"")</f>
        <v/>
      </c>
      <c r="AE88" s="44"/>
      <c r="AF88" s="44"/>
      <c r="AG88" s="44"/>
      <c r="AH88" s="44"/>
      <c r="AI88" s="44"/>
      <c r="AJ88" s="44"/>
    </row>
    <row r="89" spans="14:36" x14ac:dyDescent="0.25">
      <c r="N89" t="s">
        <v>268</v>
      </c>
      <c r="O89" t="s">
        <v>269</v>
      </c>
      <c r="P89" t="s">
        <v>313</v>
      </c>
      <c r="Q89" t="s">
        <v>0</v>
      </c>
      <c r="R89">
        <f t="shared" si="3"/>
        <v>10</v>
      </c>
      <c r="S89">
        <f t="shared" ca="1" si="4"/>
        <v>0</v>
      </c>
      <c r="T89">
        <f t="shared" si="5"/>
        <v>86</v>
      </c>
      <c r="U89" t="str">
        <f>IF($T89&lt;=Z$4,INDEX(TypicalCriticalitiesMAHBarrier[Barrier Family Description],MATCH($T89,TypicalCriticalitiesMAHBarrier[Barrier Family ID],0)),"")</f>
        <v/>
      </c>
      <c r="V89" t="str">
        <f ca="1">IF($T89&lt;=AA$4,INDEX(TypicalCriticalitiesMAHBarrier[Typical Components],MATCH($T89,TypicalCriticalitiesMAHBarrier[Column2],0)),"")</f>
        <v/>
      </c>
      <c r="W89" t="str">
        <f ca="1">IF($T89&lt;=AA$4,INDEX(TypicalCriticalitiesMAHBarrier[Typical Criticality],MATCH($T89,TypicalCriticalitiesMAHBarrier[Column2],0)),"")</f>
        <v/>
      </c>
      <c r="AE89" s="44"/>
      <c r="AF89" s="44"/>
      <c r="AG89" s="44"/>
      <c r="AH89" s="44"/>
      <c r="AI89" s="44"/>
      <c r="AJ89" s="44"/>
    </row>
    <row r="90" spans="14:36" x14ac:dyDescent="0.25">
      <c r="N90" t="s">
        <v>268</v>
      </c>
      <c r="O90" t="s">
        <v>269</v>
      </c>
      <c r="P90" t="s">
        <v>314</v>
      </c>
      <c r="Q90" t="s">
        <v>0</v>
      </c>
      <c r="R90">
        <f t="shared" si="3"/>
        <v>10</v>
      </c>
      <c r="S90">
        <f t="shared" ca="1" si="4"/>
        <v>0</v>
      </c>
      <c r="T90">
        <f t="shared" si="5"/>
        <v>87</v>
      </c>
      <c r="U90" t="str">
        <f>IF($T90&lt;=Z$4,INDEX(TypicalCriticalitiesMAHBarrier[Barrier Family Description],MATCH($T90,TypicalCriticalitiesMAHBarrier[Barrier Family ID],0)),"")</f>
        <v/>
      </c>
      <c r="V90" t="str">
        <f ca="1">IF($T90&lt;=AA$4,INDEX(TypicalCriticalitiesMAHBarrier[Typical Components],MATCH($T90,TypicalCriticalitiesMAHBarrier[Column2],0)),"")</f>
        <v/>
      </c>
      <c r="W90" t="str">
        <f ca="1">IF($T90&lt;=AA$4,INDEX(TypicalCriticalitiesMAHBarrier[Typical Criticality],MATCH($T90,TypicalCriticalitiesMAHBarrier[Column2],0)),"")</f>
        <v/>
      </c>
      <c r="AE90" s="44"/>
      <c r="AF90" s="44"/>
      <c r="AG90" s="44"/>
      <c r="AH90" s="44"/>
      <c r="AI90" s="44"/>
      <c r="AJ90" s="44"/>
    </row>
    <row r="91" spans="14:36" x14ac:dyDescent="0.25">
      <c r="N91" t="s">
        <v>268</v>
      </c>
      <c r="O91" t="s">
        <v>269</v>
      </c>
      <c r="P91" t="s">
        <v>315</v>
      </c>
      <c r="Q91" t="s">
        <v>1</v>
      </c>
      <c r="R91">
        <f t="shared" si="3"/>
        <v>10</v>
      </c>
      <c r="S91">
        <f t="shared" ca="1" si="4"/>
        <v>0</v>
      </c>
      <c r="T91">
        <f t="shared" si="5"/>
        <v>88</v>
      </c>
      <c r="U91" t="str">
        <f>IF($T91&lt;=Z$4,INDEX(TypicalCriticalitiesMAHBarrier[Barrier Family Description],MATCH($T91,TypicalCriticalitiesMAHBarrier[Barrier Family ID],0)),"")</f>
        <v/>
      </c>
      <c r="V91" t="str">
        <f ca="1">IF($T91&lt;=AA$4,INDEX(TypicalCriticalitiesMAHBarrier[Typical Components],MATCH($T91,TypicalCriticalitiesMAHBarrier[Column2],0)),"")</f>
        <v/>
      </c>
      <c r="W91" t="str">
        <f ca="1">IF($T91&lt;=AA$4,INDEX(TypicalCriticalitiesMAHBarrier[Typical Criticality],MATCH($T91,TypicalCriticalitiesMAHBarrier[Column2],0)),"")</f>
        <v/>
      </c>
      <c r="AE91" s="44"/>
      <c r="AF91" s="44"/>
      <c r="AG91" s="44"/>
      <c r="AH91" s="44"/>
      <c r="AI91" s="44"/>
      <c r="AJ91" s="44"/>
    </row>
    <row r="92" spans="14:36" x14ac:dyDescent="0.25">
      <c r="N92" t="s">
        <v>268</v>
      </c>
      <c r="O92" t="s">
        <v>269</v>
      </c>
      <c r="P92" t="s">
        <v>316</v>
      </c>
      <c r="Q92" t="s">
        <v>0</v>
      </c>
      <c r="R92">
        <f t="shared" si="3"/>
        <v>10</v>
      </c>
      <c r="S92">
        <f t="shared" ca="1" si="4"/>
        <v>0</v>
      </c>
      <c r="T92">
        <f t="shared" si="5"/>
        <v>89</v>
      </c>
      <c r="U92" t="str">
        <f>IF($T92&lt;=Z$4,INDEX(TypicalCriticalitiesMAHBarrier[Barrier Family Description],MATCH($T92,TypicalCriticalitiesMAHBarrier[Barrier Family ID],0)),"")</f>
        <v/>
      </c>
      <c r="V92" t="str">
        <f ca="1">IF($T92&lt;=AA$4,INDEX(TypicalCriticalitiesMAHBarrier[Typical Components],MATCH($T92,TypicalCriticalitiesMAHBarrier[Column2],0)),"")</f>
        <v/>
      </c>
      <c r="W92" t="str">
        <f ca="1">IF($T92&lt;=AA$4,INDEX(TypicalCriticalitiesMAHBarrier[Typical Criticality],MATCH($T92,TypicalCriticalitiesMAHBarrier[Column2],0)),"")</f>
        <v/>
      </c>
      <c r="AE92" s="44"/>
      <c r="AF92" s="44"/>
      <c r="AG92" s="44"/>
      <c r="AH92" s="44"/>
      <c r="AI92" s="44"/>
      <c r="AJ92" s="44"/>
    </row>
    <row r="93" spans="14:36" x14ac:dyDescent="0.25">
      <c r="N93" t="s">
        <v>268</v>
      </c>
      <c r="O93" t="s">
        <v>269</v>
      </c>
      <c r="P93" t="s">
        <v>317</v>
      </c>
      <c r="Q93" t="s">
        <v>0</v>
      </c>
      <c r="R93">
        <f t="shared" si="3"/>
        <v>10</v>
      </c>
      <c r="S93">
        <f t="shared" ca="1" si="4"/>
        <v>0</v>
      </c>
      <c r="T93">
        <f t="shared" si="5"/>
        <v>90</v>
      </c>
      <c r="U93" t="str">
        <f>IF($T93&lt;=Z$4,INDEX(TypicalCriticalitiesMAHBarrier[Barrier Family Description],MATCH($T93,TypicalCriticalitiesMAHBarrier[Barrier Family ID],0)),"")</f>
        <v/>
      </c>
      <c r="V93" t="str">
        <f ca="1">IF($T93&lt;=AA$4,INDEX(TypicalCriticalitiesMAHBarrier[Typical Components],MATCH($T93,TypicalCriticalitiesMAHBarrier[Column2],0)),"")</f>
        <v/>
      </c>
      <c r="W93" t="str">
        <f ca="1">IF($T93&lt;=AA$4,INDEX(TypicalCriticalitiesMAHBarrier[Typical Criticality],MATCH($T93,TypicalCriticalitiesMAHBarrier[Column2],0)),"")</f>
        <v/>
      </c>
      <c r="AE93" s="44"/>
      <c r="AF93" s="44"/>
      <c r="AG93" s="44"/>
      <c r="AH93" s="44"/>
      <c r="AI93" s="44"/>
      <c r="AJ93" s="44"/>
    </row>
    <row r="94" spans="14:36" x14ac:dyDescent="0.25">
      <c r="N94" t="s">
        <v>268</v>
      </c>
      <c r="O94" t="s">
        <v>269</v>
      </c>
      <c r="P94" t="s">
        <v>318</v>
      </c>
      <c r="Q94" t="s">
        <v>1</v>
      </c>
      <c r="R94">
        <f t="shared" si="3"/>
        <v>10</v>
      </c>
      <c r="S94">
        <f t="shared" ca="1" si="4"/>
        <v>0</v>
      </c>
      <c r="T94">
        <f t="shared" si="5"/>
        <v>91</v>
      </c>
      <c r="U94" t="str">
        <f>IF($T94&lt;=Z$4,INDEX(TypicalCriticalitiesMAHBarrier[Barrier Family Description],MATCH($T94,TypicalCriticalitiesMAHBarrier[Barrier Family ID],0)),"")</f>
        <v/>
      </c>
      <c r="V94" t="str">
        <f ca="1">IF($T94&lt;=AA$4,INDEX(TypicalCriticalitiesMAHBarrier[Typical Components],MATCH($T94,TypicalCriticalitiesMAHBarrier[Column2],0)),"")</f>
        <v/>
      </c>
      <c r="W94" t="str">
        <f ca="1">IF($T94&lt;=AA$4,INDEX(TypicalCriticalitiesMAHBarrier[Typical Criticality],MATCH($T94,TypicalCriticalitiesMAHBarrier[Column2],0)),"")</f>
        <v/>
      </c>
      <c r="AE94" s="44"/>
      <c r="AF94" s="44"/>
      <c r="AG94" s="44"/>
      <c r="AH94" s="44"/>
      <c r="AI94" s="44"/>
      <c r="AJ94" s="44"/>
    </row>
    <row r="95" spans="14:36" x14ac:dyDescent="0.25">
      <c r="N95" t="s">
        <v>268</v>
      </c>
      <c r="O95" t="s">
        <v>269</v>
      </c>
      <c r="P95" t="s">
        <v>319</v>
      </c>
      <c r="Q95" t="s">
        <v>0</v>
      </c>
      <c r="R95">
        <f t="shared" si="3"/>
        <v>10</v>
      </c>
      <c r="S95">
        <f t="shared" ca="1" si="4"/>
        <v>0</v>
      </c>
      <c r="T95">
        <f t="shared" si="5"/>
        <v>92</v>
      </c>
      <c r="U95" t="str">
        <f>IF($T95&lt;=Z$4,INDEX(TypicalCriticalitiesMAHBarrier[Barrier Family Description],MATCH($T95,TypicalCriticalitiesMAHBarrier[Barrier Family ID],0)),"")</f>
        <v/>
      </c>
      <c r="V95" t="str">
        <f ca="1">IF($T95&lt;=AA$4,INDEX(TypicalCriticalitiesMAHBarrier[Typical Components],MATCH($T95,TypicalCriticalitiesMAHBarrier[Column2],0)),"")</f>
        <v/>
      </c>
      <c r="W95" t="str">
        <f ca="1">IF($T95&lt;=AA$4,INDEX(TypicalCriticalitiesMAHBarrier[Typical Criticality],MATCH($T95,TypicalCriticalitiesMAHBarrier[Column2],0)),"")</f>
        <v/>
      </c>
      <c r="AE95" s="44"/>
      <c r="AF95" s="44"/>
      <c r="AG95" s="44"/>
      <c r="AH95" s="44"/>
      <c r="AI95" s="44"/>
      <c r="AJ95" s="44"/>
    </row>
    <row r="96" spans="14:36" x14ac:dyDescent="0.25">
      <c r="N96" t="s">
        <v>268</v>
      </c>
      <c r="O96" t="s">
        <v>269</v>
      </c>
      <c r="P96" t="s">
        <v>320</v>
      </c>
      <c r="Q96" t="s">
        <v>1</v>
      </c>
      <c r="R96">
        <f t="shared" si="3"/>
        <v>10</v>
      </c>
      <c r="S96">
        <f t="shared" ca="1" si="4"/>
        <v>0</v>
      </c>
      <c r="T96">
        <f t="shared" si="5"/>
        <v>93</v>
      </c>
      <c r="U96" t="str">
        <f>IF($T96&lt;=Z$4,INDEX(TypicalCriticalitiesMAHBarrier[Barrier Family Description],MATCH($T96,TypicalCriticalitiesMAHBarrier[Barrier Family ID],0)),"")</f>
        <v/>
      </c>
      <c r="V96" t="str">
        <f ca="1">IF($T96&lt;=AA$4,INDEX(TypicalCriticalitiesMAHBarrier[Typical Components],MATCH($T96,TypicalCriticalitiesMAHBarrier[Column2],0)),"")</f>
        <v/>
      </c>
      <c r="W96" t="str">
        <f ca="1">IF($T96&lt;=AA$4,INDEX(TypicalCriticalitiesMAHBarrier[Typical Criticality],MATCH($T96,TypicalCriticalitiesMAHBarrier[Column2],0)),"")</f>
        <v/>
      </c>
      <c r="AE96" s="44"/>
      <c r="AF96" s="44"/>
      <c r="AG96" s="44"/>
      <c r="AH96" s="44"/>
      <c r="AI96" s="44"/>
      <c r="AJ96" s="44"/>
    </row>
    <row r="97" spans="14:36" x14ac:dyDescent="0.25">
      <c r="N97" t="s">
        <v>268</v>
      </c>
      <c r="O97" t="s">
        <v>269</v>
      </c>
      <c r="P97" t="s">
        <v>321</v>
      </c>
      <c r="Q97" t="s">
        <v>1</v>
      </c>
      <c r="R97">
        <f t="shared" si="3"/>
        <v>10</v>
      </c>
      <c r="S97">
        <f t="shared" ca="1" si="4"/>
        <v>0</v>
      </c>
      <c r="T97">
        <f t="shared" si="5"/>
        <v>94</v>
      </c>
      <c r="U97" t="str">
        <f>IF($T97&lt;=Z$4,INDEX(TypicalCriticalitiesMAHBarrier[Barrier Family Description],MATCH($T97,TypicalCriticalitiesMAHBarrier[Barrier Family ID],0)),"")</f>
        <v/>
      </c>
      <c r="V97" t="str">
        <f ca="1">IF($T97&lt;=AA$4,INDEX(TypicalCriticalitiesMAHBarrier[Typical Components],MATCH($T97,TypicalCriticalitiesMAHBarrier[Column2],0)),"")</f>
        <v/>
      </c>
      <c r="W97" t="str">
        <f ca="1">IF($T97&lt;=AA$4,INDEX(TypicalCriticalitiesMAHBarrier[Typical Criticality],MATCH($T97,TypicalCriticalitiesMAHBarrier[Column2],0)),"")</f>
        <v/>
      </c>
      <c r="AE97" s="44"/>
      <c r="AF97" s="44"/>
      <c r="AG97" s="44"/>
      <c r="AH97" s="44"/>
      <c r="AI97" s="44"/>
      <c r="AJ97" s="44"/>
    </row>
    <row r="98" spans="14:36" ht="17.25" x14ac:dyDescent="0.25">
      <c r="N98" t="s">
        <v>322</v>
      </c>
      <c r="O98" t="s">
        <v>323</v>
      </c>
      <c r="P98" t="s">
        <v>632</v>
      </c>
      <c r="Q98" t="s">
        <v>0</v>
      </c>
      <c r="R98">
        <f t="shared" si="3"/>
        <v>11</v>
      </c>
      <c r="S98">
        <f t="shared" ca="1" si="4"/>
        <v>0</v>
      </c>
      <c r="T98">
        <f t="shared" si="5"/>
        <v>95</v>
      </c>
      <c r="U98" t="str">
        <f>IF($T98&lt;=Z$4,INDEX(TypicalCriticalitiesMAHBarrier[Barrier Family Description],MATCH($T98,TypicalCriticalitiesMAHBarrier[Barrier Family ID],0)),"")</f>
        <v/>
      </c>
      <c r="V98" t="str">
        <f ca="1">IF($T98&lt;=AA$4,INDEX(TypicalCriticalitiesMAHBarrier[Typical Components],MATCH($T98,TypicalCriticalitiesMAHBarrier[Column2],0)),"")</f>
        <v/>
      </c>
      <c r="W98" t="str">
        <f ca="1">IF($T98&lt;=AA$4,INDEX(TypicalCriticalitiesMAHBarrier[Typical Criticality],MATCH($T98,TypicalCriticalitiesMAHBarrier[Column2],0)),"")</f>
        <v/>
      </c>
      <c r="AE98" s="44"/>
      <c r="AF98" s="44"/>
      <c r="AG98" s="44"/>
      <c r="AH98" s="44"/>
      <c r="AI98" s="44"/>
      <c r="AJ98" s="44"/>
    </row>
    <row r="99" spans="14:36" x14ac:dyDescent="0.25">
      <c r="N99" t="s">
        <v>322</v>
      </c>
      <c r="O99" t="s">
        <v>323</v>
      </c>
      <c r="P99" t="s">
        <v>324</v>
      </c>
      <c r="Q99" t="s">
        <v>0</v>
      </c>
      <c r="R99">
        <f t="shared" si="3"/>
        <v>11</v>
      </c>
      <c r="S99">
        <f t="shared" ca="1" si="4"/>
        <v>0</v>
      </c>
      <c r="T99">
        <f t="shared" si="5"/>
        <v>96</v>
      </c>
      <c r="U99" t="str">
        <f>IF($T99&lt;=Z$4,INDEX(TypicalCriticalitiesMAHBarrier[Barrier Family Description],MATCH($T99,TypicalCriticalitiesMAHBarrier[Barrier Family ID],0)),"")</f>
        <v/>
      </c>
      <c r="V99" t="str">
        <f ca="1">IF($T99&lt;=AA$4,INDEX(TypicalCriticalitiesMAHBarrier[Typical Components],MATCH($T99,TypicalCriticalitiesMAHBarrier[Column2],0)),"")</f>
        <v/>
      </c>
      <c r="W99" t="str">
        <f ca="1">IF($T99&lt;=AA$4,INDEX(TypicalCriticalitiesMAHBarrier[Typical Criticality],MATCH($T99,TypicalCriticalitiesMAHBarrier[Column2],0)),"")</f>
        <v/>
      </c>
      <c r="AE99" s="44"/>
      <c r="AF99" s="44"/>
      <c r="AG99" s="44"/>
      <c r="AH99" s="44"/>
      <c r="AI99" s="44"/>
      <c r="AJ99" s="44"/>
    </row>
    <row r="100" spans="14:36" ht="17.25" x14ac:dyDescent="0.25">
      <c r="N100" t="s">
        <v>322</v>
      </c>
      <c r="O100" t="s">
        <v>323</v>
      </c>
      <c r="P100" t="s">
        <v>633</v>
      </c>
      <c r="Q100" t="s">
        <v>0</v>
      </c>
      <c r="R100">
        <f t="shared" si="3"/>
        <v>11</v>
      </c>
      <c r="S100">
        <f t="shared" ca="1" si="4"/>
        <v>0</v>
      </c>
      <c r="T100">
        <f t="shared" si="5"/>
        <v>97</v>
      </c>
      <c r="U100" t="str">
        <f>IF($T100&lt;=Z$4,INDEX(TypicalCriticalitiesMAHBarrier[Barrier Family Description],MATCH($T100,TypicalCriticalitiesMAHBarrier[Barrier Family ID],0)),"")</f>
        <v/>
      </c>
      <c r="V100" t="str">
        <f ca="1">IF($T100&lt;=AA$4,INDEX(TypicalCriticalitiesMAHBarrier[Typical Components],MATCH($T100,TypicalCriticalitiesMAHBarrier[Column2],0)),"")</f>
        <v/>
      </c>
      <c r="W100" t="str">
        <f ca="1">IF($T100&lt;=AA$4,INDEX(TypicalCriticalitiesMAHBarrier[Typical Criticality],MATCH($T100,TypicalCriticalitiesMAHBarrier[Column2],0)),"")</f>
        <v/>
      </c>
      <c r="AE100" s="44"/>
      <c r="AF100" s="44"/>
      <c r="AG100" s="44"/>
      <c r="AH100" s="44"/>
      <c r="AI100" s="44"/>
      <c r="AJ100" s="44"/>
    </row>
    <row r="101" spans="14:36" x14ac:dyDescent="0.25">
      <c r="N101" t="s">
        <v>322</v>
      </c>
      <c r="O101" t="s">
        <v>323</v>
      </c>
      <c r="P101" t="s">
        <v>325</v>
      </c>
      <c r="Q101" t="s">
        <v>0</v>
      </c>
      <c r="R101">
        <f t="shared" si="3"/>
        <v>11</v>
      </c>
      <c r="S101">
        <f t="shared" ca="1" si="4"/>
        <v>0</v>
      </c>
      <c r="T101">
        <f t="shared" si="5"/>
        <v>98</v>
      </c>
      <c r="U101" t="str">
        <f>IF($T101&lt;=Z$4,INDEX(TypicalCriticalitiesMAHBarrier[Barrier Family Description],MATCH($T101,TypicalCriticalitiesMAHBarrier[Barrier Family ID],0)),"")</f>
        <v/>
      </c>
      <c r="V101" t="str">
        <f ca="1">IF($T101&lt;=AA$4,INDEX(TypicalCriticalitiesMAHBarrier[Typical Components],MATCH($T101,TypicalCriticalitiesMAHBarrier[Column2],0)),"")</f>
        <v/>
      </c>
      <c r="W101" t="str">
        <f ca="1">IF($T101&lt;=AA$4,INDEX(TypicalCriticalitiesMAHBarrier[Typical Criticality],MATCH($T101,TypicalCriticalitiesMAHBarrier[Column2],0)),"")</f>
        <v/>
      </c>
      <c r="AE101" s="44"/>
      <c r="AF101" s="44"/>
      <c r="AG101" s="44"/>
      <c r="AH101" s="44"/>
      <c r="AI101" s="44"/>
      <c r="AJ101" s="44"/>
    </row>
    <row r="102" spans="14:36" x14ac:dyDescent="0.25">
      <c r="N102" t="s">
        <v>322</v>
      </c>
      <c r="O102" t="s">
        <v>323</v>
      </c>
      <c r="P102" t="s">
        <v>326</v>
      </c>
      <c r="Q102" t="s">
        <v>0</v>
      </c>
      <c r="R102">
        <f t="shared" si="3"/>
        <v>11</v>
      </c>
      <c r="S102">
        <f t="shared" ca="1" si="4"/>
        <v>0</v>
      </c>
      <c r="T102">
        <f t="shared" si="5"/>
        <v>99</v>
      </c>
      <c r="U102" t="str">
        <f>IF($T102&lt;=Z$4,INDEX(TypicalCriticalitiesMAHBarrier[Barrier Family Description],MATCH($T102,TypicalCriticalitiesMAHBarrier[Barrier Family ID],0)),"")</f>
        <v/>
      </c>
      <c r="V102" t="str">
        <f ca="1">IF($T102&lt;=AA$4,INDEX(TypicalCriticalitiesMAHBarrier[Typical Components],MATCH($T102,TypicalCriticalitiesMAHBarrier[Column2],0)),"")</f>
        <v/>
      </c>
      <c r="W102" t="str">
        <f ca="1">IF($T102&lt;=AA$4,INDEX(TypicalCriticalitiesMAHBarrier[Typical Criticality],MATCH($T102,TypicalCriticalitiesMAHBarrier[Column2],0)),"")</f>
        <v/>
      </c>
      <c r="AE102" s="44"/>
      <c r="AF102" s="44"/>
      <c r="AG102" s="44"/>
      <c r="AH102" s="44"/>
      <c r="AI102" s="44"/>
      <c r="AJ102" s="44"/>
    </row>
    <row r="103" spans="14:36" x14ac:dyDescent="0.25">
      <c r="N103" t="s">
        <v>322</v>
      </c>
      <c r="O103" t="s">
        <v>323</v>
      </c>
      <c r="P103" t="s">
        <v>327</v>
      </c>
      <c r="Q103" t="s">
        <v>0</v>
      </c>
      <c r="R103">
        <f t="shared" si="3"/>
        <v>11</v>
      </c>
      <c r="S103">
        <f t="shared" ca="1" si="4"/>
        <v>0</v>
      </c>
      <c r="T103">
        <f t="shared" si="5"/>
        <v>100</v>
      </c>
      <c r="U103" t="str">
        <f>IF($T103&lt;=Z$4,INDEX(TypicalCriticalitiesMAHBarrier[Barrier Family Description],MATCH($T103,TypicalCriticalitiesMAHBarrier[Barrier Family ID],0)),"")</f>
        <v/>
      </c>
      <c r="V103" t="str">
        <f ca="1">IF($T103&lt;=AA$4,INDEX(TypicalCriticalitiesMAHBarrier[Typical Components],MATCH($T103,TypicalCriticalitiesMAHBarrier[Column2],0)),"")</f>
        <v/>
      </c>
      <c r="W103" t="str">
        <f ca="1">IF($T103&lt;=AA$4,INDEX(TypicalCriticalitiesMAHBarrier[Typical Criticality],MATCH($T103,TypicalCriticalitiesMAHBarrier[Column2],0)),"")</f>
        <v/>
      </c>
      <c r="AE103" s="44"/>
      <c r="AF103" s="44"/>
      <c r="AG103" s="44"/>
      <c r="AH103" s="44"/>
      <c r="AI103" s="44"/>
      <c r="AJ103" s="44"/>
    </row>
    <row r="104" spans="14:36" x14ac:dyDescent="0.25">
      <c r="N104" t="s">
        <v>322</v>
      </c>
      <c r="O104" t="s">
        <v>323</v>
      </c>
      <c r="P104" t="s">
        <v>328</v>
      </c>
      <c r="Q104" t="s">
        <v>0</v>
      </c>
      <c r="R104">
        <f t="shared" si="3"/>
        <v>11</v>
      </c>
      <c r="S104">
        <f t="shared" ca="1" si="4"/>
        <v>0</v>
      </c>
      <c r="T104">
        <f t="shared" si="5"/>
        <v>101</v>
      </c>
      <c r="U104" t="str">
        <f>IF($T104&lt;=Z$4,INDEX(TypicalCriticalitiesMAHBarrier[Barrier Family Description],MATCH($T104,TypicalCriticalitiesMAHBarrier[Barrier Family ID],0)),"")</f>
        <v/>
      </c>
      <c r="V104" t="str">
        <f ca="1">IF($T104&lt;=AA$4,INDEX(TypicalCriticalitiesMAHBarrier[Typical Components],MATCH($T104,TypicalCriticalitiesMAHBarrier[Column2],0)),"")</f>
        <v/>
      </c>
      <c r="W104" t="str">
        <f ca="1">IF($T104&lt;=AA$4,INDEX(TypicalCriticalitiesMAHBarrier[Typical Criticality],MATCH($T104,TypicalCriticalitiesMAHBarrier[Column2],0)),"")</f>
        <v/>
      </c>
      <c r="AE104" s="44"/>
      <c r="AF104" s="44"/>
      <c r="AG104" s="44"/>
      <c r="AH104" s="44"/>
      <c r="AI104" s="44"/>
      <c r="AJ104" s="44"/>
    </row>
    <row r="105" spans="14:36" x14ac:dyDescent="0.25">
      <c r="N105" t="s">
        <v>322</v>
      </c>
      <c r="O105" t="s">
        <v>323</v>
      </c>
      <c r="P105" t="s">
        <v>329</v>
      </c>
      <c r="Q105" t="s">
        <v>2</v>
      </c>
      <c r="R105">
        <f t="shared" si="3"/>
        <v>11</v>
      </c>
      <c r="S105">
        <f t="shared" ca="1" si="4"/>
        <v>0</v>
      </c>
      <c r="T105">
        <f t="shared" si="5"/>
        <v>102</v>
      </c>
      <c r="U105" t="str">
        <f>IF($T105&lt;=Z$4,INDEX(TypicalCriticalitiesMAHBarrier[Barrier Family Description],MATCH($T105,TypicalCriticalitiesMAHBarrier[Barrier Family ID],0)),"")</f>
        <v/>
      </c>
      <c r="V105" t="str">
        <f ca="1">IF($T105&lt;=AA$4,INDEX(TypicalCriticalitiesMAHBarrier[Typical Components],MATCH($T105,TypicalCriticalitiesMAHBarrier[Column2],0)),"")</f>
        <v/>
      </c>
      <c r="W105" t="str">
        <f ca="1">IF($T105&lt;=AA$4,INDEX(TypicalCriticalitiesMAHBarrier[Typical Criticality],MATCH($T105,TypicalCriticalitiesMAHBarrier[Column2],0)),"")</f>
        <v/>
      </c>
      <c r="AE105" s="44"/>
      <c r="AF105" s="44"/>
      <c r="AG105" s="44"/>
      <c r="AH105" s="44"/>
      <c r="AI105" s="44"/>
      <c r="AJ105" s="44"/>
    </row>
    <row r="106" spans="14:36" x14ac:dyDescent="0.25">
      <c r="N106" t="s">
        <v>322</v>
      </c>
      <c r="O106" t="s">
        <v>323</v>
      </c>
      <c r="P106" t="s">
        <v>330</v>
      </c>
      <c r="Q106" t="s">
        <v>0</v>
      </c>
      <c r="R106">
        <f t="shared" si="3"/>
        <v>11</v>
      </c>
      <c r="S106">
        <f t="shared" ca="1" si="4"/>
        <v>0</v>
      </c>
      <c r="T106">
        <f t="shared" si="5"/>
        <v>103</v>
      </c>
      <c r="U106" t="str">
        <f>IF($T106&lt;=Z$4,INDEX(TypicalCriticalitiesMAHBarrier[Barrier Family Description],MATCH($T106,TypicalCriticalitiesMAHBarrier[Barrier Family ID],0)),"")</f>
        <v/>
      </c>
      <c r="V106" t="str">
        <f ca="1">IF($T106&lt;=AA$4,INDEX(TypicalCriticalitiesMAHBarrier[Typical Components],MATCH($T106,TypicalCriticalitiesMAHBarrier[Column2],0)),"")</f>
        <v/>
      </c>
      <c r="W106" t="str">
        <f ca="1">IF($T106&lt;=AA$4,INDEX(TypicalCriticalitiesMAHBarrier[Typical Criticality],MATCH($T106,TypicalCriticalitiesMAHBarrier[Column2],0)),"")</f>
        <v/>
      </c>
      <c r="AE106" s="44"/>
      <c r="AF106" s="44"/>
      <c r="AG106" s="44"/>
      <c r="AH106" s="44"/>
      <c r="AI106" s="44"/>
      <c r="AJ106" s="44"/>
    </row>
    <row r="107" spans="14:36" x14ac:dyDescent="0.25">
      <c r="N107" t="s">
        <v>322</v>
      </c>
      <c r="O107" t="s">
        <v>323</v>
      </c>
      <c r="P107" t="s">
        <v>331</v>
      </c>
      <c r="Q107" t="s">
        <v>0</v>
      </c>
      <c r="R107">
        <f t="shared" si="3"/>
        <v>11</v>
      </c>
      <c r="S107">
        <f t="shared" ca="1" si="4"/>
        <v>0</v>
      </c>
      <c r="T107">
        <f t="shared" si="5"/>
        <v>104</v>
      </c>
      <c r="U107" t="str">
        <f>IF($T107&lt;=Z$4,INDEX(TypicalCriticalitiesMAHBarrier[Barrier Family Description],MATCH($T107,TypicalCriticalitiesMAHBarrier[Barrier Family ID],0)),"")</f>
        <v/>
      </c>
      <c r="V107" t="str">
        <f ca="1">IF($T107&lt;=AA$4,INDEX(TypicalCriticalitiesMAHBarrier[Typical Components],MATCH($T107,TypicalCriticalitiesMAHBarrier[Column2],0)),"")</f>
        <v/>
      </c>
      <c r="W107" t="str">
        <f ca="1">IF($T107&lt;=AA$4,INDEX(TypicalCriticalitiesMAHBarrier[Typical Criticality],MATCH($T107,TypicalCriticalitiesMAHBarrier[Column2],0)),"")</f>
        <v/>
      </c>
      <c r="AE107" s="44"/>
      <c r="AF107" s="44"/>
      <c r="AG107" s="44"/>
      <c r="AH107" s="44"/>
      <c r="AI107" s="44"/>
      <c r="AJ107" s="44"/>
    </row>
    <row r="108" spans="14:36" x14ac:dyDescent="0.25">
      <c r="N108" t="s">
        <v>322</v>
      </c>
      <c r="O108" t="s">
        <v>323</v>
      </c>
      <c r="P108" t="s">
        <v>332</v>
      </c>
      <c r="Q108" t="s">
        <v>0</v>
      </c>
      <c r="R108">
        <f t="shared" si="3"/>
        <v>11</v>
      </c>
      <c r="S108">
        <f t="shared" ca="1" si="4"/>
        <v>0</v>
      </c>
      <c r="T108">
        <f t="shared" si="5"/>
        <v>105</v>
      </c>
      <c r="U108" t="str">
        <f>IF($T108&lt;=Z$4,INDEX(TypicalCriticalitiesMAHBarrier[Barrier Family Description],MATCH($T108,TypicalCriticalitiesMAHBarrier[Barrier Family ID],0)),"")</f>
        <v/>
      </c>
      <c r="V108" t="str">
        <f ca="1">IF($T108&lt;=AA$4,INDEX(TypicalCriticalitiesMAHBarrier[Typical Components],MATCH($T108,TypicalCriticalitiesMAHBarrier[Column2],0)),"")</f>
        <v/>
      </c>
      <c r="W108" t="str">
        <f ca="1">IF($T108&lt;=AA$4,INDEX(TypicalCriticalitiesMAHBarrier[Typical Criticality],MATCH($T108,TypicalCriticalitiesMAHBarrier[Column2],0)),"")</f>
        <v/>
      </c>
      <c r="AE108" s="44"/>
      <c r="AF108" s="44"/>
      <c r="AG108" s="44"/>
      <c r="AH108" s="44"/>
      <c r="AI108" s="44"/>
      <c r="AJ108" s="44"/>
    </row>
    <row r="109" spans="14:36" x14ac:dyDescent="0.25">
      <c r="N109" t="s">
        <v>322</v>
      </c>
      <c r="O109" t="s">
        <v>323</v>
      </c>
      <c r="P109" t="s">
        <v>333</v>
      </c>
      <c r="Q109" t="s">
        <v>0</v>
      </c>
      <c r="R109">
        <f t="shared" si="3"/>
        <v>11</v>
      </c>
      <c r="S109">
        <f t="shared" ca="1" si="4"/>
        <v>0</v>
      </c>
      <c r="T109">
        <f t="shared" si="5"/>
        <v>106</v>
      </c>
      <c r="U109" t="str">
        <f>IF($T109&lt;=Z$4,INDEX(TypicalCriticalitiesMAHBarrier[Barrier Family Description],MATCH($T109,TypicalCriticalitiesMAHBarrier[Barrier Family ID],0)),"")</f>
        <v/>
      </c>
      <c r="V109" t="str">
        <f ca="1">IF($T109&lt;=AA$4,INDEX(TypicalCriticalitiesMAHBarrier[Typical Components],MATCH($T109,TypicalCriticalitiesMAHBarrier[Column2],0)),"")</f>
        <v/>
      </c>
      <c r="W109" t="str">
        <f ca="1">IF($T109&lt;=AA$4,INDEX(TypicalCriticalitiesMAHBarrier[Typical Criticality],MATCH($T109,TypicalCriticalitiesMAHBarrier[Column2],0)),"")</f>
        <v/>
      </c>
      <c r="AE109" s="44"/>
      <c r="AF109" s="44"/>
      <c r="AG109" s="44"/>
      <c r="AH109" s="44"/>
      <c r="AI109" s="44"/>
      <c r="AJ109" s="44"/>
    </row>
    <row r="110" spans="14:36" x14ac:dyDescent="0.25">
      <c r="N110" t="s">
        <v>322</v>
      </c>
      <c r="O110" t="s">
        <v>323</v>
      </c>
      <c r="P110" t="s">
        <v>334</v>
      </c>
      <c r="Q110" t="s">
        <v>2</v>
      </c>
      <c r="R110">
        <f t="shared" si="3"/>
        <v>11</v>
      </c>
      <c r="S110">
        <f t="shared" ca="1" si="4"/>
        <v>0</v>
      </c>
      <c r="T110">
        <f t="shared" si="5"/>
        <v>107</v>
      </c>
      <c r="U110" t="str">
        <f>IF($T110&lt;=Z$4,INDEX(TypicalCriticalitiesMAHBarrier[Barrier Family Description],MATCH($T110,TypicalCriticalitiesMAHBarrier[Barrier Family ID],0)),"")</f>
        <v/>
      </c>
      <c r="V110" t="str">
        <f ca="1">IF($T110&lt;=AA$4,INDEX(TypicalCriticalitiesMAHBarrier[Typical Components],MATCH($T110,TypicalCriticalitiesMAHBarrier[Column2],0)),"")</f>
        <v/>
      </c>
      <c r="W110" t="str">
        <f ca="1">IF($T110&lt;=AA$4,INDEX(TypicalCriticalitiesMAHBarrier[Typical Criticality],MATCH($T110,TypicalCriticalitiesMAHBarrier[Column2],0)),"")</f>
        <v/>
      </c>
      <c r="AE110" s="44"/>
      <c r="AF110" s="44"/>
      <c r="AG110" s="44"/>
      <c r="AH110" s="44"/>
      <c r="AI110" s="44"/>
      <c r="AJ110" s="44"/>
    </row>
    <row r="111" spans="14:36" x14ac:dyDescent="0.25">
      <c r="N111" t="s">
        <v>335</v>
      </c>
      <c r="O111" t="s">
        <v>336</v>
      </c>
      <c r="P111" t="s">
        <v>337</v>
      </c>
      <c r="Q111" t="s">
        <v>0</v>
      </c>
      <c r="R111">
        <f t="shared" si="3"/>
        <v>12</v>
      </c>
      <c r="S111">
        <f t="shared" ca="1" si="4"/>
        <v>0</v>
      </c>
      <c r="T111">
        <f t="shared" si="5"/>
        <v>108</v>
      </c>
      <c r="U111" t="str">
        <f>IF($T111&lt;=Z$4,INDEX(TypicalCriticalitiesMAHBarrier[Barrier Family Description],MATCH($T111,TypicalCriticalitiesMAHBarrier[Barrier Family ID],0)),"")</f>
        <v/>
      </c>
      <c r="V111" t="str">
        <f ca="1">IF($T111&lt;=AA$4,INDEX(TypicalCriticalitiesMAHBarrier[Typical Components],MATCH($T111,TypicalCriticalitiesMAHBarrier[Column2],0)),"")</f>
        <v/>
      </c>
      <c r="W111" t="str">
        <f ca="1">IF($T111&lt;=AA$4,INDEX(TypicalCriticalitiesMAHBarrier[Typical Criticality],MATCH($T111,TypicalCriticalitiesMAHBarrier[Column2],0)),"")</f>
        <v/>
      </c>
      <c r="AE111" s="44"/>
      <c r="AF111" s="44"/>
      <c r="AG111" s="44"/>
      <c r="AH111" s="44"/>
      <c r="AI111" s="44"/>
      <c r="AJ111" s="44"/>
    </row>
    <row r="112" spans="14:36" x14ac:dyDescent="0.25">
      <c r="N112" t="s">
        <v>335</v>
      </c>
      <c r="O112" t="s">
        <v>336</v>
      </c>
      <c r="P112" t="s">
        <v>338</v>
      </c>
      <c r="Q112" t="s">
        <v>1</v>
      </c>
      <c r="R112">
        <f t="shared" si="3"/>
        <v>12</v>
      </c>
      <c r="S112">
        <f t="shared" ca="1" si="4"/>
        <v>0</v>
      </c>
      <c r="T112">
        <f t="shared" si="5"/>
        <v>109</v>
      </c>
      <c r="U112" t="str">
        <f>IF($T112&lt;=Z$4,INDEX(TypicalCriticalitiesMAHBarrier[Barrier Family Description],MATCH($T112,TypicalCriticalitiesMAHBarrier[Barrier Family ID],0)),"")</f>
        <v/>
      </c>
      <c r="V112" t="str">
        <f ca="1">IF($T112&lt;=AA$4,INDEX(TypicalCriticalitiesMAHBarrier[Typical Components],MATCH($T112,TypicalCriticalitiesMAHBarrier[Column2],0)),"")</f>
        <v/>
      </c>
      <c r="W112" t="str">
        <f ca="1">IF($T112&lt;=AA$4,INDEX(TypicalCriticalitiesMAHBarrier[Typical Criticality],MATCH($T112,TypicalCriticalitiesMAHBarrier[Column2],0)),"")</f>
        <v/>
      </c>
      <c r="AE112" s="44"/>
      <c r="AF112" s="44"/>
      <c r="AG112" s="44"/>
      <c r="AH112" s="44"/>
      <c r="AI112" s="44"/>
      <c r="AJ112" s="44"/>
    </row>
    <row r="113" spans="14:36" x14ac:dyDescent="0.25">
      <c r="N113" t="s">
        <v>335</v>
      </c>
      <c r="O113" t="s">
        <v>336</v>
      </c>
      <c r="P113" t="s">
        <v>339</v>
      </c>
      <c r="Q113" t="s">
        <v>1</v>
      </c>
      <c r="R113">
        <f t="shared" si="3"/>
        <v>12</v>
      </c>
      <c r="S113">
        <f t="shared" ca="1" si="4"/>
        <v>0</v>
      </c>
      <c r="T113">
        <f t="shared" si="5"/>
        <v>110</v>
      </c>
      <c r="U113" t="str">
        <f>IF($T113&lt;=Z$4,INDEX(TypicalCriticalitiesMAHBarrier[Barrier Family Description],MATCH($T113,TypicalCriticalitiesMAHBarrier[Barrier Family ID],0)),"")</f>
        <v/>
      </c>
      <c r="V113" t="str">
        <f ca="1">IF($T113&lt;=AA$4,INDEX(TypicalCriticalitiesMAHBarrier[Typical Components],MATCH($T113,TypicalCriticalitiesMAHBarrier[Column2],0)),"")</f>
        <v/>
      </c>
      <c r="W113" t="str">
        <f ca="1">IF($T113&lt;=AA$4,INDEX(TypicalCriticalitiesMAHBarrier[Typical Criticality],MATCH($T113,TypicalCriticalitiesMAHBarrier[Column2],0)),"")</f>
        <v/>
      </c>
      <c r="AE113" s="44"/>
      <c r="AF113" s="44"/>
      <c r="AG113" s="44"/>
      <c r="AH113" s="44"/>
      <c r="AI113" s="44"/>
      <c r="AJ113" s="44"/>
    </row>
    <row r="114" spans="14:36" x14ac:dyDescent="0.25">
      <c r="N114" t="s">
        <v>335</v>
      </c>
      <c r="O114" t="s">
        <v>336</v>
      </c>
      <c r="P114" t="s">
        <v>340</v>
      </c>
      <c r="Q114" t="s">
        <v>1</v>
      </c>
      <c r="R114">
        <f t="shared" si="3"/>
        <v>12</v>
      </c>
      <c r="S114">
        <f t="shared" ca="1" si="4"/>
        <v>0</v>
      </c>
      <c r="T114">
        <f t="shared" si="5"/>
        <v>111</v>
      </c>
      <c r="U114" t="str">
        <f>IF($T114&lt;=Z$4,INDEX(TypicalCriticalitiesMAHBarrier[Barrier Family Description],MATCH($T114,TypicalCriticalitiesMAHBarrier[Barrier Family ID],0)),"")</f>
        <v/>
      </c>
      <c r="V114" t="str">
        <f ca="1">IF($T114&lt;=AA$4,INDEX(TypicalCriticalitiesMAHBarrier[Typical Components],MATCH($T114,TypicalCriticalitiesMAHBarrier[Column2],0)),"")</f>
        <v/>
      </c>
      <c r="W114" t="str">
        <f ca="1">IF($T114&lt;=AA$4,INDEX(TypicalCriticalitiesMAHBarrier[Typical Criticality],MATCH($T114,TypicalCriticalitiesMAHBarrier[Column2],0)),"")</f>
        <v/>
      </c>
      <c r="AE114" s="44"/>
      <c r="AF114" s="44"/>
      <c r="AG114" s="44"/>
      <c r="AH114" s="44"/>
      <c r="AI114" s="44"/>
      <c r="AJ114" s="44"/>
    </row>
    <row r="115" spans="14:36" x14ac:dyDescent="0.25">
      <c r="N115" t="s">
        <v>335</v>
      </c>
      <c r="O115" t="s">
        <v>336</v>
      </c>
      <c r="P115" t="s">
        <v>341</v>
      </c>
      <c r="Q115" t="s">
        <v>0</v>
      </c>
      <c r="R115">
        <f t="shared" si="3"/>
        <v>12</v>
      </c>
      <c r="S115">
        <f t="shared" ca="1" si="4"/>
        <v>0</v>
      </c>
      <c r="T115">
        <f t="shared" si="5"/>
        <v>112</v>
      </c>
      <c r="U115" t="str">
        <f>IF($T115&lt;=Z$4,INDEX(TypicalCriticalitiesMAHBarrier[Barrier Family Description],MATCH($T115,TypicalCriticalitiesMAHBarrier[Barrier Family ID],0)),"")</f>
        <v/>
      </c>
      <c r="V115" t="str">
        <f ca="1">IF($T115&lt;=AA$4,INDEX(TypicalCriticalitiesMAHBarrier[Typical Components],MATCH($T115,TypicalCriticalitiesMAHBarrier[Column2],0)),"")</f>
        <v/>
      </c>
      <c r="W115" t="str">
        <f ca="1">IF($T115&lt;=AA$4,INDEX(TypicalCriticalitiesMAHBarrier[Typical Criticality],MATCH($T115,TypicalCriticalitiesMAHBarrier[Column2],0)),"")</f>
        <v/>
      </c>
      <c r="AE115" s="44"/>
      <c r="AF115" s="44"/>
      <c r="AG115" s="44"/>
      <c r="AH115" s="44"/>
      <c r="AI115" s="44"/>
      <c r="AJ115" s="44"/>
    </row>
    <row r="116" spans="14:36" x14ac:dyDescent="0.25">
      <c r="N116" t="s">
        <v>335</v>
      </c>
      <c r="O116" t="s">
        <v>336</v>
      </c>
      <c r="P116" t="s">
        <v>342</v>
      </c>
      <c r="Q116" t="s">
        <v>1</v>
      </c>
      <c r="R116">
        <f t="shared" si="3"/>
        <v>12</v>
      </c>
      <c r="S116">
        <f t="shared" ca="1" si="4"/>
        <v>0</v>
      </c>
      <c r="T116">
        <f t="shared" si="5"/>
        <v>113</v>
      </c>
      <c r="U116" t="str">
        <f>IF($T116&lt;=Z$4,INDEX(TypicalCriticalitiesMAHBarrier[Barrier Family Description],MATCH($T116,TypicalCriticalitiesMAHBarrier[Barrier Family ID],0)),"")</f>
        <v/>
      </c>
      <c r="V116" t="str">
        <f ca="1">IF($T116&lt;=AA$4,INDEX(TypicalCriticalitiesMAHBarrier[Typical Components],MATCH($T116,TypicalCriticalitiesMAHBarrier[Column2],0)),"")</f>
        <v/>
      </c>
      <c r="W116" t="str">
        <f ca="1">IF($T116&lt;=AA$4,INDEX(TypicalCriticalitiesMAHBarrier[Typical Criticality],MATCH($T116,TypicalCriticalitiesMAHBarrier[Column2],0)),"")</f>
        <v/>
      </c>
      <c r="AE116" s="44"/>
      <c r="AF116" s="44"/>
      <c r="AG116" s="44"/>
      <c r="AH116" s="44"/>
      <c r="AI116" s="44"/>
      <c r="AJ116" s="44"/>
    </row>
    <row r="117" spans="14:36" x14ac:dyDescent="0.25">
      <c r="N117" t="s">
        <v>335</v>
      </c>
      <c r="O117" t="s">
        <v>336</v>
      </c>
      <c r="P117" t="s">
        <v>343</v>
      </c>
      <c r="Q117" t="s">
        <v>0</v>
      </c>
      <c r="R117">
        <f t="shared" si="3"/>
        <v>12</v>
      </c>
      <c r="S117">
        <f t="shared" ca="1" si="4"/>
        <v>0</v>
      </c>
      <c r="T117">
        <f t="shared" si="5"/>
        <v>114</v>
      </c>
      <c r="U117" t="str">
        <f>IF($T117&lt;=Z$4,INDEX(TypicalCriticalitiesMAHBarrier[Barrier Family Description],MATCH($T117,TypicalCriticalitiesMAHBarrier[Barrier Family ID],0)),"")</f>
        <v/>
      </c>
      <c r="V117" t="str">
        <f ca="1">IF($T117&lt;=AA$4,INDEX(TypicalCriticalitiesMAHBarrier[Typical Components],MATCH($T117,TypicalCriticalitiesMAHBarrier[Column2],0)),"")</f>
        <v/>
      </c>
      <c r="W117" t="str">
        <f ca="1">IF($T117&lt;=AA$4,INDEX(TypicalCriticalitiesMAHBarrier[Typical Criticality],MATCH($T117,TypicalCriticalitiesMAHBarrier[Column2],0)),"")</f>
        <v/>
      </c>
      <c r="AE117" s="44"/>
      <c r="AF117" s="44"/>
      <c r="AG117" s="44"/>
      <c r="AH117" s="44"/>
      <c r="AI117" s="44"/>
      <c r="AJ117" s="44"/>
    </row>
    <row r="118" spans="14:36" x14ac:dyDescent="0.25">
      <c r="N118" t="s">
        <v>335</v>
      </c>
      <c r="O118" t="s">
        <v>336</v>
      </c>
      <c r="P118" t="s">
        <v>344</v>
      </c>
      <c r="Q118" t="s">
        <v>0</v>
      </c>
      <c r="R118">
        <f t="shared" si="3"/>
        <v>12</v>
      </c>
      <c r="S118">
        <f t="shared" ca="1" si="4"/>
        <v>0</v>
      </c>
      <c r="T118">
        <f t="shared" si="5"/>
        <v>115</v>
      </c>
      <c r="U118" t="str">
        <f>IF($T118&lt;=Z$4,INDEX(TypicalCriticalitiesMAHBarrier[Barrier Family Description],MATCH($T118,TypicalCriticalitiesMAHBarrier[Barrier Family ID],0)),"")</f>
        <v/>
      </c>
      <c r="V118" t="str">
        <f ca="1">IF($T118&lt;=AA$4,INDEX(TypicalCriticalitiesMAHBarrier[Typical Components],MATCH($T118,TypicalCriticalitiesMAHBarrier[Column2],0)),"")</f>
        <v/>
      </c>
      <c r="W118" t="str">
        <f ca="1">IF($T118&lt;=AA$4,INDEX(TypicalCriticalitiesMAHBarrier[Typical Criticality],MATCH($T118,TypicalCriticalitiesMAHBarrier[Column2],0)),"")</f>
        <v/>
      </c>
      <c r="AE118" s="44"/>
      <c r="AF118" s="44"/>
      <c r="AG118" s="44"/>
      <c r="AH118" s="44"/>
      <c r="AI118" s="44"/>
      <c r="AJ118" s="44"/>
    </row>
    <row r="119" spans="14:36" x14ac:dyDescent="0.25">
      <c r="N119" t="s">
        <v>335</v>
      </c>
      <c r="O119" t="s">
        <v>336</v>
      </c>
      <c r="P119" t="s">
        <v>345</v>
      </c>
      <c r="Q119" t="s">
        <v>0</v>
      </c>
      <c r="R119">
        <f t="shared" si="3"/>
        <v>12</v>
      </c>
      <c r="S119">
        <f t="shared" ca="1" si="4"/>
        <v>0</v>
      </c>
      <c r="T119">
        <f t="shared" si="5"/>
        <v>116</v>
      </c>
      <c r="U119" t="str">
        <f>IF($T119&lt;=Z$4,INDEX(TypicalCriticalitiesMAHBarrier[Barrier Family Description],MATCH($T119,TypicalCriticalitiesMAHBarrier[Barrier Family ID],0)),"")</f>
        <v/>
      </c>
      <c r="V119" t="str">
        <f ca="1">IF($T119&lt;=AA$4,INDEX(TypicalCriticalitiesMAHBarrier[Typical Components],MATCH($T119,TypicalCriticalitiesMAHBarrier[Column2],0)),"")</f>
        <v/>
      </c>
      <c r="W119" t="str">
        <f ca="1">IF($T119&lt;=AA$4,INDEX(TypicalCriticalitiesMAHBarrier[Typical Criticality],MATCH($T119,TypicalCriticalitiesMAHBarrier[Column2],0)),"")</f>
        <v/>
      </c>
      <c r="AE119" s="44"/>
      <c r="AF119" s="44"/>
      <c r="AG119" s="44"/>
      <c r="AH119" s="44"/>
      <c r="AI119" s="44"/>
      <c r="AJ119" s="44"/>
    </row>
    <row r="120" spans="14:36" x14ac:dyDescent="0.25">
      <c r="N120" t="s">
        <v>335</v>
      </c>
      <c r="O120" t="s">
        <v>336</v>
      </c>
      <c r="P120" t="s">
        <v>346</v>
      </c>
      <c r="Q120" t="s">
        <v>0</v>
      </c>
      <c r="R120">
        <f t="shared" si="3"/>
        <v>12</v>
      </c>
      <c r="S120">
        <f t="shared" ca="1" si="4"/>
        <v>0</v>
      </c>
      <c r="T120">
        <f t="shared" si="5"/>
        <v>117</v>
      </c>
      <c r="U120" t="str">
        <f>IF($T120&lt;=Z$4,INDEX(TypicalCriticalitiesMAHBarrier[Barrier Family Description],MATCH($T120,TypicalCriticalitiesMAHBarrier[Barrier Family ID],0)),"")</f>
        <v/>
      </c>
      <c r="V120" t="str">
        <f ca="1">IF($T120&lt;=AA$4,INDEX(TypicalCriticalitiesMAHBarrier[Typical Components],MATCH($T120,TypicalCriticalitiesMAHBarrier[Column2],0)),"")</f>
        <v/>
      </c>
      <c r="W120" t="str">
        <f ca="1">IF($T120&lt;=AA$4,INDEX(TypicalCriticalitiesMAHBarrier[Typical Criticality],MATCH($T120,TypicalCriticalitiesMAHBarrier[Column2],0)),"")</f>
        <v/>
      </c>
      <c r="AE120" s="44"/>
      <c r="AF120" s="44"/>
      <c r="AG120" s="44"/>
      <c r="AH120" s="44"/>
      <c r="AI120" s="44"/>
      <c r="AJ120" s="44"/>
    </row>
    <row r="121" spans="14:36" x14ac:dyDescent="0.25">
      <c r="N121" t="s">
        <v>335</v>
      </c>
      <c r="O121" t="s">
        <v>336</v>
      </c>
      <c r="P121" t="s">
        <v>347</v>
      </c>
      <c r="Q121" t="s">
        <v>0</v>
      </c>
      <c r="R121">
        <f t="shared" si="3"/>
        <v>12</v>
      </c>
      <c r="S121">
        <f t="shared" ca="1" si="4"/>
        <v>0</v>
      </c>
      <c r="T121">
        <f t="shared" si="5"/>
        <v>118</v>
      </c>
      <c r="U121" t="str">
        <f>IF($T121&lt;=Z$4,INDEX(TypicalCriticalitiesMAHBarrier[Barrier Family Description],MATCH($T121,TypicalCriticalitiesMAHBarrier[Barrier Family ID],0)),"")</f>
        <v/>
      </c>
      <c r="V121" t="str">
        <f ca="1">IF($T121&lt;=AA$4,INDEX(TypicalCriticalitiesMAHBarrier[Typical Components],MATCH($T121,TypicalCriticalitiesMAHBarrier[Column2],0)),"")</f>
        <v/>
      </c>
      <c r="W121" t="str">
        <f ca="1">IF($T121&lt;=AA$4,INDEX(TypicalCriticalitiesMAHBarrier[Typical Criticality],MATCH($T121,TypicalCriticalitiesMAHBarrier[Column2],0)),"")</f>
        <v/>
      </c>
      <c r="AE121" s="44"/>
      <c r="AF121" s="44"/>
      <c r="AG121" s="44"/>
      <c r="AH121" s="44"/>
      <c r="AI121" s="44"/>
      <c r="AJ121" s="44"/>
    </row>
    <row r="122" spans="14:36" x14ac:dyDescent="0.25">
      <c r="N122" t="s">
        <v>335</v>
      </c>
      <c r="O122" t="s">
        <v>336</v>
      </c>
      <c r="P122" t="s">
        <v>348</v>
      </c>
      <c r="Q122" t="s">
        <v>1</v>
      </c>
      <c r="R122">
        <f t="shared" si="3"/>
        <v>12</v>
      </c>
      <c r="S122">
        <f t="shared" ca="1" si="4"/>
        <v>0</v>
      </c>
      <c r="T122">
        <f t="shared" si="5"/>
        <v>119</v>
      </c>
      <c r="U122" t="str">
        <f>IF($T122&lt;=Z$4,INDEX(TypicalCriticalitiesMAHBarrier[Barrier Family Description],MATCH($T122,TypicalCriticalitiesMAHBarrier[Barrier Family ID],0)),"")</f>
        <v/>
      </c>
      <c r="V122" t="str">
        <f ca="1">IF($T122&lt;=AA$4,INDEX(TypicalCriticalitiesMAHBarrier[Typical Components],MATCH($T122,TypicalCriticalitiesMAHBarrier[Column2],0)),"")</f>
        <v/>
      </c>
      <c r="W122" t="str">
        <f ca="1">IF($T122&lt;=AA$4,INDEX(TypicalCriticalitiesMAHBarrier[Typical Criticality],MATCH($T122,TypicalCriticalitiesMAHBarrier[Column2],0)),"")</f>
        <v/>
      </c>
      <c r="AE122" s="44"/>
      <c r="AF122" s="44"/>
      <c r="AG122" s="44"/>
      <c r="AH122" s="44"/>
      <c r="AI122" s="44"/>
      <c r="AJ122" s="44"/>
    </row>
    <row r="123" spans="14:36" x14ac:dyDescent="0.25">
      <c r="N123" t="s">
        <v>335</v>
      </c>
      <c r="O123" t="s">
        <v>349</v>
      </c>
      <c r="P123" t="s">
        <v>350</v>
      </c>
      <c r="Q123" t="s">
        <v>1</v>
      </c>
      <c r="R123">
        <f t="shared" si="3"/>
        <v>13</v>
      </c>
      <c r="S123">
        <f t="shared" ca="1" si="4"/>
        <v>0</v>
      </c>
      <c r="T123">
        <f t="shared" si="5"/>
        <v>120</v>
      </c>
      <c r="U123" t="str">
        <f>IF($T123&lt;=Z$4,INDEX(TypicalCriticalitiesMAHBarrier[Barrier Family Description],MATCH($T123,TypicalCriticalitiesMAHBarrier[Barrier Family ID],0)),"")</f>
        <v/>
      </c>
      <c r="V123" t="str">
        <f ca="1">IF($T123&lt;=AA$4,INDEX(TypicalCriticalitiesMAHBarrier[Typical Components],MATCH($T123,TypicalCriticalitiesMAHBarrier[Column2],0)),"")</f>
        <v/>
      </c>
      <c r="W123" t="str">
        <f ca="1">IF($T123&lt;=AA$4,INDEX(TypicalCriticalitiesMAHBarrier[Typical Criticality],MATCH($T123,TypicalCriticalitiesMAHBarrier[Column2],0)),"")</f>
        <v/>
      </c>
      <c r="AE123" s="44"/>
      <c r="AF123" s="44"/>
      <c r="AG123" s="44"/>
      <c r="AH123" s="44"/>
      <c r="AI123" s="44"/>
      <c r="AJ123" s="44"/>
    </row>
    <row r="124" spans="14:36" x14ac:dyDescent="0.25">
      <c r="N124" t="s">
        <v>335</v>
      </c>
      <c r="O124" t="s">
        <v>349</v>
      </c>
      <c r="P124" t="s">
        <v>351</v>
      </c>
      <c r="Q124" t="s">
        <v>0</v>
      </c>
      <c r="R124">
        <f t="shared" si="3"/>
        <v>13</v>
      </c>
      <c r="S124">
        <f t="shared" ca="1" si="4"/>
        <v>0</v>
      </c>
      <c r="T124">
        <f t="shared" si="5"/>
        <v>121</v>
      </c>
      <c r="U124" t="str">
        <f>IF($T124&lt;=Z$4,INDEX(TypicalCriticalitiesMAHBarrier[Barrier Family Description],MATCH($T124,TypicalCriticalitiesMAHBarrier[Barrier Family ID],0)),"")</f>
        <v/>
      </c>
      <c r="V124" t="str">
        <f ca="1">IF($T124&lt;=AA$4,INDEX(TypicalCriticalitiesMAHBarrier[Typical Components],MATCH($T124,TypicalCriticalitiesMAHBarrier[Column2],0)),"")</f>
        <v/>
      </c>
      <c r="W124" t="str">
        <f ca="1">IF($T124&lt;=AA$4,INDEX(TypicalCriticalitiesMAHBarrier[Typical Criticality],MATCH($T124,TypicalCriticalitiesMAHBarrier[Column2],0)),"")</f>
        <v/>
      </c>
      <c r="AE124" s="44"/>
      <c r="AF124" s="44"/>
      <c r="AG124" s="44"/>
      <c r="AH124" s="44"/>
      <c r="AI124" s="44"/>
      <c r="AJ124" s="44"/>
    </row>
    <row r="125" spans="14:36" x14ac:dyDescent="0.25">
      <c r="N125" t="s">
        <v>335</v>
      </c>
      <c r="O125" t="s">
        <v>352</v>
      </c>
      <c r="P125" t="s">
        <v>353</v>
      </c>
      <c r="Q125" t="s">
        <v>1</v>
      </c>
      <c r="R125">
        <f t="shared" si="3"/>
        <v>14</v>
      </c>
      <c r="S125">
        <f t="shared" ca="1" si="4"/>
        <v>0</v>
      </c>
      <c r="T125">
        <f t="shared" si="5"/>
        <v>122</v>
      </c>
      <c r="U125" t="str">
        <f>IF($T125&lt;=Z$4,INDEX(TypicalCriticalitiesMAHBarrier[Barrier Family Description],MATCH($T125,TypicalCriticalitiesMAHBarrier[Barrier Family ID],0)),"")</f>
        <v/>
      </c>
      <c r="V125" t="str">
        <f ca="1">IF($T125&lt;=AA$4,INDEX(TypicalCriticalitiesMAHBarrier[Typical Components],MATCH($T125,TypicalCriticalitiesMAHBarrier[Column2],0)),"")</f>
        <v/>
      </c>
      <c r="W125" t="str">
        <f ca="1">IF($T125&lt;=AA$4,INDEX(TypicalCriticalitiesMAHBarrier[Typical Criticality],MATCH($T125,TypicalCriticalitiesMAHBarrier[Column2],0)),"")</f>
        <v/>
      </c>
      <c r="AE125" s="44"/>
      <c r="AF125" s="44"/>
      <c r="AG125" s="44"/>
      <c r="AH125" s="44"/>
      <c r="AI125" s="44"/>
      <c r="AJ125" s="44"/>
    </row>
    <row r="126" spans="14:36" x14ac:dyDescent="0.25">
      <c r="N126" t="s">
        <v>335</v>
      </c>
      <c r="O126" t="s">
        <v>352</v>
      </c>
      <c r="P126" t="s">
        <v>338</v>
      </c>
      <c r="Q126" t="s">
        <v>1</v>
      </c>
      <c r="R126">
        <f t="shared" si="3"/>
        <v>14</v>
      </c>
      <c r="S126">
        <f t="shared" ca="1" si="4"/>
        <v>0</v>
      </c>
      <c r="T126">
        <f t="shared" si="5"/>
        <v>123</v>
      </c>
      <c r="U126" t="str">
        <f>IF($T126&lt;=Z$4,INDEX(TypicalCriticalitiesMAHBarrier[Barrier Family Description],MATCH($T126,TypicalCriticalitiesMAHBarrier[Barrier Family ID],0)),"")</f>
        <v/>
      </c>
      <c r="V126" t="str">
        <f ca="1">IF($T126&lt;=AA$4,INDEX(TypicalCriticalitiesMAHBarrier[Typical Components],MATCH($T126,TypicalCriticalitiesMAHBarrier[Column2],0)),"")</f>
        <v/>
      </c>
      <c r="W126" t="str">
        <f ca="1">IF($T126&lt;=AA$4,INDEX(TypicalCriticalitiesMAHBarrier[Typical Criticality],MATCH($T126,TypicalCriticalitiesMAHBarrier[Column2],0)),"")</f>
        <v/>
      </c>
      <c r="AE126" s="44"/>
      <c r="AF126" s="44"/>
      <c r="AG126" s="44"/>
      <c r="AH126" s="44"/>
      <c r="AI126" s="44"/>
      <c r="AJ126" s="44"/>
    </row>
    <row r="127" spans="14:36" x14ac:dyDescent="0.25">
      <c r="N127" t="s">
        <v>335</v>
      </c>
      <c r="O127" t="s">
        <v>352</v>
      </c>
      <c r="P127" t="s">
        <v>354</v>
      </c>
      <c r="Q127" t="s">
        <v>1</v>
      </c>
      <c r="R127">
        <f t="shared" si="3"/>
        <v>14</v>
      </c>
      <c r="S127">
        <f t="shared" ca="1" si="4"/>
        <v>0</v>
      </c>
      <c r="T127">
        <f t="shared" si="5"/>
        <v>124</v>
      </c>
      <c r="U127" t="str">
        <f>IF($T127&lt;=Z$4,INDEX(TypicalCriticalitiesMAHBarrier[Barrier Family Description],MATCH($T127,TypicalCriticalitiesMAHBarrier[Barrier Family ID],0)),"")</f>
        <v/>
      </c>
      <c r="V127" t="str">
        <f ca="1">IF($T127&lt;=AA$4,INDEX(TypicalCriticalitiesMAHBarrier[Typical Components],MATCH($T127,TypicalCriticalitiesMAHBarrier[Column2],0)),"")</f>
        <v/>
      </c>
      <c r="W127" t="str">
        <f ca="1">IF($T127&lt;=AA$4,INDEX(TypicalCriticalitiesMAHBarrier[Typical Criticality],MATCH($T127,TypicalCriticalitiesMAHBarrier[Column2],0)),"")</f>
        <v/>
      </c>
      <c r="AE127" s="44"/>
      <c r="AF127" s="44"/>
      <c r="AG127" s="44"/>
      <c r="AH127" s="44"/>
      <c r="AI127" s="44"/>
      <c r="AJ127" s="44"/>
    </row>
    <row r="128" spans="14:36" x14ac:dyDescent="0.25">
      <c r="N128" t="s">
        <v>335</v>
      </c>
      <c r="O128" t="s">
        <v>352</v>
      </c>
      <c r="P128" t="s">
        <v>342</v>
      </c>
      <c r="Q128" t="s">
        <v>1</v>
      </c>
      <c r="R128">
        <f t="shared" si="3"/>
        <v>14</v>
      </c>
      <c r="S128">
        <f t="shared" ca="1" si="4"/>
        <v>0</v>
      </c>
      <c r="T128">
        <f t="shared" si="5"/>
        <v>125</v>
      </c>
      <c r="U128" t="str">
        <f>IF($T128&lt;=Z$4,INDEX(TypicalCriticalitiesMAHBarrier[Barrier Family Description],MATCH($T128,TypicalCriticalitiesMAHBarrier[Barrier Family ID],0)),"")</f>
        <v/>
      </c>
      <c r="V128" t="str">
        <f ca="1">IF($T128&lt;=AA$4,INDEX(TypicalCriticalitiesMAHBarrier[Typical Components],MATCH($T128,TypicalCriticalitiesMAHBarrier[Column2],0)),"")</f>
        <v/>
      </c>
      <c r="W128" t="str">
        <f ca="1">IF($T128&lt;=AA$4,INDEX(TypicalCriticalitiesMAHBarrier[Typical Criticality],MATCH($T128,TypicalCriticalitiesMAHBarrier[Column2],0)),"")</f>
        <v/>
      </c>
      <c r="AE128" s="44"/>
      <c r="AF128" s="44"/>
      <c r="AG128" s="44"/>
      <c r="AH128" s="44"/>
      <c r="AI128" s="44"/>
      <c r="AJ128" s="44"/>
    </row>
    <row r="129" spans="14:36" x14ac:dyDescent="0.25">
      <c r="N129" t="s">
        <v>335</v>
      </c>
      <c r="O129" t="s">
        <v>352</v>
      </c>
      <c r="P129" t="s">
        <v>355</v>
      </c>
      <c r="Q129" t="s">
        <v>0</v>
      </c>
      <c r="R129">
        <f t="shared" si="3"/>
        <v>14</v>
      </c>
      <c r="S129">
        <f t="shared" ca="1" si="4"/>
        <v>0</v>
      </c>
      <c r="T129">
        <f t="shared" si="5"/>
        <v>126</v>
      </c>
      <c r="U129" t="str">
        <f>IF($T129&lt;=Z$4,INDEX(TypicalCriticalitiesMAHBarrier[Barrier Family Description],MATCH($T129,TypicalCriticalitiesMAHBarrier[Barrier Family ID],0)),"")</f>
        <v/>
      </c>
      <c r="V129" t="str">
        <f ca="1">IF($T129&lt;=AA$4,INDEX(TypicalCriticalitiesMAHBarrier[Typical Components],MATCH($T129,TypicalCriticalitiesMAHBarrier[Column2],0)),"")</f>
        <v/>
      </c>
      <c r="W129" t="str">
        <f ca="1">IF($T129&lt;=AA$4,INDEX(TypicalCriticalitiesMAHBarrier[Typical Criticality],MATCH($T129,TypicalCriticalitiesMAHBarrier[Column2],0)),"")</f>
        <v/>
      </c>
      <c r="AE129" s="44"/>
      <c r="AF129" s="44"/>
      <c r="AG129" s="44"/>
      <c r="AH129" s="44"/>
      <c r="AI129" s="44"/>
      <c r="AJ129" s="44"/>
    </row>
    <row r="130" spans="14:36" x14ac:dyDescent="0.25">
      <c r="N130" t="s">
        <v>335</v>
      </c>
      <c r="O130" t="s">
        <v>352</v>
      </c>
      <c r="P130" t="s">
        <v>356</v>
      </c>
      <c r="Q130" t="s">
        <v>1</v>
      </c>
      <c r="R130">
        <f t="shared" si="3"/>
        <v>14</v>
      </c>
      <c r="S130">
        <f t="shared" ca="1" si="4"/>
        <v>0</v>
      </c>
      <c r="T130">
        <f t="shared" si="5"/>
        <v>127</v>
      </c>
      <c r="U130" t="str">
        <f>IF($T130&lt;=Z$4,INDEX(TypicalCriticalitiesMAHBarrier[Barrier Family Description],MATCH($T130,TypicalCriticalitiesMAHBarrier[Barrier Family ID],0)),"")</f>
        <v/>
      </c>
      <c r="V130" t="str">
        <f ca="1">IF($T130&lt;=AA$4,INDEX(TypicalCriticalitiesMAHBarrier[Typical Components],MATCH($T130,TypicalCriticalitiesMAHBarrier[Column2],0)),"")</f>
        <v/>
      </c>
      <c r="W130" t="str">
        <f ca="1">IF($T130&lt;=AA$4,INDEX(TypicalCriticalitiesMAHBarrier[Typical Criticality],MATCH($T130,TypicalCriticalitiesMAHBarrier[Column2],0)),"")</f>
        <v/>
      </c>
      <c r="AE130" s="44"/>
      <c r="AF130" s="44"/>
      <c r="AG130" s="44"/>
      <c r="AH130" s="44"/>
      <c r="AI130" s="44"/>
      <c r="AJ130" s="44"/>
    </row>
    <row r="131" spans="14:36" x14ac:dyDescent="0.25">
      <c r="N131" t="s">
        <v>357</v>
      </c>
      <c r="O131" t="s">
        <v>358</v>
      </c>
      <c r="P131" t="s">
        <v>359</v>
      </c>
      <c r="Q131" t="s">
        <v>0</v>
      </c>
      <c r="R131">
        <f t="shared" si="3"/>
        <v>15</v>
      </c>
      <c r="S131">
        <f t="shared" ca="1" si="4"/>
        <v>0</v>
      </c>
      <c r="T131">
        <f t="shared" si="5"/>
        <v>128</v>
      </c>
      <c r="U131" t="str">
        <f>IF($T131&lt;=Z$4,INDEX(TypicalCriticalitiesMAHBarrier[Barrier Family Description],MATCH($T131,TypicalCriticalitiesMAHBarrier[Barrier Family ID],0)),"")</f>
        <v/>
      </c>
      <c r="V131" t="str">
        <f ca="1">IF($T131&lt;=AA$4,INDEX(TypicalCriticalitiesMAHBarrier[Typical Components],MATCH($T131,TypicalCriticalitiesMAHBarrier[Column2],0)),"")</f>
        <v/>
      </c>
      <c r="W131" t="str">
        <f ca="1">IF($T131&lt;=AA$4,INDEX(TypicalCriticalitiesMAHBarrier[Typical Criticality],MATCH($T131,TypicalCriticalitiesMAHBarrier[Column2],0)),"")</f>
        <v/>
      </c>
      <c r="AE131" s="44"/>
      <c r="AF131" s="44"/>
      <c r="AG131" s="44"/>
      <c r="AH131" s="44"/>
      <c r="AI131" s="44"/>
      <c r="AJ131" s="44"/>
    </row>
    <row r="132" spans="14:36" x14ac:dyDescent="0.25">
      <c r="N132" t="s">
        <v>357</v>
      </c>
      <c r="O132" t="s">
        <v>358</v>
      </c>
      <c r="P132" t="s">
        <v>360</v>
      </c>
      <c r="Q132" t="s">
        <v>0</v>
      </c>
      <c r="R132">
        <f t="shared" si="3"/>
        <v>15</v>
      </c>
      <c r="S132">
        <f t="shared" ca="1" si="4"/>
        <v>0</v>
      </c>
      <c r="T132">
        <f t="shared" si="5"/>
        <v>129</v>
      </c>
      <c r="U132" t="str">
        <f>IF($T132&lt;=Z$4,INDEX(TypicalCriticalitiesMAHBarrier[Barrier Family Description],MATCH($T132,TypicalCriticalitiesMAHBarrier[Barrier Family ID],0)),"")</f>
        <v/>
      </c>
      <c r="V132" t="str">
        <f ca="1">IF($T132&lt;=AA$4,INDEX(TypicalCriticalitiesMAHBarrier[Typical Components],MATCH($T132,TypicalCriticalitiesMAHBarrier[Column2],0)),"")</f>
        <v/>
      </c>
      <c r="W132" t="str">
        <f ca="1">IF($T132&lt;=AA$4,INDEX(TypicalCriticalitiesMAHBarrier[Typical Criticality],MATCH($T132,TypicalCriticalitiesMAHBarrier[Column2],0)),"")</f>
        <v/>
      </c>
      <c r="AE132" s="44"/>
      <c r="AF132" s="44"/>
      <c r="AG132" s="44"/>
      <c r="AH132" s="44"/>
      <c r="AI132" s="44"/>
      <c r="AJ132" s="44"/>
    </row>
    <row r="133" spans="14:36" x14ac:dyDescent="0.25">
      <c r="N133" t="s">
        <v>357</v>
      </c>
      <c r="O133" t="s">
        <v>358</v>
      </c>
      <c r="P133" t="s">
        <v>361</v>
      </c>
      <c r="Q133" t="s">
        <v>1</v>
      </c>
      <c r="R133">
        <f t="shared" ref="R133:R196" si="6">IF(AND(O133&lt;&gt;O132,O133&lt;&gt;""),R132+1,R132)</f>
        <v>15</v>
      </c>
      <c r="S133">
        <f t="shared" ref="S133:S196" ca="1" si="7">IF(R133=$Z$5,IF(AND(P133&lt;&gt;P132,P133&lt;&gt;""),S132+1,S132),S132)</f>
        <v>0</v>
      </c>
      <c r="T133">
        <f t="shared" ref="T133:T196" si="8">T132+1</f>
        <v>130</v>
      </c>
      <c r="U133" t="str">
        <f>IF($T133&lt;=Z$4,INDEX(TypicalCriticalitiesMAHBarrier[Barrier Family Description],MATCH($T133,TypicalCriticalitiesMAHBarrier[Barrier Family ID],0)),"")</f>
        <v/>
      </c>
      <c r="V133" t="str">
        <f ca="1">IF($T133&lt;=AA$4,INDEX(TypicalCriticalitiesMAHBarrier[Typical Components],MATCH($T133,TypicalCriticalitiesMAHBarrier[Column2],0)),"")</f>
        <v/>
      </c>
      <c r="W133" t="str">
        <f ca="1">IF($T133&lt;=AA$4,INDEX(TypicalCriticalitiesMAHBarrier[Typical Criticality],MATCH($T133,TypicalCriticalitiesMAHBarrier[Column2],0)),"")</f>
        <v/>
      </c>
      <c r="AE133" s="44"/>
      <c r="AF133" s="44"/>
      <c r="AG133" s="44"/>
      <c r="AH133" s="44"/>
      <c r="AI133" s="44"/>
      <c r="AJ133" s="44"/>
    </row>
    <row r="134" spans="14:36" x14ac:dyDescent="0.25">
      <c r="N134" t="s">
        <v>357</v>
      </c>
      <c r="O134" t="s">
        <v>358</v>
      </c>
      <c r="P134" t="s">
        <v>362</v>
      </c>
      <c r="Q134" t="s">
        <v>1</v>
      </c>
      <c r="R134">
        <f t="shared" si="6"/>
        <v>15</v>
      </c>
      <c r="S134">
        <f t="shared" ca="1" si="7"/>
        <v>0</v>
      </c>
      <c r="T134">
        <f t="shared" si="8"/>
        <v>131</v>
      </c>
      <c r="U134" t="str">
        <f>IF($T134&lt;=Z$4,INDEX(TypicalCriticalitiesMAHBarrier[Barrier Family Description],MATCH($T134,TypicalCriticalitiesMAHBarrier[Barrier Family ID],0)),"")</f>
        <v/>
      </c>
      <c r="V134" t="str">
        <f ca="1">IF($T134&lt;=AA$4,INDEX(TypicalCriticalitiesMAHBarrier[Typical Components],MATCH($T134,TypicalCriticalitiesMAHBarrier[Column2],0)),"")</f>
        <v/>
      </c>
      <c r="W134" t="str">
        <f ca="1">IF($T134&lt;=AA$4,INDEX(TypicalCriticalitiesMAHBarrier[Typical Criticality],MATCH($T134,TypicalCriticalitiesMAHBarrier[Column2],0)),"")</f>
        <v/>
      </c>
      <c r="AE134" s="44"/>
      <c r="AF134" s="44"/>
      <c r="AG134" s="44"/>
      <c r="AH134" s="44"/>
      <c r="AI134" s="44"/>
      <c r="AJ134" s="44"/>
    </row>
    <row r="135" spans="14:36" x14ac:dyDescent="0.25">
      <c r="N135" t="s">
        <v>357</v>
      </c>
      <c r="O135" t="s">
        <v>358</v>
      </c>
      <c r="P135" t="s">
        <v>363</v>
      </c>
      <c r="Q135" t="s">
        <v>0</v>
      </c>
      <c r="R135">
        <f t="shared" si="6"/>
        <v>15</v>
      </c>
      <c r="S135">
        <f t="shared" ca="1" si="7"/>
        <v>0</v>
      </c>
      <c r="T135">
        <f t="shared" si="8"/>
        <v>132</v>
      </c>
      <c r="U135" t="str">
        <f>IF($T135&lt;=Z$4,INDEX(TypicalCriticalitiesMAHBarrier[Barrier Family Description],MATCH($T135,TypicalCriticalitiesMAHBarrier[Barrier Family ID],0)),"")</f>
        <v/>
      </c>
      <c r="V135" t="str">
        <f ca="1">IF($T135&lt;=AA$4,INDEX(TypicalCriticalitiesMAHBarrier[Typical Components],MATCH($T135,TypicalCriticalitiesMAHBarrier[Column2],0)),"")</f>
        <v/>
      </c>
      <c r="W135" t="str">
        <f ca="1">IF($T135&lt;=AA$4,INDEX(TypicalCriticalitiesMAHBarrier[Typical Criticality],MATCH($T135,TypicalCriticalitiesMAHBarrier[Column2],0)),"")</f>
        <v/>
      </c>
      <c r="AE135" s="44"/>
      <c r="AF135" s="44"/>
      <c r="AG135" s="44"/>
      <c r="AH135" s="44"/>
      <c r="AI135" s="44"/>
      <c r="AJ135" s="44"/>
    </row>
    <row r="136" spans="14:36" x14ac:dyDescent="0.25">
      <c r="N136" t="s">
        <v>357</v>
      </c>
      <c r="O136" t="s">
        <v>358</v>
      </c>
      <c r="P136" t="s">
        <v>364</v>
      </c>
      <c r="Q136" t="s">
        <v>1</v>
      </c>
      <c r="R136">
        <f t="shared" si="6"/>
        <v>15</v>
      </c>
      <c r="S136">
        <f t="shared" ca="1" si="7"/>
        <v>0</v>
      </c>
      <c r="T136">
        <f t="shared" si="8"/>
        <v>133</v>
      </c>
      <c r="U136" t="str">
        <f>IF($T136&lt;=Z$4,INDEX(TypicalCriticalitiesMAHBarrier[Barrier Family Description],MATCH($T136,TypicalCriticalitiesMAHBarrier[Barrier Family ID],0)),"")</f>
        <v/>
      </c>
      <c r="V136" t="str">
        <f ca="1">IF($T136&lt;=AA$4,INDEX(TypicalCriticalitiesMAHBarrier[Typical Components],MATCH($T136,TypicalCriticalitiesMAHBarrier[Column2],0)),"")</f>
        <v/>
      </c>
      <c r="W136" t="str">
        <f ca="1">IF($T136&lt;=AA$4,INDEX(TypicalCriticalitiesMAHBarrier[Typical Criticality],MATCH($T136,TypicalCriticalitiesMAHBarrier[Column2],0)),"")</f>
        <v/>
      </c>
      <c r="AE136" s="44"/>
      <c r="AF136" s="44"/>
      <c r="AG136" s="44"/>
      <c r="AH136" s="44"/>
      <c r="AI136" s="44"/>
      <c r="AJ136" s="44"/>
    </row>
    <row r="137" spans="14:36" x14ac:dyDescent="0.25">
      <c r="N137" t="s">
        <v>357</v>
      </c>
      <c r="O137" t="s">
        <v>358</v>
      </c>
      <c r="P137" t="s">
        <v>365</v>
      </c>
      <c r="Q137" t="s">
        <v>0</v>
      </c>
      <c r="R137">
        <f t="shared" si="6"/>
        <v>15</v>
      </c>
      <c r="S137">
        <f t="shared" ca="1" si="7"/>
        <v>0</v>
      </c>
      <c r="T137">
        <f t="shared" si="8"/>
        <v>134</v>
      </c>
      <c r="U137" t="str">
        <f>IF($T137&lt;=Z$4,INDEX(TypicalCriticalitiesMAHBarrier[Barrier Family Description],MATCH($T137,TypicalCriticalitiesMAHBarrier[Barrier Family ID],0)),"")</f>
        <v/>
      </c>
      <c r="V137" t="str">
        <f ca="1">IF($T137&lt;=AA$4,INDEX(TypicalCriticalitiesMAHBarrier[Typical Components],MATCH($T137,TypicalCriticalitiesMAHBarrier[Column2],0)),"")</f>
        <v/>
      </c>
      <c r="W137" t="str">
        <f ca="1">IF($T137&lt;=AA$4,INDEX(TypicalCriticalitiesMAHBarrier[Typical Criticality],MATCH($T137,TypicalCriticalitiesMAHBarrier[Column2],0)),"")</f>
        <v/>
      </c>
      <c r="AE137" s="44"/>
      <c r="AF137" s="44"/>
      <c r="AG137" s="44"/>
      <c r="AH137" s="44"/>
      <c r="AI137" s="44"/>
      <c r="AJ137" s="44"/>
    </row>
    <row r="138" spans="14:36" x14ac:dyDescent="0.25">
      <c r="N138" t="s">
        <v>357</v>
      </c>
      <c r="O138" t="s">
        <v>358</v>
      </c>
      <c r="P138" t="s">
        <v>366</v>
      </c>
      <c r="Q138" t="s">
        <v>1</v>
      </c>
      <c r="R138">
        <f t="shared" si="6"/>
        <v>15</v>
      </c>
      <c r="S138">
        <f t="shared" ca="1" si="7"/>
        <v>0</v>
      </c>
      <c r="T138">
        <f t="shared" si="8"/>
        <v>135</v>
      </c>
      <c r="U138" t="str">
        <f>IF($T138&lt;=Z$4,INDEX(TypicalCriticalitiesMAHBarrier[Barrier Family Description],MATCH($T138,TypicalCriticalitiesMAHBarrier[Barrier Family ID],0)),"")</f>
        <v/>
      </c>
      <c r="V138" t="str">
        <f ca="1">IF($T138&lt;=AA$4,INDEX(TypicalCriticalitiesMAHBarrier[Typical Components],MATCH($T138,TypicalCriticalitiesMAHBarrier[Column2],0)),"")</f>
        <v/>
      </c>
      <c r="W138" t="str">
        <f ca="1">IF($T138&lt;=AA$4,INDEX(TypicalCriticalitiesMAHBarrier[Typical Criticality],MATCH($T138,TypicalCriticalitiesMAHBarrier[Column2],0)),"")</f>
        <v/>
      </c>
      <c r="AE138" s="44"/>
      <c r="AF138" s="44"/>
      <c r="AG138" s="44"/>
      <c r="AH138" s="44"/>
      <c r="AI138" s="44"/>
      <c r="AJ138" s="44"/>
    </row>
    <row r="139" spans="14:36" x14ac:dyDescent="0.25">
      <c r="N139" t="s">
        <v>357</v>
      </c>
      <c r="O139" t="s">
        <v>358</v>
      </c>
      <c r="P139" t="s">
        <v>367</v>
      </c>
      <c r="Q139" t="s">
        <v>0</v>
      </c>
      <c r="R139">
        <f t="shared" si="6"/>
        <v>15</v>
      </c>
      <c r="S139">
        <f t="shared" ca="1" si="7"/>
        <v>0</v>
      </c>
      <c r="T139">
        <f t="shared" si="8"/>
        <v>136</v>
      </c>
      <c r="U139" t="str">
        <f>IF($T139&lt;=Z$4,INDEX(TypicalCriticalitiesMAHBarrier[Barrier Family Description],MATCH($T139,TypicalCriticalitiesMAHBarrier[Barrier Family ID],0)),"")</f>
        <v/>
      </c>
      <c r="V139" t="str">
        <f ca="1">IF($T139&lt;=AA$4,INDEX(TypicalCriticalitiesMAHBarrier[Typical Components],MATCH($T139,TypicalCriticalitiesMAHBarrier[Column2],0)),"")</f>
        <v/>
      </c>
      <c r="W139" t="str">
        <f ca="1">IF($T139&lt;=AA$4,INDEX(TypicalCriticalitiesMAHBarrier[Typical Criticality],MATCH($T139,TypicalCriticalitiesMAHBarrier[Column2],0)),"")</f>
        <v/>
      </c>
      <c r="AE139" s="44"/>
      <c r="AF139" s="44"/>
      <c r="AG139" s="44"/>
      <c r="AH139" s="44"/>
      <c r="AI139" s="44"/>
      <c r="AJ139" s="44"/>
    </row>
    <row r="140" spans="14:36" x14ac:dyDescent="0.25">
      <c r="N140" t="s">
        <v>357</v>
      </c>
      <c r="O140" t="s">
        <v>358</v>
      </c>
      <c r="P140" t="s">
        <v>368</v>
      </c>
      <c r="Q140" t="s">
        <v>0</v>
      </c>
      <c r="R140">
        <f t="shared" si="6"/>
        <v>15</v>
      </c>
      <c r="S140">
        <f t="shared" ca="1" si="7"/>
        <v>0</v>
      </c>
      <c r="T140">
        <f t="shared" si="8"/>
        <v>137</v>
      </c>
      <c r="U140" t="str">
        <f>IF($T140&lt;=Z$4,INDEX(TypicalCriticalitiesMAHBarrier[Barrier Family Description],MATCH($T140,TypicalCriticalitiesMAHBarrier[Barrier Family ID],0)),"")</f>
        <v/>
      </c>
      <c r="V140" t="str">
        <f ca="1">IF($T140&lt;=AA$4,INDEX(TypicalCriticalitiesMAHBarrier[Typical Components],MATCH($T140,TypicalCriticalitiesMAHBarrier[Column2],0)),"")</f>
        <v/>
      </c>
      <c r="W140" t="str">
        <f ca="1">IF($T140&lt;=AA$4,INDEX(TypicalCriticalitiesMAHBarrier[Typical Criticality],MATCH($T140,TypicalCriticalitiesMAHBarrier[Column2],0)),"")</f>
        <v/>
      </c>
      <c r="AE140" s="44"/>
      <c r="AF140" s="44"/>
      <c r="AG140" s="44"/>
      <c r="AH140" s="44"/>
      <c r="AI140" s="44"/>
      <c r="AJ140" s="44"/>
    </row>
    <row r="141" spans="14:36" x14ac:dyDescent="0.25">
      <c r="N141" t="s">
        <v>357</v>
      </c>
      <c r="O141" t="s">
        <v>358</v>
      </c>
      <c r="P141" t="s">
        <v>369</v>
      </c>
      <c r="Q141" t="s">
        <v>1</v>
      </c>
      <c r="R141">
        <f t="shared" si="6"/>
        <v>15</v>
      </c>
      <c r="S141">
        <f t="shared" ca="1" si="7"/>
        <v>0</v>
      </c>
      <c r="T141">
        <f t="shared" si="8"/>
        <v>138</v>
      </c>
      <c r="U141" t="str">
        <f>IF($T141&lt;=Z$4,INDEX(TypicalCriticalitiesMAHBarrier[Barrier Family Description],MATCH($T141,TypicalCriticalitiesMAHBarrier[Barrier Family ID],0)),"")</f>
        <v/>
      </c>
      <c r="V141" t="str">
        <f ca="1">IF($T141&lt;=AA$4,INDEX(TypicalCriticalitiesMAHBarrier[Typical Components],MATCH($T141,TypicalCriticalitiesMAHBarrier[Column2],0)),"")</f>
        <v/>
      </c>
      <c r="W141" t="str">
        <f ca="1">IF($T141&lt;=AA$4,INDEX(TypicalCriticalitiesMAHBarrier[Typical Criticality],MATCH($T141,TypicalCriticalitiesMAHBarrier[Column2],0)),"")</f>
        <v/>
      </c>
      <c r="AE141" s="44"/>
      <c r="AF141" s="44"/>
      <c r="AG141" s="44"/>
      <c r="AH141" s="44"/>
      <c r="AI141" s="44"/>
      <c r="AJ141" s="44"/>
    </row>
    <row r="142" spans="14:36" x14ac:dyDescent="0.25">
      <c r="N142" t="s">
        <v>370</v>
      </c>
      <c r="O142" t="s">
        <v>371</v>
      </c>
      <c r="P142" t="s">
        <v>372</v>
      </c>
      <c r="Q142" t="s">
        <v>0</v>
      </c>
      <c r="R142">
        <f t="shared" si="6"/>
        <v>16</v>
      </c>
      <c r="S142">
        <f t="shared" ca="1" si="7"/>
        <v>0</v>
      </c>
      <c r="T142">
        <f t="shared" si="8"/>
        <v>139</v>
      </c>
      <c r="U142" t="str">
        <f>IF($T142&lt;=Z$4,INDEX(TypicalCriticalitiesMAHBarrier[Barrier Family Description],MATCH($T142,TypicalCriticalitiesMAHBarrier[Barrier Family ID],0)),"")</f>
        <v/>
      </c>
      <c r="V142" t="str">
        <f ca="1">IF($T142&lt;=AA$4,INDEX(TypicalCriticalitiesMAHBarrier[Typical Components],MATCH($T142,TypicalCriticalitiesMAHBarrier[Column2],0)),"")</f>
        <v/>
      </c>
      <c r="W142" t="str">
        <f ca="1">IF($T142&lt;=AA$4,INDEX(TypicalCriticalitiesMAHBarrier[Typical Criticality],MATCH($T142,TypicalCriticalitiesMAHBarrier[Column2],0)),"")</f>
        <v/>
      </c>
      <c r="AE142" s="44"/>
      <c r="AF142" s="44"/>
      <c r="AG142" s="44"/>
      <c r="AH142" s="44"/>
      <c r="AI142" s="44"/>
      <c r="AJ142" s="44"/>
    </row>
    <row r="143" spans="14:36" x14ac:dyDescent="0.25">
      <c r="N143" t="s">
        <v>370</v>
      </c>
      <c r="O143" t="s">
        <v>371</v>
      </c>
      <c r="P143" t="s">
        <v>373</v>
      </c>
      <c r="Q143" t="s">
        <v>0</v>
      </c>
      <c r="R143">
        <f t="shared" si="6"/>
        <v>16</v>
      </c>
      <c r="S143">
        <f t="shared" ca="1" si="7"/>
        <v>0</v>
      </c>
      <c r="T143">
        <f t="shared" si="8"/>
        <v>140</v>
      </c>
      <c r="U143" t="str">
        <f>IF($T143&lt;=Z$4,INDEX(TypicalCriticalitiesMAHBarrier[Barrier Family Description],MATCH($T143,TypicalCriticalitiesMAHBarrier[Barrier Family ID],0)),"")</f>
        <v/>
      </c>
      <c r="V143" t="str">
        <f ca="1">IF($T143&lt;=AA$4,INDEX(TypicalCriticalitiesMAHBarrier[Typical Components],MATCH($T143,TypicalCriticalitiesMAHBarrier[Column2],0)),"")</f>
        <v/>
      </c>
      <c r="W143" t="str">
        <f ca="1">IF($T143&lt;=AA$4,INDEX(TypicalCriticalitiesMAHBarrier[Typical Criticality],MATCH($T143,TypicalCriticalitiesMAHBarrier[Column2],0)),"")</f>
        <v/>
      </c>
      <c r="AE143" s="44"/>
      <c r="AF143" s="44"/>
      <c r="AG143" s="44"/>
      <c r="AH143" s="44"/>
      <c r="AI143" s="44"/>
      <c r="AJ143" s="44"/>
    </row>
    <row r="144" spans="14:36" x14ac:dyDescent="0.25">
      <c r="N144" t="s">
        <v>370</v>
      </c>
      <c r="O144" t="s">
        <v>371</v>
      </c>
      <c r="P144" t="s">
        <v>374</v>
      </c>
      <c r="Q144" t="s">
        <v>0</v>
      </c>
      <c r="R144">
        <f t="shared" si="6"/>
        <v>16</v>
      </c>
      <c r="S144">
        <f t="shared" ca="1" si="7"/>
        <v>0</v>
      </c>
      <c r="T144">
        <f t="shared" si="8"/>
        <v>141</v>
      </c>
      <c r="U144" t="str">
        <f>IF($T144&lt;=Z$4,INDEX(TypicalCriticalitiesMAHBarrier[Barrier Family Description],MATCH($T144,TypicalCriticalitiesMAHBarrier[Barrier Family ID],0)),"")</f>
        <v/>
      </c>
      <c r="V144" t="str">
        <f ca="1">IF($T144&lt;=AA$4,INDEX(TypicalCriticalitiesMAHBarrier[Typical Components],MATCH($T144,TypicalCriticalitiesMAHBarrier[Column2],0)),"")</f>
        <v/>
      </c>
      <c r="W144" t="str">
        <f ca="1">IF($T144&lt;=AA$4,INDEX(TypicalCriticalitiesMAHBarrier[Typical Criticality],MATCH($T144,TypicalCriticalitiesMAHBarrier[Column2],0)),"")</f>
        <v/>
      </c>
      <c r="AE144" s="44"/>
      <c r="AF144" s="44"/>
      <c r="AG144" s="44"/>
      <c r="AH144" s="44"/>
      <c r="AI144" s="44"/>
      <c r="AJ144" s="44"/>
    </row>
    <row r="145" spans="14:36" x14ac:dyDescent="0.25">
      <c r="N145" t="s">
        <v>370</v>
      </c>
      <c r="O145" t="s">
        <v>371</v>
      </c>
      <c r="P145" t="s">
        <v>375</v>
      </c>
      <c r="Q145" t="s">
        <v>0</v>
      </c>
      <c r="R145">
        <f t="shared" si="6"/>
        <v>16</v>
      </c>
      <c r="S145">
        <f t="shared" ca="1" si="7"/>
        <v>0</v>
      </c>
      <c r="T145">
        <f t="shared" si="8"/>
        <v>142</v>
      </c>
      <c r="U145" t="str">
        <f>IF($T145&lt;=Z$4,INDEX(TypicalCriticalitiesMAHBarrier[Barrier Family Description],MATCH($T145,TypicalCriticalitiesMAHBarrier[Barrier Family ID],0)),"")</f>
        <v/>
      </c>
      <c r="V145" t="str">
        <f ca="1">IF($T145&lt;=AA$4,INDEX(TypicalCriticalitiesMAHBarrier[Typical Components],MATCH($T145,TypicalCriticalitiesMAHBarrier[Column2],0)),"")</f>
        <v/>
      </c>
      <c r="W145" t="str">
        <f ca="1">IF($T145&lt;=AA$4,INDEX(TypicalCriticalitiesMAHBarrier[Typical Criticality],MATCH($T145,TypicalCriticalitiesMAHBarrier[Column2],0)),"")</f>
        <v/>
      </c>
      <c r="AE145" s="44"/>
      <c r="AF145" s="44"/>
      <c r="AG145" s="44"/>
      <c r="AH145" s="44"/>
      <c r="AI145" s="44"/>
      <c r="AJ145" s="44"/>
    </row>
    <row r="146" spans="14:36" x14ac:dyDescent="0.25">
      <c r="N146" t="s">
        <v>370</v>
      </c>
      <c r="O146" t="s">
        <v>371</v>
      </c>
      <c r="P146" t="s">
        <v>376</v>
      </c>
      <c r="Q146" t="s">
        <v>1</v>
      </c>
      <c r="R146">
        <f t="shared" si="6"/>
        <v>16</v>
      </c>
      <c r="S146">
        <f t="shared" ca="1" si="7"/>
        <v>0</v>
      </c>
      <c r="T146">
        <f t="shared" si="8"/>
        <v>143</v>
      </c>
      <c r="U146" t="str">
        <f>IF($T146&lt;=Z$4,INDEX(TypicalCriticalitiesMAHBarrier[Barrier Family Description],MATCH($T146,TypicalCriticalitiesMAHBarrier[Barrier Family ID],0)),"")</f>
        <v/>
      </c>
      <c r="V146" t="str">
        <f ca="1">IF($T146&lt;=AA$4,INDEX(TypicalCriticalitiesMAHBarrier[Typical Components],MATCH($T146,TypicalCriticalitiesMAHBarrier[Column2],0)),"")</f>
        <v/>
      </c>
      <c r="W146" t="str">
        <f ca="1">IF($T146&lt;=AA$4,INDEX(TypicalCriticalitiesMAHBarrier[Typical Criticality],MATCH($T146,TypicalCriticalitiesMAHBarrier[Column2],0)),"")</f>
        <v/>
      </c>
      <c r="AE146" s="44"/>
      <c r="AF146" s="44"/>
      <c r="AG146" s="44"/>
      <c r="AH146" s="44"/>
      <c r="AI146" s="44"/>
      <c r="AJ146" s="44"/>
    </row>
    <row r="147" spans="14:36" x14ac:dyDescent="0.25">
      <c r="N147" t="s">
        <v>370</v>
      </c>
      <c r="O147" t="s">
        <v>371</v>
      </c>
      <c r="P147" t="s">
        <v>377</v>
      </c>
      <c r="Q147" t="s">
        <v>0</v>
      </c>
      <c r="R147">
        <f t="shared" si="6"/>
        <v>16</v>
      </c>
      <c r="S147">
        <f t="shared" ca="1" si="7"/>
        <v>0</v>
      </c>
      <c r="T147">
        <f t="shared" si="8"/>
        <v>144</v>
      </c>
      <c r="U147" t="str">
        <f>IF($T147&lt;=Z$4,INDEX(TypicalCriticalitiesMAHBarrier[Barrier Family Description],MATCH($T147,TypicalCriticalitiesMAHBarrier[Barrier Family ID],0)),"")</f>
        <v/>
      </c>
      <c r="V147" t="str">
        <f ca="1">IF($T147&lt;=AA$4,INDEX(TypicalCriticalitiesMAHBarrier[Typical Components],MATCH($T147,TypicalCriticalitiesMAHBarrier[Column2],0)),"")</f>
        <v/>
      </c>
      <c r="W147" t="str">
        <f ca="1">IF($T147&lt;=AA$4,INDEX(TypicalCriticalitiesMAHBarrier[Typical Criticality],MATCH($T147,TypicalCriticalitiesMAHBarrier[Column2],0)),"")</f>
        <v/>
      </c>
      <c r="AE147" s="44"/>
      <c r="AF147" s="44"/>
      <c r="AG147" s="44"/>
      <c r="AH147" s="44"/>
      <c r="AI147" s="44"/>
      <c r="AJ147" s="44"/>
    </row>
    <row r="148" spans="14:36" x14ac:dyDescent="0.25">
      <c r="N148" t="s">
        <v>370</v>
      </c>
      <c r="O148" t="s">
        <v>371</v>
      </c>
      <c r="P148" t="s">
        <v>378</v>
      </c>
      <c r="Q148" t="s">
        <v>0</v>
      </c>
      <c r="R148">
        <f t="shared" si="6"/>
        <v>16</v>
      </c>
      <c r="S148">
        <f t="shared" ca="1" si="7"/>
        <v>0</v>
      </c>
      <c r="T148">
        <f t="shared" si="8"/>
        <v>145</v>
      </c>
      <c r="U148" t="str">
        <f>IF($T148&lt;=Z$4,INDEX(TypicalCriticalitiesMAHBarrier[Barrier Family Description],MATCH($T148,TypicalCriticalitiesMAHBarrier[Barrier Family ID],0)),"")</f>
        <v/>
      </c>
      <c r="V148" t="str">
        <f ca="1">IF($T148&lt;=AA$4,INDEX(TypicalCriticalitiesMAHBarrier[Typical Components],MATCH($T148,TypicalCriticalitiesMAHBarrier[Column2],0)),"")</f>
        <v/>
      </c>
      <c r="W148" t="str">
        <f ca="1">IF($T148&lt;=AA$4,INDEX(TypicalCriticalitiesMAHBarrier[Typical Criticality],MATCH($T148,TypicalCriticalitiesMAHBarrier[Column2],0)),"")</f>
        <v/>
      </c>
      <c r="AE148" s="44"/>
      <c r="AF148" s="44"/>
      <c r="AG148" s="44"/>
      <c r="AH148" s="44"/>
      <c r="AI148" s="44"/>
      <c r="AJ148" s="44"/>
    </row>
    <row r="149" spans="14:36" x14ac:dyDescent="0.25">
      <c r="N149" t="s">
        <v>370</v>
      </c>
      <c r="O149" t="s">
        <v>371</v>
      </c>
      <c r="P149" t="s">
        <v>379</v>
      </c>
      <c r="Q149" t="s">
        <v>1</v>
      </c>
      <c r="R149">
        <f t="shared" si="6"/>
        <v>16</v>
      </c>
      <c r="S149">
        <f t="shared" ca="1" si="7"/>
        <v>0</v>
      </c>
      <c r="T149">
        <f t="shared" si="8"/>
        <v>146</v>
      </c>
      <c r="U149" t="str">
        <f>IF($T149&lt;=Z$4,INDEX(TypicalCriticalitiesMAHBarrier[Barrier Family Description],MATCH($T149,TypicalCriticalitiesMAHBarrier[Barrier Family ID],0)),"")</f>
        <v/>
      </c>
      <c r="V149" t="str">
        <f ca="1">IF($T149&lt;=AA$4,INDEX(TypicalCriticalitiesMAHBarrier[Typical Components],MATCH($T149,TypicalCriticalitiesMAHBarrier[Column2],0)),"")</f>
        <v/>
      </c>
      <c r="W149" t="str">
        <f ca="1">IF($T149&lt;=AA$4,INDEX(TypicalCriticalitiesMAHBarrier[Typical Criticality],MATCH($T149,TypicalCriticalitiesMAHBarrier[Column2],0)),"")</f>
        <v/>
      </c>
      <c r="AE149" s="44"/>
      <c r="AF149" s="44"/>
      <c r="AG149" s="44"/>
      <c r="AH149" s="44"/>
      <c r="AI149" s="44"/>
      <c r="AJ149" s="44"/>
    </row>
    <row r="150" spans="14:36" x14ac:dyDescent="0.25">
      <c r="N150" t="s">
        <v>370</v>
      </c>
      <c r="O150" t="s">
        <v>371</v>
      </c>
      <c r="P150" t="s">
        <v>380</v>
      </c>
      <c r="Q150" t="s">
        <v>2</v>
      </c>
      <c r="R150">
        <f t="shared" si="6"/>
        <v>16</v>
      </c>
      <c r="S150">
        <f t="shared" ca="1" si="7"/>
        <v>0</v>
      </c>
      <c r="T150">
        <f t="shared" si="8"/>
        <v>147</v>
      </c>
      <c r="U150" t="str">
        <f>IF($T150&lt;=Z$4,INDEX(TypicalCriticalitiesMAHBarrier[Barrier Family Description],MATCH($T150,TypicalCriticalitiesMAHBarrier[Barrier Family ID],0)),"")</f>
        <v/>
      </c>
      <c r="V150" t="str">
        <f ca="1">IF($T150&lt;=AA$4,INDEX(TypicalCriticalitiesMAHBarrier[Typical Components],MATCH($T150,TypicalCriticalitiesMAHBarrier[Column2],0)),"")</f>
        <v/>
      </c>
      <c r="W150" t="str">
        <f ca="1">IF($T150&lt;=AA$4,INDEX(TypicalCriticalitiesMAHBarrier[Typical Criticality],MATCH($T150,TypicalCriticalitiesMAHBarrier[Column2],0)),"")</f>
        <v/>
      </c>
      <c r="AE150" s="44"/>
      <c r="AF150" s="44"/>
      <c r="AG150" s="44"/>
      <c r="AH150" s="44"/>
      <c r="AI150" s="44"/>
      <c r="AJ150" s="44"/>
    </row>
    <row r="151" spans="14:36" x14ac:dyDescent="0.25">
      <c r="N151" t="s">
        <v>370</v>
      </c>
      <c r="O151" t="s">
        <v>371</v>
      </c>
      <c r="P151" t="s">
        <v>381</v>
      </c>
      <c r="Q151" t="s">
        <v>0</v>
      </c>
      <c r="R151">
        <f t="shared" si="6"/>
        <v>16</v>
      </c>
      <c r="S151">
        <f t="shared" ca="1" si="7"/>
        <v>0</v>
      </c>
      <c r="T151">
        <f t="shared" si="8"/>
        <v>148</v>
      </c>
      <c r="U151" t="str">
        <f>IF($T151&lt;=Z$4,INDEX(TypicalCriticalitiesMAHBarrier[Barrier Family Description],MATCH($T151,TypicalCriticalitiesMAHBarrier[Barrier Family ID],0)),"")</f>
        <v/>
      </c>
      <c r="V151" t="str">
        <f ca="1">IF($T151&lt;=AA$4,INDEX(TypicalCriticalitiesMAHBarrier[Typical Components],MATCH($T151,TypicalCriticalitiesMAHBarrier[Column2],0)),"")</f>
        <v/>
      </c>
      <c r="W151" t="str">
        <f ca="1">IF($T151&lt;=AA$4,INDEX(TypicalCriticalitiesMAHBarrier[Typical Criticality],MATCH($T151,TypicalCriticalitiesMAHBarrier[Column2],0)),"")</f>
        <v/>
      </c>
      <c r="AE151" s="44"/>
      <c r="AF151" s="44"/>
      <c r="AG151" s="44"/>
      <c r="AH151" s="44"/>
      <c r="AI151" s="44"/>
      <c r="AJ151" s="44"/>
    </row>
    <row r="152" spans="14:36" x14ac:dyDescent="0.25">
      <c r="N152" t="s">
        <v>370</v>
      </c>
      <c r="O152" t="s">
        <v>371</v>
      </c>
      <c r="P152" t="s">
        <v>382</v>
      </c>
      <c r="Q152" t="s">
        <v>0</v>
      </c>
      <c r="R152">
        <f t="shared" si="6"/>
        <v>16</v>
      </c>
      <c r="S152">
        <f t="shared" ca="1" si="7"/>
        <v>0</v>
      </c>
      <c r="T152">
        <f t="shared" si="8"/>
        <v>149</v>
      </c>
      <c r="U152" t="str">
        <f>IF($T152&lt;=Z$4,INDEX(TypicalCriticalitiesMAHBarrier[Barrier Family Description],MATCH($T152,TypicalCriticalitiesMAHBarrier[Barrier Family ID],0)),"")</f>
        <v/>
      </c>
      <c r="V152" t="str">
        <f ca="1">IF($T152&lt;=AA$4,INDEX(TypicalCriticalitiesMAHBarrier[Typical Components],MATCH($T152,TypicalCriticalitiesMAHBarrier[Column2],0)),"")</f>
        <v/>
      </c>
      <c r="W152" t="str">
        <f ca="1">IF($T152&lt;=AA$4,INDEX(TypicalCriticalitiesMAHBarrier[Typical Criticality],MATCH($T152,TypicalCriticalitiesMAHBarrier[Column2],0)),"")</f>
        <v/>
      </c>
      <c r="AE152" s="44"/>
      <c r="AF152" s="44"/>
      <c r="AG152" s="44"/>
      <c r="AH152" s="44"/>
      <c r="AI152" s="44"/>
      <c r="AJ152" s="44"/>
    </row>
    <row r="153" spans="14:36" x14ac:dyDescent="0.25">
      <c r="N153" t="s">
        <v>370</v>
      </c>
      <c r="O153" t="s">
        <v>371</v>
      </c>
      <c r="P153" t="s">
        <v>383</v>
      </c>
      <c r="Q153" t="s">
        <v>1</v>
      </c>
      <c r="R153">
        <f t="shared" si="6"/>
        <v>16</v>
      </c>
      <c r="S153">
        <f t="shared" ca="1" si="7"/>
        <v>0</v>
      </c>
      <c r="T153">
        <f t="shared" si="8"/>
        <v>150</v>
      </c>
      <c r="U153" t="str">
        <f>IF($T153&lt;=Z$4,INDEX(TypicalCriticalitiesMAHBarrier[Barrier Family Description],MATCH($T153,TypicalCriticalitiesMAHBarrier[Barrier Family ID],0)),"")</f>
        <v/>
      </c>
      <c r="V153" t="str">
        <f ca="1">IF($T153&lt;=AA$4,INDEX(TypicalCriticalitiesMAHBarrier[Typical Components],MATCH($T153,TypicalCriticalitiesMAHBarrier[Column2],0)),"")</f>
        <v/>
      </c>
      <c r="W153" t="str">
        <f ca="1">IF($T153&lt;=AA$4,INDEX(TypicalCriticalitiesMAHBarrier[Typical Criticality],MATCH($T153,TypicalCriticalitiesMAHBarrier[Column2],0)),"")</f>
        <v/>
      </c>
      <c r="AE153" s="44"/>
      <c r="AF153" s="44"/>
      <c r="AG153" s="44"/>
      <c r="AH153" s="44"/>
      <c r="AI153" s="44"/>
      <c r="AJ153" s="44"/>
    </row>
    <row r="154" spans="14:36" x14ac:dyDescent="0.25">
      <c r="N154" t="s">
        <v>370</v>
      </c>
      <c r="O154" t="s">
        <v>371</v>
      </c>
      <c r="P154" t="s">
        <v>384</v>
      </c>
      <c r="Q154" t="s">
        <v>0</v>
      </c>
      <c r="R154">
        <f t="shared" si="6"/>
        <v>16</v>
      </c>
      <c r="S154">
        <f t="shared" ca="1" si="7"/>
        <v>0</v>
      </c>
      <c r="T154">
        <f t="shared" si="8"/>
        <v>151</v>
      </c>
      <c r="U154" t="str">
        <f>IF($T154&lt;=Z$4,INDEX(TypicalCriticalitiesMAHBarrier[Barrier Family Description],MATCH($T154,TypicalCriticalitiesMAHBarrier[Barrier Family ID],0)),"")</f>
        <v/>
      </c>
      <c r="V154" t="str">
        <f ca="1">IF($T154&lt;=AA$4,INDEX(TypicalCriticalitiesMAHBarrier[Typical Components],MATCH($T154,TypicalCriticalitiesMAHBarrier[Column2],0)),"")</f>
        <v/>
      </c>
      <c r="W154" t="str">
        <f ca="1">IF($T154&lt;=AA$4,INDEX(TypicalCriticalitiesMAHBarrier[Typical Criticality],MATCH($T154,TypicalCriticalitiesMAHBarrier[Column2],0)),"")</f>
        <v/>
      </c>
      <c r="AE154" s="44"/>
      <c r="AF154" s="44"/>
      <c r="AG154" s="44"/>
      <c r="AH154" s="44"/>
      <c r="AI154" s="44"/>
      <c r="AJ154" s="44"/>
    </row>
    <row r="155" spans="14:36" x14ac:dyDescent="0.25">
      <c r="N155" t="s">
        <v>370</v>
      </c>
      <c r="O155" t="s">
        <v>371</v>
      </c>
      <c r="P155" t="s">
        <v>385</v>
      </c>
      <c r="Q155" t="s">
        <v>0</v>
      </c>
      <c r="R155">
        <f t="shared" si="6"/>
        <v>16</v>
      </c>
      <c r="S155">
        <f t="shared" ca="1" si="7"/>
        <v>0</v>
      </c>
      <c r="T155">
        <f t="shared" si="8"/>
        <v>152</v>
      </c>
      <c r="U155" t="str">
        <f>IF($T155&lt;=Z$4,INDEX(TypicalCriticalitiesMAHBarrier[Barrier Family Description],MATCH($T155,TypicalCriticalitiesMAHBarrier[Barrier Family ID],0)),"")</f>
        <v/>
      </c>
      <c r="V155" t="str">
        <f ca="1">IF($T155&lt;=AA$4,INDEX(TypicalCriticalitiesMAHBarrier[Typical Components],MATCH($T155,TypicalCriticalitiesMAHBarrier[Column2],0)),"")</f>
        <v/>
      </c>
      <c r="W155" t="str">
        <f ca="1">IF($T155&lt;=AA$4,INDEX(TypicalCriticalitiesMAHBarrier[Typical Criticality],MATCH($T155,TypicalCriticalitiesMAHBarrier[Column2],0)),"")</f>
        <v/>
      </c>
      <c r="AE155" s="44"/>
      <c r="AF155" s="44"/>
      <c r="AG155" s="44"/>
      <c r="AH155" s="44"/>
      <c r="AI155" s="44"/>
      <c r="AJ155" s="44"/>
    </row>
    <row r="156" spans="14:36" x14ac:dyDescent="0.25">
      <c r="N156" t="s">
        <v>370</v>
      </c>
      <c r="O156" t="s">
        <v>371</v>
      </c>
      <c r="P156" t="s">
        <v>386</v>
      </c>
      <c r="Q156" t="s">
        <v>0</v>
      </c>
      <c r="R156">
        <f t="shared" si="6"/>
        <v>16</v>
      </c>
      <c r="S156">
        <f t="shared" ca="1" si="7"/>
        <v>0</v>
      </c>
      <c r="T156">
        <f t="shared" si="8"/>
        <v>153</v>
      </c>
      <c r="U156" t="str">
        <f>IF($T156&lt;=Z$4,INDEX(TypicalCriticalitiesMAHBarrier[Barrier Family Description],MATCH($T156,TypicalCriticalitiesMAHBarrier[Barrier Family ID],0)),"")</f>
        <v/>
      </c>
      <c r="V156" t="str">
        <f ca="1">IF($T156&lt;=AA$4,INDEX(TypicalCriticalitiesMAHBarrier[Typical Components],MATCH($T156,TypicalCriticalitiesMAHBarrier[Column2],0)),"")</f>
        <v/>
      </c>
      <c r="W156" t="str">
        <f ca="1">IF($T156&lt;=AA$4,INDEX(TypicalCriticalitiesMAHBarrier[Typical Criticality],MATCH($T156,TypicalCriticalitiesMAHBarrier[Column2],0)),"")</f>
        <v/>
      </c>
      <c r="AE156" s="44"/>
      <c r="AF156" s="44"/>
      <c r="AG156" s="44"/>
      <c r="AH156" s="44"/>
      <c r="AI156" s="44"/>
      <c r="AJ156" s="44"/>
    </row>
    <row r="157" spans="14:36" x14ac:dyDescent="0.25">
      <c r="N157" t="s">
        <v>370</v>
      </c>
      <c r="O157" t="s">
        <v>371</v>
      </c>
      <c r="P157" t="s">
        <v>387</v>
      </c>
      <c r="Q157" t="s">
        <v>0</v>
      </c>
      <c r="R157">
        <f t="shared" si="6"/>
        <v>16</v>
      </c>
      <c r="S157">
        <f t="shared" ca="1" si="7"/>
        <v>0</v>
      </c>
      <c r="T157">
        <f t="shared" si="8"/>
        <v>154</v>
      </c>
      <c r="U157" t="str">
        <f>IF($T157&lt;=Z$4,INDEX(TypicalCriticalitiesMAHBarrier[Barrier Family Description],MATCH($T157,TypicalCriticalitiesMAHBarrier[Barrier Family ID],0)),"")</f>
        <v/>
      </c>
      <c r="V157" t="str">
        <f ca="1">IF($T157&lt;=AA$4,INDEX(TypicalCriticalitiesMAHBarrier[Typical Components],MATCH($T157,TypicalCriticalitiesMAHBarrier[Column2],0)),"")</f>
        <v/>
      </c>
      <c r="W157" t="str">
        <f ca="1">IF($T157&lt;=AA$4,INDEX(TypicalCriticalitiesMAHBarrier[Typical Criticality],MATCH($T157,TypicalCriticalitiesMAHBarrier[Column2],0)),"")</f>
        <v/>
      </c>
      <c r="AE157" s="44"/>
      <c r="AF157" s="44"/>
      <c r="AG157" s="44"/>
      <c r="AH157" s="44"/>
      <c r="AI157" s="44"/>
      <c r="AJ157" s="44"/>
    </row>
    <row r="158" spans="14:36" x14ac:dyDescent="0.25">
      <c r="N158" t="s">
        <v>370</v>
      </c>
      <c r="O158" t="s">
        <v>371</v>
      </c>
      <c r="P158" t="s">
        <v>388</v>
      </c>
      <c r="Q158" t="s">
        <v>389</v>
      </c>
      <c r="R158">
        <f t="shared" si="6"/>
        <v>16</v>
      </c>
      <c r="S158">
        <f t="shared" ca="1" si="7"/>
        <v>0</v>
      </c>
      <c r="T158">
        <f t="shared" si="8"/>
        <v>155</v>
      </c>
      <c r="U158" t="str">
        <f>IF($T158&lt;=Z$4,INDEX(TypicalCriticalitiesMAHBarrier[Barrier Family Description],MATCH($T158,TypicalCriticalitiesMAHBarrier[Barrier Family ID],0)),"")</f>
        <v/>
      </c>
      <c r="V158" t="str">
        <f ca="1">IF($T158&lt;=AA$4,INDEX(TypicalCriticalitiesMAHBarrier[Typical Components],MATCH($T158,TypicalCriticalitiesMAHBarrier[Column2],0)),"")</f>
        <v/>
      </c>
      <c r="W158" t="str">
        <f ca="1">IF($T158&lt;=AA$4,INDEX(TypicalCriticalitiesMAHBarrier[Typical Criticality],MATCH($T158,TypicalCriticalitiesMAHBarrier[Column2],0)),"")</f>
        <v/>
      </c>
      <c r="AE158" s="44"/>
      <c r="AF158" s="44"/>
      <c r="AG158" s="44"/>
      <c r="AH158" s="44"/>
      <c r="AI158" s="44"/>
      <c r="AJ158" s="44"/>
    </row>
    <row r="159" spans="14:36" x14ac:dyDescent="0.25">
      <c r="N159" t="s">
        <v>370</v>
      </c>
      <c r="O159" t="s">
        <v>371</v>
      </c>
      <c r="P159" t="s">
        <v>390</v>
      </c>
      <c r="Q159" t="s">
        <v>1</v>
      </c>
      <c r="R159">
        <f t="shared" si="6"/>
        <v>16</v>
      </c>
      <c r="S159">
        <f t="shared" ca="1" si="7"/>
        <v>0</v>
      </c>
      <c r="T159">
        <f t="shared" si="8"/>
        <v>156</v>
      </c>
      <c r="U159" t="str">
        <f>IF($T159&lt;=Z$4,INDEX(TypicalCriticalitiesMAHBarrier[Barrier Family Description],MATCH($T159,TypicalCriticalitiesMAHBarrier[Barrier Family ID],0)),"")</f>
        <v/>
      </c>
      <c r="V159" t="str">
        <f ca="1">IF($T159&lt;=AA$4,INDEX(TypicalCriticalitiesMAHBarrier[Typical Components],MATCH($T159,TypicalCriticalitiesMAHBarrier[Column2],0)),"")</f>
        <v/>
      </c>
      <c r="W159" t="str">
        <f ca="1">IF($T159&lt;=AA$4,INDEX(TypicalCriticalitiesMAHBarrier[Typical Criticality],MATCH($T159,TypicalCriticalitiesMAHBarrier[Column2],0)),"")</f>
        <v/>
      </c>
      <c r="AE159" s="44"/>
      <c r="AF159" s="44"/>
      <c r="AG159" s="44"/>
      <c r="AH159" s="44"/>
      <c r="AI159" s="44"/>
      <c r="AJ159" s="44"/>
    </row>
    <row r="160" spans="14:36" x14ac:dyDescent="0.25">
      <c r="N160" t="s">
        <v>370</v>
      </c>
      <c r="O160" t="s">
        <v>371</v>
      </c>
      <c r="P160" t="s">
        <v>391</v>
      </c>
      <c r="Q160" t="s">
        <v>0</v>
      </c>
      <c r="R160">
        <f t="shared" si="6"/>
        <v>16</v>
      </c>
      <c r="S160">
        <f t="shared" ca="1" si="7"/>
        <v>0</v>
      </c>
      <c r="T160">
        <f t="shared" si="8"/>
        <v>157</v>
      </c>
      <c r="U160" t="str">
        <f>IF($T160&lt;=Z$4,INDEX(TypicalCriticalitiesMAHBarrier[Barrier Family Description],MATCH($T160,TypicalCriticalitiesMAHBarrier[Barrier Family ID],0)),"")</f>
        <v/>
      </c>
      <c r="V160" t="str">
        <f ca="1">IF($T160&lt;=AA$4,INDEX(TypicalCriticalitiesMAHBarrier[Typical Components],MATCH($T160,TypicalCriticalitiesMAHBarrier[Column2],0)),"")</f>
        <v/>
      </c>
      <c r="W160" t="str">
        <f ca="1">IF($T160&lt;=AA$4,INDEX(TypicalCriticalitiesMAHBarrier[Typical Criticality],MATCH($T160,TypicalCriticalitiesMAHBarrier[Column2],0)),"")</f>
        <v/>
      </c>
      <c r="AE160" s="44"/>
      <c r="AF160" s="44"/>
      <c r="AG160" s="44"/>
      <c r="AH160" s="44"/>
      <c r="AI160" s="44"/>
      <c r="AJ160" s="44"/>
    </row>
    <row r="161" spans="14:36" x14ac:dyDescent="0.25">
      <c r="N161" t="s">
        <v>370</v>
      </c>
      <c r="O161" t="s">
        <v>371</v>
      </c>
      <c r="P161" t="s">
        <v>392</v>
      </c>
      <c r="Q161" t="s">
        <v>0</v>
      </c>
      <c r="R161">
        <f t="shared" si="6"/>
        <v>16</v>
      </c>
      <c r="S161">
        <f t="shared" ca="1" si="7"/>
        <v>0</v>
      </c>
      <c r="T161">
        <f t="shared" si="8"/>
        <v>158</v>
      </c>
      <c r="U161" t="str">
        <f>IF($T161&lt;=Z$4,INDEX(TypicalCriticalitiesMAHBarrier[Barrier Family Description],MATCH($T161,TypicalCriticalitiesMAHBarrier[Barrier Family ID],0)),"")</f>
        <v/>
      </c>
      <c r="V161" t="str">
        <f ca="1">IF($T161&lt;=AA$4,INDEX(TypicalCriticalitiesMAHBarrier[Typical Components],MATCH($T161,TypicalCriticalitiesMAHBarrier[Column2],0)),"")</f>
        <v/>
      </c>
      <c r="W161" t="str">
        <f ca="1">IF($T161&lt;=AA$4,INDEX(TypicalCriticalitiesMAHBarrier[Typical Criticality],MATCH($T161,TypicalCriticalitiesMAHBarrier[Column2],0)),"")</f>
        <v/>
      </c>
      <c r="AE161" s="44"/>
      <c r="AF161" s="44"/>
      <c r="AG161" s="44"/>
      <c r="AH161" s="44"/>
      <c r="AI161" s="44"/>
      <c r="AJ161" s="44"/>
    </row>
    <row r="162" spans="14:36" x14ac:dyDescent="0.25">
      <c r="N162" t="s">
        <v>370</v>
      </c>
      <c r="O162" t="s">
        <v>371</v>
      </c>
      <c r="P162" t="s">
        <v>393</v>
      </c>
      <c r="Q162" t="s">
        <v>2</v>
      </c>
      <c r="R162">
        <f t="shared" si="6"/>
        <v>16</v>
      </c>
      <c r="S162">
        <f t="shared" ca="1" si="7"/>
        <v>0</v>
      </c>
      <c r="T162">
        <f t="shared" si="8"/>
        <v>159</v>
      </c>
      <c r="U162" t="str">
        <f>IF($T162&lt;=Z$4,INDEX(TypicalCriticalitiesMAHBarrier[Barrier Family Description],MATCH($T162,TypicalCriticalitiesMAHBarrier[Barrier Family ID],0)),"")</f>
        <v/>
      </c>
      <c r="V162" t="str">
        <f ca="1">IF($T162&lt;=AA$4,INDEX(TypicalCriticalitiesMAHBarrier[Typical Components],MATCH($T162,TypicalCriticalitiesMAHBarrier[Column2],0)),"")</f>
        <v/>
      </c>
      <c r="W162" t="str">
        <f ca="1">IF($T162&lt;=AA$4,INDEX(TypicalCriticalitiesMAHBarrier[Typical Criticality],MATCH($T162,TypicalCriticalitiesMAHBarrier[Column2],0)),"")</f>
        <v/>
      </c>
      <c r="AE162" s="44"/>
      <c r="AF162" s="44"/>
      <c r="AG162" s="44"/>
      <c r="AH162" s="44"/>
      <c r="AI162" s="44"/>
      <c r="AJ162" s="44"/>
    </row>
    <row r="163" spans="14:36" x14ac:dyDescent="0.25">
      <c r="N163" t="s">
        <v>370</v>
      </c>
      <c r="O163" t="s">
        <v>371</v>
      </c>
      <c r="P163" t="s">
        <v>394</v>
      </c>
      <c r="Q163" t="s">
        <v>395</v>
      </c>
      <c r="R163">
        <f t="shared" si="6"/>
        <v>16</v>
      </c>
      <c r="S163">
        <f t="shared" ca="1" si="7"/>
        <v>0</v>
      </c>
      <c r="T163">
        <f t="shared" si="8"/>
        <v>160</v>
      </c>
      <c r="U163" t="str">
        <f>IF($T163&lt;=Z$4,INDEX(TypicalCriticalitiesMAHBarrier[Barrier Family Description],MATCH($T163,TypicalCriticalitiesMAHBarrier[Barrier Family ID],0)),"")</f>
        <v/>
      </c>
      <c r="V163" t="str">
        <f ca="1">IF($T163&lt;=AA$4,INDEX(TypicalCriticalitiesMAHBarrier[Typical Components],MATCH($T163,TypicalCriticalitiesMAHBarrier[Column2],0)),"")</f>
        <v/>
      </c>
      <c r="W163" t="str">
        <f ca="1">IF($T163&lt;=AA$4,INDEX(TypicalCriticalitiesMAHBarrier[Typical Criticality],MATCH($T163,TypicalCriticalitiesMAHBarrier[Column2],0)),"")</f>
        <v/>
      </c>
      <c r="AE163" s="44"/>
      <c r="AF163" s="44"/>
      <c r="AG163" s="44"/>
      <c r="AH163" s="44"/>
      <c r="AI163" s="44"/>
      <c r="AJ163" s="44"/>
    </row>
    <row r="164" spans="14:36" x14ac:dyDescent="0.25">
      <c r="N164" t="s">
        <v>396</v>
      </c>
      <c r="O164" t="s">
        <v>397</v>
      </c>
      <c r="P164" t="s">
        <v>398</v>
      </c>
      <c r="Q164" t="s">
        <v>0</v>
      </c>
      <c r="R164">
        <f t="shared" si="6"/>
        <v>17</v>
      </c>
      <c r="S164">
        <f t="shared" ca="1" si="7"/>
        <v>0</v>
      </c>
      <c r="T164">
        <f t="shared" si="8"/>
        <v>161</v>
      </c>
      <c r="U164" t="str">
        <f>IF($T164&lt;=Z$4,INDEX(TypicalCriticalitiesMAHBarrier[Barrier Family Description],MATCH($T164,TypicalCriticalitiesMAHBarrier[Barrier Family ID],0)),"")</f>
        <v/>
      </c>
      <c r="V164" t="str">
        <f ca="1">IF($T164&lt;=AA$4,INDEX(TypicalCriticalitiesMAHBarrier[Typical Components],MATCH($T164,TypicalCriticalitiesMAHBarrier[Column2],0)),"")</f>
        <v/>
      </c>
      <c r="W164" t="str">
        <f ca="1">IF($T164&lt;=AA$4,INDEX(TypicalCriticalitiesMAHBarrier[Typical Criticality],MATCH($T164,TypicalCriticalitiesMAHBarrier[Column2],0)),"")</f>
        <v/>
      </c>
      <c r="AE164" s="44"/>
      <c r="AF164" s="44"/>
      <c r="AG164" s="44"/>
      <c r="AH164" s="44"/>
      <c r="AI164" s="44"/>
      <c r="AJ164" s="44"/>
    </row>
    <row r="165" spans="14:36" x14ac:dyDescent="0.25">
      <c r="N165" t="s">
        <v>396</v>
      </c>
      <c r="O165" t="s">
        <v>397</v>
      </c>
      <c r="P165" t="s">
        <v>399</v>
      </c>
      <c r="Q165" t="s">
        <v>1</v>
      </c>
      <c r="R165">
        <f t="shared" si="6"/>
        <v>17</v>
      </c>
      <c r="S165">
        <f t="shared" ca="1" si="7"/>
        <v>0</v>
      </c>
      <c r="T165">
        <f t="shared" si="8"/>
        <v>162</v>
      </c>
      <c r="U165" t="str">
        <f>IF($T165&lt;=Z$4,INDEX(TypicalCriticalitiesMAHBarrier[Barrier Family Description],MATCH($T165,TypicalCriticalitiesMAHBarrier[Barrier Family ID],0)),"")</f>
        <v/>
      </c>
      <c r="V165" t="str">
        <f ca="1">IF($T165&lt;=AA$4,INDEX(TypicalCriticalitiesMAHBarrier[Typical Components],MATCH($T165,TypicalCriticalitiesMAHBarrier[Column2],0)),"")</f>
        <v/>
      </c>
      <c r="W165" t="str">
        <f ca="1">IF($T165&lt;=AA$4,INDEX(TypicalCriticalitiesMAHBarrier[Typical Criticality],MATCH($T165,TypicalCriticalitiesMAHBarrier[Column2],0)),"")</f>
        <v/>
      </c>
      <c r="AE165" s="44"/>
      <c r="AF165" s="44"/>
      <c r="AG165" s="44"/>
      <c r="AH165" s="44"/>
      <c r="AI165" s="44"/>
      <c r="AJ165" s="44"/>
    </row>
    <row r="166" spans="14:36" x14ac:dyDescent="0.25">
      <c r="N166" t="s">
        <v>396</v>
      </c>
      <c r="O166" t="s">
        <v>397</v>
      </c>
      <c r="P166" t="s">
        <v>400</v>
      </c>
      <c r="Q166" t="s">
        <v>0</v>
      </c>
      <c r="R166">
        <f t="shared" si="6"/>
        <v>17</v>
      </c>
      <c r="S166">
        <f t="shared" ca="1" si="7"/>
        <v>0</v>
      </c>
      <c r="T166">
        <f t="shared" si="8"/>
        <v>163</v>
      </c>
      <c r="U166" t="str">
        <f>IF($T166&lt;=Z$4,INDEX(TypicalCriticalitiesMAHBarrier[Barrier Family Description],MATCH($T166,TypicalCriticalitiesMAHBarrier[Barrier Family ID],0)),"")</f>
        <v/>
      </c>
      <c r="V166" t="str">
        <f ca="1">IF($T166&lt;=AA$4,INDEX(TypicalCriticalitiesMAHBarrier[Typical Components],MATCH($T166,TypicalCriticalitiesMAHBarrier[Column2],0)),"")</f>
        <v/>
      </c>
      <c r="W166" t="str">
        <f ca="1">IF($T166&lt;=AA$4,INDEX(TypicalCriticalitiesMAHBarrier[Typical Criticality],MATCH($T166,TypicalCriticalitiesMAHBarrier[Column2],0)),"")</f>
        <v/>
      </c>
      <c r="AE166" s="44"/>
      <c r="AF166" s="44"/>
      <c r="AG166" s="44"/>
      <c r="AH166" s="44"/>
      <c r="AI166" s="44"/>
      <c r="AJ166" s="44"/>
    </row>
    <row r="167" spans="14:36" x14ac:dyDescent="0.25">
      <c r="N167" t="s">
        <v>396</v>
      </c>
      <c r="O167" t="s">
        <v>397</v>
      </c>
      <c r="P167" t="s">
        <v>401</v>
      </c>
      <c r="Q167" t="s">
        <v>0</v>
      </c>
      <c r="R167">
        <f t="shared" si="6"/>
        <v>17</v>
      </c>
      <c r="S167">
        <f t="shared" ca="1" si="7"/>
        <v>0</v>
      </c>
      <c r="T167">
        <f t="shared" si="8"/>
        <v>164</v>
      </c>
      <c r="U167" t="str">
        <f>IF($T167&lt;=Z$4,INDEX(TypicalCriticalitiesMAHBarrier[Barrier Family Description],MATCH($T167,TypicalCriticalitiesMAHBarrier[Barrier Family ID],0)),"")</f>
        <v/>
      </c>
      <c r="V167" t="str">
        <f ca="1">IF($T167&lt;=AA$4,INDEX(TypicalCriticalitiesMAHBarrier[Typical Components],MATCH($T167,TypicalCriticalitiesMAHBarrier[Column2],0)),"")</f>
        <v/>
      </c>
      <c r="W167" t="str">
        <f ca="1">IF($T167&lt;=AA$4,INDEX(TypicalCriticalitiesMAHBarrier[Typical Criticality],MATCH($T167,TypicalCriticalitiesMAHBarrier[Column2],0)),"")</f>
        <v/>
      </c>
      <c r="AE167" s="44"/>
      <c r="AF167" s="44"/>
      <c r="AG167" s="44"/>
      <c r="AH167" s="44"/>
      <c r="AI167" s="44"/>
      <c r="AJ167" s="44"/>
    </row>
    <row r="168" spans="14:36" x14ac:dyDescent="0.25">
      <c r="N168" t="s">
        <v>396</v>
      </c>
      <c r="O168" t="s">
        <v>397</v>
      </c>
      <c r="P168" t="s">
        <v>402</v>
      </c>
      <c r="Q168" t="s">
        <v>1</v>
      </c>
      <c r="R168">
        <f t="shared" si="6"/>
        <v>17</v>
      </c>
      <c r="S168">
        <f t="shared" ca="1" si="7"/>
        <v>0</v>
      </c>
      <c r="T168">
        <f t="shared" si="8"/>
        <v>165</v>
      </c>
      <c r="U168" t="str">
        <f>IF($T168&lt;=Z$4,INDEX(TypicalCriticalitiesMAHBarrier[Barrier Family Description],MATCH($T168,TypicalCriticalitiesMAHBarrier[Barrier Family ID],0)),"")</f>
        <v/>
      </c>
      <c r="V168" t="str">
        <f ca="1">IF($T168&lt;=AA$4,INDEX(TypicalCriticalitiesMAHBarrier[Typical Components],MATCH($T168,TypicalCriticalitiesMAHBarrier[Column2],0)),"")</f>
        <v/>
      </c>
      <c r="W168" t="str">
        <f ca="1">IF($T168&lt;=AA$4,INDEX(TypicalCriticalitiesMAHBarrier[Typical Criticality],MATCH($T168,TypicalCriticalitiesMAHBarrier[Column2],0)),"")</f>
        <v/>
      </c>
      <c r="AE168" s="44"/>
      <c r="AF168" s="44"/>
      <c r="AG168" s="44"/>
      <c r="AH168" s="44"/>
      <c r="AI168" s="44"/>
      <c r="AJ168" s="44"/>
    </row>
    <row r="169" spans="14:36" x14ac:dyDescent="0.25">
      <c r="N169" t="s">
        <v>396</v>
      </c>
      <c r="O169" t="s">
        <v>397</v>
      </c>
      <c r="P169" t="s">
        <v>403</v>
      </c>
      <c r="Q169" t="s">
        <v>0</v>
      </c>
      <c r="R169">
        <f t="shared" si="6"/>
        <v>17</v>
      </c>
      <c r="S169">
        <f t="shared" ca="1" si="7"/>
        <v>0</v>
      </c>
      <c r="T169">
        <f t="shared" si="8"/>
        <v>166</v>
      </c>
      <c r="U169" t="str">
        <f>IF($T169&lt;=Z$4,INDEX(TypicalCriticalitiesMAHBarrier[Barrier Family Description],MATCH($T169,TypicalCriticalitiesMAHBarrier[Barrier Family ID],0)),"")</f>
        <v/>
      </c>
      <c r="V169" t="str">
        <f ca="1">IF($T169&lt;=AA$4,INDEX(TypicalCriticalitiesMAHBarrier[Typical Components],MATCH($T169,TypicalCriticalitiesMAHBarrier[Column2],0)),"")</f>
        <v/>
      </c>
      <c r="W169" t="str">
        <f ca="1">IF($T169&lt;=AA$4,INDEX(TypicalCriticalitiesMAHBarrier[Typical Criticality],MATCH($T169,TypicalCriticalitiesMAHBarrier[Column2],0)),"")</f>
        <v/>
      </c>
      <c r="AE169" s="44"/>
      <c r="AF169" s="44"/>
      <c r="AG169" s="44"/>
      <c r="AH169" s="44"/>
      <c r="AI169" s="44"/>
      <c r="AJ169" s="44"/>
    </row>
    <row r="170" spans="14:36" x14ac:dyDescent="0.25">
      <c r="N170" t="s">
        <v>396</v>
      </c>
      <c r="O170" t="s">
        <v>397</v>
      </c>
      <c r="P170" t="s">
        <v>404</v>
      </c>
      <c r="Q170" t="s">
        <v>0</v>
      </c>
      <c r="R170">
        <f t="shared" si="6"/>
        <v>17</v>
      </c>
      <c r="S170">
        <f t="shared" ca="1" si="7"/>
        <v>0</v>
      </c>
      <c r="T170">
        <f t="shared" si="8"/>
        <v>167</v>
      </c>
      <c r="U170" t="str">
        <f>IF($T170&lt;=Z$4,INDEX(TypicalCriticalitiesMAHBarrier[Barrier Family Description],MATCH($T170,TypicalCriticalitiesMAHBarrier[Barrier Family ID],0)),"")</f>
        <v/>
      </c>
      <c r="V170" t="str">
        <f ca="1">IF($T170&lt;=AA$4,INDEX(TypicalCriticalitiesMAHBarrier[Typical Components],MATCH($T170,TypicalCriticalitiesMAHBarrier[Column2],0)),"")</f>
        <v/>
      </c>
      <c r="W170" t="str">
        <f ca="1">IF($T170&lt;=AA$4,INDEX(TypicalCriticalitiesMAHBarrier[Typical Criticality],MATCH($T170,TypicalCriticalitiesMAHBarrier[Column2],0)),"")</f>
        <v/>
      </c>
      <c r="AE170" s="44"/>
      <c r="AF170" s="44"/>
      <c r="AG170" s="44"/>
      <c r="AH170" s="44"/>
      <c r="AI170" s="44"/>
      <c r="AJ170" s="44"/>
    </row>
    <row r="171" spans="14:36" x14ac:dyDescent="0.25">
      <c r="N171" t="s">
        <v>396</v>
      </c>
      <c r="O171" t="s">
        <v>397</v>
      </c>
      <c r="P171" t="s">
        <v>405</v>
      </c>
      <c r="Q171" t="s">
        <v>0</v>
      </c>
      <c r="R171">
        <f t="shared" si="6"/>
        <v>17</v>
      </c>
      <c r="S171">
        <f t="shared" ca="1" si="7"/>
        <v>0</v>
      </c>
      <c r="T171">
        <f t="shared" si="8"/>
        <v>168</v>
      </c>
      <c r="U171" t="str">
        <f>IF($T171&lt;=Z$4,INDEX(TypicalCriticalitiesMAHBarrier[Barrier Family Description],MATCH($T171,TypicalCriticalitiesMAHBarrier[Barrier Family ID],0)),"")</f>
        <v/>
      </c>
      <c r="V171" t="str">
        <f ca="1">IF($T171&lt;=AA$4,INDEX(TypicalCriticalitiesMAHBarrier[Typical Components],MATCH($T171,TypicalCriticalitiesMAHBarrier[Column2],0)),"")</f>
        <v/>
      </c>
      <c r="W171" t="str">
        <f ca="1">IF($T171&lt;=AA$4,INDEX(TypicalCriticalitiesMAHBarrier[Typical Criticality],MATCH($T171,TypicalCriticalitiesMAHBarrier[Column2],0)),"")</f>
        <v/>
      </c>
      <c r="AE171" s="44"/>
      <c r="AF171" s="44"/>
      <c r="AG171" s="44"/>
      <c r="AH171" s="44"/>
      <c r="AI171" s="44"/>
      <c r="AJ171" s="44"/>
    </row>
    <row r="172" spans="14:36" x14ac:dyDescent="0.25">
      <c r="N172" t="s">
        <v>396</v>
      </c>
      <c r="O172" t="s">
        <v>397</v>
      </c>
      <c r="P172" t="s">
        <v>406</v>
      </c>
      <c r="Q172" t="s">
        <v>0</v>
      </c>
      <c r="R172">
        <f t="shared" si="6"/>
        <v>17</v>
      </c>
      <c r="S172">
        <f t="shared" ca="1" si="7"/>
        <v>0</v>
      </c>
      <c r="T172">
        <f t="shared" si="8"/>
        <v>169</v>
      </c>
      <c r="U172" t="str">
        <f>IF($T172&lt;=Z$4,INDEX(TypicalCriticalitiesMAHBarrier[Barrier Family Description],MATCH($T172,TypicalCriticalitiesMAHBarrier[Barrier Family ID],0)),"")</f>
        <v/>
      </c>
      <c r="V172" t="str">
        <f ca="1">IF($T172&lt;=AA$4,INDEX(TypicalCriticalitiesMAHBarrier[Typical Components],MATCH($T172,TypicalCriticalitiesMAHBarrier[Column2],0)),"")</f>
        <v/>
      </c>
      <c r="W172" t="str">
        <f ca="1">IF($T172&lt;=AA$4,INDEX(TypicalCriticalitiesMAHBarrier[Typical Criticality],MATCH($T172,TypicalCriticalitiesMAHBarrier[Column2],0)),"")</f>
        <v/>
      </c>
      <c r="AE172" s="44"/>
      <c r="AF172" s="44"/>
      <c r="AG172" s="44"/>
      <c r="AH172" s="44"/>
      <c r="AI172" s="44"/>
      <c r="AJ172" s="44"/>
    </row>
    <row r="173" spans="14:36" x14ac:dyDescent="0.25">
      <c r="N173" t="s">
        <v>396</v>
      </c>
      <c r="O173" t="s">
        <v>397</v>
      </c>
      <c r="P173" t="s">
        <v>407</v>
      </c>
      <c r="Q173" t="s">
        <v>0</v>
      </c>
      <c r="R173">
        <f t="shared" si="6"/>
        <v>17</v>
      </c>
      <c r="S173">
        <f t="shared" ca="1" si="7"/>
        <v>0</v>
      </c>
      <c r="T173">
        <f t="shared" si="8"/>
        <v>170</v>
      </c>
      <c r="U173" t="str">
        <f>IF($T173&lt;=Z$4,INDEX(TypicalCriticalitiesMAHBarrier[Barrier Family Description],MATCH($T173,TypicalCriticalitiesMAHBarrier[Barrier Family ID],0)),"")</f>
        <v/>
      </c>
      <c r="V173" t="str">
        <f ca="1">IF($T173&lt;=AA$4,INDEX(TypicalCriticalitiesMAHBarrier[Typical Components],MATCH($T173,TypicalCriticalitiesMAHBarrier[Column2],0)),"")</f>
        <v/>
      </c>
      <c r="W173" t="str">
        <f ca="1">IF($T173&lt;=AA$4,INDEX(TypicalCriticalitiesMAHBarrier[Typical Criticality],MATCH($T173,TypicalCriticalitiesMAHBarrier[Column2],0)),"")</f>
        <v/>
      </c>
      <c r="AE173" s="44"/>
      <c r="AF173" s="44"/>
      <c r="AG173" s="44"/>
      <c r="AH173" s="44"/>
      <c r="AI173" s="44"/>
      <c r="AJ173" s="44"/>
    </row>
    <row r="174" spans="14:36" x14ac:dyDescent="0.25">
      <c r="N174" t="s">
        <v>396</v>
      </c>
      <c r="O174" t="s">
        <v>397</v>
      </c>
      <c r="P174" t="s">
        <v>408</v>
      </c>
      <c r="Q174" t="s">
        <v>1</v>
      </c>
      <c r="R174">
        <f t="shared" si="6"/>
        <v>17</v>
      </c>
      <c r="S174">
        <f t="shared" ca="1" si="7"/>
        <v>0</v>
      </c>
      <c r="T174">
        <f t="shared" si="8"/>
        <v>171</v>
      </c>
      <c r="U174" t="str">
        <f>IF($T174&lt;=Z$4,INDEX(TypicalCriticalitiesMAHBarrier[Barrier Family Description],MATCH($T174,TypicalCriticalitiesMAHBarrier[Barrier Family ID],0)),"")</f>
        <v/>
      </c>
      <c r="V174" t="str">
        <f ca="1">IF($T174&lt;=AA$4,INDEX(TypicalCriticalitiesMAHBarrier[Typical Components],MATCH($T174,TypicalCriticalitiesMAHBarrier[Column2],0)),"")</f>
        <v/>
      </c>
      <c r="W174" t="str">
        <f ca="1">IF($T174&lt;=AA$4,INDEX(TypicalCriticalitiesMAHBarrier[Typical Criticality],MATCH($T174,TypicalCriticalitiesMAHBarrier[Column2],0)),"")</f>
        <v/>
      </c>
      <c r="AE174" s="44"/>
      <c r="AF174" s="44"/>
      <c r="AG174" s="44"/>
      <c r="AH174" s="44"/>
      <c r="AI174" s="44"/>
      <c r="AJ174" s="44"/>
    </row>
    <row r="175" spans="14:36" x14ac:dyDescent="0.25">
      <c r="N175" t="s">
        <v>396</v>
      </c>
      <c r="O175" t="s">
        <v>397</v>
      </c>
      <c r="P175" t="s">
        <v>409</v>
      </c>
      <c r="Q175" t="s">
        <v>0</v>
      </c>
      <c r="R175">
        <f t="shared" si="6"/>
        <v>17</v>
      </c>
      <c r="S175">
        <f t="shared" ca="1" si="7"/>
        <v>0</v>
      </c>
      <c r="T175">
        <f t="shared" si="8"/>
        <v>172</v>
      </c>
      <c r="U175" t="str">
        <f>IF($T175&lt;=Z$4,INDEX(TypicalCriticalitiesMAHBarrier[Barrier Family Description],MATCH($T175,TypicalCriticalitiesMAHBarrier[Barrier Family ID],0)),"")</f>
        <v/>
      </c>
      <c r="V175" t="str">
        <f ca="1">IF($T175&lt;=AA$4,INDEX(TypicalCriticalitiesMAHBarrier[Typical Components],MATCH($T175,TypicalCriticalitiesMAHBarrier[Column2],0)),"")</f>
        <v/>
      </c>
      <c r="W175" t="str">
        <f ca="1">IF($T175&lt;=AA$4,INDEX(TypicalCriticalitiesMAHBarrier[Typical Criticality],MATCH($T175,TypicalCriticalitiesMAHBarrier[Column2],0)),"")</f>
        <v/>
      </c>
      <c r="AE175" s="44"/>
      <c r="AF175" s="44"/>
      <c r="AG175" s="44"/>
      <c r="AH175" s="44"/>
      <c r="AI175" s="44"/>
      <c r="AJ175" s="44"/>
    </row>
    <row r="176" spans="14:36" x14ac:dyDescent="0.25">
      <c r="N176" t="s">
        <v>396</v>
      </c>
      <c r="O176" t="s">
        <v>397</v>
      </c>
      <c r="P176" t="s">
        <v>410</v>
      </c>
      <c r="Q176" t="s">
        <v>0</v>
      </c>
      <c r="R176">
        <f t="shared" si="6"/>
        <v>17</v>
      </c>
      <c r="S176">
        <f t="shared" ca="1" si="7"/>
        <v>0</v>
      </c>
      <c r="T176">
        <f t="shared" si="8"/>
        <v>173</v>
      </c>
      <c r="U176" t="str">
        <f>IF($T176&lt;=Z$4,INDEX(TypicalCriticalitiesMAHBarrier[Barrier Family Description],MATCH($T176,TypicalCriticalitiesMAHBarrier[Barrier Family ID],0)),"")</f>
        <v/>
      </c>
      <c r="V176" t="str">
        <f ca="1">IF($T176&lt;=AA$4,INDEX(TypicalCriticalitiesMAHBarrier[Typical Components],MATCH($T176,TypicalCriticalitiesMAHBarrier[Column2],0)),"")</f>
        <v/>
      </c>
      <c r="W176" t="str">
        <f ca="1">IF($T176&lt;=AA$4,INDEX(TypicalCriticalitiesMAHBarrier[Typical Criticality],MATCH($T176,TypicalCriticalitiesMAHBarrier[Column2],0)),"")</f>
        <v/>
      </c>
      <c r="AE176" s="44"/>
      <c r="AF176" s="44"/>
      <c r="AG176" s="44"/>
      <c r="AH176" s="44"/>
      <c r="AI176" s="44"/>
      <c r="AJ176" s="44"/>
    </row>
    <row r="177" spans="14:36" x14ac:dyDescent="0.25">
      <c r="N177" t="s">
        <v>396</v>
      </c>
      <c r="O177" t="s">
        <v>397</v>
      </c>
      <c r="P177" t="s">
        <v>411</v>
      </c>
      <c r="Q177" t="s">
        <v>0</v>
      </c>
      <c r="R177">
        <f t="shared" si="6"/>
        <v>17</v>
      </c>
      <c r="S177">
        <f t="shared" ca="1" si="7"/>
        <v>0</v>
      </c>
      <c r="T177">
        <f t="shared" si="8"/>
        <v>174</v>
      </c>
      <c r="U177" t="str">
        <f>IF($T177&lt;=Z$4,INDEX(TypicalCriticalitiesMAHBarrier[Barrier Family Description],MATCH($T177,TypicalCriticalitiesMAHBarrier[Barrier Family ID],0)),"")</f>
        <v/>
      </c>
      <c r="V177" t="str">
        <f ca="1">IF($T177&lt;=AA$4,INDEX(TypicalCriticalitiesMAHBarrier[Typical Components],MATCH($T177,TypicalCriticalitiesMAHBarrier[Column2],0)),"")</f>
        <v/>
      </c>
      <c r="W177" t="str">
        <f ca="1">IF($T177&lt;=AA$4,INDEX(TypicalCriticalitiesMAHBarrier[Typical Criticality],MATCH($T177,TypicalCriticalitiesMAHBarrier[Column2],0)),"")</f>
        <v/>
      </c>
      <c r="AE177" s="44"/>
      <c r="AF177" s="44"/>
      <c r="AG177" s="44"/>
      <c r="AH177" s="44"/>
      <c r="AI177" s="44"/>
      <c r="AJ177" s="44"/>
    </row>
    <row r="178" spans="14:36" x14ac:dyDescent="0.25">
      <c r="N178" t="s">
        <v>396</v>
      </c>
      <c r="O178" t="s">
        <v>397</v>
      </c>
      <c r="P178" t="s">
        <v>412</v>
      </c>
      <c r="Q178" t="s">
        <v>0</v>
      </c>
      <c r="R178">
        <f t="shared" si="6"/>
        <v>17</v>
      </c>
      <c r="S178">
        <f t="shared" ca="1" si="7"/>
        <v>0</v>
      </c>
      <c r="T178">
        <f t="shared" si="8"/>
        <v>175</v>
      </c>
      <c r="U178" t="str">
        <f>IF($T178&lt;=Z$4,INDEX(TypicalCriticalitiesMAHBarrier[Barrier Family Description],MATCH($T178,TypicalCriticalitiesMAHBarrier[Barrier Family ID],0)),"")</f>
        <v/>
      </c>
      <c r="V178" t="str">
        <f ca="1">IF($T178&lt;=AA$4,INDEX(TypicalCriticalitiesMAHBarrier[Typical Components],MATCH($T178,TypicalCriticalitiesMAHBarrier[Column2],0)),"")</f>
        <v/>
      </c>
      <c r="W178" t="str">
        <f ca="1">IF($T178&lt;=AA$4,INDEX(TypicalCriticalitiesMAHBarrier[Typical Criticality],MATCH($T178,TypicalCriticalitiesMAHBarrier[Column2],0)),"")</f>
        <v/>
      </c>
      <c r="AE178" s="44"/>
      <c r="AF178" s="44"/>
      <c r="AG178" s="44"/>
      <c r="AH178" s="44"/>
      <c r="AI178" s="44"/>
      <c r="AJ178" s="44"/>
    </row>
    <row r="179" spans="14:36" x14ac:dyDescent="0.25">
      <c r="N179" t="s">
        <v>396</v>
      </c>
      <c r="O179" t="s">
        <v>397</v>
      </c>
      <c r="P179" t="s">
        <v>413</v>
      </c>
      <c r="Q179" t="s">
        <v>0</v>
      </c>
      <c r="R179">
        <f t="shared" si="6"/>
        <v>17</v>
      </c>
      <c r="S179">
        <f t="shared" ca="1" si="7"/>
        <v>0</v>
      </c>
      <c r="T179">
        <f t="shared" si="8"/>
        <v>176</v>
      </c>
      <c r="U179" t="str">
        <f>IF($T179&lt;=Z$4,INDEX(TypicalCriticalitiesMAHBarrier[Barrier Family Description],MATCH($T179,TypicalCriticalitiesMAHBarrier[Barrier Family ID],0)),"")</f>
        <v/>
      </c>
      <c r="V179" t="str">
        <f ca="1">IF($T179&lt;=AA$4,INDEX(TypicalCriticalitiesMAHBarrier[Typical Components],MATCH($T179,TypicalCriticalitiesMAHBarrier[Column2],0)),"")</f>
        <v/>
      </c>
      <c r="W179" t="str">
        <f ca="1">IF($T179&lt;=AA$4,INDEX(TypicalCriticalitiesMAHBarrier[Typical Criticality],MATCH($T179,TypicalCriticalitiesMAHBarrier[Column2],0)),"")</f>
        <v/>
      </c>
      <c r="AE179" s="44"/>
      <c r="AF179" s="44"/>
      <c r="AG179" s="44"/>
      <c r="AH179" s="44"/>
      <c r="AI179" s="44"/>
      <c r="AJ179" s="44"/>
    </row>
    <row r="180" spans="14:36" x14ac:dyDescent="0.25">
      <c r="N180" t="s">
        <v>396</v>
      </c>
      <c r="O180" t="s">
        <v>397</v>
      </c>
      <c r="P180" t="s">
        <v>414</v>
      </c>
      <c r="Q180" t="s">
        <v>2</v>
      </c>
      <c r="R180">
        <f t="shared" si="6"/>
        <v>17</v>
      </c>
      <c r="S180">
        <f t="shared" ca="1" si="7"/>
        <v>0</v>
      </c>
      <c r="T180">
        <f t="shared" si="8"/>
        <v>177</v>
      </c>
      <c r="U180" t="str">
        <f>IF($T180&lt;=Z$4,INDEX(TypicalCriticalitiesMAHBarrier[Barrier Family Description],MATCH($T180,TypicalCriticalitiesMAHBarrier[Barrier Family ID],0)),"")</f>
        <v/>
      </c>
      <c r="V180" t="str">
        <f ca="1">IF($T180&lt;=AA$4,INDEX(TypicalCriticalitiesMAHBarrier[Typical Components],MATCH($T180,TypicalCriticalitiesMAHBarrier[Column2],0)),"")</f>
        <v/>
      </c>
      <c r="W180" t="str">
        <f ca="1">IF($T180&lt;=AA$4,INDEX(TypicalCriticalitiesMAHBarrier[Typical Criticality],MATCH($T180,TypicalCriticalitiesMAHBarrier[Column2],0)),"")</f>
        <v/>
      </c>
      <c r="AE180" s="44"/>
      <c r="AF180" s="44"/>
      <c r="AG180" s="44"/>
      <c r="AH180" s="44"/>
      <c r="AI180" s="44"/>
      <c r="AJ180" s="44"/>
    </row>
    <row r="181" spans="14:36" x14ac:dyDescent="0.25">
      <c r="N181" t="s">
        <v>396</v>
      </c>
      <c r="O181" t="s">
        <v>397</v>
      </c>
      <c r="P181" t="s">
        <v>415</v>
      </c>
      <c r="Q181" t="s">
        <v>0</v>
      </c>
      <c r="R181">
        <f t="shared" si="6"/>
        <v>17</v>
      </c>
      <c r="S181">
        <f t="shared" ca="1" si="7"/>
        <v>0</v>
      </c>
      <c r="T181">
        <f t="shared" si="8"/>
        <v>178</v>
      </c>
      <c r="U181" t="str">
        <f>IF($T181&lt;=Z$4,INDEX(TypicalCriticalitiesMAHBarrier[Barrier Family Description],MATCH($T181,TypicalCriticalitiesMAHBarrier[Barrier Family ID],0)),"")</f>
        <v/>
      </c>
      <c r="V181" t="str">
        <f ca="1">IF($T181&lt;=AA$4,INDEX(TypicalCriticalitiesMAHBarrier[Typical Components],MATCH($T181,TypicalCriticalitiesMAHBarrier[Column2],0)),"")</f>
        <v/>
      </c>
      <c r="W181" t="str">
        <f ca="1">IF($T181&lt;=AA$4,INDEX(TypicalCriticalitiesMAHBarrier[Typical Criticality],MATCH($T181,TypicalCriticalitiesMAHBarrier[Column2],0)),"")</f>
        <v/>
      </c>
      <c r="AE181" s="44"/>
      <c r="AF181" s="44"/>
      <c r="AG181" s="44"/>
      <c r="AH181" s="44"/>
      <c r="AI181" s="44"/>
      <c r="AJ181" s="44"/>
    </row>
    <row r="182" spans="14:36" x14ac:dyDescent="0.25">
      <c r="N182" t="s">
        <v>396</v>
      </c>
      <c r="O182" t="s">
        <v>397</v>
      </c>
      <c r="P182" t="s">
        <v>394</v>
      </c>
      <c r="Q182" t="s">
        <v>395</v>
      </c>
      <c r="R182">
        <f t="shared" si="6"/>
        <v>17</v>
      </c>
      <c r="S182">
        <f t="shared" ca="1" si="7"/>
        <v>0</v>
      </c>
      <c r="T182">
        <f t="shared" si="8"/>
        <v>179</v>
      </c>
      <c r="U182" t="str">
        <f>IF($T182&lt;=Z$4,INDEX(TypicalCriticalitiesMAHBarrier[Barrier Family Description],MATCH($T182,TypicalCriticalitiesMAHBarrier[Barrier Family ID],0)),"")</f>
        <v/>
      </c>
      <c r="V182" t="str">
        <f ca="1">IF($T182&lt;=AA$4,INDEX(TypicalCriticalitiesMAHBarrier[Typical Components],MATCH($T182,TypicalCriticalitiesMAHBarrier[Column2],0)),"")</f>
        <v/>
      </c>
      <c r="W182" t="str">
        <f ca="1">IF($T182&lt;=AA$4,INDEX(TypicalCriticalitiesMAHBarrier[Typical Criticality],MATCH($T182,TypicalCriticalitiesMAHBarrier[Column2],0)),"")</f>
        <v/>
      </c>
      <c r="AE182" s="44"/>
      <c r="AF182" s="44"/>
      <c r="AG182" s="44"/>
      <c r="AH182" s="44"/>
      <c r="AI182" s="44"/>
      <c r="AJ182" s="44"/>
    </row>
    <row r="183" spans="14:36" x14ac:dyDescent="0.25">
      <c r="N183" t="s">
        <v>396</v>
      </c>
      <c r="O183" t="s">
        <v>397</v>
      </c>
      <c r="P183" t="s">
        <v>416</v>
      </c>
      <c r="Q183" t="s">
        <v>0</v>
      </c>
      <c r="R183">
        <f t="shared" si="6"/>
        <v>17</v>
      </c>
      <c r="S183">
        <f t="shared" ca="1" si="7"/>
        <v>0</v>
      </c>
      <c r="T183">
        <f t="shared" si="8"/>
        <v>180</v>
      </c>
      <c r="U183" t="str">
        <f>IF($T183&lt;=Z$4,INDEX(TypicalCriticalitiesMAHBarrier[Barrier Family Description],MATCH($T183,TypicalCriticalitiesMAHBarrier[Barrier Family ID],0)),"")</f>
        <v/>
      </c>
      <c r="V183" t="str">
        <f ca="1">IF($T183&lt;=AA$4,INDEX(TypicalCriticalitiesMAHBarrier[Typical Components],MATCH($T183,TypicalCriticalitiesMAHBarrier[Column2],0)),"")</f>
        <v/>
      </c>
      <c r="W183" t="str">
        <f ca="1">IF($T183&lt;=AA$4,INDEX(TypicalCriticalitiesMAHBarrier[Typical Criticality],MATCH($T183,TypicalCriticalitiesMAHBarrier[Column2],0)),"")</f>
        <v/>
      </c>
      <c r="AE183" s="44"/>
      <c r="AF183" s="44"/>
      <c r="AG183" s="44"/>
      <c r="AH183" s="44"/>
      <c r="AI183" s="44"/>
      <c r="AJ183" s="44"/>
    </row>
    <row r="184" spans="14:36" x14ac:dyDescent="0.25">
      <c r="N184" t="s">
        <v>417</v>
      </c>
      <c r="O184" t="s">
        <v>418</v>
      </c>
      <c r="P184" t="s">
        <v>419</v>
      </c>
      <c r="Q184" t="s">
        <v>0</v>
      </c>
      <c r="R184">
        <f t="shared" si="6"/>
        <v>18</v>
      </c>
      <c r="S184">
        <f t="shared" ca="1" si="7"/>
        <v>0</v>
      </c>
      <c r="T184">
        <f t="shared" si="8"/>
        <v>181</v>
      </c>
      <c r="U184" t="str">
        <f>IF($T184&lt;=Z$4,INDEX(TypicalCriticalitiesMAHBarrier[Barrier Family Description],MATCH($T184,TypicalCriticalitiesMAHBarrier[Barrier Family ID],0)),"")</f>
        <v/>
      </c>
      <c r="V184" t="str">
        <f ca="1">IF($T184&lt;=AA$4,INDEX(TypicalCriticalitiesMAHBarrier[Typical Components],MATCH($T184,TypicalCriticalitiesMAHBarrier[Column2],0)),"")</f>
        <v/>
      </c>
      <c r="W184" t="str">
        <f ca="1">IF($T184&lt;=AA$4,INDEX(TypicalCriticalitiesMAHBarrier[Typical Criticality],MATCH($T184,TypicalCriticalitiesMAHBarrier[Column2],0)),"")</f>
        <v/>
      </c>
      <c r="AE184" s="44"/>
      <c r="AF184" s="44"/>
      <c r="AG184" s="44"/>
      <c r="AH184" s="44"/>
      <c r="AI184" s="44"/>
      <c r="AJ184" s="44"/>
    </row>
    <row r="185" spans="14:36" x14ac:dyDescent="0.25">
      <c r="N185" t="s">
        <v>417</v>
      </c>
      <c r="O185" t="s">
        <v>418</v>
      </c>
      <c r="P185" t="s">
        <v>420</v>
      </c>
      <c r="Q185" t="s">
        <v>0</v>
      </c>
      <c r="R185">
        <f t="shared" si="6"/>
        <v>18</v>
      </c>
      <c r="S185">
        <f t="shared" ca="1" si="7"/>
        <v>0</v>
      </c>
      <c r="T185">
        <f t="shared" si="8"/>
        <v>182</v>
      </c>
      <c r="U185" t="str">
        <f>IF($T185&lt;=Z$4,INDEX(TypicalCriticalitiesMAHBarrier[Barrier Family Description],MATCH($T185,TypicalCriticalitiesMAHBarrier[Barrier Family ID],0)),"")</f>
        <v/>
      </c>
      <c r="V185" t="str">
        <f ca="1">IF($T185&lt;=AA$4,INDEX(TypicalCriticalitiesMAHBarrier[Typical Components],MATCH($T185,TypicalCriticalitiesMAHBarrier[Column2],0)),"")</f>
        <v/>
      </c>
      <c r="W185" t="str">
        <f ca="1">IF($T185&lt;=AA$4,INDEX(TypicalCriticalitiesMAHBarrier[Typical Criticality],MATCH($T185,TypicalCriticalitiesMAHBarrier[Column2],0)),"")</f>
        <v/>
      </c>
      <c r="AE185" s="44"/>
      <c r="AF185" s="44"/>
      <c r="AG185" s="44"/>
      <c r="AH185" s="44"/>
      <c r="AI185" s="44"/>
      <c r="AJ185" s="44"/>
    </row>
    <row r="186" spans="14:36" x14ac:dyDescent="0.25">
      <c r="N186" t="s">
        <v>417</v>
      </c>
      <c r="O186" t="s">
        <v>418</v>
      </c>
      <c r="P186" t="s">
        <v>421</v>
      </c>
      <c r="Q186" t="s">
        <v>0</v>
      </c>
      <c r="R186">
        <f t="shared" si="6"/>
        <v>18</v>
      </c>
      <c r="S186">
        <f t="shared" ca="1" si="7"/>
        <v>0</v>
      </c>
      <c r="T186">
        <f t="shared" si="8"/>
        <v>183</v>
      </c>
      <c r="U186" t="str">
        <f>IF($T186&lt;=Z$4,INDEX(TypicalCriticalitiesMAHBarrier[Barrier Family Description],MATCH($T186,TypicalCriticalitiesMAHBarrier[Barrier Family ID],0)),"")</f>
        <v/>
      </c>
      <c r="V186" t="str">
        <f ca="1">IF($T186&lt;=AA$4,INDEX(TypicalCriticalitiesMAHBarrier[Typical Components],MATCH($T186,TypicalCriticalitiesMAHBarrier[Column2],0)),"")</f>
        <v/>
      </c>
      <c r="W186" t="str">
        <f ca="1">IF($T186&lt;=AA$4,INDEX(TypicalCriticalitiesMAHBarrier[Typical Criticality],MATCH($T186,TypicalCriticalitiesMAHBarrier[Column2],0)),"")</f>
        <v/>
      </c>
      <c r="AE186" s="44"/>
      <c r="AF186" s="44"/>
      <c r="AG186" s="44"/>
      <c r="AH186" s="44"/>
      <c r="AI186" s="44"/>
      <c r="AJ186" s="44"/>
    </row>
    <row r="187" spans="14:36" x14ac:dyDescent="0.25">
      <c r="N187" t="s">
        <v>417</v>
      </c>
      <c r="O187" t="s">
        <v>418</v>
      </c>
      <c r="P187" t="s">
        <v>422</v>
      </c>
      <c r="Q187" t="s">
        <v>0</v>
      </c>
      <c r="R187">
        <f t="shared" si="6"/>
        <v>18</v>
      </c>
      <c r="S187">
        <f t="shared" ca="1" si="7"/>
        <v>0</v>
      </c>
      <c r="T187">
        <f t="shared" si="8"/>
        <v>184</v>
      </c>
      <c r="U187" t="str">
        <f>IF($T187&lt;=Z$4,INDEX(TypicalCriticalitiesMAHBarrier[Barrier Family Description],MATCH($T187,TypicalCriticalitiesMAHBarrier[Barrier Family ID],0)),"")</f>
        <v/>
      </c>
      <c r="V187" t="str">
        <f ca="1">IF($T187&lt;=AA$4,INDEX(TypicalCriticalitiesMAHBarrier[Typical Components],MATCH($T187,TypicalCriticalitiesMAHBarrier[Column2],0)),"")</f>
        <v/>
      </c>
      <c r="W187" t="str">
        <f ca="1">IF($T187&lt;=AA$4,INDEX(TypicalCriticalitiesMAHBarrier[Typical Criticality],MATCH($T187,TypicalCriticalitiesMAHBarrier[Column2],0)),"")</f>
        <v/>
      </c>
      <c r="AE187" s="44"/>
      <c r="AF187" s="44"/>
      <c r="AG187" s="44"/>
      <c r="AH187" s="44"/>
      <c r="AI187" s="44"/>
      <c r="AJ187" s="44"/>
    </row>
    <row r="188" spans="14:36" x14ac:dyDescent="0.25">
      <c r="N188" t="s">
        <v>417</v>
      </c>
      <c r="O188" t="s">
        <v>423</v>
      </c>
      <c r="P188" t="s">
        <v>424</v>
      </c>
      <c r="Q188" t="s">
        <v>0</v>
      </c>
      <c r="R188">
        <f t="shared" si="6"/>
        <v>19</v>
      </c>
      <c r="S188">
        <f t="shared" ca="1" si="7"/>
        <v>0</v>
      </c>
      <c r="T188">
        <f t="shared" si="8"/>
        <v>185</v>
      </c>
      <c r="U188" t="str">
        <f>IF($T188&lt;=Z$4,INDEX(TypicalCriticalitiesMAHBarrier[Barrier Family Description],MATCH($T188,TypicalCriticalitiesMAHBarrier[Barrier Family ID],0)),"")</f>
        <v/>
      </c>
      <c r="V188" t="str">
        <f ca="1">IF($T188&lt;=AA$4,INDEX(TypicalCriticalitiesMAHBarrier[Typical Components],MATCH($T188,TypicalCriticalitiesMAHBarrier[Column2],0)),"")</f>
        <v/>
      </c>
      <c r="W188" t="str">
        <f ca="1">IF($T188&lt;=AA$4,INDEX(TypicalCriticalitiesMAHBarrier[Typical Criticality],MATCH($T188,TypicalCriticalitiesMAHBarrier[Column2],0)),"")</f>
        <v/>
      </c>
      <c r="AE188" s="44"/>
      <c r="AF188" s="44"/>
      <c r="AG188" s="44"/>
      <c r="AH188" s="44"/>
      <c r="AI188" s="44"/>
      <c r="AJ188" s="44"/>
    </row>
    <row r="189" spans="14:36" x14ac:dyDescent="0.25">
      <c r="N189" t="s">
        <v>417</v>
      </c>
      <c r="O189" t="s">
        <v>425</v>
      </c>
      <c r="P189" t="s">
        <v>426</v>
      </c>
      <c r="Q189" t="s">
        <v>1</v>
      </c>
      <c r="R189">
        <f t="shared" si="6"/>
        <v>20</v>
      </c>
      <c r="S189">
        <f t="shared" ca="1" si="7"/>
        <v>0</v>
      </c>
      <c r="T189">
        <f t="shared" si="8"/>
        <v>186</v>
      </c>
      <c r="U189" t="str">
        <f>IF($T189&lt;=Z$4,INDEX(TypicalCriticalitiesMAHBarrier[Barrier Family Description],MATCH($T189,TypicalCriticalitiesMAHBarrier[Barrier Family ID],0)),"")</f>
        <v/>
      </c>
      <c r="V189" t="str">
        <f ca="1">IF($T189&lt;=AA$4,INDEX(TypicalCriticalitiesMAHBarrier[Typical Components],MATCH($T189,TypicalCriticalitiesMAHBarrier[Column2],0)),"")</f>
        <v/>
      </c>
      <c r="W189" t="str">
        <f ca="1">IF($T189&lt;=AA$4,INDEX(TypicalCriticalitiesMAHBarrier[Typical Criticality],MATCH($T189,TypicalCriticalitiesMAHBarrier[Column2],0)),"")</f>
        <v/>
      </c>
      <c r="AE189" s="44"/>
      <c r="AF189" s="44"/>
      <c r="AG189" s="44"/>
      <c r="AH189" s="44"/>
      <c r="AI189" s="44"/>
      <c r="AJ189" s="44"/>
    </row>
    <row r="190" spans="14:36" x14ac:dyDescent="0.25">
      <c r="N190" t="s">
        <v>417</v>
      </c>
      <c r="O190" t="s">
        <v>427</v>
      </c>
      <c r="P190" t="s">
        <v>426</v>
      </c>
      <c r="Q190" t="s">
        <v>2</v>
      </c>
      <c r="R190">
        <f t="shared" si="6"/>
        <v>21</v>
      </c>
      <c r="S190">
        <f t="shared" ca="1" si="7"/>
        <v>0</v>
      </c>
      <c r="T190">
        <f t="shared" si="8"/>
        <v>187</v>
      </c>
      <c r="U190" t="str">
        <f>IF($T190&lt;=Z$4,INDEX(TypicalCriticalitiesMAHBarrier[Barrier Family Description],MATCH($T190,TypicalCriticalitiesMAHBarrier[Barrier Family ID],0)),"")</f>
        <v/>
      </c>
      <c r="V190" t="str">
        <f ca="1">IF($T190&lt;=AA$4,INDEX(TypicalCriticalitiesMAHBarrier[Typical Components],MATCH($T190,TypicalCriticalitiesMAHBarrier[Column2],0)),"")</f>
        <v/>
      </c>
      <c r="W190" t="str">
        <f ca="1">IF($T190&lt;=AA$4,INDEX(TypicalCriticalitiesMAHBarrier[Typical Criticality],MATCH($T190,TypicalCriticalitiesMAHBarrier[Column2],0)),"")</f>
        <v/>
      </c>
      <c r="AE190" s="44"/>
      <c r="AF190" s="44"/>
      <c r="AG190" s="44"/>
      <c r="AH190" s="44"/>
      <c r="AI190" s="44"/>
      <c r="AJ190" s="44"/>
    </row>
    <row r="191" spans="14:36" x14ac:dyDescent="0.25">
      <c r="N191" t="s">
        <v>428</v>
      </c>
      <c r="O191" t="s">
        <v>429</v>
      </c>
      <c r="P191" t="s">
        <v>430</v>
      </c>
      <c r="Q191" t="s">
        <v>0</v>
      </c>
      <c r="R191">
        <f t="shared" si="6"/>
        <v>22</v>
      </c>
      <c r="S191">
        <f t="shared" ca="1" si="7"/>
        <v>0</v>
      </c>
      <c r="T191">
        <f t="shared" si="8"/>
        <v>188</v>
      </c>
      <c r="U191" t="str">
        <f>IF($T191&lt;=Z$4,INDEX(TypicalCriticalitiesMAHBarrier[Barrier Family Description],MATCH($T191,TypicalCriticalitiesMAHBarrier[Barrier Family ID],0)),"")</f>
        <v/>
      </c>
      <c r="V191" t="str">
        <f ca="1">IF($T191&lt;=AA$4,INDEX(TypicalCriticalitiesMAHBarrier[Typical Components],MATCH($T191,TypicalCriticalitiesMAHBarrier[Column2],0)),"")</f>
        <v/>
      </c>
      <c r="W191" t="str">
        <f ca="1">IF($T191&lt;=AA$4,INDEX(TypicalCriticalitiesMAHBarrier[Typical Criticality],MATCH($T191,TypicalCriticalitiesMAHBarrier[Column2],0)),"")</f>
        <v/>
      </c>
      <c r="AE191" s="44"/>
      <c r="AF191" s="44"/>
      <c r="AG191" s="44"/>
      <c r="AH191" s="44"/>
      <c r="AI191" s="44"/>
      <c r="AJ191" s="44"/>
    </row>
    <row r="192" spans="14:36" x14ac:dyDescent="0.25">
      <c r="N192" t="s">
        <v>428</v>
      </c>
      <c r="O192" t="s">
        <v>429</v>
      </c>
      <c r="P192" t="s">
        <v>431</v>
      </c>
      <c r="Q192" t="s">
        <v>0</v>
      </c>
      <c r="R192">
        <f t="shared" si="6"/>
        <v>22</v>
      </c>
      <c r="S192">
        <f t="shared" ca="1" si="7"/>
        <v>0</v>
      </c>
      <c r="T192">
        <f t="shared" si="8"/>
        <v>189</v>
      </c>
      <c r="U192" t="str">
        <f>IF($T192&lt;=Z$4,INDEX(TypicalCriticalitiesMAHBarrier[Barrier Family Description],MATCH($T192,TypicalCriticalitiesMAHBarrier[Barrier Family ID],0)),"")</f>
        <v/>
      </c>
      <c r="V192" t="str">
        <f ca="1">IF($T192&lt;=AA$4,INDEX(TypicalCriticalitiesMAHBarrier[Typical Components],MATCH($T192,TypicalCriticalitiesMAHBarrier[Column2],0)),"")</f>
        <v/>
      </c>
      <c r="W192" t="str">
        <f ca="1">IF($T192&lt;=AA$4,INDEX(TypicalCriticalitiesMAHBarrier[Typical Criticality],MATCH($T192,TypicalCriticalitiesMAHBarrier[Column2],0)),"")</f>
        <v/>
      </c>
      <c r="AE192" s="44"/>
      <c r="AF192" s="44"/>
      <c r="AG192" s="44"/>
      <c r="AH192" s="44"/>
      <c r="AI192" s="44"/>
      <c r="AJ192" s="44"/>
    </row>
    <row r="193" spans="14:36" x14ac:dyDescent="0.25">
      <c r="N193" t="s">
        <v>428</v>
      </c>
      <c r="O193" t="s">
        <v>429</v>
      </c>
      <c r="P193" t="s">
        <v>432</v>
      </c>
      <c r="Q193" t="s">
        <v>0</v>
      </c>
      <c r="R193">
        <f t="shared" si="6"/>
        <v>22</v>
      </c>
      <c r="S193">
        <f t="shared" ca="1" si="7"/>
        <v>0</v>
      </c>
      <c r="T193">
        <f t="shared" si="8"/>
        <v>190</v>
      </c>
      <c r="U193" t="str">
        <f>IF($T193&lt;=Z$4,INDEX(TypicalCriticalitiesMAHBarrier[Barrier Family Description],MATCH($T193,TypicalCriticalitiesMAHBarrier[Barrier Family ID],0)),"")</f>
        <v/>
      </c>
      <c r="V193" t="str">
        <f ca="1">IF($T193&lt;=AA$4,INDEX(TypicalCriticalitiesMAHBarrier[Typical Components],MATCH($T193,TypicalCriticalitiesMAHBarrier[Column2],0)),"")</f>
        <v/>
      </c>
      <c r="W193" t="str">
        <f ca="1">IF($T193&lt;=AA$4,INDEX(TypicalCriticalitiesMAHBarrier[Typical Criticality],MATCH($T193,TypicalCriticalitiesMAHBarrier[Column2],0)),"")</f>
        <v/>
      </c>
      <c r="AE193" s="44"/>
      <c r="AF193" s="44"/>
      <c r="AG193" s="44"/>
      <c r="AH193" s="44"/>
      <c r="AI193" s="44"/>
      <c r="AJ193" s="44"/>
    </row>
    <row r="194" spans="14:36" x14ac:dyDescent="0.25">
      <c r="N194" t="s">
        <v>428</v>
      </c>
      <c r="O194" t="s">
        <v>429</v>
      </c>
      <c r="P194" t="s">
        <v>433</v>
      </c>
      <c r="Q194" t="s">
        <v>0</v>
      </c>
      <c r="R194">
        <f t="shared" si="6"/>
        <v>22</v>
      </c>
      <c r="S194">
        <f t="shared" ca="1" si="7"/>
        <v>0</v>
      </c>
      <c r="T194">
        <f t="shared" si="8"/>
        <v>191</v>
      </c>
      <c r="U194" t="str">
        <f>IF($T194&lt;=Z$4,INDEX(TypicalCriticalitiesMAHBarrier[Barrier Family Description],MATCH($T194,TypicalCriticalitiesMAHBarrier[Barrier Family ID],0)),"")</f>
        <v/>
      </c>
      <c r="V194" t="str">
        <f ca="1">IF($T194&lt;=AA$4,INDEX(TypicalCriticalitiesMAHBarrier[Typical Components],MATCH($T194,TypicalCriticalitiesMAHBarrier[Column2],0)),"")</f>
        <v/>
      </c>
      <c r="W194" t="str">
        <f ca="1">IF($T194&lt;=AA$4,INDEX(TypicalCriticalitiesMAHBarrier[Typical Criticality],MATCH($T194,TypicalCriticalitiesMAHBarrier[Column2],0)),"")</f>
        <v/>
      </c>
      <c r="AE194" s="44"/>
      <c r="AF194" s="44"/>
      <c r="AG194" s="44"/>
      <c r="AH194" s="44"/>
      <c r="AI194" s="44"/>
      <c r="AJ194" s="44"/>
    </row>
    <row r="195" spans="14:36" x14ac:dyDescent="0.25">
      <c r="N195" t="s">
        <v>428</v>
      </c>
      <c r="O195" t="s">
        <v>434</v>
      </c>
      <c r="P195" t="s">
        <v>430</v>
      </c>
      <c r="Q195" t="s">
        <v>1</v>
      </c>
      <c r="R195">
        <f t="shared" si="6"/>
        <v>23</v>
      </c>
      <c r="S195">
        <f t="shared" ca="1" si="7"/>
        <v>0</v>
      </c>
      <c r="T195">
        <f t="shared" si="8"/>
        <v>192</v>
      </c>
      <c r="U195" t="str">
        <f>IF($T195&lt;=Z$4,INDEX(TypicalCriticalitiesMAHBarrier[Barrier Family Description],MATCH($T195,TypicalCriticalitiesMAHBarrier[Barrier Family ID],0)),"")</f>
        <v/>
      </c>
      <c r="V195" t="str">
        <f ca="1">IF($T195&lt;=AA$4,INDEX(TypicalCriticalitiesMAHBarrier[Typical Components],MATCH($T195,TypicalCriticalitiesMAHBarrier[Column2],0)),"")</f>
        <v/>
      </c>
      <c r="W195" t="str">
        <f ca="1">IF($T195&lt;=AA$4,INDEX(TypicalCriticalitiesMAHBarrier[Typical Criticality],MATCH($T195,TypicalCriticalitiesMAHBarrier[Column2],0)),"")</f>
        <v/>
      </c>
      <c r="AE195" s="44"/>
      <c r="AF195" s="44"/>
      <c r="AG195" s="44"/>
      <c r="AH195" s="44"/>
      <c r="AI195" s="44"/>
      <c r="AJ195" s="44"/>
    </row>
    <row r="196" spans="14:36" x14ac:dyDescent="0.25">
      <c r="N196" t="s">
        <v>428</v>
      </c>
      <c r="O196" t="s">
        <v>434</v>
      </c>
      <c r="P196" t="s">
        <v>435</v>
      </c>
      <c r="Q196" t="s">
        <v>1</v>
      </c>
      <c r="R196">
        <f t="shared" si="6"/>
        <v>23</v>
      </c>
      <c r="S196">
        <f t="shared" ca="1" si="7"/>
        <v>0</v>
      </c>
      <c r="T196">
        <f t="shared" si="8"/>
        <v>193</v>
      </c>
      <c r="U196" t="str">
        <f>IF($T196&lt;=Z$4,INDEX(TypicalCriticalitiesMAHBarrier[Barrier Family Description],MATCH($T196,TypicalCriticalitiesMAHBarrier[Barrier Family ID],0)),"")</f>
        <v/>
      </c>
      <c r="V196" t="str">
        <f ca="1">IF($T196&lt;=AA$4,INDEX(TypicalCriticalitiesMAHBarrier[Typical Components],MATCH($T196,TypicalCriticalitiesMAHBarrier[Column2],0)),"")</f>
        <v/>
      </c>
      <c r="W196" t="str">
        <f ca="1">IF($T196&lt;=AA$4,INDEX(TypicalCriticalitiesMAHBarrier[Typical Criticality],MATCH($T196,TypicalCriticalitiesMAHBarrier[Column2],0)),"")</f>
        <v/>
      </c>
      <c r="AE196" s="44"/>
      <c r="AF196" s="44"/>
      <c r="AG196" s="44"/>
      <c r="AH196" s="44"/>
      <c r="AI196" s="44"/>
      <c r="AJ196" s="44"/>
    </row>
    <row r="197" spans="14:36" x14ac:dyDescent="0.25">
      <c r="N197" t="s">
        <v>436</v>
      </c>
      <c r="O197" t="s">
        <v>437</v>
      </c>
      <c r="P197" t="s">
        <v>438</v>
      </c>
      <c r="Q197" t="s">
        <v>0</v>
      </c>
      <c r="R197">
        <f t="shared" ref="R197:R264" si="9">IF(AND(O197&lt;&gt;O196,O197&lt;&gt;""),R196+1,R196)</f>
        <v>24</v>
      </c>
      <c r="S197">
        <f t="shared" ref="S197:S264" ca="1" si="10">IF(R197=$Z$5,IF(AND(P197&lt;&gt;P196,P197&lt;&gt;""),S196+1,S196),S196)</f>
        <v>0</v>
      </c>
      <c r="T197">
        <f t="shared" ref="T197:T264" si="11">T196+1</f>
        <v>194</v>
      </c>
      <c r="U197" t="str">
        <f>IF($T197&lt;=Z$4,INDEX(TypicalCriticalitiesMAHBarrier[Barrier Family Description],MATCH($T197,TypicalCriticalitiesMAHBarrier[Barrier Family ID],0)),"")</f>
        <v/>
      </c>
      <c r="V197" t="str">
        <f ca="1">IF($T197&lt;=AA$4,INDEX(TypicalCriticalitiesMAHBarrier[Typical Components],MATCH($T197,TypicalCriticalitiesMAHBarrier[Column2],0)),"")</f>
        <v/>
      </c>
      <c r="W197" t="str">
        <f ca="1">IF($T197&lt;=AA$4,INDEX(TypicalCriticalitiesMAHBarrier[Typical Criticality],MATCH($T197,TypicalCriticalitiesMAHBarrier[Column2],0)),"")</f>
        <v/>
      </c>
      <c r="AE197" s="44"/>
      <c r="AF197" s="44"/>
      <c r="AG197" s="44"/>
      <c r="AH197" s="44"/>
      <c r="AI197" s="44"/>
      <c r="AJ197" s="44"/>
    </row>
    <row r="198" spans="14:36" x14ac:dyDescent="0.25">
      <c r="N198" t="s">
        <v>439</v>
      </c>
      <c r="O198" t="s">
        <v>440</v>
      </c>
      <c r="P198" t="s">
        <v>441</v>
      </c>
      <c r="Q198" t="s">
        <v>0</v>
      </c>
      <c r="R198">
        <f t="shared" si="9"/>
        <v>25</v>
      </c>
      <c r="S198">
        <f t="shared" ca="1" si="10"/>
        <v>0</v>
      </c>
      <c r="T198">
        <f t="shared" si="11"/>
        <v>195</v>
      </c>
      <c r="U198" t="str">
        <f>IF($T198&lt;=Z$4,INDEX(TypicalCriticalitiesMAHBarrier[Barrier Family Description],MATCH($T198,TypicalCriticalitiesMAHBarrier[Barrier Family ID],0)),"")</f>
        <v/>
      </c>
      <c r="V198" t="str">
        <f ca="1">IF($T198&lt;=AA$4,INDEX(TypicalCriticalitiesMAHBarrier[Typical Components],MATCH($T198,TypicalCriticalitiesMAHBarrier[Column2],0)),"")</f>
        <v/>
      </c>
      <c r="W198" t="str">
        <f ca="1">IF($T198&lt;=AA$4,INDEX(TypicalCriticalitiesMAHBarrier[Typical Criticality],MATCH($T198,TypicalCriticalitiesMAHBarrier[Column2],0)),"")</f>
        <v/>
      </c>
      <c r="AE198" s="44"/>
      <c r="AF198" s="44"/>
      <c r="AG198" s="44"/>
      <c r="AH198" s="44"/>
      <c r="AI198" s="44"/>
      <c r="AJ198" s="44"/>
    </row>
    <row r="199" spans="14:36" x14ac:dyDescent="0.25">
      <c r="N199" t="s">
        <v>442</v>
      </c>
      <c r="O199" t="s">
        <v>443</v>
      </c>
      <c r="P199" t="s">
        <v>444</v>
      </c>
      <c r="Q199" t="s">
        <v>1</v>
      </c>
      <c r="R199">
        <f t="shared" si="9"/>
        <v>26</v>
      </c>
      <c r="S199">
        <f t="shared" ca="1" si="10"/>
        <v>0</v>
      </c>
      <c r="T199">
        <f t="shared" si="11"/>
        <v>196</v>
      </c>
      <c r="U199" t="str">
        <f>IF($T199&lt;=Z$4,INDEX(TypicalCriticalitiesMAHBarrier[Barrier Family Description],MATCH($T199,TypicalCriticalitiesMAHBarrier[Barrier Family ID],0)),"")</f>
        <v/>
      </c>
      <c r="V199" t="str">
        <f ca="1">IF($T199&lt;=AA$4,INDEX(TypicalCriticalitiesMAHBarrier[Typical Components],MATCH($T199,TypicalCriticalitiesMAHBarrier[Column2],0)),"")</f>
        <v/>
      </c>
      <c r="W199" t="str">
        <f ca="1">IF($T199&lt;=AA$4,INDEX(TypicalCriticalitiesMAHBarrier[Typical Criticality],MATCH($T199,TypicalCriticalitiesMAHBarrier[Column2],0)),"")</f>
        <v/>
      </c>
      <c r="AE199" s="44"/>
      <c r="AF199" s="44"/>
      <c r="AG199" s="44"/>
      <c r="AH199" s="44"/>
      <c r="AI199" s="44"/>
      <c r="AJ199" s="44"/>
    </row>
    <row r="200" spans="14:36" x14ac:dyDescent="0.25">
      <c r="N200" t="s">
        <v>442</v>
      </c>
      <c r="O200" t="s">
        <v>443</v>
      </c>
      <c r="P200" t="s">
        <v>445</v>
      </c>
      <c r="Q200" t="s">
        <v>1</v>
      </c>
      <c r="R200">
        <f t="shared" si="9"/>
        <v>26</v>
      </c>
      <c r="S200">
        <f t="shared" ca="1" si="10"/>
        <v>0</v>
      </c>
      <c r="T200">
        <f t="shared" si="11"/>
        <v>197</v>
      </c>
      <c r="U200" t="str">
        <f>IF($T200&lt;=Z$4,INDEX(TypicalCriticalitiesMAHBarrier[Barrier Family Description],MATCH($T200,TypicalCriticalitiesMAHBarrier[Barrier Family ID],0)),"")</f>
        <v/>
      </c>
      <c r="V200" t="str">
        <f ca="1">IF($T200&lt;=AA$4,INDEX(TypicalCriticalitiesMAHBarrier[Typical Components],MATCH($T200,TypicalCriticalitiesMAHBarrier[Column2],0)),"")</f>
        <v/>
      </c>
      <c r="W200" t="str">
        <f ca="1">IF($T200&lt;=AA$4,INDEX(TypicalCriticalitiesMAHBarrier[Typical Criticality],MATCH($T200,TypicalCriticalitiesMAHBarrier[Column2],0)),"")</f>
        <v/>
      </c>
      <c r="AE200" s="44"/>
      <c r="AF200" s="44"/>
      <c r="AG200" s="44"/>
      <c r="AH200" s="44"/>
      <c r="AI200" s="44"/>
      <c r="AJ200" s="44"/>
    </row>
    <row r="201" spans="14:36" x14ac:dyDescent="0.25">
      <c r="N201" t="s">
        <v>446</v>
      </c>
      <c r="O201" t="s">
        <v>447</v>
      </c>
      <c r="P201" t="s">
        <v>448</v>
      </c>
      <c r="Q201" t="s">
        <v>449</v>
      </c>
      <c r="R201">
        <f t="shared" si="9"/>
        <v>27</v>
      </c>
      <c r="S201">
        <f t="shared" ca="1" si="10"/>
        <v>0</v>
      </c>
      <c r="T201">
        <f t="shared" si="11"/>
        <v>198</v>
      </c>
      <c r="U201" t="str">
        <f>IF($T201&lt;=Z$4,INDEX(TypicalCriticalitiesMAHBarrier[Barrier Family Description],MATCH($T201,TypicalCriticalitiesMAHBarrier[Barrier Family ID],0)),"")</f>
        <v/>
      </c>
      <c r="V201" t="str">
        <f ca="1">IF($T201&lt;=AA$4,INDEX(TypicalCriticalitiesMAHBarrier[Typical Components],MATCH($T201,TypicalCriticalitiesMAHBarrier[Column2],0)),"")</f>
        <v/>
      </c>
      <c r="W201" t="str">
        <f ca="1">IF($T201&lt;=AA$4,INDEX(TypicalCriticalitiesMAHBarrier[Typical Criticality],MATCH($T201,TypicalCriticalitiesMAHBarrier[Column2],0)),"")</f>
        <v/>
      </c>
      <c r="AE201" s="44"/>
      <c r="AF201" s="44"/>
      <c r="AG201" s="44"/>
      <c r="AH201" s="44"/>
      <c r="AI201" s="44"/>
      <c r="AJ201" s="44"/>
    </row>
    <row r="202" spans="14:36" x14ac:dyDescent="0.25">
      <c r="N202" t="s">
        <v>446</v>
      </c>
      <c r="O202" t="str">
        <f t="shared" ref="O202:O208" si="12">O201</f>
        <v xml:space="preserve">Bunding, Open and Closed Hazardous Drains </v>
      </c>
      <c r="P202" t="s">
        <v>450</v>
      </c>
      <c r="Q202" t="s">
        <v>449</v>
      </c>
      <c r="R202">
        <f t="shared" si="9"/>
        <v>27</v>
      </c>
      <c r="S202">
        <f t="shared" ca="1" si="10"/>
        <v>0</v>
      </c>
      <c r="T202">
        <f t="shared" si="11"/>
        <v>199</v>
      </c>
      <c r="U202" t="str">
        <f>IF($T202&lt;=Z$4,INDEX(TypicalCriticalitiesMAHBarrier[Barrier Family Description],MATCH($T202,TypicalCriticalitiesMAHBarrier[Barrier Family ID],0)),"")</f>
        <v/>
      </c>
      <c r="V202" t="str">
        <f ca="1">IF($T202&lt;=AA$4,INDEX(TypicalCriticalitiesMAHBarrier[Typical Components],MATCH($T202,TypicalCriticalitiesMAHBarrier[Column2],0)),"")</f>
        <v/>
      </c>
      <c r="W202" t="str">
        <f ca="1">IF($T202&lt;=AA$4,INDEX(TypicalCriticalitiesMAHBarrier[Typical Criticality],MATCH($T202,TypicalCriticalitiesMAHBarrier[Column2],0)),"")</f>
        <v/>
      </c>
      <c r="AE202" s="44"/>
      <c r="AF202" s="44"/>
      <c r="AG202" s="44"/>
      <c r="AH202" s="44"/>
      <c r="AI202" s="44"/>
      <c r="AJ202" s="44"/>
    </row>
    <row r="203" spans="14:36" x14ac:dyDescent="0.25">
      <c r="N203" t="s">
        <v>446</v>
      </c>
      <c r="O203" t="str">
        <f t="shared" si="12"/>
        <v xml:space="preserve">Bunding, Open and Closed Hazardous Drains </v>
      </c>
      <c r="P203" t="s">
        <v>451</v>
      </c>
      <c r="Q203" t="s">
        <v>452</v>
      </c>
      <c r="R203">
        <f t="shared" si="9"/>
        <v>27</v>
      </c>
      <c r="S203">
        <f t="shared" ca="1" si="10"/>
        <v>0</v>
      </c>
      <c r="T203">
        <f t="shared" si="11"/>
        <v>200</v>
      </c>
      <c r="U203" t="str">
        <f>IF($T203&lt;=Z$4,INDEX(TypicalCriticalitiesMAHBarrier[Barrier Family Description],MATCH($T203,TypicalCriticalitiesMAHBarrier[Barrier Family ID],0)),"")</f>
        <v/>
      </c>
      <c r="V203" t="str">
        <f ca="1">IF($T203&lt;=AA$4,INDEX(TypicalCriticalitiesMAHBarrier[Typical Components],MATCH($T203,TypicalCriticalitiesMAHBarrier[Column2],0)),"")</f>
        <v/>
      </c>
      <c r="W203" t="str">
        <f ca="1">IF($T203&lt;=AA$4,INDEX(TypicalCriticalitiesMAHBarrier[Typical Criticality],MATCH($T203,TypicalCriticalitiesMAHBarrier[Column2],0)),"")</f>
        <v/>
      </c>
      <c r="AE203" s="44"/>
      <c r="AF203" s="44"/>
      <c r="AG203" s="44"/>
      <c r="AH203" s="44"/>
      <c r="AI203" s="44"/>
      <c r="AJ203" s="44"/>
    </row>
    <row r="204" spans="14:36" x14ac:dyDescent="0.25">
      <c r="N204" t="s">
        <v>446</v>
      </c>
      <c r="O204" t="str">
        <f t="shared" si="12"/>
        <v xml:space="preserve">Bunding, Open and Closed Hazardous Drains </v>
      </c>
      <c r="P204" t="s">
        <v>453</v>
      </c>
      <c r="Q204" t="s">
        <v>452</v>
      </c>
      <c r="R204">
        <f t="shared" si="9"/>
        <v>27</v>
      </c>
      <c r="S204">
        <f t="shared" ca="1" si="10"/>
        <v>0</v>
      </c>
      <c r="T204">
        <f t="shared" si="11"/>
        <v>201</v>
      </c>
      <c r="U204" t="str">
        <f>IF($T204&lt;=Z$4,INDEX(TypicalCriticalitiesMAHBarrier[Barrier Family Description],MATCH($T204,TypicalCriticalitiesMAHBarrier[Barrier Family ID],0)),"")</f>
        <v/>
      </c>
      <c r="V204" t="str">
        <f ca="1">IF($T204&lt;=AA$4,INDEX(TypicalCriticalitiesMAHBarrier[Typical Components],MATCH($T204,TypicalCriticalitiesMAHBarrier[Column2],0)),"")</f>
        <v/>
      </c>
      <c r="W204" t="str">
        <f ca="1">IF($T204&lt;=AA$4,INDEX(TypicalCriticalitiesMAHBarrier[Typical Criticality],MATCH($T204,TypicalCriticalitiesMAHBarrier[Column2],0)),"")</f>
        <v/>
      </c>
      <c r="AE204" s="44"/>
      <c r="AF204" s="44"/>
      <c r="AG204" s="44"/>
      <c r="AH204" s="44"/>
      <c r="AI204" s="44"/>
      <c r="AJ204" s="44"/>
    </row>
    <row r="205" spans="14:36" x14ac:dyDescent="0.25">
      <c r="N205" t="s">
        <v>446</v>
      </c>
      <c r="O205" t="str">
        <f t="shared" si="12"/>
        <v xml:space="preserve">Bunding, Open and Closed Hazardous Drains </v>
      </c>
      <c r="P205" t="s">
        <v>454</v>
      </c>
      <c r="Q205" t="s">
        <v>452</v>
      </c>
      <c r="R205">
        <f t="shared" si="9"/>
        <v>27</v>
      </c>
      <c r="S205">
        <f t="shared" ca="1" si="10"/>
        <v>0</v>
      </c>
      <c r="T205">
        <f t="shared" si="11"/>
        <v>202</v>
      </c>
      <c r="U205" t="str">
        <f>IF($T205&lt;=Z$4,INDEX(TypicalCriticalitiesMAHBarrier[Barrier Family Description],MATCH($T205,TypicalCriticalitiesMAHBarrier[Barrier Family ID],0)),"")</f>
        <v/>
      </c>
      <c r="V205" t="str">
        <f ca="1">IF($T205&lt;=AA$4,INDEX(TypicalCriticalitiesMAHBarrier[Typical Components],MATCH($T205,TypicalCriticalitiesMAHBarrier[Column2],0)),"")</f>
        <v/>
      </c>
      <c r="W205" t="str">
        <f ca="1">IF($T205&lt;=AA$4,INDEX(TypicalCriticalitiesMAHBarrier[Typical Criticality],MATCH($T205,TypicalCriticalitiesMAHBarrier[Column2],0)),"")</f>
        <v/>
      </c>
      <c r="AE205" s="44"/>
      <c r="AF205" s="44"/>
      <c r="AG205" s="44"/>
      <c r="AH205" s="44"/>
      <c r="AI205" s="44"/>
      <c r="AJ205" s="44"/>
    </row>
    <row r="206" spans="14:36" x14ac:dyDescent="0.25">
      <c r="N206" t="s">
        <v>446</v>
      </c>
      <c r="O206" t="str">
        <f t="shared" si="12"/>
        <v xml:space="preserve">Bunding, Open and Closed Hazardous Drains </v>
      </c>
      <c r="P206" t="s">
        <v>455</v>
      </c>
      <c r="Q206" t="s">
        <v>449</v>
      </c>
      <c r="R206">
        <f t="shared" si="9"/>
        <v>27</v>
      </c>
      <c r="S206">
        <f t="shared" ca="1" si="10"/>
        <v>0</v>
      </c>
      <c r="T206">
        <f t="shared" si="11"/>
        <v>203</v>
      </c>
      <c r="U206" t="str">
        <f>IF($T206&lt;=Z$4,INDEX(TypicalCriticalitiesMAHBarrier[Barrier Family Description],MATCH($T206,TypicalCriticalitiesMAHBarrier[Barrier Family ID],0)),"")</f>
        <v/>
      </c>
      <c r="V206" t="str">
        <f ca="1">IF($T206&lt;=AA$4,INDEX(TypicalCriticalitiesMAHBarrier[Typical Components],MATCH($T206,TypicalCriticalitiesMAHBarrier[Column2],0)),"")</f>
        <v/>
      </c>
      <c r="W206" t="str">
        <f ca="1">IF($T206&lt;=AA$4,INDEX(TypicalCriticalitiesMAHBarrier[Typical Criticality],MATCH($T206,TypicalCriticalitiesMAHBarrier[Column2],0)),"")</f>
        <v/>
      </c>
      <c r="AE206" s="44"/>
      <c r="AF206" s="44"/>
      <c r="AG206" s="44"/>
      <c r="AH206" s="44"/>
      <c r="AI206" s="44"/>
      <c r="AJ206" s="44"/>
    </row>
    <row r="207" spans="14:36" x14ac:dyDescent="0.25">
      <c r="N207" t="s">
        <v>446</v>
      </c>
      <c r="O207" t="str">
        <f t="shared" si="12"/>
        <v xml:space="preserve">Bunding, Open and Closed Hazardous Drains </v>
      </c>
      <c r="P207" t="s">
        <v>456</v>
      </c>
      <c r="Q207" t="s">
        <v>449</v>
      </c>
      <c r="R207">
        <f t="shared" si="9"/>
        <v>27</v>
      </c>
      <c r="S207">
        <f t="shared" ca="1" si="10"/>
        <v>0</v>
      </c>
      <c r="T207">
        <f t="shared" si="11"/>
        <v>204</v>
      </c>
      <c r="U207" t="str">
        <f>IF($T207&lt;=Z$4,INDEX(TypicalCriticalitiesMAHBarrier[Barrier Family Description],MATCH($T207,TypicalCriticalitiesMAHBarrier[Barrier Family ID],0)),"")</f>
        <v/>
      </c>
      <c r="V207" t="str">
        <f ca="1">IF($T207&lt;=AA$4,INDEX(TypicalCriticalitiesMAHBarrier[Typical Components],MATCH($T207,TypicalCriticalitiesMAHBarrier[Column2],0)),"")</f>
        <v/>
      </c>
      <c r="W207" t="str">
        <f ca="1">IF($T207&lt;=AA$4,INDEX(TypicalCriticalitiesMAHBarrier[Typical Criticality],MATCH($T207,TypicalCriticalitiesMAHBarrier[Column2],0)),"")</f>
        <v/>
      </c>
      <c r="AE207" s="44"/>
      <c r="AF207" s="44"/>
      <c r="AG207" s="44"/>
      <c r="AH207" s="44"/>
      <c r="AI207" s="44"/>
      <c r="AJ207" s="44"/>
    </row>
    <row r="208" spans="14:36" x14ac:dyDescent="0.25">
      <c r="N208" t="s">
        <v>446</v>
      </c>
      <c r="O208" t="str">
        <f t="shared" si="12"/>
        <v xml:space="preserve">Bunding, Open and Closed Hazardous Drains </v>
      </c>
      <c r="P208" t="s">
        <v>457</v>
      </c>
      <c r="Q208" t="s">
        <v>452</v>
      </c>
      <c r="R208">
        <f t="shared" si="9"/>
        <v>27</v>
      </c>
      <c r="S208">
        <f t="shared" ca="1" si="10"/>
        <v>0</v>
      </c>
      <c r="T208">
        <f t="shared" si="11"/>
        <v>205</v>
      </c>
      <c r="U208" t="str">
        <f>IF($T208&lt;=Z$4,INDEX(TypicalCriticalitiesMAHBarrier[Barrier Family Description],MATCH($T208,TypicalCriticalitiesMAHBarrier[Barrier Family ID],0)),"")</f>
        <v/>
      </c>
      <c r="V208" t="str">
        <f ca="1">IF($T208&lt;=AA$4,INDEX(TypicalCriticalitiesMAHBarrier[Typical Components],MATCH($T208,TypicalCriticalitiesMAHBarrier[Column2],0)),"")</f>
        <v/>
      </c>
      <c r="W208" t="str">
        <f ca="1">IF($T208&lt;=AA$4,INDEX(TypicalCriticalitiesMAHBarrier[Typical Criticality],MATCH($T208,TypicalCriticalitiesMAHBarrier[Column2],0)),"")</f>
        <v/>
      </c>
      <c r="AE208" s="44"/>
      <c r="AF208" s="44"/>
      <c r="AG208" s="44"/>
      <c r="AH208" s="44"/>
      <c r="AI208" s="44"/>
      <c r="AJ208" s="44"/>
    </row>
    <row r="209" spans="14:36" x14ac:dyDescent="0.25">
      <c r="N209" t="s">
        <v>458</v>
      </c>
      <c r="O209" t="s">
        <v>459</v>
      </c>
      <c r="P209" t="s">
        <v>460</v>
      </c>
      <c r="Q209" t="s">
        <v>452</v>
      </c>
      <c r="R209">
        <f t="shared" si="9"/>
        <v>28</v>
      </c>
      <c r="S209">
        <f t="shared" ca="1" si="10"/>
        <v>0</v>
      </c>
      <c r="T209">
        <f t="shared" si="11"/>
        <v>206</v>
      </c>
      <c r="U209" t="str">
        <f>IF($T209&lt;=Z$4,INDEX(TypicalCriticalitiesMAHBarrier[Barrier Family Description],MATCH($T209,TypicalCriticalitiesMAHBarrier[Barrier Family ID],0)),"")</f>
        <v/>
      </c>
      <c r="V209" t="str">
        <f ca="1">IF($T209&lt;=AA$4,INDEX(TypicalCriticalitiesMAHBarrier[Typical Components],MATCH($T209,TypicalCriticalitiesMAHBarrier[Column2],0)),"")</f>
        <v/>
      </c>
      <c r="W209" t="str">
        <f ca="1">IF($T209&lt;=AA$4,INDEX(TypicalCriticalitiesMAHBarrier[Typical Criticality],MATCH($T209,TypicalCriticalitiesMAHBarrier[Column2],0)),"")</f>
        <v/>
      </c>
      <c r="AE209" s="44"/>
      <c r="AF209" s="44"/>
      <c r="AG209" s="44"/>
      <c r="AH209" s="44"/>
      <c r="AI209" s="44"/>
      <c r="AJ209" s="44"/>
    </row>
    <row r="210" spans="14:36" x14ac:dyDescent="0.25">
      <c r="N210" t="s">
        <v>461</v>
      </c>
      <c r="O210" t="s">
        <v>462</v>
      </c>
      <c r="P210" t="s">
        <v>463</v>
      </c>
      <c r="Q210" t="s">
        <v>452</v>
      </c>
      <c r="R210">
        <f t="shared" si="9"/>
        <v>29</v>
      </c>
      <c r="S210">
        <f t="shared" ca="1" si="10"/>
        <v>0</v>
      </c>
      <c r="T210">
        <f t="shared" si="11"/>
        <v>207</v>
      </c>
      <c r="U210" t="str">
        <f>IF($T210&lt;=Z$4,INDEX(TypicalCriticalitiesMAHBarrier[Barrier Family Description],MATCH($T210,TypicalCriticalitiesMAHBarrier[Barrier Family ID],0)),"")</f>
        <v/>
      </c>
      <c r="V210" t="str">
        <f ca="1">IF($T210&lt;=AA$4,INDEX(TypicalCriticalitiesMAHBarrier[Typical Components],MATCH($T210,TypicalCriticalitiesMAHBarrier[Column2],0)),"")</f>
        <v/>
      </c>
      <c r="W210" t="str">
        <f ca="1">IF($T210&lt;=AA$4,INDEX(TypicalCriticalitiesMAHBarrier[Typical Criticality],MATCH($T210,TypicalCriticalitiesMAHBarrier[Column2],0)),"")</f>
        <v/>
      </c>
      <c r="AE210" s="44"/>
      <c r="AF210" s="44"/>
      <c r="AG210" s="44"/>
      <c r="AH210" s="44"/>
      <c r="AI210" s="44"/>
      <c r="AJ210" s="44"/>
    </row>
    <row r="211" spans="14:36" x14ac:dyDescent="0.25">
      <c r="N211" t="s">
        <v>461</v>
      </c>
      <c r="O211" t="str">
        <f>O210</f>
        <v xml:space="preserve">Blast Overpressure Protection </v>
      </c>
      <c r="P211" t="s">
        <v>464</v>
      </c>
      <c r="Q211" t="s">
        <v>452</v>
      </c>
      <c r="R211">
        <f t="shared" si="9"/>
        <v>29</v>
      </c>
      <c r="S211">
        <f t="shared" ca="1" si="10"/>
        <v>0</v>
      </c>
      <c r="T211">
        <f t="shared" si="11"/>
        <v>208</v>
      </c>
      <c r="U211" t="str">
        <f>IF($T211&lt;=Z$4,INDEX(TypicalCriticalitiesMAHBarrier[Barrier Family Description],MATCH($T211,TypicalCriticalitiesMAHBarrier[Barrier Family ID],0)),"")</f>
        <v/>
      </c>
      <c r="V211" t="str">
        <f ca="1">IF($T211&lt;=AA$4,INDEX(TypicalCriticalitiesMAHBarrier[Typical Components],MATCH($T211,TypicalCriticalitiesMAHBarrier[Column2],0)),"")</f>
        <v/>
      </c>
      <c r="W211" t="str">
        <f ca="1">IF($T211&lt;=AA$4,INDEX(TypicalCriticalitiesMAHBarrier[Typical Criticality],MATCH($T211,TypicalCriticalitiesMAHBarrier[Column2],0)),"")</f>
        <v/>
      </c>
      <c r="AE211" s="44"/>
      <c r="AF211" s="44"/>
      <c r="AG211" s="44"/>
      <c r="AH211" s="44"/>
      <c r="AI211" s="44"/>
      <c r="AJ211" s="44"/>
    </row>
    <row r="212" spans="14:36" x14ac:dyDescent="0.25">
      <c r="N212" t="s">
        <v>465</v>
      </c>
      <c r="O212" t="s">
        <v>466</v>
      </c>
      <c r="P212" t="s">
        <v>467</v>
      </c>
      <c r="Q212" t="s">
        <v>452</v>
      </c>
      <c r="R212">
        <f t="shared" si="9"/>
        <v>30</v>
      </c>
      <c r="S212">
        <f t="shared" ca="1" si="10"/>
        <v>0</v>
      </c>
      <c r="T212">
        <f t="shared" si="11"/>
        <v>209</v>
      </c>
      <c r="U212" t="str">
        <f>IF($T212&lt;=Z$4,INDEX(TypicalCriticalitiesMAHBarrier[Barrier Family Description],MATCH($T212,TypicalCriticalitiesMAHBarrier[Barrier Family ID],0)),"")</f>
        <v/>
      </c>
      <c r="V212" t="str">
        <f ca="1">IF($T212&lt;=AA$4,INDEX(TypicalCriticalitiesMAHBarrier[Typical Components],MATCH($T212,TypicalCriticalitiesMAHBarrier[Column2],0)),"")</f>
        <v/>
      </c>
      <c r="W212" t="str">
        <f ca="1">IF($T212&lt;=AA$4,INDEX(TypicalCriticalitiesMAHBarrier[Typical Criticality],MATCH($T212,TypicalCriticalitiesMAHBarrier[Column2],0)),"")</f>
        <v/>
      </c>
      <c r="AE212" s="44"/>
      <c r="AF212" s="44"/>
      <c r="AG212" s="44"/>
      <c r="AH212" s="44"/>
      <c r="AI212" s="44"/>
      <c r="AJ212" s="44"/>
    </row>
    <row r="213" spans="14:36" x14ac:dyDescent="0.25">
      <c r="N213" t="s">
        <v>465</v>
      </c>
      <c r="O213" t="s">
        <v>466</v>
      </c>
      <c r="P213" t="s">
        <v>468</v>
      </c>
      <c r="Q213" t="s">
        <v>449</v>
      </c>
      <c r="R213">
        <f t="shared" si="9"/>
        <v>30</v>
      </c>
      <c r="S213">
        <f t="shared" ca="1" si="10"/>
        <v>0</v>
      </c>
      <c r="T213">
        <f t="shared" si="11"/>
        <v>210</v>
      </c>
      <c r="U213" t="str">
        <f>IF($T213&lt;=Z$4,INDEX(TypicalCriticalitiesMAHBarrier[Barrier Family Description],MATCH($T213,TypicalCriticalitiesMAHBarrier[Barrier Family ID],0)),"")</f>
        <v/>
      </c>
      <c r="V213" t="str">
        <f ca="1">IF($T213&lt;=AA$4,INDEX(TypicalCriticalitiesMAHBarrier[Typical Components],MATCH($T213,TypicalCriticalitiesMAHBarrier[Column2],0)),"")</f>
        <v/>
      </c>
      <c r="W213" t="str">
        <f ca="1">IF($T213&lt;=AA$4,INDEX(TypicalCriticalitiesMAHBarrier[Typical Criticality],MATCH($T213,TypicalCriticalitiesMAHBarrier[Column2],0)),"")</f>
        <v/>
      </c>
      <c r="AE213" s="44"/>
      <c r="AF213" s="44"/>
      <c r="AG213" s="44"/>
      <c r="AH213" s="44"/>
      <c r="AI213" s="44"/>
      <c r="AJ213" s="44"/>
    </row>
    <row r="214" spans="14:36" x14ac:dyDescent="0.25">
      <c r="N214" t="s">
        <v>469</v>
      </c>
      <c r="O214" t="s">
        <v>470</v>
      </c>
      <c r="P214" t="s">
        <v>471</v>
      </c>
      <c r="Q214" t="s">
        <v>452</v>
      </c>
      <c r="R214">
        <f t="shared" si="9"/>
        <v>31</v>
      </c>
      <c r="S214">
        <f t="shared" ca="1" si="10"/>
        <v>0</v>
      </c>
      <c r="T214">
        <f t="shared" si="11"/>
        <v>211</v>
      </c>
      <c r="U214" t="str">
        <f>IF($T214&lt;=Z$4,INDEX(TypicalCriticalitiesMAHBarrier[Barrier Family Description],MATCH($T214,TypicalCriticalitiesMAHBarrier[Barrier Family ID],0)),"")</f>
        <v/>
      </c>
      <c r="V214" t="str">
        <f ca="1">IF($T214&lt;=AA$4,INDEX(TypicalCriticalitiesMAHBarrier[Typical Components],MATCH($T214,TypicalCriticalitiesMAHBarrier[Column2],0)),"")</f>
        <v/>
      </c>
      <c r="W214" t="str">
        <f ca="1">IF($T214&lt;=AA$4,INDEX(TypicalCriticalitiesMAHBarrier[Typical Criticality],MATCH($T214,TypicalCriticalitiesMAHBarrier[Column2],0)),"")</f>
        <v/>
      </c>
      <c r="AE214" s="44"/>
      <c r="AF214" s="44"/>
      <c r="AG214" s="44"/>
      <c r="AH214" s="44"/>
      <c r="AI214" s="44"/>
      <c r="AJ214" s="44"/>
    </row>
    <row r="215" spans="14:36" x14ac:dyDescent="0.25">
      <c r="N215" t="s">
        <v>469</v>
      </c>
      <c r="O215" t="s">
        <v>472</v>
      </c>
      <c r="P215" t="s">
        <v>473</v>
      </c>
      <c r="Q215" t="s">
        <v>452</v>
      </c>
      <c r="R215">
        <f t="shared" si="9"/>
        <v>32</v>
      </c>
      <c r="S215">
        <f t="shared" ca="1" si="10"/>
        <v>1</v>
      </c>
      <c r="T215">
        <f t="shared" si="11"/>
        <v>212</v>
      </c>
      <c r="U215" t="str">
        <f>IF($T215&lt;=Z$4,INDEX(TypicalCriticalitiesMAHBarrier[Barrier Family Description],MATCH($T215,TypicalCriticalitiesMAHBarrier[Barrier Family ID],0)),"")</f>
        <v/>
      </c>
      <c r="V215" t="str">
        <f ca="1">IF($T215&lt;=AA$4,INDEX(TypicalCriticalitiesMAHBarrier[Typical Components],MATCH($T215,TypicalCriticalitiesMAHBarrier[Column2],0)),"")</f>
        <v/>
      </c>
      <c r="W215" t="str">
        <f ca="1">IF($T215&lt;=AA$4,INDEX(TypicalCriticalitiesMAHBarrier[Typical Criticality],MATCH($T215,TypicalCriticalitiesMAHBarrier[Column2],0)),"")</f>
        <v/>
      </c>
      <c r="AE215" s="44"/>
      <c r="AF215" s="44"/>
      <c r="AG215" s="44"/>
      <c r="AH215" s="44"/>
      <c r="AI215" s="44"/>
      <c r="AJ215" s="44"/>
    </row>
    <row r="216" spans="14:36" x14ac:dyDescent="0.25">
      <c r="N216" t="s">
        <v>474</v>
      </c>
      <c r="O216" t="s">
        <v>475</v>
      </c>
      <c r="P216" t="s">
        <v>476</v>
      </c>
      <c r="Q216" t="s">
        <v>0</v>
      </c>
      <c r="R216">
        <f t="shared" si="9"/>
        <v>33</v>
      </c>
      <c r="S216">
        <f t="shared" ca="1" si="10"/>
        <v>1</v>
      </c>
      <c r="T216">
        <f t="shared" si="11"/>
        <v>213</v>
      </c>
      <c r="U216" t="str">
        <f>IF($T216&lt;=Z$4,INDEX(TypicalCriticalitiesMAHBarrier[Barrier Family Description],MATCH($T216,TypicalCriticalitiesMAHBarrier[Barrier Family ID],0)),"")</f>
        <v/>
      </c>
      <c r="V216" t="str">
        <f ca="1">IF($T216&lt;=AA$4,INDEX(TypicalCriticalitiesMAHBarrier[Typical Components],MATCH($T216,TypicalCriticalitiesMAHBarrier[Column2],0)),"")</f>
        <v/>
      </c>
      <c r="W216" t="str">
        <f ca="1">IF($T216&lt;=AA$4,INDEX(TypicalCriticalitiesMAHBarrier[Typical Criticality],MATCH($T216,TypicalCriticalitiesMAHBarrier[Column2],0)),"")</f>
        <v/>
      </c>
      <c r="AE216" s="44"/>
      <c r="AF216" s="44"/>
      <c r="AG216" s="44"/>
      <c r="AH216" s="44"/>
      <c r="AI216" s="44"/>
      <c r="AJ216" s="44"/>
    </row>
    <row r="217" spans="14:36" x14ac:dyDescent="0.25">
      <c r="N217" t="s">
        <v>474</v>
      </c>
      <c r="O217" t="s">
        <v>625</v>
      </c>
      <c r="P217" t="s">
        <v>626</v>
      </c>
      <c r="Q217" t="s">
        <v>452</v>
      </c>
      <c r="R217">
        <f t="shared" si="9"/>
        <v>34</v>
      </c>
      <c r="S217">
        <f t="shared" ca="1" si="10"/>
        <v>1</v>
      </c>
      <c r="T217">
        <f t="shared" si="11"/>
        <v>214</v>
      </c>
      <c r="U217" t="str">
        <f>IF($T217&lt;=Z$4,INDEX(TypicalCriticalitiesMAHBarrier[Barrier Family Description],MATCH($T217,TypicalCriticalitiesMAHBarrier[Barrier Family ID],0)),"")</f>
        <v/>
      </c>
      <c r="V217" t="str">
        <f ca="1">IF($T217&lt;=AA$4,INDEX(TypicalCriticalitiesMAHBarrier[Typical Components],MATCH($T217,TypicalCriticalitiesMAHBarrier[Column2],0)),"")</f>
        <v/>
      </c>
      <c r="W217" t="str">
        <f ca="1">IF($T217&lt;=AA$4,INDEX(TypicalCriticalitiesMAHBarrier[Typical Criticality],MATCH($T217,TypicalCriticalitiesMAHBarrier[Column2],0)),"")</f>
        <v/>
      </c>
      <c r="AE217" s="44"/>
      <c r="AF217" s="44"/>
      <c r="AG217" s="44"/>
      <c r="AH217" s="44"/>
      <c r="AI217" s="44"/>
      <c r="AJ217" s="44"/>
    </row>
    <row r="218" spans="14:36" x14ac:dyDescent="0.25">
      <c r="N218" t="s">
        <v>474</v>
      </c>
      <c r="O218" t="s">
        <v>627</v>
      </c>
      <c r="P218" t="s">
        <v>628</v>
      </c>
      <c r="Q218" t="s">
        <v>0</v>
      </c>
      <c r="R218">
        <f t="shared" si="9"/>
        <v>35</v>
      </c>
      <c r="S218">
        <f t="shared" ca="1" si="10"/>
        <v>1</v>
      </c>
      <c r="T218">
        <f t="shared" si="11"/>
        <v>215</v>
      </c>
      <c r="U218" t="str">
        <f>IF($T218&lt;=Z$4,INDEX(TypicalCriticalitiesMAHBarrier[Barrier Family Description],MATCH($T218,TypicalCriticalitiesMAHBarrier[Barrier Family ID],0)),"")</f>
        <v/>
      </c>
      <c r="V218" t="str">
        <f ca="1">IF($T218&lt;=AA$4,INDEX(TypicalCriticalitiesMAHBarrier[Typical Components],MATCH($T218,TypicalCriticalitiesMAHBarrier[Column2],0)),"")</f>
        <v/>
      </c>
      <c r="W218" t="str">
        <f ca="1">IF($T218&lt;=AA$4,INDEX(TypicalCriticalitiesMAHBarrier[Typical Criticality],MATCH($T218,TypicalCriticalitiesMAHBarrier[Column2],0)),"")</f>
        <v/>
      </c>
      <c r="AE218" s="44"/>
      <c r="AF218" s="44"/>
      <c r="AG218" s="44"/>
      <c r="AH218" s="44"/>
      <c r="AI218" s="44"/>
      <c r="AJ218" s="44"/>
    </row>
    <row r="219" spans="14:36" x14ac:dyDescent="0.25">
      <c r="N219" t="s">
        <v>474</v>
      </c>
      <c r="O219" t="s">
        <v>629</v>
      </c>
      <c r="Q219" t="s">
        <v>0</v>
      </c>
      <c r="R219">
        <f t="shared" si="9"/>
        <v>36</v>
      </c>
      <c r="S219">
        <f t="shared" ca="1" si="10"/>
        <v>1</v>
      </c>
      <c r="T219">
        <f t="shared" si="11"/>
        <v>216</v>
      </c>
      <c r="U219" t="str">
        <f>IF($T219&lt;=Z$4,INDEX(TypicalCriticalitiesMAHBarrier[Barrier Family Description],MATCH($T219,TypicalCriticalitiesMAHBarrier[Barrier Family ID],0)),"")</f>
        <v/>
      </c>
      <c r="V219" t="str">
        <f ca="1">IF($T219&lt;=AA$4,INDEX(TypicalCriticalitiesMAHBarrier[Typical Components],MATCH($T219,TypicalCriticalitiesMAHBarrier[Column2],0)),"")</f>
        <v/>
      </c>
      <c r="W219" t="str">
        <f ca="1">IF($T219&lt;=AA$4,INDEX(TypicalCriticalitiesMAHBarrier[Typical Criticality],MATCH($T219,TypicalCriticalitiesMAHBarrier[Column2],0)),"")</f>
        <v/>
      </c>
      <c r="AE219" s="44"/>
      <c r="AF219" s="44"/>
      <c r="AG219" s="44"/>
      <c r="AH219" s="44"/>
      <c r="AI219" s="44"/>
      <c r="AJ219" s="44"/>
    </row>
    <row r="220" spans="14:36" x14ac:dyDescent="0.25">
      <c r="N220" t="s">
        <v>474</v>
      </c>
      <c r="O220" t="s">
        <v>630</v>
      </c>
      <c r="P220" t="s">
        <v>631</v>
      </c>
      <c r="Q220" t="s">
        <v>0</v>
      </c>
      <c r="R220">
        <f t="shared" si="9"/>
        <v>37</v>
      </c>
      <c r="S220">
        <f t="shared" ca="1" si="10"/>
        <v>1</v>
      </c>
      <c r="T220">
        <f t="shared" si="11"/>
        <v>217</v>
      </c>
      <c r="U220" t="str">
        <f>IF($T220&lt;=Z$4,INDEX(TypicalCriticalitiesMAHBarrier[Barrier Family Description],MATCH($T220,TypicalCriticalitiesMAHBarrier[Barrier Family ID],0)),"")</f>
        <v/>
      </c>
      <c r="V220" t="str">
        <f ca="1">IF($T220&lt;=AA$4,INDEX(TypicalCriticalitiesMAHBarrier[Typical Components],MATCH($T220,TypicalCriticalitiesMAHBarrier[Column2],0)),"")</f>
        <v/>
      </c>
      <c r="W220" t="str">
        <f ca="1">IF($T220&lt;=AA$4,INDEX(TypicalCriticalitiesMAHBarrier[Typical Criticality],MATCH($T220,TypicalCriticalitiesMAHBarrier[Column2],0)),"")</f>
        <v/>
      </c>
      <c r="AE220" s="44"/>
      <c r="AF220" s="44"/>
      <c r="AG220" s="44"/>
      <c r="AH220" s="44"/>
      <c r="AI220" s="44"/>
      <c r="AJ220" s="44"/>
    </row>
    <row r="221" spans="14:36" x14ac:dyDescent="0.25">
      <c r="N221" t="s">
        <v>477</v>
      </c>
      <c r="O221" t="s">
        <v>478</v>
      </c>
      <c r="P221" t="s">
        <v>479</v>
      </c>
      <c r="Q221" t="s">
        <v>0</v>
      </c>
      <c r="R221">
        <f t="shared" si="9"/>
        <v>38</v>
      </c>
      <c r="S221">
        <f t="shared" ca="1" si="10"/>
        <v>1</v>
      </c>
      <c r="T221">
        <f t="shared" si="11"/>
        <v>218</v>
      </c>
      <c r="U221" t="str">
        <f>IF($T221&lt;=Z$4,INDEX(TypicalCriticalitiesMAHBarrier[Barrier Family Description],MATCH($T221,TypicalCriticalitiesMAHBarrier[Barrier Family ID],0)),"")</f>
        <v/>
      </c>
      <c r="V221" t="str">
        <f ca="1">IF($T221&lt;=AA$4,INDEX(TypicalCriticalitiesMAHBarrier[Typical Components],MATCH($T221,TypicalCriticalitiesMAHBarrier[Column2],0)),"")</f>
        <v/>
      </c>
      <c r="W221" t="str">
        <f ca="1">IF($T221&lt;=AA$4,INDEX(TypicalCriticalitiesMAHBarrier[Typical Criticality],MATCH($T221,TypicalCriticalitiesMAHBarrier[Column2],0)),"")</f>
        <v/>
      </c>
      <c r="AE221" s="44"/>
      <c r="AF221" s="44"/>
      <c r="AG221" s="44"/>
      <c r="AH221" s="44"/>
      <c r="AI221" s="44"/>
      <c r="AJ221" s="44"/>
    </row>
    <row r="222" spans="14:36" x14ac:dyDescent="0.25">
      <c r="N222" t="s">
        <v>477</v>
      </c>
      <c r="O222" t="s">
        <v>478</v>
      </c>
      <c r="P222" t="s">
        <v>480</v>
      </c>
      <c r="Q222" t="s">
        <v>0</v>
      </c>
      <c r="R222">
        <f t="shared" si="9"/>
        <v>38</v>
      </c>
      <c r="S222">
        <f t="shared" ca="1" si="10"/>
        <v>1</v>
      </c>
      <c r="T222">
        <f t="shared" si="11"/>
        <v>219</v>
      </c>
      <c r="U222" t="str">
        <f>IF($T222&lt;=Z$4,INDEX(TypicalCriticalitiesMAHBarrier[Barrier Family Description],MATCH($T222,TypicalCriticalitiesMAHBarrier[Barrier Family ID],0)),"")</f>
        <v/>
      </c>
      <c r="V222" t="str">
        <f ca="1">IF($T222&lt;=AA$4,INDEX(TypicalCriticalitiesMAHBarrier[Typical Components],MATCH($T222,TypicalCriticalitiesMAHBarrier[Column2],0)),"")</f>
        <v/>
      </c>
      <c r="W222" t="str">
        <f ca="1">IF($T222&lt;=AA$4,INDEX(TypicalCriticalitiesMAHBarrier[Typical Criticality],MATCH($T222,TypicalCriticalitiesMAHBarrier[Column2],0)),"")</f>
        <v/>
      </c>
      <c r="AE222" s="44"/>
      <c r="AF222" s="44"/>
      <c r="AG222" s="44"/>
      <c r="AH222" s="44"/>
      <c r="AI222" s="44"/>
      <c r="AJ222" s="44"/>
    </row>
    <row r="223" spans="14:36" x14ac:dyDescent="0.25">
      <c r="N223" t="s">
        <v>477</v>
      </c>
      <c r="O223" t="s">
        <v>478</v>
      </c>
      <c r="P223" t="s">
        <v>481</v>
      </c>
      <c r="Q223" t="s">
        <v>1</v>
      </c>
      <c r="R223">
        <f t="shared" si="9"/>
        <v>38</v>
      </c>
      <c r="S223">
        <f t="shared" ca="1" si="10"/>
        <v>1</v>
      </c>
      <c r="T223">
        <f t="shared" si="11"/>
        <v>220</v>
      </c>
      <c r="U223" t="str">
        <f>IF($T223&lt;=Z$4,INDEX(TypicalCriticalitiesMAHBarrier[Barrier Family Description],MATCH($T223,TypicalCriticalitiesMAHBarrier[Barrier Family ID],0)),"")</f>
        <v/>
      </c>
      <c r="V223" t="str">
        <f ca="1">IF($T223&lt;=AA$4,INDEX(TypicalCriticalitiesMAHBarrier[Typical Components],MATCH($T223,TypicalCriticalitiesMAHBarrier[Column2],0)),"")</f>
        <v/>
      </c>
      <c r="W223" t="str">
        <f ca="1">IF($T223&lt;=AA$4,INDEX(TypicalCriticalitiesMAHBarrier[Typical Criticality],MATCH($T223,TypicalCriticalitiesMAHBarrier[Column2],0)),"")</f>
        <v/>
      </c>
      <c r="AE223" s="44"/>
      <c r="AF223" s="44"/>
      <c r="AG223" s="44"/>
      <c r="AH223" s="44"/>
      <c r="AI223" s="44"/>
      <c r="AJ223" s="44"/>
    </row>
    <row r="224" spans="14:36" x14ac:dyDescent="0.25">
      <c r="N224" t="s">
        <v>477</v>
      </c>
      <c r="O224" t="s">
        <v>478</v>
      </c>
      <c r="P224" t="s">
        <v>482</v>
      </c>
      <c r="Q224" t="s">
        <v>0</v>
      </c>
      <c r="R224">
        <f t="shared" si="9"/>
        <v>38</v>
      </c>
      <c r="S224">
        <f t="shared" ca="1" si="10"/>
        <v>1</v>
      </c>
      <c r="T224">
        <f t="shared" si="11"/>
        <v>221</v>
      </c>
      <c r="U224" t="str">
        <f>IF($T224&lt;=Z$4,INDEX(TypicalCriticalitiesMAHBarrier[Barrier Family Description],MATCH($T224,TypicalCriticalitiesMAHBarrier[Barrier Family ID],0)),"")</f>
        <v/>
      </c>
      <c r="V224" t="str">
        <f ca="1">IF($T224&lt;=AA$4,INDEX(TypicalCriticalitiesMAHBarrier[Typical Components],MATCH($T224,TypicalCriticalitiesMAHBarrier[Column2],0)),"")</f>
        <v/>
      </c>
      <c r="W224" t="str">
        <f ca="1">IF($T224&lt;=AA$4,INDEX(TypicalCriticalitiesMAHBarrier[Typical Criticality],MATCH($T224,TypicalCriticalitiesMAHBarrier[Column2],0)),"")</f>
        <v/>
      </c>
      <c r="AE224" s="44"/>
      <c r="AF224" s="44"/>
      <c r="AG224" s="44"/>
      <c r="AH224" s="44"/>
      <c r="AI224" s="44"/>
      <c r="AJ224" s="44"/>
    </row>
    <row r="225" spans="14:36" x14ac:dyDescent="0.25">
      <c r="N225" t="s">
        <v>483</v>
      </c>
      <c r="O225" t="s">
        <v>484</v>
      </c>
      <c r="P225" t="s">
        <v>485</v>
      </c>
      <c r="Q225" t="s">
        <v>0</v>
      </c>
      <c r="R225">
        <f t="shared" si="9"/>
        <v>39</v>
      </c>
      <c r="S225">
        <f t="shared" ca="1" si="10"/>
        <v>1</v>
      </c>
      <c r="T225">
        <f t="shared" si="11"/>
        <v>222</v>
      </c>
      <c r="U225" t="str">
        <f>IF($T225&lt;=Z$4,INDEX(TypicalCriticalitiesMAHBarrier[Barrier Family Description],MATCH($T225,TypicalCriticalitiesMAHBarrier[Barrier Family ID],0)),"")</f>
        <v/>
      </c>
      <c r="V225" t="str">
        <f ca="1">IF($T225&lt;=AA$4,INDEX(TypicalCriticalitiesMAHBarrier[Typical Components],MATCH($T225,TypicalCriticalitiesMAHBarrier[Column2],0)),"")</f>
        <v/>
      </c>
      <c r="W225" t="str">
        <f ca="1">IF($T225&lt;=AA$4,INDEX(TypicalCriticalitiesMAHBarrier[Typical Criticality],MATCH($T225,TypicalCriticalitiesMAHBarrier[Column2],0)),"")</f>
        <v/>
      </c>
      <c r="AE225" s="44"/>
      <c r="AF225" s="44"/>
      <c r="AG225" s="44"/>
      <c r="AH225" s="44"/>
      <c r="AI225" s="44"/>
      <c r="AJ225" s="44"/>
    </row>
    <row r="226" spans="14:36" x14ac:dyDescent="0.25">
      <c r="N226" t="s">
        <v>483</v>
      </c>
      <c r="O226" t="s">
        <v>484</v>
      </c>
      <c r="P226" t="s">
        <v>486</v>
      </c>
      <c r="Q226" t="s">
        <v>1</v>
      </c>
      <c r="R226">
        <f t="shared" si="9"/>
        <v>39</v>
      </c>
      <c r="S226">
        <f t="shared" ca="1" si="10"/>
        <v>1</v>
      </c>
      <c r="T226">
        <f t="shared" si="11"/>
        <v>223</v>
      </c>
      <c r="U226" t="str">
        <f>IF($T226&lt;=Z$4,INDEX(TypicalCriticalitiesMAHBarrier[Barrier Family Description],MATCH($T226,TypicalCriticalitiesMAHBarrier[Barrier Family ID],0)),"")</f>
        <v/>
      </c>
      <c r="V226" t="str">
        <f ca="1">IF($T226&lt;=AA$4,INDEX(TypicalCriticalitiesMAHBarrier[Typical Components],MATCH($T226,TypicalCriticalitiesMAHBarrier[Column2],0)),"")</f>
        <v/>
      </c>
      <c r="W226" t="str">
        <f ca="1">IF($T226&lt;=AA$4,INDEX(TypicalCriticalitiesMAHBarrier[Typical Criticality],MATCH($T226,TypicalCriticalitiesMAHBarrier[Column2],0)),"")</f>
        <v/>
      </c>
      <c r="AE226" s="44"/>
      <c r="AF226" s="44"/>
      <c r="AG226" s="44"/>
      <c r="AH226" s="44"/>
      <c r="AI226" s="44"/>
      <c r="AJ226" s="44"/>
    </row>
    <row r="227" spans="14:36" x14ac:dyDescent="0.25">
      <c r="N227" t="s">
        <v>483</v>
      </c>
      <c r="O227" t="s">
        <v>484</v>
      </c>
      <c r="P227" t="s">
        <v>487</v>
      </c>
      <c r="Q227" t="s">
        <v>1</v>
      </c>
      <c r="R227">
        <f t="shared" si="9"/>
        <v>39</v>
      </c>
      <c r="S227">
        <f t="shared" ca="1" si="10"/>
        <v>1</v>
      </c>
      <c r="T227">
        <f t="shared" si="11"/>
        <v>224</v>
      </c>
      <c r="U227" t="str">
        <f>IF($T227&lt;=Z$4,INDEX(TypicalCriticalitiesMAHBarrier[Barrier Family Description],MATCH($T227,TypicalCriticalitiesMAHBarrier[Barrier Family ID],0)),"")</f>
        <v/>
      </c>
      <c r="V227" t="str">
        <f ca="1">IF($T227&lt;=AA$4,INDEX(TypicalCriticalitiesMAHBarrier[Typical Components],MATCH($T227,TypicalCriticalitiesMAHBarrier[Column2],0)),"")</f>
        <v/>
      </c>
      <c r="W227" t="str">
        <f ca="1">IF($T227&lt;=AA$4,INDEX(TypicalCriticalitiesMAHBarrier[Typical Criticality],MATCH($T227,TypicalCriticalitiesMAHBarrier[Column2],0)),"")</f>
        <v/>
      </c>
      <c r="AE227" s="44"/>
      <c r="AF227" s="44"/>
      <c r="AG227" s="44"/>
      <c r="AH227" s="44"/>
      <c r="AI227" s="44"/>
      <c r="AJ227" s="44"/>
    </row>
    <row r="228" spans="14:36" x14ac:dyDescent="0.25">
      <c r="N228" t="s">
        <v>488</v>
      </c>
      <c r="O228" t="s">
        <v>489</v>
      </c>
      <c r="P228" t="s">
        <v>490</v>
      </c>
      <c r="Q228" t="s">
        <v>0</v>
      </c>
      <c r="R228">
        <f t="shared" si="9"/>
        <v>40</v>
      </c>
      <c r="S228">
        <f t="shared" ca="1" si="10"/>
        <v>1</v>
      </c>
      <c r="T228">
        <f t="shared" si="11"/>
        <v>225</v>
      </c>
      <c r="U228" t="str">
        <f>IF($T228&lt;=Z$4,INDEX(TypicalCriticalitiesMAHBarrier[Barrier Family Description],MATCH($T228,TypicalCriticalitiesMAHBarrier[Barrier Family ID],0)),"")</f>
        <v/>
      </c>
      <c r="V228" t="str">
        <f ca="1">IF($T228&lt;=AA$4,INDEX(TypicalCriticalitiesMAHBarrier[Typical Components],MATCH($T228,TypicalCriticalitiesMAHBarrier[Column2],0)),"")</f>
        <v/>
      </c>
      <c r="W228" t="str">
        <f ca="1">IF($T228&lt;=AA$4,INDEX(TypicalCriticalitiesMAHBarrier[Typical Criticality],MATCH($T228,TypicalCriticalitiesMAHBarrier[Column2],0)),"")</f>
        <v/>
      </c>
      <c r="AE228" s="44"/>
      <c r="AF228" s="44"/>
      <c r="AG228" s="44"/>
      <c r="AH228" s="44"/>
      <c r="AI228" s="44"/>
      <c r="AJ228" s="44"/>
    </row>
    <row r="229" spans="14:36" x14ac:dyDescent="0.25">
      <c r="N229" t="s">
        <v>488</v>
      </c>
      <c r="O229" t="s">
        <v>489</v>
      </c>
      <c r="P229" t="s">
        <v>491</v>
      </c>
      <c r="Q229" t="s">
        <v>1</v>
      </c>
      <c r="R229">
        <f t="shared" si="9"/>
        <v>40</v>
      </c>
      <c r="S229">
        <f t="shared" ca="1" si="10"/>
        <v>1</v>
      </c>
      <c r="T229">
        <f t="shared" si="11"/>
        <v>226</v>
      </c>
      <c r="U229" t="str">
        <f>IF($T229&lt;=Z$4,INDEX(TypicalCriticalitiesMAHBarrier[Barrier Family Description],MATCH($T229,TypicalCriticalitiesMAHBarrier[Barrier Family ID],0)),"")</f>
        <v/>
      </c>
      <c r="V229" t="str">
        <f ca="1">IF($T229&lt;=AA$4,INDEX(TypicalCriticalitiesMAHBarrier[Typical Components],MATCH($T229,TypicalCriticalitiesMAHBarrier[Column2],0)),"")</f>
        <v/>
      </c>
      <c r="W229" t="str">
        <f ca="1">IF($T229&lt;=AA$4,INDEX(TypicalCriticalitiesMAHBarrier[Typical Criticality],MATCH($T229,TypicalCriticalitiesMAHBarrier[Column2],0)),"")</f>
        <v/>
      </c>
      <c r="AE229" s="44"/>
      <c r="AF229" s="44"/>
      <c r="AG229" s="44"/>
      <c r="AH229" s="44"/>
      <c r="AI229" s="44"/>
      <c r="AJ229" s="44"/>
    </row>
    <row r="230" spans="14:36" x14ac:dyDescent="0.25">
      <c r="N230" t="s">
        <v>488</v>
      </c>
      <c r="O230" t="s">
        <v>489</v>
      </c>
      <c r="P230" t="s">
        <v>492</v>
      </c>
      <c r="Q230" t="s">
        <v>0</v>
      </c>
      <c r="R230">
        <f t="shared" si="9"/>
        <v>40</v>
      </c>
      <c r="S230">
        <f t="shared" ca="1" si="10"/>
        <v>1</v>
      </c>
      <c r="T230">
        <f t="shared" si="11"/>
        <v>227</v>
      </c>
      <c r="U230" t="str">
        <f>IF($T230&lt;=Z$4,INDEX(TypicalCriticalitiesMAHBarrier[Barrier Family Description],MATCH($T230,TypicalCriticalitiesMAHBarrier[Barrier Family ID],0)),"")</f>
        <v/>
      </c>
      <c r="V230" t="str">
        <f ca="1">IF($T230&lt;=AA$4,INDEX(TypicalCriticalitiesMAHBarrier[Typical Components],MATCH($T230,TypicalCriticalitiesMAHBarrier[Column2],0)),"")</f>
        <v/>
      </c>
      <c r="W230" t="str">
        <f ca="1">IF($T230&lt;=AA$4,INDEX(TypicalCriticalitiesMAHBarrier[Typical Criticality],MATCH($T230,TypicalCriticalitiesMAHBarrier[Column2],0)),"")</f>
        <v/>
      </c>
      <c r="AE230" s="44"/>
      <c r="AF230" s="44"/>
      <c r="AG230" s="44"/>
      <c r="AH230" s="44"/>
      <c r="AI230" s="44"/>
      <c r="AJ230" s="44"/>
    </row>
    <row r="231" spans="14:36" x14ac:dyDescent="0.25">
      <c r="N231" t="s">
        <v>493</v>
      </c>
      <c r="O231" t="s">
        <v>494</v>
      </c>
      <c r="P231" t="s">
        <v>495</v>
      </c>
      <c r="Q231" t="s">
        <v>0</v>
      </c>
      <c r="R231">
        <f t="shared" si="9"/>
        <v>41</v>
      </c>
      <c r="S231">
        <f t="shared" ca="1" si="10"/>
        <v>1</v>
      </c>
      <c r="T231">
        <f t="shared" si="11"/>
        <v>228</v>
      </c>
      <c r="U231" t="str">
        <f>IF($T231&lt;=Z$4,INDEX(TypicalCriticalitiesMAHBarrier[Barrier Family Description],MATCH($T231,TypicalCriticalitiesMAHBarrier[Barrier Family ID],0)),"")</f>
        <v/>
      </c>
      <c r="V231" t="str">
        <f ca="1">IF($T231&lt;=AA$4,INDEX(TypicalCriticalitiesMAHBarrier[Typical Components],MATCH($T231,TypicalCriticalitiesMAHBarrier[Column2],0)),"")</f>
        <v/>
      </c>
      <c r="W231" t="str">
        <f ca="1">IF($T231&lt;=AA$4,INDEX(TypicalCriticalitiesMAHBarrier[Typical Criticality],MATCH($T231,TypicalCriticalitiesMAHBarrier[Column2],0)),"")</f>
        <v/>
      </c>
      <c r="AE231" s="44"/>
      <c r="AF231" s="44"/>
      <c r="AG231" s="44"/>
      <c r="AH231" s="44"/>
      <c r="AI231" s="44"/>
      <c r="AJ231" s="44"/>
    </row>
    <row r="232" spans="14:36" x14ac:dyDescent="0.25">
      <c r="N232" t="s">
        <v>493</v>
      </c>
      <c r="O232" t="s">
        <v>494</v>
      </c>
      <c r="P232" t="s">
        <v>496</v>
      </c>
      <c r="Q232" t="s">
        <v>1</v>
      </c>
      <c r="R232">
        <f t="shared" si="9"/>
        <v>41</v>
      </c>
      <c r="S232">
        <f t="shared" ca="1" si="10"/>
        <v>1</v>
      </c>
      <c r="T232">
        <f t="shared" si="11"/>
        <v>229</v>
      </c>
      <c r="U232" t="str">
        <f>IF($T232&lt;=Z$4,INDEX(TypicalCriticalitiesMAHBarrier[Barrier Family Description],MATCH($T232,TypicalCriticalitiesMAHBarrier[Barrier Family ID],0)),"")</f>
        <v/>
      </c>
      <c r="V232" t="str">
        <f ca="1">IF($T232&lt;=AA$4,INDEX(TypicalCriticalitiesMAHBarrier[Typical Components],MATCH($T232,TypicalCriticalitiesMAHBarrier[Column2],0)),"")</f>
        <v/>
      </c>
      <c r="W232" t="str">
        <f ca="1">IF($T232&lt;=AA$4,INDEX(TypicalCriticalitiesMAHBarrier[Typical Criticality],MATCH($T232,TypicalCriticalitiesMAHBarrier[Column2],0)),"")</f>
        <v/>
      </c>
      <c r="AE232" s="44"/>
      <c r="AF232" s="44"/>
      <c r="AG232" s="44"/>
      <c r="AH232" s="44"/>
      <c r="AI232" s="44"/>
      <c r="AJ232" s="44"/>
    </row>
    <row r="233" spans="14:36" x14ac:dyDescent="0.25">
      <c r="N233" t="s">
        <v>493</v>
      </c>
      <c r="O233" t="s">
        <v>494</v>
      </c>
      <c r="P233" t="s">
        <v>497</v>
      </c>
      <c r="Q233" t="s">
        <v>0</v>
      </c>
      <c r="R233">
        <f t="shared" si="9"/>
        <v>41</v>
      </c>
      <c r="S233">
        <f t="shared" ca="1" si="10"/>
        <v>1</v>
      </c>
      <c r="T233">
        <f t="shared" si="11"/>
        <v>230</v>
      </c>
      <c r="U233" t="str">
        <f>IF($T233&lt;=Z$4,INDEX(TypicalCriticalitiesMAHBarrier[Barrier Family Description],MATCH($T233,TypicalCriticalitiesMAHBarrier[Barrier Family ID],0)),"")</f>
        <v/>
      </c>
      <c r="V233" t="str">
        <f ca="1">IF($T233&lt;=AA$4,INDEX(TypicalCriticalitiesMAHBarrier[Typical Components],MATCH($T233,TypicalCriticalitiesMAHBarrier[Column2],0)),"")</f>
        <v/>
      </c>
      <c r="W233" t="str">
        <f ca="1">IF($T233&lt;=AA$4,INDEX(TypicalCriticalitiesMAHBarrier[Typical Criticality],MATCH($T233,TypicalCriticalitiesMAHBarrier[Column2],0)),"")</f>
        <v/>
      </c>
      <c r="AE233" s="44"/>
      <c r="AF233" s="44"/>
      <c r="AG233" s="44"/>
      <c r="AH233" s="44"/>
      <c r="AI233" s="44"/>
      <c r="AJ233" s="44"/>
    </row>
    <row r="234" spans="14:36" x14ac:dyDescent="0.25">
      <c r="N234" t="s">
        <v>498</v>
      </c>
      <c r="O234" t="s">
        <v>499</v>
      </c>
      <c r="P234" t="s">
        <v>500</v>
      </c>
      <c r="Q234" t="s">
        <v>0</v>
      </c>
      <c r="R234">
        <f t="shared" si="9"/>
        <v>42</v>
      </c>
      <c r="S234">
        <f t="shared" ca="1" si="10"/>
        <v>1</v>
      </c>
      <c r="T234">
        <f t="shared" si="11"/>
        <v>231</v>
      </c>
      <c r="U234" t="str">
        <f>IF($T234&lt;=Z$4,INDEX(TypicalCriticalitiesMAHBarrier[Barrier Family Description],MATCH($T234,TypicalCriticalitiesMAHBarrier[Barrier Family ID],0)),"")</f>
        <v/>
      </c>
      <c r="V234" t="str">
        <f ca="1">IF($T234&lt;=AA$4,INDEX(TypicalCriticalitiesMAHBarrier[Typical Components],MATCH($T234,TypicalCriticalitiesMAHBarrier[Column2],0)),"")</f>
        <v/>
      </c>
      <c r="W234" t="str">
        <f ca="1">IF($T234&lt;=AA$4,INDEX(TypicalCriticalitiesMAHBarrier[Typical Criticality],MATCH($T234,TypicalCriticalitiesMAHBarrier[Column2],0)),"")</f>
        <v/>
      </c>
      <c r="AE234" s="44"/>
      <c r="AF234" s="44"/>
      <c r="AG234" s="44"/>
      <c r="AH234" s="44"/>
      <c r="AI234" s="44"/>
      <c r="AJ234" s="44"/>
    </row>
    <row r="235" spans="14:36" x14ac:dyDescent="0.25">
      <c r="N235" t="s">
        <v>498</v>
      </c>
      <c r="O235" t="s">
        <v>499</v>
      </c>
      <c r="P235" t="s">
        <v>501</v>
      </c>
      <c r="Q235" t="s">
        <v>1</v>
      </c>
      <c r="R235">
        <f t="shared" si="9"/>
        <v>42</v>
      </c>
      <c r="S235">
        <f t="shared" ca="1" si="10"/>
        <v>1</v>
      </c>
      <c r="T235">
        <f t="shared" si="11"/>
        <v>232</v>
      </c>
      <c r="U235" t="str">
        <f>IF($T235&lt;=Z$4,INDEX(TypicalCriticalitiesMAHBarrier[Barrier Family Description],MATCH($T235,TypicalCriticalitiesMAHBarrier[Barrier Family ID],0)),"")</f>
        <v/>
      </c>
      <c r="V235" t="str">
        <f ca="1">IF($T235&lt;=AA$4,INDEX(TypicalCriticalitiesMAHBarrier[Typical Components],MATCH($T235,TypicalCriticalitiesMAHBarrier[Column2],0)),"")</f>
        <v/>
      </c>
      <c r="W235" t="str">
        <f ca="1">IF($T235&lt;=AA$4,INDEX(TypicalCriticalitiesMAHBarrier[Typical Criticality],MATCH($T235,TypicalCriticalitiesMAHBarrier[Column2],0)),"")</f>
        <v/>
      </c>
      <c r="AE235" s="44"/>
      <c r="AF235" s="44"/>
      <c r="AG235" s="44"/>
      <c r="AH235" s="44"/>
      <c r="AI235" s="44"/>
      <c r="AJ235" s="44"/>
    </row>
    <row r="236" spans="14:36" x14ac:dyDescent="0.25">
      <c r="N236" t="s">
        <v>498</v>
      </c>
      <c r="O236" t="s">
        <v>499</v>
      </c>
      <c r="P236" t="s">
        <v>502</v>
      </c>
      <c r="Q236" t="s">
        <v>0</v>
      </c>
      <c r="R236">
        <f t="shared" si="9"/>
        <v>42</v>
      </c>
      <c r="S236">
        <f t="shared" ca="1" si="10"/>
        <v>1</v>
      </c>
      <c r="T236">
        <f t="shared" si="11"/>
        <v>233</v>
      </c>
      <c r="U236" t="str">
        <f>IF($T236&lt;=Z$4,INDEX(TypicalCriticalitiesMAHBarrier[Barrier Family Description],MATCH($T236,TypicalCriticalitiesMAHBarrier[Barrier Family ID],0)),"")</f>
        <v/>
      </c>
      <c r="V236" t="str">
        <f ca="1">IF($T236&lt;=AA$4,INDEX(TypicalCriticalitiesMAHBarrier[Typical Components],MATCH($T236,TypicalCriticalitiesMAHBarrier[Column2],0)),"")</f>
        <v/>
      </c>
      <c r="W236" t="str">
        <f ca="1">IF($T236&lt;=AA$4,INDEX(TypicalCriticalitiesMAHBarrier[Typical Criticality],MATCH($T236,TypicalCriticalitiesMAHBarrier[Column2],0)),"")</f>
        <v/>
      </c>
      <c r="AE236" s="44"/>
      <c r="AF236" s="44"/>
      <c r="AG236" s="44"/>
      <c r="AH236" s="44"/>
      <c r="AI236" s="44"/>
      <c r="AJ236" s="44"/>
    </row>
    <row r="237" spans="14:36" x14ac:dyDescent="0.25">
      <c r="N237" t="s">
        <v>498</v>
      </c>
      <c r="O237" t="s">
        <v>499</v>
      </c>
      <c r="P237" t="s">
        <v>503</v>
      </c>
      <c r="Q237" t="s">
        <v>1</v>
      </c>
      <c r="R237">
        <f t="shared" si="9"/>
        <v>42</v>
      </c>
      <c r="S237">
        <f t="shared" ca="1" si="10"/>
        <v>1</v>
      </c>
      <c r="T237">
        <f t="shared" si="11"/>
        <v>234</v>
      </c>
      <c r="U237" t="str">
        <f>IF($T237&lt;=Z$4,INDEX(TypicalCriticalitiesMAHBarrier[Barrier Family Description],MATCH($T237,TypicalCriticalitiesMAHBarrier[Barrier Family ID],0)),"")</f>
        <v/>
      </c>
      <c r="V237" t="str">
        <f ca="1">IF($T237&lt;=AA$4,INDEX(TypicalCriticalitiesMAHBarrier[Typical Components],MATCH($T237,TypicalCriticalitiesMAHBarrier[Column2],0)),"")</f>
        <v/>
      </c>
      <c r="W237" t="str">
        <f ca="1">IF($T237&lt;=AA$4,INDEX(TypicalCriticalitiesMAHBarrier[Typical Criticality],MATCH($T237,TypicalCriticalitiesMAHBarrier[Column2],0)),"")</f>
        <v/>
      </c>
      <c r="AE237" s="44"/>
      <c r="AF237" s="44"/>
      <c r="AG237" s="44"/>
      <c r="AH237" s="44"/>
      <c r="AI237" s="44"/>
      <c r="AJ237" s="44"/>
    </row>
    <row r="238" spans="14:36" x14ac:dyDescent="0.25">
      <c r="N238" t="s">
        <v>498</v>
      </c>
      <c r="O238" t="s">
        <v>499</v>
      </c>
      <c r="P238" t="s">
        <v>504</v>
      </c>
      <c r="Q238" t="s">
        <v>1</v>
      </c>
      <c r="R238">
        <f t="shared" si="9"/>
        <v>42</v>
      </c>
      <c r="S238">
        <f t="shared" ca="1" si="10"/>
        <v>1</v>
      </c>
      <c r="T238">
        <f t="shared" si="11"/>
        <v>235</v>
      </c>
      <c r="U238" t="str">
        <f>IF($T238&lt;=Z$4,INDEX(TypicalCriticalitiesMAHBarrier[Barrier Family Description],MATCH($T238,TypicalCriticalitiesMAHBarrier[Barrier Family ID],0)),"")</f>
        <v/>
      </c>
      <c r="V238" t="str">
        <f ca="1">IF($T238&lt;=AA$4,INDEX(TypicalCriticalitiesMAHBarrier[Typical Components],MATCH($T238,TypicalCriticalitiesMAHBarrier[Column2],0)),"")</f>
        <v/>
      </c>
      <c r="W238" t="str">
        <f ca="1">IF($T238&lt;=AA$4,INDEX(TypicalCriticalitiesMAHBarrier[Typical Criticality],MATCH($T238,TypicalCriticalitiesMAHBarrier[Column2],0)),"")</f>
        <v/>
      </c>
      <c r="AE238" s="44"/>
      <c r="AF238" s="44"/>
      <c r="AG238" s="44"/>
      <c r="AH238" s="44"/>
      <c r="AI238" s="44"/>
      <c r="AJ238" s="44"/>
    </row>
    <row r="239" spans="14:36" x14ac:dyDescent="0.25">
      <c r="N239" t="s">
        <v>498</v>
      </c>
      <c r="O239" t="s">
        <v>499</v>
      </c>
      <c r="P239" t="s">
        <v>505</v>
      </c>
      <c r="Q239" t="s">
        <v>1</v>
      </c>
      <c r="R239">
        <f t="shared" si="9"/>
        <v>42</v>
      </c>
      <c r="S239">
        <f t="shared" ca="1" si="10"/>
        <v>1</v>
      </c>
      <c r="T239">
        <f t="shared" si="11"/>
        <v>236</v>
      </c>
      <c r="U239" t="str">
        <f>IF($T239&lt;=Z$4,INDEX(TypicalCriticalitiesMAHBarrier[Barrier Family Description],MATCH($T239,TypicalCriticalitiesMAHBarrier[Barrier Family ID],0)),"")</f>
        <v/>
      </c>
      <c r="V239" t="str">
        <f ca="1">IF($T239&lt;=AA$4,INDEX(TypicalCriticalitiesMAHBarrier[Typical Components],MATCH($T239,TypicalCriticalitiesMAHBarrier[Column2],0)),"")</f>
        <v/>
      </c>
      <c r="W239" t="str">
        <f ca="1">IF($T239&lt;=AA$4,INDEX(TypicalCriticalitiesMAHBarrier[Typical Criticality],MATCH($T239,TypicalCriticalitiesMAHBarrier[Column2],0)),"")</f>
        <v/>
      </c>
      <c r="AE239" s="44"/>
      <c r="AF239" s="44"/>
      <c r="AG239" s="44"/>
      <c r="AH239" s="44"/>
      <c r="AI239" s="44"/>
      <c r="AJ239" s="44"/>
    </row>
    <row r="240" spans="14:36" x14ac:dyDescent="0.25">
      <c r="N240" t="s">
        <v>498</v>
      </c>
      <c r="O240" t="s">
        <v>499</v>
      </c>
      <c r="P240" t="s">
        <v>506</v>
      </c>
      <c r="Q240" t="s">
        <v>0</v>
      </c>
      <c r="R240">
        <f t="shared" si="9"/>
        <v>42</v>
      </c>
      <c r="S240">
        <f t="shared" ca="1" si="10"/>
        <v>1</v>
      </c>
      <c r="T240">
        <f t="shared" si="11"/>
        <v>237</v>
      </c>
      <c r="U240" t="str">
        <f>IF($T240&lt;=Z$4,INDEX(TypicalCriticalitiesMAHBarrier[Barrier Family Description],MATCH($T240,TypicalCriticalitiesMAHBarrier[Barrier Family ID],0)),"")</f>
        <v/>
      </c>
      <c r="V240" t="str">
        <f ca="1">IF($T240&lt;=AA$4,INDEX(TypicalCriticalitiesMAHBarrier[Typical Components],MATCH($T240,TypicalCriticalitiesMAHBarrier[Column2],0)),"")</f>
        <v/>
      </c>
      <c r="W240" t="str">
        <f ca="1">IF($T240&lt;=AA$4,INDEX(TypicalCriticalitiesMAHBarrier[Typical Criticality],MATCH($T240,TypicalCriticalitiesMAHBarrier[Column2],0)),"")</f>
        <v/>
      </c>
      <c r="AE240" s="44"/>
      <c r="AF240" s="44"/>
      <c r="AG240" s="44"/>
      <c r="AH240" s="44"/>
      <c r="AI240" s="44"/>
      <c r="AJ240" s="44"/>
    </row>
    <row r="241" spans="14:36" x14ac:dyDescent="0.25">
      <c r="N241" t="s">
        <v>498</v>
      </c>
      <c r="O241" t="s">
        <v>499</v>
      </c>
      <c r="P241" t="s">
        <v>507</v>
      </c>
      <c r="Q241" t="s">
        <v>1</v>
      </c>
      <c r="R241">
        <f t="shared" si="9"/>
        <v>42</v>
      </c>
      <c r="S241">
        <f t="shared" ca="1" si="10"/>
        <v>1</v>
      </c>
      <c r="T241">
        <f t="shared" si="11"/>
        <v>238</v>
      </c>
      <c r="U241" t="str">
        <f>IF($T241&lt;=Z$4,INDEX(TypicalCriticalitiesMAHBarrier[Barrier Family Description],MATCH($T241,TypicalCriticalitiesMAHBarrier[Barrier Family ID],0)),"")</f>
        <v/>
      </c>
      <c r="V241" t="str">
        <f ca="1">IF($T241&lt;=AA$4,INDEX(TypicalCriticalitiesMAHBarrier[Typical Components],MATCH($T241,TypicalCriticalitiesMAHBarrier[Column2],0)),"")</f>
        <v/>
      </c>
      <c r="W241" t="str">
        <f ca="1">IF($T241&lt;=AA$4,INDEX(TypicalCriticalitiesMAHBarrier[Typical Criticality],MATCH($T241,TypicalCriticalitiesMAHBarrier[Column2],0)),"")</f>
        <v/>
      </c>
      <c r="AE241" s="44"/>
      <c r="AF241" s="44"/>
      <c r="AG241" s="44"/>
      <c r="AH241" s="44"/>
      <c r="AI241" s="44"/>
      <c r="AJ241" s="44"/>
    </row>
    <row r="242" spans="14:36" x14ac:dyDescent="0.25">
      <c r="N242" t="s">
        <v>498</v>
      </c>
      <c r="O242" t="s">
        <v>499</v>
      </c>
      <c r="P242" t="s">
        <v>508</v>
      </c>
      <c r="Q242" t="s">
        <v>2</v>
      </c>
      <c r="R242">
        <f t="shared" si="9"/>
        <v>42</v>
      </c>
      <c r="S242">
        <f t="shared" ca="1" si="10"/>
        <v>1</v>
      </c>
      <c r="T242">
        <f t="shared" si="11"/>
        <v>239</v>
      </c>
      <c r="U242" t="str">
        <f>IF($T242&lt;=Z$4,INDEX(TypicalCriticalitiesMAHBarrier[Barrier Family Description],MATCH($T242,TypicalCriticalitiesMAHBarrier[Barrier Family ID],0)),"")</f>
        <v/>
      </c>
      <c r="V242" t="str">
        <f ca="1">IF($T242&lt;=AA$4,INDEX(TypicalCriticalitiesMAHBarrier[Typical Components],MATCH($T242,TypicalCriticalitiesMAHBarrier[Column2],0)),"")</f>
        <v/>
      </c>
      <c r="W242" t="str">
        <f ca="1">IF($T242&lt;=AA$4,INDEX(TypicalCriticalitiesMAHBarrier[Typical Criticality],MATCH($T242,TypicalCriticalitiesMAHBarrier[Column2],0)),"")</f>
        <v/>
      </c>
      <c r="AE242" s="44"/>
      <c r="AF242" s="44"/>
      <c r="AG242" s="44"/>
      <c r="AH242" s="44"/>
      <c r="AI242" s="44"/>
      <c r="AJ242" s="44"/>
    </row>
    <row r="243" spans="14:36" x14ac:dyDescent="0.25">
      <c r="N243" t="s">
        <v>509</v>
      </c>
      <c r="O243" t="s">
        <v>510</v>
      </c>
      <c r="P243" t="s">
        <v>511</v>
      </c>
      <c r="Q243" t="s">
        <v>1</v>
      </c>
      <c r="R243">
        <f t="shared" si="9"/>
        <v>43</v>
      </c>
      <c r="S243">
        <f t="shared" ca="1" si="10"/>
        <v>1</v>
      </c>
      <c r="T243">
        <f t="shared" si="11"/>
        <v>240</v>
      </c>
      <c r="U243" t="str">
        <f>IF($T243&lt;=Z$4,INDEX(TypicalCriticalitiesMAHBarrier[Barrier Family Description],MATCH($T243,TypicalCriticalitiesMAHBarrier[Barrier Family ID],0)),"")</f>
        <v/>
      </c>
      <c r="V243" t="str">
        <f ca="1">IF($T243&lt;=AA$4,INDEX(TypicalCriticalitiesMAHBarrier[Typical Components],MATCH($T243,TypicalCriticalitiesMAHBarrier[Column2],0)),"")</f>
        <v/>
      </c>
      <c r="W243" t="str">
        <f ca="1">IF($T243&lt;=AA$4,INDEX(TypicalCriticalitiesMAHBarrier[Typical Criticality],MATCH($T243,TypicalCriticalitiesMAHBarrier[Column2],0)),"")</f>
        <v/>
      </c>
      <c r="AE243" s="44"/>
      <c r="AF243" s="44"/>
      <c r="AG243" s="44"/>
      <c r="AH243" s="44"/>
      <c r="AI243" s="44"/>
      <c r="AJ243" s="44"/>
    </row>
    <row r="244" spans="14:36" x14ac:dyDescent="0.25">
      <c r="N244" t="s">
        <v>509</v>
      </c>
      <c r="O244" t="s">
        <v>510</v>
      </c>
      <c r="P244" t="s">
        <v>512</v>
      </c>
      <c r="Q244" t="s">
        <v>0</v>
      </c>
      <c r="R244">
        <f t="shared" si="9"/>
        <v>43</v>
      </c>
      <c r="S244">
        <f t="shared" ca="1" si="10"/>
        <v>1</v>
      </c>
      <c r="T244">
        <f t="shared" si="11"/>
        <v>241</v>
      </c>
      <c r="U244" t="str">
        <f>IF($T244&lt;=Z$4,INDEX(TypicalCriticalitiesMAHBarrier[Barrier Family Description],MATCH($T244,TypicalCriticalitiesMAHBarrier[Barrier Family ID],0)),"")</f>
        <v/>
      </c>
      <c r="V244" t="str">
        <f ca="1">IF($T244&lt;=AA$4,INDEX(TypicalCriticalitiesMAHBarrier[Typical Components],MATCH($T244,TypicalCriticalitiesMAHBarrier[Column2],0)),"")</f>
        <v/>
      </c>
      <c r="W244" t="str">
        <f ca="1">IF($T244&lt;=AA$4,INDEX(TypicalCriticalitiesMAHBarrier[Typical Criticality],MATCH($T244,TypicalCriticalitiesMAHBarrier[Column2],0)),"")</f>
        <v/>
      </c>
      <c r="AE244" s="44"/>
      <c r="AF244" s="44"/>
      <c r="AG244" s="44"/>
      <c r="AH244" s="44"/>
      <c r="AI244" s="44"/>
      <c r="AJ244" s="44"/>
    </row>
    <row r="245" spans="14:36" x14ac:dyDescent="0.25">
      <c r="N245" t="s">
        <v>509</v>
      </c>
      <c r="O245" t="s">
        <v>510</v>
      </c>
      <c r="P245" t="s">
        <v>513</v>
      </c>
      <c r="Q245" t="s">
        <v>0</v>
      </c>
      <c r="R245">
        <f t="shared" si="9"/>
        <v>43</v>
      </c>
      <c r="S245">
        <f t="shared" ca="1" si="10"/>
        <v>1</v>
      </c>
      <c r="T245">
        <f t="shared" si="11"/>
        <v>242</v>
      </c>
      <c r="U245" t="str">
        <f>IF($T245&lt;=Z$4,INDEX(TypicalCriticalitiesMAHBarrier[Barrier Family Description],MATCH($T245,TypicalCriticalitiesMAHBarrier[Barrier Family ID],0)),"")</f>
        <v/>
      </c>
      <c r="V245" t="str">
        <f ca="1">IF($T245&lt;=AA$4,INDEX(TypicalCriticalitiesMAHBarrier[Typical Components],MATCH($T245,TypicalCriticalitiesMAHBarrier[Column2],0)),"")</f>
        <v/>
      </c>
      <c r="W245" t="str">
        <f ca="1">IF($T245&lt;=AA$4,INDEX(TypicalCriticalitiesMAHBarrier[Typical Criticality],MATCH($T245,TypicalCriticalitiesMAHBarrier[Column2],0)),"")</f>
        <v/>
      </c>
      <c r="AE245" s="44"/>
      <c r="AF245" s="44"/>
      <c r="AG245" s="44"/>
      <c r="AH245" s="44"/>
      <c r="AI245" s="44"/>
      <c r="AJ245" s="44"/>
    </row>
    <row r="246" spans="14:36" x14ac:dyDescent="0.25">
      <c r="N246" t="s">
        <v>509</v>
      </c>
      <c r="O246" t="s">
        <v>510</v>
      </c>
      <c r="P246" t="s">
        <v>514</v>
      </c>
      <c r="Q246" t="s">
        <v>0</v>
      </c>
      <c r="R246">
        <f t="shared" si="9"/>
        <v>43</v>
      </c>
      <c r="S246">
        <f t="shared" ca="1" si="10"/>
        <v>1</v>
      </c>
      <c r="T246">
        <f t="shared" si="11"/>
        <v>243</v>
      </c>
      <c r="U246" t="str">
        <f>IF($T246&lt;=Z$4,INDEX(TypicalCriticalitiesMAHBarrier[Barrier Family Description],MATCH($T246,TypicalCriticalitiesMAHBarrier[Barrier Family ID],0)),"")</f>
        <v/>
      </c>
      <c r="V246" t="str">
        <f ca="1">IF($T246&lt;=AA$4,INDEX(TypicalCriticalitiesMAHBarrier[Typical Components],MATCH($T246,TypicalCriticalitiesMAHBarrier[Column2],0)),"")</f>
        <v/>
      </c>
      <c r="W246" t="str">
        <f ca="1">IF($T246&lt;=AA$4,INDEX(TypicalCriticalitiesMAHBarrier[Typical Criticality],MATCH($T246,TypicalCriticalitiesMAHBarrier[Column2],0)),"")</f>
        <v/>
      </c>
      <c r="AE246" s="44"/>
      <c r="AF246" s="44"/>
      <c r="AG246" s="44"/>
      <c r="AH246" s="44"/>
      <c r="AI246" s="44"/>
      <c r="AJ246" s="44"/>
    </row>
    <row r="247" spans="14:36" x14ac:dyDescent="0.25">
      <c r="N247" t="s">
        <v>509</v>
      </c>
      <c r="O247" t="s">
        <v>510</v>
      </c>
      <c r="P247" t="s">
        <v>515</v>
      </c>
      <c r="Q247" t="s">
        <v>0</v>
      </c>
      <c r="R247">
        <f t="shared" si="9"/>
        <v>43</v>
      </c>
      <c r="S247">
        <f t="shared" ca="1" si="10"/>
        <v>1</v>
      </c>
      <c r="T247">
        <f t="shared" si="11"/>
        <v>244</v>
      </c>
      <c r="U247" t="str">
        <f>IF($T247&lt;=Z$4,INDEX(TypicalCriticalitiesMAHBarrier[Barrier Family Description],MATCH($T247,TypicalCriticalitiesMAHBarrier[Barrier Family ID],0)),"")</f>
        <v/>
      </c>
      <c r="V247" t="str">
        <f ca="1">IF($T247&lt;=AA$4,INDEX(TypicalCriticalitiesMAHBarrier[Typical Components],MATCH($T247,TypicalCriticalitiesMAHBarrier[Column2],0)),"")</f>
        <v/>
      </c>
      <c r="W247" t="str">
        <f ca="1">IF($T247&lt;=AA$4,INDEX(TypicalCriticalitiesMAHBarrier[Typical Criticality],MATCH($T247,TypicalCriticalitiesMAHBarrier[Column2],0)),"")</f>
        <v/>
      </c>
      <c r="AE247" s="44"/>
      <c r="AF247" s="44"/>
      <c r="AG247" s="44"/>
      <c r="AH247" s="44"/>
      <c r="AI247" s="44"/>
      <c r="AJ247" s="44"/>
    </row>
    <row r="248" spans="14:36" x14ac:dyDescent="0.25">
      <c r="N248" t="s">
        <v>509</v>
      </c>
      <c r="O248" t="s">
        <v>510</v>
      </c>
      <c r="P248" t="s">
        <v>516</v>
      </c>
      <c r="Q248" t="s">
        <v>0</v>
      </c>
      <c r="R248">
        <f t="shared" si="9"/>
        <v>43</v>
      </c>
      <c r="S248">
        <f t="shared" ca="1" si="10"/>
        <v>1</v>
      </c>
      <c r="T248">
        <f t="shared" si="11"/>
        <v>245</v>
      </c>
      <c r="U248" t="str">
        <f>IF($T248&lt;=Z$4,INDEX(TypicalCriticalitiesMAHBarrier[Barrier Family Description],MATCH($T248,TypicalCriticalitiesMAHBarrier[Barrier Family ID],0)),"")</f>
        <v/>
      </c>
      <c r="V248" t="str">
        <f ca="1">IF($T248&lt;=AA$4,INDEX(TypicalCriticalitiesMAHBarrier[Typical Components],MATCH($T248,TypicalCriticalitiesMAHBarrier[Column2],0)),"")</f>
        <v/>
      </c>
      <c r="W248" t="str">
        <f ca="1">IF($T248&lt;=AA$4,INDEX(TypicalCriticalitiesMAHBarrier[Typical Criticality],MATCH($T248,TypicalCriticalitiesMAHBarrier[Column2],0)),"")</f>
        <v/>
      </c>
      <c r="AE248" s="44"/>
      <c r="AF248" s="44"/>
      <c r="AG248" s="44"/>
      <c r="AH248" s="44"/>
      <c r="AI248" s="44"/>
      <c r="AJ248" s="44"/>
    </row>
    <row r="249" spans="14:36" x14ac:dyDescent="0.25">
      <c r="N249" t="s">
        <v>509</v>
      </c>
      <c r="O249" t="s">
        <v>510</v>
      </c>
      <c r="P249" t="s">
        <v>517</v>
      </c>
      <c r="Q249" t="s">
        <v>1</v>
      </c>
      <c r="R249">
        <f t="shared" si="9"/>
        <v>43</v>
      </c>
      <c r="S249">
        <f t="shared" ca="1" si="10"/>
        <v>1</v>
      </c>
      <c r="T249">
        <f t="shared" si="11"/>
        <v>246</v>
      </c>
      <c r="U249" t="str">
        <f>IF($T249&lt;=Z$4,INDEX(TypicalCriticalitiesMAHBarrier[Barrier Family Description],MATCH($T249,TypicalCriticalitiesMAHBarrier[Barrier Family ID],0)),"")</f>
        <v/>
      </c>
      <c r="V249" t="str">
        <f ca="1">IF($T249&lt;=AA$4,INDEX(TypicalCriticalitiesMAHBarrier[Typical Components],MATCH($T249,TypicalCriticalitiesMAHBarrier[Column2],0)),"")</f>
        <v/>
      </c>
      <c r="W249" t="str">
        <f ca="1">IF($T249&lt;=AA$4,INDEX(TypicalCriticalitiesMAHBarrier[Typical Criticality],MATCH($T249,TypicalCriticalitiesMAHBarrier[Column2],0)),"")</f>
        <v/>
      </c>
      <c r="AE249" s="44"/>
      <c r="AF249" s="44"/>
      <c r="AG249" s="44"/>
      <c r="AH249" s="44"/>
      <c r="AI249" s="44"/>
      <c r="AJ249" s="44"/>
    </row>
    <row r="250" spans="14:36" x14ac:dyDescent="0.25">
      <c r="N250" t="s">
        <v>518</v>
      </c>
      <c r="O250" t="s">
        <v>519</v>
      </c>
      <c r="P250" t="s">
        <v>520</v>
      </c>
      <c r="Q250" t="s">
        <v>0</v>
      </c>
      <c r="R250">
        <f t="shared" si="9"/>
        <v>44</v>
      </c>
      <c r="S250">
        <f t="shared" ca="1" si="10"/>
        <v>1</v>
      </c>
      <c r="T250">
        <f t="shared" si="11"/>
        <v>247</v>
      </c>
      <c r="U250" t="str">
        <f>IF($T250&lt;=Z$4,INDEX(TypicalCriticalitiesMAHBarrier[Barrier Family Description],MATCH($T250,TypicalCriticalitiesMAHBarrier[Barrier Family ID],0)),"")</f>
        <v/>
      </c>
      <c r="V250" t="str">
        <f ca="1">IF($T250&lt;=AA$4,INDEX(TypicalCriticalitiesMAHBarrier[Typical Components],MATCH($T250,TypicalCriticalitiesMAHBarrier[Column2],0)),"")</f>
        <v/>
      </c>
      <c r="W250" t="str">
        <f ca="1">IF($T250&lt;=AA$4,INDEX(TypicalCriticalitiesMAHBarrier[Typical Criticality],MATCH($T250,TypicalCriticalitiesMAHBarrier[Column2],0)),"")</f>
        <v/>
      </c>
      <c r="AE250" s="44"/>
      <c r="AF250" s="44"/>
      <c r="AG250" s="44"/>
      <c r="AH250" s="44"/>
      <c r="AI250" s="44"/>
      <c r="AJ250" s="44"/>
    </row>
    <row r="251" spans="14:36" x14ac:dyDescent="0.25">
      <c r="N251" t="s">
        <v>518</v>
      </c>
      <c r="O251" t="s">
        <v>519</v>
      </c>
      <c r="P251" t="s">
        <v>521</v>
      </c>
      <c r="Q251" t="s">
        <v>0</v>
      </c>
      <c r="R251">
        <f t="shared" si="9"/>
        <v>44</v>
      </c>
      <c r="S251">
        <f t="shared" ca="1" si="10"/>
        <v>1</v>
      </c>
      <c r="T251">
        <f t="shared" si="11"/>
        <v>248</v>
      </c>
      <c r="U251" t="str">
        <f>IF($T251&lt;=Z$4,INDEX(TypicalCriticalitiesMAHBarrier[Barrier Family Description],MATCH($T251,TypicalCriticalitiesMAHBarrier[Barrier Family ID],0)),"")</f>
        <v/>
      </c>
      <c r="V251" t="str">
        <f ca="1">IF($T251&lt;=AA$4,INDEX(TypicalCriticalitiesMAHBarrier[Typical Components],MATCH($T251,TypicalCriticalitiesMAHBarrier[Column2],0)),"")</f>
        <v/>
      </c>
      <c r="W251" t="str">
        <f ca="1">IF($T251&lt;=AA$4,INDEX(TypicalCriticalitiesMAHBarrier[Typical Criticality],MATCH($T251,TypicalCriticalitiesMAHBarrier[Column2],0)),"")</f>
        <v/>
      </c>
      <c r="AE251" s="44"/>
      <c r="AF251" s="44"/>
      <c r="AG251" s="44"/>
      <c r="AH251" s="44"/>
      <c r="AI251" s="44"/>
      <c r="AJ251" s="44"/>
    </row>
    <row r="252" spans="14:36" x14ac:dyDescent="0.25">
      <c r="N252" t="s">
        <v>518</v>
      </c>
      <c r="O252" t="s">
        <v>519</v>
      </c>
      <c r="P252" t="s">
        <v>522</v>
      </c>
      <c r="Q252" t="s">
        <v>0</v>
      </c>
      <c r="R252">
        <f t="shared" si="9"/>
        <v>44</v>
      </c>
      <c r="S252">
        <f t="shared" ca="1" si="10"/>
        <v>1</v>
      </c>
      <c r="T252">
        <f t="shared" si="11"/>
        <v>249</v>
      </c>
      <c r="U252" t="str">
        <f>IF($T252&lt;=Z$4,INDEX(TypicalCriticalitiesMAHBarrier[Barrier Family Description],MATCH($T252,TypicalCriticalitiesMAHBarrier[Barrier Family ID],0)),"")</f>
        <v/>
      </c>
      <c r="V252" t="str">
        <f ca="1">IF($T252&lt;=AA$4,INDEX(TypicalCriticalitiesMAHBarrier[Typical Components],MATCH($T252,TypicalCriticalitiesMAHBarrier[Column2],0)),"")</f>
        <v/>
      </c>
      <c r="W252" t="str">
        <f ca="1">IF($T252&lt;=AA$4,INDEX(TypicalCriticalitiesMAHBarrier[Typical Criticality],MATCH($T252,TypicalCriticalitiesMAHBarrier[Column2],0)),"")</f>
        <v/>
      </c>
      <c r="AE252" s="44"/>
      <c r="AF252" s="44"/>
      <c r="AG252" s="44"/>
      <c r="AH252" s="44"/>
      <c r="AI252" s="44"/>
      <c r="AJ252" s="44"/>
    </row>
    <row r="253" spans="14:36" x14ac:dyDescent="0.25">
      <c r="N253" t="s">
        <v>518</v>
      </c>
      <c r="O253" t="s">
        <v>519</v>
      </c>
      <c r="P253" t="s">
        <v>523</v>
      </c>
      <c r="Q253" t="s">
        <v>0</v>
      </c>
      <c r="R253">
        <f t="shared" si="9"/>
        <v>44</v>
      </c>
      <c r="S253">
        <f t="shared" ca="1" si="10"/>
        <v>1</v>
      </c>
      <c r="T253">
        <f t="shared" si="11"/>
        <v>250</v>
      </c>
      <c r="U253" t="str">
        <f>IF($T253&lt;=Z$4,INDEX(TypicalCriticalitiesMAHBarrier[Barrier Family Description],MATCH($T253,TypicalCriticalitiesMAHBarrier[Barrier Family ID],0)),"")</f>
        <v/>
      </c>
      <c r="V253" t="str">
        <f ca="1">IF($T253&lt;=AA$4,INDEX(TypicalCriticalitiesMAHBarrier[Typical Components],MATCH($T253,TypicalCriticalitiesMAHBarrier[Column2],0)),"")</f>
        <v/>
      </c>
      <c r="W253" t="str">
        <f ca="1">IF($T253&lt;=AA$4,INDEX(TypicalCriticalitiesMAHBarrier[Typical Criticality],MATCH($T253,TypicalCriticalitiesMAHBarrier[Column2],0)),"")</f>
        <v/>
      </c>
      <c r="AE253" s="44"/>
      <c r="AF253" s="44"/>
      <c r="AG253" s="44"/>
      <c r="AH253" s="44"/>
      <c r="AI253" s="44"/>
      <c r="AJ253" s="44"/>
    </row>
    <row r="254" spans="14:36" x14ac:dyDescent="0.25">
      <c r="N254" t="s">
        <v>518</v>
      </c>
      <c r="O254" t="s">
        <v>519</v>
      </c>
      <c r="P254" t="s">
        <v>524</v>
      </c>
      <c r="Q254" t="s">
        <v>0</v>
      </c>
      <c r="R254">
        <f t="shared" si="9"/>
        <v>44</v>
      </c>
      <c r="S254">
        <f t="shared" ca="1" si="10"/>
        <v>1</v>
      </c>
      <c r="T254">
        <f t="shared" si="11"/>
        <v>251</v>
      </c>
      <c r="U254" t="str">
        <f>IF($T254&lt;=Z$4,INDEX(TypicalCriticalitiesMAHBarrier[Barrier Family Description],MATCH($T254,TypicalCriticalitiesMAHBarrier[Barrier Family ID],0)),"")</f>
        <v/>
      </c>
      <c r="V254" t="str">
        <f ca="1">IF($T254&lt;=AA$4,INDEX(TypicalCriticalitiesMAHBarrier[Typical Components],MATCH($T254,TypicalCriticalitiesMAHBarrier[Column2],0)),"")</f>
        <v/>
      </c>
      <c r="W254" t="str">
        <f ca="1">IF($T254&lt;=AA$4,INDEX(TypicalCriticalitiesMAHBarrier[Typical Criticality],MATCH($T254,TypicalCriticalitiesMAHBarrier[Column2],0)),"")</f>
        <v/>
      </c>
      <c r="AE254" s="44"/>
      <c r="AF254" s="44"/>
      <c r="AG254" s="44"/>
      <c r="AH254" s="44"/>
      <c r="AI254" s="44"/>
      <c r="AJ254" s="44"/>
    </row>
    <row r="255" spans="14:36" x14ac:dyDescent="0.25">
      <c r="N255" t="s">
        <v>518</v>
      </c>
      <c r="O255" t="s">
        <v>519</v>
      </c>
      <c r="P255" t="s">
        <v>525</v>
      </c>
      <c r="Q255" t="s">
        <v>0</v>
      </c>
      <c r="R255">
        <f t="shared" si="9"/>
        <v>44</v>
      </c>
      <c r="S255">
        <f t="shared" ca="1" si="10"/>
        <v>1</v>
      </c>
      <c r="T255">
        <f t="shared" si="11"/>
        <v>252</v>
      </c>
      <c r="U255" t="str">
        <f>IF($T255&lt;=Z$4,INDEX(TypicalCriticalitiesMAHBarrier[Barrier Family Description],MATCH($T255,TypicalCriticalitiesMAHBarrier[Barrier Family ID],0)),"")</f>
        <v/>
      </c>
      <c r="V255" t="str">
        <f ca="1">IF($T255&lt;=AA$4,INDEX(TypicalCriticalitiesMAHBarrier[Typical Components],MATCH($T255,TypicalCriticalitiesMAHBarrier[Column2],0)),"")</f>
        <v/>
      </c>
      <c r="W255" t="str">
        <f ca="1">IF($T255&lt;=AA$4,INDEX(TypicalCriticalitiesMAHBarrier[Typical Criticality],MATCH($T255,TypicalCriticalitiesMAHBarrier[Column2],0)),"")</f>
        <v/>
      </c>
      <c r="AE255" s="44"/>
      <c r="AF255" s="44"/>
      <c r="AG255" s="44"/>
      <c r="AH255" s="44"/>
      <c r="AI255" s="44"/>
      <c r="AJ255" s="44"/>
    </row>
    <row r="256" spans="14:36" x14ac:dyDescent="0.25">
      <c r="N256" t="s">
        <v>526</v>
      </c>
      <c r="O256" t="s">
        <v>527</v>
      </c>
      <c r="P256" t="s">
        <v>528</v>
      </c>
      <c r="Q256" t="s">
        <v>0</v>
      </c>
      <c r="R256">
        <f t="shared" si="9"/>
        <v>45</v>
      </c>
      <c r="S256">
        <f t="shared" ca="1" si="10"/>
        <v>1</v>
      </c>
      <c r="T256">
        <f t="shared" si="11"/>
        <v>253</v>
      </c>
      <c r="U256" t="str">
        <f>IF($T256&lt;=Z$4,INDEX(TypicalCriticalitiesMAHBarrier[Barrier Family Description],MATCH($T256,TypicalCriticalitiesMAHBarrier[Barrier Family ID],0)),"")</f>
        <v/>
      </c>
      <c r="V256" t="str">
        <f ca="1">IF($T256&lt;=AA$4,INDEX(TypicalCriticalitiesMAHBarrier[Typical Components],MATCH($T256,TypicalCriticalitiesMAHBarrier[Column2],0)),"")</f>
        <v/>
      </c>
      <c r="W256" t="str">
        <f ca="1">IF($T256&lt;=AA$4,INDEX(TypicalCriticalitiesMAHBarrier[Typical Criticality],MATCH($T256,TypicalCriticalitiesMAHBarrier[Column2],0)),"")</f>
        <v/>
      </c>
      <c r="AE256" s="44"/>
      <c r="AF256" s="44"/>
      <c r="AG256" s="44"/>
      <c r="AH256" s="44"/>
      <c r="AI256" s="44"/>
      <c r="AJ256" s="44"/>
    </row>
    <row r="257" spans="14:36" x14ac:dyDescent="0.25">
      <c r="N257" t="s">
        <v>526</v>
      </c>
      <c r="O257" t="s">
        <v>527</v>
      </c>
      <c r="P257" t="s">
        <v>529</v>
      </c>
      <c r="Q257" t="s">
        <v>0</v>
      </c>
      <c r="R257">
        <f t="shared" si="9"/>
        <v>45</v>
      </c>
      <c r="S257">
        <f t="shared" ca="1" si="10"/>
        <v>1</v>
      </c>
      <c r="T257">
        <f t="shared" si="11"/>
        <v>254</v>
      </c>
      <c r="U257" t="str">
        <f>IF($T257&lt;=Z$4,INDEX(TypicalCriticalitiesMAHBarrier[Barrier Family Description],MATCH($T257,TypicalCriticalitiesMAHBarrier[Barrier Family ID],0)),"")</f>
        <v/>
      </c>
      <c r="V257" t="str">
        <f ca="1">IF($T257&lt;=AA$4,INDEX(TypicalCriticalitiesMAHBarrier[Typical Components],MATCH($T257,TypicalCriticalitiesMAHBarrier[Column2],0)),"")</f>
        <v/>
      </c>
      <c r="W257" t="str">
        <f ca="1">IF($T257&lt;=AA$4,INDEX(TypicalCriticalitiesMAHBarrier[Typical Criticality],MATCH($T257,TypicalCriticalitiesMAHBarrier[Column2],0)),"")</f>
        <v/>
      </c>
      <c r="AE257" s="44"/>
      <c r="AF257" s="44"/>
      <c r="AG257" s="44"/>
      <c r="AH257" s="44"/>
      <c r="AI257" s="44"/>
      <c r="AJ257" s="44"/>
    </row>
    <row r="258" spans="14:36" x14ac:dyDescent="0.25">
      <c r="N258" t="s">
        <v>526</v>
      </c>
      <c r="O258" t="s">
        <v>527</v>
      </c>
      <c r="P258" t="s">
        <v>530</v>
      </c>
      <c r="Q258" t="s">
        <v>0</v>
      </c>
      <c r="R258">
        <f t="shared" si="9"/>
        <v>45</v>
      </c>
      <c r="S258">
        <f t="shared" ca="1" si="10"/>
        <v>1</v>
      </c>
      <c r="T258">
        <f t="shared" si="11"/>
        <v>255</v>
      </c>
      <c r="U258" t="str">
        <f>IF($T258&lt;=Z$4,INDEX(TypicalCriticalitiesMAHBarrier[Barrier Family Description],MATCH($T258,TypicalCriticalitiesMAHBarrier[Barrier Family ID],0)),"")</f>
        <v/>
      </c>
      <c r="V258" t="str">
        <f ca="1">IF($T258&lt;=AA$4,INDEX(TypicalCriticalitiesMAHBarrier[Typical Components],MATCH($T258,TypicalCriticalitiesMAHBarrier[Column2],0)),"")</f>
        <v/>
      </c>
      <c r="W258" t="str">
        <f ca="1">IF($T258&lt;=AA$4,INDEX(TypicalCriticalitiesMAHBarrier[Typical Criticality],MATCH($T258,TypicalCriticalitiesMAHBarrier[Column2],0)),"")</f>
        <v/>
      </c>
      <c r="AE258" s="44"/>
      <c r="AF258" s="44"/>
      <c r="AG258" s="44"/>
      <c r="AH258" s="44"/>
      <c r="AI258" s="44"/>
      <c r="AJ258" s="44"/>
    </row>
    <row r="259" spans="14:36" x14ac:dyDescent="0.25">
      <c r="N259" t="s">
        <v>531</v>
      </c>
      <c r="O259" t="s">
        <v>532</v>
      </c>
      <c r="P259" t="s">
        <v>533</v>
      </c>
      <c r="Q259" t="s">
        <v>2</v>
      </c>
      <c r="R259">
        <f t="shared" si="9"/>
        <v>46</v>
      </c>
      <c r="S259">
        <f t="shared" ca="1" si="10"/>
        <v>1</v>
      </c>
      <c r="T259">
        <f t="shared" si="11"/>
        <v>256</v>
      </c>
      <c r="U259" t="str">
        <f>IF($T259&lt;=Z$4,INDEX(TypicalCriticalitiesMAHBarrier[Barrier Family Description],MATCH($T259,TypicalCriticalitiesMAHBarrier[Barrier Family ID],0)),"")</f>
        <v/>
      </c>
      <c r="V259" t="str">
        <f ca="1">IF($T259&lt;=AA$4,INDEX(TypicalCriticalitiesMAHBarrier[Typical Components],MATCH($T259,TypicalCriticalitiesMAHBarrier[Column2],0)),"")</f>
        <v/>
      </c>
      <c r="W259" t="str">
        <f ca="1">IF($T259&lt;=AA$4,INDEX(TypicalCriticalitiesMAHBarrier[Typical Criticality],MATCH($T259,TypicalCriticalitiesMAHBarrier[Column2],0)),"")</f>
        <v/>
      </c>
      <c r="AE259" s="44"/>
      <c r="AF259" s="44"/>
      <c r="AG259" s="44"/>
      <c r="AH259" s="44"/>
      <c r="AI259" s="44"/>
      <c r="AJ259" s="44"/>
    </row>
    <row r="260" spans="14:36" x14ac:dyDescent="0.25">
      <c r="N260" t="s">
        <v>531</v>
      </c>
      <c r="O260" t="s">
        <v>532</v>
      </c>
      <c r="P260" t="s">
        <v>534</v>
      </c>
      <c r="Q260" t="s">
        <v>1</v>
      </c>
      <c r="R260">
        <f t="shared" si="9"/>
        <v>46</v>
      </c>
      <c r="S260">
        <f t="shared" ca="1" si="10"/>
        <v>1</v>
      </c>
      <c r="T260">
        <f t="shared" si="11"/>
        <v>257</v>
      </c>
      <c r="U260" t="str">
        <f>IF($T260&lt;=Z$4,INDEX(TypicalCriticalitiesMAHBarrier[Barrier Family Description],MATCH($T260,TypicalCriticalitiesMAHBarrier[Barrier Family ID],0)),"")</f>
        <v/>
      </c>
      <c r="V260" t="str">
        <f ca="1">IF($T260&lt;=AA$4,INDEX(TypicalCriticalitiesMAHBarrier[Typical Components],MATCH($T260,TypicalCriticalitiesMAHBarrier[Column2],0)),"")</f>
        <v/>
      </c>
      <c r="W260" t="str">
        <f ca="1">IF($T260&lt;=AA$4,INDEX(TypicalCriticalitiesMAHBarrier[Typical Criticality],MATCH($T260,TypicalCriticalitiesMAHBarrier[Column2],0)),"")</f>
        <v/>
      </c>
      <c r="AE260" s="44"/>
      <c r="AF260" s="44"/>
      <c r="AG260" s="44"/>
      <c r="AH260" s="44"/>
      <c r="AI260" s="44"/>
      <c r="AJ260" s="44"/>
    </row>
    <row r="261" spans="14:36" x14ac:dyDescent="0.25">
      <c r="N261" t="s">
        <v>531</v>
      </c>
      <c r="O261" t="s">
        <v>532</v>
      </c>
      <c r="P261" t="s">
        <v>535</v>
      </c>
      <c r="Q261" t="s">
        <v>0</v>
      </c>
      <c r="R261">
        <f t="shared" si="9"/>
        <v>46</v>
      </c>
      <c r="S261">
        <f t="shared" ca="1" si="10"/>
        <v>1</v>
      </c>
      <c r="T261">
        <f t="shared" si="11"/>
        <v>258</v>
      </c>
      <c r="U261" t="str">
        <f>IF($T261&lt;=Z$4,INDEX(TypicalCriticalitiesMAHBarrier[Barrier Family Description],MATCH($T261,TypicalCriticalitiesMAHBarrier[Barrier Family ID],0)),"")</f>
        <v/>
      </c>
      <c r="V261" t="str">
        <f ca="1">IF($T261&lt;=AA$4,INDEX(TypicalCriticalitiesMAHBarrier[Typical Components],MATCH($T261,TypicalCriticalitiesMAHBarrier[Column2],0)),"")</f>
        <v/>
      </c>
      <c r="W261" t="str">
        <f ca="1">IF($T261&lt;=AA$4,INDEX(TypicalCriticalitiesMAHBarrier[Typical Criticality],MATCH($T261,TypicalCriticalitiesMAHBarrier[Column2],0)),"")</f>
        <v/>
      </c>
      <c r="AE261" s="44"/>
      <c r="AF261" s="44"/>
      <c r="AG261" s="44"/>
      <c r="AH261" s="44"/>
      <c r="AI261" s="44"/>
      <c r="AJ261" s="44"/>
    </row>
    <row r="262" spans="14:36" x14ac:dyDescent="0.25">
      <c r="N262" t="s">
        <v>531</v>
      </c>
      <c r="O262" t="s">
        <v>532</v>
      </c>
      <c r="P262" t="s">
        <v>536</v>
      </c>
      <c r="Q262" t="s">
        <v>0</v>
      </c>
      <c r="R262">
        <f t="shared" si="9"/>
        <v>46</v>
      </c>
      <c r="S262">
        <f t="shared" ca="1" si="10"/>
        <v>1</v>
      </c>
      <c r="T262">
        <f t="shared" si="11"/>
        <v>259</v>
      </c>
      <c r="U262" t="str">
        <f>IF($T262&lt;=Z$4,INDEX(TypicalCriticalitiesMAHBarrier[Barrier Family Description],MATCH($T262,TypicalCriticalitiesMAHBarrier[Barrier Family ID],0)),"")</f>
        <v/>
      </c>
      <c r="V262" t="str">
        <f ca="1">IF($T262&lt;=AA$4,INDEX(TypicalCriticalitiesMAHBarrier[Typical Components],MATCH($T262,TypicalCriticalitiesMAHBarrier[Column2],0)),"")</f>
        <v/>
      </c>
      <c r="W262" t="str">
        <f ca="1">IF($T262&lt;=AA$4,INDEX(TypicalCriticalitiesMAHBarrier[Typical Criticality],MATCH($T262,TypicalCriticalitiesMAHBarrier[Column2],0)),"")</f>
        <v/>
      </c>
      <c r="AE262" s="44"/>
      <c r="AF262" s="44"/>
      <c r="AG262" s="44"/>
      <c r="AH262" s="44"/>
      <c r="AI262" s="44"/>
      <c r="AJ262" s="44"/>
    </row>
    <row r="263" spans="14:36" x14ac:dyDescent="0.25">
      <c r="N263" t="s">
        <v>531</v>
      </c>
      <c r="O263" t="s">
        <v>532</v>
      </c>
      <c r="P263" t="s">
        <v>537</v>
      </c>
      <c r="Q263" t="s">
        <v>0</v>
      </c>
      <c r="R263">
        <f t="shared" si="9"/>
        <v>46</v>
      </c>
      <c r="S263">
        <f t="shared" ca="1" si="10"/>
        <v>1</v>
      </c>
      <c r="T263">
        <f t="shared" si="11"/>
        <v>260</v>
      </c>
      <c r="U263" t="str">
        <f>IF($T263&lt;=Z$4,INDEX(TypicalCriticalitiesMAHBarrier[Barrier Family Description],MATCH($T263,TypicalCriticalitiesMAHBarrier[Barrier Family ID],0)),"")</f>
        <v/>
      </c>
      <c r="V263" t="str">
        <f ca="1">IF($T263&lt;=AA$4,INDEX(TypicalCriticalitiesMAHBarrier[Typical Components],MATCH($T263,TypicalCriticalitiesMAHBarrier[Column2],0)),"")</f>
        <v/>
      </c>
      <c r="W263" t="str">
        <f ca="1">IF($T263&lt;=AA$4,INDEX(TypicalCriticalitiesMAHBarrier[Typical Criticality],MATCH($T263,TypicalCriticalitiesMAHBarrier[Column2],0)),"")</f>
        <v/>
      </c>
      <c r="AE263" s="44"/>
      <c r="AF263" s="44"/>
      <c r="AG263" s="44"/>
      <c r="AH263" s="44"/>
      <c r="AI263" s="44"/>
      <c r="AJ263" s="44"/>
    </row>
    <row r="264" spans="14:36" x14ac:dyDescent="0.25">
      <c r="N264" t="s">
        <v>531</v>
      </c>
      <c r="O264" t="s">
        <v>532</v>
      </c>
      <c r="P264" t="s">
        <v>538</v>
      </c>
      <c r="Q264" t="s">
        <v>2</v>
      </c>
      <c r="R264">
        <f t="shared" si="9"/>
        <v>46</v>
      </c>
      <c r="S264">
        <f t="shared" ca="1" si="10"/>
        <v>1</v>
      </c>
      <c r="T264">
        <f t="shared" si="11"/>
        <v>261</v>
      </c>
      <c r="U264" t="str">
        <f>IF($T264&lt;=Z$4,INDEX(TypicalCriticalitiesMAHBarrier[Barrier Family Description],MATCH($T264,TypicalCriticalitiesMAHBarrier[Barrier Family ID],0)),"")</f>
        <v/>
      </c>
      <c r="V264" t="str">
        <f ca="1">IF($T264&lt;=AA$4,INDEX(TypicalCriticalitiesMAHBarrier[Typical Components],MATCH($T264,TypicalCriticalitiesMAHBarrier[Column2],0)),"")</f>
        <v/>
      </c>
      <c r="W264" t="str">
        <f ca="1">IF($T264&lt;=AA$4,INDEX(TypicalCriticalitiesMAHBarrier[Typical Criticality],MATCH($T264,TypicalCriticalitiesMAHBarrier[Column2],0)),"")</f>
        <v/>
      </c>
      <c r="AE264" s="44"/>
      <c r="AF264" s="44"/>
      <c r="AG264" s="44"/>
      <c r="AH264" s="44"/>
      <c r="AI264" s="44"/>
      <c r="AJ264" s="44"/>
    </row>
    <row r="265" spans="14:36" x14ac:dyDescent="0.25">
      <c r="N265" t="s">
        <v>531</v>
      </c>
      <c r="O265" t="s">
        <v>532</v>
      </c>
      <c r="P265" t="s">
        <v>539</v>
      </c>
      <c r="Q265" t="s">
        <v>1</v>
      </c>
      <c r="R265">
        <f t="shared" ref="R265:R309" si="13">IF(AND(O265&lt;&gt;O264,O265&lt;&gt;""),R264+1,R264)</f>
        <v>46</v>
      </c>
      <c r="S265">
        <f t="shared" ref="S265:S309" ca="1" si="14">IF(R265=$Z$5,IF(AND(P265&lt;&gt;P264,P265&lt;&gt;""),S264+1,S264),S264)</f>
        <v>1</v>
      </c>
      <c r="T265">
        <f t="shared" ref="T265:T309" si="15">T264+1</f>
        <v>262</v>
      </c>
      <c r="U265" t="str">
        <f>IF($T265&lt;=Z$4,INDEX(TypicalCriticalitiesMAHBarrier[Barrier Family Description],MATCH($T265,TypicalCriticalitiesMAHBarrier[Barrier Family ID],0)),"")</f>
        <v/>
      </c>
      <c r="V265" t="str">
        <f ca="1">IF($T265&lt;=AA$4,INDEX(TypicalCriticalitiesMAHBarrier[Typical Components],MATCH($T265,TypicalCriticalitiesMAHBarrier[Column2],0)),"")</f>
        <v/>
      </c>
      <c r="W265" t="str">
        <f ca="1">IF($T265&lt;=AA$4,INDEX(TypicalCriticalitiesMAHBarrier[Typical Criticality],MATCH($T265,TypicalCriticalitiesMAHBarrier[Column2],0)),"")</f>
        <v/>
      </c>
      <c r="AE265" s="44"/>
      <c r="AF265" s="44"/>
      <c r="AG265" s="44"/>
      <c r="AH265" s="44"/>
      <c r="AI265" s="44"/>
      <c r="AJ265" s="44"/>
    </row>
    <row r="266" spans="14:36" x14ac:dyDescent="0.25">
      <c r="N266" t="s">
        <v>531</v>
      </c>
      <c r="O266" t="s">
        <v>532</v>
      </c>
      <c r="P266" t="s">
        <v>540</v>
      </c>
      <c r="Q266" t="s">
        <v>2</v>
      </c>
      <c r="R266">
        <f t="shared" si="13"/>
        <v>46</v>
      </c>
      <c r="S266">
        <f t="shared" ca="1" si="14"/>
        <v>1</v>
      </c>
      <c r="T266">
        <f t="shared" si="15"/>
        <v>263</v>
      </c>
      <c r="U266" t="str">
        <f>IF($T266&lt;=Z$4,INDEX(TypicalCriticalitiesMAHBarrier[Barrier Family Description],MATCH($T266,TypicalCriticalitiesMAHBarrier[Barrier Family ID],0)),"")</f>
        <v/>
      </c>
      <c r="V266" t="str">
        <f ca="1">IF($T266&lt;=AA$4,INDEX(TypicalCriticalitiesMAHBarrier[Typical Components],MATCH($T266,TypicalCriticalitiesMAHBarrier[Column2],0)),"")</f>
        <v/>
      </c>
      <c r="W266" t="str">
        <f ca="1">IF($T266&lt;=AA$4,INDEX(TypicalCriticalitiesMAHBarrier[Typical Criticality],MATCH($T266,TypicalCriticalitiesMAHBarrier[Column2],0)),"")</f>
        <v/>
      </c>
      <c r="AE266" s="44"/>
      <c r="AF266" s="44"/>
      <c r="AG266" s="44"/>
      <c r="AH266" s="44"/>
      <c r="AI266" s="44"/>
      <c r="AJ266" s="44"/>
    </row>
    <row r="267" spans="14:36" x14ac:dyDescent="0.25">
      <c r="N267" t="s">
        <v>541</v>
      </c>
      <c r="O267" t="s">
        <v>542</v>
      </c>
      <c r="P267" t="s">
        <v>543</v>
      </c>
      <c r="Q267" t="s">
        <v>1</v>
      </c>
      <c r="R267">
        <f t="shared" si="13"/>
        <v>47</v>
      </c>
      <c r="S267">
        <f t="shared" ca="1" si="14"/>
        <v>1</v>
      </c>
      <c r="T267">
        <f t="shared" si="15"/>
        <v>264</v>
      </c>
      <c r="U267" t="str">
        <f>IF($T267&lt;=Z$4,INDEX(TypicalCriticalitiesMAHBarrier[Barrier Family Description],MATCH($T267,TypicalCriticalitiesMAHBarrier[Barrier Family ID],0)),"")</f>
        <v/>
      </c>
      <c r="V267" t="str">
        <f ca="1">IF($T267&lt;=AA$4,INDEX(TypicalCriticalitiesMAHBarrier[Typical Components],MATCH($T267,TypicalCriticalitiesMAHBarrier[Column2],0)),"")</f>
        <v/>
      </c>
      <c r="W267" t="str">
        <f ca="1">IF($T267&lt;=AA$4,INDEX(TypicalCriticalitiesMAHBarrier[Typical Criticality],MATCH($T267,TypicalCriticalitiesMAHBarrier[Column2],0)),"")</f>
        <v/>
      </c>
      <c r="AE267" s="44"/>
      <c r="AF267" s="44"/>
      <c r="AG267" s="44"/>
      <c r="AH267" s="44"/>
      <c r="AI267" s="44"/>
      <c r="AJ267" s="44"/>
    </row>
    <row r="268" spans="14:36" x14ac:dyDescent="0.25">
      <c r="N268" t="s">
        <v>541</v>
      </c>
      <c r="O268" t="s">
        <v>542</v>
      </c>
      <c r="P268" t="s">
        <v>544</v>
      </c>
      <c r="Q268" t="s">
        <v>1</v>
      </c>
      <c r="R268">
        <f t="shared" si="13"/>
        <v>47</v>
      </c>
      <c r="S268">
        <f t="shared" ca="1" si="14"/>
        <v>1</v>
      </c>
      <c r="T268">
        <f t="shared" si="15"/>
        <v>265</v>
      </c>
      <c r="U268" t="str">
        <f>IF($T268&lt;=Z$4,INDEX(TypicalCriticalitiesMAHBarrier[Barrier Family Description],MATCH($T268,TypicalCriticalitiesMAHBarrier[Barrier Family ID],0)),"")</f>
        <v/>
      </c>
      <c r="V268" t="str">
        <f ca="1">IF($T268&lt;=AA$4,INDEX(TypicalCriticalitiesMAHBarrier[Typical Components],MATCH($T268,TypicalCriticalitiesMAHBarrier[Column2],0)),"")</f>
        <v/>
      </c>
      <c r="W268" t="str">
        <f ca="1">IF($T268&lt;=AA$4,INDEX(TypicalCriticalitiesMAHBarrier[Typical Criticality],MATCH($T268,TypicalCriticalitiesMAHBarrier[Column2],0)),"")</f>
        <v/>
      </c>
      <c r="AE268" s="44"/>
      <c r="AF268" s="44"/>
      <c r="AG268" s="44"/>
      <c r="AH268" s="44"/>
      <c r="AI268" s="44"/>
      <c r="AJ268" s="44"/>
    </row>
    <row r="269" spans="14:36" x14ac:dyDescent="0.25">
      <c r="N269" t="s">
        <v>541</v>
      </c>
      <c r="O269" t="s">
        <v>542</v>
      </c>
      <c r="P269" t="s">
        <v>545</v>
      </c>
      <c r="Q269" t="s">
        <v>1</v>
      </c>
      <c r="R269">
        <f t="shared" si="13"/>
        <v>47</v>
      </c>
      <c r="S269">
        <f t="shared" ca="1" si="14"/>
        <v>1</v>
      </c>
      <c r="T269">
        <f t="shared" si="15"/>
        <v>266</v>
      </c>
      <c r="U269" t="str">
        <f>IF($T269&lt;=Z$4,INDEX(TypicalCriticalitiesMAHBarrier[Barrier Family Description],MATCH($T269,TypicalCriticalitiesMAHBarrier[Barrier Family ID],0)),"")</f>
        <v/>
      </c>
      <c r="V269" t="str">
        <f ca="1">IF($T269&lt;=AA$4,INDEX(TypicalCriticalitiesMAHBarrier[Typical Components],MATCH($T269,TypicalCriticalitiesMAHBarrier[Column2],0)),"")</f>
        <v/>
      </c>
      <c r="W269" t="str">
        <f ca="1">IF($T269&lt;=AA$4,INDEX(TypicalCriticalitiesMAHBarrier[Typical Criticality],MATCH($T269,TypicalCriticalitiesMAHBarrier[Column2],0)),"")</f>
        <v/>
      </c>
      <c r="AE269" s="44"/>
      <c r="AF269" s="44"/>
      <c r="AG269" s="44"/>
      <c r="AH269" s="44"/>
      <c r="AI269" s="44"/>
      <c r="AJ269" s="44"/>
    </row>
    <row r="270" spans="14:36" x14ac:dyDescent="0.25">
      <c r="N270" t="s">
        <v>546</v>
      </c>
      <c r="O270" t="s">
        <v>547</v>
      </c>
      <c r="P270" t="s">
        <v>548</v>
      </c>
      <c r="Q270" t="s">
        <v>0</v>
      </c>
      <c r="R270">
        <f t="shared" si="13"/>
        <v>48</v>
      </c>
      <c r="S270">
        <f t="shared" ca="1" si="14"/>
        <v>1</v>
      </c>
      <c r="T270">
        <f t="shared" si="15"/>
        <v>267</v>
      </c>
      <c r="U270" t="str">
        <f>IF($T270&lt;=Z$4,INDEX(TypicalCriticalitiesMAHBarrier[Barrier Family Description],MATCH($T270,TypicalCriticalitiesMAHBarrier[Barrier Family ID],0)),"")</f>
        <v/>
      </c>
      <c r="V270" t="str">
        <f ca="1">IF($T270&lt;=AA$4,INDEX(TypicalCriticalitiesMAHBarrier[Typical Components],MATCH($T270,TypicalCriticalitiesMAHBarrier[Column2],0)),"")</f>
        <v/>
      </c>
      <c r="W270" t="str">
        <f ca="1">IF($T270&lt;=AA$4,INDEX(TypicalCriticalitiesMAHBarrier[Typical Criticality],MATCH($T270,TypicalCriticalitiesMAHBarrier[Column2],0)),"")</f>
        <v/>
      </c>
      <c r="AE270" s="44"/>
      <c r="AF270" s="44"/>
      <c r="AG270" s="44"/>
      <c r="AH270" s="44"/>
      <c r="AI270" s="44"/>
      <c r="AJ270" s="44"/>
    </row>
    <row r="271" spans="14:36" x14ac:dyDescent="0.25">
      <c r="N271" t="s">
        <v>546</v>
      </c>
      <c r="O271" t="s">
        <v>547</v>
      </c>
      <c r="P271" t="s">
        <v>549</v>
      </c>
      <c r="Q271" t="s">
        <v>0</v>
      </c>
      <c r="R271">
        <f t="shared" si="13"/>
        <v>48</v>
      </c>
      <c r="S271">
        <f t="shared" ca="1" si="14"/>
        <v>1</v>
      </c>
      <c r="T271">
        <f t="shared" si="15"/>
        <v>268</v>
      </c>
      <c r="U271" t="str">
        <f>IF($T271&lt;=Z$4,INDEX(TypicalCriticalitiesMAHBarrier[Barrier Family Description],MATCH($T271,TypicalCriticalitiesMAHBarrier[Barrier Family ID],0)),"")</f>
        <v/>
      </c>
      <c r="V271" t="str">
        <f ca="1">IF($T271&lt;=AA$4,INDEX(TypicalCriticalitiesMAHBarrier[Typical Components],MATCH($T271,TypicalCriticalitiesMAHBarrier[Column2],0)),"")</f>
        <v/>
      </c>
      <c r="W271" t="str">
        <f ca="1">IF($T271&lt;=AA$4,INDEX(TypicalCriticalitiesMAHBarrier[Typical Criticality],MATCH($T271,TypicalCriticalitiesMAHBarrier[Column2],0)),"")</f>
        <v/>
      </c>
      <c r="AE271" s="44"/>
      <c r="AF271" s="44"/>
      <c r="AG271" s="44"/>
      <c r="AH271" s="44"/>
      <c r="AI271" s="44"/>
      <c r="AJ271" s="44"/>
    </row>
    <row r="272" spans="14:36" x14ac:dyDescent="0.25">
      <c r="N272" t="s">
        <v>546</v>
      </c>
      <c r="O272" t="s">
        <v>547</v>
      </c>
      <c r="P272" t="s">
        <v>550</v>
      </c>
      <c r="Q272" t="s">
        <v>0</v>
      </c>
      <c r="R272">
        <f t="shared" si="13"/>
        <v>48</v>
      </c>
      <c r="S272">
        <f t="shared" ca="1" si="14"/>
        <v>1</v>
      </c>
      <c r="T272">
        <f t="shared" si="15"/>
        <v>269</v>
      </c>
      <c r="U272" t="str">
        <f>IF($T272&lt;=Z$4,INDEX(TypicalCriticalitiesMAHBarrier[Barrier Family Description],MATCH($T272,TypicalCriticalitiesMAHBarrier[Barrier Family ID],0)),"")</f>
        <v/>
      </c>
      <c r="V272" t="str">
        <f ca="1">IF($T272&lt;=AA$4,INDEX(TypicalCriticalitiesMAHBarrier[Typical Components],MATCH($T272,TypicalCriticalitiesMAHBarrier[Column2],0)),"")</f>
        <v/>
      </c>
      <c r="W272" t="str">
        <f ca="1">IF($T272&lt;=AA$4,INDEX(TypicalCriticalitiesMAHBarrier[Typical Criticality],MATCH($T272,TypicalCriticalitiesMAHBarrier[Column2],0)),"")</f>
        <v/>
      </c>
      <c r="AE272" s="44"/>
      <c r="AF272" s="44"/>
      <c r="AG272" s="44"/>
      <c r="AH272" s="44"/>
      <c r="AI272" s="44"/>
      <c r="AJ272" s="44"/>
    </row>
    <row r="273" spans="14:36" x14ac:dyDescent="0.25">
      <c r="N273" t="s">
        <v>546</v>
      </c>
      <c r="O273" t="s">
        <v>547</v>
      </c>
      <c r="P273" t="s">
        <v>551</v>
      </c>
      <c r="Q273" t="s">
        <v>0</v>
      </c>
      <c r="R273">
        <f t="shared" si="13"/>
        <v>48</v>
      </c>
      <c r="S273">
        <f t="shared" ca="1" si="14"/>
        <v>1</v>
      </c>
      <c r="T273">
        <f t="shared" si="15"/>
        <v>270</v>
      </c>
      <c r="U273" t="str">
        <f>IF($T273&lt;=Z$4,INDEX(TypicalCriticalitiesMAHBarrier[Barrier Family Description],MATCH($T273,TypicalCriticalitiesMAHBarrier[Barrier Family ID],0)),"")</f>
        <v/>
      </c>
      <c r="V273" t="str">
        <f ca="1">IF($T273&lt;=AA$4,INDEX(TypicalCriticalitiesMAHBarrier[Typical Components],MATCH($T273,TypicalCriticalitiesMAHBarrier[Column2],0)),"")</f>
        <v/>
      </c>
      <c r="W273" t="str">
        <f ca="1">IF($T273&lt;=AA$4,INDEX(TypicalCriticalitiesMAHBarrier[Typical Criticality],MATCH($T273,TypicalCriticalitiesMAHBarrier[Column2],0)),"")</f>
        <v/>
      </c>
      <c r="AE273" s="44"/>
      <c r="AF273" s="44"/>
      <c r="AG273" s="44"/>
      <c r="AH273" s="44"/>
      <c r="AI273" s="44"/>
      <c r="AJ273" s="44"/>
    </row>
    <row r="274" spans="14:36" x14ac:dyDescent="0.25">
      <c r="N274" t="s">
        <v>546</v>
      </c>
      <c r="O274" t="s">
        <v>547</v>
      </c>
      <c r="P274" t="s">
        <v>552</v>
      </c>
      <c r="Q274" t="s">
        <v>1</v>
      </c>
      <c r="R274">
        <f t="shared" si="13"/>
        <v>48</v>
      </c>
      <c r="S274">
        <f t="shared" ca="1" si="14"/>
        <v>1</v>
      </c>
      <c r="T274">
        <f t="shared" si="15"/>
        <v>271</v>
      </c>
      <c r="U274" t="str">
        <f>IF($T274&lt;=Z$4,INDEX(TypicalCriticalitiesMAHBarrier[Barrier Family Description],MATCH($T274,TypicalCriticalitiesMAHBarrier[Barrier Family ID],0)),"")</f>
        <v/>
      </c>
      <c r="V274" t="str">
        <f ca="1">IF($T274&lt;=AA$4,INDEX(TypicalCriticalitiesMAHBarrier[Typical Components],MATCH($T274,TypicalCriticalitiesMAHBarrier[Column2],0)),"")</f>
        <v/>
      </c>
      <c r="W274" t="str">
        <f ca="1">IF($T274&lt;=AA$4,INDEX(TypicalCriticalitiesMAHBarrier[Typical Criticality],MATCH($T274,TypicalCriticalitiesMAHBarrier[Column2],0)),"")</f>
        <v/>
      </c>
      <c r="AE274" s="44"/>
      <c r="AF274" s="44"/>
      <c r="AG274" s="44"/>
      <c r="AH274" s="44"/>
      <c r="AI274" s="44"/>
      <c r="AJ274" s="44"/>
    </row>
    <row r="275" spans="14:36" x14ac:dyDescent="0.25">
      <c r="N275" t="s">
        <v>546</v>
      </c>
      <c r="O275" t="s">
        <v>547</v>
      </c>
      <c r="P275" t="s">
        <v>553</v>
      </c>
      <c r="Q275" t="s">
        <v>1</v>
      </c>
      <c r="R275">
        <f t="shared" si="13"/>
        <v>48</v>
      </c>
      <c r="S275">
        <f t="shared" ca="1" si="14"/>
        <v>1</v>
      </c>
      <c r="T275">
        <f t="shared" si="15"/>
        <v>272</v>
      </c>
      <c r="U275" t="str">
        <f>IF($T275&lt;=Z$4,INDEX(TypicalCriticalitiesMAHBarrier[Barrier Family Description],MATCH($T275,TypicalCriticalitiesMAHBarrier[Barrier Family ID],0)),"")</f>
        <v/>
      </c>
      <c r="V275" t="str">
        <f ca="1">IF($T275&lt;=AA$4,INDEX(TypicalCriticalitiesMAHBarrier[Typical Components],MATCH($T275,TypicalCriticalitiesMAHBarrier[Column2],0)),"")</f>
        <v/>
      </c>
      <c r="W275" t="str">
        <f ca="1">IF($T275&lt;=AA$4,INDEX(TypicalCriticalitiesMAHBarrier[Typical Criticality],MATCH($T275,TypicalCriticalitiesMAHBarrier[Column2],0)),"")</f>
        <v/>
      </c>
      <c r="AE275" s="44"/>
      <c r="AF275" s="44"/>
      <c r="AG275" s="44"/>
      <c r="AH275" s="44"/>
      <c r="AI275" s="44"/>
      <c r="AJ275" s="44"/>
    </row>
    <row r="276" spans="14:36" x14ac:dyDescent="0.25">
      <c r="N276" t="s">
        <v>546</v>
      </c>
      <c r="O276" t="s">
        <v>547</v>
      </c>
      <c r="P276" t="s">
        <v>554</v>
      </c>
      <c r="Q276" t="s">
        <v>1</v>
      </c>
      <c r="R276">
        <f t="shared" si="13"/>
        <v>48</v>
      </c>
      <c r="S276">
        <f t="shared" ca="1" si="14"/>
        <v>1</v>
      </c>
      <c r="T276">
        <f t="shared" si="15"/>
        <v>273</v>
      </c>
      <c r="U276" t="str">
        <f>IF($T276&lt;=Z$4,INDEX(TypicalCriticalitiesMAHBarrier[Barrier Family Description],MATCH($T276,TypicalCriticalitiesMAHBarrier[Barrier Family ID],0)),"")</f>
        <v/>
      </c>
      <c r="V276" t="str">
        <f ca="1">IF($T276&lt;=AA$4,INDEX(TypicalCriticalitiesMAHBarrier[Typical Components],MATCH($T276,TypicalCriticalitiesMAHBarrier[Column2],0)),"")</f>
        <v/>
      </c>
      <c r="W276" t="str">
        <f ca="1">IF($T276&lt;=AA$4,INDEX(TypicalCriticalitiesMAHBarrier[Typical Criticality],MATCH($T276,TypicalCriticalitiesMAHBarrier[Column2],0)),"")</f>
        <v/>
      </c>
      <c r="AE276" s="44"/>
      <c r="AF276" s="44"/>
      <c r="AG276" s="44"/>
      <c r="AH276" s="44"/>
      <c r="AI276" s="44"/>
      <c r="AJ276" s="44"/>
    </row>
    <row r="277" spans="14:36" x14ac:dyDescent="0.25">
      <c r="N277" t="s">
        <v>546</v>
      </c>
      <c r="O277" t="s">
        <v>547</v>
      </c>
      <c r="P277" t="s">
        <v>555</v>
      </c>
      <c r="Q277" t="s">
        <v>0</v>
      </c>
      <c r="R277">
        <f t="shared" si="13"/>
        <v>48</v>
      </c>
      <c r="S277">
        <f t="shared" ca="1" si="14"/>
        <v>1</v>
      </c>
      <c r="T277">
        <f t="shared" si="15"/>
        <v>274</v>
      </c>
      <c r="U277" t="str">
        <f>IF($T277&lt;=Z$4,INDEX(TypicalCriticalitiesMAHBarrier[Barrier Family Description],MATCH($T277,TypicalCriticalitiesMAHBarrier[Barrier Family ID],0)),"")</f>
        <v/>
      </c>
      <c r="V277" t="str">
        <f ca="1">IF($T277&lt;=AA$4,INDEX(TypicalCriticalitiesMAHBarrier[Typical Components],MATCH($T277,TypicalCriticalitiesMAHBarrier[Column2],0)),"")</f>
        <v/>
      </c>
      <c r="W277" t="str">
        <f ca="1">IF($T277&lt;=AA$4,INDEX(TypicalCriticalitiesMAHBarrier[Typical Criticality],MATCH($T277,TypicalCriticalitiesMAHBarrier[Column2],0)),"")</f>
        <v/>
      </c>
      <c r="AE277" s="44"/>
      <c r="AF277" s="44"/>
      <c r="AG277" s="44"/>
      <c r="AH277" s="44"/>
      <c r="AI277" s="44"/>
      <c r="AJ277" s="44"/>
    </row>
    <row r="278" spans="14:36" x14ac:dyDescent="0.25">
      <c r="N278" t="s">
        <v>546</v>
      </c>
      <c r="O278" t="s">
        <v>547</v>
      </c>
      <c r="P278" t="s">
        <v>556</v>
      </c>
      <c r="Q278" t="s">
        <v>2</v>
      </c>
      <c r="R278">
        <f t="shared" si="13"/>
        <v>48</v>
      </c>
      <c r="S278">
        <f t="shared" ca="1" si="14"/>
        <v>1</v>
      </c>
      <c r="T278">
        <f t="shared" si="15"/>
        <v>275</v>
      </c>
      <c r="U278" t="str">
        <f>IF($T278&lt;=Z$4,INDEX(TypicalCriticalitiesMAHBarrier[Barrier Family Description],MATCH($T278,TypicalCriticalitiesMAHBarrier[Barrier Family ID],0)),"")</f>
        <v/>
      </c>
      <c r="V278" t="str">
        <f ca="1">IF($T278&lt;=AA$4,INDEX(TypicalCriticalitiesMAHBarrier[Typical Components],MATCH($T278,TypicalCriticalitiesMAHBarrier[Column2],0)),"")</f>
        <v/>
      </c>
      <c r="W278" t="str">
        <f ca="1">IF($T278&lt;=AA$4,INDEX(TypicalCriticalitiesMAHBarrier[Typical Criticality],MATCH($T278,TypicalCriticalitiesMAHBarrier[Column2],0)),"")</f>
        <v/>
      </c>
      <c r="AE278" s="44"/>
      <c r="AF278" s="44"/>
      <c r="AG278" s="44"/>
      <c r="AH278" s="44"/>
      <c r="AI278" s="44"/>
      <c r="AJ278" s="44"/>
    </row>
    <row r="279" spans="14:36" x14ac:dyDescent="0.25">
      <c r="N279" t="s">
        <v>546</v>
      </c>
      <c r="O279" t="s">
        <v>557</v>
      </c>
      <c r="P279" t="s">
        <v>558</v>
      </c>
      <c r="Q279" t="s">
        <v>0</v>
      </c>
      <c r="R279">
        <f t="shared" si="13"/>
        <v>49</v>
      </c>
      <c r="S279">
        <f t="shared" ca="1" si="14"/>
        <v>1</v>
      </c>
      <c r="T279">
        <f t="shared" si="15"/>
        <v>276</v>
      </c>
      <c r="U279" t="str">
        <f>IF($T279&lt;=Z$4,INDEX(TypicalCriticalitiesMAHBarrier[Barrier Family Description],MATCH($T279,TypicalCriticalitiesMAHBarrier[Barrier Family ID],0)),"")</f>
        <v/>
      </c>
      <c r="V279" t="str">
        <f ca="1">IF($T279&lt;=AA$4,INDEX(TypicalCriticalitiesMAHBarrier[Typical Components],MATCH($T279,TypicalCriticalitiesMAHBarrier[Column2],0)),"")</f>
        <v/>
      </c>
      <c r="W279" t="str">
        <f ca="1">IF($T279&lt;=AA$4,INDEX(TypicalCriticalitiesMAHBarrier[Typical Criticality],MATCH($T279,TypicalCriticalitiesMAHBarrier[Column2],0)),"")</f>
        <v/>
      </c>
      <c r="AE279" s="44"/>
      <c r="AF279" s="44"/>
      <c r="AG279" s="44"/>
      <c r="AH279" s="44"/>
      <c r="AI279" s="44"/>
      <c r="AJ279" s="44"/>
    </row>
    <row r="280" spans="14:36" x14ac:dyDescent="0.25">
      <c r="N280" t="s">
        <v>546</v>
      </c>
      <c r="O280" t="s">
        <v>557</v>
      </c>
      <c r="P280" t="s">
        <v>559</v>
      </c>
      <c r="Q280" t="s">
        <v>0</v>
      </c>
      <c r="R280">
        <f t="shared" si="13"/>
        <v>49</v>
      </c>
      <c r="S280">
        <f t="shared" ca="1" si="14"/>
        <v>1</v>
      </c>
      <c r="T280">
        <f t="shared" si="15"/>
        <v>277</v>
      </c>
      <c r="U280" t="str">
        <f>IF($T280&lt;=Z$4,INDEX(TypicalCriticalitiesMAHBarrier[Barrier Family Description],MATCH($T280,TypicalCriticalitiesMAHBarrier[Barrier Family ID],0)),"")</f>
        <v/>
      </c>
      <c r="V280" t="str">
        <f ca="1">IF($T280&lt;=AA$4,INDEX(TypicalCriticalitiesMAHBarrier[Typical Components],MATCH($T280,TypicalCriticalitiesMAHBarrier[Column2],0)),"")</f>
        <v/>
      </c>
      <c r="W280" t="str">
        <f ca="1">IF($T280&lt;=AA$4,INDEX(TypicalCriticalitiesMAHBarrier[Typical Criticality],MATCH($T280,TypicalCriticalitiesMAHBarrier[Column2],0)),"")</f>
        <v/>
      </c>
      <c r="AE280" s="44"/>
      <c r="AF280" s="44"/>
      <c r="AG280" s="44"/>
      <c r="AH280" s="44"/>
      <c r="AI280" s="44"/>
      <c r="AJ280" s="44"/>
    </row>
    <row r="281" spans="14:36" x14ac:dyDescent="0.25">
      <c r="N281" t="s">
        <v>546</v>
      </c>
      <c r="O281" t="s">
        <v>557</v>
      </c>
      <c r="P281" t="s">
        <v>560</v>
      </c>
      <c r="Q281" t="s">
        <v>0</v>
      </c>
      <c r="R281">
        <f t="shared" si="13"/>
        <v>49</v>
      </c>
      <c r="S281">
        <f t="shared" ca="1" si="14"/>
        <v>1</v>
      </c>
      <c r="T281">
        <f t="shared" si="15"/>
        <v>278</v>
      </c>
      <c r="U281" t="str">
        <f>IF($T281&lt;=Z$4,INDEX(TypicalCriticalitiesMAHBarrier[Barrier Family Description],MATCH($T281,TypicalCriticalitiesMAHBarrier[Barrier Family ID],0)),"")</f>
        <v/>
      </c>
      <c r="V281" t="str">
        <f ca="1">IF($T281&lt;=AA$4,INDEX(TypicalCriticalitiesMAHBarrier[Typical Components],MATCH($T281,TypicalCriticalitiesMAHBarrier[Column2],0)),"")</f>
        <v/>
      </c>
      <c r="W281" t="str">
        <f ca="1">IF($T281&lt;=AA$4,INDEX(TypicalCriticalitiesMAHBarrier[Typical Criticality],MATCH($T281,TypicalCriticalitiesMAHBarrier[Column2],0)),"")</f>
        <v/>
      </c>
      <c r="AE281" s="44"/>
      <c r="AF281" s="44"/>
      <c r="AG281" s="44"/>
      <c r="AH281" s="44"/>
      <c r="AI281" s="44"/>
      <c r="AJ281" s="44"/>
    </row>
    <row r="282" spans="14:36" x14ac:dyDescent="0.25">
      <c r="N282" t="s">
        <v>546</v>
      </c>
      <c r="O282" t="s">
        <v>557</v>
      </c>
      <c r="P282" t="s">
        <v>561</v>
      </c>
      <c r="Q282" t="s">
        <v>0</v>
      </c>
      <c r="R282">
        <f t="shared" si="13"/>
        <v>49</v>
      </c>
      <c r="S282">
        <f t="shared" ca="1" si="14"/>
        <v>1</v>
      </c>
      <c r="T282">
        <f t="shared" si="15"/>
        <v>279</v>
      </c>
      <c r="U282" t="str">
        <f>IF($T282&lt;=Z$4,INDEX(TypicalCriticalitiesMAHBarrier[Barrier Family Description],MATCH($T282,TypicalCriticalitiesMAHBarrier[Barrier Family ID],0)),"")</f>
        <v/>
      </c>
      <c r="V282" t="str">
        <f ca="1">IF($T282&lt;=AA$4,INDEX(TypicalCriticalitiesMAHBarrier[Typical Components],MATCH($T282,TypicalCriticalitiesMAHBarrier[Column2],0)),"")</f>
        <v/>
      </c>
      <c r="W282" t="str">
        <f ca="1">IF($T282&lt;=AA$4,INDEX(TypicalCriticalitiesMAHBarrier[Typical Criticality],MATCH($T282,TypicalCriticalitiesMAHBarrier[Column2],0)),"")</f>
        <v/>
      </c>
      <c r="AE282" s="44"/>
      <c r="AF282" s="44"/>
      <c r="AG282" s="44"/>
      <c r="AH282" s="44"/>
      <c r="AI282" s="44"/>
      <c r="AJ282" s="44"/>
    </row>
    <row r="283" spans="14:36" x14ac:dyDescent="0.25">
      <c r="N283" t="s">
        <v>546</v>
      </c>
      <c r="O283" t="s">
        <v>557</v>
      </c>
      <c r="P283" t="s">
        <v>562</v>
      </c>
      <c r="Q283" t="s">
        <v>1</v>
      </c>
      <c r="R283">
        <f t="shared" si="13"/>
        <v>49</v>
      </c>
      <c r="S283">
        <f t="shared" ca="1" si="14"/>
        <v>1</v>
      </c>
      <c r="T283">
        <f t="shared" si="15"/>
        <v>280</v>
      </c>
      <c r="U283" t="str">
        <f>IF($T283&lt;=Z$4,INDEX(TypicalCriticalitiesMAHBarrier[Barrier Family Description],MATCH($T283,TypicalCriticalitiesMAHBarrier[Barrier Family ID],0)),"")</f>
        <v/>
      </c>
      <c r="V283" t="str">
        <f ca="1">IF($T283&lt;=AA$4,INDEX(TypicalCriticalitiesMAHBarrier[Typical Components],MATCH($T283,TypicalCriticalitiesMAHBarrier[Column2],0)),"")</f>
        <v/>
      </c>
      <c r="W283" t="str">
        <f ca="1">IF($T283&lt;=AA$4,INDEX(TypicalCriticalitiesMAHBarrier[Typical Criticality],MATCH($T283,TypicalCriticalitiesMAHBarrier[Column2],0)),"")</f>
        <v/>
      </c>
      <c r="AE283" s="44"/>
      <c r="AF283" s="44"/>
      <c r="AG283" s="44"/>
      <c r="AH283" s="44"/>
      <c r="AI283" s="44"/>
      <c r="AJ283" s="44"/>
    </row>
    <row r="284" spans="14:36" x14ac:dyDescent="0.25">
      <c r="N284" t="s">
        <v>546</v>
      </c>
      <c r="O284" t="s">
        <v>557</v>
      </c>
      <c r="P284" t="s">
        <v>563</v>
      </c>
      <c r="Q284" t="s">
        <v>0</v>
      </c>
      <c r="R284">
        <f t="shared" si="13"/>
        <v>49</v>
      </c>
      <c r="S284">
        <f t="shared" ca="1" si="14"/>
        <v>1</v>
      </c>
      <c r="T284">
        <f t="shared" si="15"/>
        <v>281</v>
      </c>
      <c r="U284" t="str">
        <f>IF($T284&lt;=Z$4,INDEX(TypicalCriticalitiesMAHBarrier[Barrier Family Description],MATCH($T284,TypicalCriticalitiesMAHBarrier[Barrier Family ID],0)),"")</f>
        <v/>
      </c>
      <c r="V284" t="str">
        <f ca="1">IF($T284&lt;=AA$4,INDEX(TypicalCriticalitiesMAHBarrier[Typical Components],MATCH($T284,TypicalCriticalitiesMAHBarrier[Column2],0)),"")</f>
        <v/>
      </c>
      <c r="W284" t="str">
        <f ca="1">IF($T284&lt;=AA$4,INDEX(TypicalCriticalitiesMAHBarrier[Typical Criticality],MATCH($T284,TypicalCriticalitiesMAHBarrier[Column2],0)),"")</f>
        <v/>
      </c>
      <c r="AE284" s="44"/>
      <c r="AF284" s="44"/>
      <c r="AG284" s="44"/>
      <c r="AH284" s="44"/>
      <c r="AI284" s="44"/>
      <c r="AJ284" s="44"/>
    </row>
    <row r="285" spans="14:36" x14ac:dyDescent="0.25">
      <c r="N285" t="s">
        <v>546</v>
      </c>
      <c r="O285" t="s">
        <v>557</v>
      </c>
      <c r="P285" t="s">
        <v>564</v>
      </c>
      <c r="Q285" t="s">
        <v>1</v>
      </c>
      <c r="R285">
        <f t="shared" si="13"/>
        <v>49</v>
      </c>
      <c r="S285">
        <f t="shared" ca="1" si="14"/>
        <v>1</v>
      </c>
      <c r="T285">
        <f t="shared" si="15"/>
        <v>282</v>
      </c>
      <c r="U285" t="str">
        <f>IF($T285&lt;=Z$4,INDEX(TypicalCriticalitiesMAHBarrier[Barrier Family Description],MATCH($T285,TypicalCriticalitiesMAHBarrier[Barrier Family ID],0)),"")</f>
        <v/>
      </c>
      <c r="V285" t="str">
        <f ca="1">IF($T285&lt;=AA$4,INDEX(TypicalCriticalitiesMAHBarrier[Typical Components],MATCH($T285,TypicalCriticalitiesMAHBarrier[Column2],0)),"")</f>
        <v/>
      </c>
      <c r="W285" t="str">
        <f ca="1">IF($T285&lt;=AA$4,INDEX(TypicalCriticalitiesMAHBarrier[Typical Criticality],MATCH($T285,TypicalCriticalitiesMAHBarrier[Column2],0)),"")</f>
        <v/>
      </c>
      <c r="AE285" s="44"/>
      <c r="AF285" s="44"/>
      <c r="AG285" s="44"/>
      <c r="AH285" s="44"/>
      <c r="AI285" s="44"/>
      <c r="AJ285" s="44"/>
    </row>
    <row r="286" spans="14:36" x14ac:dyDescent="0.25">
      <c r="N286" t="s">
        <v>565</v>
      </c>
      <c r="O286" t="s">
        <v>566</v>
      </c>
      <c r="P286" t="s">
        <v>567</v>
      </c>
      <c r="Q286" t="s">
        <v>0</v>
      </c>
      <c r="R286">
        <f t="shared" si="13"/>
        <v>50</v>
      </c>
      <c r="S286">
        <f t="shared" ca="1" si="14"/>
        <v>1</v>
      </c>
      <c r="T286">
        <f t="shared" si="15"/>
        <v>283</v>
      </c>
      <c r="U286" t="str">
        <f>IF($T286&lt;=Z$4,INDEX(TypicalCriticalitiesMAHBarrier[Barrier Family Description],MATCH($T286,TypicalCriticalitiesMAHBarrier[Barrier Family ID],0)),"")</f>
        <v/>
      </c>
      <c r="V286" t="str">
        <f ca="1">IF($T286&lt;=AA$4,INDEX(TypicalCriticalitiesMAHBarrier[Typical Components],MATCH($T286,TypicalCriticalitiesMAHBarrier[Column2],0)),"")</f>
        <v/>
      </c>
      <c r="W286" t="str">
        <f ca="1">IF($T286&lt;=AA$4,INDEX(TypicalCriticalitiesMAHBarrier[Typical Criticality],MATCH($T286,TypicalCriticalitiesMAHBarrier[Column2],0)),"")</f>
        <v/>
      </c>
      <c r="AE286" s="44"/>
      <c r="AF286" s="44"/>
      <c r="AG286" s="44"/>
      <c r="AH286" s="44"/>
      <c r="AI286" s="44"/>
      <c r="AJ286" s="44"/>
    </row>
    <row r="287" spans="14:36" x14ac:dyDescent="0.25">
      <c r="N287" t="s">
        <v>565</v>
      </c>
      <c r="O287" t="s">
        <v>566</v>
      </c>
      <c r="P287" t="s">
        <v>568</v>
      </c>
      <c r="Q287" t="s">
        <v>0</v>
      </c>
      <c r="R287">
        <f t="shared" si="13"/>
        <v>50</v>
      </c>
      <c r="S287">
        <f t="shared" ca="1" si="14"/>
        <v>1</v>
      </c>
      <c r="T287">
        <f t="shared" si="15"/>
        <v>284</v>
      </c>
      <c r="U287" t="str">
        <f>IF($T287&lt;=Z$4,INDEX(TypicalCriticalitiesMAHBarrier[Barrier Family Description],MATCH($T287,TypicalCriticalitiesMAHBarrier[Barrier Family ID],0)),"")</f>
        <v/>
      </c>
      <c r="V287" t="str">
        <f ca="1">IF($T287&lt;=AA$4,INDEX(TypicalCriticalitiesMAHBarrier[Typical Components],MATCH($T287,TypicalCriticalitiesMAHBarrier[Column2],0)),"")</f>
        <v/>
      </c>
      <c r="W287" t="str">
        <f ca="1">IF($T287&lt;=AA$4,INDEX(TypicalCriticalitiesMAHBarrier[Typical Criticality],MATCH($T287,TypicalCriticalitiesMAHBarrier[Column2],0)),"")</f>
        <v/>
      </c>
      <c r="AE287" s="44"/>
      <c r="AF287" s="44"/>
      <c r="AG287" s="44"/>
      <c r="AH287" s="44"/>
      <c r="AI287" s="44"/>
      <c r="AJ287" s="44"/>
    </row>
    <row r="288" spans="14:36" x14ac:dyDescent="0.25">
      <c r="N288" t="s">
        <v>569</v>
      </c>
      <c r="O288" t="s">
        <v>570</v>
      </c>
      <c r="P288" t="s">
        <v>571</v>
      </c>
      <c r="Q288" t="s">
        <v>0</v>
      </c>
      <c r="R288">
        <f t="shared" si="13"/>
        <v>51</v>
      </c>
      <c r="S288">
        <f t="shared" ca="1" si="14"/>
        <v>1</v>
      </c>
      <c r="T288">
        <f t="shared" si="15"/>
        <v>285</v>
      </c>
      <c r="U288" t="str">
        <f>IF($T288&lt;=Z$4,INDEX(TypicalCriticalitiesMAHBarrier[Barrier Family Description],MATCH($T288,TypicalCriticalitiesMAHBarrier[Barrier Family ID],0)),"")</f>
        <v/>
      </c>
      <c r="V288" t="str">
        <f ca="1">IF($T288&lt;=AA$4,INDEX(TypicalCriticalitiesMAHBarrier[Typical Components],MATCH($T288,TypicalCriticalitiesMAHBarrier[Column2],0)),"")</f>
        <v/>
      </c>
      <c r="W288" t="str">
        <f ca="1">IF($T288&lt;=AA$4,INDEX(TypicalCriticalitiesMAHBarrier[Typical Criticality],MATCH($T288,TypicalCriticalitiesMAHBarrier[Column2],0)),"")</f>
        <v/>
      </c>
      <c r="AE288" s="44"/>
      <c r="AF288" s="44"/>
      <c r="AG288" s="44"/>
      <c r="AH288" s="44"/>
      <c r="AI288" s="44"/>
      <c r="AJ288" s="44"/>
    </row>
    <row r="289" spans="14:36" x14ac:dyDescent="0.25">
      <c r="N289" t="s">
        <v>572</v>
      </c>
      <c r="O289" t="s">
        <v>573</v>
      </c>
      <c r="P289" t="s">
        <v>574</v>
      </c>
      <c r="Q289" t="s">
        <v>0</v>
      </c>
      <c r="R289">
        <f t="shared" si="13"/>
        <v>52</v>
      </c>
      <c r="S289">
        <f t="shared" ca="1" si="14"/>
        <v>1</v>
      </c>
      <c r="T289">
        <f t="shared" si="15"/>
        <v>286</v>
      </c>
      <c r="U289" t="str">
        <f>IF($T289&lt;=Z$4,INDEX(TypicalCriticalitiesMAHBarrier[Barrier Family Description],MATCH($T289,TypicalCriticalitiesMAHBarrier[Barrier Family ID],0)),"")</f>
        <v/>
      </c>
      <c r="V289" t="str">
        <f ca="1">IF($T289&lt;=AA$4,INDEX(TypicalCriticalitiesMAHBarrier[Typical Components],MATCH($T289,TypicalCriticalitiesMAHBarrier[Column2],0)),"")</f>
        <v/>
      </c>
      <c r="W289" t="str">
        <f ca="1">IF($T289&lt;=AA$4,INDEX(TypicalCriticalitiesMAHBarrier[Typical Criticality],MATCH($T289,TypicalCriticalitiesMAHBarrier[Column2],0)),"")</f>
        <v/>
      </c>
      <c r="AE289" s="44"/>
      <c r="AF289" s="44"/>
      <c r="AG289" s="44"/>
      <c r="AH289" s="44"/>
      <c r="AI289" s="44"/>
      <c r="AJ289" s="44"/>
    </row>
    <row r="290" spans="14:36" x14ac:dyDescent="0.25">
      <c r="N290" t="s">
        <v>572</v>
      </c>
      <c r="O290" t="s">
        <v>573</v>
      </c>
      <c r="P290" t="s">
        <v>575</v>
      </c>
      <c r="Q290" t="s">
        <v>0</v>
      </c>
      <c r="R290">
        <f t="shared" si="13"/>
        <v>52</v>
      </c>
      <c r="S290">
        <f t="shared" ca="1" si="14"/>
        <v>1</v>
      </c>
      <c r="T290">
        <f t="shared" si="15"/>
        <v>287</v>
      </c>
      <c r="U290" t="str">
        <f>IF($T290&lt;=Z$4,INDEX(TypicalCriticalitiesMAHBarrier[Barrier Family Description],MATCH($T290,TypicalCriticalitiesMAHBarrier[Barrier Family ID],0)),"")</f>
        <v/>
      </c>
      <c r="V290" t="str">
        <f ca="1">IF($T290&lt;=AA$4,INDEX(TypicalCriticalitiesMAHBarrier[Typical Components],MATCH($T290,TypicalCriticalitiesMAHBarrier[Column2],0)),"")</f>
        <v/>
      </c>
      <c r="W290" t="str">
        <f ca="1">IF($T290&lt;=AA$4,INDEX(TypicalCriticalitiesMAHBarrier[Typical Criticality],MATCH($T290,TypicalCriticalitiesMAHBarrier[Column2],0)),"")</f>
        <v/>
      </c>
      <c r="AE290" s="44"/>
      <c r="AF290" s="44"/>
      <c r="AG290" s="44"/>
      <c r="AH290" s="44"/>
      <c r="AI290" s="44"/>
      <c r="AJ290" s="44"/>
    </row>
    <row r="291" spans="14:36" x14ac:dyDescent="0.25">
      <c r="N291" t="s">
        <v>572</v>
      </c>
      <c r="O291" t="s">
        <v>573</v>
      </c>
      <c r="P291" t="s">
        <v>576</v>
      </c>
      <c r="Q291" t="s">
        <v>0</v>
      </c>
      <c r="R291">
        <f t="shared" si="13"/>
        <v>52</v>
      </c>
      <c r="S291">
        <f t="shared" ca="1" si="14"/>
        <v>1</v>
      </c>
      <c r="T291">
        <f t="shared" si="15"/>
        <v>288</v>
      </c>
      <c r="U291" t="str">
        <f>IF($T291&lt;=Z$4,INDEX(TypicalCriticalitiesMAHBarrier[Barrier Family Description],MATCH($T291,TypicalCriticalitiesMAHBarrier[Barrier Family ID],0)),"")</f>
        <v/>
      </c>
      <c r="V291" t="str">
        <f ca="1">IF($T291&lt;=AA$4,INDEX(TypicalCriticalitiesMAHBarrier[Typical Components],MATCH($T291,TypicalCriticalitiesMAHBarrier[Column2],0)),"")</f>
        <v/>
      </c>
      <c r="W291" t="str">
        <f ca="1">IF($T291&lt;=AA$4,INDEX(TypicalCriticalitiesMAHBarrier[Typical Criticality],MATCH($T291,TypicalCriticalitiesMAHBarrier[Column2],0)),"")</f>
        <v/>
      </c>
      <c r="AE291" s="44"/>
      <c r="AF291" s="44"/>
      <c r="AG291" s="44"/>
      <c r="AH291" s="44"/>
      <c r="AI291" s="44"/>
      <c r="AJ291" s="44"/>
    </row>
    <row r="292" spans="14:36" x14ac:dyDescent="0.25">
      <c r="N292" t="s">
        <v>577</v>
      </c>
      <c r="O292" t="s">
        <v>578</v>
      </c>
      <c r="P292" t="s">
        <v>579</v>
      </c>
      <c r="Q292" t="s">
        <v>0</v>
      </c>
      <c r="R292">
        <f t="shared" si="13"/>
        <v>53</v>
      </c>
      <c r="S292">
        <f t="shared" ca="1" si="14"/>
        <v>1</v>
      </c>
      <c r="T292">
        <f t="shared" si="15"/>
        <v>289</v>
      </c>
      <c r="U292" t="str">
        <f>IF($T292&lt;=Z$4,INDEX(TypicalCriticalitiesMAHBarrier[Barrier Family Description],MATCH($T292,TypicalCriticalitiesMAHBarrier[Barrier Family ID],0)),"")</f>
        <v/>
      </c>
      <c r="V292" t="str">
        <f ca="1">IF($T292&lt;=AA$4,INDEX(TypicalCriticalitiesMAHBarrier[Typical Components],MATCH($T292,TypicalCriticalitiesMAHBarrier[Column2],0)),"")</f>
        <v/>
      </c>
      <c r="W292" t="str">
        <f ca="1">IF($T292&lt;=AA$4,INDEX(TypicalCriticalitiesMAHBarrier[Typical Criticality],MATCH($T292,TypicalCriticalitiesMAHBarrier[Column2],0)),"")</f>
        <v/>
      </c>
      <c r="AE292" s="44"/>
      <c r="AF292" s="44"/>
      <c r="AG292" s="44"/>
      <c r="AH292" s="44"/>
      <c r="AI292" s="44"/>
      <c r="AJ292" s="44"/>
    </row>
    <row r="293" spans="14:36" x14ac:dyDescent="0.25">
      <c r="N293" t="s">
        <v>577</v>
      </c>
      <c r="O293" t="s">
        <v>578</v>
      </c>
      <c r="P293" t="s">
        <v>580</v>
      </c>
      <c r="Q293" t="s">
        <v>1</v>
      </c>
      <c r="R293">
        <f t="shared" si="13"/>
        <v>53</v>
      </c>
      <c r="S293">
        <f t="shared" ca="1" si="14"/>
        <v>1</v>
      </c>
      <c r="T293">
        <f t="shared" si="15"/>
        <v>290</v>
      </c>
      <c r="U293" t="str">
        <f>IF($T293&lt;=Z$4,INDEX(TypicalCriticalitiesMAHBarrier[Barrier Family Description],MATCH($T293,TypicalCriticalitiesMAHBarrier[Barrier Family ID],0)),"")</f>
        <v/>
      </c>
      <c r="V293" t="str">
        <f ca="1">IF($T293&lt;=AA$4,INDEX(TypicalCriticalitiesMAHBarrier[Typical Components],MATCH($T293,TypicalCriticalitiesMAHBarrier[Column2],0)),"")</f>
        <v/>
      </c>
      <c r="W293" t="str">
        <f ca="1">IF($T293&lt;=AA$4,INDEX(TypicalCriticalitiesMAHBarrier[Typical Criticality],MATCH($T293,TypicalCriticalitiesMAHBarrier[Column2],0)),"")</f>
        <v/>
      </c>
      <c r="AE293" s="44"/>
      <c r="AF293" s="44"/>
      <c r="AG293" s="44"/>
      <c r="AH293" s="44"/>
      <c r="AI293" s="44"/>
      <c r="AJ293" s="44"/>
    </row>
    <row r="294" spans="14:36" x14ac:dyDescent="0.25">
      <c r="N294" t="s">
        <v>577</v>
      </c>
      <c r="O294" t="s">
        <v>578</v>
      </c>
      <c r="P294" t="s">
        <v>581</v>
      </c>
      <c r="Q294" t="s">
        <v>0</v>
      </c>
      <c r="R294">
        <f t="shared" si="13"/>
        <v>53</v>
      </c>
      <c r="S294">
        <f t="shared" ca="1" si="14"/>
        <v>1</v>
      </c>
      <c r="T294">
        <f t="shared" si="15"/>
        <v>291</v>
      </c>
      <c r="U294" t="str">
        <f>IF($T294&lt;=Z$4,INDEX(TypicalCriticalitiesMAHBarrier[Barrier Family Description],MATCH($T294,TypicalCriticalitiesMAHBarrier[Barrier Family ID],0)),"")</f>
        <v/>
      </c>
      <c r="V294" t="str">
        <f ca="1">IF($T294&lt;=AA$4,INDEX(TypicalCriticalitiesMAHBarrier[Typical Components],MATCH($T294,TypicalCriticalitiesMAHBarrier[Column2],0)),"")</f>
        <v/>
      </c>
      <c r="W294" t="str">
        <f ca="1">IF($T294&lt;=AA$4,INDEX(TypicalCriticalitiesMAHBarrier[Typical Criticality],MATCH($T294,TypicalCriticalitiesMAHBarrier[Column2],0)),"")</f>
        <v/>
      </c>
      <c r="AE294" s="44"/>
      <c r="AF294" s="44"/>
      <c r="AG294" s="44"/>
      <c r="AH294" s="44"/>
      <c r="AI294" s="44"/>
      <c r="AJ294" s="44"/>
    </row>
    <row r="295" spans="14:36" x14ac:dyDescent="0.25">
      <c r="N295" t="s">
        <v>577</v>
      </c>
      <c r="O295" t="s">
        <v>578</v>
      </c>
      <c r="P295" t="s">
        <v>582</v>
      </c>
      <c r="Q295" t="s">
        <v>0</v>
      </c>
      <c r="R295">
        <f t="shared" si="13"/>
        <v>53</v>
      </c>
      <c r="S295">
        <f t="shared" ca="1" si="14"/>
        <v>1</v>
      </c>
      <c r="T295">
        <f t="shared" si="15"/>
        <v>292</v>
      </c>
      <c r="U295" t="str">
        <f>IF($T295&lt;=Z$4,INDEX(TypicalCriticalitiesMAHBarrier[Barrier Family Description],MATCH($T295,TypicalCriticalitiesMAHBarrier[Barrier Family ID],0)),"")</f>
        <v/>
      </c>
      <c r="V295" t="str">
        <f ca="1">IF($T295&lt;=AA$4,INDEX(TypicalCriticalitiesMAHBarrier[Typical Components],MATCH($T295,TypicalCriticalitiesMAHBarrier[Column2],0)),"")</f>
        <v/>
      </c>
      <c r="W295" t="str">
        <f ca="1">IF($T295&lt;=AA$4,INDEX(TypicalCriticalitiesMAHBarrier[Typical Criticality],MATCH($T295,TypicalCriticalitiesMAHBarrier[Column2],0)),"")</f>
        <v/>
      </c>
      <c r="AE295" s="44"/>
      <c r="AF295" s="44"/>
      <c r="AG295" s="44"/>
      <c r="AH295" s="44"/>
      <c r="AI295" s="44"/>
      <c r="AJ295" s="44"/>
    </row>
    <row r="296" spans="14:36" x14ac:dyDescent="0.25">
      <c r="N296" t="s">
        <v>577</v>
      </c>
      <c r="O296" t="s">
        <v>578</v>
      </c>
      <c r="P296" t="s">
        <v>583</v>
      </c>
      <c r="Q296" t="s">
        <v>1</v>
      </c>
      <c r="R296">
        <f t="shared" si="13"/>
        <v>53</v>
      </c>
      <c r="S296">
        <f t="shared" ca="1" si="14"/>
        <v>1</v>
      </c>
      <c r="T296">
        <f t="shared" si="15"/>
        <v>293</v>
      </c>
      <c r="U296" t="str">
        <f>IF($T296&lt;=Z$4,INDEX(TypicalCriticalitiesMAHBarrier[Barrier Family Description],MATCH($T296,TypicalCriticalitiesMAHBarrier[Barrier Family ID],0)),"")</f>
        <v/>
      </c>
      <c r="V296" t="str">
        <f ca="1">IF($T296&lt;=AA$4,INDEX(TypicalCriticalitiesMAHBarrier[Typical Components],MATCH($T296,TypicalCriticalitiesMAHBarrier[Column2],0)),"")</f>
        <v/>
      </c>
      <c r="W296" t="str">
        <f ca="1">IF($T296&lt;=AA$4,INDEX(TypicalCriticalitiesMAHBarrier[Typical Criticality],MATCH($T296,TypicalCriticalitiesMAHBarrier[Column2],0)),"")</f>
        <v/>
      </c>
      <c r="AE296" s="44"/>
      <c r="AF296" s="44"/>
      <c r="AG296" s="44"/>
      <c r="AH296" s="44"/>
      <c r="AI296" s="44"/>
      <c r="AJ296" s="44"/>
    </row>
    <row r="297" spans="14:36" x14ac:dyDescent="0.25">
      <c r="N297" t="s">
        <v>577</v>
      </c>
      <c r="O297" t="s">
        <v>578</v>
      </c>
      <c r="P297" t="s">
        <v>584</v>
      </c>
      <c r="Q297" t="s">
        <v>0</v>
      </c>
      <c r="R297">
        <f t="shared" si="13"/>
        <v>53</v>
      </c>
      <c r="S297">
        <f t="shared" ca="1" si="14"/>
        <v>1</v>
      </c>
      <c r="T297">
        <f t="shared" si="15"/>
        <v>294</v>
      </c>
      <c r="U297" t="str">
        <f>IF($T297&lt;=Z$4,INDEX(TypicalCriticalitiesMAHBarrier[Barrier Family Description],MATCH($T297,TypicalCriticalitiesMAHBarrier[Barrier Family ID],0)),"")</f>
        <v/>
      </c>
      <c r="V297" t="str">
        <f ca="1">IF($T297&lt;=AA$4,INDEX(TypicalCriticalitiesMAHBarrier[Typical Components],MATCH($T297,TypicalCriticalitiesMAHBarrier[Column2],0)),"")</f>
        <v/>
      </c>
      <c r="W297" t="str">
        <f ca="1">IF($T297&lt;=AA$4,INDEX(TypicalCriticalitiesMAHBarrier[Typical Criticality],MATCH($T297,TypicalCriticalitiesMAHBarrier[Column2],0)),"")</f>
        <v/>
      </c>
      <c r="AE297" s="44"/>
      <c r="AF297" s="44"/>
      <c r="AG297" s="44"/>
      <c r="AH297" s="44"/>
      <c r="AI297" s="44"/>
      <c r="AJ297" s="44"/>
    </row>
    <row r="298" spans="14:36" x14ac:dyDescent="0.25">
      <c r="N298" t="s">
        <v>577</v>
      </c>
      <c r="O298" t="s">
        <v>578</v>
      </c>
      <c r="P298" t="s">
        <v>585</v>
      </c>
      <c r="Q298" t="s">
        <v>0</v>
      </c>
      <c r="R298">
        <f t="shared" si="13"/>
        <v>53</v>
      </c>
      <c r="S298">
        <f t="shared" ca="1" si="14"/>
        <v>1</v>
      </c>
      <c r="T298">
        <f t="shared" si="15"/>
        <v>295</v>
      </c>
      <c r="U298" t="str">
        <f>IF($T298&lt;=Z$4,INDEX(TypicalCriticalitiesMAHBarrier[Barrier Family Description],MATCH($T298,TypicalCriticalitiesMAHBarrier[Barrier Family ID],0)),"")</f>
        <v/>
      </c>
      <c r="V298" t="str">
        <f ca="1">IF($T298&lt;=AA$4,INDEX(TypicalCriticalitiesMAHBarrier[Typical Components],MATCH($T298,TypicalCriticalitiesMAHBarrier[Column2],0)),"")</f>
        <v/>
      </c>
      <c r="W298" t="str">
        <f ca="1">IF($T298&lt;=AA$4,INDEX(TypicalCriticalitiesMAHBarrier[Typical Criticality],MATCH($T298,TypicalCriticalitiesMAHBarrier[Column2],0)),"")</f>
        <v/>
      </c>
      <c r="AE298" s="44"/>
      <c r="AF298" s="44"/>
      <c r="AG298" s="44"/>
      <c r="AH298" s="44"/>
      <c r="AI298" s="44"/>
      <c r="AJ298" s="44"/>
    </row>
    <row r="299" spans="14:36" x14ac:dyDescent="0.25">
      <c r="N299" t="s">
        <v>577</v>
      </c>
      <c r="O299" t="s">
        <v>578</v>
      </c>
      <c r="P299" t="s">
        <v>586</v>
      </c>
      <c r="Q299" t="s">
        <v>0</v>
      </c>
      <c r="R299">
        <f t="shared" si="13"/>
        <v>53</v>
      </c>
      <c r="S299">
        <f t="shared" ca="1" si="14"/>
        <v>1</v>
      </c>
      <c r="T299">
        <f t="shared" si="15"/>
        <v>296</v>
      </c>
      <c r="U299" t="str">
        <f>IF($T299&lt;=Z$4,INDEX(TypicalCriticalitiesMAHBarrier[Barrier Family Description],MATCH($T299,TypicalCriticalitiesMAHBarrier[Barrier Family ID],0)),"")</f>
        <v/>
      </c>
      <c r="V299" t="str">
        <f ca="1">IF($T299&lt;=AA$4,INDEX(TypicalCriticalitiesMAHBarrier[Typical Components],MATCH($T299,TypicalCriticalitiesMAHBarrier[Column2],0)),"")</f>
        <v/>
      </c>
      <c r="W299" t="str">
        <f ca="1">IF($T299&lt;=AA$4,INDEX(TypicalCriticalitiesMAHBarrier[Typical Criticality],MATCH($T299,TypicalCriticalitiesMAHBarrier[Column2],0)),"")</f>
        <v/>
      </c>
      <c r="AE299" s="44"/>
      <c r="AF299" s="44"/>
      <c r="AG299" s="44"/>
      <c r="AH299" s="44"/>
      <c r="AI299" s="44"/>
      <c r="AJ299" s="44"/>
    </row>
    <row r="300" spans="14:36" x14ac:dyDescent="0.25">
      <c r="N300" t="s">
        <v>577</v>
      </c>
      <c r="O300" t="s">
        <v>578</v>
      </c>
      <c r="P300" t="s">
        <v>587</v>
      </c>
      <c r="Q300" t="s">
        <v>0</v>
      </c>
      <c r="R300">
        <f t="shared" si="13"/>
        <v>53</v>
      </c>
      <c r="S300">
        <f t="shared" ca="1" si="14"/>
        <v>1</v>
      </c>
      <c r="T300">
        <f t="shared" si="15"/>
        <v>297</v>
      </c>
      <c r="U300" t="str">
        <f>IF($T300&lt;=Z$4,INDEX(TypicalCriticalitiesMAHBarrier[Barrier Family Description],MATCH($T300,TypicalCriticalitiesMAHBarrier[Barrier Family ID],0)),"")</f>
        <v/>
      </c>
      <c r="V300" t="str">
        <f ca="1">IF($T300&lt;=AA$4,INDEX(TypicalCriticalitiesMAHBarrier[Typical Components],MATCH($T300,TypicalCriticalitiesMAHBarrier[Column2],0)),"")</f>
        <v/>
      </c>
      <c r="W300" t="str">
        <f ca="1">IF($T300&lt;=AA$4,INDEX(TypicalCriticalitiesMAHBarrier[Typical Criticality],MATCH($T300,TypicalCriticalitiesMAHBarrier[Column2],0)),"")</f>
        <v/>
      </c>
      <c r="AE300" s="44"/>
      <c r="AF300" s="44"/>
      <c r="AG300" s="44"/>
      <c r="AH300" s="44"/>
      <c r="AI300" s="44"/>
      <c r="AJ300" s="44"/>
    </row>
    <row r="301" spans="14:36" x14ac:dyDescent="0.25">
      <c r="N301" t="s">
        <v>577</v>
      </c>
      <c r="O301" t="s">
        <v>578</v>
      </c>
      <c r="P301" t="s">
        <v>588</v>
      </c>
      <c r="Q301" t="s">
        <v>0</v>
      </c>
      <c r="R301">
        <f t="shared" si="13"/>
        <v>53</v>
      </c>
      <c r="S301">
        <f t="shared" ca="1" si="14"/>
        <v>1</v>
      </c>
      <c r="T301">
        <f t="shared" si="15"/>
        <v>298</v>
      </c>
      <c r="U301" t="str">
        <f>IF($T301&lt;=Z$4,INDEX(TypicalCriticalitiesMAHBarrier[Barrier Family Description],MATCH($T301,TypicalCriticalitiesMAHBarrier[Barrier Family ID],0)),"")</f>
        <v/>
      </c>
      <c r="V301" t="str">
        <f ca="1">IF($T301&lt;=AA$4,INDEX(TypicalCriticalitiesMAHBarrier[Typical Components],MATCH($T301,TypicalCriticalitiesMAHBarrier[Column2],0)),"")</f>
        <v/>
      </c>
      <c r="W301" t="str">
        <f ca="1">IF($T301&lt;=AA$4,INDEX(TypicalCriticalitiesMAHBarrier[Typical Criticality],MATCH($T301,TypicalCriticalitiesMAHBarrier[Column2],0)),"")</f>
        <v/>
      </c>
      <c r="AE301" s="44"/>
      <c r="AF301" s="44"/>
      <c r="AG301" s="44"/>
      <c r="AH301" s="44"/>
      <c r="AI301" s="44"/>
      <c r="AJ301" s="44"/>
    </row>
    <row r="302" spans="14:36" x14ac:dyDescent="0.25">
      <c r="N302" t="s">
        <v>577</v>
      </c>
      <c r="O302" t="s">
        <v>578</v>
      </c>
      <c r="P302" t="s">
        <v>589</v>
      </c>
      <c r="Q302" t="s">
        <v>1</v>
      </c>
      <c r="R302">
        <f t="shared" si="13"/>
        <v>53</v>
      </c>
      <c r="S302">
        <f t="shared" ca="1" si="14"/>
        <v>1</v>
      </c>
      <c r="T302">
        <f t="shared" si="15"/>
        <v>299</v>
      </c>
      <c r="U302" t="str">
        <f>IF($T302&lt;=Z$4,INDEX(TypicalCriticalitiesMAHBarrier[Barrier Family Description],MATCH($T302,TypicalCriticalitiesMAHBarrier[Barrier Family ID],0)),"")</f>
        <v/>
      </c>
      <c r="V302" t="str">
        <f ca="1">IF($T302&lt;=AA$4,INDEX(TypicalCriticalitiesMAHBarrier[Typical Components],MATCH($T302,TypicalCriticalitiesMAHBarrier[Column2],0)),"")</f>
        <v/>
      </c>
      <c r="W302" t="str">
        <f ca="1">IF($T302&lt;=AA$4,INDEX(TypicalCriticalitiesMAHBarrier[Typical Criticality],MATCH($T302,TypicalCriticalitiesMAHBarrier[Column2],0)),"")</f>
        <v/>
      </c>
      <c r="AE302" s="44"/>
      <c r="AF302" s="44"/>
      <c r="AG302" s="44"/>
      <c r="AH302" s="44"/>
      <c r="AI302" s="44"/>
      <c r="AJ302" s="44"/>
    </row>
    <row r="303" spans="14:36" x14ac:dyDescent="0.25">
      <c r="N303" t="s">
        <v>577</v>
      </c>
      <c r="O303" t="s">
        <v>578</v>
      </c>
      <c r="P303" t="s">
        <v>590</v>
      </c>
      <c r="Q303" t="s">
        <v>1</v>
      </c>
      <c r="R303">
        <f t="shared" si="13"/>
        <v>53</v>
      </c>
      <c r="S303">
        <f t="shared" ca="1" si="14"/>
        <v>1</v>
      </c>
      <c r="T303">
        <f t="shared" si="15"/>
        <v>300</v>
      </c>
      <c r="U303" t="str">
        <f>IF($T303&lt;=Z$4,INDEX(TypicalCriticalitiesMAHBarrier[Barrier Family Description],MATCH($T303,TypicalCriticalitiesMAHBarrier[Barrier Family ID],0)),"")</f>
        <v/>
      </c>
      <c r="V303" t="str">
        <f ca="1">IF($T303&lt;=AA$4,INDEX(TypicalCriticalitiesMAHBarrier[Typical Components],MATCH($T303,TypicalCriticalitiesMAHBarrier[Column2],0)),"")</f>
        <v/>
      </c>
      <c r="W303" t="str">
        <f ca="1">IF($T303&lt;=AA$4,INDEX(TypicalCriticalitiesMAHBarrier[Typical Criticality],MATCH($T303,TypicalCriticalitiesMAHBarrier[Column2],0)),"")</f>
        <v/>
      </c>
      <c r="AE303" s="44"/>
      <c r="AF303" s="44"/>
      <c r="AG303" s="44"/>
      <c r="AH303" s="44"/>
      <c r="AI303" s="44"/>
      <c r="AJ303" s="44"/>
    </row>
    <row r="304" spans="14:36" x14ac:dyDescent="0.25">
      <c r="N304" t="s">
        <v>577</v>
      </c>
      <c r="O304" t="s">
        <v>578</v>
      </c>
      <c r="P304" t="s">
        <v>591</v>
      </c>
      <c r="Q304" t="s">
        <v>0</v>
      </c>
      <c r="R304">
        <f t="shared" si="13"/>
        <v>53</v>
      </c>
      <c r="S304">
        <f t="shared" ca="1" si="14"/>
        <v>1</v>
      </c>
      <c r="T304">
        <f t="shared" si="15"/>
        <v>301</v>
      </c>
      <c r="U304" t="str">
        <f>IF($T304&lt;=Z$4,INDEX(TypicalCriticalitiesMAHBarrier[Barrier Family Description],MATCH($T304,TypicalCriticalitiesMAHBarrier[Barrier Family ID],0)),"")</f>
        <v/>
      </c>
      <c r="V304" t="str">
        <f ca="1">IF($T304&lt;=AA$4,INDEX(TypicalCriticalitiesMAHBarrier[Typical Components],MATCH($T304,TypicalCriticalitiesMAHBarrier[Column2],0)),"")</f>
        <v/>
      </c>
      <c r="W304" t="str">
        <f ca="1">IF($T304&lt;=AA$4,INDEX(TypicalCriticalitiesMAHBarrier[Typical Criticality],MATCH($T304,TypicalCriticalitiesMAHBarrier[Column2],0)),"")</f>
        <v/>
      </c>
      <c r="AE304" s="44"/>
      <c r="AF304" s="44"/>
      <c r="AG304" s="44"/>
      <c r="AH304" s="44"/>
      <c r="AI304" s="44"/>
      <c r="AJ304" s="44"/>
    </row>
    <row r="305" spans="14:36" x14ac:dyDescent="0.25">
      <c r="N305" t="s">
        <v>592</v>
      </c>
      <c r="O305" t="s">
        <v>593</v>
      </c>
      <c r="P305" t="s">
        <v>594</v>
      </c>
      <c r="Q305" t="s">
        <v>1</v>
      </c>
      <c r="R305">
        <f t="shared" si="13"/>
        <v>54</v>
      </c>
      <c r="S305">
        <f t="shared" ca="1" si="14"/>
        <v>1</v>
      </c>
      <c r="T305">
        <f t="shared" si="15"/>
        <v>302</v>
      </c>
      <c r="U305" t="str">
        <f>IF($T305&lt;=Z$4,INDEX(TypicalCriticalitiesMAHBarrier[Barrier Family Description],MATCH($T305,TypicalCriticalitiesMAHBarrier[Barrier Family ID],0)),"")</f>
        <v/>
      </c>
      <c r="V305" t="str">
        <f ca="1">IF($T305&lt;=AA$4,INDEX(TypicalCriticalitiesMAHBarrier[Typical Components],MATCH($T305,TypicalCriticalitiesMAHBarrier[Column2],0)),"")</f>
        <v/>
      </c>
      <c r="W305" t="str">
        <f ca="1">IF($T305&lt;=AA$4,INDEX(TypicalCriticalitiesMAHBarrier[Typical Criticality],MATCH($T305,TypicalCriticalitiesMAHBarrier[Column2],0)),"")</f>
        <v/>
      </c>
      <c r="AE305" s="44"/>
      <c r="AF305" s="44"/>
      <c r="AG305" s="44"/>
      <c r="AH305" s="44"/>
      <c r="AI305" s="44"/>
      <c r="AJ305" s="44"/>
    </row>
    <row r="306" spans="14:36" x14ac:dyDescent="0.25">
      <c r="N306" t="s">
        <v>592</v>
      </c>
      <c r="O306" t="s">
        <v>593</v>
      </c>
      <c r="P306" t="s">
        <v>595</v>
      </c>
      <c r="Q306" t="s">
        <v>1</v>
      </c>
      <c r="R306">
        <f t="shared" si="13"/>
        <v>54</v>
      </c>
      <c r="S306">
        <f t="shared" ca="1" si="14"/>
        <v>1</v>
      </c>
      <c r="T306">
        <f t="shared" si="15"/>
        <v>303</v>
      </c>
      <c r="U306" t="str">
        <f>IF($T306&lt;=Z$4,INDEX(TypicalCriticalitiesMAHBarrier[Barrier Family Description],MATCH($T306,TypicalCriticalitiesMAHBarrier[Barrier Family ID],0)),"")</f>
        <v/>
      </c>
      <c r="V306" t="str">
        <f ca="1">IF($T306&lt;=AA$4,INDEX(TypicalCriticalitiesMAHBarrier[Typical Components],MATCH($T306,TypicalCriticalitiesMAHBarrier[Column2],0)),"")</f>
        <v/>
      </c>
      <c r="W306" t="str">
        <f ca="1">IF($T306&lt;=AA$4,INDEX(TypicalCriticalitiesMAHBarrier[Typical Criticality],MATCH($T306,TypicalCriticalitiesMAHBarrier[Column2],0)),"")</f>
        <v/>
      </c>
      <c r="AE306" s="44"/>
      <c r="AF306" s="44"/>
      <c r="AG306" s="44"/>
      <c r="AH306" s="44"/>
      <c r="AI306" s="44"/>
      <c r="AJ306" s="44"/>
    </row>
    <row r="307" spans="14:36" x14ac:dyDescent="0.25">
      <c r="N307" t="s">
        <v>592</v>
      </c>
      <c r="O307" t="s">
        <v>593</v>
      </c>
      <c r="P307" t="s">
        <v>596</v>
      </c>
      <c r="Q307" t="s">
        <v>1</v>
      </c>
      <c r="R307">
        <f t="shared" si="13"/>
        <v>54</v>
      </c>
      <c r="S307">
        <f t="shared" ca="1" si="14"/>
        <v>1</v>
      </c>
      <c r="T307">
        <f t="shared" si="15"/>
        <v>304</v>
      </c>
      <c r="U307" t="str">
        <f>IF($T307&lt;=Z$4,INDEX(TypicalCriticalitiesMAHBarrier[Barrier Family Description],MATCH($T307,TypicalCriticalitiesMAHBarrier[Barrier Family ID],0)),"")</f>
        <v/>
      </c>
      <c r="V307" t="str">
        <f ca="1">IF($T307&lt;=AA$4,INDEX(TypicalCriticalitiesMAHBarrier[Typical Components],MATCH($T307,TypicalCriticalitiesMAHBarrier[Column2],0)),"")</f>
        <v/>
      </c>
      <c r="W307" t="str">
        <f ca="1">IF($T307&lt;=AA$4,INDEX(TypicalCriticalitiesMAHBarrier[Typical Criticality],MATCH($T307,TypicalCriticalitiesMAHBarrier[Column2],0)),"")</f>
        <v/>
      </c>
      <c r="AE307" s="44"/>
      <c r="AF307" s="44"/>
      <c r="AG307" s="44"/>
      <c r="AH307" s="44"/>
      <c r="AI307" s="44"/>
      <c r="AJ307" s="44"/>
    </row>
    <row r="308" spans="14:36" x14ac:dyDescent="0.25">
      <c r="N308" t="s">
        <v>592</v>
      </c>
      <c r="O308" t="s">
        <v>593</v>
      </c>
      <c r="P308" t="s">
        <v>597</v>
      </c>
      <c r="Q308" t="s">
        <v>0</v>
      </c>
      <c r="R308">
        <f t="shared" si="13"/>
        <v>54</v>
      </c>
      <c r="S308">
        <f t="shared" ca="1" si="14"/>
        <v>1</v>
      </c>
      <c r="T308">
        <f t="shared" si="15"/>
        <v>305</v>
      </c>
      <c r="U308" t="str">
        <f>IF($T308&lt;=Z$4,INDEX(TypicalCriticalitiesMAHBarrier[Barrier Family Description],MATCH($T308,TypicalCriticalitiesMAHBarrier[Barrier Family ID],0)),"")</f>
        <v/>
      </c>
      <c r="V308" t="str">
        <f ca="1">IF($T308&lt;=AA$4,INDEX(TypicalCriticalitiesMAHBarrier[Typical Components],MATCH($T308,TypicalCriticalitiesMAHBarrier[Column2],0)),"")</f>
        <v/>
      </c>
      <c r="W308" t="str">
        <f ca="1">IF($T308&lt;=AA$4,INDEX(TypicalCriticalitiesMAHBarrier[Typical Criticality],MATCH($T308,TypicalCriticalitiesMAHBarrier[Column2],0)),"")</f>
        <v/>
      </c>
      <c r="AE308" s="44"/>
      <c r="AF308" s="44"/>
      <c r="AG308" s="44"/>
      <c r="AH308" s="44"/>
      <c r="AI308" s="44"/>
      <c r="AJ308" s="44"/>
    </row>
    <row r="309" spans="14:36" x14ac:dyDescent="0.25">
      <c r="N309" t="s">
        <v>592</v>
      </c>
      <c r="O309" t="s">
        <v>593</v>
      </c>
      <c r="P309" t="s">
        <v>598</v>
      </c>
      <c r="Q309" t="s">
        <v>1</v>
      </c>
      <c r="R309">
        <f t="shared" si="13"/>
        <v>54</v>
      </c>
      <c r="S309">
        <f t="shared" ca="1" si="14"/>
        <v>1</v>
      </c>
      <c r="T309">
        <f t="shared" si="15"/>
        <v>306</v>
      </c>
      <c r="U309" t="str">
        <f>IF($T309&lt;=Z$4,INDEX(TypicalCriticalitiesMAHBarrier[Barrier Family Description],MATCH($T309,TypicalCriticalitiesMAHBarrier[Barrier Family ID],0)),"")</f>
        <v/>
      </c>
      <c r="V309" t="str">
        <f ca="1">IF($T309&lt;=AA$4,INDEX(TypicalCriticalitiesMAHBarrier[Typical Components],MATCH($T309,TypicalCriticalitiesMAHBarrier[Column2],0)),"")</f>
        <v/>
      </c>
      <c r="W309" t="str">
        <f ca="1">IF($T309&lt;=AA$4,INDEX(TypicalCriticalitiesMAHBarrier[Typical Criticality],MATCH($T309,TypicalCriticalitiesMAHBarrier[Column2],0)),"")</f>
        <v/>
      </c>
      <c r="AE309" s="44"/>
      <c r="AF309" s="44"/>
      <c r="AG309" s="44"/>
      <c r="AH309" s="44"/>
      <c r="AI309" s="44"/>
      <c r="AJ309" s="44"/>
    </row>
  </sheetData>
  <sheetProtection insertRows="0" deleteRows="0" autoFilter="0"/>
  <dataConsolidate link="1"/>
  <mergeCells count="6">
    <mergeCell ref="A14:F14"/>
    <mergeCell ref="A6:D6"/>
    <mergeCell ref="I7:K9"/>
    <mergeCell ref="A5:D5"/>
    <mergeCell ref="F5:G5"/>
    <mergeCell ref="H5:K5"/>
  </mergeCells>
  <conditionalFormatting sqref="G6">
    <cfRule type="containsText" dxfId="52" priority="1" operator="containsText" text="YES">
      <formula>NOT(ISERROR(SEARCH("YES",G6)))</formula>
    </cfRule>
  </conditionalFormatting>
  <conditionalFormatting sqref="I7">
    <cfRule type="expression" dxfId="51" priority="2">
      <formula>NOT(K6)</formula>
    </cfRule>
  </conditionalFormatting>
  <dataValidations count="6">
    <dataValidation type="list" allowBlank="1" showInputMessage="1" showErrorMessage="1" errorTitle="Invalid Impact Code" error="Codes must be A-H Uppercase only _x000a_(blank cells are allowed)" sqref="B16">
      <formula1>"A,B,C,D,E,F,G,H"</formula1>
    </dataValidation>
    <dataValidation type="custom" allowBlank="1" showInputMessage="1" showErrorMessage="1" sqref="I7">
      <formula1>K6</formula1>
    </dataValidation>
    <dataValidation type="list" allowBlank="1" showInputMessage="1" showErrorMessage="1" sqref="B34:B36 B22:B24 B28:B31 B17:B19">
      <formula1>"A,B,C,D,E,F,G,H"</formula1>
    </dataValidation>
    <dataValidation type="list" allowBlank="1" showInputMessage="1" showErrorMessage="1" sqref="I17">
      <formula1>TypicalComponents</formula1>
    </dataValidation>
    <dataValidation type="list" allowBlank="1" showInputMessage="1" showErrorMessage="1" sqref="H17">
      <formula1>BarrierFamilies</formula1>
    </dataValidation>
    <dataValidation type="list" allowBlank="1" showInputMessage="1" showErrorMessage="1" sqref="I37 J35 G9">
      <formula1>"Yes,No"</formula1>
    </dataValidation>
  </dataValidations>
  <pageMargins left="0.7" right="0.7" top="0.75" bottom="0.75" header="0.3" footer="0.3"/>
  <pageSetup paperSize="9" orientation="portrait" r:id="rId1"/>
  <ignoredErrors>
    <ignoredError sqref="B9:B12 C9:D12" calculatedColumn="1"/>
  </ignoredErrors>
  <tableParts count="6">
    <tablePart r:id="rId2"/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'https://addenergygroup-my.sharepoint.com/personal/douglas_crooke_addenergy_no/Documents/CriticalityVBA/[WND Criticality Template.xlsx]DataTables'!#REF!</xm:f>
          </x14:formula1>
          <xm:sqref>C16:C19 C22:C24 C34:C38 C28:C31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204"/>
  <sheetViews>
    <sheetView workbookViewId="0"/>
  </sheetViews>
  <sheetFormatPr defaultColWidth="63.140625" defaultRowHeight="15" x14ac:dyDescent="0.25"/>
  <cols>
    <col min="1" max="1" width="20" customWidth="1"/>
    <col min="2" max="2" width="62.140625" customWidth="1"/>
    <col min="3" max="3" width="15.140625" customWidth="1"/>
    <col min="4" max="4" width="18.140625" customWidth="1"/>
    <col min="5" max="5" width="27.85546875" customWidth="1"/>
  </cols>
  <sheetData>
    <row r="1" spans="1:6" x14ac:dyDescent="0.25">
      <c r="A1" s="100" t="s">
        <v>642</v>
      </c>
      <c r="B1" s="101" t="s">
        <v>643</v>
      </c>
      <c r="C1" s="101" t="s">
        <v>644</v>
      </c>
      <c r="D1" s="101" t="s">
        <v>645</v>
      </c>
      <c r="E1" s="101" t="s">
        <v>646</v>
      </c>
      <c r="F1" s="102" t="s">
        <v>641</v>
      </c>
    </row>
    <row r="2" spans="1:6" x14ac:dyDescent="0.25">
      <c r="A2" s="96" t="s">
        <v>647</v>
      </c>
      <c r="B2" s="91" t="s">
        <v>648</v>
      </c>
      <c r="C2" s="91" t="s">
        <v>649</v>
      </c>
      <c r="D2" s="91" t="s">
        <v>650</v>
      </c>
      <c r="E2" s="91" t="s">
        <v>49</v>
      </c>
      <c r="F2" s="98"/>
    </row>
    <row r="3" spans="1:6" x14ac:dyDescent="0.25">
      <c r="A3" s="96" t="s">
        <v>651</v>
      </c>
      <c r="B3" s="91" t="s">
        <v>652</v>
      </c>
      <c r="C3" s="91" t="s">
        <v>653</v>
      </c>
      <c r="D3" s="91" t="s">
        <v>650</v>
      </c>
      <c r="E3" s="91" t="s">
        <v>49</v>
      </c>
      <c r="F3" s="98" t="s">
        <v>654</v>
      </c>
    </row>
    <row r="4" spans="1:6" x14ac:dyDescent="0.25">
      <c r="A4" s="96" t="s">
        <v>655</v>
      </c>
      <c r="B4" s="91" t="s">
        <v>652</v>
      </c>
      <c r="C4" s="91" t="s">
        <v>656</v>
      </c>
      <c r="D4" s="91" t="s">
        <v>650</v>
      </c>
      <c r="E4" s="91" t="s">
        <v>49</v>
      </c>
      <c r="F4" s="98" t="s">
        <v>654</v>
      </c>
    </row>
    <row r="5" spans="1:6" x14ac:dyDescent="0.25">
      <c r="A5" s="96" t="s">
        <v>657</v>
      </c>
      <c r="B5" s="91" t="s">
        <v>652</v>
      </c>
      <c r="C5" s="91" t="s">
        <v>658</v>
      </c>
      <c r="D5" s="91" t="s">
        <v>650</v>
      </c>
      <c r="E5" s="91" t="s">
        <v>49</v>
      </c>
      <c r="F5" s="98" t="s">
        <v>654</v>
      </c>
    </row>
    <row r="6" spans="1:6" x14ac:dyDescent="0.25">
      <c r="A6" s="96" t="s">
        <v>659</v>
      </c>
      <c r="B6" s="91" t="s">
        <v>652</v>
      </c>
      <c r="C6" s="91" t="s">
        <v>660</v>
      </c>
      <c r="D6" s="91" t="s">
        <v>650</v>
      </c>
      <c r="E6" s="91" t="s">
        <v>49</v>
      </c>
      <c r="F6" s="98" t="s">
        <v>654</v>
      </c>
    </row>
    <row r="7" spans="1:6" x14ac:dyDescent="0.25">
      <c r="A7" s="96" t="s">
        <v>661</v>
      </c>
      <c r="B7" s="91" t="s">
        <v>662</v>
      </c>
      <c r="C7" s="91" t="s">
        <v>663</v>
      </c>
      <c r="D7" s="91" t="s">
        <v>650</v>
      </c>
      <c r="E7" s="91" t="s">
        <v>49</v>
      </c>
      <c r="F7" s="98"/>
    </row>
    <row r="8" spans="1:6" x14ac:dyDescent="0.25">
      <c r="A8" s="96" t="s">
        <v>664</v>
      </c>
      <c r="B8" s="91" t="s">
        <v>652</v>
      </c>
      <c r="C8" s="91" t="s">
        <v>665</v>
      </c>
      <c r="D8" s="91" t="s">
        <v>650</v>
      </c>
      <c r="E8" s="91" t="s">
        <v>49</v>
      </c>
      <c r="F8" s="98" t="s">
        <v>654</v>
      </c>
    </row>
    <row r="9" spans="1:6" x14ac:dyDescent="0.25">
      <c r="A9" s="96" t="s">
        <v>666</v>
      </c>
      <c r="B9" s="91" t="s">
        <v>652</v>
      </c>
      <c r="C9" s="91" t="s">
        <v>667</v>
      </c>
      <c r="D9" s="91" t="s">
        <v>650</v>
      </c>
      <c r="E9" s="91" t="s">
        <v>49</v>
      </c>
      <c r="F9" s="98" t="s">
        <v>654</v>
      </c>
    </row>
    <row r="10" spans="1:6" x14ac:dyDescent="0.25">
      <c r="A10" s="96" t="s">
        <v>668</v>
      </c>
      <c r="B10" s="91" t="s">
        <v>652</v>
      </c>
      <c r="C10" s="91" t="s">
        <v>669</v>
      </c>
      <c r="D10" s="91" t="s">
        <v>650</v>
      </c>
      <c r="E10" s="91" t="s">
        <v>49</v>
      </c>
      <c r="F10" s="98" t="s">
        <v>654</v>
      </c>
    </row>
    <row r="11" spans="1:6" x14ac:dyDescent="0.25">
      <c r="A11" s="96" t="s">
        <v>670</v>
      </c>
      <c r="B11" s="91" t="s">
        <v>652</v>
      </c>
      <c r="C11" s="91" t="s">
        <v>671</v>
      </c>
      <c r="D11" s="91" t="s">
        <v>650</v>
      </c>
      <c r="E11" s="91" t="s">
        <v>49</v>
      </c>
      <c r="F11" s="98" t="s">
        <v>654</v>
      </c>
    </row>
    <row r="12" spans="1:6" x14ac:dyDescent="0.25">
      <c r="A12" s="96" t="s">
        <v>672</v>
      </c>
      <c r="B12" s="91" t="s">
        <v>652</v>
      </c>
      <c r="C12" s="91" t="s">
        <v>673</v>
      </c>
      <c r="D12" s="91" t="s">
        <v>650</v>
      </c>
      <c r="E12" s="91" t="s">
        <v>49</v>
      </c>
      <c r="F12" s="98" t="s">
        <v>654</v>
      </c>
    </row>
    <row r="13" spans="1:6" x14ac:dyDescent="0.25">
      <c r="A13" s="96" t="s">
        <v>674</v>
      </c>
      <c r="B13" s="91" t="s">
        <v>652</v>
      </c>
      <c r="C13" s="91" t="s">
        <v>675</v>
      </c>
      <c r="D13" s="91" t="s">
        <v>650</v>
      </c>
      <c r="E13" s="91" t="s">
        <v>49</v>
      </c>
      <c r="F13" s="98" t="s">
        <v>654</v>
      </c>
    </row>
    <row r="14" spans="1:6" x14ac:dyDescent="0.25">
      <c r="A14" s="96" t="s">
        <v>676</v>
      </c>
      <c r="B14" s="91" t="s">
        <v>652</v>
      </c>
      <c r="C14" s="91" t="s">
        <v>677</v>
      </c>
      <c r="D14" s="91" t="s">
        <v>650</v>
      </c>
      <c r="E14" s="91" t="s">
        <v>49</v>
      </c>
      <c r="F14" s="98" t="s">
        <v>654</v>
      </c>
    </row>
    <row r="15" spans="1:6" x14ac:dyDescent="0.25">
      <c r="A15" s="96" t="s">
        <v>678</v>
      </c>
      <c r="B15" s="91" t="s">
        <v>679</v>
      </c>
      <c r="C15" s="91" t="s">
        <v>680</v>
      </c>
      <c r="D15" s="91" t="s">
        <v>650</v>
      </c>
      <c r="E15" s="91" t="s">
        <v>49</v>
      </c>
      <c r="F15" s="98"/>
    </row>
    <row r="16" spans="1:6" x14ac:dyDescent="0.25">
      <c r="A16" s="96" t="s">
        <v>681</v>
      </c>
      <c r="B16" s="91" t="s">
        <v>652</v>
      </c>
      <c r="C16" s="91" t="s">
        <v>682</v>
      </c>
      <c r="D16" s="91" t="s">
        <v>650</v>
      </c>
      <c r="E16" s="91" t="s">
        <v>49</v>
      </c>
      <c r="F16" s="98" t="s">
        <v>654</v>
      </c>
    </row>
    <row r="17" spans="1:6" x14ac:dyDescent="0.25">
      <c r="A17" s="96" t="s">
        <v>683</v>
      </c>
      <c r="B17" s="91" t="s">
        <v>652</v>
      </c>
      <c r="C17" s="91" t="s">
        <v>684</v>
      </c>
      <c r="D17" s="91" t="s">
        <v>650</v>
      </c>
      <c r="E17" s="91" t="s">
        <v>49</v>
      </c>
      <c r="F17" s="98" t="s">
        <v>654</v>
      </c>
    </row>
    <row r="18" spans="1:6" x14ac:dyDescent="0.25">
      <c r="A18" s="96" t="s">
        <v>685</v>
      </c>
      <c r="B18" s="91" t="s">
        <v>652</v>
      </c>
      <c r="C18" s="91" t="s">
        <v>686</v>
      </c>
      <c r="D18" s="91" t="s">
        <v>650</v>
      </c>
      <c r="E18" s="91" t="s">
        <v>49</v>
      </c>
      <c r="F18" s="98" t="s">
        <v>654</v>
      </c>
    </row>
    <row r="19" spans="1:6" x14ac:dyDescent="0.25">
      <c r="A19" s="96" t="s">
        <v>687</v>
      </c>
      <c r="B19" s="91" t="s">
        <v>652</v>
      </c>
      <c r="C19" s="91" t="s">
        <v>688</v>
      </c>
      <c r="D19" s="91" t="s">
        <v>650</v>
      </c>
      <c r="E19" s="91" t="s">
        <v>49</v>
      </c>
      <c r="F19" s="98" t="s">
        <v>654</v>
      </c>
    </row>
    <row r="20" spans="1:6" x14ac:dyDescent="0.25">
      <c r="A20" s="96" t="s">
        <v>689</v>
      </c>
      <c r="B20" s="91" t="s">
        <v>652</v>
      </c>
      <c r="C20" s="91" t="s">
        <v>690</v>
      </c>
      <c r="D20" s="91" t="s">
        <v>650</v>
      </c>
      <c r="E20" s="91" t="s">
        <v>49</v>
      </c>
      <c r="F20" s="98" t="s">
        <v>654</v>
      </c>
    </row>
    <row r="21" spans="1:6" x14ac:dyDescent="0.25">
      <c r="A21" s="96" t="s">
        <v>691</v>
      </c>
      <c r="B21" s="91" t="s">
        <v>652</v>
      </c>
      <c r="C21" s="91" t="s">
        <v>692</v>
      </c>
      <c r="D21" s="91" t="s">
        <v>650</v>
      </c>
      <c r="E21" s="91" t="s">
        <v>49</v>
      </c>
      <c r="F21" s="98" t="s">
        <v>654</v>
      </c>
    </row>
    <row r="22" spans="1:6" x14ac:dyDescent="0.25">
      <c r="A22" s="96" t="s">
        <v>693</v>
      </c>
      <c r="B22" s="91" t="s">
        <v>694</v>
      </c>
      <c r="C22" s="91" t="s">
        <v>695</v>
      </c>
      <c r="D22" s="91" t="s">
        <v>650</v>
      </c>
      <c r="E22" s="91" t="s">
        <v>49</v>
      </c>
      <c r="F22" s="98"/>
    </row>
    <row r="23" spans="1:6" x14ac:dyDescent="0.25">
      <c r="A23" s="96" t="s">
        <v>696</v>
      </c>
      <c r="B23" s="91" t="s">
        <v>697</v>
      </c>
      <c r="C23" s="91" t="s">
        <v>698</v>
      </c>
      <c r="D23" s="91" t="s">
        <v>650</v>
      </c>
      <c r="E23" s="91" t="s">
        <v>49</v>
      </c>
      <c r="F23" s="98"/>
    </row>
    <row r="24" spans="1:6" x14ac:dyDescent="0.25">
      <c r="A24" s="96" t="s">
        <v>699</v>
      </c>
      <c r="B24" s="91" t="s">
        <v>700</v>
      </c>
      <c r="C24" s="91" t="s">
        <v>701</v>
      </c>
      <c r="D24" s="91" t="s">
        <v>650</v>
      </c>
      <c r="E24" s="91" t="s">
        <v>49</v>
      </c>
      <c r="F24" s="98"/>
    </row>
    <row r="25" spans="1:6" x14ac:dyDescent="0.25">
      <c r="A25" s="96" t="s">
        <v>702</v>
      </c>
      <c r="B25" s="91" t="s">
        <v>703</v>
      </c>
      <c r="C25" s="91" t="s">
        <v>704</v>
      </c>
      <c r="D25" s="91" t="s">
        <v>650</v>
      </c>
      <c r="E25" s="91" t="s">
        <v>49</v>
      </c>
      <c r="F25" s="98"/>
    </row>
    <row r="26" spans="1:6" x14ac:dyDescent="0.25">
      <c r="A26" s="96" t="s">
        <v>705</v>
      </c>
      <c r="B26" s="91" t="s">
        <v>706</v>
      </c>
      <c r="C26" s="91" t="s">
        <v>707</v>
      </c>
      <c r="D26" s="91" t="s">
        <v>650</v>
      </c>
      <c r="E26" s="91" t="s">
        <v>49</v>
      </c>
      <c r="F26" s="98"/>
    </row>
    <row r="27" spans="1:6" x14ac:dyDescent="0.25">
      <c r="A27" s="96" t="s">
        <v>708</v>
      </c>
      <c r="B27" s="91" t="s">
        <v>709</v>
      </c>
      <c r="C27" s="91" t="s">
        <v>710</v>
      </c>
      <c r="D27" s="91" t="s">
        <v>650</v>
      </c>
      <c r="E27" s="91" t="s">
        <v>49</v>
      </c>
      <c r="F27" s="98"/>
    </row>
    <row r="28" spans="1:6" x14ac:dyDescent="0.25">
      <c r="A28" s="96" t="s">
        <v>711</v>
      </c>
      <c r="B28" s="91" t="s">
        <v>712</v>
      </c>
      <c r="C28" s="91" t="s">
        <v>713</v>
      </c>
      <c r="D28" s="91" t="s">
        <v>650</v>
      </c>
      <c r="E28" s="91" t="s">
        <v>49</v>
      </c>
      <c r="F28" s="98" t="s">
        <v>654</v>
      </c>
    </row>
    <row r="29" spans="1:6" x14ac:dyDescent="0.25">
      <c r="A29" s="96" t="s">
        <v>714</v>
      </c>
      <c r="B29" s="91" t="s">
        <v>715</v>
      </c>
      <c r="C29" s="91" t="s">
        <v>716</v>
      </c>
      <c r="D29" s="91" t="s">
        <v>650</v>
      </c>
      <c r="E29" s="91" t="s">
        <v>49</v>
      </c>
      <c r="F29" s="98"/>
    </row>
    <row r="30" spans="1:6" x14ac:dyDescent="0.25">
      <c r="A30" s="96" t="s">
        <v>717</v>
      </c>
      <c r="B30" s="91" t="s">
        <v>718</v>
      </c>
      <c r="C30" s="91" t="s">
        <v>719</v>
      </c>
      <c r="D30" s="91" t="s">
        <v>650</v>
      </c>
      <c r="E30" s="91" t="s">
        <v>49</v>
      </c>
      <c r="F30" s="98"/>
    </row>
    <row r="31" spans="1:6" x14ac:dyDescent="0.25">
      <c r="A31" s="96" t="s">
        <v>720</v>
      </c>
      <c r="B31" s="91" t="s">
        <v>721</v>
      </c>
      <c r="C31" s="91" t="s">
        <v>722</v>
      </c>
      <c r="D31" s="91" t="s">
        <v>650</v>
      </c>
      <c r="E31" s="91" t="s">
        <v>49</v>
      </c>
      <c r="F31" s="98"/>
    </row>
    <row r="32" spans="1:6" x14ac:dyDescent="0.25">
      <c r="A32" s="96" t="s">
        <v>723</v>
      </c>
      <c r="B32" s="91" t="s">
        <v>724</v>
      </c>
      <c r="C32" s="91" t="s">
        <v>725</v>
      </c>
      <c r="D32" s="91" t="s">
        <v>650</v>
      </c>
      <c r="E32" s="91" t="s">
        <v>49</v>
      </c>
      <c r="F32" s="98"/>
    </row>
    <row r="33" spans="1:6" x14ac:dyDescent="0.25">
      <c r="A33" s="96" t="s">
        <v>726</v>
      </c>
      <c r="B33" s="91" t="s">
        <v>712</v>
      </c>
      <c r="C33" s="91" t="s">
        <v>727</v>
      </c>
      <c r="D33" s="91" t="s">
        <v>650</v>
      </c>
      <c r="E33" s="91" t="s">
        <v>49</v>
      </c>
      <c r="F33" s="98" t="s">
        <v>654</v>
      </c>
    </row>
    <row r="34" spans="1:6" x14ac:dyDescent="0.25">
      <c r="A34" s="96" t="s">
        <v>728</v>
      </c>
      <c r="B34" s="91" t="s">
        <v>712</v>
      </c>
      <c r="C34" s="91" t="s">
        <v>729</v>
      </c>
      <c r="D34" s="91" t="s">
        <v>650</v>
      </c>
      <c r="E34" s="91" t="s">
        <v>49</v>
      </c>
      <c r="F34" s="98" t="s">
        <v>654</v>
      </c>
    </row>
    <row r="35" spans="1:6" x14ac:dyDescent="0.25">
      <c r="A35" s="96" t="s">
        <v>730</v>
      </c>
      <c r="B35" s="91" t="s">
        <v>712</v>
      </c>
      <c r="C35" s="91" t="s">
        <v>731</v>
      </c>
      <c r="D35" s="91" t="s">
        <v>650</v>
      </c>
      <c r="E35" s="91" t="s">
        <v>49</v>
      </c>
      <c r="F35" s="98" t="s">
        <v>654</v>
      </c>
    </row>
    <row r="36" spans="1:6" x14ac:dyDescent="0.25">
      <c r="A36" s="96" t="s">
        <v>732</v>
      </c>
      <c r="B36" s="91" t="s">
        <v>712</v>
      </c>
      <c r="C36" s="91" t="s">
        <v>733</v>
      </c>
      <c r="D36" s="91" t="s">
        <v>650</v>
      </c>
      <c r="E36" s="91" t="s">
        <v>49</v>
      </c>
      <c r="F36" s="98" t="s">
        <v>654</v>
      </c>
    </row>
    <row r="37" spans="1:6" x14ac:dyDescent="0.25">
      <c r="A37" s="96" t="s">
        <v>734</v>
      </c>
      <c r="B37" s="91" t="s">
        <v>712</v>
      </c>
      <c r="C37" s="91" t="s">
        <v>735</v>
      </c>
      <c r="D37" s="91" t="s">
        <v>650</v>
      </c>
      <c r="E37" s="91" t="s">
        <v>49</v>
      </c>
      <c r="F37" s="98" t="s">
        <v>654</v>
      </c>
    </row>
    <row r="38" spans="1:6" x14ac:dyDescent="0.25">
      <c r="A38" s="96" t="s">
        <v>736</v>
      </c>
      <c r="B38" s="91" t="s">
        <v>712</v>
      </c>
      <c r="C38" s="91" t="s">
        <v>737</v>
      </c>
      <c r="D38" s="91" t="s">
        <v>650</v>
      </c>
      <c r="E38" s="91" t="s">
        <v>49</v>
      </c>
      <c r="F38" s="98" t="s">
        <v>654</v>
      </c>
    </row>
    <row r="39" spans="1:6" x14ac:dyDescent="0.25">
      <c r="A39" s="96" t="s">
        <v>738</v>
      </c>
      <c r="B39" s="91" t="s">
        <v>712</v>
      </c>
      <c r="C39" s="91" t="s">
        <v>739</v>
      </c>
      <c r="D39" s="91" t="s">
        <v>650</v>
      </c>
      <c r="E39" s="91" t="s">
        <v>49</v>
      </c>
      <c r="F39" s="98" t="s">
        <v>654</v>
      </c>
    </row>
    <row r="40" spans="1:6" x14ac:dyDescent="0.25">
      <c r="A40" s="96" t="s">
        <v>740</v>
      </c>
      <c r="B40" s="91" t="s">
        <v>712</v>
      </c>
      <c r="C40" s="91" t="s">
        <v>741</v>
      </c>
      <c r="D40" s="91" t="s">
        <v>650</v>
      </c>
      <c r="E40" s="91" t="s">
        <v>49</v>
      </c>
      <c r="F40" s="98" t="s">
        <v>654</v>
      </c>
    </row>
    <row r="41" spans="1:6" x14ac:dyDescent="0.25">
      <c r="A41" s="96" t="s">
        <v>742</v>
      </c>
      <c r="B41" s="91" t="s">
        <v>712</v>
      </c>
      <c r="C41" s="91" t="s">
        <v>743</v>
      </c>
      <c r="D41" s="91" t="s">
        <v>650</v>
      </c>
      <c r="E41" s="91" t="s">
        <v>49</v>
      </c>
      <c r="F41" s="98" t="s">
        <v>654</v>
      </c>
    </row>
    <row r="42" spans="1:6" x14ac:dyDescent="0.25">
      <c r="A42" s="96" t="s">
        <v>744</v>
      </c>
      <c r="B42" s="91" t="s">
        <v>745</v>
      </c>
      <c r="C42" s="91" t="s">
        <v>746</v>
      </c>
      <c r="D42" s="91" t="s">
        <v>650</v>
      </c>
      <c r="E42" s="91" t="s">
        <v>49</v>
      </c>
      <c r="F42" s="98"/>
    </row>
    <row r="43" spans="1:6" x14ac:dyDescent="0.25">
      <c r="A43" s="96" t="s">
        <v>747</v>
      </c>
      <c r="B43" s="91" t="s">
        <v>748</v>
      </c>
      <c r="C43" s="91" t="s">
        <v>749</v>
      </c>
      <c r="D43" s="91" t="s">
        <v>650</v>
      </c>
      <c r="E43" s="91" t="s">
        <v>49</v>
      </c>
      <c r="F43" s="98"/>
    </row>
    <row r="44" spans="1:6" x14ac:dyDescent="0.25">
      <c r="A44" s="96" t="s">
        <v>750</v>
      </c>
      <c r="B44" s="91" t="s">
        <v>751</v>
      </c>
      <c r="C44" s="91" t="s">
        <v>752</v>
      </c>
      <c r="D44" s="91" t="s">
        <v>650</v>
      </c>
      <c r="E44" s="91" t="s">
        <v>49</v>
      </c>
      <c r="F44" s="98"/>
    </row>
    <row r="45" spans="1:6" x14ac:dyDescent="0.25">
      <c r="A45" s="96" t="s">
        <v>753</v>
      </c>
      <c r="B45" s="91" t="s">
        <v>754</v>
      </c>
      <c r="C45" s="91" t="s">
        <v>755</v>
      </c>
      <c r="D45" s="91" t="s">
        <v>650</v>
      </c>
      <c r="E45" s="91" t="s">
        <v>49</v>
      </c>
      <c r="F45" s="98"/>
    </row>
    <row r="46" spans="1:6" x14ac:dyDescent="0.25">
      <c r="A46" s="96" t="s">
        <v>756</v>
      </c>
      <c r="B46" s="91" t="s">
        <v>757</v>
      </c>
      <c r="C46" s="91" t="s">
        <v>758</v>
      </c>
      <c r="D46" s="91" t="s">
        <v>650</v>
      </c>
      <c r="E46" s="91" t="s">
        <v>49</v>
      </c>
      <c r="F46" s="98"/>
    </row>
    <row r="47" spans="1:6" x14ac:dyDescent="0.25">
      <c r="A47" s="96" t="s">
        <v>759</v>
      </c>
      <c r="B47" s="91" t="s">
        <v>760</v>
      </c>
      <c r="C47" s="91" t="s">
        <v>761</v>
      </c>
      <c r="D47" s="91" t="s">
        <v>650</v>
      </c>
      <c r="E47" s="91" t="s">
        <v>49</v>
      </c>
      <c r="F47" s="98"/>
    </row>
    <row r="48" spans="1:6" x14ac:dyDescent="0.25">
      <c r="A48" s="96" t="s">
        <v>762</v>
      </c>
      <c r="B48" s="91" t="s">
        <v>763</v>
      </c>
      <c r="C48" s="91" t="s">
        <v>764</v>
      </c>
      <c r="D48" s="91" t="s">
        <v>650</v>
      </c>
      <c r="E48" s="91" t="s">
        <v>49</v>
      </c>
      <c r="F48" s="98"/>
    </row>
    <row r="49" spans="1:6" x14ac:dyDescent="0.25">
      <c r="A49" s="96" t="s">
        <v>765</v>
      </c>
      <c r="B49" s="91" t="s">
        <v>766</v>
      </c>
      <c r="C49" s="91" t="s">
        <v>767</v>
      </c>
      <c r="D49" s="91" t="s">
        <v>650</v>
      </c>
      <c r="E49" s="91" t="s">
        <v>49</v>
      </c>
      <c r="F49" s="98"/>
    </row>
    <row r="50" spans="1:6" x14ac:dyDescent="0.25">
      <c r="A50" s="96" t="s">
        <v>768</v>
      </c>
      <c r="B50" s="91" t="s">
        <v>769</v>
      </c>
      <c r="C50" s="91" t="s">
        <v>770</v>
      </c>
      <c r="D50" s="91" t="s">
        <v>650</v>
      </c>
      <c r="E50" s="91" t="s">
        <v>49</v>
      </c>
      <c r="F50" s="98"/>
    </row>
    <row r="51" spans="1:6" x14ac:dyDescent="0.25">
      <c r="A51" s="96" t="s">
        <v>771</v>
      </c>
      <c r="B51" s="91" t="s">
        <v>772</v>
      </c>
      <c r="C51" s="91" t="s">
        <v>773</v>
      </c>
      <c r="D51" s="91" t="s">
        <v>650</v>
      </c>
      <c r="E51" s="91" t="s">
        <v>49</v>
      </c>
      <c r="F51" s="98"/>
    </row>
    <row r="52" spans="1:6" x14ac:dyDescent="0.25">
      <c r="A52" s="96" t="s">
        <v>774</v>
      </c>
      <c r="B52" s="91" t="s">
        <v>775</v>
      </c>
      <c r="C52" s="91" t="s">
        <v>776</v>
      </c>
      <c r="D52" s="91" t="s">
        <v>650</v>
      </c>
      <c r="E52" s="91" t="s">
        <v>49</v>
      </c>
      <c r="F52" s="98"/>
    </row>
    <row r="53" spans="1:6" x14ac:dyDescent="0.25">
      <c r="A53" s="96" t="s">
        <v>777</v>
      </c>
      <c r="B53" s="91" t="s">
        <v>778</v>
      </c>
      <c r="C53" s="91" t="s">
        <v>779</v>
      </c>
      <c r="D53" s="91" t="s">
        <v>650</v>
      </c>
      <c r="E53" s="91" t="s">
        <v>49</v>
      </c>
      <c r="F53" s="98"/>
    </row>
    <row r="54" spans="1:6" x14ac:dyDescent="0.25">
      <c r="A54" s="96" t="s">
        <v>780</v>
      </c>
      <c r="B54" s="91" t="s">
        <v>781</v>
      </c>
      <c r="C54" s="91" t="s">
        <v>782</v>
      </c>
      <c r="D54" s="91" t="s">
        <v>650</v>
      </c>
      <c r="E54" s="91" t="s">
        <v>49</v>
      </c>
      <c r="F54" s="98"/>
    </row>
    <row r="55" spans="1:6" x14ac:dyDescent="0.25">
      <c r="A55" s="96" t="s">
        <v>783</v>
      </c>
      <c r="B55" s="91" t="s">
        <v>784</v>
      </c>
      <c r="C55" s="91" t="s">
        <v>785</v>
      </c>
      <c r="D55" s="91" t="s">
        <v>650</v>
      </c>
      <c r="E55" s="91" t="s">
        <v>48</v>
      </c>
      <c r="F55" s="98"/>
    </row>
    <row r="56" spans="1:6" x14ac:dyDescent="0.25">
      <c r="A56" s="96" t="s">
        <v>786</v>
      </c>
      <c r="B56" s="91" t="s">
        <v>787</v>
      </c>
      <c r="C56" s="91" t="s">
        <v>788</v>
      </c>
      <c r="D56" s="91" t="s">
        <v>650</v>
      </c>
      <c r="E56" s="91" t="s">
        <v>48</v>
      </c>
      <c r="F56" s="98"/>
    </row>
    <row r="57" spans="1:6" x14ac:dyDescent="0.25">
      <c r="A57" s="96" t="s">
        <v>789</v>
      </c>
      <c r="B57" s="91" t="s">
        <v>790</v>
      </c>
      <c r="C57" s="91" t="s">
        <v>791</v>
      </c>
      <c r="D57" s="91" t="s">
        <v>650</v>
      </c>
      <c r="E57" s="91" t="s">
        <v>49</v>
      </c>
      <c r="F57" s="98"/>
    </row>
    <row r="58" spans="1:6" x14ac:dyDescent="0.25">
      <c r="A58" s="96" t="s">
        <v>792</v>
      </c>
      <c r="B58" s="91" t="s">
        <v>793</v>
      </c>
      <c r="C58" s="91" t="s">
        <v>794</v>
      </c>
      <c r="D58" s="91" t="s">
        <v>650</v>
      </c>
      <c r="E58" s="91" t="s">
        <v>49</v>
      </c>
      <c r="F58" s="98"/>
    </row>
    <row r="59" spans="1:6" x14ac:dyDescent="0.25">
      <c r="A59" s="96" t="s">
        <v>795</v>
      </c>
      <c r="B59" s="91" t="s">
        <v>796</v>
      </c>
      <c r="C59" s="91" t="s">
        <v>797</v>
      </c>
      <c r="D59" s="91" t="s">
        <v>650</v>
      </c>
      <c r="E59" s="91" t="s">
        <v>49</v>
      </c>
      <c r="F59" s="98"/>
    </row>
    <row r="60" spans="1:6" x14ac:dyDescent="0.25">
      <c r="A60" s="96" t="s">
        <v>798</v>
      </c>
      <c r="B60" s="91" t="s">
        <v>799</v>
      </c>
      <c r="C60" s="91" t="s">
        <v>800</v>
      </c>
      <c r="D60" s="91" t="s">
        <v>650</v>
      </c>
      <c r="E60" s="91" t="s">
        <v>48</v>
      </c>
      <c r="F60" s="98"/>
    </row>
    <row r="61" spans="1:6" x14ac:dyDescent="0.25">
      <c r="A61" s="96" t="s">
        <v>801</v>
      </c>
      <c r="B61" s="91" t="s">
        <v>802</v>
      </c>
      <c r="C61" s="91" t="s">
        <v>803</v>
      </c>
      <c r="D61" s="91" t="s">
        <v>650</v>
      </c>
      <c r="E61" s="91" t="s">
        <v>48</v>
      </c>
      <c r="F61" s="98"/>
    </row>
    <row r="62" spans="1:6" x14ac:dyDescent="0.25">
      <c r="A62" s="96" t="s">
        <v>804</v>
      </c>
      <c r="B62" s="91" t="s">
        <v>805</v>
      </c>
      <c r="C62" s="91" t="s">
        <v>806</v>
      </c>
      <c r="D62" s="91" t="s">
        <v>650</v>
      </c>
      <c r="E62" s="91" t="s">
        <v>49</v>
      </c>
      <c r="F62" s="98"/>
    </row>
    <row r="63" spans="1:6" s="93" customFormat="1" x14ac:dyDescent="0.25">
      <c r="A63" s="97" t="s">
        <v>807</v>
      </c>
      <c r="B63" s="92" t="s">
        <v>808</v>
      </c>
      <c r="C63" s="92" t="s">
        <v>809</v>
      </c>
      <c r="D63" s="92" t="s">
        <v>650</v>
      </c>
      <c r="E63" s="92" t="s">
        <v>49</v>
      </c>
      <c r="F63" s="99"/>
    </row>
    <row r="64" spans="1:6" x14ac:dyDescent="0.25">
      <c r="A64" s="96" t="s">
        <v>810</v>
      </c>
      <c r="B64" s="91" t="s">
        <v>811</v>
      </c>
      <c r="C64" s="91" t="s">
        <v>812</v>
      </c>
      <c r="D64" s="91" t="s">
        <v>650</v>
      </c>
      <c r="E64" s="91" t="s">
        <v>49</v>
      </c>
      <c r="F64" s="98"/>
    </row>
    <row r="65" spans="1:6" x14ac:dyDescent="0.25">
      <c r="A65" s="96" t="s">
        <v>813</v>
      </c>
      <c r="B65" s="91" t="s">
        <v>814</v>
      </c>
      <c r="C65" s="91" t="s">
        <v>815</v>
      </c>
      <c r="D65" s="91" t="s">
        <v>650</v>
      </c>
      <c r="E65" s="91" t="s">
        <v>48</v>
      </c>
      <c r="F65" s="98"/>
    </row>
    <row r="66" spans="1:6" x14ac:dyDescent="0.25">
      <c r="A66" s="96" t="s">
        <v>816</v>
      </c>
      <c r="B66" s="91" t="s">
        <v>817</v>
      </c>
      <c r="C66" s="91" t="s">
        <v>818</v>
      </c>
      <c r="D66" s="91" t="s">
        <v>650</v>
      </c>
      <c r="E66" s="91" t="s">
        <v>48</v>
      </c>
      <c r="F66" s="98"/>
    </row>
    <row r="67" spans="1:6" x14ac:dyDescent="0.25">
      <c r="A67" s="96" t="s">
        <v>819</v>
      </c>
      <c r="B67" s="91" t="s">
        <v>820</v>
      </c>
      <c r="C67" s="91" t="s">
        <v>821</v>
      </c>
      <c r="D67" s="91" t="s">
        <v>650</v>
      </c>
      <c r="E67" s="91" t="s">
        <v>48</v>
      </c>
      <c r="F67" s="98"/>
    </row>
    <row r="68" spans="1:6" x14ac:dyDescent="0.25">
      <c r="A68" s="96" t="s">
        <v>822</v>
      </c>
      <c r="B68" s="91" t="s">
        <v>823</v>
      </c>
      <c r="C68" s="91" t="s">
        <v>824</v>
      </c>
      <c r="D68" s="91" t="s">
        <v>650</v>
      </c>
      <c r="E68" s="91" t="s">
        <v>49</v>
      </c>
      <c r="F68" s="98"/>
    </row>
    <row r="69" spans="1:6" x14ac:dyDescent="0.25">
      <c r="A69" s="96" t="s">
        <v>825</v>
      </c>
      <c r="B69" s="91" t="s">
        <v>826</v>
      </c>
      <c r="C69" s="91" t="s">
        <v>827</v>
      </c>
      <c r="D69" s="91" t="s">
        <v>650</v>
      </c>
      <c r="E69" s="91" t="s">
        <v>49</v>
      </c>
      <c r="F69" s="98"/>
    </row>
    <row r="70" spans="1:6" x14ac:dyDescent="0.25">
      <c r="A70" s="96" t="s">
        <v>828</v>
      </c>
      <c r="B70" s="91" t="s">
        <v>712</v>
      </c>
      <c r="C70" s="91" t="s">
        <v>829</v>
      </c>
      <c r="D70" s="91" t="s">
        <v>650</v>
      </c>
      <c r="E70" s="91" t="s">
        <v>49</v>
      </c>
      <c r="F70" s="98" t="s">
        <v>654</v>
      </c>
    </row>
    <row r="71" spans="1:6" x14ac:dyDescent="0.25">
      <c r="A71" s="96" t="s">
        <v>830</v>
      </c>
      <c r="B71" s="91" t="s">
        <v>712</v>
      </c>
      <c r="C71" s="91" t="s">
        <v>831</v>
      </c>
      <c r="D71" s="91" t="s">
        <v>650</v>
      </c>
      <c r="E71" s="91" t="s">
        <v>49</v>
      </c>
      <c r="F71" s="98" t="s">
        <v>654</v>
      </c>
    </row>
    <row r="72" spans="1:6" x14ac:dyDescent="0.25">
      <c r="A72" s="96" t="s">
        <v>832</v>
      </c>
      <c r="B72" s="91" t="s">
        <v>712</v>
      </c>
      <c r="C72" s="91" t="s">
        <v>833</v>
      </c>
      <c r="D72" s="91" t="s">
        <v>650</v>
      </c>
      <c r="E72" s="91" t="s">
        <v>49</v>
      </c>
      <c r="F72" s="98" t="s">
        <v>654</v>
      </c>
    </row>
    <row r="73" spans="1:6" x14ac:dyDescent="0.25">
      <c r="A73" s="96" t="s">
        <v>834</v>
      </c>
      <c r="B73" s="91" t="s">
        <v>712</v>
      </c>
      <c r="C73" s="91" t="s">
        <v>835</v>
      </c>
      <c r="D73" s="91" t="s">
        <v>650</v>
      </c>
      <c r="E73" s="91" t="s">
        <v>49</v>
      </c>
      <c r="F73" s="98" t="s">
        <v>654</v>
      </c>
    </row>
    <row r="74" spans="1:6" x14ac:dyDescent="0.25">
      <c r="A74" s="96" t="s">
        <v>836</v>
      </c>
      <c r="B74" s="91" t="s">
        <v>712</v>
      </c>
      <c r="C74" s="91" t="s">
        <v>837</v>
      </c>
      <c r="D74" s="91" t="s">
        <v>650</v>
      </c>
      <c r="E74" s="91" t="s">
        <v>49</v>
      </c>
      <c r="F74" s="98" t="s">
        <v>654</v>
      </c>
    </row>
    <row r="75" spans="1:6" x14ac:dyDescent="0.25">
      <c r="A75" s="96" t="s">
        <v>838</v>
      </c>
      <c r="B75" s="91" t="s">
        <v>712</v>
      </c>
      <c r="C75" s="91" t="s">
        <v>839</v>
      </c>
      <c r="D75" s="91" t="s">
        <v>650</v>
      </c>
      <c r="E75" s="91" t="s">
        <v>49</v>
      </c>
      <c r="F75" s="98" t="s">
        <v>654</v>
      </c>
    </row>
    <row r="76" spans="1:6" x14ac:dyDescent="0.25">
      <c r="A76" s="96" t="s">
        <v>840</v>
      </c>
      <c r="B76" s="91" t="s">
        <v>712</v>
      </c>
      <c r="C76" s="91" t="s">
        <v>841</v>
      </c>
      <c r="D76" s="91" t="s">
        <v>650</v>
      </c>
      <c r="E76" s="91" t="s">
        <v>49</v>
      </c>
      <c r="F76" s="98" t="s">
        <v>654</v>
      </c>
    </row>
    <row r="77" spans="1:6" x14ac:dyDescent="0.25">
      <c r="A77" s="96" t="s">
        <v>842</v>
      </c>
      <c r="B77" s="91" t="s">
        <v>712</v>
      </c>
      <c r="C77" s="91" t="s">
        <v>843</v>
      </c>
      <c r="D77" s="91" t="s">
        <v>650</v>
      </c>
      <c r="E77" s="91" t="s">
        <v>49</v>
      </c>
      <c r="F77" s="98" t="s">
        <v>654</v>
      </c>
    </row>
    <row r="78" spans="1:6" x14ac:dyDescent="0.25">
      <c r="A78" s="96" t="s">
        <v>844</v>
      </c>
      <c r="B78" s="91" t="s">
        <v>845</v>
      </c>
      <c r="C78" s="91" t="s">
        <v>846</v>
      </c>
      <c r="D78" s="91" t="s">
        <v>650</v>
      </c>
      <c r="E78" s="91" t="s">
        <v>49</v>
      </c>
      <c r="F78" s="98"/>
    </row>
    <row r="79" spans="1:6" x14ac:dyDescent="0.25">
      <c r="A79" s="96" t="s">
        <v>847</v>
      </c>
      <c r="B79" s="91" t="s">
        <v>848</v>
      </c>
      <c r="C79" s="91" t="s">
        <v>849</v>
      </c>
      <c r="D79" s="91" t="s">
        <v>650</v>
      </c>
      <c r="E79" s="91" t="s">
        <v>49</v>
      </c>
      <c r="F79" s="98"/>
    </row>
    <row r="80" spans="1:6" x14ac:dyDescent="0.25">
      <c r="A80" s="96" t="s">
        <v>850</v>
      </c>
      <c r="B80" s="91" t="s">
        <v>851</v>
      </c>
      <c r="C80" s="91" t="s">
        <v>852</v>
      </c>
      <c r="D80" s="91" t="s">
        <v>650</v>
      </c>
      <c r="E80" s="91" t="s">
        <v>49</v>
      </c>
      <c r="F80" s="98"/>
    </row>
    <row r="81" spans="1:6" x14ac:dyDescent="0.25">
      <c r="A81" s="96" t="s">
        <v>853</v>
      </c>
      <c r="B81" s="91" t="s">
        <v>854</v>
      </c>
      <c r="C81" s="91" t="s">
        <v>855</v>
      </c>
      <c r="D81" s="91" t="s">
        <v>650</v>
      </c>
      <c r="E81" s="91" t="s">
        <v>49</v>
      </c>
      <c r="F81" s="98"/>
    </row>
    <row r="82" spans="1:6" x14ac:dyDescent="0.25">
      <c r="A82" s="96" t="s">
        <v>856</v>
      </c>
      <c r="B82" s="91" t="s">
        <v>857</v>
      </c>
      <c r="C82" s="91" t="s">
        <v>858</v>
      </c>
      <c r="D82" s="91" t="s">
        <v>650</v>
      </c>
      <c r="E82" s="91" t="s">
        <v>49</v>
      </c>
      <c r="F82" s="98"/>
    </row>
    <row r="83" spans="1:6" x14ac:dyDescent="0.25">
      <c r="A83" s="96" t="s">
        <v>859</v>
      </c>
      <c r="B83" s="91" t="s">
        <v>860</v>
      </c>
      <c r="C83" s="91" t="s">
        <v>861</v>
      </c>
      <c r="D83" s="91" t="s">
        <v>650</v>
      </c>
      <c r="E83" s="91" t="s">
        <v>49</v>
      </c>
      <c r="F83" s="98"/>
    </row>
    <row r="84" spans="1:6" x14ac:dyDescent="0.25">
      <c r="A84" s="96" t="s">
        <v>862</v>
      </c>
      <c r="B84" s="91" t="s">
        <v>863</v>
      </c>
      <c r="C84" s="91" t="s">
        <v>864</v>
      </c>
      <c r="D84" s="91" t="s">
        <v>650</v>
      </c>
      <c r="E84" s="91" t="s">
        <v>48</v>
      </c>
      <c r="F84" s="98"/>
    </row>
    <row r="85" spans="1:6" x14ac:dyDescent="0.25">
      <c r="A85" s="96" t="s">
        <v>865</v>
      </c>
      <c r="B85" s="91" t="s">
        <v>866</v>
      </c>
      <c r="C85" s="91" t="s">
        <v>867</v>
      </c>
      <c r="D85" s="91" t="s">
        <v>650</v>
      </c>
      <c r="E85" s="91" t="s">
        <v>49</v>
      </c>
      <c r="F85" s="98"/>
    </row>
    <row r="86" spans="1:6" x14ac:dyDescent="0.25">
      <c r="A86" s="96" t="s">
        <v>868</v>
      </c>
      <c r="B86" s="91" t="s">
        <v>869</v>
      </c>
      <c r="C86" s="91" t="s">
        <v>870</v>
      </c>
      <c r="D86" s="91" t="s">
        <v>650</v>
      </c>
      <c r="E86" s="91" t="s">
        <v>49</v>
      </c>
      <c r="F86" s="98"/>
    </row>
    <row r="87" spans="1:6" x14ac:dyDescent="0.25">
      <c r="A87" s="96" t="s">
        <v>871</v>
      </c>
      <c r="B87" s="91" t="s">
        <v>872</v>
      </c>
      <c r="C87" s="91" t="s">
        <v>873</v>
      </c>
      <c r="D87" s="91" t="s">
        <v>650</v>
      </c>
      <c r="E87" s="91" t="s">
        <v>49</v>
      </c>
      <c r="F87" s="98"/>
    </row>
    <row r="88" spans="1:6" x14ac:dyDescent="0.25">
      <c r="A88" s="96" t="s">
        <v>874</v>
      </c>
      <c r="B88" s="91" t="s">
        <v>875</v>
      </c>
      <c r="C88" s="91" t="s">
        <v>876</v>
      </c>
      <c r="D88" s="91" t="s">
        <v>650</v>
      </c>
      <c r="E88" s="91" t="s">
        <v>49</v>
      </c>
      <c r="F88" s="98"/>
    </row>
    <row r="89" spans="1:6" x14ac:dyDescent="0.25">
      <c r="A89" s="96" t="s">
        <v>877</v>
      </c>
      <c r="B89" s="91" t="s">
        <v>878</v>
      </c>
      <c r="C89" s="91" t="s">
        <v>879</v>
      </c>
      <c r="D89" s="91" t="s">
        <v>650</v>
      </c>
      <c r="E89" s="91" t="s">
        <v>49</v>
      </c>
      <c r="F89" s="98"/>
    </row>
    <row r="90" spans="1:6" x14ac:dyDescent="0.25">
      <c r="A90" s="96" t="s">
        <v>880</v>
      </c>
      <c r="B90" s="91" t="s">
        <v>881</v>
      </c>
      <c r="C90" s="91" t="s">
        <v>882</v>
      </c>
      <c r="D90" s="91" t="s">
        <v>650</v>
      </c>
      <c r="E90" s="91" t="s">
        <v>49</v>
      </c>
      <c r="F90" s="98"/>
    </row>
    <row r="91" spans="1:6" x14ac:dyDescent="0.25">
      <c r="A91" s="96" t="s">
        <v>883</v>
      </c>
      <c r="B91" s="91" t="s">
        <v>884</v>
      </c>
      <c r="C91" s="91" t="s">
        <v>885</v>
      </c>
      <c r="D91" s="91" t="s">
        <v>650</v>
      </c>
      <c r="E91" s="91" t="s">
        <v>49</v>
      </c>
      <c r="F91" s="98"/>
    </row>
    <row r="92" spans="1:6" x14ac:dyDescent="0.25">
      <c r="A92" s="96" t="s">
        <v>886</v>
      </c>
      <c r="B92" s="91" t="s">
        <v>887</v>
      </c>
      <c r="C92" s="91" t="s">
        <v>888</v>
      </c>
      <c r="D92" s="91" t="s">
        <v>650</v>
      </c>
      <c r="E92" s="91" t="s">
        <v>49</v>
      </c>
      <c r="F92" s="98"/>
    </row>
    <row r="93" spans="1:6" x14ac:dyDescent="0.25">
      <c r="A93" s="96" t="s">
        <v>889</v>
      </c>
      <c r="B93" s="91" t="s">
        <v>890</v>
      </c>
      <c r="C93" s="91" t="s">
        <v>891</v>
      </c>
      <c r="D93" s="91" t="s">
        <v>650</v>
      </c>
      <c r="E93" s="91" t="s">
        <v>49</v>
      </c>
      <c r="F93" s="98"/>
    </row>
    <row r="94" spans="1:6" x14ac:dyDescent="0.25">
      <c r="A94" s="96" t="s">
        <v>892</v>
      </c>
      <c r="B94" s="91" t="s">
        <v>893</v>
      </c>
      <c r="C94" s="91" t="s">
        <v>894</v>
      </c>
      <c r="D94" s="91" t="s">
        <v>650</v>
      </c>
      <c r="E94" s="91" t="s">
        <v>49</v>
      </c>
      <c r="F94" s="98"/>
    </row>
    <row r="95" spans="1:6" x14ac:dyDescent="0.25">
      <c r="A95" s="96" t="s">
        <v>895</v>
      </c>
      <c r="B95" s="91" t="s">
        <v>896</v>
      </c>
      <c r="C95" s="91" t="s">
        <v>897</v>
      </c>
      <c r="D95" s="91" t="s">
        <v>650</v>
      </c>
      <c r="E95" s="91" t="s">
        <v>49</v>
      </c>
      <c r="F95" s="98"/>
    </row>
    <row r="96" spans="1:6" x14ac:dyDescent="0.25">
      <c r="A96" s="96" t="s">
        <v>898</v>
      </c>
      <c r="B96" s="91" t="s">
        <v>899</v>
      </c>
      <c r="C96" s="91" t="s">
        <v>900</v>
      </c>
      <c r="D96" s="91" t="s">
        <v>650</v>
      </c>
      <c r="E96" s="94" t="s">
        <v>48</v>
      </c>
      <c r="F96" s="98"/>
    </row>
    <row r="97" spans="1:6" x14ac:dyDescent="0.25">
      <c r="A97" s="96" t="s">
        <v>901</v>
      </c>
      <c r="B97" s="91" t="s">
        <v>902</v>
      </c>
      <c r="C97" s="91" t="s">
        <v>903</v>
      </c>
      <c r="D97" s="91" t="s">
        <v>650</v>
      </c>
      <c r="E97" s="91" t="s">
        <v>49</v>
      </c>
      <c r="F97" s="98"/>
    </row>
    <row r="98" spans="1:6" x14ac:dyDescent="0.25">
      <c r="A98" s="96" t="s">
        <v>904</v>
      </c>
      <c r="B98" s="91" t="s">
        <v>905</v>
      </c>
      <c r="C98" s="91" t="s">
        <v>906</v>
      </c>
      <c r="D98" s="91" t="s">
        <v>650</v>
      </c>
      <c r="E98" s="91" t="s">
        <v>49</v>
      </c>
      <c r="F98" s="98"/>
    </row>
    <row r="99" spans="1:6" x14ac:dyDescent="0.25">
      <c r="A99" s="96" t="s">
        <v>907</v>
      </c>
      <c r="B99" s="91" t="s">
        <v>908</v>
      </c>
      <c r="C99" s="91" t="s">
        <v>909</v>
      </c>
      <c r="D99" s="91" t="s">
        <v>650</v>
      </c>
      <c r="E99" s="91" t="s">
        <v>49</v>
      </c>
      <c r="F99" s="98"/>
    </row>
    <row r="100" spans="1:6" x14ac:dyDescent="0.25">
      <c r="A100" s="96" t="s">
        <v>910</v>
      </c>
      <c r="B100" s="91" t="s">
        <v>911</v>
      </c>
      <c r="C100" s="91" t="s">
        <v>912</v>
      </c>
      <c r="D100" s="91" t="s">
        <v>650</v>
      </c>
      <c r="E100" s="91" t="s">
        <v>49</v>
      </c>
      <c r="F100" s="98"/>
    </row>
    <row r="101" spans="1:6" x14ac:dyDescent="0.25">
      <c r="A101" s="96" t="s">
        <v>913</v>
      </c>
      <c r="B101" s="91" t="s">
        <v>914</v>
      </c>
      <c r="C101" s="91" t="s">
        <v>915</v>
      </c>
      <c r="D101" s="91" t="s">
        <v>650</v>
      </c>
      <c r="E101" s="91" t="s">
        <v>49</v>
      </c>
      <c r="F101" s="98"/>
    </row>
    <row r="102" spans="1:6" x14ac:dyDescent="0.25">
      <c r="A102" s="96" t="s">
        <v>916</v>
      </c>
      <c r="B102" s="91" t="s">
        <v>648</v>
      </c>
      <c r="C102" s="91" t="s">
        <v>649</v>
      </c>
      <c r="D102" s="91" t="s">
        <v>650</v>
      </c>
      <c r="E102" s="91" t="s">
        <v>49</v>
      </c>
      <c r="F102" s="98"/>
    </row>
    <row r="103" spans="1:6" x14ac:dyDescent="0.25">
      <c r="A103" s="96" t="s">
        <v>917</v>
      </c>
      <c r="B103" s="91" t="s">
        <v>652</v>
      </c>
      <c r="C103" s="91" t="s">
        <v>653</v>
      </c>
      <c r="D103" s="91" t="s">
        <v>650</v>
      </c>
      <c r="E103" s="91" t="s">
        <v>49</v>
      </c>
      <c r="F103" s="98" t="s">
        <v>654</v>
      </c>
    </row>
    <row r="104" spans="1:6" x14ac:dyDescent="0.25">
      <c r="A104" s="96" t="s">
        <v>918</v>
      </c>
      <c r="B104" s="91" t="s">
        <v>652</v>
      </c>
      <c r="C104" s="91" t="s">
        <v>656</v>
      </c>
      <c r="D104" s="91" t="s">
        <v>650</v>
      </c>
      <c r="E104" s="91" t="s">
        <v>49</v>
      </c>
      <c r="F104" s="98" t="s">
        <v>654</v>
      </c>
    </row>
    <row r="105" spans="1:6" x14ac:dyDescent="0.25">
      <c r="A105" s="96" t="s">
        <v>919</v>
      </c>
      <c r="B105" s="91" t="s">
        <v>652</v>
      </c>
      <c r="C105" s="91" t="s">
        <v>11</v>
      </c>
      <c r="D105" s="91" t="s">
        <v>650</v>
      </c>
      <c r="E105" s="91" t="s">
        <v>49</v>
      </c>
      <c r="F105" s="98" t="s">
        <v>654</v>
      </c>
    </row>
    <row r="106" spans="1:6" x14ac:dyDescent="0.25">
      <c r="A106" s="96" t="s">
        <v>920</v>
      </c>
      <c r="B106" s="91" t="s">
        <v>652</v>
      </c>
      <c r="C106" s="91" t="s">
        <v>12</v>
      </c>
      <c r="D106" s="91" t="s">
        <v>650</v>
      </c>
      <c r="E106" s="91" t="s">
        <v>49</v>
      </c>
      <c r="F106" s="98" t="s">
        <v>654</v>
      </c>
    </row>
    <row r="107" spans="1:6" x14ac:dyDescent="0.25">
      <c r="A107" s="96" t="s">
        <v>921</v>
      </c>
      <c r="B107" s="91" t="s">
        <v>662</v>
      </c>
      <c r="C107" s="91" t="s">
        <v>13</v>
      </c>
      <c r="D107" s="91" t="s">
        <v>650</v>
      </c>
      <c r="E107" s="91" t="s">
        <v>49</v>
      </c>
      <c r="F107" s="98"/>
    </row>
    <row r="108" spans="1:6" x14ac:dyDescent="0.25">
      <c r="A108" s="96" t="s">
        <v>922</v>
      </c>
      <c r="B108" s="91" t="s">
        <v>652</v>
      </c>
      <c r="C108" s="91" t="s">
        <v>14</v>
      </c>
      <c r="D108" s="91" t="s">
        <v>650</v>
      </c>
      <c r="E108" s="91" t="s">
        <v>49</v>
      </c>
      <c r="F108" s="98" t="s">
        <v>654</v>
      </c>
    </row>
    <row r="109" spans="1:6" x14ac:dyDescent="0.25">
      <c r="A109" s="96" t="s">
        <v>923</v>
      </c>
      <c r="B109" s="91" t="s">
        <v>652</v>
      </c>
      <c r="C109" s="91" t="s">
        <v>15</v>
      </c>
      <c r="D109" s="91" t="s">
        <v>650</v>
      </c>
      <c r="E109" s="91" t="s">
        <v>49</v>
      </c>
      <c r="F109" s="98" t="s">
        <v>654</v>
      </c>
    </row>
    <row r="110" spans="1:6" x14ac:dyDescent="0.25">
      <c r="A110" s="96" t="s">
        <v>924</v>
      </c>
      <c r="B110" s="91" t="s">
        <v>652</v>
      </c>
      <c r="C110" s="91" t="s">
        <v>16</v>
      </c>
      <c r="D110" s="91" t="s">
        <v>650</v>
      </c>
      <c r="E110" s="91" t="s">
        <v>49</v>
      </c>
      <c r="F110" s="98" t="s">
        <v>654</v>
      </c>
    </row>
    <row r="111" spans="1:6" x14ac:dyDescent="0.25">
      <c r="A111" s="96" t="s">
        <v>925</v>
      </c>
      <c r="B111" s="91" t="s">
        <v>652</v>
      </c>
      <c r="C111" s="91" t="s">
        <v>926</v>
      </c>
      <c r="D111" s="91" t="s">
        <v>650</v>
      </c>
      <c r="E111" s="91" t="s">
        <v>49</v>
      </c>
      <c r="F111" s="98" t="s">
        <v>654</v>
      </c>
    </row>
    <row r="112" spans="1:6" x14ac:dyDescent="0.25">
      <c r="A112" s="96" t="s">
        <v>927</v>
      </c>
      <c r="B112" s="91" t="s">
        <v>652</v>
      </c>
      <c r="C112" s="91" t="s">
        <v>673</v>
      </c>
      <c r="D112" s="91" t="s">
        <v>650</v>
      </c>
      <c r="E112" s="91" t="s">
        <v>49</v>
      </c>
      <c r="F112" s="98" t="s">
        <v>654</v>
      </c>
    </row>
    <row r="113" spans="1:6" x14ac:dyDescent="0.25">
      <c r="A113" s="96" t="s">
        <v>928</v>
      </c>
      <c r="B113" s="91" t="s">
        <v>652</v>
      </c>
      <c r="C113" s="91" t="s">
        <v>675</v>
      </c>
      <c r="D113" s="91" t="s">
        <v>650</v>
      </c>
      <c r="E113" s="91" t="s">
        <v>49</v>
      </c>
      <c r="F113" s="98" t="s">
        <v>654</v>
      </c>
    </row>
    <row r="114" spans="1:6" x14ac:dyDescent="0.25">
      <c r="A114" s="96" t="s">
        <v>929</v>
      </c>
      <c r="B114" s="91" t="s">
        <v>652</v>
      </c>
      <c r="C114" s="91" t="s">
        <v>677</v>
      </c>
      <c r="D114" s="91" t="s">
        <v>650</v>
      </c>
      <c r="E114" s="91" t="s">
        <v>49</v>
      </c>
      <c r="F114" s="98" t="s">
        <v>654</v>
      </c>
    </row>
    <row r="115" spans="1:6" x14ac:dyDescent="0.25">
      <c r="A115" s="96" t="s">
        <v>930</v>
      </c>
      <c r="B115" s="91" t="s">
        <v>679</v>
      </c>
      <c r="C115" s="91" t="s">
        <v>680</v>
      </c>
      <c r="D115" s="91" t="s">
        <v>650</v>
      </c>
      <c r="E115" s="91" t="s">
        <v>49</v>
      </c>
      <c r="F115" s="98"/>
    </row>
    <row r="116" spans="1:6" x14ac:dyDescent="0.25">
      <c r="A116" s="96" t="s">
        <v>931</v>
      </c>
      <c r="B116" s="91" t="s">
        <v>652</v>
      </c>
      <c r="C116" s="91" t="s">
        <v>682</v>
      </c>
      <c r="D116" s="91" t="s">
        <v>650</v>
      </c>
      <c r="E116" s="91" t="s">
        <v>49</v>
      </c>
      <c r="F116" s="98" t="s">
        <v>654</v>
      </c>
    </row>
    <row r="117" spans="1:6" x14ac:dyDescent="0.25">
      <c r="A117" s="96" t="s">
        <v>932</v>
      </c>
      <c r="B117" s="91" t="s">
        <v>652</v>
      </c>
      <c r="C117" s="91" t="s">
        <v>684</v>
      </c>
      <c r="D117" s="91" t="s">
        <v>650</v>
      </c>
      <c r="E117" s="91" t="s">
        <v>49</v>
      </c>
      <c r="F117" s="98" t="s">
        <v>654</v>
      </c>
    </row>
    <row r="118" spans="1:6" x14ac:dyDescent="0.25">
      <c r="A118" s="96" t="s">
        <v>933</v>
      </c>
      <c r="B118" s="91" t="s">
        <v>652</v>
      </c>
      <c r="C118" s="91" t="s">
        <v>686</v>
      </c>
      <c r="D118" s="91" t="s">
        <v>650</v>
      </c>
      <c r="E118" s="91" t="s">
        <v>49</v>
      </c>
      <c r="F118" s="98" t="s">
        <v>654</v>
      </c>
    </row>
    <row r="119" spans="1:6" x14ac:dyDescent="0.25">
      <c r="A119" s="96" t="s">
        <v>934</v>
      </c>
      <c r="B119" s="91" t="s">
        <v>652</v>
      </c>
      <c r="C119" s="91" t="s">
        <v>688</v>
      </c>
      <c r="D119" s="91" t="s">
        <v>650</v>
      </c>
      <c r="E119" s="91" t="s">
        <v>49</v>
      </c>
      <c r="F119" s="98" t="s">
        <v>654</v>
      </c>
    </row>
    <row r="120" spans="1:6" x14ac:dyDescent="0.25">
      <c r="A120" s="96" t="s">
        <v>935</v>
      </c>
      <c r="B120" s="91" t="s">
        <v>652</v>
      </c>
      <c r="C120" s="91" t="s">
        <v>690</v>
      </c>
      <c r="D120" s="91" t="s">
        <v>650</v>
      </c>
      <c r="E120" s="91" t="s">
        <v>49</v>
      </c>
      <c r="F120" s="98" t="s">
        <v>654</v>
      </c>
    </row>
    <row r="121" spans="1:6" x14ac:dyDescent="0.25">
      <c r="A121" s="96" t="s">
        <v>936</v>
      </c>
      <c r="B121" s="91" t="s">
        <v>652</v>
      </c>
      <c r="C121" s="91" t="s">
        <v>692</v>
      </c>
      <c r="D121" s="91" t="s">
        <v>650</v>
      </c>
      <c r="E121" s="91" t="s">
        <v>49</v>
      </c>
      <c r="F121" s="98" t="s">
        <v>654</v>
      </c>
    </row>
    <row r="122" spans="1:6" x14ac:dyDescent="0.25">
      <c r="A122" s="96" t="s">
        <v>937</v>
      </c>
      <c r="B122" s="91" t="s">
        <v>694</v>
      </c>
      <c r="C122" s="91" t="s">
        <v>695</v>
      </c>
      <c r="D122" s="91" t="s">
        <v>650</v>
      </c>
      <c r="E122" s="91" t="s">
        <v>49</v>
      </c>
      <c r="F122" s="98"/>
    </row>
    <row r="123" spans="1:6" x14ac:dyDescent="0.25">
      <c r="A123" s="96" t="s">
        <v>938</v>
      </c>
      <c r="B123" s="91" t="s">
        <v>697</v>
      </c>
      <c r="C123" s="91" t="s">
        <v>698</v>
      </c>
      <c r="D123" s="91" t="s">
        <v>650</v>
      </c>
      <c r="E123" s="91" t="s">
        <v>49</v>
      </c>
      <c r="F123" s="98"/>
    </row>
    <row r="124" spans="1:6" x14ac:dyDescent="0.25">
      <c r="A124" s="96" t="s">
        <v>939</v>
      </c>
      <c r="B124" s="91" t="s">
        <v>700</v>
      </c>
      <c r="C124" s="91" t="s">
        <v>701</v>
      </c>
      <c r="D124" s="91" t="s">
        <v>650</v>
      </c>
      <c r="E124" s="91" t="s">
        <v>49</v>
      </c>
      <c r="F124" s="98"/>
    </row>
    <row r="125" spans="1:6" x14ac:dyDescent="0.25">
      <c r="A125" s="96" t="s">
        <v>940</v>
      </c>
      <c r="B125" s="91" t="s">
        <v>703</v>
      </c>
      <c r="C125" s="91" t="s">
        <v>704</v>
      </c>
      <c r="D125" s="91" t="s">
        <v>650</v>
      </c>
      <c r="E125" s="91" t="s">
        <v>49</v>
      </c>
      <c r="F125" s="98"/>
    </row>
    <row r="126" spans="1:6" x14ac:dyDescent="0.25">
      <c r="A126" s="96" t="s">
        <v>941</v>
      </c>
      <c r="B126" s="91" t="s">
        <v>706</v>
      </c>
      <c r="C126" s="91" t="s">
        <v>707</v>
      </c>
      <c r="D126" s="91" t="s">
        <v>650</v>
      </c>
      <c r="E126" s="91" t="s">
        <v>49</v>
      </c>
      <c r="F126" s="98"/>
    </row>
    <row r="127" spans="1:6" x14ac:dyDescent="0.25">
      <c r="A127" s="96" t="s">
        <v>942</v>
      </c>
      <c r="B127" s="91" t="s">
        <v>709</v>
      </c>
      <c r="C127" s="91" t="s">
        <v>710</v>
      </c>
      <c r="D127" s="91" t="s">
        <v>650</v>
      </c>
      <c r="E127" s="91" t="s">
        <v>49</v>
      </c>
      <c r="F127" s="98"/>
    </row>
    <row r="128" spans="1:6" x14ac:dyDescent="0.25">
      <c r="A128" s="96" t="s">
        <v>943</v>
      </c>
      <c r="B128" s="91" t="s">
        <v>712</v>
      </c>
      <c r="C128" s="91" t="s">
        <v>713</v>
      </c>
      <c r="D128" s="91" t="s">
        <v>650</v>
      </c>
      <c r="E128" s="91" t="s">
        <v>49</v>
      </c>
      <c r="F128" s="98" t="s">
        <v>654</v>
      </c>
    </row>
    <row r="129" spans="1:6" x14ac:dyDescent="0.25">
      <c r="A129" s="96" t="s">
        <v>944</v>
      </c>
      <c r="B129" s="91" t="s">
        <v>715</v>
      </c>
      <c r="C129" s="91" t="s">
        <v>716</v>
      </c>
      <c r="D129" s="91" t="s">
        <v>650</v>
      </c>
      <c r="E129" s="91" t="s">
        <v>49</v>
      </c>
      <c r="F129" s="98"/>
    </row>
    <row r="130" spans="1:6" x14ac:dyDescent="0.25">
      <c r="A130" s="96" t="s">
        <v>945</v>
      </c>
      <c r="B130" s="91" t="s">
        <v>718</v>
      </c>
      <c r="C130" s="91" t="s">
        <v>719</v>
      </c>
      <c r="D130" s="91" t="s">
        <v>650</v>
      </c>
      <c r="E130" s="91" t="s">
        <v>49</v>
      </c>
      <c r="F130" s="98"/>
    </row>
    <row r="131" spans="1:6" x14ac:dyDescent="0.25">
      <c r="A131" s="96" t="s">
        <v>946</v>
      </c>
      <c r="B131" s="91" t="s">
        <v>721</v>
      </c>
      <c r="C131" s="91" t="s">
        <v>722</v>
      </c>
      <c r="D131" s="91" t="s">
        <v>650</v>
      </c>
      <c r="E131" s="91" t="s">
        <v>49</v>
      </c>
      <c r="F131" s="98"/>
    </row>
    <row r="132" spans="1:6" x14ac:dyDescent="0.25">
      <c r="A132" s="96" t="s">
        <v>947</v>
      </c>
      <c r="B132" s="91" t="s">
        <v>724</v>
      </c>
      <c r="C132" s="91" t="s">
        <v>725</v>
      </c>
      <c r="D132" s="91" t="s">
        <v>650</v>
      </c>
      <c r="E132" s="91" t="s">
        <v>49</v>
      </c>
      <c r="F132" s="98"/>
    </row>
    <row r="133" spans="1:6" x14ac:dyDescent="0.25">
      <c r="A133" s="96" t="s">
        <v>948</v>
      </c>
      <c r="B133" s="91" t="s">
        <v>712</v>
      </c>
      <c r="C133" s="91" t="s">
        <v>727</v>
      </c>
      <c r="D133" s="91" t="s">
        <v>650</v>
      </c>
      <c r="E133" s="91" t="s">
        <v>49</v>
      </c>
      <c r="F133" s="98" t="s">
        <v>654</v>
      </c>
    </row>
    <row r="134" spans="1:6" x14ac:dyDescent="0.25">
      <c r="A134" s="96" t="s">
        <v>949</v>
      </c>
      <c r="B134" s="91" t="s">
        <v>712</v>
      </c>
      <c r="C134" s="91" t="s">
        <v>729</v>
      </c>
      <c r="D134" s="91" t="s">
        <v>650</v>
      </c>
      <c r="E134" s="91" t="s">
        <v>49</v>
      </c>
      <c r="F134" s="98" t="s">
        <v>654</v>
      </c>
    </row>
    <row r="135" spans="1:6" x14ac:dyDescent="0.25">
      <c r="A135" s="96" t="s">
        <v>950</v>
      </c>
      <c r="B135" s="91" t="s">
        <v>712</v>
      </c>
      <c r="C135" s="91" t="s">
        <v>731</v>
      </c>
      <c r="D135" s="91" t="s">
        <v>650</v>
      </c>
      <c r="E135" s="91" t="s">
        <v>49</v>
      </c>
      <c r="F135" s="98" t="s">
        <v>654</v>
      </c>
    </row>
    <row r="136" spans="1:6" x14ac:dyDescent="0.25">
      <c r="A136" s="96" t="s">
        <v>951</v>
      </c>
      <c r="B136" s="91" t="s">
        <v>712</v>
      </c>
      <c r="C136" s="91" t="s">
        <v>733</v>
      </c>
      <c r="D136" s="91" t="s">
        <v>650</v>
      </c>
      <c r="E136" s="91" t="s">
        <v>49</v>
      </c>
      <c r="F136" s="98" t="s">
        <v>654</v>
      </c>
    </row>
    <row r="137" spans="1:6" x14ac:dyDescent="0.25">
      <c r="A137" s="96" t="s">
        <v>952</v>
      </c>
      <c r="B137" s="91" t="s">
        <v>712</v>
      </c>
      <c r="C137" s="91" t="s">
        <v>735</v>
      </c>
      <c r="D137" s="91" t="s">
        <v>650</v>
      </c>
      <c r="E137" s="91" t="s">
        <v>49</v>
      </c>
      <c r="F137" s="98" t="s">
        <v>654</v>
      </c>
    </row>
    <row r="138" spans="1:6" x14ac:dyDescent="0.25">
      <c r="A138" s="96" t="s">
        <v>953</v>
      </c>
      <c r="B138" s="91" t="s">
        <v>712</v>
      </c>
      <c r="C138" s="91" t="s">
        <v>737</v>
      </c>
      <c r="D138" s="91" t="s">
        <v>650</v>
      </c>
      <c r="E138" s="91" t="s">
        <v>49</v>
      </c>
      <c r="F138" s="98" t="s">
        <v>654</v>
      </c>
    </row>
    <row r="139" spans="1:6" x14ac:dyDescent="0.25">
      <c r="A139" s="96" t="s">
        <v>954</v>
      </c>
      <c r="B139" s="91" t="s">
        <v>712</v>
      </c>
      <c r="C139" s="91" t="s">
        <v>739</v>
      </c>
      <c r="D139" s="91" t="s">
        <v>650</v>
      </c>
      <c r="E139" s="91" t="s">
        <v>49</v>
      </c>
      <c r="F139" s="98" t="s">
        <v>654</v>
      </c>
    </row>
    <row r="140" spans="1:6" x14ac:dyDescent="0.25">
      <c r="A140" s="96" t="s">
        <v>955</v>
      </c>
      <c r="B140" s="91" t="s">
        <v>712</v>
      </c>
      <c r="C140" s="91" t="s">
        <v>741</v>
      </c>
      <c r="D140" s="91" t="s">
        <v>650</v>
      </c>
      <c r="E140" s="91" t="s">
        <v>49</v>
      </c>
      <c r="F140" s="98" t="s">
        <v>654</v>
      </c>
    </row>
    <row r="141" spans="1:6" x14ac:dyDescent="0.25">
      <c r="A141" s="96" t="s">
        <v>956</v>
      </c>
      <c r="B141" s="91" t="s">
        <v>712</v>
      </c>
      <c r="C141" s="91" t="s">
        <v>743</v>
      </c>
      <c r="D141" s="91" t="s">
        <v>650</v>
      </c>
      <c r="E141" s="91" t="s">
        <v>49</v>
      </c>
      <c r="F141" s="98" t="s">
        <v>654</v>
      </c>
    </row>
    <row r="142" spans="1:6" x14ac:dyDescent="0.25">
      <c r="A142" s="96" t="s">
        <v>957</v>
      </c>
      <c r="B142" s="91" t="s">
        <v>745</v>
      </c>
      <c r="C142" s="91" t="s">
        <v>746</v>
      </c>
      <c r="D142" s="91" t="s">
        <v>650</v>
      </c>
      <c r="E142" s="91" t="s">
        <v>49</v>
      </c>
      <c r="F142" s="98"/>
    </row>
    <row r="143" spans="1:6" x14ac:dyDescent="0.25">
      <c r="A143" s="96" t="s">
        <v>958</v>
      </c>
      <c r="B143" s="91" t="s">
        <v>748</v>
      </c>
      <c r="C143" s="91" t="s">
        <v>749</v>
      </c>
      <c r="D143" s="91" t="s">
        <v>650</v>
      </c>
      <c r="E143" s="91" t="s">
        <v>49</v>
      </c>
      <c r="F143" s="98"/>
    </row>
    <row r="144" spans="1:6" x14ac:dyDescent="0.25">
      <c r="A144" s="96" t="s">
        <v>959</v>
      </c>
      <c r="B144" s="91" t="s">
        <v>751</v>
      </c>
      <c r="C144" s="91" t="s">
        <v>752</v>
      </c>
      <c r="D144" s="91" t="s">
        <v>650</v>
      </c>
      <c r="E144" s="91" t="s">
        <v>49</v>
      </c>
      <c r="F144" s="98"/>
    </row>
    <row r="145" spans="1:6" x14ac:dyDescent="0.25">
      <c r="A145" s="96" t="s">
        <v>960</v>
      </c>
      <c r="B145" s="91" t="s">
        <v>754</v>
      </c>
      <c r="C145" s="91" t="s">
        <v>755</v>
      </c>
      <c r="D145" s="91" t="s">
        <v>650</v>
      </c>
      <c r="E145" s="91" t="s">
        <v>49</v>
      </c>
      <c r="F145" s="98"/>
    </row>
    <row r="146" spans="1:6" x14ac:dyDescent="0.25">
      <c r="A146" s="96" t="s">
        <v>961</v>
      </c>
      <c r="B146" s="91" t="s">
        <v>757</v>
      </c>
      <c r="C146" s="91" t="s">
        <v>758</v>
      </c>
      <c r="D146" s="91" t="s">
        <v>650</v>
      </c>
      <c r="E146" s="91" t="s">
        <v>49</v>
      </c>
      <c r="F146" s="98"/>
    </row>
    <row r="147" spans="1:6" x14ac:dyDescent="0.25">
      <c r="A147" s="96" t="s">
        <v>962</v>
      </c>
      <c r="B147" s="91" t="s">
        <v>760</v>
      </c>
      <c r="C147" s="91" t="s">
        <v>761</v>
      </c>
      <c r="D147" s="91" t="s">
        <v>650</v>
      </c>
      <c r="E147" s="91" t="s">
        <v>49</v>
      </c>
      <c r="F147" s="98"/>
    </row>
    <row r="148" spans="1:6" x14ac:dyDescent="0.25">
      <c r="A148" s="96" t="s">
        <v>963</v>
      </c>
      <c r="B148" s="91" t="s">
        <v>763</v>
      </c>
      <c r="C148" s="91" t="s">
        <v>764</v>
      </c>
      <c r="D148" s="91" t="s">
        <v>650</v>
      </c>
      <c r="E148" s="91" t="s">
        <v>49</v>
      </c>
      <c r="F148" s="98"/>
    </row>
    <row r="149" spans="1:6" x14ac:dyDescent="0.25">
      <c r="A149" s="96" t="s">
        <v>964</v>
      </c>
      <c r="B149" s="91" t="s">
        <v>766</v>
      </c>
      <c r="C149" s="91" t="s">
        <v>767</v>
      </c>
      <c r="D149" s="91" t="s">
        <v>650</v>
      </c>
      <c r="E149" s="91" t="s">
        <v>49</v>
      </c>
      <c r="F149" s="98"/>
    </row>
    <row r="150" spans="1:6" x14ac:dyDescent="0.25">
      <c r="A150" s="96" t="s">
        <v>965</v>
      </c>
      <c r="B150" s="91" t="s">
        <v>769</v>
      </c>
      <c r="C150" s="91" t="s">
        <v>770</v>
      </c>
      <c r="D150" s="91" t="s">
        <v>650</v>
      </c>
      <c r="E150" s="91" t="s">
        <v>49</v>
      </c>
      <c r="F150" s="98"/>
    </row>
    <row r="151" spans="1:6" x14ac:dyDescent="0.25">
      <c r="A151" s="96" t="s">
        <v>966</v>
      </c>
      <c r="B151" s="91" t="s">
        <v>772</v>
      </c>
      <c r="C151" s="91" t="s">
        <v>773</v>
      </c>
      <c r="D151" s="91" t="s">
        <v>650</v>
      </c>
      <c r="E151" s="91" t="s">
        <v>49</v>
      </c>
      <c r="F151" s="98"/>
    </row>
    <row r="152" spans="1:6" x14ac:dyDescent="0.25">
      <c r="A152" s="96" t="s">
        <v>967</v>
      </c>
      <c r="B152" s="91" t="s">
        <v>775</v>
      </c>
      <c r="C152" s="91" t="s">
        <v>776</v>
      </c>
      <c r="D152" s="91" t="s">
        <v>650</v>
      </c>
      <c r="E152" s="91" t="s">
        <v>49</v>
      </c>
      <c r="F152" s="98"/>
    </row>
    <row r="153" spans="1:6" x14ac:dyDescent="0.25">
      <c r="A153" s="96" t="s">
        <v>968</v>
      </c>
      <c r="B153" s="91" t="s">
        <v>778</v>
      </c>
      <c r="C153" s="91" t="s">
        <v>779</v>
      </c>
      <c r="D153" s="91" t="s">
        <v>650</v>
      </c>
      <c r="E153" s="91" t="s">
        <v>49</v>
      </c>
      <c r="F153" s="98"/>
    </row>
    <row r="154" spans="1:6" x14ac:dyDescent="0.25">
      <c r="A154" s="96" t="s">
        <v>969</v>
      </c>
      <c r="B154" s="91" t="s">
        <v>781</v>
      </c>
      <c r="C154" s="91" t="s">
        <v>782</v>
      </c>
      <c r="D154" s="91" t="s">
        <v>650</v>
      </c>
      <c r="E154" s="91" t="s">
        <v>49</v>
      </c>
      <c r="F154" s="98"/>
    </row>
    <row r="155" spans="1:6" x14ac:dyDescent="0.25">
      <c r="A155" s="96" t="s">
        <v>970</v>
      </c>
      <c r="B155" s="91" t="s">
        <v>784</v>
      </c>
      <c r="C155" s="91" t="s">
        <v>785</v>
      </c>
      <c r="D155" s="91" t="s">
        <v>650</v>
      </c>
      <c r="E155" s="91" t="s">
        <v>48</v>
      </c>
      <c r="F155" s="98"/>
    </row>
    <row r="156" spans="1:6" x14ac:dyDescent="0.25">
      <c r="A156" s="96" t="s">
        <v>971</v>
      </c>
      <c r="B156" s="91" t="s">
        <v>787</v>
      </c>
      <c r="C156" s="91" t="s">
        <v>788</v>
      </c>
      <c r="D156" s="91" t="s">
        <v>650</v>
      </c>
      <c r="E156" s="91" t="s">
        <v>48</v>
      </c>
      <c r="F156" s="98"/>
    </row>
    <row r="157" spans="1:6" x14ac:dyDescent="0.25">
      <c r="A157" s="96" t="s">
        <v>972</v>
      </c>
      <c r="B157" s="91" t="s">
        <v>790</v>
      </c>
      <c r="C157" s="91" t="s">
        <v>791</v>
      </c>
      <c r="D157" s="91" t="s">
        <v>650</v>
      </c>
      <c r="E157" s="91" t="s">
        <v>49</v>
      </c>
      <c r="F157" s="98"/>
    </row>
    <row r="158" spans="1:6" x14ac:dyDescent="0.25">
      <c r="A158" s="96" t="s">
        <v>973</v>
      </c>
      <c r="B158" s="91" t="s">
        <v>793</v>
      </c>
      <c r="C158" s="91" t="s">
        <v>794</v>
      </c>
      <c r="D158" s="91" t="s">
        <v>650</v>
      </c>
      <c r="E158" s="91" t="s">
        <v>49</v>
      </c>
      <c r="F158" s="98"/>
    </row>
    <row r="159" spans="1:6" x14ac:dyDescent="0.25">
      <c r="A159" s="96" t="s">
        <v>974</v>
      </c>
      <c r="B159" s="91" t="s">
        <v>796</v>
      </c>
      <c r="C159" s="91" t="s">
        <v>797</v>
      </c>
      <c r="D159" s="91" t="s">
        <v>650</v>
      </c>
      <c r="E159" s="91" t="s">
        <v>49</v>
      </c>
      <c r="F159" s="98"/>
    </row>
    <row r="160" spans="1:6" x14ac:dyDescent="0.25">
      <c r="A160" s="96" t="s">
        <v>975</v>
      </c>
      <c r="B160" s="91" t="s">
        <v>799</v>
      </c>
      <c r="C160" s="91" t="s">
        <v>800</v>
      </c>
      <c r="D160" s="91" t="s">
        <v>650</v>
      </c>
      <c r="E160" s="91" t="s">
        <v>48</v>
      </c>
      <c r="F160" s="98"/>
    </row>
    <row r="161" spans="1:6" x14ac:dyDescent="0.25">
      <c r="A161" s="96" t="s">
        <v>976</v>
      </c>
      <c r="B161" s="91" t="s">
        <v>802</v>
      </c>
      <c r="C161" s="91" t="s">
        <v>803</v>
      </c>
      <c r="D161" s="91" t="s">
        <v>650</v>
      </c>
      <c r="E161" s="91" t="s">
        <v>48</v>
      </c>
      <c r="F161" s="98"/>
    </row>
    <row r="162" spans="1:6" x14ac:dyDescent="0.25">
      <c r="A162" s="96" t="s">
        <v>977</v>
      </c>
      <c r="B162" s="91" t="s">
        <v>805</v>
      </c>
      <c r="C162" s="91" t="s">
        <v>806</v>
      </c>
      <c r="D162" s="91" t="s">
        <v>650</v>
      </c>
      <c r="E162" s="91" t="s">
        <v>49</v>
      </c>
      <c r="F162" s="98"/>
    </row>
    <row r="163" spans="1:6" x14ac:dyDescent="0.25">
      <c r="A163" s="96" t="s">
        <v>978</v>
      </c>
      <c r="B163" s="91" t="s">
        <v>808</v>
      </c>
      <c r="C163" s="91" t="s">
        <v>809</v>
      </c>
      <c r="D163" s="91" t="s">
        <v>650</v>
      </c>
      <c r="E163" s="91" t="s">
        <v>49</v>
      </c>
      <c r="F163" s="98"/>
    </row>
    <row r="164" spans="1:6" x14ac:dyDescent="0.25">
      <c r="A164" s="96" t="s">
        <v>979</v>
      </c>
      <c r="B164" s="91" t="s">
        <v>811</v>
      </c>
      <c r="C164" s="91" t="s">
        <v>812</v>
      </c>
      <c r="D164" s="91" t="s">
        <v>650</v>
      </c>
      <c r="E164" s="91" t="s">
        <v>49</v>
      </c>
      <c r="F164" s="98"/>
    </row>
    <row r="165" spans="1:6" x14ac:dyDescent="0.25">
      <c r="A165" s="96" t="s">
        <v>980</v>
      </c>
      <c r="B165" s="91" t="s">
        <v>814</v>
      </c>
      <c r="C165" s="91" t="s">
        <v>815</v>
      </c>
      <c r="D165" s="91" t="s">
        <v>650</v>
      </c>
      <c r="E165" s="91" t="s">
        <v>48</v>
      </c>
      <c r="F165" s="98"/>
    </row>
    <row r="166" spans="1:6" x14ac:dyDescent="0.25">
      <c r="A166" s="96" t="s">
        <v>981</v>
      </c>
      <c r="B166" s="91" t="s">
        <v>817</v>
      </c>
      <c r="C166" s="91" t="s">
        <v>818</v>
      </c>
      <c r="D166" s="91" t="s">
        <v>650</v>
      </c>
      <c r="E166" s="91" t="s">
        <v>48</v>
      </c>
      <c r="F166" s="98"/>
    </row>
    <row r="167" spans="1:6" x14ac:dyDescent="0.25">
      <c r="A167" s="96" t="s">
        <v>982</v>
      </c>
      <c r="B167" s="91" t="s">
        <v>820</v>
      </c>
      <c r="C167" s="91" t="s">
        <v>821</v>
      </c>
      <c r="D167" s="91" t="s">
        <v>650</v>
      </c>
      <c r="E167" s="91" t="s">
        <v>48</v>
      </c>
      <c r="F167" s="98"/>
    </row>
    <row r="168" spans="1:6" x14ac:dyDescent="0.25">
      <c r="A168" s="96" t="s">
        <v>983</v>
      </c>
      <c r="B168" s="91" t="s">
        <v>823</v>
      </c>
      <c r="C168" s="91" t="s">
        <v>824</v>
      </c>
      <c r="D168" s="91" t="s">
        <v>650</v>
      </c>
      <c r="E168" s="91" t="s">
        <v>49</v>
      </c>
      <c r="F168" s="98"/>
    </row>
    <row r="169" spans="1:6" x14ac:dyDescent="0.25">
      <c r="A169" s="96" t="s">
        <v>984</v>
      </c>
      <c r="B169" s="91" t="s">
        <v>826</v>
      </c>
      <c r="C169" s="91" t="s">
        <v>827</v>
      </c>
      <c r="D169" s="91" t="s">
        <v>650</v>
      </c>
      <c r="E169" s="91" t="s">
        <v>49</v>
      </c>
      <c r="F169" s="98"/>
    </row>
    <row r="170" spans="1:6" x14ac:dyDescent="0.25">
      <c r="A170" s="96" t="s">
        <v>985</v>
      </c>
      <c r="B170" s="91" t="s">
        <v>712</v>
      </c>
      <c r="C170" s="91" t="s">
        <v>829</v>
      </c>
      <c r="D170" s="91" t="s">
        <v>650</v>
      </c>
      <c r="E170" s="91" t="s">
        <v>49</v>
      </c>
      <c r="F170" s="98" t="s">
        <v>654</v>
      </c>
    </row>
    <row r="171" spans="1:6" x14ac:dyDescent="0.25">
      <c r="A171" s="96" t="s">
        <v>986</v>
      </c>
      <c r="B171" s="91" t="s">
        <v>712</v>
      </c>
      <c r="C171" s="91" t="s">
        <v>831</v>
      </c>
      <c r="D171" s="91" t="s">
        <v>650</v>
      </c>
      <c r="E171" s="91" t="s">
        <v>49</v>
      </c>
      <c r="F171" s="98" t="s">
        <v>654</v>
      </c>
    </row>
    <row r="172" spans="1:6" x14ac:dyDescent="0.25">
      <c r="A172" s="96" t="s">
        <v>987</v>
      </c>
      <c r="B172" s="91" t="s">
        <v>712</v>
      </c>
      <c r="C172" s="91" t="s">
        <v>833</v>
      </c>
      <c r="D172" s="91" t="s">
        <v>650</v>
      </c>
      <c r="E172" s="91" t="s">
        <v>49</v>
      </c>
      <c r="F172" s="98" t="s">
        <v>654</v>
      </c>
    </row>
    <row r="173" spans="1:6" x14ac:dyDescent="0.25">
      <c r="A173" s="96" t="s">
        <v>988</v>
      </c>
      <c r="B173" s="91" t="s">
        <v>712</v>
      </c>
      <c r="C173" s="91" t="s">
        <v>835</v>
      </c>
      <c r="D173" s="91" t="s">
        <v>650</v>
      </c>
      <c r="E173" s="91" t="s">
        <v>49</v>
      </c>
      <c r="F173" s="98" t="s">
        <v>654</v>
      </c>
    </row>
    <row r="174" spans="1:6" x14ac:dyDescent="0.25">
      <c r="A174" s="96" t="s">
        <v>989</v>
      </c>
      <c r="B174" s="91" t="s">
        <v>712</v>
      </c>
      <c r="C174" s="91" t="s">
        <v>837</v>
      </c>
      <c r="D174" s="91" t="s">
        <v>650</v>
      </c>
      <c r="E174" s="91" t="s">
        <v>49</v>
      </c>
      <c r="F174" s="98" t="s">
        <v>654</v>
      </c>
    </row>
    <row r="175" spans="1:6" x14ac:dyDescent="0.25">
      <c r="A175" s="96" t="s">
        <v>990</v>
      </c>
      <c r="B175" s="91" t="s">
        <v>712</v>
      </c>
      <c r="C175" s="91" t="s">
        <v>839</v>
      </c>
      <c r="D175" s="91" t="s">
        <v>650</v>
      </c>
      <c r="E175" s="91" t="s">
        <v>49</v>
      </c>
      <c r="F175" s="98" t="s">
        <v>654</v>
      </c>
    </row>
    <row r="176" spans="1:6" x14ac:dyDescent="0.25">
      <c r="A176" s="96" t="s">
        <v>991</v>
      </c>
      <c r="B176" s="91" t="s">
        <v>712</v>
      </c>
      <c r="C176" s="91" t="s">
        <v>841</v>
      </c>
      <c r="D176" s="91" t="s">
        <v>650</v>
      </c>
      <c r="E176" s="91" t="s">
        <v>49</v>
      </c>
      <c r="F176" s="98" t="s">
        <v>654</v>
      </c>
    </row>
    <row r="177" spans="1:6" x14ac:dyDescent="0.25">
      <c r="A177" s="96" t="s">
        <v>992</v>
      </c>
      <c r="B177" s="91" t="s">
        <v>712</v>
      </c>
      <c r="C177" s="91" t="s">
        <v>843</v>
      </c>
      <c r="D177" s="91" t="s">
        <v>650</v>
      </c>
      <c r="E177" s="91" t="s">
        <v>49</v>
      </c>
      <c r="F177" s="98" t="s">
        <v>654</v>
      </c>
    </row>
    <row r="178" spans="1:6" x14ac:dyDescent="0.25">
      <c r="A178" s="96" t="s">
        <v>993</v>
      </c>
      <c r="B178" s="91" t="s">
        <v>845</v>
      </c>
      <c r="C178" s="91" t="s">
        <v>846</v>
      </c>
      <c r="D178" s="91" t="s">
        <v>650</v>
      </c>
      <c r="E178" s="91" t="s">
        <v>49</v>
      </c>
      <c r="F178" s="98"/>
    </row>
    <row r="179" spans="1:6" x14ac:dyDescent="0.25">
      <c r="A179" s="96" t="s">
        <v>994</v>
      </c>
      <c r="B179" s="91" t="s">
        <v>848</v>
      </c>
      <c r="C179" s="91" t="s">
        <v>849</v>
      </c>
      <c r="D179" s="91" t="s">
        <v>650</v>
      </c>
      <c r="E179" s="91" t="s">
        <v>49</v>
      </c>
      <c r="F179" s="98"/>
    </row>
    <row r="180" spans="1:6" x14ac:dyDescent="0.25">
      <c r="A180" s="96" t="s">
        <v>995</v>
      </c>
      <c r="B180" s="91" t="s">
        <v>851</v>
      </c>
      <c r="C180" s="91" t="s">
        <v>852</v>
      </c>
      <c r="D180" s="91" t="s">
        <v>650</v>
      </c>
      <c r="E180" s="91" t="s">
        <v>49</v>
      </c>
      <c r="F180" s="98"/>
    </row>
    <row r="181" spans="1:6" x14ac:dyDescent="0.25">
      <c r="A181" s="96" t="s">
        <v>996</v>
      </c>
      <c r="B181" s="91" t="s">
        <v>854</v>
      </c>
      <c r="C181" s="91" t="s">
        <v>855</v>
      </c>
      <c r="D181" s="91" t="s">
        <v>650</v>
      </c>
      <c r="E181" s="91" t="s">
        <v>49</v>
      </c>
      <c r="F181" s="98"/>
    </row>
    <row r="182" spans="1:6" x14ac:dyDescent="0.25">
      <c r="A182" s="96" t="s">
        <v>997</v>
      </c>
      <c r="B182" s="91" t="s">
        <v>857</v>
      </c>
      <c r="C182" s="91" t="s">
        <v>858</v>
      </c>
      <c r="D182" s="91" t="s">
        <v>650</v>
      </c>
      <c r="E182" s="91" t="s">
        <v>49</v>
      </c>
      <c r="F182" s="98"/>
    </row>
    <row r="183" spans="1:6" x14ac:dyDescent="0.25">
      <c r="A183" s="96" t="s">
        <v>998</v>
      </c>
      <c r="B183" s="91" t="s">
        <v>860</v>
      </c>
      <c r="C183" s="91" t="s">
        <v>861</v>
      </c>
      <c r="D183" s="91" t="s">
        <v>650</v>
      </c>
      <c r="E183" s="91" t="s">
        <v>49</v>
      </c>
      <c r="F183" s="98"/>
    </row>
    <row r="184" spans="1:6" x14ac:dyDescent="0.25">
      <c r="A184" s="96" t="s">
        <v>999</v>
      </c>
      <c r="B184" s="91" t="s">
        <v>863</v>
      </c>
      <c r="C184" s="91" t="s">
        <v>864</v>
      </c>
      <c r="D184" s="91" t="s">
        <v>650</v>
      </c>
      <c r="E184" s="91" t="s">
        <v>48</v>
      </c>
      <c r="F184" s="98"/>
    </row>
    <row r="185" spans="1:6" x14ac:dyDescent="0.25">
      <c r="A185" s="96" t="s">
        <v>1000</v>
      </c>
      <c r="B185" s="91" t="s">
        <v>866</v>
      </c>
      <c r="C185" s="91" t="s">
        <v>867</v>
      </c>
      <c r="D185" s="91" t="s">
        <v>650</v>
      </c>
      <c r="E185" s="91" t="s">
        <v>49</v>
      </c>
      <c r="F185" s="98"/>
    </row>
    <row r="186" spans="1:6" x14ac:dyDescent="0.25">
      <c r="A186" s="96" t="s">
        <v>1001</v>
      </c>
      <c r="B186" s="91" t="s">
        <v>869</v>
      </c>
      <c r="C186" s="91" t="s">
        <v>870</v>
      </c>
      <c r="D186" s="91" t="s">
        <v>650</v>
      </c>
      <c r="E186" s="91" t="s">
        <v>49</v>
      </c>
      <c r="F186" s="98"/>
    </row>
    <row r="187" spans="1:6" x14ac:dyDescent="0.25">
      <c r="A187" s="96" t="s">
        <v>1002</v>
      </c>
      <c r="B187" s="91" t="s">
        <v>872</v>
      </c>
      <c r="C187" s="91" t="s">
        <v>873</v>
      </c>
      <c r="D187" s="91" t="s">
        <v>650</v>
      </c>
      <c r="E187" s="91" t="s">
        <v>49</v>
      </c>
      <c r="F187" s="98"/>
    </row>
    <row r="188" spans="1:6" x14ac:dyDescent="0.25">
      <c r="A188" s="96" t="s">
        <v>1003</v>
      </c>
      <c r="B188" s="91" t="s">
        <v>875</v>
      </c>
      <c r="C188" s="91" t="s">
        <v>876</v>
      </c>
      <c r="D188" s="91" t="s">
        <v>650</v>
      </c>
      <c r="E188" s="91" t="s">
        <v>49</v>
      </c>
      <c r="F188" s="98"/>
    </row>
    <row r="189" spans="1:6" x14ac:dyDescent="0.25">
      <c r="A189" s="96" t="s">
        <v>1004</v>
      </c>
      <c r="B189" s="91" t="s">
        <v>878</v>
      </c>
      <c r="C189" s="91" t="s">
        <v>879</v>
      </c>
      <c r="D189" s="91" t="s">
        <v>650</v>
      </c>
      <c r="E189" s="91" t="s">
        <v>49</v>
      </c>
      <c r="F189" s="98"/>
    </row>
    <row r="190" spans="1:6" x14ac:dyDescent="0.25">
      <c r="A190" s="96" t="s">
        <v>1005</v>
      </c>
      <c r="B190" s="91" t="s">
        <v>881</v>
      </c>
      <c r="C190" s="91" t="s">
        <v>882</v>
      </c>
      <c r="D190" s="91" t="s">
        <v>650</v>
      </c>
      <c r="E190" s="91" t="s">
        <v>49</v>
      </c>
      <c r="F190" s="98"/>
    </row>
    <row r="191" spans="1:6" x14ac:dyDescent="0.25">
      <c r="A191" s="96" t="s">
        <v>1006</v>
      </c>
      <c r="B191" s="91" t="s">
        <v>884</v>
      </c>
      <c r="C191" s="91" t="s">
        <v>885</v>
      </c>
      <c r="D191" s="91" t="s">
        <v>650</v>
      </c>
      <c r="E191" s="91" t="s">
        <v>49</v>
      </c>
      <c r="F191" s="98"/>
    </row>
    <row r="192" spans="1:6" x14ac:dyDescent="0.25">
      <c r="A192" s="96" t="s">
        <v>1007</v>
      </c>
      <c r="B192" s="91" t="s">
        <v>887</v>
      </c>
      <c r="C192" s="91" t="s">
        <v>888</v>
      </c>
      <c r="D192" s="91" t="s">
        <v>650</v>
      </c>
      <c r="E192" s="91" t="s">
        <v>49</v>
      </c>
      <c r="F192" s="98"/>
    </row>
    <row r="193" spans="1:6" x14ac:dyDescent="0.25">
      <c r="A193" s="96" t="s">
        <v>1008</v>
      </c>
      <c r="B193" s="91" t="s">
        <v>890</v>
      </c>
      <c r="C193" s="91" t="s">
        <v>891</v>
      </c>
      <c r="D193" s="91" t="s">
        <v>650</v>
      </c>
      <c r="E193" s="91" t="s">
        <v>49</v>
      </c>
      <c r="F193" s="98"/>
    </row>
    <row r="194" spans="1:6" x14ac:dyDescent="0.25">
      <c r="A194" s="96" t="s">
        <v>1009</v>
      </c>
      <c r="B194" s="91" t="s">
        <v>893</v>
      </c>
      <c r="C194" s="91" t="s">
        <v>894</v>
      </c>
      <c r="D194" s="91" t="s">
        <v>650</v>
      </c>
      <c r="E194" s="91" t="s">
        <v>49</v>
      </c>
      <c r="F194" s="98"/>
    </row>
    <row r="195" spans="1:6" x14ac:dyDescent="0.25">
      <c r="A195" s="96" t="s">
        <v>1010</v>
      </c>
      <c r="B195" s="91" t="s">
        <v>896</v>
      </c>
      <c r="C195" s="91" t="s">
        <v>897</v>
      </c>
      <c r="D195" s="91" t="s">
        <v>650</v>
      </c>
      <c r="E195" s="91" t="s">
        <v>49</v>
      </c>
      <c r="F195" s="98"/>
    </row>
    <row r="196" spans="1:6" x14ac:dyDescent="0.25">
      <c r="A196" s="96" t="s">
        <v>1011</v>
      </c>
      <c r="B196" s="91" t="s">
        <v>899</v>
      </c>
      <c r="C196" s="91" t="s">
        <v>900</v>
      </c>
      <c r="D196" s="91" t="s">
        <v>650</v>
      </c>
      <c r="E196" s="94" t="s">
        <v>48</v>
      </c>
      <c r="F196" s="98"/>
    </row>
    <row r="197" spans="1:6" x14ac:dyDescent="0.25">
      <c r="A197" s="96" t="s">
        <v>1012</v>
      </c>
      <c r="B197" s="91" t="s">
        <v>902</v>
      </c>
      <c r="C197" s="91" t="s">
        <v>903</v>
      </c>
      <c r="D197" s="91" t="s">
        <v>650</v>
      </c>
      <c r="E197" s="91" t="s">
        <v>49</v>
      </c>
      <c r="F197" s="98"/>
    </row>
    <row r="198" spans="1:6" x14ac:dyDescent="0.25">
      <c r="A198" s="96" t="s">
        <v>1013</v>
      </c>
      <c r="B198" s="91" t="s">
        <v>905</v>
      </c>
      <c r="C198" s="91" t="s">
        <v>906</v>
      </c>
      <c r="D198" s="91" t="s">
        <v>650</v>
      </c>
      <c r="E198" s="91" t="s">
        <v>49</v>
      </c>
      <c r="F198" s="98"/>
    </row>
    <row r="199" spans="1:6" x14ac:dyDescent="0.25">
      <c r="A199" s="96" t="s">
        <v>1014</v>
      </c>
      <c r="B199" s="91" t="s">
        <v>908</v>
      </c>
      <c r="C199" s="91" t="s">
        <v>909</v>
      </c>
      <c r="D199" s="91" t="s">
        <v>650</v>
      </c>
      <c r="E199" s="91" t="s">
        <v>49</v>
      </c>
      <c r="F199" s="98"/>
    </row>
    <row r="200" spans="1:6" x14ac:dyDescent="0.25">
      <c r="A200" s="96" t="s">
        <v>1015</v>
      </c>
      <c r="B200" s="91" t="s">
        <v>911</v>
      </c>
      <c r="C200" s="91" t="s">
        <v>912</v>
      </c>
      <c r="D200" s="91" t="s">
        <v>650</v>
      </c>
      <c r="E200" s="91" t="s">
        <v>49</v>
      </c>
      <c r="F200" s="98"/>
    </row>
    <row r="201" spans="1:6" x14ac:dyDescent="0.25">
      <c r="A201" s="103" t="s">
        <v>1016</v>
      </c>
      <c r="B201" s="104" t="s">
        <v>914</v>
      </c>
      <c r="C201" s="104" t="s">
        <v>915</v>
      </c>
      <c r="D201" s="104" t="s">
        <v>650</v>
      </c>
      <c r="E201" s="104" t="s">
        <v>49</v>
      </c>
      <c r="F201" s="105"/>
    </row>
    <row r="203" spans="1:6" x14ac:dyDescent="0.25">
      <c r="E203" s="95"/>
    </row>
    <row r="204" spans="1:6" x14ac:dyDescent="0.25">
      <c r="E204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C1:C15"/>
  <sheetViews>
    <sheetView workbookViewId="0">
      <selection activeCell="I25" sqref="I25"/>
    </sheetView>
  </sheetViews>
  <sheetFormatPr defaultRowHeight="15" x14ac:dyDescent="0.25"/>
  <sheetData>
    <row r="1" spans="3:3" x14ac:dyDescent="0.25">
      <c r="C1" t="s">
        <v>1058</v>
      </c>
    </row>
    <row r="3" spans="3:3" x14ac:dyDescent="0.25">
      <c r="C3" t="s">
        <v>1023</v>
      </c>
    </row>
    <row r="4" spans="3:3" x14ac:dyDescent="0.25">
      <c r="C4" s="106"/>
    </row>
    <row r="5" spans="3:3" x14ac:dyDescent="0.25">
      <c r="C5" s="106" t="s">
        <v>1050</v>
      </c>
    </row>
    <row r="6" spans="3:3" x14ac:dyDescent="0.25">
      <c r="C6" s="106" t="s">
        <v>1051</v>
      </c>
    </row>
    <row r="7" spans="3:3" x14ac:dyDescent="0.25">
      <c r="C7" s="106" t="s">
        <v>1052</v>
      </c>
    </row>
    <row r="8" spans="3:3" x14ac:dyDescent="0.25">
      <c r="C8" s="106" t="s">
        <v>1044</v>
      </c>
    </row>
    <row r="9" spans="3:3" x14ac:dyDescent="0.25">
      <c r="C9" s="106" t="s">
        <v>1036</v>
      </c>
    </row>
    <row r="10" spans="3:3" x14ac:dyDescent="0.25">
      <c r="C10" s="106" t="s">
        <v>1053</v>
      </c>
    </row>
    <row r="11" spans="3:3" x14ac:dyDescent="0.25">
      <c r="C11" s="106" t="s">
        <v>1030</v>
      </c>
    </row>
    <row r="12" spans="3:3" x14ac:dyDescent="0.25">
      <c r="C12" s="106" t="s">
        <v>1054</v>
      </c>
    </row>
    <row r="13" spans="3:3" x14ac:dyDescent="0.25">
      <c r="C13" s="106" t="s">
        <v>1055</v>
      </c>
    </row>
    <row r="14" spans="3:3" x14ac:dyDescent="0.25">
      <c r="C14" s="106" t="s">
        <v>1056</v>
      </c>
    </row>
    <row r="15" spans="3:3" x14ac:dyDescent="0.25">
      <c r="C15" s="106" t="s">
        <v>1057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C2:M25"/>
  <sheetViews>
    <sheetView topLeftCell="A15" workbookViewId="0">
      <selection activeCell="D32" sqref="D32"/>
    </sheetView>
  </sheetViews>
  <sheetFormatPr defaultRowHeight="15" x14ac:dyDescent="0.25"/>
  <cols>
    <col min="3" max="3" width="20" customWidth="1"/>
    <col min="4" max="4" width="51.42578125" customWidth="1"/>
    <col min="5" max="5" width="14.42578125" customWidth="1"/>
    <col min="6" max="6" width="9.85546875" customWidth="1"/>
    <col min="7" max="7" width="13.28515625" customWidth="1"/>
    <col min="8" max="8" width="11.42578125" customWidth="1"/>
    <col min="9" max="9" width="10.7109375" customWidth="1"/>
    <col min="10" max="10" width="12.28515625" customWidth="1"/>
    <col min="11" max="11" width="21.140625" customWidth="1"/>
    <col min="12" max="12" width="11.85546875" customWidth="1"/>
    <col min="13" max="13" width="12" customWidth="1"/>
  </cols>
  <sheetData>
    <row r="2" spans="3:13" x14ac:dyDescent="0.25">
      <c r="C2" s="107" t="s">
        <v>642</v>
      </c>
      <c r="D2" s="108" t="s">
        <v>643</v>
      </c>
      <c r="E2" s="108" t="s">
        <v>1017</v>
      </c>
      <c r="F2" s="108" t="s">
        <v>144</v>
      </c>
      <c r="G2" s="109" t="s">
        <v>1018</v>
      </c>
      <c r="H2" s="109" t="s">
        <v>1019</v>
      </c>
      <c r="I2" s="109" t="s">
        <v>1020</v>
      </c>
      <c r="J2" s="109" t="s">
        <v>1021</v>
      </c>
      <c r="K2" s="109" t="s">
        <v>1022</v>
      </c>
      <c r="L2" s="109" t="s">
        <v>1023</v>
      </c>
      <c r="M2" s="110" t="s">
        <v>124</v>
      </c>
    </row>
    <row r="3" spans="3:13" x14ac:dyDescent="0.25">
      <c r="C3" t="s">
        <v>1024</v>
      </c>
      <c r="D3" t="s">
        <v>1025</v>
      </c>
      <c r="E3" t="s">
        <v>1026</v>
      </c>
      <c r="F3" t="s">
        <v>1027</v>
      </c>
      <c r="G3" t="s">
        <v>1028</v>
      </c>
      <c r="H3" t="s">
        <v>1029</v>
      </c>
      <c r="I3" t="s">
        <v>49</v>
      </c>
      <c r="J3" t="s">
        <v>49</v>
      </c>
      <c r="L3" t="s">
        <v>1030</v>
      </c>
      <c r="M3" t="s">
        <v>722</v>
      </c>
    </row>
    <row r="4" spans="3:13" x14ac:dyDescent="0.25">
      <c r="C4" t="s">
        <v>1031</v>
      </c>
      <c r="D4" t="s">
        <v>1032</v>
      </c>
      <c r="E4" t="s">
        <v>1033</v>
      </c>
      <c r="F4" t="s">
        <v>1027</v>
      </c>
      <c r="G4" t="s">
        <v>1034</v>
      </c>
      <c r="H4" t="s">
        <v>1035</v>
      </c>
      <c r="I4" t="s">
        <v>49</v>
      </c>
      <c r="J4" t="s">
        <v>49</v>
      </c>
      <c r="L4" t="s">
        <v>1036</v>
      </c>
      <c r="M4" t="s">
        <v>716</v>
      </c>
    </row>
    <row r="5" spans="3:13" x14ac:dyDescent="0.25">
      <c r="C5" t="s">
        <v>1037</v>
      </c>
      <c r="D5" t="s">
        <v>1032</v>
      </c>
      <c r="E5" t="s">
        <v>1033</v>
      </c>
      <c r="F5" t="s">
        <v>1027</v>
      </c>
      <c r="G5" t="s">
        <v>1034</v>
      </c>
      <c r="H5" t="s">
        <v>1035</v>
      </c>
      <c r="I5" t="s">
        <v>49</v>
      </c>
      <c r="J5" t="s">
        <v>49</v>
      </c>
      <c r="L5" t="s">
        <v>1036</v>
      </c>
      <c r="M5" t="s">
        <v>716</v>
      </c>
    </row>
    <row r="6" spans="3:13" x14ac:dyDescent="0.25">
      <c r="C6" t="s">
        <v>1038</v>
      </c>
      <c r="D6" t="s">
        <v>1025</v>
      </c>
      <c r="E6" t="s">
        <v>1026</v>
      </c>
      <c r="F6" t="s">
        <v>1027</v>
      </c>
      <c r="G6" t="s">
        <v>1028</v>
      </c>
      <c r="H6" t="s">
        <v>1029</v>
      </c>
      <c r="I6" t="s">
        <v>49</v>
      </c>
      <c r="J6" t="s">
        <v>49</v>
      </c>
      <c r="L6" t="s">
        <v>1030</v>
      </c>
      <c r="M6" t="s">
        <v>722</v>
      </c>
    </row>
    <row r="7" spans="3:13" x14ac:dyDescent="0.25">
      <c r="C7" t="s">
        <v>1060</v>
      </c>
      <c r="D7" t="s">
        <v>1061</v>
      </c>
      <c r="E7" t="s">
        <v>1062</v>
      </c>
      <c r="F7" t="s">
        <v>1027</v>
      </c>
      <c r="G7" t="s">
        <v>1063</v>
      </c>
      <c r="H7" t="s">
        <v>1064</v>
      </c>
      <c r="I7" t="s">
        <v>49</v>
      </c>
      <c r="J7" t="s">
        <v>49</v>
      </c>
      <c r="L7" t="s">
        <v>1036</v>
      </c>
      <c r="M7" t="s">
        <v>806</v>
      </c>
    </row>
    <row r="8" spans="3:13" x14ac:dyDescent="0.25">
      <c r="C8" t="s">
        <v>1065</v>
      </c>
      <c r="D8" t="s">
        <v>1066</v>
      </c>
      <c r="E8" t="s">
        <v>1047</v>
      </c>
      <c r="F8" t="s">
        <v>1027</v>
      </c>
      <c r="G8" t="s">
        <v>1048</v>
      </c>
      <c r="H8" t="s">
        <v>1049</v>
      </c>
      <c r="I8" t="s">
        <v>49</v>
      </c>
      <c r="J8" t="s">
        <v>49</v>
      </c>
      <c r="L8" t="s">
        <v>1044</v>
      </c>
      <c r="M8" t="s">
        <v>707</v>
      </c>
    </row>
    <row r="9" spans="3:13" x14ac:dyDescent="0.25">
      <c r="C9" t="s">
        <v>1067</v>
      </c>
      <c r="D9" t="s">
        <v>1068</v>
      </c>
      <c r="E9" t="s">
        <v>1047</v>
      </c>
      <c r="F9" t="s">
        <v>1027</v>
      </c>
      <c r="G9" t="s">
        <v>1048</v>
      </c>
      <c r="H9" t="s">
        <v>1049</v>
      </c>
      <c r="I9" t="s">
        <v>49</v>
      </c>
      <c r="J9" t="s">
        <v>49</v>
      </c>
      <c r="L9" t="s">
        <v>1044</v>
      </c>
      <c r="M9" t="s">
        <v>707</v>
      </c>
    </row>
    <row r="10" spans="3:13" x14ac:dyDescent="0.25">
      <c r="C10" t="s">
        <v>1069</v>
      </c>
      <c r="D10" t="s">
        <v>1070</v>
      </c>
      <c r="E10" t="s">
        <v>1047</v>
      </c>
      <c r="F10" t="s">
        <v>1027</v>
      </c>
      <c r="G10" t="s">
        <v>1048</v>
      </c>
      <c r="H10" t="s">
        <v>1049</v>
      </c>
      <c r="I10" t="s">
        <v>49</v>
      </c>
      <c r="J10" t="s">
        <v>49</v>
      </c>
      <c r="L10" t="s">
        <v>1044</v>
      </c>
      <c r="M10" t="s">
        <v>707</v>
      </c>
    </row>
    <row r="11" spans="3:13" x14ac:dyDescent="0.25">
      <c r="C11" t="s">
        <v>1071</v>
      </c>
      <c r="D11" t="s">
        <v>1072</v>
      </c>
      <c r="E11" t="s">
        <v>1047</v>
      </c>
      <c r="F11" t="s">
        <v>1027</v>
      </c>
      <c r="G11" t="s">
        <v>1048</v>
      </c>
      <c r="H11" t="s">
        <v>1049</v>
      </c>
      <c r="I11" t="s">
        <v>49</v>
      </c>
      <c r="J11" t="s">
        <v>49</v>
      </c>
      <c r="L11" t="s">
        <v>1044</v>
      </c>
      <c r="M11" t="s">
        <v>707</v>
      </c>
    </row>
    <row r="12" spans="3:13" x14ac:dyDescent="0.25">
      <c r="C12" t="s">
        <v>1073</v>
      </c>
      <c r="D12" t="s">
        <v>1074</v>
      </c>
      <c r="E12" t="s">
        <v>1033</v>
      </c>
      <c r="F12" t="s">
        <v>1075</v>
      </c>
      <c r="G12" t="s">
        <v>1034</v>
      </c>
      <c r="H12" t="s">
        <v>1035</v>
      </c>
      <c r="I12" t="s">
        <v>49</v>
      </c>
      <c r="J12" t="s">
        <v>49</v>
      </c>
      <c r="L12" t="s">
        <v>1036</v>
      </c>
      <c r="M12" t="s">
        <v>707</v>
      </c>
    </row>
    <row r="13" spans="3:13" x14ac:dyDescent="0.25">
      <c r="C13" t="s">
        <v>1076</v>
      </c>
      <c r="D13" t="s">
        <v>1077</v>
      </c>
      <c r="E13" t="s">
        <v>1033</v>
      </c>
      <c r="F13" t="s">
        <v>1075</v>
      </c>
      <c r="G13" t="s">
        <v>1034</v>
      </c>
      <c r="H13" t="s">
        <v>1035</v>
      </c>
      <c r="I13" t="s">
        <v>49</v>
      </c>
      <c r="J13" t="s">
        <v>49</v>
      </c>
      <c r="L13" t="s">
        <v>1036</v>
      </c>
      <c r="M13" t="s">
        <v>707</v>
      </c>
    </row>
    <row r="14" spans="3:13" x14ac:dyDescent="0.25">
      <c r="C14" t="s">
        <v>1078</v>
      </c>
      <c r="D14" t="s">
        <v>1074</v>
      </c>
      <c r="E14" t="s">
        <v>1033</v>
      </c>
      <c r="F14" t="s">
        <v>1075</v>
      </c>
      <c r="G14" t="s">
        <v>1034</v>
      </c>
      <c r="H14" t="s">
        <v>1035</v>
      </c>
      <c r="I14" t="s">
        <v>49</v>
      </c>
      <c r="J14" t="s">
        <v>49</v>
      </c>
      <c r="L14" t="s">
        <v>1036</v>
      </c>
      <c r="M14" t="s">
        <v>707</v>
      </c>
    </row>
    <row r="15" spans="3:13" x14ac:dyDescent="0.25">
      <c r="C15" t="s">
        <v>1079</v>
      </c>
      <c r="D15" t="s">
        <v>1077</v>
      </c>
      <c r="E15" t="s">
        <v>1033</v>
      </c>
      <c r="F15" t="s">
        <v>1075</v>
      </c>
      <c r="G15" t="s">
        <v>1034</v>
      </c>
      <c r="H15" t="s">
        <v>1035</v>
      </c>
      <c r="I15" t="s">
        <v>49</v>
      </c>
      <c r="J15" t="s">
        <v>49</v>
      </c>
      <c r="L15" t="s">
        <v>1036</v>
      </c>
      <c r="M15" t="s">
        <v>707</v>
      </c>
    </row>
    <row r="16" spans="3:13" x14ac:dyDescent="0.25">
      <c r="C16" t="s">
        <v>1080</v>
      </c>
      <c r="D16" t="s">
        <v>1081</v>
      </c>
      <c r="E16" t="s">
        <v>1047</v>
      </c>
      <c r="F16" t="s">
        <v>1027</v>
      </c>
      <c r="G16" t="s">
        <v>1048</v>
      </c>
      <c r="H16" t="s">
        <v>1082</v>
      </c>
      <c r="I16" t="s">
        <v>49</v>
      </c>
      <c r="J16" t="s">
        <v>49</v>
      </c>
      <c r="L16" t="s">
        <v>1044</v>
      </c>
      <c r="M16" t="s">
        <v>707</v>
      </c>
    </row>
    <row r="17" spans="3:13" x14ac:dyDescent="0.25">
      <c r="C17" t="s">
        <v>1083</v>
      </c>
      <c r="D17" t="s">
        <v>1084</v>
      </c>
      <c r="E17" t="s">
        <v>1033</v>
      </c>
      <c r="F17" t="s">
        <v>1027</v>
      </c>
      <c r="G17" t="s">
        <v>1034</v>
      </c>
      <c r="H17" t="s">
        <v>1035</v>
      </c>
      <c r="I17" t="s">
        <v>49</v>
      </c>
      <c r="J17" t="s">
        <v>49</v>
      </c>
      <c r="L17" t="s">
        <v>1036</v>
      </c>
      <c r="M17" t="s">
        <v>716</v>
      </c>
    </row>
    <row r="18" spans="3:13" x14ac:dyDescent="0.25">
      <c r="C18" t="s">
        <v>1085</v>
      </c>
      <c r="D18" t="s">
        <v>1086</v>
      </c>
      <c r="E18" t="s">
        <v>1033</v>
      </c>
      <c r="F18" t="s">
        <v>1027</v>
      </c>
      <c r="G18" t="s">
        <v>1034</v>
      </c>
      <c r="H18" t="s">
        <v>1035</v>
      </c>
      <c r="I18" t="s">
        <v>49</v>
      </c>
      <c r="J18" t="s">
        <v>49</v>
      </c>
      <c r="L18" t="s">
        <v>1036</v>
      </c>
      <c r="M18" t="s">
        <v>716</v>
      </c>
    </row>
    <row r="19" spans="3:13" x14ac:dyDescent="0.25">
      <c r="C19" t="s">
        <v>1087</v>
      </c>
      <c r="D19" t="s">
        <v>1025</v>
      </c>
      <c r="E19" t="s">
        <v>1026</v>
      </c>
      <c r="F19" t="s">
        <v>1027</v>
      </c>
      <c r="G19" t="s">
        <v>1028</v>
      </c>
      <c r="H19" t="s">
        <v>1029</v>
      </c>
      <c r="I19" t="s">
        <v>49</v>
      </c>
      <c r="J19" t="s">
        <v>49</v>
      </c>
      <c r="L19" t="s">
        <v>1030</v>
      </c>
      <c r="M19" t="s">
        <v>725</v>
      </c>
    </row>
    <row r="20" spans="3:13" x14ac:dyDescent="0.25">
      <c r="C20" t="s">
        <v>1088</v>
      </c>
      <c r="D20" t="s">
        <v>1089</v>
      </c>
      <c r="E20" t="s">
        <v>1026</v>
      </c>
      <c r="F20" t="s">
        <v>1027</v>
      </c>
      <c r="G20" t="s">
        <v>1028</v>
      </c>
      <c r="H20" t="s">
        <v>1029</v>
      </c>
      <c r="I20" t="s">
        <v>49</v>
      </c>
      <c r="J20" t="s">
        <v>49</v>
      </c>
      <c r="L20" t="s">
        <v>1030</v>
      </c>
      <c r="M20" t="s">
        <v>861</v>
      </c>
    </row>
    <row r="21" spans="3:13" x14ac:dyDescent="0.25">
      <c r="C21" t="s">
        <v>1090</v>
      </c>
      <c r="D21" t="s">
        <v>1025</v>
      </c>
      <c r="E21" t="s">
        <v>1026</v>
      </c>
      <c r="F21" t="s">
        <v>1027</v>
      </c>
      <c r="G21" t="s">
        <v>1028</v>
      </c>
      <c r="H21" t="s">
        <v>1029</v>
      </c>
      <c r="I21" t="s">
        <v>49</v>
      </c>
      <c r="J21" t="s">
        <v>49</v>
      </c>
      <c r="L21" t="s">
        <v>1030</v>
      </c>
      <c r="M21" t="s">
        <v>725</v>
      </c>
    </row>
    <row r="22" spans="3:13" x14ac:dyDescent="0.25">
      <c r="C22" t="s">
        <v>1091</v>
      </c>
      <c r="D22" t="s">
        <v>1092</v>
      </c>
      <c r="E22" t="s">
        <v>1093</v>
      </c>
      <c r="F22" t="s">
        <v>1027</v>
      </c>
      <c r="G22" t="s">
        <v>1094</v>
      </c>
      <c r="H22" t="s">
        <v>1095</v>
      </c>
      <c r="I22" t="s">
        <v>49</v>
      </c>
      <c r="J22" t="s">
        <v>49</v>
      </c>
      <c r="L22" t="s">
        <v>1044</v>
      </c>
      <c r="M22" t="s">
        <v>764</v>
      </c>
    </row>
    <row r="23" spans="3:13" x14ac:dyDescent="0.25">
      <c r="C23" t="s">
        <v>1045</v>
      </c>
      <c r="D23" t="s">
        <v>1046</v>
      </c>
      <c r="E23" t="s">
        <v>1047</v>
      </c>
      <c r="F23" t="s">
        <v>1027</v>
      </c>
      <c r="G23" t="s">
        <v>1048</v>
      </c>
      <c r="H23" t="s">
        <v>1049</v>
      </c>
      <c r="I23" t="s">
        <v>48</v>
      </c>
      <c r="J23" t="s">
        <v>48</v>
      </c>
      <c r="K23" t="s">
        <v>1043</v>
      </c>
      <c r="L23" t="s">
        <v>1044</v>
      </c>
      <c r="M23" t="s">
        <v>698</v>
      </c>
    </row>
    <row r="24" spans="3:13" x14ac:dyDescent="0.25">
      <c r="C24" t="s">
        <v>1096</v>
      </c>
      <c r="D24" t="s">
        <v>1097</v>
      </c>
      <c r="E24" t="s">
        <v>1047</v>
      </c>
      <c r="F24" t="s">
        <v>1027</v>
      </c>
      <c r="G24" t="s">
        <v>1048</v>
      </c>
      <c r="H24" t="s">
        <v>1098</v>
      </c>
      <c r="I24" t="s">
        <v>48</v>
      </c>
      <c r="J24" t="s">
        <v>48</v>
      </c>
      <c r="K24" t="s">
        <v>1043</v>
      </c>
      <c r="L24" t="s">
        <v>1044</v>
      </c>
      <c r="M24" t="s">
        <v>698</v>
      </c>
    </row>
    <row r="25" spans="3:13" x14ac:dyDescent="0.25">
      <c r="C25" t="s">
        <v>1099</v>
      </c>
      <c r="D25" t="s">
        <v>1100</v>
      </c>
      <c r="E25" t="s">
        <v>1047</v>
      </c>
      <c r="F25" t="s">
        <v>1027</v>
      </c>
      <c r="G25" t="s">
        <v>1048</v>
      </c>
      <c r="H25" t="s">
        <v>1049</v>
      </c>
      <c r="I25" t="s">
        <v>48</v>
      </c>
      <c r="J25" t="s">
        <v>48</v>
      </c>
      <c r="K25" t="s">
        <v>1043</v>
      </c>
      <c r="L25" t="s">
        <v>1044</v>
      </c>
      <c r="M25" t="s">
        <v>725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Q21511"/>
  <sheetViews>
    <sheetView tabSelected="1" topLeftCell="A45" workbookViewId="0">
      <selection activeCell="D57" sqref="D57"/>
    </sheetView>
  </sheetViews>
  <sheetFormatPr defaultRowHeight="15" x14ac:dyDescent="0.25"/>
  <cols>
    <col min="2" max="2" width="19" customWidth="1"/>
    <col min="3" max="3" width="15" customWidth="1"/>
  </cols>
  <sheetData>
    <row r="1" spans="2:17" x14ac:dyDescent="0.25">
      <c r="B1" t="s">
        <v>1101</v>
      </c>
      <c r="C1" t="s">
        <v>1102</v>
      </c>
      <c r="D1" t="s">
        <v>599</v>
      </c>
      <c r="E1" t="s">
        <v>1103</v>
      </c>
      <c r="F1" t="s">
        <v>1104</v>
      </c>
      <c r="G1" t="s">
        <v>1105</v>
      </c>
      <c r="H1" t="s">
        <v>1106</v>
      </c>
      <c r="I1" t="s">
        <v>1107</v>
      </c>
      <c r="J1" t="s">
        <v>1108</v>
      </c>
      <c r="K1" t="s">
        <v>1109</v>
      </c>
      <c r="L1" t="s">
        <v>126</v>
      </c>
      <c r="M1" t="s">
        <v>1110</v>
      </c>
      <c r="N1" t="s">
        <v>1111</v>
      </c>
      <c r="O1" t="s">
        <v>1112</v>
      </c>
      <c r="P1" t="s">
        <v>1113</v>
      </c>
      <c r="Q1" t="s">
        <v>1114</v>
      </c>
    </row>
    <row r="2" spans="2:17" x14ac:dyDescent="0.25">
      <c r="B2" t="s">
        <v>1115</v>
      </c>
      <c r="H2" t="b">
        <v>0</v>
      </c>
      <c r="I2" t="b">
        <v>0</v>
      </c>
      <c r="N2" t="s">
        <v>1116</v>
      </c>
    </row>
    <row r="10" spans="2:17" x14ac:dyDescent="0.25">
      <c r="B10" t="s">
        <v>1101</v>
      </c>
      <c r="C10" t="s">
        <v>1102</v>
      </c>
      <c r="D10" t="s">
        <v>599</v>
      </c>
      <c r="E10" t="s">
        <v>1103</v>
      </c>
      <c r="F10" t="s">
        <v>1104</v>
      </c>
      <c r="G10" t="s">
        <v>1105</v>
      </c>
      <c r="H10" t="s">
        <v>1106</v>
      </c>
      <c r="I10" t="s">
        <v>1107</v>
      </c>
      <c r="J10" t="s">
        <v>1108</v>
      </c>
      <c r="K10" t="s">
        <v>1109</v>
      </c>
      <c r="L10" t="s">
        <v>126</v>
      </c>
      <c r="M10" t="s">
        <v>1110</v>
      </c>
      <c r="N10" t="s">
        <v>1111</v>
      </c>
      <c r="O10" t="s">
        <v>1112</v>
      </c>
      <c r="P10" t="s">
        <v>1113</v>
      </c>
      <c r="Q10" t="s">
        <v>1114</v>
      </c>
    </row>
    <row r="11" spans="2:17" x14ac:dyDescent="0.25">
      <c r="B11" t="s">
        <v>1101</v>
      </c>
      <c r="C11" t="s">
        <v>1102</v>
      </c>
      <c r="D11" t="s">
        <v>599</v>
      </c>
      <c r="E11" t="s">
        <v>1103</v>
      </c>
      <c r="F11" t="s">
        <v>1104</v>
      </c>
      <c r="G11" t="s">
        <v>1105</v>
      </c>
      <c r="H11" t="s">
        <v>1106</v>
      </c>
      <c r="I11" t="s">
        <v>1107</v>
      </c>
      <c r="J11" t="s">
        <v>1108</v>
      </c>
      <c r="K11" t="s">
        <v>1109</v>
      </c>
      <c r="L11" t="s">
        <v>126</v>
      </c>
      <c r="M11" t="s">
        <v>1110</v>
      </c>
      <c r="N11" t="s">
        <v>1111</v>
      </c>
      <c r="O11" t="s">
        <v>1112</v>
      </c>
      <c r="P11" t="s">
        <v>1113</v>
      </c>
      <c r="Q11" t="s">
        <v>1114</v>
      </c>
    </row>
    <row r="12" spans="2:17" x14ac:dyDescent="0.25">
      <c r="B12" t="s">
        <v>1024</v>
      </c>
      <c r="C12" t="s">
        <v>1025</v>
      </c>
      <c r="D12" t="s">
        <v>1026</v>
      </c>
      <c r="E12" t="s">
        <v>1027</v>
      </c>
      <c r="F12">
        <v>2114</v>
      </c>
      <c r="G12" t="s">
        <v>1029</v>
      </c>
      <c r="H12" t="b">
        <v>0</v>
      </c>
      <c r="I12" t="b">
        <v>0</v>
      </c>
      <c r="J12" t="s">
        <v>1030</v>
      </c>
      <c r="K12">
        <v>29</v>
      </c>
    </row>
    <row r="13" spans="2:17" x14ac:dyDescent="0.25">
      <c r="B13" t="s">
        <v>1031</v>
      </c>
      <c r="C13" t="s">
        <v>1032</v>
      </c>
      <c r="D13" t="s">
        <v>1033</v>
      </c>
      <c r="E13" t="s">
        <v>1027</v>
      </c>
      <c r="F13">
        <v>1722</v>
      </c>
      <c r="G13" t="s">
        <v>1035</v>
      </c>
      <c r="H13" t="b">
        <v>0</v>
      </c>
      <c r="I13" t="b">
        <v>0</v>
      </c>
      <c r="J13" t="s">
        <v>1036</v>
      </c>
      <c r="K13">
        <v>27</v>
      </c>
    </row>
    <row r="14" spans="2:17" x14ac:dyDescent="0.25">
      <c r="B14" t="s">
        <v>1037</v>
      </c>
      <c r="C14" t="s">
        <v>1032</v>
      </c>
      <c r="D14" t="s">
        <v>1033</v>
      </c>
      <c r="E14" t="s">
        <v>1027</v>
      </c>
      <c r="F14">
        <v>1722</v>
      </c>
      <c r="G14" t="s">
        <v>1035</v>
      </c>
      <c r="H14" t="b">
        <v>0</v>
      </c>
      <c r="I14" t="b">
        <v>0</v>
      </c>
      <c r="J14" t="s">
        <v>1036</v>
      </c>
      <c r="K14">
        <v>27</v>
      </c>
    </row>
    <row r="15" spans="2:17" x14ac:dyDescent="0.25">
      <c r="B15" t="s">
        <v>1038</v>
      </c>
      <c r="C15" t="s">
        <v>1025</v>
      </c>
      <c r="D15" t="s">
        <v>1026</v>
      </c>
      <c r="E15" t="s">
        <v>1027</v>
      </c>
      <c r="F15">
        <v>2114</v>
      </c>
      <c r="G15" t="s">
        <v>1029</v>
      </c>
      <c r="H15" t="b">
        <v>0</v>
      </c>
      <c r="I15" t="b">
        <v>0</v>
      </c>
      <c r="J15" t="s">
        <v>1030</v>
      </c>
      <c r="K15">
        <v>29</v>
      </c>
    </row>
    <row r="16" spans="2:17" x14ac:dyDescent="0.25">
      <c r="B16" t="s">
        <v>1060</v>
      </c>
      <c r="C16" t="s">
        <v>1061</v>
      </c>
      <c r="D16" t="s">
        <v>1062</v>
      </c>
      <c r="E16" t="s">
        <v>1027</v>
      </c>
      <c r="F16">
        <v>1729</v>
      </c>
      <c r="G16" t="s">
        <v>1064</v>
      </c>
      <c r="H16" t="b">
        <v>0</v>
      </c>
      <c r="I16" t="b">
        <v>0</v>
      </c>
      <c r="J16" t="s">
        <v>1036</v>
      </c>
      <c r="K16">
        <v>60</v>
      </c>
    </row>
    <row r="17" spans="2:11" x14ac:dyDescent="0.25">
      <c r="B17" t="s">
        <v>1065</v>
      </c>
      <c r="C17" t="s">
        <v>1066</v>
      </c>
      <c r="D17" t="s">
        <v>1047</v>
      </c>
      <c r="E17" t="s">
        <v>1027</v>
      </c>
      <c r="F17">
        <v>1905</v>
      </c>
      <c r="G17" t="s">
        <v>1049</v>
      </c>
      <c r="H17" t="b">
        <v>0</v>
      </c>
      <c r="I17" t="b">
        <v>0</v>
      </c>
      <c r="J17" t="s">
        <v>1044</v>
      </c>
      <c r="K17">
        <v>24</v>
      </c>
    </row>
    <row r="18" spans="2:11" x14ac:dyDescent="0.25">
      <c r="B18" t="s">
        <v>1067</v>
      </c>
      <c r="C18" t="s">
        <v>1068</v>
      </c>
      <c r="D18" t="s">
        <v>1047</v>
      </c>
      <c r="E18" t="s">
        <v>1027</v>
      </c>
      <c r="F18">
        <v>1905</v>
      </c>
      <c r="G18" t="s">
        <v>1049</v>
      </c>
      <c r="H18" t="b">
        <v>0</v>
      </c>
      <c r="I18" t="b">
        <v>0</v>
      </c>
      <c r="J18" t="s">
        <v>1044</v>
      </c>
      <c r="K18">
        <v>24</v>
      </c>
    </row>
    <row r="19" spans="2:11" x14ac:dyDescent="0.25">
      <c r="B19" t="s">
        <v>1069</v>
      </c>
      <c r="C19" t="s">
        <v>1070</v>
      </c>
      <c r="D19" t="s">
        <v>1047</v>
      </c>
      <c r="E19" t="s">
        <v>1027</v>
      </c>
      <c r="F19">
        <v>1905</v>
      </c>
      <c r="G19" t="s">
        <v>1049</v>
      </c>
      <c r="H19" t="b">
        <v>0</v>
      </c>
      <c r="I19" t="b">
        <v>0</v>
      </c>
      <c r="J19" t="s">
        <v>1044</v>
      </c>
      <c r="K19">
        <v>24</v>
      </c>
    </row>
    <row r="20" spans="2:11" x14ac:dyDescent="0.25">
      <c r="B20" t="s">
        <v>1071</v>
      </c>
      <c r="C20" t="s">
        <v>1072</v>
      </c>
      <c r="D20" t="s">
        <v>1047</v>
      </c>
      <c r="E20" t="s">
        <v>1027</v>
      </c>
      <c r="F20">
        <v>1905</v>
      </c>
      <c r="G20" t="s">
        <v>1049</v>
      </c>
      <c r="H20" t="b">
        <v>0</v>
      </c>
      <c r="I20" t="b">
        <v>0</v>
      </c>
      <c r="J20" t="s">
        <v>1044</v>
      </c>
      <c r="K20">
        <v>24</v>
      </c>
    </row>
    <row r="21" spans="2:11" x14ac:dyDescent="0.25">
      <c r="B21" t="s">
        <v>1073</v>
      </c>
      <c r="C21" t="s">
        <v>1074</v>
      </c>
      <c r="D21" t="s">
        <v>1033</v>
      </c>
      <c r="E21" t="s">
        <v>1075</v>
      </c>
      <c r="F21">
        <v>1722</v>
      </c>
      <c r="G21" t="s">
        <v>1035</v>
      </c>
      <c r="H21" t="b">
        <v>0</v>
      </c>
      <c r="I21" t="b">
        <v>0</v>
      </c>
      <c r="J21" t="s">
        <v>1036</v>
      </c>
      <c r="K21">
        <v>24</v>
      </c>
    </row>
    <row r="22" spans="2:11" x14ac:dyDescent="0.25">
      <c r="B22" t="s">
        <v>1076</v>
      </c>
      <c r="C22" t="s">
        <v>1077</v>
      </c>
      <c r="D22" t="s">
        <v>1033</v>
      </c>
      <c r="E22" t="s">
        <v>1075</v>
      </c>
      <c r="F22">
        <v>1722</v>
      </c>
      <c r="G22" t="s">
        <v>1035</v>
      </c>
      <c r="H22" t="b">
        <v>0</v>
      </c>
      <c r="I22" t="b">
        <v>0</v>
      </c>
      <c r="J22" t="s">
        <v>1036</v>
      </c>
      <c r="K22">
        <v>24</v>
      </c>
    </row>
    <row r="23" spans="2:11" x14ac:dyDescent="0.25">
      <c r="B23" t="s">
        <v>1078</v>
      </c>
      <c r="C23" t="s">
        <v>1074</v>
      </c>
      <c r="D23" t="s">
        <v>1033</v>
      </c>
      <c r="E23" t="s">
        <v>1075</v>
      </c>
      <c r="F23">
        <v>1722</v>
      </c>
      <c r="G23" t="s">
        <v>1035</v>
      </c>
      <c r="H23" t="b">
        <v>0</v>
      </c>
      <c r="I23" t="b">
        <v>0</v>
      </c>
      <c r="J23" t="s">
        <v>1036</v>
      </c>
      <c r="K23">
        <v>24</v>
      </c>
    </row>
    <row r="24" spans="2:11" x14ac:dyDescent="0.25">
      <c r="B24" t="s">
        <v>1079</v>
      </c>
      <c r="C24" t="s">
        <v>1077</v>
      </c>
      <c r="D24" t="s">
        <v>1033</v>
      </c>
      <c r="E24" t="s">
        <v>1075</v>
      </c>
      <c r="F24">
        <v>1722</v>
      </c>
      <c r="G24" t="s">
        <v>1035</v>
      </c>
      <c r="H24" t="b">
        <v>0</v>
      </c>
      <c r="I24" t="b">
        <v>0</v>
      </c>
      <c r="J24" t="s">
        <v>1036</v>
      </c>
      <c r="K24">
        <v>24</v>
      </c>
    </row>
    <row r="25" spans="2:11" x14ac:dyDescent="0.25">
      <c r="B25" t="s">
        <v>1080</v>
      </c>
      <c r="C25" t="s">
        <v>1081</v>
      </c>
      <c r="D25" t="s">
        <v>1047</v>
      </c>
      <c r="E25" t="s">
        <v>1027</v>
      </c>
      <c r="F25">
        <v>1905</v>
      </c>
      <c r="G25" t="s">
        <v>1082</v>
      </c>
      <c r="H25" t="b">
        <v>0</v>
      </c>
      <c r="I25" t="b">
        <v>0</v>
      </c>
      <c r="J25" t="s">
        <v>1044</v>
      </c>
      <c r="K25">
        <v>24</v>
      </c>
    </row>
    <row r="26" spans="2:11" x14ac:dyDescent="0.25">
      <c r="B26" t="s">
        <v>1083</v>
      </c>
      <c r="C26" t="s">
        <v>1084</v>
      </c>
      <c r="D26" t="s">
        <v>1033</v>
      </c>
      <c r="E26" t="s">
        <v>1027</v>
      </c>
      <c r="F26">
        <v>1722</v>
      </c>
      <c r="G26" t="s">
        <v>1035</v>
      </c>
      <c r="H26" t="b">
        <v>0</v>
      </c>
      <c r="I26" t="b">
        <v>0</v>
      </c>
      <c r="J26" t="s">
        <v>1036</v>
      </c>
      <c r="K26">
        <v>27</v>
      </c>
    </row>
    <row r="27" spans="2:11" x14ac:dyDescent="0.25">
      <c r="B27" t="s">
        <v>1085</v>
      </c>
      <c r="C27" t="s">
        <v>1086</v>
      </c>
      <c r="D27" t="s">
        <v>1033</v>
      </c>
      <c r="E27" t="s">
        <v>1027</v>
      </c>
      <c r="F27">
        <v>1722</v>
      </c>
      <c r="G27" t="s">
        <v>1035</v>
      </c>
      <c r="H27" t="b">
        <v>0</v>
      </c>
      <c r="I27" t="b">
        <v>0</v>
      </c>
      <c r="J27" t="s">
        <v>1036</v>
      </c>
      <c r="K27">
        <v>27</v>
      </c>
    </row>
    <row r="28" spans="2:11" x14ac:dyDescent="0.25">
      <c r="B28" t="s">
        <v>1087</v>
      </c>
      <c r="C28" t="s">
        <v>1025</v>
      </c>
      <c r="D28" t="s">
        <v>1026</v>
      </c>
      <c r="E28" t="s">
        <v>1027</v>
      </c>
      <c r="F28">
        <v>2114</v>
      </c>
      <c r="G28" t="s">
        <v>1029</v>
      </c>
      <c r="H28" t="b">
        <v>0</v>
      </c>
      <c r="I28" t="b">
        <v>0</v>
      </c>
      <c r="J28" t="s">
        <v>1030</v>
      </c>
      <c r="K28">
        <v>30</v>
      </c>
    </row>
    <row r="29" spans="2:11" x14ac:dyDescent="0.25">
      <c r="B29" t="s">
        <v>1088</v>
      </c>
      <c r="C29" t="s">
        <v>1089</v>
      </c>
      <c r="D29" t="s">
        <v>1026</v>
      </c>
      <c r="E29" t="s">
        <v>1027</v>
      </c>
      <c r="F29">
        <v>2114</v>
      </c>
      <c r="G29" t="s">
        <v>1029</v>
      </c>
      <c r="H29" t="b">
        <v>0</v>
      </c>
      <c r="I29" t="b">
        <v>0</v>
      </c>
      <c r="J29" t="s">
        <v>1030</v>
      </c>
      <c r="K29">
        <v>81</v>
      </c>
    </row>
    <row r="30" spans="2:11" x14ac:dyDescent="0.25">
      <c r="B30" t="s">
        <v>1090</v>
      </c>
      <c r="C30" t="s">
        <v>1025</v>
      </c>
      <c r="D30" t="s">
        <v>1026</v>
      </c>
      <c r="E30" t="s">
        <v>1027</v>
      </c>
      <c r="F30">
        <v>2114</v>
      </c>
      <c r="G30" t="s">
        <v>1029</v>
      </c>
      <c r="H30" t="b">
        <v>0</v>
      </c>
      <c r="I30" t="b">
        <v>0</v>
      </c>
      <c r="J30" t="s">
        <v>1030</v>
      </c>
      <c r="K30">
        <v>30</v>
      </c>
    </row>
    <row r="31" spans="2:11" x14ac:dyDescent="0.25">
      <c r="B31" t="s">
        <v>1091</v>
      </c>
      <c r="C31" t="s">
        <v>1092</v>
      </c>
      <c r="D31" t="s">
        <v>1093</v>
      </c>
      <c r="E31" t="s">
        <v>1027</v>
      </c>
      <c r="F31">
        <v>1730</v>
      </c>
      <c r="G31" t="s">
        <v>1095</v>
      </c>
      <c r="H31" t="b">
        <v>0</v>
      </c>
      <c r="I31" t="b">
        <v>0</v>
      </c>
      <c r="J31" t="s">
        <v>1044</v>
      </c>
      <c r="K31">
        <v>46</v>
      </c>
    </row>
    <row r="32" spans="2:11" x14ac:dyDescent="0.25">
      <c r="B32" t="s">
        <v>1045</v>
      </c>
      <c r="C32" t="s">
        <v>1046</v>
      </c>
      <c r="D32" t="s">
        <v>1047</v>
      </c>
      <c r="E32" t="s">
        <v>1027</v>
      </c>
      <c r="F32">
        <v>1905</v>
      </c>
      <c r="G32" t="s">
        <v>1049</v>
      </c>
      <c r="H32" t="b">
        <v>1</v>
      </c>
      <c r="I32" t="b">
        <v>1</v>
      </c>
      <c r="J32" t="s">
        <v>1044</v>
      </c>
      <c r="K32">
        <v>21</v>
      </c>
    </row>
    <row r="33" spans="2:11" x14ac:dyDescent="0.25">
      <c r="B33" t="s">
        <v>1096</v>
      </c>
      <c r="C33" t="s">
        <v>1097</v>
      </c>
      <c r="D33" t="s">
        <v>1047</v>
      </c>
      <c r="E33" t="s">
        <v>1027</v>
      </c>
      <c r="F33">
        <v>1905</v>
      </c>
      <c r="G33" t="s">
        <v>1098</v>
      </c>
      <c r="H33" t="b">
        <v>1</v>
      </c>
      <c r="I33" t="b">
        <v>1</v>
      </c>
      <c r="J33" t="s">
        <v>1044</v>
      </c>
      <c r="K33">
        <v>21</v>
      </c>
    </row>
    <row r="34" spans="2:11" x14ac:dyDescent="0.25">
      <c r="B34" t="s">
        <v>1099</v>
      </c>
      <c r="C34" t="s">
        <v>1100</v>
      </c>
      <c r="D34" t="s">
        <v>1047</v>
      </c>
      <c r="E34" t="s">
        <v>1027</v>
      </c>
      <c r="F34">
        <v>1905</v>
      </c>
      <c r="G34" t="s">
        <v>1049</v>
      </c>
      <c r="H34" t="b">
        <v>1</v>
      </c>
      <c r="I34" t="b">
        <v>1</v>
      </c>
      <c r="J34" t="s">
        <v>1044</v>
      </c>
      <c r="K34">
        <v>30</v>
      </c>
    </row>
    <row r="50" spans="2:17" x14ac:dyDescent="0.25">
      <c r="B50" t="s">
        <v>1101</v>
      </c>
      <c r="C50" t="s">
        <v>1102</v>
      </c>
      <c r="D50" t="s">
        <v>599</v>
      </c>
      <c r="E50" t="s">
        <v>1103</v>
      </c>
      <c r="F50" t="s">
        <v>1104</v>
      </c>
      <c r="G50" t="s">
        <v>1105</v>
      </c>
      <c r="H50" t="s">
        <v>1106</v>
      </c>
      <c r="I50" t="s">
        <v>1107</v>
      </c>
      <c r="J50" t="s">
        <v>1108</v>
      </c>
      <c r="K50" t="s">
        <v>1109</v>
      </c>
      <c r="L50" t="s">
        <v>126</v>
      </c>
      <c r="M50" t="s">
        <v>1110</v>
      </c>
      <c r="N50" t="s">
        <v>1111</v>
      </c>
      <c r="O50" t="s">
        <v>1112</v>
      </c>
      <c r="P50" t="s">
        <v>1113</v>
      </c>
      <c r="Q50" t="s">
        <v>1114</v>
      </c>
    </row>
    <row r="21509" spans="3:3" x14ac:dyDescent="0.25">
      <c r="C21509" s="36"/>
    </row>
    <row r="21511" spans="3:3" x14ac:dyDescent="0.25">
      <c r="C21511" s="36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EC37620-90F9-420F-81B4-768D45FCF74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RiskManagementMatrix</vt:lpstr>
      <vt:lpstr>ImpactCriticalityTable</vt:lpstr>
      <vt:lpstr>CriticalityToLocationPriority</vt:lpstr>
      <vt:lpstr>IsCritical</vt:lpstr>
      <vt:lpstr>LocationCriticality</vt:lpstr>
      <vt:lpstr>TestingData</vt:lpstr>
      <vt:lpstr>RuleSet</vt:lpstr>
      <vt:lpstr>TestTags</vt:lpstr>
      <vt:lpstr>TestDefaultCriticalities</vt:lpstr>
      <vt:lpstr>TestFailureCodeTemplate</vt:lpstr>
      <vt:lpstr>TestSystems</vt:lpstr>
      <vt:lpstr>TestDisciplines</vt:lpstr>
      <vt:lpstr>TestFullTags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Crooke</dc:creator>
  <cp:lastModifiedBy>Douglas Crooke</cp:lastModifiedBy>
  <dcterms:created xsi:type="dcterms:W3CDTF">2015-06-05T18:17:20Z</dcterms:created>
  <dcterms:modified xsi:type="dcterms:W3CDTF">2017-09-22T08:16:35Z</dcterms:modified>
</cp:coreProperties>
</file>