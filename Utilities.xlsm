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D:\D_Crooke\OneDrive - add energy group\CriticalityVBA\"/>
    </mc:Choice>
  </mc:AlternateContent>
  <xr:revisionPtr revIDLastSave="870" documentId="B75B6F1C0114B6FB052F3690DEF3008285E0AA21" xr6:coauthVersionLast="21" xr6:coauthVersionMax="21" xr10:uidLastSave="{01C46D49-5C0B-4A3E-A398-08C383B3F8D6}"/>
  <bookViews>
    <workbookView xWindow="2790" yWindow="0" windowWidth="20490" windowHeight="8115" activeTab="5" xr2:uid="{00000000-000D-0000-FFFF-FFFF00000000}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</sheet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M7" i="6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6" authorId="0" shapeId="0" xr:uid="{16C10EBD-0E0A-4E9F-899D-AC5A440F7771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 xr:uid="{FBA5ACA9-64EE-4C8A-A2FA-8F0965C3A752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 xr:uid="{8532B12C-E48D-402D-A39C-7B8F3A342FE9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 xr:uid="{CB959AC9-89C6-4937-AB2D-2B0814CD47D6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 xr:uid="{FF065D8C-741C-47F9-9D45-9C06DAC85DE0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N15" authorId="0" shapeId="0" xr:uid="{E58783AA-87A5-44FB-A527-1B8A338F987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 xr:uid="{C1C5175F-8CCF-460D-B5DB-43D8BD7DFC07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3" authorId="0" shapeId="0" xr:uid="{7280EAE5-6C05-4A9B-B932-51C3CFC6CEA7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 xr:uid="{AE69A627-8B35-4B00-86B4-2EDE3769409C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sharedStrings.xml><?xml version="1.0" encoding="utf-8"?>
<sst xmlns="http://schemas.openxmlformats.org/spreadsheetml/2006/main" count="330" uniqueCount="125">
  <si>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</si>
  <si>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</si>
  <si>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</si>
  <si>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</si>
  <si>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</si>
  <si>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</si>
  <si>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</si>
  <si>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</si>
  <si>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</si>
  <si>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</si>
  <si>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</si>
  <si>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</si>
  <si>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</si>
  <si>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</si>
  <si>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</si>
  <si>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</si>
  <si>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</si>
  <si>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</si>
  <si>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</si>
  <si>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</si>
  <si>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</si>
  <si>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</si>
  <si>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</si>
  <si>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</si>
  <si>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</si>
  <si>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</si>
  <si>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</si>
  <si>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</si>
  <si>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</si>
  <si>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</si>
  <si>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</si>
  <si>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</si>
  <si>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</si>
  <si>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</si>
  <si>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</si>
  <si>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</si>
  <si>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</si>
  <si>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</si>
  <si>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</si>
  <si>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</si>
  <si>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</si>
  <si>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Criticality If 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</si>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</sst>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</cellStyleXfs>
  <cellXfs count="43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</cellXfs>
  <cellStyles count="12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Input" xfId="4" builtinId="20"/>
    <cellStyle name="Neutral" xfId="3" builtinId="28"/>
    <cellStyle name="Normal" xfId="0" builtinId="0"/>
    <cellStyle name="Note" xfId="9" builtinId="10"/>
  </cellStyles>
  <dxfs count="40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iskManagementMatrix" displayName="RiskManagementMatrix" ref="B4:J12" totalsRowShown="0" headerRowDxfId="34" dataDxfId="33">
  <autoFilter ref="B4:J12" xr:uid="{00000000-0009-0000-0100-000001000000}"/>
  <tableColumns count="9">
    <tableColumn id="1" xr3:uid="{00000000-0010-0000-0000-000001000000}" name="Impact" dataDxfId="32" dataCellStyle="Bad"/>
    <tableColumn id="2" xr3:uid="{00000000-0010-0000-0000-000002000000}" name="1" dataDxfId="31"/>
    <tableColumn id="3" xr3:uid="{00000000-0010-0000-0000-000003000000}" name="2" dataDxfId="30">
      <calculatedColumnFormula>C5+1</calculatedColumnFormula>
    </tableColumn>
    <tableColumn id="4" xr3:uid="{00000000-0010-0000-0000-000004000000}" name="3" dataDxfId="29">
      <calculatedColumnFormula>D5+1</calculatedColumnFormula>
    </tableColumn>
    <tableColumn id="5" xr3:uid="{00000000-0010-0000-0000-000005000000}" name="4" dataDxfId="28">
      <calculatedColumnFormula>E5+1</calculatedColumnFormula>
    </tableColumn>
    <tableColumn id="6" xr3:uid="{00000000-0010-0000-0000-000006000000}" name="5" dataDxfId="27">
      <calculatedColumnFormula>F5+1</calculatedColumnFormula>
    </tableColumn>
    <tableColumn id="7" xr3:uid="{00000000-0010-0000-0000-000007000000}" name="6" dataDxfId="26">
      <calculatedColumnFormula>G5+1</calculatedColumnFormula>
    </tableColumn>
    <tableColumn id="8" xr3:uid="{00000000-0010-0000-0000-000008000000}" name="7" dataDxfId="25">
      <calculatedColumnFormula>H5+1</calculatedColumnFormula>
    </tableColumn>
    <tableColumn id="9" xr3:uid="{00000000-0010-0000-0000-000009000000}" name="8" dataDxfId="24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A5029D-00DB-48DA-A96F-B02178ABB4A0}" name="ImpacttoCriticality" displayName="ImpacttoCriticality" ref="D5:F13" totalsRowShown="0" headerRowDxfId="23" dataDxfId="22" headerRowCellStyle="Explanatory Text" dataCellStyle="Explanatory Text">
  <autoFilter ref="D5:F13" xr:uid="{789C33CF-5CE4-49B6-852D-FC707D2DC1C2}"/>
  <tableColumns count="3">
    <tableColumn id="1" xr3:uid="{156FDE15-AFB1-4A12-B1FF-176A3FC81F34}" name="Impact Level" dataDxfId="21" dataCellStyle="Normal"/>
    <tableColumn id="2" xr3:uid="{0B9AA606-9453-4CCC-B9E9-CF98012B8449}" name="Criticality Unspared" dataDxfId="20" dataCellStyle="Normal"/>
    <tableColumn id="3" xr3:uid="{E24B7BF7-7047-4903-BEE5-A2B8F2145249}" name="Criticality If Spared" dataDxfId="19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9D764B-998B-4644-8CBB-1D7E3760A3DD}" name="RawImpactToCriticality" displayName="RawImpactToCriticality" ref="A5:B18" totalsRowShown="0" tableBorderDxfId="18">
  <autoFilter ref="A5:B18" xr:uid="{CF66F86F-7A9A-490E-B8DA-1E614F346A33}"/>
  <tableColumns count="2">
    <tableColumn id="1" xr3:uid="{5C1451B6-CC01-4211-B6E4-5BD9BF3A3BBE}" name="Impact Level" dataDxfId="17" dataCellStyle="Accent6"/>
    <tableColumn id="2" xr3:uid="{3CBC28BD-2B16-46B5-8FBF-3358374F84D8}" name="Criticality Rating of Equipment" dataDxfId="16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165165-6062-4B03-BD1F-98A8E1AC068A}" name="RawCriticalityRatingToLevel" displayName="RawCriticalityRatingToLevel" ref="B6:C9" totalsRowShown="0" dataDxfId="12" headerRowCellStyle="Normal" dataCellStyle="Normal">
  <autoFilter ref="B6:C9" xr:uid="{EFF746D5-E255-4FED-93BB-C65E30B28AD0}"/>
  <tableColumns count="2">
    <tableColumn id="1" xr3:uid="{FAB37CEE-3ECC-4847-A3DD-506D0A998C19}" name="Criticality Rating" dataDxfId="11" dataCellStyle="Normal"/>
    <tableColumn id="2" xr3:uid="{C2D505BA-55B6-419F-B77A-A0E93F114E55}" name="Criticality Level" dataDxfId="10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37317B-053D-4C64-B448-67DD8DFB6AD8}" name="CriticalityRatingToLevel" displayName="CriticalityRatingToLevel" ref="E6:F16" totalsRowShown="0" headerRowDxfId="9" dataDxfId="8" tableBorderDxfId="7">
  <autoFilter ref="E6:F16" xr:uid="{1B3679AE-077D-42DD-A60D-39C9BC81303B}"/>
  <tableColumns count="2">
    <tableColumn id="1" xr3:uid="{41D2E822-C3E5-432F-9F6C-20569EF059F4}" name="Criticality Rating" dataDxfId="6"/>
    <tableColumn id="2" xr3:uid="{21DFE210-4734-431B-88CE-FBAF5CCCCFA5}" name="Criticality Level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1192A6-947E-4E0E-B9CD-A12E434A7ECB}" name="Table7" displayName="Table7" ref="A3:E7" totalsRowShown="0">
  <autoFilter ref="A3:E7" xr:uid="{7E2C7A5C-5B34-4231-ABA0-E59AE048F661}"/>
  <tableColumns count="5">
    <tableColumn id="1" xr3:uid="{F84D0015-F532-4D1A-ADEB-56FEB4EA38D5}" name="Risk Category"/>
    <tableColumn id="2" xr3:uid="{565C0772-34AF-4B61-AB09-47F7302F4C9B}" name="Impact Threshold"/>
    <tableColumn id="3" xr3:uid="{A08C3F0A-3ECC-43EB-83FE-8408817AA19B}" name="Maximo threshold" dataDxfId="4"/>
    <tableColumn id="4" xr3:uid="{6FA1947E-3580-4182-A8B8-FD887C900F6E}" name="Maximo Criticality type"/>
    <tableColumn id="5" xr3:uid="{FDEFD1EB-F5D4-425F-B01D-83E55B3B6DF0}" name="SCE Threshold" dataDxfId="3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5612FA-1A7F-4A27-BE84-94DEE65A087F}" name="Table8" displayName="Table8" ref="B2:G6" totalsRowShown="0">
  <autoFilter ref="B2:G6" xr:uid="{A75C9E0A-8E2C-472A-A1B7-D547C63E84A2}"/>
  <tableColumns count="6">
    <tableColumn id="1" xr3:uid="{5D73EDCD-1F1F-4045-81DC-062228D10EA3}" name="Impact"/>
    <tableColumn id="2" xr3:uid="{22986F2A-6F21-4314-8B15-93077F63BCC6}" name="3"/>
    <tableColumn id="3" xr3:uid="{79524D23-B411-4158-9B89-9786499751DF}" name="4"/>
    <tableColumn id="4" xr3:uid="{A8E96F04-44E1-48EA-A0C7-F222889A219E}" name="5"/>
    <tableColumn id="5" xr3:uid="{3A72B62A-AD89-4E2D-BF13-3C77CE8A152A}" name="6"/>
    <tableColumn id="6" xr3:uid="{C06BF903-542C-424D-8192-AFBB068E9113}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2BC8FCA-588F-48A5-BAFE-BDBF286B8410}" name="TagMinimal" displayName="TagMinimal" ref="A1:B3" totalsRowShown="0">
  <autoFilter ref="A1:B3" xr:uid="{51E9356D-C842-467A-8F6B-C461AB35431F}"/>
  <tableColumns count="2">
    <tableColumn id="1" xr3:uid="{C05451D7-A906-45AF-B168-DED8B4EC3FBD}" name="TagID"/>
    <tableColumn id="2" xr3:uid="{261C29FE-E3DF-4D74-9745-80651A2E8B4D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X36"/>
  <sheetViews>
    <sheetView workbookViewId="0">
      <selection activeCell="B14" sqref="B14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73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36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t="str">
        <f>IF(P7=O7,"pass","fail")</f>
        <v>pass</v>
      </c>
      <c r="S7" s="7">
        <f>MATCH(M7,{"H","G","F","E","D","C","B","A"},0)+N7-1</f>
        <v>15</v>
      </c>
      <c r="T7">
        <v>15</v>
      </c>
      <c r="U7" t="str">
        <f>IF(T7=S7,"pass","fail")</f>
        <v>pass</v>
      </c>
      <c r="W7" s="12">
        <f>VLOOKUP(M7,RiskManagementMatrix[],N7+1,)</f>
        <v>15</v>
      </c>
      <c r="X7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36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t="str">
        <f>IF(P8=O8,"pass","fail")</f>
        <v>pass</v>
      </c>
      <c r="S8" s="7">
        <f>MATCH(M8,{"H","G","F","E","D","C","B","A"},0)+N8-1</f>
        <v>3</v>
      </c>
      <c r="T8">
        <v>3</v>
      </c>
      <c r="U8" t="str">
        <f>IF(T8=S8,"pass","fail")</f>
        <v>pass</v>
      </c>
      <c r="W8" s="12">
        <f>VLOOKUP(M8,RiskManagementMatrix[],N8+1,)</f>
        <v>3</v>
      </c>
      <c r="X8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36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t="str">
        <f t="shared" ref="U9:U12" si="9">IF(T9=S9,"pass","fail")</f>
        <v>pass</v>
      </c>
      <c r="W9" s="12">
        <f>VLOOKUP(M9,RiskManagementMatrix[],N9+1,)</f>
        <v>8</v>
      </c>
      <c r="X9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36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t="str">
        <f t="shared" si="8"/>
        <v>pass</v>
      </c>
      <c r="S10" s="7">
        <f>MATCH(M10,{"H","G","F","E","D","C","B","A"},0)+N10-1</f>
        <v>1</v>
      </c>
      <c r="T10">
        <v>1</v>
      </c>
      <c r="U10" t="str">
        <f t="shared" si="9"/>
        <v>pass</v>
      </c>
      <c r="W10" s="12">
        <f>VLOOKUP(M10,RiskManagementMatrix[],N10+1,)</f>
        <v>1</v>
      </c>
      <c r="X10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36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t="str">
        <f t="shared" si="8"/>
        <v>pass</v>
      </c>
      <c r="S11" s="7">
        <f>MATCH(M11,{"H","G","F","E","D","C","B","A"},0)+N11-1</f>
        <v>8</v>
      </c>
      <c r="T11">
        <v>8</v>
      </c>
      <c r="U11" t="str">
        <f t="shared" si="9"/>
        <v>pass</v>
      </c>
      <c r="W11" s="12">
        <f>VLOOKUP(M11,RiskManagementMatrix[],N11+1,)</f>
        <v>8</v>
      </c>
      <c r="X1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36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t="str">
        <f>IF(P12=O12,"pass","fail")</f>
        <v>pass</v>
      </c>
      <c r="S12" s="7">
        <f>MATCH(M12,{"H","G","F","E","D","C","B","A"},0)+N12-1</f>
        <v>8</v>
      </c>
      <c r="T12">
        <v>8</v>
      </c>
      <c r="U12" t="str">
        <f t="shared" si="9"/>
        <v>pass</v>
      </c>
      <c r="W12" s="12">
        <f>VLOOKUP(M12,RiskManagementMatrix[],N12+1,)</f>
        <v>8</v>
      </c>
      <c r="X12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L15" s="36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t="str">
        <f>IF(ISNA(O15), "OK", "error")</f>
        <v>OK</v>
      </c>
      <c r="S15" s="7">
        <f>MATCH(M15,{"H","G","F","E","D","C","B","A"},0)+N15-1</f>
        <v>16</v>
      </c>
      <c r="T15" t="e">
        <v>#N/A</v>
      </c>
      <c r="U15" t="str">
        <f>IF(ISNA(S15), "OK", "error")</f>
        <v>error</v>
      </c>
      <c r="W15" s="12" t="e">
        <f>VLOOKUP(M15,RiskManagementMatrix[],N15+1,)</f>
        <v>#REF!</v>
      </c>
      <c r="X15" t="str">
        <f>IF(ISNA(W15), "OK", "error")</f>
        <v>error</v>
      </c>
    </row>
    <row r="16" spans="2:24" ht="16.5" thickTop="1" thickBot="1" x14ac:dyDescent="0.3">
      <c r="L16" s="36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t="str">
        <f t="shared" ref="U16:U24" si="14">IF(ISNA(S16), "OK", "error")</f>
        <v>OK</v>
      </c>
      <c r="W16" s="12" t="e">
        <f>VLOOKUP(M16,RiskManagementMatrix[],N16+1,)</f>
        <v>#N/A</v>
      </c>
      <c r="X16" t="str">
        <f t="shared" ref="X16:X24" si="15">IF(ISNA(W16), "OK", "error")</f>
        <v>OK</v>
      </c>
    </row>
    <row r="17" spans="4:24" ht="16.5" thickTop="1" thickBot="1" x14ac:dyDescent="0.3">
      <c r="L17" s="36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t="str">
        <f t="shared" si="13"/>
        <v>OK</v>
      </c>
      <c r="S17" s="7">
        <f>MATCH(M17,{"H","G","F","E","D","C","B","A"},0)+N17-1</f>
        <v>1</v>
      </c>
      <c r="T17" t="e">
        <v>#N/A</v>
      </c>
      <c r="U17" t="str">
        <f t="shared" si="14"/>
        <v>error</v>
      </c>
      <c r="W17" s="12" t="str">
        <f>VLOOKUP(M17,RiskManagementMatrix[],N17+1,)</f>
        <v>G</v>
      </c>
      <c r="X17" t="str">
        <f t="shared" si="15"/>
        <v>error</v>
      </c>
    </row>
    <row r="18" spans="4:24" ht="16.5" thickTop="1" thickBot="1" x14ac:dyDescent="0.3">
      <c r="L18" s="36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t="str">
        <f t="shared" si="13"/>
        <v>OK</v>
      </c>
      <c r="S18" s="7" t="e">
        <f>MATCH(M18,{"H","G","F","E","D","C","B","A"},0)+N18-1</f>
        <v>#N/A</v>
      </c>
      <c r="T18" t="e">
        <v>#N/A</v>
      </c>
      <c r="U18" t="str">
        <f t="shared" si="14"/>
        <v>OK</v>
      </c>
      <c r="W18" s="12" t="e">
        <f>VLOOKUP(M18,RiskManagementMatrix[],N18+1,)</f>
        <v>#N/A</v>
      </c>
      <c r="X18" t="str">
        <f t="shared" si="15"/>
        <v>OK</v>
      </c>
    </row>
    <row r="19" spans="4:24" ht="16.5" thickTop="1" thickBot="1" x14ac:dyDescent="0.3">
      <c r="L19" s="36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t="str">
        <f t="shared" si="13"/>
        <v>OK</v>
      </c>
      <c r="S19" s="7" t="e">
        <f>MATCH(M19,{"H","G","F","E","D","C","B","A"},0)+N19-1</f>
        <v>#N/A</v>
      </c>
      <c r="T19" t="e">
        <v>#N/A</v>
      </c>
      <c r="U19" t="str">
        <f t="shared" si="14"/>
        <v>OK</v>
      </c>
      <c r="W19" s="12" t="e">
        <f>VLOOKUP(M19,RiskManagementMatrix[],N19+1,)</f>
        <v>#VALUE!</v>
      </c>
      <c r="X19" t="str">
        <f t="shared" si="15"/>
        <v>error</v>
      </c>
    </row>
    <row r="20" spans="4:24" ht="16.5" thickTop="1" thickBot="1" x14ac:dyDescent="0.3">
      <c r="L20" s="36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t="str">
        <f t="shared" si="13"/>
        <v>OK</v>
      </c>
      <c r="S20" s="7" t="e">
        <f>MATCH(M20,{"H","G","F","E","D","C","B","A"},0)+N20-1</f>
        <v>#N/A</v>
      </c>
      <c r="T20" t="e">
        <v>#N/A</v>
      </c>
      <c r="U20" t="str">
        <f t="shared" si="14"/>
        <v>OK</v>
      </c>
      <c r="W20" s="12" t="e">
        <f>VLOOKUP(M20,RiskManagementMatrix[],N20+1,)</f>
        <v>#N/A</v>
      </c>
      <c r="X20" t="str">
        <f t="shared" si="15"/>
        <v>OK</v>
      </c>
    </row>
    <row r="21" spans="4:24" ht="16.5" thickTop="1" thickBot="1" x14ac:dyDescent="0.3">
      <c r="L21" s="36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t="str">
        <f t="shared" si="13"/>
        <v>OK</v>
      </c>
      <c r="S21" s="7" t="e">
        <f>MATCH(M21,{"H","G","F","E","D","C","B","A"},0)+N21-1</f>
        <v>#N/A</v>
      </c>
      <c r="T21" t="e">
        <v>#N/A</v>
      </c>
      <c r="U21" t="str">
        <f t="shared" si="14"/>
        <v>OK</v>
      </c>
      <c r="W21" s="12" t="e">
        <f>VLOOKUP(M21,RiskManagementMatrix[],N21+1,)</f>
        <v>#N/A</v>
      </c>
      <c r="X21" t="str">
        <f t="shared" si="15"/>
        <v>OK</v>
      </c>
    </row>
    <row r="22" spans="4:24" ht="16.5" thickTop="1" thickBot="1" x14ac:dyDescent="0.3">
      <c r="L22" s="36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t="str">
        <f t="shared" si="13"/>
        <v>OK</v>
      </c>
      <c r="S22" s="7" t="e">
        <f>MATCH(M22,{"H","G","F","E","D","C","B","A"},0)+N22-1</f>
        <v>#N/A</v>
      </c>
      <c r="T22" t="e">
        <v>#N/A</v>
      </c>
      <c r="U22" t="str">
        <f t="shared" si="14"/>
        <v>OK</v>
      </c>
      <c r="W22" s="12" t="e">
        <f>VLOOKUP(M22,RiskManagementMatrix[],N22+1,)</f>
        <v>#N/A</v>
      </c>
      <c r="X22" t="str">
        <f t="shared" si="15"/>
        <v>OK</v>
      </c>
    </row>
    <row r="23" spans="4:24" ht="16.5" thickTop="1" thickBot="1" x14ac:dyDescent="0.3">
      <c r="L23" s="36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t="str">
        <f t="shared" si="13"/>
        <v>OK</v>
      </c>
      <c r="S23" s="7" t="e">
        <f>MATCH(M23,{"H","G","F","E","D","C","B","A"},0)+N23-1</f>
        <v>#N/A</v>
      </c>
      <c r="T23" t="e">
        <v>#N/A</v>
      </c>
      <c r="U23" t="str">
        <f t="shared" si="14"/>
        <v>OK</v>
      </c>
      <c r="W23" s="12" t="e">
        <f>VLOOKUP(M23,RiskManagementMatrix[],N23+1,)</f>
        <v>#N/A</v>
      </c>
      <c r="X23" t="str">
        <f t="shared" si="15"/>
        <v>OK</v>
      </c>
    </row>
    <row r="24" spans="4:24" ht="16.5" thickTop="1" thickBot="1" x14ac:dyDescent="0.3">
      <c r="L24" s="36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t="str">
        <f t="shared" si="13"/>
        <v>OK</v>
      </c>
      <c r="S24" s="7" t="e">
        <f>MATCH(M24,{"H","G","F","E","D","C","B","A"},0)+N24-1</f>
        <v>#N/A</v>
      </c>
      <c r="T24" t="e">
        <v>#N/A</v>
      </c>
      <c r="U24" t="str">
        <f t="shared" si="14"/>
        <v>OK</v>
      </c>
      <c r="W24" s="12" t="e">
        <f>VLOOKUP(M24,RiskManagementMatrix[],N24+1,)</f>
        <v>#N/A</v>
      </c>
      <c r="X24" t="str">
        <f t="shared" si="15"/>
        <v>OK</v>
      </c>
    </row>
    <row r="25" spans="4:24" ht="15.75" thickTop="1" x14ac:dyDescent="0.25"/>
    <row r="29" spans="4:24" x14ac:dyDescent="0.25">
      <c r="D29" s="2"/>
      <c r="E29" s="2"/>
      <c r="F29" s="2"/>
      <c r="G29" s="2"/>
      <c r="H29" s="2"/>
      <c r="I29" s="2"/>
      <c r="J29" s="2"/>
    </row>
    <row r="30" spans="4:24" x14ac:dyDescent="0.25">
      <c r="D30" s="2"/>
      <c r="E30" s="2"/>
      <c r="F30" s="2"/>
      <c r="G30" s="2"/>
      <c r="H30" s="2"/>
      <c r="I30" s="2"/>
      <c r="J30" s="2"/>
    </row>
    <row r="31" spans="4:24" x14ac:dyDescent="0.25">
      <c r="D31" s="2"/>
      <c r="E31" s="2"/>
      <c r="F31" s="2"/>
      <c r="G31" s="2"/>
      <c r="H31" s="2"/>
      <c r="I31" s="2"/>
      <c r="J31" s="2"/>
    </row>
    <row r="32" spans="4:24" x14ac:dyDescent="0.25">
      <c r="D32" s="2"/>
      <c r="E32" s="2"/>
      <c r="F32" s="2"/>
      <c r="G32" s="2"/>
      <c r="H32" s="2"/>
      <c r="I32" s="2"/>
      <c r="J32" s="2"/>
    </row>
    <row r="33" spans="4:10" x14ac:dyDescent="0.25">
      <c r="D33" s="2"/>
      <c r="E33" s="2"/>
      <c r="F33" s="2"/>
      <c r="G33" s="2"/>
      <c r="H33" s="2"/>
      <c r="I33" s="2"/>
      <c r="J33" s="2"/>
    </row>
    <row r="34" spans="4:10" x14ac:dyDescent="0.25">
      <c r="D34" s="2"/>
      <c r="E34" s="2"/>
      <c r="F34" s="2"/>
      <c r="G34" s="2"/>
      <c r="H34" s="2"/>
      <c r="I34" s="2"/>
      <c r="J34" s="2"/>
    </row>
    <row r="35" spans="4:10" x14ac:dyDescent="0.25">
      <c r="D35" s="2"/>
      <c r="E35" s="2"/>
      <c r="F35" s="2"/>
      <c r="G35" s="2"/>
      <c r="H35" s="2"/>
      <c r="I35" s="2"/>
      <c r="J35" s="2"/>
    </row>
    <row r="36" spans="4:10" x14ac:dyDescent="0.25">
      <c r="D36" s="2"/>
      <c r="E36" s="2"/>
      <c r="F36" s="2"/>
      <c r="G36" s="2"/>
      <c r="H36" s="2"/>
      <c r="I36" s="2"/>
      <c r="J36" s="2"/>
    </row>
  </sheetData>
  <mergeCells count="2">
    <mergeCell ref="L7:L12"/>
    <mergeCell ref="L15:L24"/>
  </mergeCells>
  <conditionalFormatting sqref="C5:J12 D29:J36">
    <cfRule type="expression" dxfId="39" priority="6">
      <formula>AND(C5&gt;9,ROW(C5)-ROW(C$5)=3)</formula>
    </cfRule>
    <cfRule type="expression" dxfId="38" priority="7">
      <formula>AND((C5&gt;8),ROW(C5)-ROW(C$5)&lt;3)</formula>
    </cfRule>
    <cfRule type="expression" dxfId="37" priority="8">
      <formula>AND(ROW(C5)-ROW($C$5)&gt;4,C5&gt;6)</formula>
    </cfRule>
    <cfRule type="expression" dxfId="36" priority="10">
      <formula>AND(C5&gt;6,ROW(C5)-ROW(C$5)&lt;5)</formula>
    </cfRule>
    <cfRule type="expression" dxfId="35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28F21-BA51-4CD0-9E6E-F37704202AEC}">
  <sheetPr codeName="Sheet2"/>
  <dimension ref="A1:T29"/>
  <sheetViews>
    <sheetView workbookViewId="0">
      <selection activeCell="I3" sqref="I3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44</v>
      </c>
      <c r="D1" t="s">
        <v>43</v>
      </c>
      <c r="I1" s="20" t="s">
        <v>76</v>
      </c>
      <c r="J1" s="20"/>
      <c r="K1" s="20"/>
      <c r="O1" s="20" t="s">
        <v>54</v>
      </c>
      <c r="P1" s="20"/>
      <c r="R1" s="23" t="s">
        <v>63</v>
      </c>
      <c r="S1" s="23"/>
      <c r="T1" s="23"/>
    </row>
    <row r="2" spans="1:20" x14ac:dyDescent="0.25">
      <c r="I2" s="17" t="s">
        <v>77</v>
      </c>
      <c r="O2" s="17" t="s">
        <v>78</v>
      </c>
      <c r="R2" s="17" t="s">
        <v>79</v>
      </c>
    </row>
    <row r="4" spans="1:20" ht="15.75" thickBot="1" x14ac:dyDescent="0.3">
      <c r="I4" s="17" t="s">
        <v>80</v>
      </c>
    </row>
    <row r="5" spans="1:20" ht="16.5" thickTop="1" thickBot="1" x14ac:dyDescent="0.3">
      <c r="A5" s="14" t="s">
        <v>42</v>
      </c>
      <c r="B5" s="15" t="s">
        <v>45</v>
      </c>
      <c r="D5" s="2" t="s">
        <v>42</v>
      </c>
      <c r="E5" s="2" t="s">
        <v>40</v>
      </c>
      <c r="F5" s="2" t="s">
        <v>41</v>
      </c>
      <c r="G5" s="2"/>
      <c r="I5" s="28" t="s">
        <v>46</v>
      </c>
      <c r="J5" s="28"/>
      <c r="K5" s="29" t="s">
        <v>48</v>
      </c>
      <c r="L5" s="30" t="s">
        <v>18</v>
      </c>
      <c r="O5" s="29" t="s">
        <v>48</v>
      </c>
      <c r="P5" s="1" t="s">
        <v>55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47</v>
      </c>
      <c r="K6" s="30"/>
      <c r="L6" s="30"/>
      <c r="R6" t="s">
        <v>62</v>
      </c>
      <c r="S6" t="s">
        <v>61</v>
      </c>
      <c r="T6" t="s">
        <v>64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37" t="s">
        <v>58</v>
      </c>
      <c r="I7" s="6" t="s">
        <v>0</v>
      </c>
      <c r="J7" s="4">
        <v>1</v>
      </c>
      <c r="K7" s="7">
        <f>INDEX(ImpacttoCriticality[[Criticality Unspared]:[Criticality If Spared]],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38"/>
      <c r="I8" s="6" t="s">
        <v>0</v>
      </c>
      <c r="J8" s="4" t="s">
        <v>49</v>
      </c>
      <c r="K8" s="7">
        <f>INDEX(ImpacttoCriticality[[Criticality Unspared]:[Criticality If Spared]],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38"/>
      <c r="I9" s="6" t="s">
        <v>0</v>
      </c>
      <c r="J9" s="4" t="s">
        <v>50</v>
      </c>
      <c r="K9" s="7">
        <f>INDEX(ImpacttoCriticality[[Criticality Unspared]:[Criticality If Spared]],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38"/>
      <c r="I10" s="6" t="s">
        <v>3</v>
      </c>
      <c r="J10" s="4"/>
      <c r="K10" s="7">
        <f>INDEX(ImpacttoCriticality[[Criticality Unspared]:[Criticality If Spared]],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38"/>
      <c r="I11" s="6" t="s">
        <v>3</v>
      </c>
      <c r="J11" s="4" t="s">
        <v>49</v>
      </c>
      <c r="K11" s="7">
        <f>INDEX(ImpacttoCriticality[[Criticality Unspared]:[Criticality If Spared]],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38"/>
      <c r="I12" s="6" t="s">
        <v>3</v>
      </c>
      <c r="J12" s="4" t="s">
        <v>60</v>
      </c>
      <c r="K12" s="7">
        <f>INDEX(ImpacttoCriticality[[Criticality Unspared]:[Criticality If Spared]],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38"/>
      <c r="I13" s="6" t="s">
        <v>5</v>
      </c>
      <c r="J13" s="4" t="str">
        <f>" "</f>
        <v xml:space="preserve"> </v>
      </c>
      <c r="K13" s="7">
        <f>INDEX(ImpacttoCriticality[[Criticality Unspared]:[Criticality If Spared]],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38"/>
      <c r="I14" s="6" t="s">
        <v>5</v>
      </c>
      <c r="J14" s="4" t="s">
        <v>51</v>
      </c>
      <c r="K14" s="7">
        <f>INDEX(ImpacttoCriticality[[Criticality Unspared]:[Criticality If Spared]],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38"/>
      <c r="I15" s="6" t="s">
        <v>5</v>
      </c>
      <c r="J15" s="4">
        <v>0</v>
      </c>
      <c r="K15" s="7">
        <f>INDEX(ImpacttoCriticality[[Criticality Unspared]:[Criticality If Spared]],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38"/>
      <c r="I16" s="6" t="s">
        <v>5</v>
      </c>
      <c r="J16" s="4">
        <v>1</v>
      </c>
      <c r="K16" s="7">
        <f>INDEX(ImpacttoCriticality[[Criticality Unspared]:[Criticality If Spared]],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38"/>
      <c r="I17" s="6" t="s">
        <v>5</v>
      </c>
      <c r="J17" s="4" t="b">
        <v>1</v>
      </c>
      <c r="K17" s="7">
        <f>INDEX(ImpacttoCriticality[[Criticality Unspared]:[Criticality If Spared]],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38"/>
      <c r="I18" s="6" t="s">
        <v>59</v>
      </c>
      <c r="J18" s="4"/>
      <c r="K18" s="7">
        <f>INDEX(ImpacttoCriticality[[Criticality Unspared]:[Criticality If Spared]],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38"/>
      <c r="I19" s="6" t="s">
        <v>7</v>
      </c>
      <c r="J19" s="4" t="s">
        <v>51</v>
      </c>
      <c r="K19" s="7">
        <f>INDEX(ImpacttoCriticality[[Criticality Unspared]:[Criticality If Spared]],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39"/>
      <c r="I20" s="6" t="s">
        <v>7</v>
      </c>
      <c r="J20" s="4" t="b">
        <v>0</v>
      </c>
      <c r="K20" s="7">
        <f>INDEX(ImpacttoCriticality[[Criticality Unspared]:[Criticality If Spared]],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36" t="s">
        <v>52</v>
      </c>
      <c r="I22" s="6" t="s">
        <v>25</v>
      </c>
      <c r="J22" s="4">
        <v>2</v>
      </c>
      <c r="K22" s="7" t="e">
        <f>INDEX(ImpacttoCriticality[[Criticality Unspared]:[Criticality If Spared]],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36"/>
      <c r="I23" s="6" t="s">
        <v>25</v>
      </c>
      <c r="J23" s="4"/>
      <c r="K23" s="7" t="e">
        <f>INDEX(ImpacttoCriticality[[Criticality Unspared]:[Criticality If Spared]],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36"/>
      <c r="I24" s="6" t="s">
        <v>25</v>
      </c>
      <c r="J24" s="4">
        <v>1</v>
      </c>
      <c r="K24" s="7" t="e">
        <f>INDEX(ImpacttoCriticality[[Criticality Unspared]:[Criticality If Spared]],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36"/>
      <c r="I25" s="6" t="s">
        <v>56</v>
      </c>
      <c r="J25" s="4">
        <v>1</v>
      </c>
      <c r="K25" s="7" t="e">
        <f>INDEX(ImpacttoCriticality[[Criticality Unspared]:[Criticality If Spared]],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36"/>
      <c r="I26" s="6" t="s">
        <v>57</v>
      </c>
      <c r="J26" s="4">
        <v>1</v>
      </c>
      <c r="K26" s="7" t="e">
        <f>INDEX(ImpacttoCriticality[[Criticality Unspared]:[Criticality If Spared]],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36"/>
      <c r="I27" s="6">
        <v>1</v>
      </c>
      <c r="J27" s="4"/>
      <c r="K27" s="7" t="e">
        <f>INDEX(ImpacttoCriticality[[Criticality Unspared]:[Criticality If Spared]],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36"/>
      <c r="I28" s="6" t="str">
        <f>" "</f>
        <v xml:space="preserve"> </v>
      </c>
      <c r="J28" s="4" t="s">
        <v>51</v>
      </c>
      <c r="K28" s="7" t="e">
        <f>INDEX(ImpacttoCriticality[[Criticality Unspared]:[Criticality If Spared]],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D4F6-C977-4E1F-81CB-1EDFE38D2794}">
  <sheetPr codeName="Sheet3"/>
  <dimension ref="B1:R23"/>
  <sheetViews>
    <sheetView workbookViewId="0">
      <selection activeCell="Q1" sqref="Q1:Q2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53</v>
      </c>
      <c r="J1" s="20"/>
      <c r="K1" s="20"/>
      <c r="L1" s="20"/>
      <c r="N1" s="19" t="s">
        <v>75</v>
      </c>
      <c r="O1" s="19"/>
      <c r="Q1" s="20" t="s">
        <v>75</v>
      </c>
    </row>
    <row r="2" spans="2:18" x14ac:dyDescent="0.25">
      <c r="I2" s="17" t="s">
        <v>77</v>
      </c>
      <c r="N2" s="17" t="s">
        <v>78</v>
      </c>
      <c r="Q2" s="17" t="s">
        <v>78</v>
      </c>
    </row>
    <row r="4" spans="2:18" x14ac:dyDescent="0.25">
      <c r="I4" s="17" t="s">
        <v>80</v>
      </c>
    </row>
    <row r="5" spans="2:18" x14ac:dyDescent="0.25">
      <c r="I5" t="s">
        <v>46</v>
      </c>
    </row>
    <row r="6" spans="2:18" ht="15.75" thickBot="1" x14ac:dyDescent="0.3">
      <c r="B6" t="s">
        <v>65</v>
      </c>
      <c r="C6" t="s">
        <v>66</v>
      </c>
      <c r="E6" s="32" t="s">
        <v>65</v>
      </c>
      <c r="F6" s="27" t="s">
        <v>66</v>
      </c>
      <c r="I6" t="s">
        <v>74</v>
      </c>
      <c r="J6" t="s">
        <v>48</v>
      </c>
      <c r="K6" t="s">
        <v>18</v>
      </c>
    </row>
    <row r="7" spans="2:18" ht="16.5" customHeight="1" thickTop="1" thickBot="1" x14ac:dyDescent="0.3">
      <c r="B7" s="2" t="s">
        <v>67</v>
      </c>
      <c r="C7" s="24" t="s">
        <v>70</v>
      </c>
      <c r="E7" s="2">
        <v>10</v>
      </c>
      <c r="F7" s="2" t="s">
        <v>70</v>
      </c>
      <c r="H7" s="40" t="s">
        <v>58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70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68</v>
      </c>
      <c r="C8" s="25" t="s">
        <v>71</v>
      </c>
      <c r="E8" s="2">
        <v>9</v>
      </c>
      <c r="F8" s="2" t="s">
        <v>70</v>
      </c>
      <c r="H8" s="40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70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69</v>
      </c>
      <c r="C9" s="26" t="s">
        <v>72</v>
      </c>
      <c r="E9" s="2">
        <v>8</v>
      </c>
      <c r="F9" s="2" t="s">
        <v>70</v>
      </c>
      <c r="H9" s="40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71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71</v>
      </c>
      <c r="H10" s="40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71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71</v>
      </c>
      <c r="H11" s="40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72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71</v>
      </c>
      <c r="H12" s="40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72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71</v>
      </c>
    </row>
    <row r="14" spans="2:18" ht="15.75" thickBot="1" x14ac:dyDescent="0.3">
      <c r="E14" s="2">
        <v>3</v>
      </c>
      <c r="F14" s="2" t="s">
        <v>72</v>
      </c>
    </row>
    <row r="15" spans="2:18" ht="16.5" thickTop="1" thickBot="1" x14ac:dyDescent="0.3">
      <c r="E15" s="2">
        <v>2</v>
      </c>
      <c r="F15" s="2" t="s">
        <v>72</v>
      </c>
      <c r="H15" s="40" t="s">
        <v>81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72</v>
      </c>
      <c r="H16" s="40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40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40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40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40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40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40"/>
      <c r="I22" s="31" t="s">
        <v>82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15" priority="1" operator="equal">
      <formula>"Low"</formula>
    </cfRule>
    <cfRule type="cellIs" dxfId="14" priority="2" operator="equal">
      <formula>"High"</formula>
    </cfRule>
    <cfRule type="cellIs" dxfId="13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EB3A2-FBB1-4822-BABD-86F1197F5797}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83</v>
      </c>
      <c r="H1" s="19" t="s">
        <v>120</v>
      </c>
      <c r="I1" s="19"/>
      <c r="J1" s="19"/>
      <c r="K1" s="19"/>
      <c r="L1" s="19"/>
    </row>
    <row r="2" spans="1:16" ht="15.75" thickTop="1" x14ac:dyDescent="0.25">
      <c r="H2" s="17" t="s">
        <v>121</v>
      </c>
    </row>
    <row r="3" spans="1:16" x14ac:dyDescent="0.25">
      <c r="A3" t="s">
        <v>84</v>
      </c>
      <c r="B3" t="s">
        <v>85</v>
      </c>
      <c r="C3" t="s">
        <v>92</v>
      </c>
      <c r="D3" t="s">
        <v>96</v>
      </c>
      <c r="E3" s="18" t="s">
        <v>97</v>
      </c>
      <c r="H3" s="17" t="s">
        <v>123</v>
      </c>
    </row>
    <row r="4" spans="1:16" x14ac:dyDescent="0.25">
      <c r="A4" t="s">
        <v>86</v>
      </c>
      <c r="B4" t="s">
        <v>90</v>
      </c>
      <c r="C4" s="2">
        <v>7</v>
      </c>
      <c r="D4" t="s">
        <v>86</v>
      </c>
    </row>
    <row r="5" spans="1:16" x14ac:dyDescent="0.25">
      <c r="A5" t="s">
        <v>87</v>
      </c>
      <c r="B5" t="s">
        <v>91</v>
      </c>
      <c r="C5" s="2">
        <v>9</v>
      </c>
      <c r="D5" t="s">
        <v>93</v>
      </c>
      <c r="H5" t="s">
        <v>46</v>
      </c>
      <c r="I5" s="17" t="s">
        <v>119</v>
      </c>
    </row>
    <row r="6" spans="1:16" ht="15.75" thickBot="1" x14ac:dyDescent="0.3">
      <c r="A6" t="s">
        <v>88</v>
      </c>
      <c r="B6" t="s">
        <v>90</v>
      </c>
      <c r="C6" s="2">
        <v>7</v>
      </c>
      <c r="D6" t="s">
        <v>94</v>
      </c>
      <c r="E6" s="18" t="s">
        <v>91</v>
      </c>
      <c r="H6" t="s">
        <v>112</v>
      </c>
      <c r="I6" t="s">
        <v>113</v>
      </c>
      <c r="J6" t="s">
        <v>114</v>
      </c>
      <c r="K6" t="s">
        <v>115</v>
      </c>
      <c r="L6" t="s">
        <v>118</v>
      </c>
      <c r="M6" t="s">
        <v>18</v>
      </c>
      <c r="N6" t="s">
        <v>116</v>
      </c>
    </row>
    <row r="7" spans="1:16" ht="16.5" thickTop="1" thickBot="1" x14ac:dyDescent="0.3">
      <c r="A7" t="s">
        <v>89</v>
      </c>
      <c r="B7" t="s">
        <v>91</v>
      </c>
      <c r="C7" s="2">
        <v>9</v>
      </c>
      <c r="D7" t="s">
        <v>95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117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111</v>
      </c>
      <c r="I18" s="35" t="s">
        <v>111</v>
      </c>
      <c r="J18" s="35" t="s">
        <v>111</v>
      </c>
      <c r="K18" s="35" t="s">
        <v>111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122</v>
      </c>
      <c r="I19" s="35" t="s">
        <v>122</v>
      </c>
      <c r="J19" s="35" t="s">
        <v>122</v>
      </c>
      <c r="K19" s="35" t="s">
        <v>122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124</v>
      </c>
      <c r="I22" s="35" t="s">
        <v>124</v>
      </c>
      <c r="J22" s="35" t="s">
        <v>124</v>
      </c>
      <c r="K22" s="35" t="s">
        <v>124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F72A2-B039-4614-A107-6E424A330B7C}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41" t="s">
        <v>17</v>
      </c>
      <c r="D1" s="41"/>
      <c r="E1" s="41"/>
      <c r="F1" s="41"/>
      <c r="G1" s="41"/>
      <c r="R1" s="17" t="s">
        <v>108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104</v>
      </c>
      <c r="U2" s="17" t="s">
        <v>109</v>
      </c>
    </row>
    <row r="3" spans="1:25" x14ac:dyDescent="0.25">
      <c r="A3" s="42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42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42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42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105</v>
      </c>
      <c r="S6" s="17" t="s">
        <v>106</v>
      </c>
      <c r="T6" s="17" t="s">
        <v>107</v>
      </c>
    </row>
    <row r="7" spans="1:25" ht="16.5" customHeight="1" thickTop="1" thickBot="1" x14ac:dyDescent="0.3">
      <c r="J7" s="37" t="s">
        <v>26</v>
      </c>
      <c r="K7" s="4" t="s">
        <v>4</v>
      </c>
      <c r="L7" s="4">
        <v>3</v>
      </c>
      <c r="M7" s="7" t="str">
        <f>INDEX({"B","B","A","A","A";"C","B","B","B","A";"C","C","C","B","B";"C","C","C","C","C"},
                 MATCH(K7,{"E","F","G","H"},0),
                 MATCH(L7,{3,4,5,6,7},0)
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38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38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38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38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38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39"/>
      <c r="K13" s="4" t="s">
        <v>110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36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36"/>
      <c r="K17" s="4" t="s">
        <v>111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36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36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36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36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36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36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36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36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2" priority="1" operator="equal">
      <formula>"B"</formula>
    </cfRule>
    <cfRule type="cellIs" dxfId="1" priority="2" operator="equal">
      <formula>"C"</formula>
    </cfRule>
    <cfRule type="cellIs" dxfId="0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A7DF9-A78F-44C5-BB9D-CC364FBA4F97}">
  <sheetPr codeName="Sheet7"/>
  <dimension ref="A1:B3"/>
  <sheetViews>
    <sheetView tabSelected="1" workbookViewId="0">
      <selection activeCell="A2" sqref="A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103</v>
      </c>
      <c r="B1" t="s">
        <v>102</v>
      </c>
    </row>
    <row r="2" spans="1:2" x14ac:dyDescent="0.25">
      <c r="A2" t="s">
        <v>101</v>
      </c>
      <c r="B2" t="s">
        <v>100</v>
      </c>
    </row>
    <row r="3" spans="1:2" x14ac:dyDescent="0.25">
      <c r="A3" t="s">
        <v>99</v>
      </c>
      <c r="B3" t="s">
        <v>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2017-09-04T14:38:00Z</dcterms:modified>
</cp:coreProperties>
</file>