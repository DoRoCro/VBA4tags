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8370" yWindow="0" windowWidth="20865" windowHeight="11895" firstSheet="7" activeTab="11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Output" sheetId="15" r:id="rId12"/>
    <sheet name="TestDisciplines" sheetId="14" r:id="rId13"/>
  </sheets>
  <functionGroups builtInGroupCount="18"/>
  <externalReferences>
    <externalReference r:id="rId14"/>
    <externalReference r:id="rId15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2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ssetRegisterTbl  2-95ad8fc5-0689-4018-b349-4e26872fb128" name="AssetRegisterTbl  2" connection="Query - AssetRegisterTbl (2)"/>
        </x15:modelTables>
      </x15:dataModel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K10" i="10" s="1"/>
  <c r="K1" i="10" s="1"/>
  <c r="K6" i="10" s="1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AssetRegisterTbl (2)" description="Connection to the 'AssetRegisterTbl (2)' query in the workbook." type="100" refreshedVersion="6" minRefreshableVersion="5">
    <extLst>
      <ext xmlns:x15="http://schemas.microsoft.com/office/spreadsheetml/2010/11/main" uri="{DE250136-89BD-433C-8126-D09CA5730AF9}">
        <x15:connection id="f2e96482-a9c5-4e8a-820a-04379d89ab73">
          <x15:oledbPr connection="Provider=Microsoft.Mashup.OleDb.1;Data Source=$Workbook$;Location=&quot;AssetRegisterTbl (2)&quot;">
            <x15:dbTables>
              <x15:dbTable name="AssetRegisterTbl (2)"/>
            </x15:dbTables>
          </x15:oledbPr>
        </x15:connection>
      </ext>
    </extLst>
  </connection>
  <connection id="3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  <connection id="4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<sst xmlns="http://schemas.openxmlformats.org/spreadsheetml/2006/main" count="2928" uniqueCount="1064">
  <si>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</si>
  <si>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</si>
  <si>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</si>
  <si>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</si>
  <si>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</si>
  <si>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</si>
  <si>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</si>
  <si>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</si>
  <si>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</si>
  <si>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</si>
  <si>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</si>
  <si>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</si>
  <si>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</si>
  <si>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</si>
  <si>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</si>
  <si>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</si>
  <si>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</si>
  <si>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</si>
  <si>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</si>
  <si>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</si>
  <si>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</si>
  <si>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</si>
  <si>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</si>
  <si>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</si>
  <si>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</si>
  <si>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</si>
  <si>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</si>
  <si>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</si>
  <si>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</si>
  <si>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</si>
  <si>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</si>
  <si>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</si>
  <si>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</si>
  <si>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</si>
  <si>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</si>
  <si>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</si>
  <si>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</si>
  <si>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</si>
  <si>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</si>
  <si>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</si>
  <si>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</si>
  <si>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</si>
  <si>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</si>
  <si>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</si>
  <si>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</si>
  <si>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</si>
  <si>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</si>
  <si>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</si>
  <si>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</si>
  <si>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</si>
  <si>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</si>
  <si>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</si>
  <si>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</si>
  <si>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</si>
  <si>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</si>
  <si>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</si>
  <si>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</si>
  <si>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</si>
  <si>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</si>
  <si>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</si>
  <si>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</si>
  <si>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</si>
  <si>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</si>
  <si>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</si>
  <si>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</si>
  <si>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</si>
  <si>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</si>
  <si>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</si>
  <si>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</si>
  <si>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</si>
  <si>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</si>
  <si>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</si>
  <si>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</si>
  <si>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</si>
  <si>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</si>
  <si>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</si>
  <si>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</si>
  <si>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</si>
  <si>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</si>
  <si>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</si>
  <si>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</si>
  <si>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</si>
  <si>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</si>
  <si>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</si>
  <si>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</si>
  <si>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</si>
  <si>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</si>
  <si>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</si>
  <si>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</si>
  <si>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</si>
  <si>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</si>
  <si>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</si>
  <si>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</si>
  <si>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</si>
  <si>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</si>
  <si>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</si>
  <si>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</si>
  <si>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</si>
  <si>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</si>
  <si>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</si>
  <si>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</si>
  <si>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</si>
  <si>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</si>
  <si>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</si>
  <si>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</si>
  <si>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</si>
  <si>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</si>
  <si>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</si>
  <si>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</si>
  <si>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</si>
  <si>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</si>
  <si>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</si>
  <si>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</si>
  <si>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</si>
  <si>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</si>
  <si>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</si>
  <si>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</si>
  <si>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</si>
  <si>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</si>
  <si>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</si>
  <si>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</si>
  <si>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</si>
  <si>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</si>
  <si>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</si>
  <si>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</si>
  <si>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</si>
  <si>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</si>
  <si>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</si>
  <si>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</si>
  <si>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</si>
  <si>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</si>
  <si>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</si>
  <si>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</si>
  <si>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</si>
  <si>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</si>
  <si>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</si>
  <si>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</si>
  <si>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</si>
  <si>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</si>
  <si>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</si>
  <si>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</si>
  <si>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</si>
  <si>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</si>
  <si>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</si>
  <si>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</si>
  <si>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</si>
  <si>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</si>
  <si>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</si>
  <si>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</si>
  <si>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</si>
  <si>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</si>
  <si>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</si>
  <si>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</si>
  <si>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</si>
  <si>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</si>
  <si>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</si>
  <si>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</si>
  <si>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</si>
  <si>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</si>
  <si>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</si>
  <si>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</si>
  <si>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</si>
  <si>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</si>
  <si>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</si>
  <si>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</si>
  <si>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</si>
  <si>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</si>
  <si>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</si>
  <si>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</si>
  <si>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</si>
  <si>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</si>
  <si>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</si>
  <si>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</si>
  <si>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</si>
  <si>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</si>
  <si>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</si>
  <si>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</si>
  <si>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</si>
  <si>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</si>
  <si>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</si>
  <si>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</si>
  <si>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</si>
  <si>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</si>
  <si>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</si>
  <si>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</si>
  <si>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</si>
  <si>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</si>
  <si>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</si>
  <si>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</si>
  <si>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</si>
  <si>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</si>
  <si>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</si>
  <si>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</si>
  <si>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</si>
  <si>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</si>
  <si>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</si>
  <si>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</si>
  <si>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</si>
  <si>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</si>
  <si>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</si>
  <si>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</si>
  <si>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</si>
  <si>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</si>
  <si>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</si>
  <si>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</si>
  <si>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</si>
  <si>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</si>
  <si>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</si>
  <si>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</si>
  <si>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</si>
  <si>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</si>
  <si>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</si>
  <si>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</si>
  <si>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</si>
  <si>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</si>
  <si>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</si>
  <si>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</si>
  <si>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</si>
  <si>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</si>
  <si>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</si>
  <si>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</si>
  <si>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</si>
  <si>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</si>
  <si>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</si>
  <si>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</si>
  <si>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</si>
  <si>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</si>
  <si>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</si>
  <si>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</si>
  <si>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</si>
  <si>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</si>
  <si>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</si>
  <si>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</si>
  <si>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</si>
  <si>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</si>
  <si>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</si>
  <si>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</si>
  <si>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</si>
  <si>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</si>
  <si>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</si>
  <si>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</si>
  <si>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</si>
  <si>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</si>
  <si>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</si>
  <si>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</si>
  <si>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</si>
  <si>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</si>
  <si>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</si>
  <si>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</si>
  <si>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</si>
  <si>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</si>
  <si>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</si>
  <si>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</si>
  <si>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</si>
  <si>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</si>
  <si>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</si>
  <si>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</si>
  <si>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</si>
  <si>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</si>
  <si>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</si>
  <si>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</si>
  <si>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</si>
  <si>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</si>
  <si>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</si>
  <si>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</si>
  <si>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</si>
  <si>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</si>
  <si>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</si>
  <si>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</si>
  <si>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</si>
  <si>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</si>
  <si>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</si>
  <si>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</si>
  <si>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</si>
  <si>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</si>
  <si>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</si>
  <si>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</si>
  <si>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</si>
  <si>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</si>
  <si>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</si>
  <si>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</si>
  <si>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</si>
  <si>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</si>
  <si>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</si>
  <si>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</si>
  <si>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</si>
  <si>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</si>
  <si>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</si>
  <si>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</si>
  <si>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</si>
  <si>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</si>
  <si>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</si>
  <si>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</si>
  <si>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</si>
  <si>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</si>
  <si>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</si>
  <si>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</si>
  <si>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</si>
  <si>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</si>
  <si>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</si>
  <si>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</si>
  <si>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</si>
  <si>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</si>
  <si>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</si>
  <si>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</si>
  <si>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</si>
  <si>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</si>
  <si>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</si>
  <si>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</si>
  <si>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</si>
  <si>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</si>
  <si>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</si>
  <si>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</si>
  <si>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</si>
  <si>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</si>
  <si>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</si>
  <si>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</si>
  <si>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</si>
  <si>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</si>
  <si>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</si>
  <si>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</si>
  <si>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</si>
  <si>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</si>
  <si>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</si>
  <si>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</si>
  <si>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</si>
  <si>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</si>
  <si>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</si>
  <si>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</si>
  <si>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</si>
  <si>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</si>
  <si>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</si>
  <si>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</si>
  <si>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</si>
  <si>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</si>
  <si>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</si>
  <si>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</si>
  <si>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</si>
  <si>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</si>
  <si>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</si>
  <si>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</si>
  <si>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</si>
  <si>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</si>
  <si>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</si>
  <si>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</si>
  <si>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</si>
  <si>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</si>
  <si>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</si>
  <si>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</si>
  <si>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</si>
  <si>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</si>
  <si>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</si>
  <si>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</si>
  <si>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</si>
  <si>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</si>
  <si>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</si>
  <si>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</si>
  <si>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</si>
  <si>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</si>
  <si>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</si>
  <si>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</si>
  <si>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</si>
  <si>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</si>
  <si>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</si>
  <si>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</si>
  <si>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</si>
  <si>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</si>
  <si>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</si>
  <si>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</si>
  <si>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</si>
  <si>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</si>
  <si>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</si>
  <si>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</si>
  <si>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</si>
  <si>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</si>
  <si>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</si>
  <si>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</si>
  <si>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</si>
  <si>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</si>
  <si>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</si>
  <si>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</si>
  <si>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</si>
  <si>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</si>
  <si>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</si>
  <si>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</si>
  <si>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</si>
  <si>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</si>
  <si>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</si>
  <si>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</si>
  <si>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</si>
  <si>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</si>
  <si>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</si>
  <si>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</si>
  <si>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</si>
  <si>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</si>
  <si>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</si>
  <si>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</si>
  <si>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</si>
  <si>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</si>
  <si>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</si>
  <si>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</si>
  <si>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</si>
  <si>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</si>
  <si>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</si>
  <si>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</si>
  <si>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</si>
  <si>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</si>
  <si>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</si>
  <si>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</si>
  <si>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</si>
  <si>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</si>
  <si>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</si>
  <si>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</si>
  <si>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</si>
  <si>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</si>
  <si>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</si>
  <si>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</si>
  <si>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</si>
  <si>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</si>
  <si>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</si>
  <si>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</si>
  <si>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</si>
  <si>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</si>
  <si>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</si>
  <si>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</si>
  <si>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</si>
  <si>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</si>
  <si>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</si>
  <si>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</si>
  <si>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</si>
  <si>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</si>
  <si>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</si>
  <si>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</si>
  <si>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</si>
  <si>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</si>
  <si>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</si>
  <si>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</si>
  <si>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</si>
  <si>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</si>
  <si>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</si>
  <si>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</si>
  <si>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</si>
  <si>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</si>
  <si>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</si>
  <si>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</si>
  <si>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</si>
  <si>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</si>
  <si>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</si>
  <si>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</si>
  <si>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</si>
  <si>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</si>
  <si>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</si>
  <si>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</si>
  <si>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</si>
  <si>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</si>
  <si>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</si>
  <si>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</si>
  <si>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</si>
  <si>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</si>
  <si>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</si>
  <si>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</si>
  <si>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</si>
  <si>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</si>
  <si>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</si>
  <si>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</si>
  <si>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</si>
  <si>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</si>
  <si>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</si>
  <si>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</si>
  <si>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</si>
  <si>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</si>
  <si>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</si>
  <si>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</si>
  <si>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</si>
  <si>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</si>
  <si>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</si>
  <si>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</si>
  <si>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</si>
  <si>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</si>
  <si>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</si>
  <si>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</si>
  <si>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</si>
  <si>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</si>
  <si>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</si>
  <si>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</si>
  <si>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</si>
  <si>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</si>
  <si>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</si>
  <si>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</si>
  <si>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</si>
  <si>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</si>
  <si>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</si>
  <si>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</si>
  <si>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</si>
  <si>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</si>
  <si>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</si>
  <si>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</si>
  <si>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</si>
  <si>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</si>
  <si>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</si>
  <si>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</si>
  <si>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</si>
  <si>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</si>
  <si>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</si>
  <si>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</si>
  <si>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</si>
  <si>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</si>
  <si>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</si>
  <si>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</si>
  <si>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</si>
  <si>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</si>
  <si>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</si>
  <si>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</si>
  <si>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</si>
  <si>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</si>
  <si>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</si>
  <si>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</si>
  <si>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</si>
  <si>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</si>
  <si>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</si>
  <si>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</si>
  <si>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</si>
  <si>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</si>
  <si>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</si>
  <si>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</si>
  <si>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</si>
  <si>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</si>
  <si>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</si>
  <si>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</si>
  <si>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</si>
  <si>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</si>
  <si>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</si>
  <si>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</si>
  <si>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</si>
  <si>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</si>
  <si>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</si>
  <si>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</si>
  <si>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</si>
  <si>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</si>
  <si>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</si>
  <si>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</si>
  <si>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</si>
  <si>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</si>
  <si>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</si>
  <si>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</si>
  <si>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</si>
  <si>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</si>
  <si>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</si>
  <si>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</si>
  <si>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</si>
  <si>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</si>
  <si>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</si>
  <si>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</si>
  <si>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</si>
  <si>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</si>
  <si>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</si>
  <si>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</si>
  <si>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</si>
  <si>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</si>
  <si>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</si>
  <si>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</si>
  <si>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</si>
  <si>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</si>
  <si>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</si>
  <si>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</si>
  <si>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</si>
  <si>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</si>
  <si>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</si>
  <si>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</si>
  <si>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</si>
  <si>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</si>
  <si>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</si>
  <si>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</si>
  <si>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</si>
  <si>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</si>
  <si>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</si>
  <si>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</si>
  <si>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</si>
  <si>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</si>
  <si>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</si>
  <si>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</si>
  <si>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</si>
  <si>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</si>
  <si>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</si>
  <si>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</si>
  <si>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</si>
  <si>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</si>
  <si>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</si>
  <si>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</si>
  <si>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</si>
  <si>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</si>
  <si>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</si>
  <si>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</si>
  <si>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</si>
  <si>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</si>
  <si>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</si>
  <si>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</si>
  <si>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</si>
  <si>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</si>
  <si>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</si>
  <si>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</si>
  <si>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</si>
  <si>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</si>
  <si>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</si>
  <si>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</si>
  <si>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</si>
  <si>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</si>
  <si>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</si>
  <si>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</si>
  <si>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</si>
  <si>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</si>
  <si>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</si>
  <si>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</si>
  <si>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</si>
  <si>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</si>
  <si>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</si>
  <si>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</si>
  <si>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</si>
  <si>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</si>
  <si>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</si>
  <si>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</si>
  <si>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</si>
  <si>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</si>
  <si>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</si>
  <si>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</si>
  <si>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</si>
  <si>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</si>
  <si>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</si>
  <si>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</si>
  <si>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</si>
  <si>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</si>
  <si>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</si>
  <si>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</si>
  <si>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</si>
  <si>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</si>
  <si>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</si>
  <si>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</si>
  <si>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</si>
  <si>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</si>
  <si>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</si>
  <si>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</si>
  <si>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</si>
  <si>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</si>
  <si>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</si>
  <si>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</si>
  <si>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</si>
  <si>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</si>
  <si>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</si>
  <si>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</si>
  <si>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</si>
  <si>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</si>
  <si>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</si>
  <si>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</si>
  <si>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</si>
  <si>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</si>
  <si>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</si>
  <si>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</si>
  <si>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</si>
  <si>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</si>
  <si>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</si>
  <si>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</si>
  <si>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</si>
  <si>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</si>
  <si>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</si>
  <si>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</si>
  <si>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</si>
  <si>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</si>
  <si>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</si>
  <si>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</si>
  <si>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</si>
  <si>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</si>
  <si>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</si>
  <si>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</si>
  <si>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</si>
  <si>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</si>
  <si>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</si>
  <si>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</si>
  <si>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</si>
  <si>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</si>
  <si>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</si>
  <si>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</si>
  <si>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</si>
  <si>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</si>
  <si>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</si>
  <si>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</si>
  <si>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</si>
  <si>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</si>
  <si>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</si>
  <si>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</si>
  <si>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</si>
  <si>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</si>
  <si>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</si>
  <si>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</si>
  <si>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</si>
  <si>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</si>
  <si>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</si>
  <si>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</si>
  <si>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</si>
  <si>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</si>
  <si>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</si>
  <si>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</si>
  <si>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</si>
  <si>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</si>
  <si>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</si>
  <si>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</si>
  <si>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</si>
  <si>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</si>
  <si>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</si>
  <si>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</si>
  <si>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</si>
  <si>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</si>
  <si>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</si>
  <si>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</si>
  <si>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</si>
  <si>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</si>
  <si>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</si>
  <si>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</si>
  <si>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</si>
  <si>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</si>
  <si>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</si>
  <si>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</si>
  <si>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</si>
  <si>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</si>
  <si>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</si>
  <si>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</si>
  <si>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</si>
  <si>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</si>
  <si>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</si>
  <si>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</si>
  <si>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</si>
  <si>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</si>
  <si>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</si>
  <si>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</si>
  <si>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</si>
  <si>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</si>
  <si>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</si>
  <si>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</si>
  <si>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</si>
  <si>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</si>
  <si>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</si>
  <si>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</si>
  <si>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</si>
  <si>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</si>
  <si>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</si>
  <si>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</si>
  <si>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</si>
  <si>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</si>
  <si>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</si>
  <si>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</si>
  <si>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</si>
  <si>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</si>
  <si>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</si>
  <si>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</si>
  <si>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</si>
  <si>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</si>
  <si>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</si>
  <si>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</si>
  <si>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</si>
  <si>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</si>
  <si>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</si>
  <si>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</si>
  <si>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</si>
  <si>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</si>
  <si>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</si>
  <si>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</si>
  <si>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</si>
  <si>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</si>
  <si>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</si>
  <si>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</si>
  <si>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</si>
  <si>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</si>
  <si>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</si>
  <si>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</si>
  <si>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</si>
  <si>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</si>
  <si>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</si>
  <si>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</si>
  <si>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</si>
  <si>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</si>
  <si>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</si>
  <si>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</si>
  <si>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</si>
  <si>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</si>
  <si>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</si>
  <si>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</si>
  <si>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</si>
  <si>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</si>
  <si>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</si>
  <si>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</si>
  <si>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</si>
  <si>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</si>
  <si>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</si>
  <si>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</si>
  <si>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</si>
  <si>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</si>
  <si>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</si>
  <si>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</si>
  <si>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</si>
  <si>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</si>
  <si>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</si>
  <si>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</si>
  <si>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</si>
  <si>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</si>
  <si>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</si>
  <si>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</si>
  <si>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</si>
  <si>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</si>
  <si>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</si>
  <si>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</si>
  <si>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</si>
  <si>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</si>
  <si>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</si>
  <si>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</si>
  <si>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</si>
  <si>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</si>
  <si>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</si>
  <si>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</si>
  <si>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</si>
  <si>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</si>
  <si>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</si>
  <si>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</si>
  <si>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</si>
  <si>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</si>
  <si>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</si>
  <si>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</si>
  <si>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</si>
  <si>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</si>
  <si>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</si>
  <si>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</si>
  <si>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</si>
  <si>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</si>
  <si>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</si>
  <si>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</si>
  <si>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</si>
  <si>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</si>
  <si>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</si>
  <si>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</si>
  <si>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</si>
  <si>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</si>
  <si>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</si>
  <si>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</si>
  <si>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</si>
  <si>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</si>
  <si>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</si>
  <si>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</si>
  <si>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</si>
  <si>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</si>
  <si>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</si>
  <si>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</si>
  <si>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</si>
  <si>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</si>
  <si>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</si>
  <si>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</si>
  <si>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</si>
  <si>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</si>
  <si>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</si>
  <si>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</si>
  <si>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</si>
  <si>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</si>
  <si>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</si>
  <si>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</si>
  <si>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</si>
  <si>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</si>
  <si>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</si>
  <si>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</si>
  <si>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</si>
  <si>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</si>
  <si>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</si>
  <si>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</si>
  <si>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</si>
  <si>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</si>
  <si>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</si>
  <si>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</si>
  <si>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</si>
  <si>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</si>
  <si>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</si>
  <si>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</si>
  <si>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</si>
  <si>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</si>
  <si>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</si>
  <si>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</si>
  <si>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</si>
  <si>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</si>
  <si>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</si>
  <si>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</si>
  <si>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</si>
  <si>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</si>
  <si>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</si>
  <si>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</si>
  <si>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</si>
  <si>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</si>
  <si>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</si>
  <si>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</si>
  <si>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</si>
  <si>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</si>
  <si>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</si>
  <si>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</si>
  <si>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</si>
  <si>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</si>
  <si>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</si>
  <si>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</si>
  <si>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</si>
  <si>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</si>
  <si>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</si>
  <si>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</si>
  <si>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</si>
  <si>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</si>
  <si>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</si>
  <si>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</si>
  <si>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</si>
  <si>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</si>
  <si>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</si>
  <si>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</si>
  <si>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</si>
  <si>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</si>
  <si>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</si>
  <si>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</si>
  <si>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</si>
  <si>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</si>
  <si>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</si>
  <si>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</si>
  <si>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</si>
  <si>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</si>
  <si>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</si>
  <si>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</si>
  <si>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</si>
  <si>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</si>
  <si>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</si>
  <si>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</si>
  <si>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</si>
  <si>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</si>
  <si>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</si>
  <si>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</si>
  <si>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</si>
  <si>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</si>
  <si>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</si>
  <si>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</si>
  <si>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</si>
  <si>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</si>
  <si>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</si>
  <si>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</si>
  <si>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</si>
  <si>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</si>
  <si>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</si>
  <si>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</si>
  <si>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</si>
  <si>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</si>
  <si>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</si>
  <si>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</si>
  <si>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</si>
  <si>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</si>
  <si>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</si>
  <si>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</si>
  <si>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</si>
  <si>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</si>
  <si>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</si>
  <si>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</si>
  <si>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</si>
  <si>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</si>
  <si>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</si>
  <si>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</si>
  <si>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</si>
  <si>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</si>
  <si>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</si>
  <si>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</si>
  <si>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</si>
  <si>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</si>
  <si>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</si>
  <si>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</si>
  <si>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</si>
  <si>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</si>
  <si>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</si>
  <si>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</si>
  <si>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</si>
  <si>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</si>
  <si>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</si>
  <si>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</si>
  <si>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</si>
  <si>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</si>
  <si>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</si>
  <si>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</si>
  <si>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</si>
  <si>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</si>
  <si>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</si>
  <si>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</si>
  <si>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</si>
  <si>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</si>
  <si>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</si>
  <si>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</si>
  <si>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</si>
  <si>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</si>
  <si>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</si>
  <si>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</si>
  <si>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</si>
  <si>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</si>
  <si>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</si>
  <si>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</si>
  <si>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</si>
  <si>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</si>
  <si>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</si>
  <si>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</si>
  <si>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</si>
  <si>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</si>
  <si>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</si>
  <si>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</si>
  <si>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</si>
  <si>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</si>
  <si>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</si>
  <si>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</si>
  <si>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</si>
  <si>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</si>
  <si>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</si>
  <si>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</si>
  <si>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</si>
  <si>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</si>
  <si>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</si>
  <si>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</si>
  <si>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</si>
  <si>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</si>
  <si>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</si>
  <si>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</si>
  <si>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</si>
  <si>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</si>
  <si>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</si>
  <si>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</si>
  <si>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</si>
  <si>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</si>
  <si>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</si>
  <si>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</si>
  <si>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</si>
  <si>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</si>
  <si>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</si>
  <si>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</si>
  <si>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</si>
  <si>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</si>
  <si>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</si>
  <si>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</si>
  <si>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</si>
  <si>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</si>
  <si>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</si>
  <si>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</si>
  <si>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</si>
  <si>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</si>
  <si>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</si>
  <si>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</si>
  <si>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</si>
  <si>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</si>
  <si>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</si>
  <si>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</si>
  <si>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</si>
  <si>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</si>
  <si>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</si>
  <si>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</si>
  <si>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</si>
  <si>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</si>
  <si>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</si>
  <si>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</si>
  <si>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</si>
  <si>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</si>
  <si>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</si>
  <si>
    <t>FA_code here</t>
  </si>
  <si>
    <t>FA_Code Description here</t>
  </si>
  <si>
    <t>TEST-TAG</t>
  </si>
  <si>
    <t>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</si>
</sst>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4"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7">
          <cell r="I17" t="str">
            <v>Power Turbine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Query - AssetRegisterTbl (2)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88" dataDxfId="87">
  <autoFilter ref="B4:J12"/>
  <tableColumns count="9">
    <tableColumn id="1" name="Impact" dataDxfId="86" dataCellStyle="Bad"/>
    <tableColumn id="2" name="1" dataDxfId="85"/>
    <tableColumn id="3" name="2" dataDxfId="84">
      <calculatedColumnFormula>C5+1</calculatedColumnFormula>
    </tableColumn>
    <tableColumn id="4" name="3" dataDxfId="83">
      <calculatedColumnFormula>D5+1</calculatedColumnFormula>
    </tableColumn>
    <tableColumn id="5" name="4" dataDxfId="82">
      <calculatedColumnFormula>E5+1</calculatedColumnFormula>
    </tableColumn>
    <tableColumn id="6" name="5" dataDxfId="81">
      <calculatedColumnFormula>F5+1</calculatedColumnFormula>
    </tableColumn>
    <tableColumn id="7" name="6" dataDxfId="80">
      <calculatedColumnFormula>G5+1</calculatedColumnFormula>
    </tableColumn>
    <tableColumn id="8" name="7" dataDxfId="79">
      <calculatedColumnFormula>H5+1</calculatedColumnFormula>
    </tableColumn>
    <tableColumn id="9" name="8" dataDxfId="78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7" dataDxfId="76" headerRowCellStyle="Explanatory Text" dataCellStyle="Explanatory Text">
  <autoFilter ref="D5:F13"/>
  <tableColumns count="3">
    <tableColumn id="1" name="Impact Level" dataDxfId="75" dataCellStyle="Normal"/>
    <tableColumn id="2" name="Criticality Unspared" dataDxfId="74" dataCellStyle="Normal"/>
    <tableColumn id="3" name="Criticality If Redundancy" dataDxfId="73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2">
  <autoFilter ref="A5:B18"/>
  <tableColumns count="2">
    <tableColumn id="1" name="Impact Level" dataDxfId="71" dataCellStyle="Accent6"/>
    <tableColumn id="2" name="Criticality Rating of Equipment" dataDxfId="70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6" headerRowCellStyle="Normal" dataCellStyle="Normal">
  <autoFilter ref="B6:C9"/>
  <tableColumns count="2">
    <tableColumn id="1" name="Criticality Rating" dataDxfId="65" dataCellStyle="Normal"/>
    <tableColumn id="2" name="Criticality Level" dataDxfId="64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3" dataDxfId="62" tableBorderDxfId="61">
  <autoFilter ref="E6:F16"/>
  <tableColumns count="2">
    <tableColumn id="1" name="Criticality Rating" dataDxfId="60"/>
    <tableColumn id="2" name="Criticality Level" dataDxfId="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8"/>
    <tableColumn id="4" name="Maximo Criticality type"/>
    <tableColumn id="5" name="SCE Threshold" dataDxfId="5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3">
  <autoFilter ref="A1:P8"/>
  <tableColumns count="16">
    <tableColumn id="1" name="Rule"/>
    <tableColumn id="2" name="Applies to"/>
    <tableColumn id="3" name="What to do with existing data" dataDxfId="52"/>
    <tableColumn id="4" name="Comments to add" dataDxfId="51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0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47" dataDxfId="46">
  <autoFilter ref="A8:D12"/>
  <tableColumns count="4">
    <tableColumn id="1" name="Category" dataDxfId="45"/>
    <tableColumn id="2" name="Impact" dataDxfId="44" dataCellStyle="Calculation">
      <calculatedColumnFormula>max</calculatedColumnFormula>
    </tableColumn>
    <tableColumn id="3" name="Likelihood" dataDxfId="43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2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1">
  <autoFilter ref="A15:F19"/>
  <sortState ref="A16:F19">
    <sortCondition descending="1" ref="D15:D19"/>
  </sortState>
  <tableColumns count="6">
    <tableColumn id="1" name="Safety Scenarios" dataDxfId="40" dataCellStyle="Input"/>
    <tableColumn id="3" name="Impact" dataDxfId="39" dataCellStyle="Input"/>
    <tableColumn id="4" name="Likelihood" dataDxfId="38" dataCellStyle="Input"/>
    <tableColumn id="6" name="Risk Score" dataDxfId="37" dataCellStyle="Calculation">
      <calculatedColumnFormula>MATCH(B16,{"H","G","F","E","D","C","B","A"},0)+MATCH(C16, {1,2,3,4,5,6,7,8}, 0) - 1</calculatedColumnFormula>
    </tableColumn>
    <tableColumn id="5" name="Code for Letter" dataDxfId="36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5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4">
  <autoFilter ref="A21:F24"/>
  <sortState ref="A22:F24">
    <sortCondition descending="1" ref="D21:D24"/>
  </sortState>
  <tableColumns count="6">
    <tableColumn id="1" name="Environmental Scenarios" dataDxfId="33" dataCellStyle="Input"/>
    <tableColumn id="2" name="Impact" dataDxfId="32" dataCellStyle="Input"/>
    <tableColumn id="3" name="Likelihood" dataDxfId="31" dataCellStyle="Input"/>
    <tableColumn id="4" name="Risk Score" dataDxfId="30" dataCellStyle="Calculation">
      <calculatedColumnFormula>MATCH(B22,{"H","G","F","E","D","C","B","A"},0)+MATCH(C22, {1,2,3,4,5,6,7,8}, 0) - 1</calculatedColumnFormula>
    </tableColumn>
    <tableColumn id="5" name="Code for Letter" dataDxfId="29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8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27">
  <autoFilter ref="A27:F31"/>
  <sortState ref="A28:F31">
    <sortCondition descending="1" ref="D27:D31"/>
  </sortState>
  <tableColumns count="6">
    <tableColumn id="1" name="Financial Scenarios" dataDxfId="26" dataCellStyle="Input"/>
    <tableColumn id="2" name="Impact" dataDxfId="25" dataCellStyle="Input"/>
    <tableColumn id="3" name="Likelihood" dataDxfId="24" dataCellStyle="Input"/>
    <tableColumn id="4" name="Risk Score" dataDxfId="23" dataCellStyle="Calculation">
      <calculatedColumnFormula>MATCH(B28,{"H","G","F","E","D","C","B","A"},0)+MATCH(C28, {1,2,3,4,5,6,7,8}, 0) - 1</calculatedColumnFormula>
    </tableColumn>
    <tableColumn id="5" name="Code for Letter" dataDxfId="22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1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0">
  <autoFilter ref="A33:F36"/>
  <sortState ref="A34:F36">
    <sortCondition descending="1" ref="D33:D36"/>
  </sortState>
  <tableColumns count="6">
    <tableColumn id="1" name="Non-Financial Scenarios" dataDxfId="19" dataCellStyle="Input"/>
    <tableColumn id="2" name="Impact" dataDxfId="18" dataCellStyle="Input"/>
    <tableColumn id="3" name="Likelihood" dataDxfId="17" dataCellStyle="Input"/>
    <tableColumn id="4" name="Risk Score" dataDxfId="16" dataCellStyle="Calculation">
      <calculatedColumnFormula>MATCH(B34,{"H","G","F","E","D","C","B","A"},0)+MATCH(C34, {1,2,3,4,5,6,7,8}, 0) - 1</calculatedColumnFormula>
    </tableColumn>
    <tableColumn id="5" name="Code for Letter" dataDxfId="15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4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23" displayName="TypicalCriticalitiesMAHBarrier23" ref="N3:W309" totalsRowShown="0" headerRowBorderDxfId="13" tableBorderDxfId="12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1" dataDxfId="9" headerRowBorderDxfId="10" tableBorderDxfId="8" totalsRowBorderDxfId="7" headerRowCellStyle="Normal_Sheet1" dataCellStyle="Normal_Sheet1">
  <autoFilter ref="A1:F201"/>
  <tableColumns count="6">
    <tableColumn id="1" name="Functional location" dataDxfId="6" dataCellStyle="Normal_Sheet1"/>
    <tableColumn id="2" name="Function Location Description" dataDxfId="5" dataCellStyle="Normal_Sheet1"/>
    <tableColumn id="3" name="System No" dataDxfId="4" dataCellStyle="Normal_Sheet1"/>
    <tableColumn id="4" name="Tag Abbreviation" dataDxfId="3" dataCellStyle="Normal_Sheet1"/>
    <tableColumn id="5" name="Utilities System YorN" dataDxfId="2" dataCellStyle="Normal_Sheet1"/>
    <tableColumn id="6" name="Comment" dataDxfId="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07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07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07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07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07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07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07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07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07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07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07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07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07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07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07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07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3" priority="6">
      <formula>AND(C5&gt;9,ROW(C5)-ROW(C$5)=3)</formula>
    </cfRule>
    <cfRule type="expression" dxfId="92" priority="7">
      <formula>AND((C5&gt;8),ROW(C5)-ROW(C$5)&lt;3)</formula>
    </cfRule>
    <cfRule type="expression" dxfId="91" priority="8">
      <formula>AND(ROW(C5)-ROW($C$5)&gt;4,C5&gt;6)</formula>
    </cfRule>
    <cfRule type="expression" dxfId="90" priority="10">
      <formula>AND(C5&gt;6,ROW(C5)-ROW(C$5)&lt;5)</formula>
    </cfRule>
    <cfRule type="expression" dxfId="89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08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09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09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09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09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09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09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09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09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09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09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09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09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0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07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07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07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07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07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07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07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1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1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1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1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1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1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1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1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1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1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1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1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1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1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69" priority="1" operator="equal">
      <formula>"Low"</formula>
    </cfRule>
    <cfRule type="cellIs" dxfId="68" priority="2" operator="equal">
      <formula>"High"</formula>
    </cfRule>
    <cfRule type="cellIs" dxfId="67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2" t="s">
        <v>17</v>
      </c>
      <c r="D1" s="112"/>
      <c r="E1" s="112"/>
      <c r="F1" s="112"/>
      <c r="G1" s="112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3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3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3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3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08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09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09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09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09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09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0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07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07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07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07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07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07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07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07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07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07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6" priority="1" operator="equal">
      <formula>"B"</formula>
    </cfRule>
    <cfRule type="cellIs" dxfId="55" priority="2" operator="equal">
      <formula>"C"</formula>
    </cfRule>
    <cfRule type="cellIs" dxfId="54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opLeftCell="N1" zoomScaleNormal="100" workbookViewId="0">
      <selection activeCell="Z8" sqref="Z8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1060</v>
      </c>
      <c r="C1" s="42"/>
      <c r="F1" s="85" t="s">
        <v>635</v>
      </c>
      <c r="G1" s="90">
        <v>4</v>
      </c>
      <c r="I1" s="33" t="s">
        <v>619</v>
      </c>
      <c r="K1" s="83" t="str">
        <f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1061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e">
        <f ca="1">IF($T4&lt;=AA$4,INDEX(TypicalCriticalitiesMAHBarrier23[Typical Components],MATCH($T4,TypicalCriticalitiesMAHBarrier23[Column2],0)),"")</f>
        <v>#N/A</v>
      </c>
      <c r="W4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54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27" t="s">
        <v>637</v>
      </c>
      <c r="B5" s="128"/>
      <c r="C5" s="128"/>
      <c r="D5" s="129"/>
      <c r="F5" s="114" t="s">
        <v>638</v>
      </c>
      <c r="G5" s="116"/>
      <c r="H5" s="130" t="s">
        <v>639</v>
      </c>
      <c r="I5" s="131"/>
      <c r="J5" s="131"/>
      <c r="K5" s="132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 t="e">
        <f t="shared" ref="S5:S68" ca="1" si="1">IF(R5=$Z$5,IF(AND(P5&lt;&gt;P4,P5&lt;&gt;""),S4+1,S4),S4)</f>
        <v>#N/A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e">
        <f ca="1">IF($T5&lt;=AA$4,INDEX(TypicalCriticalitiesMAHBarrier23[Typical Components],MATCH($T5,TypicalCriticalitiesMAHBarrier23[Column2],0)),"")</f>
        <v>#N/A</v>
      </c>
      <c r="W5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17" t="s">
        <v>187</v>
      </c>
      <c r="B6" s="117"/>
      <c r="C6" s="117"/>
      <c r="D6" s="117"/>
      <c r="F6" s="38" t="s">
        <v>184</v>
      </c>
      <c r="G6" s="47" t="str">
        <f>_xlfn.SWITCH(B9, "A", "YES","B", "YES","C", "YES","D", "YES","E", "NO","F", "NO","G", "NO","H", "NO","", "YES")</f>
        <v>YES</v>
      </c>
      <c r="I6" s="17"/>
      <c r="J6" s="88" t="s">
        <v>620</v>
      </c>
      <c r="K6" s="7" t="b">
        <f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 t="e">
        <f t="shared" ca="1" si="1"/>
        <v>#N/A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e">
        <f ca="1">IF($T6&lt;=AA$4,INDEX(TypicalCriticalitiesMAHBarrier23[Typical Components],MATCH($T6,TypicalCriticalitiesMAHBarrier23[Column2],0)),"")</f>
        <v>#N/A</v>
      </c>
      <c r="W6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18" t="s">
        <v>621</v>
      </c>
      <c r="J7" s="119"/>
      <c r="K7" s="120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 t="e">
        <f t="shared" ca="1" si="1"/>
        <v>#N/A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e">
        <f ca="1">IF($T7&lt;=AA$4,INDEX(TypicalCriticalitiesMAHBarrier23[Typical Components],MATCH($T7,TypicalCriticalitiesMAHBarrier23[Column2],0)),"")</f>
        <v>#N/A</v>
      </c>
      <c r="W7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10</v>
      </c>
      <c r="I8" s="121"/>
      <c r="J8" s="122"/>
      <c r="K8" s="123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 t="e">
        <f t="shared" ca="1" si="1"/>
        <v>#N/A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e">
        <f ca="1">IF($T8&lt;=AA$4,INDEX(TypicalCriticalitiesMAHBarrier23[Typical Components],MATCH($T8,TypicalCriticalitiesMAHBarrier23[Column2],0)),"")</f>
        <v>#N/A</v>
      </c>
      <c r="W8" t="e">
        <f ca="1">IF($T8&lt;=AA$4,INDEX(TypicalCriticalitiesMAHBarrier23[Typical Criticality],MATCH($T8,TypicalCriticalitiesMAHBarrier23[Column2],0)),"")</f>
        <v>#N/A</v>
      </c>
      <c r="Z8">
        <f ca="1">ROWS(BarrierFamilies)</f>
        <v>54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A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15</v>
      </c>
      <c r="F9" s="49" t="s">
        <v>193</v>
      </c>
      <c r="G9" s="4" t="s">
        <v>194</v>
      </c>
      <c r="I9" s="124"/>
      <c r="J9" s="125"/>
      <c r="K9" s="126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 t="e">
        <f t="shared" ca="1" si="1"/>
        <v>#N/A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e">
        <f ca="1">IF($T9&lt;=AA$4,INDEX(TypicalCriticalitiesMAHBarrier23[Typical Components],MATCH($T9,TypicalCriticalitiesMAHBarrier23[Column2],0)),"")</f>
        <v>#N/A</v>
      </c>
      <c r="W9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A</v>
      </c>
      <c r="C10" s="52">
        <f t="array" ref="C10">MAX(IF(FAILURE_CODE_Environmetal_scenarios20[Impact]=FAILURE_CODE_template18[[#This Row],[Impact]],FAILURE_CODE_Environmetal_scenarios20[Likelihood]))</f>
        <v>8</v>
      </c>
      <c r="D10" s="52">
        <f t="array" ref="D10">MAX(IF(FAILURE_CODE_Environmetal_scenarios20[Impact]=FAILURE_CODE_template18[[#This Row],[Impact]],FAILURE_CODE_Environmetal_scenarios20[Risk Score]))</f>
        <v>15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10</v>
      </c>
      <c r="I10" s="55" t="s">
        <v>202</v>
      </c>
      <c r="K10" s="47" t="str">
        <f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 t="e">
        <f t="shared" ca="1" si="1"/>
        <v>#N/A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e">
        <f ca="1">IF($T10&lt;=AA$4,INDEX(TypicalCriticalitiesMAHBarrier23[Typical Components],MATCH($T10,TypicalCriticalitiesMAHBarrier23[Column2],0)),"")</f>
        <v>#N/A</v>
      </c>
      <c r="W10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A</v>
      </c>
      <c r="C11" s="52">
        <f t="array" ref="C11">MAX(IF(FAILURE_CODE_Financial_scenarios21[Impact]=FAILURE_CODE_template18[[#This Row],[Impact]],FAILURE_CODE_Financial_scenarios21[Likelihood]))</f>
        <v>8</v>
      </c>
      <c r="D11" s="52">
        <f t="array" ref="D11">MAX(IF(FAILURE_CODE_Financial_scenarios21[Impact]=FAILURE_CODE_template18[[#This Row],[Impact]],FAILURE_CODE_Financial_scenarios21[Risk Score]))</f>
        <v>15</v>
      </c>
      <c r="F11"/>
      <c r="G11" s="54">
        <f>INDEX({10,10,10,10,8,6,4,2;10,10,10,9,7,5,3,1},
               IF(OR(G$9="SPARED",G$9="Y",G$9="yes",G$9),2,1),
               MATCH($B10,{"A","B","C","D","E","F","G","H"},0)
)</f>
        <v>10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 t="e">
        <f t="shared" ca="1" si="1"/>
        <v>#N/A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e">
        <f ca="1">IF($T11&lt;=AA$4,INDEX(TypicalCriticalitiesMAHBarrier23[Typical Components],MATCH($T11,TypicalCriticalitiesMAHBarrier23[Column2],0)),"")</f>
        <v>#N/A</v>
      </c>
      <c r="W11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A</v>
      </c>
      <c r="C12" s="52">
        <f t="array" ref="C12">MAX(IF(FAILURE_CODE_Non_Financial_scenarios22[Impact]=FAILURE_CODE_template18[[#This Row],[Impact]],FAILURE_CODE_Non_Financial_scenarios22[Likelihood]))</f>
        <v>8</v>
      </c>
      <c r="D12" s="52">
        <f t="array" ref="D12">MAX(IF(FAILURE_CODE_Non_Financial_scenarios22[Impact]=FAILURE_CODE_template18[[#This Row],[Impact]],FAILURE_CODE_Non_Financial_scenarios22[Risk Score]))</f>
        <v>15</v>
      </c>
      <c r="F12"/>
      <c r="G12" s="54">
        <f>INDEX({10,10,10,10,8,6,4,2;10,10,10,9,7,5,3,1},
               IF(OR(G$9="SPARED",G$9="Y",G$9="yes",G$9),2,1),
               MATCH($B11,{"A","B","C","D","E","F","G","H"},0)
)</f>
        <v>10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 t="e">
        <f t="shared" ca="1" si="1"/>
        <v>#N/A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e">
        <f ca="1">IF($T12&lt;=AA$4,INDEX(TypicalCriticalitiesMAHBarrier23[Typical Components],MATCH($T12,TypicalCriticalitiesMAHBarrier23[Column2],0)),"")</f>
        <v>#N/A</v>
      </c>
      <c r="W1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10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 t="e">
        <f t="shared" ca="1" si="1"/>
        <v>#N/A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e">
        <f ca="1">IF($T13&lt;=AA$4,INDEX(TypicalCriticalitiesMAHBarrier23[Typical Components],MATCH($T13,TypicalCriticalitiesMAHBarrier23[Column2],0)),"")</f>
        <v>#N/A</v>
      </c>
      <c r="W13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4" t="s">
        <v>640</v>
      </c>
      <c r="B14" s="115"/>
      <c r="C14" s="115"/>
      <c r="D14" s="115"/>
      <c r="E14" s="115"/>
      <c r="F14" s="116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 t="e">
        <f t="shared" ca="1" si="1"/>
        <v>#N/A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e">
        <f ca="1">IF($T14&lt;=AA$4,INDEX(TypicalCriticalitiesMAHBarrier23[Typical Components],MATCH($T14,TypicalCriticalitiesMAHBarrier23[Column2],0)),"")</f>
        <v>#N/A</v>
      </c>
      <c r="W14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 t="e">
        <f t="shared" ca="1" si="1"/>
        <v>#N/A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e">
        <f ca="1">IF($T15&lt;=AA$4,INDEX(TypicalCriticalitiesMAHBarrier23[Typical Components],MATCH($T15,TypicalCriticalitiesMAHBarrier23[Column2],0)),"")</f>
        <v>#N/A</v>
      </c>
      <c r="W15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0</v>
      </c>
      <c r="C16" s="4">
        <v>8</v>
      </c>
      <c r="D16" s="52">
        <f>MATCH(B16,{"H","G","F","E","D","C","B","A"},0)+MATCH(C16, {1,2,3,4,5,6,7,8}, 0) - 1</f>
        <v>15</v>
      </c>
      <c r="E16" s="58">
        <f>IF(ISERR(CODE(FAILURE_CODE_Safety_scenarios19[[#This Row],[Impact]])), "", CODE(FAILURE_CODE_Safety_scenarios19[[#This Row],[Impact]]))</f>
        <v>65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 t="e">
        <f t="shared" ca="1" si="1"/>
        <v>#N/A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e">
        <f ca="1">IF($T16&lt;=AA$4,INDEX(TypicalCriticalitiesMAHBarrier23[Typical Components],MATCH($T16,TypicalCriticalitiesMAHBarrier23[Column2],0)),"")</f>
        <v>#N/A</v>
      </c>
      <c r="W16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/>
      <c r="I17" s="89"/>
      <c r="K17" s="7" t="str">
        <f>IF(ISBLANK(I17),"C",VLOOKUP(I17,TypicalCriticalitiesMAHBarrier23[[ComponentList]:[Code]],2,FALSE))</f>
        <v>C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 t="e">
        <f t="shared" ca="1" si="1"/>
        <v>#N/A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e">
        <f ca="1">IF($T17&lt;=AA$4,INDEX(TypicalCriticalitiesMAHBarrier23[Typical Components],MATCH($T17,TypicalCriticalitiesMAHBarrier23[Column2],0)),"")</f>
        <v>#N/A</v>
      </c>
      <c r="W17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 t="e">
        <f t="shared" ca="1" si="1"/>
        <v>#N/A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e">
        <f ca="1">IF($T18&lt;=AA$4,INDEX(TypicalCriticalitiesMAHBarrier23[Typical Components],MATCH($T18,TypicalCriticalitiesMAHBarrier23[Column2],0)),"")</f>
        <v>#N/A</v>
      </c>
      <c r="W18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 t="e">
        <f t="shared" ca="1" si="1"/>
        <v>#N/A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e">
        <f ca="1">IF($T19&lt;=AA$4,INDEX(TypicalCriticalitiesMAHBarrier23[Typical Components],MATCH($T19,TypicalCriticalitiesMAHBarrier23[Column2],0)),"")</f>
        <v>#N/A</v>
      </c>
      <c r="W19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 t="e">
        <f t="shared" ca="1" si="1"/>
        <v>#N/A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e">
        <f ca="1">IF($T20&lt;=AA$4,INDEX(TypicalCriticalitiesMAHBarrier23[Typical Components],MATCH($T20,TypicalCriticalitiesMAHBarrier23[Column2],0)),"")</f>
        <v>#N/A</v>
      </c>
      <c r="W20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 t="e">
        <f t="shared" ca="1" si="1"/>
        <v>#N/A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e">
        <f ca="1">IF($T21&lt;=AA$4,INDEX(TypicalCriticalitiesMAHBarrier23[Typical Components],MATCH($T21,TypicalCriticalitiesMAHBarrier23[Column2],0)),"")</f>
        <v>#N/A</v>
      </c>
      <c r="W21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0</v>
      </c>
      <c r="C22" s="4">
        <v>8</v>
      </c>
      <c r="D22" s="52">
        <f>MATCH(B22,{"H","G","F","E","D","C","B","A"},0)+MATCH(C22, {1,2,3,4,5,6,7,8}, 0) - 1</f>
        <v>15</v>
      </c>
      <c r="E22" s="58">
        <f>IF(ISERR(CODE(FAILURE_CODE_Environmetal_scenarios20[Impact])), "", CODE(FAILURE_CODE_Environmetal_scenarios20[Impact]))</f>
        <v>65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 t="e">
        <f t="shared" ca="1" si="1"/>
        <v>#N/A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e">
        <f ca="1">IF($T22&lt;=AA$4,INDEX(TypicalCriticalitiesMAHBarrier23[Typical Components],MATCH($T22,TypicalCriticalitiesMAHBarrier23[Column2],0)),"")</f>
        <v>#N/A</v>
      </c>
      <c r="W2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 t="e">
        <f t="shared" ca="1" si="1"/>
        <v>#N/A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e">
        <f ca="1">IF($T23&lt;=AA$4,INDEX(TypicalCriticalitiesMAHBarrier23[Typical Components],MATCH($T23,TypicalCriticalitiesMAHBarrier23[Column2],0)),"")</f>
        <v>#N/A</v>
      </c>
      <c r="W23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 t="e">
        <f t="shared" ca="1" si="1"/>
        <v>#N/A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e">
        <f ca="1">IF($T24&lt;=AA$4,INDEX(TypicalCriticalitiesMAHBarrier23[Typical Components],MATCH($T24,TypicalCriticalitiesMAHBarrier23[Column2],0)),"")</f>
        <v>#N/A</v>
      </c>
      <c r="W24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 t="e">
        <f t="shared" ca="1" si="1"/>
        <v>#N/A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e">
        <f ca="1">IF($T25&lt;=AA$4,INDEX(TypicalCriticalitiesMAHBarrier23[Typical Components],MATCH($T25,TypicalCriticalitiesMAHBarrier23[Column2],0)),"")</f>
        <v>#N/A</v>
      </c>
      <c r="W25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 t="e">
        <f t="shared" ca="1" si="1"/>
        <v>#N/A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e">
        <f ca="1">IF($T26&lt;=AA$4,INDEX(TypicalCriticalitiesMAHBarrier23[Typical Components],MATCH($T26,TypicalCriticalitiesMAHBarrier23[Column2],0)),"")</f>
        <v>#N/A</v>
      </c>
      <c r="W26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 t="e">
        <f t="shared" ca="1" si="1"/>
        <v>#N/A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e">
        <f ca="1">IF($T27&lt;=AA$4,INDEX(TypicalCriticalitiesMAHBarrier23[Typical Components],MATCH($T27,TypicalCriticalitiesMAHBarrier23[Column2],0)),"")</f>
        <v>#N/A</v>
      </c>
      <c r="W27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0</v>
      </c>
      <c r="C28" s="4">
        <v>8</v>
      </c>
      <c r="D28" s="52">
        <f>MATCH(B28,{"H","G","F","E","D","C","B","A"},0)+MATCH(C28, {1,2,3,4,5,6,7,8}, 0) - 1</f>
        <v>15</v>
      </c>
      <c r="E28" s="58">
        <f>IF(ISERR(CODE(FAILURE_CODE_Financial_scenarios21[Impact])), "", CODE(FAILURE_CODE_Financial_scenarios21[Impact]))</f>
        <v>65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 t="e">
        <f t="shared" ca="1" si="1"/>
        <v>#N/A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e">
        <f ca="1">IF($T28&lt;=AA$4,INDEX(TypicalCriticalitiesMAHBarrier23[Typical Components],MATCH($T28,TypicalCriticalitiesMAHBarrier23[Column2],0)),"")</f>
        <v>#N/A</v>
      </c>
      <c r="W28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No</v>
      </c>
      <c r="K29" s="22" t="str">
        <f>IF(J29="Yes","C",
      IF(C10&gt;J26, "A", "B")
)</f>
        <v>A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 t="e">
        <f t="shared" ca="1" si="1"/>
        <v>#N/A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e">
        <f ca="1">IF($T29&lt;=AA$4,INDEX(TypicalCriticalitiesMAHBarrier23[Typical Components],MATCH($T29,TypicalCriticalitiesMAHBarrier23[Column2],0)),"")</f>
        <v>#N/A</v>
      </c>
      <c r="W29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No</v>
      </c>
      <c r="K30" s="22" t="str">
        <f>IF(J30="Yes","C",
    IF(C11&gt;J26,"B", "C")
)</f>
        <v>B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 t="e">
        <f t="shared" ca="1" si="1"/>
        <v>#N/A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e">
        <f ca="1">IF($T30&lt;=AA$4,INDEX(TypicalCriticalitiesMAHBarrier23[Typical Components],MATCH($T30,TypicalCriticalitiesMAHBarrier23[Column2],0)),"")</f>
        <v>#N/A</v>
      </c>
      <c r="W30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No</v>
      </c>
      <c r="K31" s="22" t="str">
        <f>IF(J31="Yes","C","")</f>
        <v/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 t="e">
        <f t="shared" ca="1" si="1"/>
        <v>#N/A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e">
        <f ca="1">IF($T31&lt;=AA$4,INDEX(TypicalCriticalitiesMAHBarrier23[Typical Components],MATCH($T31,TypicalCriticalitiesMAHBarrier23[Column2],0)),"")</f>
        <v>#N/A</v>
      </c>
      <c r="W31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 t="e">
        <f t="shared" ca="1" si="1"/>
        <v>#N/A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e">
        <f ca="1">IF($T32&lt;=AA$4,INDEX(TypicalCriticalitiesMAHBarrier23[Typical Components],MATCH($T32,TypicalCriticalitiesMAHBarrier23[Column2],0)),"")</f>
        <v>#N/A</v>
      </c>
      <c r="W3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 t="e">
        <f t="shared" ca="1" si="1"/>
        <v>#N/A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e">
        <f ca="1">IF($T33&lt;=AA$4,INDEX(TypicalCriticalitiesMAHBarrier23[Typical Components],MATCH($T33,TypicalCriticalitiesMAHBarrier23[Column2],0)),"")</f>
        <v>#N/A</v>
      </c>
      <c r="W33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0</v>
      </c>
      <c r="C34" s="4">
        <v>8</v>
      </c>
      <c r="D34" s="52">
        <f>MATCH(B34,{"H","G","F","E","D","C","B","A"},0)+MATCH(C34, {1,2,3,4,5,6,7,8}, 0) - 1</f>
        <v>15</v>
      </c>
      <c r="E34" s="58">
        <f>IF(ISERR(CODE(FAILURE_CODE_Non_Financial_scenarios22[Impact])), "", CODE(FAILURE_CODE_Non_Financial_scenarios22[Impact]))</f>
        <v>65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 t="e">
        <f t="shared" ca="1" si="1"/>
        <v>#N/A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e">
        <f ca="1">IF($T34&lt;=AA$4,INDEX(TypicalCriticalitiesMAHBarrier23[Typical Components],MATCH($T34,TypicalCriticalitiesMAHBarrier23[Column2],0)),"")</f>
        <v>#N/A</v>
      </c>
      <c r="W34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 t="e">
        <f t="shared" ca="1" si="1"/>
        <v>#N/A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e">
        <f ca="1">IF($T35&lt;=AA$4,INDEX(TypicalCriticalitiesMAHBarrier23[Typical Components],MATCH($T35,TypicalCriticalitiesMAHBarrier23[Column2],0)),"")</f>
        <v>#N/A</v>
      </c>
      <c r="W35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Yes</v>
      </c>
      <c r="K36" s="22" t="str">
        <f>IF(J36="yes", "A", "C")</f>
        <v>A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 t="e">
        <f t="shared" ca="1" si="1"/>
        <v>#N/A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e">
        <f ca="1">IF($T36&lt;=AA$4,INDEX(TypicalCriticalitiesMAHBarrier23[Typical Components],MATCH($T36,TypicalCriticalitiesMAHBarrier23[Column2],0)),"")</f>
        <v>#N/A</v>
      </c>
      <c r="W36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 t="e">
        <f t="shared" ca="1" si="1"/>
        <v>#N/A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e">
        <f ca="1">IF($T37&lt;=AA$4,INDEX(TypicalCriticalitiesMAHBarrier23[Typical Components],MATCH($T37,TypicalCriticalitiesMAHBarrier23[Column2],0)),"")</f>
        <v>#N/A</v>
      </c>
      <c r="W37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 t="e">
        <f t="shared" ca="1" si="1"/>
        <v>#N/A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e">
        <f ca="1">IF($T38&lt;=AA$4,INDEX(TypicalCriticalitiesMAHBarrier23[Typical Components],MATCH($T38,TypicalCriticalitiesMAHBarrier23[Column2],0)),"")</f>
        <v>#N/A</v>
      </c>
      <c r="W38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 t="e">
        <f t="shared" ca="1" si="1"/>
        <v>#N/A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e">
        <f ca="1">IF($T39&lt;=AA$4,INDEX(TypicalCriticalitiesMAHBarrier23[Typical Components],MATCH($T39,TypicalCriticalitiesMAHBarrier23[Column2],0)),"")</f>
        <v>#N/A</v>
      </c>
      <c r="W39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 t="e">
        <f t="shared" ca="1" si="1"/>
        <v>#N/A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e">
        <f ca="1">IF($T40&lt;=AA$4,INDEX(TypicalCriticalitiesMAHBarrier23[Typical Components],MATCH($T40,TypicalCriticalitiesMAHBarrier23[Column2],0)),"")</f>
        <v>#N/A</v>
      </c>
      <c r="W40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 t="e">
        <f t="shared" ca="1" si="1"/>
        <v>#N/A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e">
        <f ca="1">IF($T41&lt;=AA$4,INDEX(TypicalCriticalitiesMAHBarrier23[Typical Components],MATCH($T41,TypicalCriticalitiesMAHBarrier23[Column2],0)),"")</f>
        <v>#N/A</v>
      </c>
      <c r="W41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 t="e">
        <f t="shared" ca="1" si="1"/>
        <v>#N/A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e">
        <f ca="1">IF($T42&lt;=AA$4,INDEX(TypicalCriticalitiesMAHBarrier23[Typical Components],MATCH($T42,TypicalCriticalitiesMAHBarrier23[Column2],0)),"")</f>
        <v>#N/A</v>
      </c>
      <c r="W4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 t="e">
        <f t="shared" ca="1" si="1"/>
        <v>#N/A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e">
        <f ca="1">IF($T43&lt;=AA$4,INDEX(TypicalCriticalitiesMAHBarrier23[Typical Components],MATCH($T43,TypicalCriticalitiesMAHBarrier23[Column2],0)),"")</f>
        <v>#N/A</v>
      </c>
      <c r="W43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 t="e">
        <f t="shared" ca="1" si="1"/>
        <v>#N/A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e">
        <f ca="1">IF($T44&lt;=AA$4,INDEX(TypicalCriticalitiesMAHBarrier23[Typical Components],MATCH($T44,TypicalCriticalitiesMAHBarrier23[Column2],0)),"")</f>
        <v>#N/A</v>
      </c>
      <c r="W44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 t="e">
        <f t="shared" ca="1" si="1"/>
        <v>#N/A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e">
        <f ca="1">IF($T45&lt;=AA$4,INDEX(TypicalCriticalitiesMAHBarrier23[Typical Components],MATCH($T45,TypicalCriticalitiesMAHBarrier23[Column2],0)),"")</f>
        <v>#N/A</v>
      </c>
      <c r="W45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 t="e">
        <f t="shared" ca="1" si="1"/>
        <v>#N/A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e">
        <f ca="1">IF($T46&lt;=AA$4,INDEX(TypicalCriticalitiesMAHBarrier23[Typical Components],MATCH($T46,TypicalCriticalitiesMAHBarrier23[Column2],0)),"")</f>
        <v>#N/A</v>
      </c>
      <c r="W46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 t="e">
        <f t="shared" ca="1" si="1"/>
        <v>#N/A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e">
        <f ca="1">IF($T47&lt;=AA$4,INDEX(TypicalCriticalitiesMAHBarrier23[Typical Components],MATCH($T47,TypicalCriticalitiesMAHBarrier23[Column2],0)),"")</f>
        <v>#N/A</v>
      </c>
      <c r="W47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 t="e">
        <f t="shared" ca="1" si="1"/>
        <v>#N/A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e">
        <f ca="1">IF($T48&lt;=AA$4,INDEX(TypicalCriticalitiesMAHBarrier23[Typical Components],MATCH($T48,TypicalCriticalitiesMAHBarrier23[Column2],0)),"")</f>
        <v>#N/A</v>
      </c>
      <c r="W48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 t="e">
        <f t="shared" ca="1" si="1"/>
        <v>#N/A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e">
        <f ca="1">IF($T49&lt;=AA$4,INDEX(TypicalCriticalitiesMAHBarrier23[Typical Components],MATCH($T49,TypicalCriticalitiesMAHBarrier23[Column2],0)),"")</f>
        <v>#N/A</v>
      </c>
      <c r="W49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 t="e">
        <f t="shared" ca="1" si="1"/>
        <v>#N/A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e">
        <f ca="1">IF($T50&lt;=AA$4,INDEX(TypicalCriticalitiesMAHBarrier23[Typical Components],MATCH($T50,TypicalCriticalitiesMAHBarrier23[Column2],0)),"")</f>
        <v>#N/A</v>
      </c>
      <c r="W50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 t="e">
        <f t="shared" ca="1" si="1"/>
        <v>#N/A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e">
        <f ca="1">IF($T51&lt;=AA$4,INDEX(TypicalCriticalitiesMAHBarrier23[Typical Components],MATCH($T51,TypicalCriticalitiesMAHBarrier23[Column2],0)),"")</f>
        <v>#N/A</v>
      </c>
      <c r="W51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 t="e">
        <f t="shared" ca="1" si="1"/>
        <v>#N/A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e">
        <f ca="1">IF($T52&lt;=AA$4,INDEX(TypicalCriticalitiesMAHBarrier23[Typical Components],MATCH($T52,TypicalCriticalitiesMAHBarrier23[Column2],0)),"")</f>
        <v>#N/A</v>
      </c>
      <c r="W5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 t="e">
        <f t="shared" ca="1" si="1"/>
        <v>#N/A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e">
        <f ca="1">IF($T53&lt;=AA$4,INDEX(TypicalCriticalitiesMAHBarrier23[Typical Components],MATCH($T53,TypicalCriticalitiesMAHBarrier23[Column2],0)),"")</f>
        <v>#N/A</v>
      </c>
      <c r="W53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 t="e">
        <f t="shared" ca="1" si="1"/>
        <v>#N/A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e">
        <f ca="1">IF($T54&lt;=AA$4,INDEX(TypicalCriticalitiesMAHBarrier23[Typical Components],MATCH($T54,TypicalCriticalitiesMAHBarrier23[Column2],0)),"")</f>
        <v>#N/A</v>
      </c>
      <c r="W54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 t="e">
        <f t="shared" ca="1" si="1"/>
        <v>#N/A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e">
        <f ca="1">IF($T55&lt;=AA$4,INDEX(TypicalCriticalitiesMAHBarrier23[Typical Components],MATCH($T55,TypicalCriticalitiesMAHBarrier23[Column2],0)),"")</f>
        <v>#N/A</v>
      </c>
      <c r="W55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 t="e">
        <f t="shared" ca="1" si="1"/>
        <v>#N/A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e">
        <f ca="1">IF($T56&lt;=AA$4,INDEX(TypicalCriticalitiesMAHBarrier23[Typical Components],MATCH($T56,TypicalCriticalitiesMAHBarrier23[Column2],0)),"")</f>
        <v>#N/A</v>
      </c>
      <c r="W56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 t="e">
        <f t="shared" ca="1" si="1"/>
        <v>#N/A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e">
        <f ca="1">IF($T57&lt;=AA$4,INDEX(TypicalCriticalitiesMAHBarrier23[Typical Components],MATCH($T57,TypicalCriticalitiesMAHBarrier23[Column2],0)),"")</f>
        <v>#N/A</v>
      </c>
      <c r="W57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 t="e">
        <f t="shared" ca="1" si="1"/>
        <v>#N/A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e">
        <f ca="1">IF($T58&lt;=AA$4,INDEX(TypicalCriticalitiesMAHBarrier23[Typical Components],MATCH($T58,TypicalCriticalitiesMAHBarrier23[Column2],0)),"")</f>
        <v>#N/A</v>
      </c>
      <c r="W58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 t="e">
        <f t="shared" ca="1" si="1"/>
        <v>#N/A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e">
        <f ca="1">IF($T59&lt;=AA$4,INDEX(TypicalCriticalitiesMAHBarrier23[Typical Components],MATCH($T59,TypicalCriticalitiesMAHBarrier23[Column2],0)),"")</f>
        <v>#N/A</v>
      </c>
      <c r="W59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 t="e">
        <f t="shared" ca="1" si="1"/>
        <v>#N/A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e">
        <f ca="1">IF($T60&lt;=AA$4,INDEX(TypicalCriticalitiesMAHBarrier23[Typical Components],MATCH($T60,TypicalCriticalitiesMAHBarrier23[Column2],0)),"")</f>
        <v>#N/A</v>
      </c>
      <c r="W60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 t="e">
        <f t="shared" ca="1" si="1"/>
        <v>#N/A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e">
        <f ca="1">IF($T61&lt;=AA$4,INDEX(TypicalCriticalitiesMAHBarrier23[Typical Components],MATCH($T61,TypicalCriticalitiesMAHBarrier23[Column2],0)),"")</f>
        <v>#N/A</v>
      </c>
      <c r="W61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 t="e">
        <f t="shared" ca="1" si="1"/>
        <v>#N/A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e">
        <f ca="1">IF($T62&lt;=AA$4,INDEX(TypicalCriticalitiesMAHBarrier23[Typical Components],MATCH($T62,TypicalCriticalitiesMAHBarrier23[Column2],0)),"")</f>
        <v>#N/A</v>
      </c>
      <c r="W6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 t="e">
        <f t="shared" ca="1" si="1"/>
        <v>#N/A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e">
        <f ca="1">IF($T63&lt;=AA$4,INDEX(TypicalCriticalitiesMAHBarrier23[Typical Components],MATCH($T63,TypicalCriticalitiesMAHBarrier23[Column2],0)),"")</f>
        <v>#N/A</v>
      </c>
      <c r="W63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 t="e">
        <f t="shared" ca="1" si="1"/>
        <v>#N/A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e">
        <f ca="1">IF($T64&lt;=AA$4,INDEX(TypicalCriticalitiesMAHBarrier23[Typical Components],MATCH($T64,TypicalCriticalitiesMAHBarrier23[Column2],0)),"")</f>
        <v>#N/A</v>
      </c>
      <c r="W64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 t="e">
        <f t="shared" ca="1" si="1"/>
        <v>#N/A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e">
        <f ca="1">IF($T65&lt;=AA$4,INDEX(TypicalCriticalitiesMAHBarrier23[Typical Components],MATCH($T65,TypicalCriticalitiesMAHBarrier23[Column2],0)),"")</f>
        <v>#N/A</v>
      </c>
      <c r="W65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 t="e">
        <f t="shared" ca="1" si="1"/>
        <v>#N/A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e">
        <f ca="1">IF($T66&lt;=AA$4,INDEX(TypicalCriticalitiesMAHBarrier23[Typical Components],MATCH($T66,TypicalCriticalitiesMAHBarrier23[Column2],0)),"")</f>
        <v>#N/A</v>
      </c>
      <c r="W66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 t="e">
        <f t="shared" ca="1" si="1"/>
        <v>#N/A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e">
        <f ca="1">IF($T67&lt;=AA$4,INDEX(TypicalCriticalitiesMAHBarrier23[Typical Components],MATCH($T67,TypicalCriticalitiesMAHBarrier23[Column2],0)),"")</f>
        <v>#N/A</v>
      </c>
      <c r="W67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 t="e">
        <f t="shared" ca="1" si="1"/>
        <v>#N/A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e">
        <f ca="1">IF($T68&lt;=AA$4,INDEX(TypicalCriticalitiesMAHBarrier23[Typical Components],MATCH($T68,TypicalCriticalitiesMAHBarrier23[Column2],0)),"")</f>
        <v>#N/A</v>
      </c>
      <c r="W68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 t="e">
        <f t="shared" ref="S69:S132" ca="1" si="4">IF(R69=$Z$5,IF(AND(P69&lt;&gt;P68,P69&lt;&gt;""),S68+1,S68),S68)</f>
        <v>#N/A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e">
        <f ca="1">IF($T69&lt;=AA$4,INDEX(TypicalCriticalitiesMAHBarrier23[Typical Components],MATCH($T69,TypicalCriticalitiesMAHBarrier23[Column2],0)),"")</f>
        <v>#N/A</v>
      </c>
      <c r="W69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 t="e">
        <f t="shared" ca="1" si="4"/>
        <v>#N/A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e">
        <f ca="1">IF($T70&lt;=AA$4,INDEX(TypicalCriticalitiesMAHBarrier23[Typical Components],MATCH($T70,TypicalCriticalitiesMAHBarrier23[Column2],0)),"")</f>
        <v>#N/A</v>
      </c>
      <c r="W70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 t="e">
        <f t="shared" ca="1" si="4"/>
        <v>#N/A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e">
        <f ca="1">IF($T71&lt;=AA$4,INDEX(TypicalCriticalitiesMAHBarrier23[Typical Components],MATCH($T71,TypicalCriticalitiesMAHBarrier23[Column2],0)),"")</f>
        <v>#N/A</v>
      </c>
      <c r="W71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 t="e">
        <f t="shared" ca="1" si="4"/>
        <v>#N/A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e">
        <f ca="1">IF($T72&lt;=AA$4,INDEX(TypicalCriticalitiesMAHBarrier23[Typical Components],MATCH($T72,TypicalCriticalitiesMAHBarrier23[Column2],0)),"")</f>
        <v>#N/A</v>
      </c>
      <c r="W7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 t="e">
        <f t="shared" ca="1" si="4"/>
        <v>#N/A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e">
        <f ca="1">IF($T73&lt;=AA$4,INDEX(TypicalCriticalitiesMAHBarrier23[Typical Components],MATCH($T73,TypicalCriticalitiesMAHBarrier23[Column2],0)),"")</f>
        <v>#N/A</v>
      </c>
      <c r="W73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 t="e">
        <f t="shared" ca="1" si="4"/>
        <v>#N/A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e">
        <f ca="1">IF($T74&lt;=AA$4,INDEX(TypicalCriticalitiesMAHBarrier23[Typical Components],MATCH($T74,TypicalCriticalitiesMAHBarrier23[Column2],0)),"")</f>
        <v>#N/A</v>
      </c>
      <c r="W74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 t="e">
        <f t="shared" ca="1" si="4"/>
        <v>#N/A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e">
        <f ca="1">IF($T75&lt;=AA$4,INDEX(TypicalCriticalitiesMAHBarrier23[Typical Components],MATCH($T75,TypicalCriticalitiesMAHBarrier23[Column2],0)),"")</f>
        <v>#N/A</v>
      </c>
      <c r="W75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 t="e">
        <f t="shared" ca="1" si="4"/>
        <v>#N/A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e">
        <f ca="1">IF($T76&lt;=AA$4,INDEX(TypicalCriticalitiesMAHBarrier23[Typical Components],MATCH($T76,TypicalCriticalitiesMAHBarrier23[Column2],0)),"")</f>
        <v>#N/A</v>
      </c>
      <c r="W76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 t="e">
        <f t="shared" ca="1" si="4"/>
        <v>#N/A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e">
        <f ca="1">IF($T77&lt;=AA$4,INDEX(TypicalCriticalitiesMAHBarrier23[Typical Components],MATCH($T77,TypicalCriticalitiesMAHBarrier23[Column2],0)),"")</f>
        <v>#N/A</v>
      </c>
      <c r="W77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 t="e">
        <f t="shared" ca="1" si="4"/>
        <v>#N/A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e">
        <f ca="1">IF($T78&lt;=AA$4,INDEX(TypicalCriticalitiesMAHBarrier23[Typical Components],MATCH($T78,TypicalCriticalitiesMAHBarrier23[Column2],0)),"")</f>
        <v>#N/A</v>
      </c>
      <c r="W78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 t="e">
        <f t="shared" ca="1" si="4"/>
        <v>#N/A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e">
        <f ca="1">IF($T79&lt;=AA$4,INDEX(TypicalCriticalitiesMAHBarrier23[Typical Components],MATCH($T79,TypicalCriticalitiesMAHBarrier23[Column2],0)),"")</f>
        <v>#N/A</v>
      </c>
      <c r="W79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 t="e">
        <f t="shared" ca="1" si="4"/>
        <v>#N/A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e">
        <f ca="1">IF($T80&lt;=AA$4,INDEX(TypicalCriticalitiesMAHBarrier23[Typical Components],MATCH($T80,TypicalCriticalitiesMAHBarrier23[Column2],0)),"")</f>
        <v>#N/A</v>
      </c>
      <c r="W80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 t="e">
        <f t="shared" ca="1" si="4"/>
        <v>#N/A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e">
        <f ca="1">IF($T81&lt;=AA$4,INDEX(TypicalCriticalitiesMAHBarrier23[Typical Components],MATCH($T81,TypicalCriticalitiesMAHBarrier23[Column2],0)),"")</f>
        <v>#N/A</v>
      </c>
      <c r="W81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 t="e">
        <f t="shared" ca="1" si="4"/>
        <v>#N/A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e">
        <f ca="1">IF($T82&lt;=AA$4,INDEX(TypicalCriticalitiesMAHBarrier23[Typical Components],MATCH($T82,TypicalCriticalitiesMAHBarrier23[Column2],0)),"")</f>
        <v>#N/A</v>
      </c>
      <c r="W8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 t="e">
        <f t="shared" ca="1" si="4"/>
        <v>#N/A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e">
        <f ca="1">IF($T83&lt;=AA$4,INDEX(TypicalCriticalitiesMAHBarrier23[Typical Components],MATCH($T83,TypicalCriticalitiesMAHBarrier23[Column2],0)),"")</f>
        <v>#N/A</v>
      </c>
      <c r="W83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 t="e">
        <f t="shared" ca="1" si="4"/>
        <v>#N/A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e">
        <f ca="1">IF($T84&lt;=AA$4,INDEX(TypicalCriticalitiesMAHBarrier23[Typical Components],MATCH($T84,TypicalCriticalitiesMAHBarrier23[Column2],0)),"")</f>
        <v>#N/A</v>
      </c>
      <c r="W84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 t="e">
        <f t="shared" ca="1" si="4"/>
        <v>#N/A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e">
        <f ca="1">IF($T85&lt;=AA$4,INDEX(TypicalCriticalitiesMAHBarrier23[Typical Components],MATCH($T85,TypicalCriticalitiesMAHBarrier23[Column2],0)),"")</f>
        <v>#N/A</v>
      </c>
      <c r="W85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 t="e">
        <f t="shared" ca="1" si="4"/>
        <v>#N/A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e">
        <f ca="1">IF($T86&lt;=AA$4,INDEX(TypicalCriticalitiesMAHBarrier23[Typical Components],MATCH($T86,TypicalCriticalitiesMAHBarrier23[Column2],0)),"")</f>
        <v>#N/A</v>
      </c>
      <c r="W86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 t="e">
        <f t="shared" ca="1" si="4"/>
        <v>#N/A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e">
        <f ca="1">IF($T87&lt;=AA$4,INDEX(TypicalCriticalitiesMAHBarrier23[Typical Components],MATCH($T87,TypicalCriticalitiesMAHBarrier23[Column2],0)),"")</f>
        <v>#N/A</v>
      </c>
      <c r="W87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 t="e">
        <f t="shared" ca="1" si="4"/>
        <v>#N/A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e">
        <f ca="1">IF($T88&lt;=AA$4,INDEX(TypicalCriticalitiesMAHBarrier23[Typical Components],MATCH($T88,TypicalCriticalitiesMAHBarrier23[Column2],0)),"")</f>
        <v>#N/A</v>
      </c>
      <c r="W88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 t="e">
        <f t="shared" ca="1" si="4"/>
        <v>#N/A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e">
        <f ca="1">IF($T89&lt;=AA$4,INDEX(TypicalCriticalitiesMAHBarrier23[Typical Components],MATCH($T89,TypicalCriticalitiesMAHBarrier23[Column2],0)),"")</f>
        <v>#N/A</v>
      </c>
      <c r="W89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 t="e">
        <f t="shared" ca="1" si="4"/>
        <v>#N/A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e">
        <f ca="1">IF($T90&lt;=AA$4,INDEX(TypicalCriticalitiesMAHBarrier23[Typical Components],MATCH($T90,TypicalCriticalitiesMAHBarrier23[Column2],0)),"")</f>
        <v>#N/A</v>
      </c>
      <c r="W90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 t="e">
        <f t="shared" ca="1" si="4"/>
        <v>#N/A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e">
        <f ca="1">IF($T91&lt;=AA$4,INDEX(TypicalCriticalitiesMAHBarrier23[Typical Components],MATCH($T91,TypicalCriticalitiesMAHBarrier23[Column2],0)),"")</f>
        <v>#N/A</v>
      </c>
      <c r="W91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 t="e">
        <f t="shared" ca="1" si="4"/>
        <v>#N/A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e">
        <f ca="1">IF($T92&lt;=AA$4,INDEX(TypicalCriticalitiesMAHBarrier23[Typical Components],MATCH($T92,TypicalCriticalitiesMAHBarrier23[Column2],0)),"")</f>
        <v>#N/A</v>
      </c>
      <c r="W9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 t="e">
        <f t="shared" ca="1" si="4"/>
        <v>#N/A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e">
        <f ca="1">IF($T93&lt;=AA$4,INDEX(TypicalCriticalitiesMAHBarrier23[Typical Components],MATCH($T93,TypicalCriticalitiesMAHBarrier23[Column2],0)),"")</f>
        <v>#N/A</v>
      </c>
      <c r="W93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 t="e">
        <f t="shared" ca="1" si="4"/>
        <v>#N/A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e">
        <f ca="1">IF($T94&lt;=AA$4,INDEX(TypicalCriticalitiesMAHBarrier23[Typical Components],MATCH($T94,TypicalCriticalitiesMAHBarrier23[Column2],0)),"")</f>
        <v>#N/A</v>
      </c>
      <c r="W94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 t="e">
        <f t="shared" ca="1" si="4"/>
        <v>#N/A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e">
        <f ca="1">IF($T95&lt;=AA$4,INDEX(TypicalCriticalitiesMAHBarrier23[Typical Components],MATCH($T95,TypicalCriticalitiesMAHBarrier23[Column2],0)),"")</f>
        <v>#N/A</v>
      </c>
      <c r="W95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 t="e">
        <f t="shared" ca="1" si="4"/>
        <v>#N/A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e">
        <f ca="1">IF($T96&lt;=AA$4,INDEX(TypicalCriticalitiesMAHBarrier23[Typical Components],MATCH($T96,TypicalCriticalitiesMAHBarrier23[Column2],0)),"")</f>
        <v>#N/A</v>
      </c>
      <c r="W96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 t="e">
        <f t="shared" ca="1" si="4"/>
        <v>#N/A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e">
        <f ca="1">IF($T97&lt;=AA$4,INDEX(TypicalCriticalitiesMAHBarrier23[Typical Components],MATCH($T97,TypicalCriticalitiesMAHBarrier23[Column2],0)),"")</f>
        <v>#N/A</v>
      </c>
      <c r="W97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 t="e">
        <f t="shared" ca="1" si="4"/>
        <v>#N/A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e">
        <f ca="1">IF($T98&lt;=AA$4,INDEX(TypicalCriticalitiesMAHBarrier23[Typical Components],MATCH($T98,TypicalCriticalitiesMAHBarrier23[Column2],0)),"")</f>
        <v>#N/A</v>
      </c>
      <c r="W98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 t="e">
        <f t="shared" ca="1" si="4"/>
        <v>#N/A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e">
        <f ca="1">IF($T99&lt;=AA$4,INDEX(TypicalCriticalitiesMAHBarrier23[Typical Components],MATCH($T99,TypicalCriticalitiesMAHBarrier23[Column2],0)),"")</f>
        <v>#N/A</v>
      </c>
      <c r="W99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 t="e">
        <f t="shared" ca="1" si="4"/>
        <v>#N/A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e">
        <f ca="1">IF($T100&lt;=AA$4,INDEX(TypicalCriticalitiesMAHBarrier23[Typical Components],MATCH($T100,TypicalCriticalitiesMAHBarrier23[Column2],0)),"")</f>
        <v>#N/A</v>
      </c>
      <c r="W100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 t="e">
        <f t="shared" ca="1" si="4"/>
        <v>#N/A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e">
        <f ca="1">IF($T101&lt;=AA$4,INDEX(TypicalCriticalitiesMAHBarrier23[Typical Components],MATCH($T101,TypicalCriticalitiesMAHBarrier23[Column2],0)),"")</f>
        <v>#N/A</v>
      </c>
      <c r="W101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 t="e">
        <f t="shared" ca="1" si="4"/>
        <v>#N/A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e">
        <f ca="1">IF($T102&lt;=AA$4,INDEX(TypicalCriticalitiesMAHBarrier23[Typical Components],MATCH($T102,TypicalCriticalitiesMAHBarrier23[Column2],0)),"")</f>
        <v>#N/A</v>
      </c>
      <c r="W10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 t="e">
        <f t="shared" ca="1" si="4"/>
        <v>#N/A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e">
        <f ca="1">IF($T103&lt;=AA$4,INDEX(TypicalCriticalitiesMAHBarrier23[Typical Components],MATCH($T103,TypicalCriticalitiesMAHBarrier23[Column2],0)),"")</f>
        <v>#N/A</v>
      </c>
      <c r="W103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 t="e">
        <f t="shared" ca="1" si="4"/>
        <v>#N/A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e">
        <f ca="1">IF($T104&lt;=AA$4,INDEX(TypicalCriticalitiesMAHBarrier23[Typical Components],MATCH($T104,TypicalCriticalitiesMAHBarrier23[Column2],0)),"")</f>
        <v>#N/A</v>
      </c>
      <c r="W104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 t="e">
        <f t="shared" ca="1" si="4"/>
        <v>#N/A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e">
        <f ca="1">IF($T105&lt;=AA$4,INDEX(TypicalCriticalitiesMAHBarrier23[Typical Components],MATCH($T105,TypicalCriticalitiesMAHBarrier23[Column2],0)),"")</f>
        <v>#N/A</v>
      </c>
      <c r="W105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 t="e">
        <f t="shared" ca="1" si="4"/>
        <v>#N/A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e">
        <f ca="1">IF($T106&lt;=AA$4,INDEX(TypicalCriticalitiesMAHBarrier23[Typical Components],MATCH($T106,TypicalCriticalitiesMAHBarrier23[Column2],0)),"")</f>
        <v>#N/A</v>
      </c>
      <c r="W106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 t="e">
        <f t="shared" ca="1" si="4"/>
        <v>#N/A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e">
        <f ca="1">IF($T107&lt;=AA$4,INDEX(TypicalCriticalitiesMAHBarrier23[Typical Components],MATCH($T107,TypicalCriticalitiesMAHBarrier23[Column2],0)),"")</f>
        <v>#N/A</v>
      </c>
      <c r="W107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 t="e">
        <f t="shared" ca="1" si="4"/>
        <v>#N/A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e">
        <f ca="1">IF($T108&lt;=AA$4,INDEX(TypicalCriticalitiesMAHBarrier23[Typical Components],MATCH($T108,TypicalCriticalitiesMAHBarrier23[Column2],0)),"")</f>
        <v>#N/A</v>
      </c>
      <c r="W108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 t="e">
        <f t="shared" ca="1" si="4"/>
        <v>#N/A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e">
        <f ca="1">IF($T109&lt;=AA$4,INDEX(TypicalCriticalitiesMAHBarrier23[Typical Components],MATCH($T109,TypicalCriticalitiesMAHBarrier23[Column2],0)),"")</f>
        <v>#N/A</v>
      </c>
      <c r="W109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 t="e">
        <f t="shared" ca="1" si="4"/>
        <v>#N/A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e">
        <f ca="1">IF($T110&lt;=AA$4,INDEX(TypicalCriticalitiesMAHBarrier23[Typical Components],MATCH($T110,TypicalCriticalitiesMAHBarrier23[Column2],0)),"")</f>
        <v>#N/A</v>
      </c>
      <c r="W110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 t="e">
        <f t="shared" ca="1" si="4"/>
        <v>#N/A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e">
        <f ca="1">IF($T111&lt;=AA$4,INDEX(TypicalCriticalitiesMAHBarrier23[Typical Components],MATCH($T111,TypicalCriticalitiesMAHBarrier23[Column2],0)),"")</f>
        <v>#N/A</v>
      </c>
      <c r="W111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 t="e">
        <f t="shared" ca="1" si="4"/>
        <v>#N/A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e">
        <f ca="1">IF($T112&lt;=AA$4,INDEX(TypicalCriticalitiesMAHBarrier23[Typical Components],MATCH($T112,TypicalCriticalitiesMAHBarrier23[Column2],0)),"")</f>
        <v>#N/A</v>
      </c>
      <c r="W11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 t="e">
        <f t="shared" ca="1" si="4"/>
        <v>#N/A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e">
        <f ca="1">IF($T113&lt;=AA$4,INDEX(TypicalCriticalitiesMAHBarrier23[Typical Components],MATCH($T113,TypicalCriticalitiesMAHBarrier23[Column2],0)),"")</f>
        <v>#N/A</v>
      </c>
      <c r="W113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 t="e">
        <f t="shared" ca="1" si="4"/>
        <v>#N/A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e">
        <f ca="1">IF($T114&lt;=AA$4,INDEX(TypicalCriticalitiesMAHBarrier23[Typical Components],MATCH($T114,TypicalCriticalitiesMAHBarrier23[Column2],0)),"")</f>
        <v>#N/A</v>
      </c>
      <c r="W114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 t="e">
        <f t="shared" ca="1" si="4"/>
        <v>#N/A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e">
        <f ca="1">IF($T115&lt;=AA$4,INDEX(TypicalCriticalitiesMAHBarrier23[Typical Components],MATCH($T115,TypicalCriticalitiesMAHBarrier23[Column2],0)),"")</f>
        <v>#N/A</v>
      </c>
      <c r="W115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 t="e">
        <f t="shared" ca="1" si="4"/>
        <v>#N/A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e">
        <f ca="1">IF($T116&lt;=AA$4,INDEX(TypicalCriticalitiesMAHBarrier23[Typical Components],MATCH($T116,TypicalCriticalitiesMAHBarrier23[Column2],0)),"")</f>
        <v>#N/A</v>
      </c>
      <c r="W116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 t="e">
        <f t="shared" ca="1" si="4"/>
        <v>#N/A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e">
        <f ca="1">IF($T117&lt;=AA$4,INDEX(TypicalCriticalitiesMAHBarrier23[Typical Components],MATCH($T117,TypicalCriticalitiesMAHBarrier23[Column2],0)),"")</f>
        <v>#N/A</v>
      </c>
      <c r="W117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 t="e">
        <f t="shared" ca="1" si="4"/>
        <v>#N/A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e">
        <f ca="1">IF($T118&lt;=AA$4,INDEX(TypicalCriticalitiesMAHBarrier23[Typical Components],MATCH($T118,TypicalCriticalitiesMAHBarrier23[Column2],0)),"")</f>
        <v>#N/A</v>
      </c>
      <c r="W118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 t="e">
        <f t="shared" ca="1" si="4"/>
        <v>#N/A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e">
        <f ca="1">IF($T119&lt;=AA$4,INDEX(TypicalCriticalitiesMAHBarrier23[Typical Components],MATCH($T119,TypicalCriticalitiesMAHBarrier23[Column2],0)),"")</f>
        <v>#N/A</v>
      </c>
      <c r="W119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 t="e">
        <f t="shared" ca="1" si="4"/>
        <v>#N/A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e">
        <f ca="1">IF($T120&lt;=AA$4,INDEX(TypicalCriticalitiesMAHBarrier23[Typical Components],MATCH($T120,TypicalCriticalitiesMAHBarrier23[Column2],0)),"")</f>
        <v>#N/A</v>
      </c>
      <c r="W120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 t="e">
        <f t="shared" ca="1" si="4"/>
        <v>#N/A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e">
        <f ca="1">IF($T121&lt;=AA$4,INDEX(TypicalCriticalitiesMAHBarrier23[Typical Components],MATCH($T121,TypicalCriticalitiesMAHBarrier23[Column2],0)),"")</f>
        <v>#N/A</v>
      </c>
      <c r="W121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 t="e">
        <f t="shared" ca="1" si="4"/>
        <v>#N/A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e">
        <f ca="1">IF($T122&lt;=AA$4,INDEX(TypicalCriticalitiesMAHBarrier23[Typical Components],MATCH($T122,TypicalCriticalitiesMAHBarrier23[Column2],0)),"")</f>
        <v>#N/A</v>
      </c>
      <c r="W12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 t="e">
        <f t="shared" ca="1" si="4"/>
        <v>#N/A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e">
        <f ca="1">IF($T123&lt;=AA$4,INDEX(TypicalCriticalitiesMAHBarrier23[Typical Components],MATCH($T123,TypicalCriticalitiesMAHBarrier23[Column2],0)),"")</f>
        <v>#N/A</v>
      </c>
      <c r="W123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 t="e">
        <f t="shared" ca="1" si="4"/>
        <v>#N/A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e">
        <f ca="1">IF($T124&lt;=AA$4,INDEX(TypicalCriticalitiesMAHBarrier23[Typical Components],MATCH($T124,TypicalCriticalitiesMAHBarrier23[Column2],0)),"")</f>
        <v>#N/A</v>
      </c>
      <c r="W124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 t="e">
        <f t="shared" ca="1" si="4"/>
        <v>#N/A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e">
        <f ca="1">IF($T125&lt;=AA$4,INDEX(TypicalCriticalitiesMAHBarrier23[Typical Components],MATCH($T125,TypicalCriticalitiesMAHBarrier23[Column2],0)),"")</f>
        <v>#N/A</v>
      </c>
      <c r="W125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 t="e">
        <f t="shared" ca="1" si="4"/>
        <v>#N/A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e">
        <f ca="1">IF($T126&lt;=AA$4,INDEX(TypicalCriticalitiesMAHBarrier23[Typical Components],MATCH($T126,TypicalCriticalitiesMAHBarrier23[Column2],0)),"")</f>
        <v>#N/A</v>
      </c>
      <c r="W126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 t="e">
        <f t="shared" ca="1" si="4"/>
        <v>#N/A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e">
        <f ca="1">IF($T127&lt;=AA$4,INDEX(TypicalCriticalitiesMAHBarrier23[Typical Components],MATCH($T127,TypicalCriticalitiesMAHBarrier23[Column2],0)),"")</f>
        <v>#N/A</v>
      </c>
      <c r="W127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 t="e">
        <f t="shared" ca="1" si="4"/>
        <v>#N/A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e">
        <f ca="1">IF($T128&lt;=AA$4,INDEX(TypicalCriticalitiesMAHBarrier23[Typical Components],MATCH($T128,TypicalCriticalitiesMAHBarrier23[Column2],0)),"")</f>
        <v>#N/A</v>
      </c>
      <c r="W128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 t="e">
        <f t="shared" ca="1" si="4"/>
        <v>#N/A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e">
        <f ca="1">IF($T129&lt;=AA$4,INDEX(TypicalCriticalitiesMAHBarrier23[Typical Components],MATCH($T129,TypicalCriticalitiesMAHBarrier23[Column2],0)),"")</f>
        <v>#N/A</v>
      </c>
      <c r="W129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 t="e">
        <f t="shared" ca="1" si="4"/>
        <v>#N/A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e">
        <f ca="1">IF($T130&lt;=AA$4,INDEX(TypicalCriticalitiesMAHBarrier23[Typical Components],MATCH($T130,TypicalCriticalitiesMAHBarrier23[Column2],0)),"")</f>
        <v>#N/A</v>
      </c>
      <c r="W130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 t="e">
        <f t="shared" ca="1" si="4"/>
        <v>#N/A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e">
        <f ca="1">IF($T131&lt;=AA$4,INDEX(TypicalCriticalitiesMAHBarrier23[Typical Components],MATCH($T131,TypicalCriticalitiesMAHBarrier23[Column2],0)),"")</f>
        <v>#N/A</v>
      </c>
      <c r="W131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 t="e">
        <f t="shared" ca="1" si="4"/>
        <v>#N/A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e">
        <f ca="1">IF($T132&lt;=AA$4,INDEX(TypicalCriticalitiesMAHBarrier23[Typical Components],MATCH($T132,TypicalCriticalitiesMAHBarrier23[Column2],0)),"")</f>
        <v>#N/A</v>
      </c>
      <c r="W13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 t="e">
        <f t="shared" ref="S133:S196" ca="1" si="7">IF(R133=$Z$5,IF(AND(P133&lt;&gt;P132,P133&lt;&gt;""),S132+1,S132),S132)</f>
        <v>#N/A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e">
        <f ca="1">IF($T133&lt;=AA$4,INDEX(TypicalCriticalitiesMAHBarrier23[Typical Components],MATCH($T133,TypicalCriticalitiesMAHBarrier23[Column2],0)),"")</f>
        <v>#N/A</v>
      </c>
      <c r="W133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 t="e">
        <f t="shared" ca="1" si="7"/>
        <v>#N/A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e">
        <f ca="1">IF($T134&lt;=AA$4,INDEX(TypicalCriticalitiesMAHBarrier23[Typical Components],MATCH($T134,TypicalCriticalitiesMAHBarrier23[Column2],0)),"")</f>
        <v>#N/A</v>
      </c>
      <c r="W134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 t="e">
        <f t="shared" ca="1" si="7"/>
        <v>#N/A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e">
        <f ca="1">IF($T135&lt;=AA$4,INDEX(TypicalCriticalitiesMAHBarrier23[Typical Components],MATCH($T135,TypicalCriticalitiesMAHBarrier23[Column2],0)),"")</f>
        <v>#N/A</v>
      </c>
      <c r="W135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 t="e">
        <f t="shared" ca="1" si="7"/>
        <v>#N/A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e">
        <f ca="1">IF($T136&lt;=AA$4,INDEX(TypicalCriticalitiesMAHBarrier23[Typical Components],MATCH($T136,TypicalCriticalitiesMAHBarrier23[Column2],0)),"")</f>
        <v>#N/A</v>
      </c>
      <c r="W136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 t="e">
        <f t="shared" ca="1" si="7"/>
        <v>#N/A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e">
        <f ca="1">IF($T137&lt;=AA$4,INDEX(TypicalCriticalitiesMAHBarrier23[Typical Components],MATCH($T137,TypicalCriticalitiesMAHBarrier23[Column2],0)),"")</f>
        <v>#N/A</v>
      </c>
      <c r="W137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 t="e">
        <f t="shared" ca="1" si="7"/>
        <v>#N/A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e">
        <f ca="1">IF($T138&lt;=AA$4,INDEX(TypicalCriticalitiesMAHBarrier23[Typical Components],MATCH($T138,TypicalCriticalitiesMAHBarrier23[Column2],0)),"")</f>
        <v>#N/A</v>
      </c>
      <c r="W138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 t="e">
        <f t="shared" ca="1" si="7"/>
        <v>#N/A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e">
        <f ca="1">IF($T139&lt;=AA$4,INDEX(TypicalCriticalitiesMAHBarrier23[Typical Components],MATCH($T139,TypicalCriticalitiesMAHBarrier23[Column2],0)),"")</f>
        <v>#N/A</v>
      </c>
      <c r="W139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 t="e">
        <f t="shared" ca="1" si="7"/>
        <v>#N/A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e">
        <f ca="1">IF($T140&lt;=AA$4,INDEX(TypicalCriticalitiesMAHBarrier23[Typical Components],MATCH($T140,TypicalCriticalitiesMAHBarrier23[Column2],0)),"")</f>
        <v>#N/A</v>
      </c>
      <c r="W140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 t="e">
        <f t="shared" ca="1" si="7"/>
        <v>#N/A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e">
        <f ca="1">IF($T141&lt;=AA$4,INDEX(TypicalCriticalitiesMAHBarrier23[Typical Components],MATCH($T141,TypicalCriticalitiesMAHBarrier23[Column2],0)),"")</f>
        <v>#N/A</v>
      </c>
      <c r="W141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 t="e">
        <f t="shared" ca="1" si="7"/>
        <v>#N/A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e">
        <f ca="1">IF($T142&lt;=AA$4,INDEX(TypicalCriticalitiesMAHBarrier23[Typical Components],MATCH($T142,TypicalCriticalitiesMAHBarrier23[Column2],0)),"")</f>
        <v>#N/A</v>
      </c>
      <c r="W14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 t="e">
        <f t="shared" ca="1" si="7"/>
        <v>#N/A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e">
        <f ca="1">IF($T143&lt;=AA$4,INDEX(TypicalCriticalitiesMAHBarrier23[Typical Components],MATCH($T143,TypicalCriticalitiesMAHBarrier23[Column2],0)),"")</f>
        <v>#N/A</v>
      </c>
      <c r="W143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 t="e">
        <f t="shared" ca="1" si="7"/>
        <v>#N/A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e">
        <f ca="1">IF($T144&lt;=AA$4,INDEX(TypicalCriticalitiesMAHBarrier23[Typical Components],MATCH($T144,TypicalCriticalitiesMAHBarrier23[Column2],0)),"")</f>
        <v>#N/A</v>
      </c>
      <c r="W144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 t="e">
        <f t="shared" ca="1" si="7"/>
        <v>#N/A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e">
        <f ca="1">IF($T145&lt;=AA$4,INDEX(TypicalCriticalitiesMAHBarrier23[Typical Components],MATCH($T145,TypicalCriticalitiesMAHBarrier23[Column2],0)),"")</f>
        <v>#N/A</v>
      </c>
      <c r="W145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 t="e">
        <f t="shared" ca="1" si="7"/>
        <v>#N/A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e">
        <f ca="1">IF($T146&lt;=AA$4,INDEX(TypicalCriticalitiesMAHBarrier23[Typical Components],MATCH($T146,TypicalCriticalitiesMAHBarrier23[Column2],0)),"")</f>
        <v>#N/A</v>
      </c>
      <c r="W146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 t="e">
        <f t="shared" ca="1" si="7"/>
        <v>#N/A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e">
        <f ca="1">IF($T147&lt;=AA$4,INDEX(TypicalCriticalitiesMAHBarrier23[Typical Components],MATCH($T147,TypicalCriticalitiesMAHBarrier23[Column2],0)),"")</f>
        <v>#N/A</v>
      </c>
      <c r="W147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 t="e">
        <f t="shared" ca="1" si="7"/>
        <v>#N/A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e">
        <f ca="1">IF($T148&lt;=AA$4,INDEX(TypicalCriticalitiesMAHBarrier23[Typical Components],MATCH($T148,TypicalCriticalitiesMAHBarrier23[Column2],0)),"")</f>
        <v>#N/A</v>
      </c>
      <c r="W148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 t="e">
        <f t="shared" ca="1" si="7"/>
        <v>#N/A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e">
        <f ca="1">IF($T149&lt;=AA$4,INDEX(TypicalCriticalitiesMAHBarrier23[Typical Components],MATCH($T149,TypicalCriticalitiesMAHBarrier23[Column2],0)),"")</f>
        <v>#N/A</v>
      </c>
      <c r="W149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 t="e">
        <f t="shared" ca="1" si="7"/>
        <v>#N/A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e">
        <f ca="1">IF($T150&lt;=AA$4,INDEX(TypicalCriticalitiesMAHBarrier23[Typical Components],MATCH($T150,TypicalCriticalitiesMAHBarrier23[Column2],0)),"")</f>
        <v>#N/A</v>
      </c>
      <c r="W150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 t="e">
        <f t="shared" ca="1" si="7"/>
        <v>#N/A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e">
        <f ca="1">IF($T151&lt;=AA$4,INDEX(TypicalCriticalitiesMAHBarrier23[Typical Components],MATCH($T151,TypicalCriticalitiesMAHBarrier23[Column2],0)),"")</f>
        <v>#N/A</v>
      </c>
      <c r="W151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 t="e">
        <f t="shared" ca="1" si="7"/>
        <v>#N/A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e">
        <f ca="1">IF($T152&lt;=AA$4,INDEX(TypicalCriticalitiesMAHBarrier23[Typical Components],MATCH($T152,TypicalCriticalitiesMAHBarrier23[Column2],0)),"")</f>
        <v>#N/A</v>
      </c>
      <c r="W15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 t="e">
        <f t="shared" ca="1" si="7"/>
        <v>#N/A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e">
        <f ca="1">IF($T153&lt;=AA$4,INDEX(TypicalCriticalitiesMAHBarrier23[Typical Components],MATCH($T153,TypicalCriticalitiesMAHBarrier23[Column2],0)),"")</f>
        <v>#N/A</v>
      </c>
      <c r="W153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 t="e">
        <f t="shared" ca="1" si="7"/>
        <v>#N/A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e">
        <f ca="1">IF($T154&lt;=AA$4,INDEX(TypicalCriticalitiesMAHBarrier23[Typical Components],MATCH($T154,TypicalCriticalitiesMAHBarrier23[Column2],0)),"")</f>
        <v>#N/A</v>
      </c>
      <c r="W154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 t="e">
        <f t="shared" ca="1" si="7"/>
        <v>#N/A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e">
        <f ca="1">IF($T155&lt;=AA$4,INDEX(TypicalCriticalitiesMAHBarrier23[Typical Components],MATCH($T155,TypicalCriticalitiesMAHBarrier23[Column2],0)),"")</f>
        <v>#N/A</v>
      </c>
      <c r="W155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 t="e">
        <f t="shared" ca="1" si="7"/>
        <v>#N/A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e">
        <f ca="1">IF($T156&lt;=AA$4,INDEX(TypicalCriticalitiesMAHBarrier23[Typical Components],MATCH($T156,TypicalCriticalitiesMAHBarrier23[Column2],0)),"")</f>
        <v>#N/A</v>
      </c>
      <c r="W156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 t="e">
        <f t="shared" ca="1" si="7"/>
        <v>#N/A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e">
        <f ca="1">IF($T157&lt;=AA$4,INDEX(TypicalCriticalitiesMAHBarrier23[Typical Components],MATCH($T157,TypicalCriticalitiesMAHBarrier23[Column2],0)),"")</f>
        <v>#N/A</v>
      </c>
      <c r="W157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 t="e">
        <f t="shared" ca="1" si="7"/>
        <v>#N/A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e">
        <f ca="1">IF($T158&lt;=AA$4,INDEX(TypicalCriticalitiesMAHBarrier23[Typical Components],MATCH($T158,TypicalCriticalitiesMAHBarrier23[Column2],0)),"")</f>
        <v>#N/A</v>
      </c>
      <c r="W158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 t="e">
        <f t="shared" ca="1" si="7"/>
        <v>#N/A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e">
        <f ca="1">IF($T159&lt;=AA$4,INDEX(TypicalCriticalitiesMAHBarrier23[Typical Components],MATCH($T159,TypicalCriticalitiesMAHBarrier23[Column2],0)),"")</f>
        <v>#N/A</v>
      </c>
      <c r="W159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 t="e">
        <f t="shared" ca="1" si="7"/>
        <v>#N/A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e">
        <f ca="1">IF($T160&lt;=AA$4,INDEX(TypicalCriticalitiesMAHBarrier23[Typical Components],MATCH($T160,TypicalCriticalitiesMAHBarrier23[Column2],0)),"")</f>
        <v>#N/A</v>
      </c>
      <c r="W160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 t="e">
        <f t="shared" ca="1" si="7"/>
        <v>#N/A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e">
        <f ca="1">IF($T161&lt;=AA$4,INDEX(TypicalCriticalitiesMAHBarrier23[Typical Components],MATCH($T161,TypicalCriticalitiesMAHBarrier23[Column2],0)),"")</f>
        <v>#N/A</v>
      </c>
      <c r="W161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 t="e">
        <f t="shared" ca="1" si="7"/>
        <v>#N/A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e">
        <f ca="1">IF($T162&lt;=AA$4,INDEX(TypicalCriticalitiesMAHBarrier23[Typical Components],MATCH($T162,TypicalCriticalitiesMAHBarrier23[Column2],0)),"")</f>
        <v>#N/A</v>
      </c>
      <c r="W16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 t="e">
        <f t="shared" ca="1" si="7"/>
        <v>#N/A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e">
        <f ca="1">IF($T163&lt;=AA$4,INDEX(TypicalCriticalitiesMAHBarrier23[Typical Components],MATCH($T163,TypicalCriticalitiesMAHBarrier23[Column2],0)),"")</f>
        <v>#N/A</v>
      </c>
      <c r="W163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 t="e">
        <f t="shared" ca="1" si="7"/>
        <v>#N/A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e">
        <f ca="1">IF($T164&lt;=AA$4,INDEX(TypicalCriticalitiesMAHBarrier23[Typical Components],MATCH($T164,TypicalCriticalitiesMAHBarrier23[Column2],0)),"")</f>
        <v>#N/A</v>
      </c>
      <c r="W164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 t="e">
        <f t="shared" ca="1" si="7"/>
        <v>#N/A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e">
        <f ca="1">IF($T165&lt;=AA$4,INDEX(TypicalCriticalitiesMAHBarrier23[Typical Components],MATCH($T165,TypicalCriticalitiesMAHBarrier23[Column2],0)),"")</f>
        <v>#N/A</v>
      </c>
      <c r="W165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 t="e">
        <f t="shared" ca="1" si="7"/>
        <v>#N/A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e">
        <f ca="1">IF($T166&lt;=AA$4,INDEX(TypicalCriticalitiesMAHBarrier23[Typical Components],MATCH($T166,TypicalCriticalitiesMAHBarrier23[Column2],0)),"")</f>
        <v>#N/A</v>
      </c>
      <c r="W166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 t="e">
        <f t="shared" ca="1" si="7"/>
        <v>#N/A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e">
        <f ca="1">IF($T167&lt;=AA$4,INDEX(TypicalCriticalitiesMAHBarrier23[Typical Components],MATCH($T167,TypicalCriticalitiesMAHBarrier23[Column2],0)),"")</f>
        <v>#N/A</v>
      </c>
      <c r="W167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 t="e">
        <f t="shared" ca="1" si="7"/>
        <v>#N/A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e">
        <f ca="1">IF($T168&lt;=AA$4,INDEX(TypicalCriticalitiesMAHBarrier23[Typical Components],MATCH($T168,TypicalCriticalitiesMAHBarrier23[Column2],0)),"")</f>
        <v>#N/A</v>
      </c>
      <c r="W168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 t="e">
        <f t="shared" ca="1" si="7"/>
        <v>#N/A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e">
        <f ca="1">IF($T169&lt;=AA$4,INDEX(TypicalCriticalitiesMAHBarrier23[Typical Components],MATCH($T169,TypicalCriticalitiesMAHBarrier23[Column2],0)),"")</f>
        <v>#N/A</v>
      </c>
      <c r="W169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 t="e">
        <f t="shared" ca="1" si="7"/>
        <v>#N/A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e">
        <f ca="1">IF($T170&lt;=AA$4,INDEX(TypicalCriticalitiesMAHBarrier23[Typical Components],MATCH($T170,TypicalCriticalitiesMAHBarrier23[Column2],0)),"")</f>
        <v>#N/A</v>
      </c>
      <c r="W170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 t="e">
        <f t="shared" ca="1" si="7"/>
        <v>#N/A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e">
        <f ca="1">IF($T171&lt;=AA$4,INDEX(TypicalCriticalitiesMAHBarrier23[Typical Components],MATCH($T171,TypicalCriticalitiesMAHBarrier23[Column2],0)),"")</f>
        <v>#N/A</v>
      </c>
      <c r="W171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 t="e">
        <f t="shared" ca="1" si="7"/>
        <v>#N/A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e">
        <f ca="1">IF($T172&lt;=AA$4,INDEX(TypicalCriticalitiesMAHBarrier23[Typical Components],MATCH($T172,TypicalCriticalitiesMAHBarrier23[Column2],0)),"")</f>
        <v>#N/A</v>
      </c>
      <c r="W17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 t="e">
        <f t="shared" ca="1" si="7"/>
        <v>#N/A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e">
        <f ca="1">IF($T173&lt;=AA$4,INDEX(TypicalCriticalitiesMAHBarrier23[Typical Components],MATCH($T173,TypicalCriticalitiesMAHBarrier23[Column2],0)),"")</f>
        <v>#N/A</v>
      </c>
      <c r="W173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 t="e">
        <f t="shared" ca="1" si="7"/>
        <v>#N/A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e">
        <f ca="1">IF($T174&lt;=AA$4,INDEX(TypicalCriticalitiesMAHBarrier23[Typical Components],MATCH($T174,TypicalCriticalitiesMAHBarrier23[Column2],0)),"")</f>
        <v>#N/A</v>
      </c>
      <c r="W174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 t="e">
        <f t="shared" ca="1" si="7"/>
        <v>#N/A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e">
        <f ca="1">IF($T175&lt;=AA$4,INDEX(TypicalCriticalitiesMAHBarrier23[Typical Components],MATCH($T175,TypicalCriticalitiesMAHBarrier23[Column2],0)),"")</f>
        <v>#N/A</v>
      </c>
      <c r="W175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 t="e">
        <f t="shared" ca="1" si="7"/>
        <v>#N/A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e">
        <f ca="1">IF($T176&lt;=AA$4,INDEX(TypicalCriticalitiesMAHBarrier23[Typical Components],MATCH($T176,TypicalCriticalitiesMAHBarrier23[Column2],0)),"")</f>
        <v>#N/A</v>
      </c>
      <c r="W176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 t="e">
        <f t="shared" ca="1" si="7"/>
        <v>#N/A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e">
        <f ca="1">IF($T177&lt;=AA$4,INDEX(TypicalCriticalitiesMAHBarrier23[Typical Components],MATCH($T177,TypicalCriticalitiesMAHBarrier23[Column2],0)),"")</f>
        <v>#N/A</v>
      </c>
      <c r="W177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 t="e">
        <f t="shared" ca="1" si="7"/>
        <v>#N/A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e">
        <f ca="1">IF($T178&lt;=AA$4,INDEX(TypicalCriticalitiesMAHBarrier23[Typical Components],MATCH($T178,TypicalCriticalitiesMAHBarrier23[Column2],0)),"")</f>
        <v>#N/A</v>
      </c>
      <c r="W178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 t="e">
        <f t="shared" ca="1" si="7"/>
        <v>#N/A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e">
        <f ca="1">IF($T179&lt;=AA$4,INDEX(TypicalCriticalitiesMAHBarrier23[Typical Components],MATCH($T179,TypicalCriticalitiesMAHBarrier23[Column2],0)),"")</f>
        <v>#N/A</v>
      </c>
      <c r="W179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 t="e">
        <f t="shared" ca="1" si="7"/>
        <v>#N/A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e">
        <f ca="1">IF($T180&lt;=AA$4,INDEX(TypicalCriticalitiesMAHBarrier23[Typical Components],MATCH($T180,TypicalCriticalitiesMAHBarrier23[Column2],0)),"")</f>
        <v>#N/A</v>
      </c>
      <c r="W180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 t="e">
        <f t="shared" ca="1" si="7"/>
        <v>#N/A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e">
        <f ca="1">IF($T181&lt;=AA$4,INDEX(TypicalCriticalitiesMAHBarrier23[Typical Components],MATCH($T181,TypicalCriticalitiesMAHBarrier23[Column2],0)),"")</f>
        <v>#N/A</v>
      </c>
      <c r="W181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 t="e">
        <f t="shared" ca="1" si="7"/>
        <v>#N/A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e">
        <f ca="1">IF($T182&lt;=AA$4,INDEX(TypicalCriticalitiesMAHBarrier23[Typical Components],MATCH($T182,TypicalCriticalitiesMAHBarrier23[Column2],0)),"")</f>
        <v>#N/A</v>
      </c>
      <c r="W18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 t="e">
        <f t="shared" ca="1" si="7"/>
        <v>#N/A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e">
        <f ca="1">IF($T183&lt;=AA$4,INDEX(TypicalCriticalitiesMAHBarrier23[Typical Components],MATCH($T183,TypicalCriticalitiesMAHBarrier23[Column2],0)),"")</f>
        <v>#N/A</v>
      </c>
      <c r="W183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 t="e">
        <f t="shared" ca="1" si="7"/>
        <v>#N/A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e">
        <f ca="1">IF($T184&lt;=AA$4,INDEX(TypicalCriticalitiesMAHBarrier23[Typical Components],MATCH($T184,TypicalCriticalitiesMAHBarrier23[Column2],0)),"")</f>
        <v>#N/A</v>
      </c>
      <c r="W184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 t="e">
        <f t="shared" ca="1" si="7"/>
        <v>#N/A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e">
        <f ca="1">IF($T185&lt;=AA$4,INDEX(TypicalCriticalitiesMAHBarrier23[Typical Components],MATCH($T185,TypicalCriticalitiesMAHBarrier23[Column2],0)),"")</f>
        <v>#N/A</v>
      </c>
      <c r="W185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 t="e">
        <f t="shared" ca="1" si="7"/>
        <v>#N/A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e">
        <f ca="1">IF($T186&lt;=AA$4,INDEX(TypicalCriticalitiesMAHBarrier23[Typical Components],MATCH($T186,TypicalCriticalitiesMAHBarrier23[Column2],0)),"")</f>
        <v>#N/A</v>
      </c>
      <c r="W186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 t="e">
        <f t="shared" ca="1" si="7"/>
        <v>#N/A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e">
        <f ca="1">IF($T187&lt;=AA$4,INDEX(TypicalCriticalitiesMAHBarrier23[Typical Components],MATCH($T187,TypicalCriticalitiesMAHBarrier23[Column2],0)),"")</f>
        <v>#N/A</v>
      </c>
      <c r="W187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 t="e">
        <f t="shared" ca="1" si="7"/>
        <v>#N/A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e">
        <f ca="1">IF($T188&lt;=AA$4,INDEX(TypicalCriticalitiesMAHBarrier23[Typical Components],MATCH($T188,TypicalCriticalitiesMAHBarrier23[Column2],0)),"")</f>
        <v>#N/A</v>
      </c>
      <c r="W188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 t="e">
        <f t="shared" ca="1" si="7"/>
        <v>#N/A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e">
        <f ca="1">IF($T189&lt;=AA$4,INDEX(TypicalCriticalitiesMAHBarrier23[Typical Components],MATCH($T189,TypicalCriticalitiesMAHBarrier23[Column2],0)),"")</f>
        <v>#N/A</v>
      </c>
      <c r="W189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 t="e">
        <f t="shared" ca="1" si="7"/>
        <v>#N/A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e">
        <f ca="1">IF($T190&lt;=AA$4,INDEX(TypicalCriticalitiesMAHBarrier23[Typical Components],MATCH($T190,TypicalCriticalitiesMAHBarrier23[Column2],0)),"")</f>
        <v>#N/A</v>
      </c>
      <c r="W190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 t="e">
        <f t="shared" ca="1" si="7"/>
        <v>#N/A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e">
        <f ca="1">IF($T191&lt;=AA$4,INDEX(TypicalCriticalitiesMAHBarrier23[Typical Components],MATCH($T191,TypicalCriticalitiesMAHBarrier23[Column2],0)),"")</f>
        <v>#N/A</v>
      </c>
      <c r="W191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 t="e">
        <f t="shared" ca="1" si="7"/>
        <v>#N/A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e">
        <f ca="1">IF($T192&lt;=AA$4,INDEX(TypicalCriticalitiesMAHBarrier23[Typical Components],MATCH($T192,TypicalCriticalitiesMAHBarrier23[Column2],0)),"")</f>
        <v>#N/A</v>
      </c>
      <c r="W19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 t="e">
        <f t="shared" ca="1" si="7"/>
        <v>#N/A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e">
        <f ca="1">IF($T193&lt;=AA$4,INDEX(TypicalCriticalitiesMAHBarrier23[Typical Components],MATCH($T193,TypicalCriticalitiesMAHBarrier23[Column2],0)),"")</f>
        <v>#N/A</v>
      </c>
      <c r="W193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 t="e">
        <f t="shared" ca="1" si="7"/>
        <v>#N/A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e">
        <f ca="1">IF($T194&lt;=AA$4,INDEX(TypicalCriticalitiesMAHBarrier23[Typical Components],MATCH($T194,TypicalCriticalitiesMAHBarrier23[Column2],0)),"")</f>
        <v>#N/A</v>
      </c>
      <c r="W194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 t="e">
        <f t="shared" ca="1" si="7"/>
        <v>#N/A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e">
        <f ca="1">IF($T195&lt;=AA$4,INDEX(TypicalCriticalitiesMAHBarrier23[Typical Components],MATCH($T195,TypicalCriticalitiesMAHBarrier23[Column2],0)),"")</f>
        <v>#N/A</v>
      </c>
      <c r="W195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 t="e">
        <f t="shared" ca="1" si="7"/>
        <v>#N/A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e">
        <f ca="1">IF($T196&lt;=AA$4,INDEX(TypicalCriticalitiesMAHBarrier23[Typical Components],MATCH($T196,TypicalCriticalitiesMAHBarrier23[Column2],0)),"")</f>
        <v>#N/A</v>
      </c>
      <c r="W196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 t="e">
        <f t="shared" ref="S197:S264" ca="1" si="10">IF(R197=$Z$5,IF(AND(P197&lt;&gt;P196,P197&lt;&gt;""),S196+1,S196),S196)</f>
        <v>#N/A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e">
        <f ca="1">IF($T197&lt;=AA$4,INDEX(TypicalCriticalitiesMAHBarrier23[Typical Components],MATCH($T197,TypicalCriticalitiesMAHBarrier23[Column2],0)),"")</f>
        <v>#N/A</v>
      </c>
      <c r="W197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 t="e">
        <f t="shared" ca="1" si="10"/>
        <v>#N/A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e">
        <f ca="1">IF($T198&lt;=AA$4,INDEX(TypicalCriticalitiesMAHBarrier23[Typical Components],MATCH($T198,TypicalCriticalitiesMAHBarrier23[Column2],0)),"")</f>
        <v>#N/A</v>
      </c>
      <c r="W198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 t="e">
        <f t="shared" ca="1" si="10"/>
        <v>#N/A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e">
        <f ca="1">IF($T199&lt;=AA$4,INDEX(TypicalCriticalitiesMAHBarrier23[Typical Components],MATCH($T199,TypicalCriticalitiesMAHBarrier23[Column2],0)),"")</f>
        <v>#N/A</v>
      </c>
      <c r="W199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 t="e">
        <f t="shared" ca="1" si="10"/>
        <v>#N/A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e">
        <f ca="1">IF($T200&lt;=AA$4,INDEX(TypicalCriticalitiesMAHBarrier23[Typical Components],MATCH($T200,TypicalCriticalitiesMAHBarrier23[Column2],0)),"")</f>
        <v>#N/A</v>
      </c>
      <c r="W200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 t="e">
        <f t="shared" ca="1" si="10"/>
        <v>#N/A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e">
        <f ca="1">IF($T201&lt;=AA$4,INDEX(TypicalCriticalitiesMAHBarrier23[Typical Components],MATCH($T201,TypicalCriticalitiesMAHBarrier23[Column2],0)),"")</f>
        <v>#N/A</v>
      </c>
      <c r="W201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 t="e">
        <f t="shared" ca="1" si="10"/>
        <v>#N/A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e">
        <f ca="1">IF($T202&lt;=AA$4,INDEX(TypicalCriticalitiesMAHBarrier23[Typical Components],MATCH($T202,TypicalCriticalitiesMAHBarrier23[Column2],0)),"")</f>
        <v>#N/A</v>
      </c>
      <c r="W20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 t="e">
        <f t="shared" ca="1" si="10"/>
        <v>#N/A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e">
        <f ca="1">IF($T203&lt;=AA$4,INDEX(TypicalCriticalitiesMAHBarrier23[Typical Components],MATCH($T203,TypicalCriticalitiesMAHBarrier23[Column2],0)),"")</f>
        <v>#N/A</v>
      </c>
      <c r="W203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 t="e">
        <f t="shared" ca="1" si="10"/>
        <v>#N/A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e">
        <f ca="1">IF($T204&lt;=AA$4,INDEX(TypicalCriticalitiesMAHBarrier23[Typical Components],MATCH($T204,TypicalCriticalitiesMAHBarrier23[Column2],0)),"")</f>
        <v>#N/A</v>
      </c>
      <c r="W204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 t="e">
        <f t="shared" ca="1" si="10"/>
        <v>#N/A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e">
        <f ca="1">IF($T205&lt;=AA$4,INDEX(TypicalCriticalitiesMAHBarrier23[Typical Components],MATCH($T205,TypicalCriticalitiesMAHBarrier23[Column2],0)),"")</f>
        <v>#N/A</v>
      </c>
      <c r="W205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 t="e">
        <f t="shared" ca="1" si="10"/>
        <v>#N/A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e">
        <f ca="1">IF($T206&lt;=AA$4,INDEX(TypicalCriticalitiesMAHBarrier23[Typical Components],MATCH($T206,TypicalCriticalitiesMAHBarrier23[Column2],0)),"")</f>
        <v>#N/A</v>
      </c>
      <c r="W206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 t="e">
        <f t="shared" ca="1" si="10"/>
        <v>#N/A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e">
        <f ca="1">IF($T207&lt;=AA$4,INDEX(TypicalCriticalitiesMAHBarrier23[Typical Components],MATCH($T207,TypicalCriticalitiesMAHBarrier23[Column2],0)),"")</f>
        <v>#N/A</v>
      </c>
      <c r="W207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 t="e">
        <f t="shared" ca="1" si="10"/>
        <v>#N/A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e">
        <f ca="1">IF($T208&lt;=AA$4,INDEX(TypicalCriticalitiesMAHBarrier23[Typical Components],MATCH($T208,TypicalCriticalitiesMAHBarrier23[Column2],0)),"")</f>
        <v>#N/A</v>
      </c>
      <c r="W208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 t="e">
        <f t="shared" ca="1" si="10"/>
        <v>#N/A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e">
        <f ca="1">IF($T209&lt;=AA$4,INDEX(TypicalCriticalitiesMAHBarrier23[Typical Components],MATCH($T209,TypicalCriticalitiesMAHBarrier23[Column2],0)),"")</f>
        <v>#N/A</v>
      </c>
      <c r="W209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 t="e">
        <f t="shared" ca="1" si="10"/>
        <v>#N/A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e">
        <f ca="1">IF($T210&lt;=AA$4,INDEX(TypicalCriticalitiesMAHBarrier23[Typical Components],MATCH($T210,TypicalCriticalitiesMAHBarrier23[Column2],0)),"")</f>
        <v>#N/A</v>
      </c>
      <c r="W210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 t="e">
        <f t="shared" ca="1" si="10"/>
        <v>#N/A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e">
        <f ca="1">IF($T211&lt;=AA$4,INDEX(TypicalCriticalitiesMAHBarrier23[Typical Components],MATCH($T211,TypicalCriticalitiesMAHBarrier23[Column2],0)),"")</f>
        <v>#N/A</v>
      </c>
      <c r="W211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 t="e">
        <f t="shared" ca="1" si="10"/>
        <v>#N/A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e">
        <f ca="1">IF($T212&lt;=AA$4,INDEX(TypicalCriticalitiesMAHBarrier23[Typical Components],MATCH($T212,TypicalCriticalitiesMAHBarrier23[Column2],0)),"")</f>
        <v>#N/A</v>
      </c>
      <c r="W21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 t="e">
        <f t="shared" ca="1" si="10"/>
        <v>#N/A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e">
        <f ca="1">IF($T213&lt;=AA$4,INDEX(TypicalCriticalitiesMAHBarrier23[Typical Components],MATCH($T213,TypicalCriticalitiesMAHBarrier23[Column2],0)),"")</f>
        <v>#N/A</v>
      </c>
      <c r="W213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 t="e">
        <f t="shared" ca="1" si="10"/>
        <v>#N/A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e">
        <f ca="1">IF($T214&lt;=AA$4,INDEX(TypicalCriticalitiesMAHBarrier23[Typical Components],MATCH($T214,TypicalCriticalitiesMAHBarrier23[Column2],0)),"")</f>
        <v>#N/A</v>
      </c>
      <c r="W214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 t="e">
        <f t="shared" ca="1" si="10"/>
        <v>#N/A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e">
        <f ca="1">IF($T215&lt;=AA$4,INDEX(TypicalCriticalitiesMAHBarrier23[Typical Components],MATCH($T215,TypicalCriticalitiesMAHBarrier23[Column2],0)),"")</f>
        <v>#N/A</v>
      </c>
      <c r="W215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 t="e">
        <f t="shared" ca="1" si="10"/>
        <v>#N/A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e">
        <f ca="1">IF($T216&lt;=AA$4,INDEX(TypicalCriticalitiesMAHBarrier23[Typical Components],MATCH($T216,TypicalCriticalitiesMAHBarrier23[Column2],0)),"")</f>
        <v>#N/A</v>
      </c>
      <c r="W216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 t="e">
        <f t="shared" ca="1" si="10"/>
        <v>#N/A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e">
        <f ca="1">IF($T217&lt;=AA$4,INDEX(TypicalCriticalitiesMAHBarrier23[Typical Components],MATCH($T217,TypicalCriticalitiesMAHBarrier23[Column2],0)),"")</f>
        <v>#N/A</v>
      </c>
      <c r="W217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 t="e">
        <f t="shared" ca="1" si="10"/>
        <v>#N/A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e">
        <f ca="1">IF($T218&lt;=AA$4,INDEX(TypicalCriticalitiesMAHBarrier23[Typical Components],MATCH($T218,TypicalCriticalitiesMAHBarrier23[Column2],0)),"")</f>
        <v>#N/A</v>
      </c>
      <c r="W218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 t="e">
        <f t="shared" ca="1" si="10"/>
        <v>#N/A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e">
        <f ca="1">IF($T219&lt;=AA$4,INDEX(TypicalCriticalitiesMAHBarrier23[Typical Components],MATCH($T219,TypicalCriticalitiesMAHBarrier23[Column2],0)),"")</f>
        <v>#N/A</v>
      </c>
      <c r="W219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 t="e">
        <f t="shared" ca="1" si="10"/>
        <v>#N/A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e">
        <f ca="1">IF($T220&lt;=AA$4,INDEX(TypicalCriticalitiesMAHBarrier23[Typical Components],MATCH($T220,TypicalCriticalitiesMAHBarrier23[Column2],0)),"")</f>
        <v>#N/A</v>
      </c>
      <c r="W220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 t="e">
        <f t="shared" ca="1" si="10"/>
        <v>#N/A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e">
        <f ca="1">IF($T221&lt;=AA$4,INDEX(TypicalCriticalitiesMAHBarrier23[Typical Components],MATCH($T221,TypicalCriticalitiesMAHBarrier23[Column2],0)),"")</f>
        <v>#N/A</v>
      </c>
      <c r="W221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 t="e">
        <f t="shared" ca="1" si="10"/>
        <v>#N/A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e">
        <f ca="1">IF($T222&lt;=AA$4,INDEX(TypicalCriticalitiesMAHBarrier23[Typical Components],MATCH($T222,TypicalCriticalitiesMAHBarrier23[Column2],0)),"")</f>
        <v>#N/A</v>
      </c>
      <c r="W22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 t="e">
        <f t="shared" ca="1" si="10"/>
        <v>#N/A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e">
        <f ca="1">IF($T223&lt;=AA$4,INDEX(TypicalCriticalitiesMAHBarrier23[Typical Components],MATCH($T223,TypicalCriticalitiesMAHBarrier23[Column2],0)),"")</f>
        <v>#N/A</v>
      </c>
      <c r="W223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 t="e">
        <f t="shared" ca="1" si="10"/>
        <v>#N/A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e">
        <f ca="1">IF($T224&lt;=AA$4,INDEX(TypicalCriticalitiesMAHBarrier23[Typical Components],MATCH($T224,TypicalCriticalitiesMAHBarrier23[Column2],0)),"")</f>
        <v>#N/A</v>
      </c>
      <c r="W224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 t="e">
        <f t="shared" ca="1" si="10"/>
        <v>#N/A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e">
        <f ca="1">IF($T225&lt;=AA$4,INDEX(TypicalCriticalitiesMAHBarrier23[Typical Components],MATCH($T225,TypicalCriticalitiesMAHBarrier23[Column2],0)),"")</f>
        <v>#N/A</v>
      </c>
      <c r="W225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 t="e">
        <f t="shared" ca="1" si="10"/>
        <v>#N/A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e">
        <f ca="1">IF($T226&lt;=AA$4,INDEX(TypicalCriticalitiesMAHBarrier23[Typical Components],MATCH($T226,TypicalCriticalitiesMAHBarrier23[Column2],0)),"")</f>
        <v>#N/A</v>
      </c>
      <c r="W226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 t="e">
        <f t="shared" ca="1" si="10"/>
        <v>#N/A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e">
        <f ca="1">IF($T227&lt;=AA$4,INDEX(TypicalCriticalitiesMAHBarrier23[Typical Components],MATCH($T227,TypicalCriticalitiesMAHBarrier23[Column2],0)),"")</f>
        <v>#N/A</v>
      </c>
      <c r="W227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 t="e">
        <f t="shared" ca="1" si="10"/>
        <v>#N/A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e">
        <f ca="1">IF($T228&lt;=AA$4,INDEX(TypicalCriticalitiesMAHBarrier23[Typical Components],MATCH($T228,TypicalCriticalitiesMAHBarrier23[Column2],0)),"")</f>
        <v>#N/A</v>
      </c>
      <c r="W228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 t="e">
        <f t="shared" ca="1" si="10"/>
        <v>#N/A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e">
        <f ca="1">IF($T229&lt;=AA$4,INDEX(TypicalCriticalitiesMAHBarrier23[Typical Components],MATCH($T229,TypicalCriticalitiesMAHBarrier23[Column2],0)),"")</f>
        <v>#N/A</v>
      </c>
      <c r="W229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 t="e">
        <f t="shared" ca="1" si="10"/>
        <v>#N/A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e">
        <f ca="1">IF($T230&lt;=AA$4,INDEX(TypicalCriticalitiesMAHBarrier23[Typical Components],MATCH($T230,TypicalCriticalitiesMAHBarrier23[Column2],0)),"")</f>
        <v>#N/A</v>
      </c>
      <c r="W230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 t="e">
        <f t="shared" ca="1" si="10"/>
        <v>#N/A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e">
        <f ca="1">IF($T231&lt;=AA$4,INDEX(TypicalCriticalitiesMAHBarrier23[Typical Components],MATCH($T231,TypicalCriticalitiesMAHBarrier23[Column2],0)),"")</f>
        <v>#N/A</v>
      </c>
      <c r="W231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 t="e">
        <f t="shared" ca="1" si="10"/>
        <v>#N/A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e">
        <f ca="1">IF($T232&lt;=AA$4,INDEX(TypicalCriticalitiesMAHBarrier23[Typical Components],MATCH($T232,TypicalCriticalitiesMAHBarrier23[Column2],0)),"")</f>
        <v>#N/A</v>
      </c>
      <c r="W23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 t="e">
        <f t="shared" ca="1" si="10"/>
        <v>#N/A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e">
        <f ca="1">IF($T233&lt;=AA$4,INDEX(TypicalCriticalitiesMAHBarrier23[Typical Components],MATCH($T233,TypicalCriticalitiesMAHBarrier23[Column2],0)),"")</f>
        <v>#N/A</v>
      </c>
      <c r="W233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 t="e">
        <f t="shared" ca="1" si="10"/>
        <v>#N/A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e">
        <f ca="1">IF($T234&lt;=AA$4,INDEX(TypicalCriticalitiesMAHBarrier23[Typical Components],MATCH($T234,TypicalCriticalitiesMAHBarrier23[Column2],0)),"")</f>
        <v>#N/A</v>
      </c>
      <c r="W234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 t="e">
        <f t="shared" ca="1" si="10"/>
        <v>#N/A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e">
        <f ca="1">IF($T235&lt;=AA$4,INDEX(TypicalCriticalitiesMAHBarrier23[Typical Components],MATCH($T235,TypicalCriticalitiesMAHBarrier23[Column2],0)),"")</f>
        <v>#N/A</v>
      </c>
      <c r="W235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 t="e">
        <f t="shared" ca="1" si="10"/>
        <v>#N/A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e">
        <f ca="1">IF($T236&lt;=AA$4,INDEX(TypicalCriticalitiesMAHBarrier23[Typical Components],MATCH($T236,TypicalCriticalitiesMAHBarrier23[Column2],0)),"")</f>
        <v>#N/A</v>
      </c>
      <c r="W236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 t="e">
        <f t="shared" ca="1" si="10"/>
        <v>#N/A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e">
        <f ca="1">IF($T237&lt;=AA$4,INDEX(TypicalCriticalitiesMAHBarrier23[Typical Components],MATCH($T237,TypicalCriticalitiesMAHBarrier23[Column2],0)),"")</f>
        <v>#N/A</v>
      </c>
      <c r="W237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 t="e">
        <f t="shared" ca="1" si="10"/>
        <v>#N/A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e">
        <f ca="1">IF($T238&lt;=AA$4,INDEX(TypicalCriticalitiesMAHBarrier23[Typical Components],MATCH($T238,TypicalCriticalitiesMAHBarrier23[Column2],0)),"")</f>
        <v>#N/A</v>
      </c>
      <c r="W238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 t="e">
        <f t="shared" ca="1" si="10"/>
        <v>#N/A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e">
        <f ca="1">IF($T239&lt;=AA$4,INDEX(TypicalCriticalitiesMAHBarrier23[Typical Components],MATCH($T239,TypicalCriticalitiesMAHBarrier23[Column2],0)),"")</f>
        <v>#N/A</v>
      </c>
      <c r="W239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 t="e">
        <f t="shared" ca="1" si="10"/>
        <v>#N/A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e">
        <f ca="1">IF($T240&lt;=AA$4,INDEX(TypicalCriticalitiesMAHBarrier23[Typical Components],MATCH($T240,TypicalCriticalitiesMAHBarrier23[Column2],0)),"")</f>
        <v>#N/A</v>
      </c>
      <c r="W240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 t="e">
        <f t="shared" ca="1" si="10"/>
        <v>#N/A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e">
        <f ca="1">IF($T241&lt;=AA$4,INDEX(TypicalCriticalitiesMAHBarrier23[Typical Components],MATCH($T241,TypicalCriticalitiesMAHBarrier23[Column2],0)),"")</f>
        <v>#N/A</v>
      </c>
      <c r="W241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 t="e">
        <f t="shared" ca="1" si="10"/>
        <v>#N/A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e">
        <f ca="1">IF($T242&lt;=AA$4,INDEX(TypicalCriticalitiesMAHBarrier23[Typical Components],MATCH($T242,TypicalCriticalitiesMAHBarrier23[Column2],0)),"")</f>
        <v>#N/A</v>
      </c>
      <c r="W24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 t="e">
        <f t="shared" ca="1" si="10"/>
        <v>#N/A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e">
        <f ca="1">IF($T243&lt;=AA$4,INDEX(TypicalCriticalitiesMAHBarrier23[Typical Components],MATCH($T243,TypicalCriticalitiesMAHBarrier23[Column2],0)),"")</f>
        <v>#N/A</v>
      </c>
      <c r="W243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 t="e">
        <f t="shared" ca="1" si="10"/>
        <v>#N/A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e">
        <f ca="1">IF($T244&lt;=AA$4,INDEX(TypicalCriticalitiesMAHBarrier23[Typical Components],MATCH($T244,TypicalCriticalitiesMAHBarrier23[Column2],0)),"")</f>
        <v>#N/A</v>
      </c>
      <c r="W244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 t="e">
        <f t="shared" ca="1" si="10"/>
        <v>#N/A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e">
        <f ca="1">IF($T245&lt;=AA$4,INDEX(TypicalCriticalitiesMAHBarrier23[Typical Components],MATCH($T245,TypicalCriticalitiesMAHBarrier23[Column2],0)),"")</f>
        <v>#N/A</v>
      </c>
      <c r="W245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 t="e">
        <f t="shared" ca="1" si="10"/>
        <v>#N/A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e">
        <f ca="1">IF($T246&lt;=AA$4,INDEX(TypicalCriticalitiesMAHBarrier23[Typical Components],MATCH($T246,TypicalCriticalitiesMAHBarrier23[Column2],0)),"")</f>
        <v>#N/A</v>
      </c>
      <c r="W246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 t="e">
        <f t="shared" ca="1" si="10"/>
        <v>#N/A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e">
        <f ca="1">IF($T247&lt;=AA$4,INDEX(TypicalCriticalitiesMAHBarrier23[Typical Components],MATCH($T247,TypicalCriticalitiesMAHBarrier23[Column2],0)),"")</f>
        <v>#N/A</v>
      </c>
      <c r="W247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 t="e">
        <f t="shared" ca="1" si="10"/>
        <v>#N/A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e">
        <f ca="1">IF($T248&lt;=AA$4,INDEX(TypicalCriticalitiesMAHBarrier23[Typical Components],MATCH($T248,TypicalCriticalitiesMAHBarrier23[Column2],0)),"")</f>
        <v>#N/A</v>
      </c>
      <c r="W248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 t="e">
        <f t="shared" ca="1" si="10"/>
        <v>#N/A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e">
        <f ca="1">IF($T249&lt;=AA$4,INDEX(TypicalCriticalitiesMAHBarrier23[Typical Components],MATCH($T249,TypicalCriticalitiesMAHBarrier23[Column2],0)),"")</f>
        <v>#N/A</v>
      </c>
      <c r="W249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 t="e">
        <f t="shared" ca="1" si="10"/>
        <v>#N/A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e">
        <f ca="1">IF($T250&lt;=AA$4,INDEX(TypicalCriticalitiesMAHBarrier23[Typical Components],MATCH($T250,TypicalCriticalitiesMAHBarrier23[Column2],0)),"")</f>
        <v>#N/A</v>
      </c>
      <c r="W250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 t="e">
        <f t="shared" ca="1" si="10"/>
        <v>#N/A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e">
        <f ca="1">IF($T251&lt;=AA$4,INDEX(TypicalCriticalitiesMAHBarrier23[Typical Components],MATCH($T251,TypicalCriticalitiesMAHBarrier23[Column2],0)),"")</f>
        <v>#N/A</v>
      </c>
      <c r="W251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 t="e">
        <f t="shared" ca="1" si="10"/>
        <v>#N/A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e">
        <f ca="1">IF($T252&lt;=AA$4,INDEX(TypicalCriticalitiesMAHBarrier23[Typical Components],MATCH($T252,TypicalCriticalitiesMAHBarrier23[Column2],0)),"")</f>
        <v>#N/A</v>
      </c>
      <c r="W25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 t="e">
        <f t="shared" ca="1" si="10"/>
        <v>#N/A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e">
        <f ca="1">IF($T253&lt;=AA$4,INDEX(TypicalCriticalitiesMAHBarrier23[Typical Components],MATCH($T253,TypicalCriticalitiesMAHBarrier23[Column2],0)),"")</f>
        <v>#N/A</v>
      </c>
      <c r="W253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 t="e">
        <f t="shared" ca="1" si="10"/>
        <v>#N/A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e">
        <f ca="1">IF($T254&lt;=AA$4,INDEX(TypicalCriticalitiesMAHBarrier23[Typical Components],MATCH($T254,TypicalCriticalitiesMAHBarrier23[Column2],0)),"")</f>
        <v>#N/A</v>
      </c>
      <c r="W254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 t="e">
        <f t="shared" ca="1" si="10"/>
        <v>#N/A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e">
        <f ca="1">IF($T255&lt;=AA$4,INDEX(TypicalCriticalitiesMAHBarrier23[Typical Components],MATCH($T255,TypicalCriticalitiesMAHBarrier23[Column2],0)),"")</f>
        <v>#N/A</v>
      </c>
      <c r="W255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 t="e">
        <f t="shared" ca="1" si="10"/>
        <v>#N/A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e">
        <f ca="1">IF($T256&lt;=AA$4,INDEX(TypicalCriticalitiesMAHBarrier23[Typical Components],MATCH($T256,TypicalCriticalitiesMAHBarrier23[Column2],0)),"")</f>
        <v>#N/A</v>
      </c>
      <c r="W256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 t="e">
        <f t="shared" ca="1" si="10"/>
        <v>#N/A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e">
        <f ca="1">IF($T257&lt;=AA$4,INDEX(TypicalCriticalitiesMAHBarrier23[Typical Components],MATCH($T257,TypicalCriticalitiesMAHBarrier23[Column2],0)),"")</f>
        <v>#N/A</v>
      </c>
      <c r="W257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 t="e">
        <f t="shared" ca="1" si="10"/>
        <v>#N/A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e">
        <f ca="1">IF($T258&lt;=AA$4,INDEX(TypicalCriticalitiesMAHBarrier23[Typical Components],MATCH($T258,TypicalCriticalitiesMAHBarrier23[Column2],0)),"")</f>
        <v>#N/A</v>
      </c>
      <c r="W258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 t="e">
        <f t="shared" ca="1" si="10"/>
        <v>#N/A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e">
        <f ca="1">IF($T259&lt;=AA$4,INDEX(TypicalCriticalitiesMAHBarrier23[Typical Components],MATCH($T259,TypicalCriticalitiesMAHBarrier23[Column2],0)),"")</f>
        <v>#N/A</v>
      </c>
      <c r="W259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 t="e">
        <f t="shared" ca="1" si="10"/>
        <v>#N/A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e">
        <f ca="1">IF($T260&lt;=AA$4,INDEX(TypicalCriticalitiesMAHBarrier23[Typical Components],MATCH($T260,TypicalCriticalitiesMAHBarrier23[Column2],0)),"")</f>
        <v>#N/A</v>
      </c>
      <c r="W260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 t="e">
        <f t="shared" ca="1" si="10"/>
        <v>#N/A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e">
        <f ca="1">IF($T261&lt;=AA$4,INDEX(TypicalCriticalitiesMAHBarrier23[Typical Components],MATCH($T261,TypicalCriticalitiesMAHBarrier23[Column2],0)),"")</f>
        <v>#N/A</v>
      </c>
      <c r="W261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 t="e">
        <f t="shared" ca="1" si="10"/>
        <v>#N/A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e">
        <f ca="1">IF($T262&lt;=AA$4,INDEX(TypicalCriticalitiesMAHBarrier23[Typical Components],MATCH($T262,TypicalCriticalitiesMAHBarrier23[Column2],0)),"")</f>
        <v>#N/A</v>
      </c>
      <c r="W26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 t="e">
        <f t="shared" ca="1" si="10"/>
        <v>#N/A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e">
        <f ca="1">IF($T263&lt;=AA$4,INDEX(TypicalCriticalitiesMAHBarrier23[Typical Components],MATCH($T263,TypicalCriticalitiesMAHBarrier23[Column2],0)),"")</f>
        <v>#N/A</v>
      </c>
      <c r="W263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 t="e">
        <f t="shared" ca="1" si="10"/>
        <v>#N/A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e">
        <f ca="1">IF($T264&lt;=AA$4,INDEX(TypicalCriticalitiesMAHBarrier23[Typical Components],MATCH($T264,TypicalCriticalitiesMAHBarrier23[Column2],0)),"")</f>
        <v>#N/A</v>
      </c>
      <c r="W264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 t="e">
        <f t="shared" ref="S265:S309" ca="1" si="14">IF(R265=$Z$5,IF(AND(P265&lt;&gt;P264,P265&lt;&gt;""),S264+1,S264),S264)</f>
        <v>#N/A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e">
        <f ca="1">IF($T265&lt;=AA$4,INDEX(TypicalCriticalitiesMAHBarrier23[Typical Components],MATCH($T265,TypicalCriticalitiesMAHBarrier23[Column2],0)),"")</f>
        <v>#N/A</v>
      </c>
      <c r="W265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 t="e">
        <f t="shared" ca="1" si="14"/>
        <v>#N/A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e">
        <f ca="1">IF($T266&lt;=AA$4,INDEX(TypicalCriticalitiesMAHBarrier23[Typical Components],MATCH($T266,TypicalCriticalitiesMAHBarrier23[Column2],0)),"")</f>
        <v>#N/A</v>
      </c>
      <c r="W266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 t="e">
        <f t="shared" ca="1" si="14"/>
        <v>#N/A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e">
        <f ca="1">IF($T267&lt;=AA$4,INDEX(TypicalCriticalitiesMAHBarrier23[Typical Components],MATCH($T267,TypicalCriticalitiesMAHBarrier23[Column2],0)),"")</f>
        <v>#N/A</v>
      </c>
      <c r="W267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 t="e">
        <f t="shared" ca="1" si="14"/>
        <v>#N/A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e">
        <f ca="1">IF($T268&lt;=AA$4,INDEX(TypicalCriticalitiesMAHBarrier23[Typical Components],MATCH($T268,TypicalCriticalitiesMAHBarrier23[Column2],0)),"")</f>
        <v>#N/A</v>
      </c>
      <c r="W268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 t="e">
        <f t="shared" ca="1" si="14"/>
        <v>#N/A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e">
        <f ca="1">IF($T269&lt;=AA$4,INDEX(TypicalCriticalitiesMAHBarrier23[Typical Components],MATCH($T269,TypicalCriticalitiesMAHBarrier23[Column2],0)),"")</f>
        <v>#N/A</v>
      </c>
      <c r="W269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 t="e">
        <f t="shared" ca="1" si="14"/>
        <v>#N/A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e">
        <f ca="1">IF($T270&lt;=AA$4,INDEX(TypicalCriticalitiesMAHBarrier23[Typical Components],MATCH($T270,TypicalCriticalitiesMAHBarrier23[Column2],0)),"")</f>
        <v>#N/A</v>
      </c>
      <c r="W270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 t="e">
        <f t="shared" ca="1" si="14"/>
        <v>#N/A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e">
        <f ca="1">IF($T271&lt;=AA$4,INDEX(TypicalCriticalitiesMAHBarrier23[Typical Components],MATCH($T271,TypicalCriticalitiesMAHBarrier23[Column2],0)),"")</f>
        <v>#N/A</v>
      </c>
      <c r="W271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 t="e">
        <f t="shared" ca="1" si="14"/>
        <v>#N/A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e">
        <f ca="1">IF($T272&lt;=AA$4,INDEX(TypicalCriticalitiesMAHBarrier23[Typical Components],MATCH($T272,TypicalCriticalitiesMAHBarrier23[Column2],0)),"")</f>
        <v>#N/A</v>
      </c>
      <c r="W27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 t="e">
        <f t="shared" ca="1" si="14"/>
        <v>#N/A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e">
        <f ca="1">IF($T273&lt;=AA$4,INDEX(TypicalCriticalitiesMAHBarrier23[Typical Components],MATCH($T273,TypicalCriticalitiesMAHBarrier23[Column2],0)),"")</f>
        <v>#N/A</v>
      </c>
      <c r="W273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 t="e">
        <f t="shared" ca="1" si="14"/>
        <v>#N/A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e">
        <f ca="1">IF($T274&lt;=AA$4,INDEX(TypicalCriticalitiesMAHBarrier23[Typical Components],MATCH($T274,TypicalCriticalitiesMAHBarrier23[Column2],0)),"")</f>
        <v>#N/A</v>
      </c>
      <c r="W274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 t="e">
        <f t="shared" ca="1" si="14"/>
        <v>#N/A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e">
        <f ca="1">IF($T275&lt;=AA$4,INDEX(TypicalCriticalitiesMAHBarrier23[Typical Components],MATCH($T275,TypicalCriticalitiesMAHBarrier23[Column2],0)),"")</f>
        <v>#N/A</v>
      </c>
      <c r="W275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 t="e">
        <f t="shared" ca="1" si="14"/>
        <v>#N/A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e">
        <f ca="1">IF($T276&lt;=AA$4,INDEX(TypicalCriticalitiesMAHBarrier23[Typical Components],MATCH($T276,TypicalCriticalitiesMAHBarrier23[Column2],0)),"")</f>
        <v>#N/A</v>
      </c>
      <c r="W276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 t="e">
        <f t="shared" ca="1" si="14"/>
        <v>#N/A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e">
        <f ca="1">IF($T277&lt;=AA$4,INDEX(TypicalCriticalitiesMAHBarrier23[Typical Components],MATCH($T277,TypicalCriticalitiesMAHBarrier23[Column2],0)),"")</f>
        <v>#N/A</v>
      </c>
      <c r="W277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 t="e">
        <f t="shared" ca="1" si="14"/>
        <v>#N/A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e">
        <f ca="1">IF($T278&lt;=AA$4,INDEX(TypicalCriticalitiesMAHBarrier23[Typical Components],MATCH($T278,TypicalCriticalitiesMAHBarrier23[Column2],0)),"")</f>
        <v>#N/A</v>
      </c>
      <c r="W278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 t="e">
        <f t="shared" ca="1" si="14"/>
        <v>#N/A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e">
        <f ca="1">IF($T279&lt;=AA$4,INDEX(TypicalCriticalitiesMAHBarrier23[Typical Components],MATCH($T279,TypicalCriticalitiesMAHBarrier23[Column2],0)),"")</f>
        <v>#N/A</v>
      </c>
      <c r="W279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 t="e">
        <f t="shared" ca="1" si="14"/>
        <v>#N/A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e">
        <f ca="1">IF($T280&lt;=AA$4,INDEX(TypicalCriticalitiesMAHBarrier23[Typical Components],MATCH($T280,TypicalCriticalitiesMAHBarrier23[Column2],0)),"")</f>
        <v>#N/A</v>
      </c>
      <c r="W280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 t="e">
        <f t="shared" ca="1" si="14"/>
        <v>#N/A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e">
        <f ca="1">IF($T281&lt;=AA$4,INDEX(TypicalCriticalitiesMAHBarrier23[Typical Components],MATCH($T281,TypicalCriticalitiesMAHBarrier23[Column2],0)),"")</f>
        <v>#N/A</v>
      </c>
      <c r="W281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 t="e">
        <f t="shared" ca="1" si="14"/>
        <v>#N/A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e">
        <f ca="1">IF($T282&lt;=AA$4,INDEX(TypicalCriticalitiesMAHBarrier23[Typical Components],MATCH($T282,TypicalCriticalitiesMAHBarrier23[Column2],0)),"")</f>
        <v>#N/A</v>
      </c>
      <c r="W28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 t="e">
        <f t="shared" ca="1" si="14"/>
        <v>#N/A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e">
        <f ca="1">IF($T283&lt;=AA$4,INDEX(TypicalCriticalitiesMAHBarrier23[Typical Components],MATCH($T283,TypicalCriticalitiesMAHBarrier23[Column2],0)),"")</f>
        <v>#N/A</v>
      </c>
      <c r="W283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 t="e">
        <f t="shared" ca="1" si="14"/>
        <v>#N/A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e">
        <f ca="1">IF($T284&lt;=AA$4,INDEX(TypicalCriticalitiesMAHBarrier23[Typical Components],MATCH($T284,TypicalCriticalitiesMAHBarrier23[Column2],0)),"")</f>
        <v>#N/A</v>
      </c>
      <c r="W284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 t="e">
        <f t="shared" ca="1" si="14"/>
        <v>#N/A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e">
        <f ca="1">IF($T285&lt;=AA$4,INDEX(TypicalCriticalitiesMAHBarrier23[Typical Components],MATCH($T285,TypicalCriticalitiesMAHBarrier23[Column2],0)),"")</f>
        <v>#N/A</v>
      </c>
      <c r="W285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 t="e">
        <f t="shared" ca="1" si="14"/>
        <v>#N/A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e">
        <f ca="1">IF($T286&lt;=AA$4,INDEX(TypicalCriticalitiesMAHBarrier23[Typical Components],MATCH($T286,TypicalCriticalitiesMAHBarrier23[Column2],0)),"")</f>
        <v>#N/A</v>
      </c>
      <c r="W286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 t="e">
        <f t="shared" ca="1" si="14"/>
        <v>#N/A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e">
        <f ca="1">IF($T287&lt;=AA$4,INDEX(TypicalCriticalitiesMAHBarrier23[Typical Components],MATCH($T287,TypicalCriticalitiesMAHBarrier23[Column2],0)),"")</f>
        <v>#N/A</v>
      </c>
      <c r="W287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 t="e">
        <f t="shared" ca="1" si="14"/>
        <v>#N/A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e">
        <f ca="1">IF($T288&lt;=AA$4,INDEX(TypicalCriticalitiesMAHBarrier23[Typical Components],MATCH($T288,TypicalCriticalitiesMAHBarrier23[Column2],0)),"")</f>
        <v>#N/A</v>
      </c>
      <c r="W288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 t="e">
        <f t="shared" ca="1" si="14"/>
        <v>#N/A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e">
        <f ca="1">IF($T289&lt;=AA$4,INDEX(TypicalCriticalitiesMAHBarrier23[Typical Components],MATCH($T289,TypicalCriticalitiesMAHBarrier23[Column2],0)),"")</f>
        <v>#N/A</v>
      </c>
      <c r="W289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 t="e">
        <f t="shared" ca="1" si="14"/>
        <v>#N/A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e">
        <f ca="1">IF($T290&lt;=AA$4,INDEX(TypicalCriticalitiesMAHBarrier23[Typical Components],MATCH($T290,TypicalCriticalitiesMAHBarrier23[Column2],0)),"")</f>
        <v>#N/A</v>
      </c>
      <c r="W290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 t="e">
        <f t="shared" ca="1" si="14"/>
        <v>#N/A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e">
        <f ca="1">IF($T291&lt;=AA$4,INDEX(TypicalCriticalitiesMAHBarrier23[Typical Components],MATCH($T291,TypicalCriticalitiesMAHBarrier23[Column2],0)),"")</f>
        <v>#N/A</v>
      </c>
      <c r="W291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 t="e">
        <f t="shared" ca="1" si="14"/>
        <v>#N/A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e">
        <f ca="1">IF($T292&lt;=AA$4,INDEX(TypicalCriticalitiesMAHBarrier23[Typical Components],MATCH($T292,TypicalCriticalitiesMAHBarrier23[Column2],0)),"")</f>
        <v>#N/A</v>
      </c>
      <c r="W29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 t="e">
        <f t="shared" ca="1" si="14"/>
        <v>#N/A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e">
        <f ca="1">IF($T293&lt;=AA$4,INDEX(TypicalCriticalitiesMAHBarrier23[Typical Components],MATCH($T293,TypicalCriticalitiesMAHBarrier23[Column2],0)),"")</f>
        <v>#N/A</v>
      </c>
      <c r="W293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 t="e">
        <f t="shared" ca="1" si="14"/>
        <v>#N/A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e">
        <f ca="1">IF($T294&lt;=AA$4,INDEX(TypicalCriticalitiesMAHBarrier23[Typical Components],MATCH($T294,TypicalCriticalitiesMAHBarrier23[Column2],0)),"")</f>
        <v>#N/A</v>
      </c>
      <c r="W294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 t="e">
        <f t="shared" ca="1" si="14"/>
        <v>#N/A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e">
        <f ca="1">IF($T295&lt;=AA$4,INDEX(TypicalCriticalitiesMAHBarrier23[Typical Components],MATCH($T295,TypicalCriticalitiesMAHBarrier23[Column2],0)),"")</f>
        <v>#N/A</v>
      </c>
      <c r="W295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 t="e">
        <f t="shared" ca="1" si="14"/>
        <v>#N/A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e">
        <f ca="1">IF($T296&lt;=AA$4,INDEX(TypicalCriticalitiesMAHBarrier23[Typical Components],MATCH($T296,TypicalCriticalitiesMAHBarrier23[Column2],0)),"")</f>
        <v>#N/A</v>
      </c>
      <c r="W296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 t="e">
        <f t="shared" ca="1" si="14"/>
        <v>#N/A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e">
        <f ca="1">IF($T297&lt;=AA$4,INDEX(TypicalCriticalitiesMAHBarrier23[Typical Components],MATCH($T297,TypicalCriticalitiesMAHBarrier23[Column2],0)),"")</f>
        <v>#N/A</v>
      </c>
      <c r="W297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 t="e">
        <f t="shared" ca="1" si="14"/>
        <v>#N/A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e">
        <f ca="1">IF($T298&lt;=AA$4,INDEX(TypicalCriticalitiesMAHBarrier23[Typical Components],MATCH($T298,TypicalCriticalitiesMAHBarrier23[Column2],0)),"")</f>
        <v>#N/A</v>
      </c>
      <c r="W298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 t="e">
        <f t="shared" ca="1" si="14"/>
        <v>#N/A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e">
        <f ca="1">IF($T299&lt;=AA$4,INDEX(TypicalCriticalitiesMAHBarrier23[Typical Components],MATCH($T299,TypicalCriticalitiesMAHBarrier23[Column2],0)),"")</f>
        <v>#N/A</v>
      </c>
      <c r="W299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 t="e">
        <f t="shared" ca="1" si="14"/>
        <v>#N/A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e">
        <f ca="1">IF($T300&lt;=AA$4,INDEX(TypicalCriticalitiesMAHBarrier23[Typical Components],MATCH($T300,TypicalCriticalitiesMAHBarrier23[Column2],0)),"")</f>
        <v>#N/A</v>
      </c>
      <c r="W300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 t="e">
        <f t="shared" ca="1" si="14"/>
        <v>#N/A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e">
        <f ca="1">IF($T301&lt;=AA$4,INDEX(TypicalCriticalitiesMAHBarrier23[Typical Components],MATCH($T301,TypicalCriticalitiesMAHBarrier23[Column2],0)),"")</f>
        <v>#N/A</v>
      </c>
      <c r="W301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 t="e">
        <f t="shared" ca="1" si="14"/>
        <v>#N/A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e">
        <f ca="1">IF($T302&lt;=AA$4,INDEX(TypicalCriticalitiesMAHBarrier23[Typical Components],MATCH($T302,TypicalCriticalitiesMAHBarrier23[Column2],0)),"")</f>
        <v>#N/A</v>
      </c>
      <c r="W30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 t="e">
        <f t="shared" ca="1" si="14"/>
        <v>#N/A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e">
        <f ca="1">IF($T303&lt;=AA$4,INDEX(TypicalCriticalitiesMAHBarrier23[Typical Components],MATCH($T303,TypicalCriticalitiesMAHBarrier23[Column2],0)),"")</f>
        <v>#N/A</v>
      </c>
      <c r="W303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 t="e">
        <f t="shared" ca="1" si="14"/>
        <v>#N/A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e">
        <f ca="1">IF($T304&lt;=AA$4,INDEX(TypicalCriticalitiesMAHBarrier23[Typical Components],MATCH($T304,TypicalCriticalitiesMAHBarrier23[Column2],0)),"")</f>
        <v>#N/A</v>
      </c>
      <c r="W304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 t="e">
        <f t="shared" ca="1" si="14"/>
        <v>#N/A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e">
        <f ca="1">IF($T305&lt;=AA$4,INDEX(TypicalCriticalitiesMAHBarrier23[Typical Components],MATCH($T305,TypicalCriticalitiesMAHBarrier23[Column2],0)),"")</f>
        <v>#N/A</v>
      </c>
      <c r="W305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 t="e">
        <f t="shared" ca="1" si="14"/>
        <v>#N/A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e">
        <f ca="1">IF($T306&lt;=AA$4,INDEX(TypicalCriticalitiesMAHBarrier23[Typical Components],MATCH($T306,TypicalCriticalitiesMAHBarrier23[Column2],0)),"")</f>
        <v>#N/A</v>
      </c>
      <c r="W306" t="e">
        <f ca="1">IF($T306&lt;=AA$4,INDEX(TypicalCriticalitiesMAHBarrier23[Typical Criticality],MATCH($T306,TypicalCriticalitiesMAHBarrier23[Column2],0)),"")</f>
        <v>#N/A</v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 t="e">
        <f t="shared" ca="1" si="14"/>
        <v>#N/A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e">
        <f ca="1">IF($T307&lt;=AA$4,INDEX(TypicalCriticalitiesMAHBarrier23[Typical Components],MATCH($T307,TypicalCriticalitiesMAHBarrier23[Column2],0)),"")</f>
        <v>#N/A</v>
      </c>
      <c r="W307" t="e">
        <f ca="1">IF($T307&lt;=AA$4,INDEX(TypicalCriticalitiesMAHBarrier23[Typical Criticality],MATCH($T307,TypicalCriticalitiesMAHBarrier23[Column2],0)),"")</f>
        <v>#N/A</v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 t="e">
        <f t="shared" ca="1" si="14"/>
        <v>#N/A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e">
        <f ca="1">IF($T308&lt;=AA$4,INDEX(TypicalCriticalitiesMAHBarrier23[Typical Components],MATCH($T308,TypicalCriticalitiesMAHBarrier23[Column2],0)),"")</f>
        <v>#N/A</v>
      </c>
      <c r="W308" t="e">
        <f ca="1">IF($T308&lt;=AA$4,INDEX(TypicalCriticalitiesMAHBarrier23[Typical Criticality],MATCH($T308,TypicalCriticalitiesMAHBarrier23[Column2],0)),"")</f>
        <v>#N/A</v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 t="e">
        <f t="shared" ca="1" si="14"/>
        <v>#N/A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e">
        <f ca="1">IF($T309&lt;=AA$4,INDEX(TypicalCriticalitiesMAHBarrier23[Typical Components],MATCH($T309,TypicalCriticalitiesMAHBarrier23[Column2],0)),"")</f>
        <v>#N/A</v>
      </c>
      <c r="W309" t="e">
        <f ca="1">IF($T309&lt;=AA$4,INDEX(TypicalCriticalitiesMAHBarrier23[Typical Criticality],MATCH($T309,TypicalCriticalitiesMAHBarrier23[Column2],0)),"")</f>
        <v>#N/A</v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49" priority="1" operator="containsText" text="YES">
      <formula>NOT(ISERROR(SEARCH("YES",G6)))</formula>
    </cfRule>
  </conditionalFormatting>
  <conditionalFormatting sqref="I7">
    <cfRule type="expression" dxfId="48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>
      <selection activeCell="E13" sqref="E13"/>
    </sheetView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N2"/>
  <sheetViews>
    <sheetView tabSelected="1" workbookViewId="0">
      <selection activeCell="B2" sqref="B2"/>
    </sheetView>
  </sheetViews>
  <sheetFormatPr defaultRowHeight="15" x14ac:dyDescent="0.25"/>
  <sheetData>
    <row r="2" spans="2:14" x14ac:dyDescent="0.25">
      <c r="B2" t="s">
        <v>1062</v>
      </c>
      <c r="H2" t="b">
        <v>0</v>
      </c>
      <c r="I2" t="b">
        <v>0</v>
      </c>
      <c r="N2" t="s">
        <v>1063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F15" sqref="F15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BA3B2B-2951-41F3-B6F7-1AB9678BC5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Output</vt:lpstr>
      <vt:lpstr>TestDisciplines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2017-09-19T21:07:38Z</dcterms:modified>
</cp:coreProperties>
</file>